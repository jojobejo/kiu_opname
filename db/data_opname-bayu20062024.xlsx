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730" windowHeight="10560" activeTab="1"/>
  </bookViews>
  <sheets>
    <sheet name="db_masterBarang" sheetId="1" r:id="rId1"/>
    <sheet name="db_barangZahir" sheetId="3" r:id="rId2"/>
    <sheet name="db_pending" sheetId="2" r:id="rId3"/>
    <sheet name="DIGITAL" sheetId="6" state="hidden" r:id="rId4"/>
    <sheet name="BENIH" sheetId="7" state="hidden" r:id="rId5"/>
    <sheet name="barang" sheetId="8" state="hidden" r:id="rId6"/>
    <sheet name="pending" sheetId="9" state="hidden" r:id="rId7"/>
    <sheet name="Sheet2" sheetId="11" state="hidden" r:id="rId8"/>
    <sheet name="Sheet1" sheetId="12" r:id="rId9"/>
    <sheet name="Sheet3" sheetId="13" r:id="rId10"/>
    <sheet name="Sheet4" sheetId="14" r:id="rId11"/>
  </sheets>
  <definedNames>
    <definedName name="_xlnm._FilterDatabase" localSheetId="5" hidden="1">barang!$A$1:$H$4032</definedName>
    <definedName name="_xlnm._FilterDatabase" localSheetId="4" hidden="1">BENIH!$O$1:$R$332</definedName>
    <definedName name="_xlnm._FilterDatabase" localSheetId="1" hidden="1">db_barangZahir!$B$1:$O$2085</definedName>
    <definedName name="_xlnm._FilterDatabase" localSheetId="0" hidden="1">db_masterBarang!$B$1:$L$2085</definedName>
    <definedName name="_xlnm._FilterDatabase" localSheetId="2" hidden="1">db_pending!$A$1:$H$330</definedName>
    <definedName name="_xlnm._FilterDatabase" localSheetId="3" hidden="1">DIGITAL!$S$1:$W$1772</definedName>
    <definedName name="_xlnm._FilterDatabase" localSheetId="6" hidden="1">pending!$A$2:$K$391</definedName>
  </definedNames>
  <calcPr calcId="145621"/>
</workbook>
</file>

<file path=xl/calcChain.xml><?xml version="1.0" encoding="utf-8"?>
<calcChain xmlns="http://schemas.openxmlformats.org/spreadsheetml/2006/main">
  <c r="H3" i="12" l="1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" i="12"/>
  <c r="K2089" i="3" l="1"/>
  <c r="L2089" i="3" s="1"/>
  <c r="K2088" i="3"/>
  <c r="L2088" i="3" s="1"/>
  <c r="K2087" i="3"/>
  <c r="L2087" i="3" s="1"/>
  <c r="K2086" i="3"/>
  <c r="L2086" i="3" s="1"/>
  <c r="K2085" i="3"/>
  <c r="L2085" i="3" s="1"/>
  <c r="K2084" i="3"/>
  <c r="L2084" i="3" s="1"/>
  <c r="K2083" i="3"/>
  <c r="L2083" i="3" s="1"/>
  <c r="K2082" i="3"/>
  <c r="L2082" i="3" s="1"/>
  <c r="K2081" i="3"/>
  <c r="L2081" i="3" s="1"/>
  <c r="K2080" i="3"/>
  <c r="L2080" i="3" s="1"/>
  <c r="K2079" i="3"/>
  <c r="L2079" i="3" s="1"/>
  <c r="K2078" i="3"/>
  <c r="L2078" i="3" s="1"/>
  <c r="K2077" i="3"/>
  <c r="L2077" i="3" s="1"/>
  <c r="K2076" i="3"/>
  <c r="L2076" i="3" s="1"/>
  <c r="K2075" i="3"/>
  <c r="L2075" i="3" s="1"/>
  <c r="K2074" i="3"/>
  <c r="L2074" i="3" s="1"/>
  <c r="K2073" i="3"/>
  <c r="L2073" i="3" s="1"/>
  <c r="K2072" i="3"/>
  <c r="L2072" i="3" s="1"/>
  <c r="K2071" i="3"/>
  <c r="L2071" i="3" s="1"/>
  <c r="K2070" i="3"/>
  <c r="L2070" i="3" s="1"/>
  <c r="K2069" i="3"/>
  <c r="L2069" i="3" s="1"/>
  <c r="K2068" i="3"/>
  <c r="L2068" i="3" s="1"/>
  <c r="K2067" i="3"/>
  <c r="L2067" i="3" s="1"/>
  <c r="K2066" i="3"/>
  <c r="L2066" i="3" s="1"/>
  <c r="K2065" i="3"/>
  <c r="L2065" i="3" s="1"/>
  <c r="K2064" i="3"/>
  <c r="L2064" i="3" s="1"/>
  <c r="K2063" i="3"/>
  <c r="L2063" i="3" s="1"/>
  <c r="K2062" i="3"/>
  <c r="L2062" i="3" s="1"/>
  <c r="K2061" i="3"/>
  <c r="L2061" i="3" s="1"/>
  <c r="K2060" i="3"/>
  <c r="L2060" i="3" s="1"/>
  <c r="K2059" i="3"/>
  <c r="L2059" i="3" s="1"/>
  <c r="K2058" i="3"/>
  <c r="L2058" i="3" s="1"/>
  <c r="K2057" i="3"/>
  <c r="L2057" i="3" s="1"/>
  <c r="K2056" i="3"/>
  <c r="L2056" i="3" s="1"/>
  <c r="K2055" i="3"/>
  <c r="L2055" i="3" s="1"/>
  <c r="K2054" i="3"/>
  <c r="L2054" i="3" s="1"/>
  <c r="K2053" i="3"/>
  <c r="L2053" i="3" s="1"/>
  <c r="K2052" i="3"/>
  <c r="L2052" i="3" s="1"/>
  <c r="K2051" i="3"/>
  <c r="L2051" i="3" s="1"/>
  <c r="K2050" i="3"/>
  <c r="L2050" i="3" s="1"/>
  <c r="K2049" i="3"/>
  <c r="L2049" i="3" s="1"/>
  <c r="K2048" i="3"/>
  <c r="L2048" i="3" s="1"/>
  <c r="K2047" i="3"/>
  <c r="L2047" i="3" s="1"/>
  <c r="K2046" i="3"/>
  <c r="L2046" i="3" s="1"/>
  <c r="K2045" i="3"/>
  <c r="L2045" i="3" s="1"/>
  <c r="K2044" i="3"/>
  <c r="L2044" i="3" s="1"/>
  <c r="K2043" i="3"/>
  <c r="L2043" i="3" s="1"/>
  <c r="K2042" i="3"/>
  <c r="L2042" i="3" s="1"/>
  <c r="K2041" i="3"/>
  <c r="L2041" i="3" s="1"/>
  <c r="K2040" i="3"/>
  <c r="L2040" i="3" s="1"/>
  <c r="K2039" i="3"/>
  <c r="L2039" i="3" s="1"/>
  <c r="K2038" i="3"/>
  <c r="L2038" i="3" s="1"/>
  <c r="K2037" i="3"/>
  <c r="L2037" i="3" s="1"/>
  <c r="K2036" i="3"/>
  <c r="L2036" i="3" s="1"/>
  <c r="K2035" i="3"/>
  <c r="L2035" i="3" s="1"/>
  <c r="K2034" i="3"/>
  <c r="L2034" i="3" s="1"/>
  <c r="K2033" i="3"/>
  <c r="L2033" i="3" s="1"/>
  <c r="K2032" i="3"/>
  <c r="L2032" i="3" s="1"/>
  <c r="K2031" i="3"/>
  <c r="L2031" i="3" s="1"/>
  <c r="K2030" i="3"/>
  <c r="L2030" i="3" s="1"/>
  <c r="K2029" i="3"/>
  <c r="L2029" i="3" s="1"/>
  <c r="K2028" i="3"/>
  <c r="L2028" i="3" s="1"/>
  <c r="K2027" i="3"/>
  <c r="L2027" i="3" s="1"/>
  <c r="K2026" i="3"/>
  <c r="L2026" i="3" s="1"/>
  <c r="K2025" i="3"/>
  <c r="L2025" i="3" s="1"/>
  <c r="K2024" i="3"/>
  <c r="L2024" i="3" s="1"/>
  <c r="K2023" i="3"/>
  <c r="L2023" i="3" s="1"/>
  <c r="K2022" i="3"/>
  <c r="L2022" i="3" s="1"/>
  <c r="K2021" i="3"/>
  <c r="L2021" i="3" s="1"/>
  <c r="K2020" i="3"/>
  <c r="L2020" i="3" s="1"/>
  <c r="K2019" i="3"/>
  <c r="L2019" i="3" s="1"/>
  <c r="K2018" i="3"/>
  <c r="L2018" i="3" s="1"/>
  <c r="K2017" i="3"/>
  <c r="L2017" i="3" s="1"/>
  <c r="K2016" i="3"/>
  <c r="L2016" i="3" s="1"/>
  <c r="K2015" i="3"/>
  <c r="L2015" i="3" s="1"/>
  <c r="K2014" i="3"/>
  <c r="L2014" i="3" s="1"/>
  <c r="K2013" i="3"/>
  <c r="L2013" i="3" s="1"/>
  <c r="K2012" i="3"/>
  <c r="L2012" i="3" s="1"/>
  <c r="K2011" i="3"/>
  <c r="L2011" i="3" s="1"/>
  <c r="K2010" i="3"/>
  <c r="L2010" i="3" s="1"/>
  <c r="K2009" i="3"/>
  <c r="L2009" i="3" s="1"/>
  <c r="K2008" i="3"/>
  <c r="L2008" i="3" s="1"/>
  <c r="K2007" i="3"/>
  <c r="L2007" i="3" s="1"/>
  <c r="K2006" i="3"/>
  <c r="L2006" i="3" s="1"/>
  <c r="K2005" i="3"/>
  <c r="L2005" i="3" s="1"/>
  <c r="K2004" i="3"/>
  <c r="L2004" i="3" s="1"/>
  <c r="K2003" i="3"/>
  <c r="L2003" i="3" s="1"/>
  <c r="K2002" i="3"/>
  <c r="L2002" i="3" s="1"/>
  <c r="K2001" i="3"/>
  <c r="L2001" i="3" s="1"/>
  <c r="K2000" i="3"/>
  <c r="L2000" i="3" s="1"/>
  <c r="K1999" i="3"/>
  <c r="L1999" i="3" s="1"/>
  <c r="K1998" i="3"/>
  <c r="L1998" i="3" s="1"/>
  <c r="K1997" i="3"/>
  <c r="L1997" i="3" s="1"/>
  <c r="K1996" i="3"/>
  <c r="L1996" i="3" s="1"/>
  <c r="K1995" i="3"/>
  <c r="L1995" i="3" s="1"/>
  <c r="K1994" i="3"/>
  <c r="L1994" i="3" s="1"/>
  <c r="K1993" i="3"/>
  <c r="L1993" i="3" s="1"/>
  <c r="K1992" i="3"/>
  <c r="L1992" i="3" s="1"/>
  <c r="K1991" i="3"/>
  <c r="L1991" i="3" s="1"/>
  <c r="K1990" i="3"/>
  <c r="L1990" i="3" s="1"/>
  <c r="K1989" i="3"/>
  <c r="L1989" i="3" s="1"/>
  <c r="K1988" i="3"/>
  <c r="L1988" i="3" s="1"/>
  <c r="K1987" i="3"/>
  <c r="L1987" i="3" s="1"/>
  <c r="K1986" i="3"/>
  <c r="L1986" i="3" s="1"/>
  <c r="K1985" i="3"/>
  <c r="L1985" i="3" s="1"/>
  <c r="K1984" i="3"/>
  <c r="L1984" i="3" s="1"/>
  <c r="K1983" i="3"/>
  <c r="L1983" i="3" s="1"/>
  <c r="K1982" i="3"/>
  <c r="L1982" i="3" s="1"/>
  <c r="K1981" i="3"/>
  <c r="L1981" i="3" s="1"/>
  <c r="K1980" i="3"/>
  <c r="L1980" i="3" s="1"/>
  <c r="K1979" i="3"/>
  <c r="L1979" i="3" s="1"/>
  <c r="K1978" i="3"/>
  <c r="L1978" i="3" s="1"/>
  <c r="K1977" i="3"/>
  <c r="L1977" i="3" s="1"/>
  <c r="K1976" i="3"/>
  <c r="L1976" i="3" s="1"/>
  <c r="K1975" i="3"/>
  <c r="L1975" i="3" s="1"/>
  <c r="K1974" i="3"/>
  <c r="L1974" i="3" s="1"/>
  <c r="K1973" i="3"/>
  <c r="L1973" i="3" s="1"/>
  <c r="K1972" i="3"/>
  <c r="L1972" i="3" s="1"/>
  <c r="K1971" i="3"/>
  <c r="L1971" i="3" s="1"/>
  <c r="K1970" i="3"/>
  <c r="L1970" i="3" s="1"/>
  <c r="K1969" i="3"/>
  <c r="L1969" i="3" s="1"/>
  <c r="K1968" i="3"/>
  <c r="L1968" i="3" s="1"/>
  <c r="K1967" i="3"/>
  <c r="L1967" i="3" s="1"/>
  <c r="K1966" i="3"/>
  <c r="L1966" i="3" s="1"/>
  <c r="K1965" i="3"/>
  <c r="L1965" i="3" s="1"/>
  <c r="K1964" i="3"/>
  <c r="L1964" i="3" s="1"/>
  <c r="K1963" i="3"/>
  <c r="L1963" i="3" s="1"/>
  <c r="K1962" i="3"/>
  <c r="L1962" i="3" s="1"/>
  <c r="K1961" i="3"/>
  <c r="L1961" i="3" s="1"/>
  <c r="K1960" i="3"/>
  <c r="L1960" i="3" s="1"/>
  <c r="K1959" i="3"/>
  <c r="L1959" i="3" s="1"/>
  <c r="K1958" i="3"/>
  <c r="L1958" i="3" s="1"/>
  <c r="K1957" i="3"/>
  <c r="L1957" i="3" s="1"/>
  <c r="K1956" i="3"/>
  <c r="L1956" i="3" s="1"/>
  <c r="K1955" i="3"/>
  <c r="L1955" i="3" s="1"/>
  <c r="K1954" i="3"/>
  <c r="L1954" i="3" s="1"/>
  <c r="K1953" i="3"/>
  <c r="L1953" i="3" s="1"/>
  <c r="K1952" i="3"/>
  <c r="L1952" i="3" s="1"/>
  <c r="K1951" i="3"/>
  <c r="L1951" i="3" s="1"/>
  <c r="K1950" i="3"/>
  <c r="L1950" i="3" s="1"/>
  <c r="K1949" i="3"/>
  <c r="L1949" i="3" s="1"/>
  <c r="K1948" i="3"/>
  <c r="L1948" i="3" s="1"/>
  <c r="K1947" i="3"/>
  <c r="L1947" i="3" s="1"/>
  <c r="K1946" i="3"/>
  <c r="L1946" i="3" s="1"/>
  <c r="K1945" i="3"/>
  <c r="L1945" i="3" s="1"/>
  <c r="K1944" i="3"/>
  <c r="L1944" i="3" s="1"/>
  <c r="L1943" i="3"/>
  <c r="K1943" i="3"/>
  <c r="K1942" i="3"/>
  <c r="L1942" i="3" s="1"/>
  <c r="K1941" i="3"/>
  <c r="L1941" i="3" s="1"/>
  <c r="K1940" i="3"/>
  <c r="L1940" i="3" s="1"/>
  <c r="K1939" i="3"/>
  <c r="L1939" i="3" s="1"/>
  <c r="K1938" i="3"/>
  <c r="L1938" i="3" s="1"/>
  <c r="K1937" i="3"/>
  <c r="L1937" i="3" s="1"/>
  <c r="K1936" i="3"/>
  <c r="L1936" i="3" s="1"/>
  <c r="L1935" i="3"/>
  <c r="K1935" i="3"/>
  <c r="K1934" i="3"/>
  <c r="L1934" i="3" s="1"/>
  <c r="K1933" i="3"/>
  <c r="L1933" i="3" s="1"/>
  <c r="K1932" i="3"/>
  <c r="L1932" i="3" s="1"/>
  <c r="K1931" i="3"/>
  <c r="L1931" i="3" s="1"/>
  <c r="K1930" i="3"/>
  <c r="L1930" i="3" s="1"/>
  <c r="K1929" i="3"/>
  <c r="L1929" i="3" s="1"/>
  <c r="K1928" i="3"/>
  <c r="L1928" i="3" s="1"/>
  <c r="L1927" i="3"/>
  <c r="K1927" i="3"/>
  <c r="K1926" i="3"/>
  <c r="L1926" i="3" s="1"/>
  <c r="K1925" i="3"/>
  <c r="L1925" i="3" s="1"/>
  <c r="K1924" i="3"/>
  <c r="L1924" i="3" s="1"/>
  <c r="K1923" i="3"/>
  <c r="L1923" i="3" s="1"/>
  <c r="K1922" i="3"/>
  <c r="L1922" i="3" s="1"/>
  <c r="K1921" i="3"/>
  <c r="L1921" i="3" s="1"/>
  <c r="K1920" i="3"/>
  <c r="L1920" i="3" s="1"/>
  <c r="L1919" i="3"/>
  <c r="K1919" i="3"/>
  <c r="K1918" i="3"/>
  <c r="L1918" i="3" s="1"/>
  <c r="L1917" i="3"/>
  <c r="K1917" i="3"/>
  <c r="K1916" i="3"/>
  <c r="L1916" i="3" s="1"/>
  <c r="L1915" i="3"/>
  <c r="K1915" i="3"/>
  <c r="K1914" i="3"/>
  <c r="L1914" i="3" s="1"/>
  <c r="L1913" i="3"/>
  <c r="K1913" i="3"/>
  <c r="K1912" i="3"/>
  <c r="L1912" i="3" s="1"/>
  <c r="L1911" i="3"/>
  <c r="K1911" i="3"/>
  <c r="K1910" i="3"/>
  <c r="L1910" i="3" s="1"/>
  <c r="L1909" i="3"/>
  <c r="K1909" i="3"/>
  <c r="K1908" i="3"/>
  <c r="L1908" i="3" s="1"/>
  <c r="L1907" i="3"/>
  <c r="K1907" i="3"/>
  <c r="K1906" i="3"/>
  <c r="L1906" i="3" s="1"/>
  <c r="L1905" i="3"/>
  <c r="K1905" i="3"/>
  <c r="K1904" i="3"/>
  <c r="L1904" i="3" s="1"/>
  <c r="L1903" i="3"/>
  <c r="K1903" i="3"/>
  <c r="K1902" i="3"/>
  <c r="L1902" i="3" s="1"/>
  <c r="L1901" i="3"/>
  <c r="K1901" i="3"/>
  <c r="K1900" i="3"/>
  <c r="L1900" i="3" s="1"/>
  <c r="L1899" i="3"/>
  <c r="K1899" i="3"/>
  <c r="K1898" i="3"/>
  <c r="L1898" i="3" s="1"/>
  <c r="L1897" i="3"/>
  <c r="K1897" i="3"/>
  <c r="K1896" i="3"/>
  <c r="L1896" i="3" s="1"/>
  <c r="L1895" i="3"/>
  <c r="K1895" i="3"/>
  <c r="K1894" i="3"/>
  <c r="L1894" i="3" s="1"/>
  <c r="L1893" i="3"/>
  <c r="K1893" i="3"/>
  <c r="K1892" i="3"/>
  <c r="L1892" i="3" s="1"/>
  <c r="L1891" i="3"/>
  <c r="K1891" i="3"/>
  <c r="K1890" i="3"/>
  <c r="L1890" i="3" s="1"/>
  <c r="L1889" i="3"/>
  <c r="K1889" i="3"/>
  <c r="K1888" i="3"/>
  <c r="L1888" i="3" s="1"/>
  <c r="L1887" i="3"/>
  <c r="K1887" i="3"/>
  <c r="K1886" i="3"/>
  <c r="L1886" i="3" s="1"/>
  <c r="L1885" i="3"/>
  <c r="K1885" i="3"/>
  <c r="K1884" i="3"/>
  <c r="L1884" i="3" s="1"/>
  <c r="L1883" i="3"/>
  <c r="K1883" i="3"/>
  <c r="K1882" i="3"/>
  <c r="L1882" i="3" s="1"/>
  <c r="L1881" i="3"/>
  <c r="K1881" i="3"/>
  <c r="K1880" i="3"/>
  <c r="L1880" i="3" s="1"/>
  <c r="L1879" i="3"/>
  <c r="K1879" i="3"/>
  <c r="K1878" i="3"/>
  <c r="L1878" i="3" s="1"/>
  <c r="L1877" i="3"/>
  <c r="K1877" i="3"/>
  <c r="K1876" i="3"/>
  <c r="L1876" i="3" s="1"/>
  <c r="L1875" i="3"/>
  <c r="K1875" i="3"/>
  <c r="K1874" i="3"/>
  <c r="L1874" i="3" s="1"/>
  <c r="L1873" i="3"/>
  <c r="K1873" i="3"/>
  <c r="K1872" i="3"/>
  <c r="L1872" i="3" s="1"/>
  <c r="L1871" i="3"/>
  <c r="K1871" i="3"/>
  <c r="K1870" i="3"/>
  <c r="L1870" i="3" s="1"/>
  <c r="L1869" i="3"/>
  <c r="K1869" i="3"/>
  <c r="K1868" i="3"/>
  <c r="L1868" i="3" s="1"/>
  <c r="L1867" i="3"/>
  <c r="K1867" i="3"/>
  <c r="K1866" i="3"/>
  <c r="L1866" i="3" s="1"/>
  <c r="L1865" i="3"/>
  <c r="K1865" i="3"/>
  <c r="K1864" i="3"/>
  <c r="L1864" i="3" s="1"/>
  <c r="L1863" i="3"/>
  <c r="K1863" i="3"/>
  <c r="K1862" i="3"/>
  <c r="L1862" i="3" s="1"/>
  <c r="L1861" i="3"/>
  <c r="K1861" i="3"/>
  <c r="K1860" i="3"/>
  <c r="L1860" i="3" s="1"/>
  <c r="L1859" i="3"/>
  <c r="K1859" i="3"/>
  <c r="K1858" i="3"/>
  <c r="L1858" i="3" s="1"/>
  <c r="L1857" i="3"/>
  <c r="K1857" i="3"/>
  <c r="K1856" i="3"/>
  <c r="L1856" i="3" s="1"/>
  <c r="L1855" i="3"/>
  <c r="K1855" i="3"/>
  <c r="K1854" i="3"/>
  <c r="L1854" i="3" s="1"/>
  <c r="L1853" i="3"/>
  <c r="K1853" i="3"/>
  <c r="K1852" i="3"/>
  <c r="L1852" i="3" s="1"/>
  <c r="L1851" i="3"/>
  <c r="K1851" i="3"/>
  <c r="K1850" i="3"/>
  <c r="L1850" i="3" s="1"/>
  <c r="L1849" i="3"/>
  <c r="K1849" i="3"/>
  <c r="K1848" i="3"/>
  <c r="L1848" i="3" s="1"/>
  <c r="L1847" i="3"/>
  <c r="K1847" i="3"/>
  <c r="K1846" i="3"/>
  <c r="L1846" i="3" s="1"/>
  <c r="L1845" i="3"/>
  <c r="K1845" i="3"/>
  <c r="K1844" i="3"/>
  <c r="L1844" i="3" s="1"/>
  <c r="L1843" i="3"/>
  <c r="K1843" i="3"/>
  <c r="K1842" i="3"/>
  <c r="L1842" i="3" s="1"/>
  <c r="L1841" i="3"/>
  <c r="K1841" i="3"/>
  <c r="K1840" i="3"/>
  <c r="L1840" i="3" s="1"/>
  <c r="L1839" i="3"/>
  <c r="K1839" i="3"/>
  <c r="K1838" i="3"/>
  <c r="L1838" i="3" s="1"/>
  <c r="L1837" i="3"/>
  <c r="K1837" i="3"/>
  <c r="K1836" i="3"/>
  <c r="L1836" i="3" s="1"/>
  <c r="L1835" i="3"/>
  <c r="K1835" i="3"/>
  <c r="K1834" i="3"/>
  <c r="L1834" i="3" s="1"/>
  <c r="L1833" i="3"/>
  <c r="K1833" i="3"/>
  <c r="K1832" i="3"/>
  <c r="L1832" i="3" s="1"/>
  <c r="L1831" i="3"/>
  <c r="K1831" i="3"/>
  <c r="K1830" i="3"/>
  <c r="L1830" i="3" s="1"/>
  <c r="L1829" i="3"/>
  <c r="K1829" i="3"/>
  <c r="K1828" i="3"/>
  <c r="L1828" i="3" s="1"/>
  <c r="L1827" i="3"/>
  <c r="K1827" i="3"/>
  <c r="K1826" i="3"/>
  <c r="L1826" i="3" s="1"/>
  <c r="L1825" i="3"/>
  <c r="K1825" i="3"/>
  <c r="K1824" i="3"/>
  <c r="L1824" i="3" s="1"/>
  <c r="L1823" i="3"/>
  <c r="K1823" i="3"/>
  <c r="K1822" i="3"/>
  <c r="L1822" i="3" s="1"/>
  <c r="L1821" i="3"/>
  <c r="K1821" i="3"/>
  <c r="K1820" i="3"/>
  <c r="L1820" i="3" s="1"/>
  <c r="L1819" i="3"/>
  <c r="K1819" i="3"/>
  <c r="K1818" i="3"/>
  <c r="L1818" i="3" s="1"/>
  <c r="L1817" i="3"/>
  <c r="K1817" i="3"/>
  <c r="K1816" i="3"/>
  <c r="L1816" i="3" s="1"/>
  <c r="L1815" i="3"/>
  <c r="K1815" i="3"/>
  <c r="K1814" i="3"/>
  <c r="L1814" i="3" s="1"/>
  <c r="L1813" i="3"/>
  <c r="K1813" i="3"/>
  <c r="K1812" i="3"/>
  <c r="L1812" i="3" s="1"/>
  <c r="K1811" i="3"/>
  <c r="L1811" i="3" s="1"/>
  <c r="K1810" i="3"/>
  <c r="L1810" i="3" s="1"/>
  <c r="K1809" i="3"/>
  <c r="L1809" i="3" s="1"/>
  <c r="K1808" i="3"/>
  <c r="L1808" i="3" s="1"/>
  <c r="L1807" i="3"/>
  <c r="K1807" i="3"/>
  <c r="K1806" i="3"/>
  <c r="L1806" i="3" s="1"/>
  <c r="K1805" i="3"/>
  <c r="L1805" i="3" s="1"/>
  <c r="K1804" i="3"/>
  <c r="L1804" i="3" s="1"/>
  <c r="K1803" i="3"/>
  <c r="L1803" i="3" s="1"/>
  <c r="K1802" i="3"/>
  <c r="L1802" i="3" s="1"/>
  <c r="L1801" i="3"/>
  <c r="K1801" i="3"/>
  <c r="K1800" i="3"/>
  <c r="L1800" i="3" s="1"/>
  <c r="L1799" i="3"/>
  <c r="K1799" i="3"/>
  <c r="K1798" i="3"/>
  <c r="L1798" i="3" s="1"/>
  <c r="L1797" i="3"/>
  <c r="K1797" i="3"/>
  <c r="K1796" i="3"/>
  <c r="L1796" i="3" s="1"/>
  <c r="K1795" i="3"/>
  <c r="L1795" i="3" s="1"/>
  <c r="K1794" i="3"/>
  <c r="L1794" i="3" s="1"/>
  <c r="L1793" i="3"/>
  <c r="K1793" i="3"/>
  <c r="K1792" i="3"/>
  <c r="L1792" i="3" s="1"/>
  <c r="L1791" i="3"/>
  <c r="K1791" i="3"/>
  <c r="K1790" i="3"/>
  <c r="L1790" i="3" s="1"/>
  <c r="L1789" i="3"/>
  <c r="K1789" i="3"/>
  <c r="K1788" i="3"/>
  <c r="L1788" i="3" s="1"/>
  <c r="K1787" i="3"/>
  <c r="L1787" i="3" s="1"/>
  <c r="K1786" i="3"/>
  <c r="L1786" i="3" s="1"/>
  <c r="L1785" i="3"/>
  <c r="K1785" i="3"/>
  <c r="K1784" i="3"/>
  <c r="L1784" i="3" s="1"/>
  <c r="L1783" i="3"/>
  <c r="K1783" i="3"/>
  <c r="K1782" i="3"/>
  <c r="L1782" i="3" s="1"/>
  <c r="L1781" i="3"/>
  <c r="K1781" i="3"/>
  <c r="K1780" i="3"/>
  <c r="L1780" i="3" s="1"/>
  <c r="K1779" i="3"/>
  <c r="L1779" i="3" s="1"/>
  <c r="K1778" i="3"/>
  <c r="L1778" i="3" s="1"/>
  <c r="L1777" i="3"/>
  <c r="K1777" i="3"/>
  <c r="K1776" i="3"/>
  <c r="L1776" i="3" s="1"/>
  <c r="L1775" i="3"/>
  <c r="K1775" i="3"/>
  <c r="K1774" i="3"/>
  <c r="L1774" i="3" s="1"/>
  <c r="L1773" i="3"/>
  <c r="K1773" i="3"/>
  <c r="K1772" i="3"/>
  <c r="L1772" i="3" s="1"/>
  <c r="K1771" i="3"/>
  <c r="L1771" i="3" s="1"/>
  <c r="K1770" i="3"/>
  <c r="L1770" i="3" s="1"/>
  <c r="L1769" i="3"/>
  <c r="K1769" i="3"/>
  <c r="K1768" i="3"/>
  <c r="L1768" i="3" s="1"/>
  <c r="L1767" i="3"/>
  <c r="K1767" i="3"/>
  <c r="K1766" i="3"/>
  <c r="L1766" i="3" s="1"/>
  <c r="L1765" i="3"/>
  <c r="K1765" i="3"/>
  <c r="K1764" i="3"/>
  <c r="L1764" i="3" s="1"/>
  <c r="K1763" i="3"/>
  <c r="L1763" i="3" s="1"/>
  <c r="K1762" i="3"/>
  <c r="L1762" i="3" s="1"/>
  <c r="K1761" i="3"/>
  <c r="L1761" i="3" s="1"/>
  <c r="K1760" i="3"/>
  <c r="L1760" i="3" s="1"/>
  <c r="L1759" i="3"/>
  <c r="K1759" i="3"/>
  <c r="K1758" i="3"/>
  <c r="L1758" i="3" s="1"/>
  <c r="L1757" i="3"/>
  <c r="K1757" i="3"/>
  <c r="K1756" i="3"/>
  <c r="L1756" i="3" s="1"/>
  <c r="K1755" i="3"/>
  <c r="L1755" i="3" s="1"/>
  <c r="L1754" i="3"/>
  <c r="K1754" i="3"/>
  <c r="K1753" i="3"/>
  <c r="L1753" i="3" s="1"/>
  <c r="L1752" i="3"/>
  <c r="K1752" i="3"/>
  <c r="K1751" i="3"/>
  <c r="L1751" i="3" s="1"/>
  <c r="L1750" i="3"/>
  <c r="K1750" i="3"/>
  <c r="K1749" i="3"/>
  <c r="L1749" i="3" s="1"/>
  <c r="L1748" i="3"/>
  <c r="K1748" i="3"/>
  <c r="K1747" i="3"/>
  <c r="L1747" i="3" s="1"/>
  <c r="L1746" i="3"/>
  <c r="K1746" i="3"/>
  <c r="K1745" i="3"/>
  <c r="L1745" i="3" s="1"/>
  <c r="L1744" i="3"/>
  <c r="K1744" i="3"/>
  <c r="K1743" i="3"/>
  <c r="L1743" i="3" s="1"/>
  <c r="L1742" i="3"/>
  <c r="K1742" i="3"/>
  <c r="K1741" i="3"/>
  <c r="L1741" i="3" s="1"/>
  <c r="L1740" i="3"/>
  <c r="K1740" i="3"/>
  <c r="K1739" i="3"/>
  <c r="L1739" i="3" s="1"/>
  <c r="L1738" i="3"/>
  <c r="K1738" i="3"/>
  <c r="K1737" i="3"/>
  <c r="L1737" i="3" s="1"/>
  <c r="L1736" i="3"/>
  <c r="K1736" i="3"/>
  <c r="K1735" i="3"/>
  <c r="L1735" i="3" s="1"/>
  <c r="L1734" i="3"/>
  <c r="K1734" i="3"/>
  <c r="K1733" i="3"/>
  <c r="L1733" i="3" s="1"/>
  <c r="L1732" i="3"/>
  <c r="K1732" i="3"/>
  <c r="K1731" i="3"/>
  <c r="L1731" i="3" s="1"/>
  <c r="L1730" i="3"/>
  <c r="K1730" i="3"/>
  <c r="K1729" i="3"/>
  <c r="L1729" i="3" s="1"/>
  <c r="L1728" i="3"/>
  <c r="K1728" i="3"/>
  <c r="K1727" i="3"/>
  <c r="L1727" i="3" s="1"/>
  <c r="L1726" i="3"/>
  <c r="K1726" i="3"/>
  <c r="K1725" i="3"/>
  <c r="L1725" i="3" s="1"/>
  <c r="L1724" i="3"/>
  <c r="K1724" i="3"/>
  <c r="K1723" i="3"/>
  <c r="L1723" i="3" s="1"/>
  <c r="L1722" i="3"/>
  <c r="K1722" i="3"/>
  <c r="K1721" i="3"/>
  <c r="L1721" i="3" s="1"/>
  <c r="L1720" i="3"/>
  <c r="K1720" i="3"/>
  <c r="K1719" i="3"/>
  <c r="L1719" i="3" s="1"/>
  <c r="L1718" i="3"/>
  <c r="K1718" i="3"/>
  <c r="K1717" i="3"/>
  <c r="L1717" i="3" s="1"/>
  <c r="L1716" i="3"/>
  <c r="K1716" i="3"/>
  <c r="K1715" i="3"/>
  <c r="L1715" i="3" s="1"/>
  <c r="L1714" i="3"/>
  <c r="K1714" i="3"/>
  <c r="K1713" i="3"/>
  <c r="L1713" i="3" s="1"/>
  <c r="L1712" i="3"/>
  <c r="K1712" i="3"/>
  <c r="K1711" i="3"/>
  <c r="L1711" i="3" s="1"/>
  <c r="L1710" i="3"/>
  <c r="K1710" i="3"/>
  <c r="K1709" i="3"/>
  <c r="L1709" i="3" s="1"/>
  <c r="L1708" i="3"/>
  <c r="K1708" i="3"/>
  <c r="K1707" i="3"/>
  <c r="L1707" i="3" s="1"/>
  <c r="L1706" i="3"/>
  <c r="K1706" i="3"/>
  <c r="K1705" i="3"/>
  <c r="L1705" i="3" s="1"/>
  <c r="L1704" i="3"/>
  <c r="K1704" i="3"/>
  <c r="K1703" i="3"/>
  <c r="L1703" i="3" s="1"/>
  <c r="L1702" i="3"/>
  <c r="K1702" i="3"/>
  <c r="K1701" i="3"/>
  <c r="L1701" i="3" s="1"/>
  <c r="L1700" i="3"/>
  <c r="K1700" i="3"/>
  <c r="K1699" i="3"/>
  <c r="L1699" i="3" s="1"/>
  <c r="L1698" i="3"/>
  <c r="K1698" i="3"/>
  <c r="K1697" i="3"/>
  <c r="L1697" i="3" s="1"/>
  <c r="L1696" i="3"/>
  <c r="K1696" i="3"/>
  <c r="K1695" i="3"/>
  <c r="L1695" i="3" s="1"/>
  <c r="L1694" i="3"/>
  <c r="K1694" i="3"/>
  <c r="K1693" i="3"/>
  <c r="L1693" i="3" s="1"/>
  <c r="L1692" i="3"/>
  <c r="K1692" i="3"/>
  <c r="K1691" i="3"/>
  <c r="L1691" i="3" s="1"/>
  <c r="L1690" i="3"/>
  <c r="K1690" i="3"/>
  <c r="K1689" i="3"/>
  <c r="L1689" i="3" s="1"/>
  <c r="L1688" i="3"/>
  <c r="K1688" i="3"/>
  <c r="K1687" i="3"/>
  <c r="L1687" i="3" s="1"/>
  <c r="L1686" i="3"/>
  <c r="K1686" i="3"/>
  <c r="K1685" i="3"/>
  <c r="L1685" i="3" s="1"/>
  <c r="L1684" i="3"/>
  <c r="K1684" i="3"/>
  <c r="K1683" i="3"/>
  <c r="L1683" i="3" s="1"/>
  <c r="L1682" i="3"/>
  <c r="K1682" i="3"/>
  <c r="K1681" i="3"/>
  <c r="L1681" i="3" s="1"/>
  <c r="L1680" i="3"/>
  <c r="K1680" i="3"/>
  <c r="K1679" i="3"/>
  <c r="L1679" i="3" s="1"/>
  <c r="L1678" i="3"/>
  <c r="K1678" i="3"/>
  <c r="K1677" i="3"/>
  <c r="L1677" i="3" s="1"/>
  <c r="L1676" i="3"/>
  <c r="K1676" i="3"/>
  <c r="K1675" i="3"/>
  <c r="L1675" i="3" s="1"/>
  <c r="L1674" i="3"/>
  <c r="K1674" i="3"/>
  <c r="K1673" i="3"/>
  <c r="L1673" i="3" s="1"/>
  <c r="L1672" i="3"/>
  <c r="K1672" i="3"/>
  <c r="K1671" i="3"/>
  <c r="L1671" i="3" s="1"/>
  <c r="K1670" i="3"/>
  <c r="L1670" i="3" s="1"/>
  <c r="K1669" i="3"/>
  <c r="L1669" i="3" s="1"/>
  <c r="K1668" i="3"/>
  <c r="L1668" i="3" s="1"/>
  <c r="K1667" i="3"/>
  <c r="L1667" i="3" s="1"/>
  <c r="K1666" i="3"/>
  <c r="L1666" i="3" s="1"/>
  <c r="K1665" i="3"/>
  <c r="L1665" i="3" s="1"/>
  <c r="L1664" i="3"/>
  <c r="K1664" i="3"/>
  <c r="K1663" i="3"/>
  <c r="L1663" i="3" s="1"/>
  <c r="K1662" i="3"/>
  <c r="L1662" i="3" s="1"/>
  <c r="K1661" i="3"/>
  <c r="L1661" i="3" s="1"/>
  <c r="K1660" i="3"/>
  <c r="L1660" i="3" s="1"/>
  <c r="K1659" i="3"/>
  <c r="L1659" i="3" s="1"/>
  <c r="K1658" i="3"/>
  <c r="L1658" i="3" s="1"/>
  <c r="K1657" i="3"/>
  <c r="L1657" i="3" s="1"/>
  <c r="L1656" i="3"/>
  <c r="K1656" i="3"/>
  <c r="K1655" i="3"/>
  <c r="L1655" i="3" s="1"/>
  <c r="K1654" i="3"/>
  <c r="L1654" i="3" s="1"/>
  <c r="K1653" i="3"/>
  <c r="L1653" i="3" s="1"/>
  <c r="K1652" i="3"/>
  <c r="L1652" i="3" s="1"/>
  <c r="K1651" i="3"/>
  <c r="L1651" i="3" s="1"/>
  <c r="K1650" i="3"/>
  <c r="L1650" i="3" s="1"/>
  <c r="K1649" i="3"/>
  <c r="L1649" i="3" s="1"/>
  <c r="L1648" i="3"/>
  <c r="K1648" i="3"/>
  <c r="K1647" i="3"/>
  <c r="L1647" i="3" s="1"/>
  <c r="K1646" i="3"/>
  <c r="L1646" i="3" s="1"/>
  <c r="K1645" i="3"/>
  <c r="L1645" i="3" s="1"/>
  <c r="K1644" i="3"/>
  <c r="L1644" i="3" s="1"/>
  <c r="K1643" i="3"/>
  <c r="L1643" i="3" s="1"/>
  <c r="K1642" i="3"/>
  <c r="L1642" i="3" s="1"/>
  <c r="K1641" i="3"/>
  <c r="L1641" i="3" s="1"/>
  <c r="L1640" i="3"/>
  <c r="K1640" i="3"/>
  <c r="K1639" i="3"/>
  <c r="L1639" i="3" s="1"/>
  <c r="K1638" i="3"/>
  <c r="L1638" i="3" s="1"/>
  <c r="K1637" i="3"/>
  <c r="L1637" i="3" s="1"/>
  <c r="K1636" i="3"/>
  <c r="L1636" i="3" s="1"/>
  <c r="K1635" i="3"/>
  <c r="L1635" i="3" s="1"/>
  <c r="K1634" i="3"/>
  <c r="L1634" i="3" s="1"/>
  <c r="K1633" i="3"/>
  <c r="L1633" i="3" s="1"/>
  <c r="L1632" i="3"/>
  <c r="K1632" i="3"/>
  <c r="K1631" i="3"/>
  <c r="L1631" i="3" s="1"/>
  <c r="K1630" i="3"/>
  <c r="L1630" i="3" s="1"/>
  <c r="K1629" i="3"/>
  <c r="L1629" i="3" s="1"/>
  <c r="K1628" i="3"/>
  <c r="L1628" i="3" s="1"/>
  <c r="K1627" i="3"/>
  <c r="L1627" i="3" s="1"/>
  <c r="K1626" i="3"/>
  <c r="L1626" i="3" s="1"/>
  <c r="K1625" i="3"/>
  <c r="L1625" i="3" s="1"/>
  <c r="L1624" i="3"/>
  <c r="K1624" i="3"/>
  <c r="K1623" i="3"/>
  <c r="L1623" i="3" s="1"/>
  <c r="K1622" i="3"/>
  <c r="L1622" i="3" s="1"/>
  <c r="K1621" i="3"/>
  <c r="L1621" i="3" s="1"/>
  <c r="K1620" i="3"/>
  <c r="L1620" i="3" s="1"/>
  <c r="K1619" i="3"/>
  <c r="L1619" i="3" s="1"/>
  <c r="K1618" i="3"/>
  <c r="L1618" i="3" s="1"/>
  <c r="K1617" i="3"/>
  <c r="L1617" i="3" s="1"/>
  <c r="L1616" i="3"/>
  <c r="K1616" i="3"/>
  <c r="K1615" i="3"/>
  <c r="L1615" i="3" s="1"/>
  <c r="K1614" i="3"/>
  <c r="L1614" i="3" s="1"/>
  <c r="K1613" i="3"/>
  <c r="L1613" i="3" s="1"/>
  <c r="K1612" i="3"/>
  <c r="L1612" i="3" s="1"/>
  <c r="K1611" i="3"/>
  <c r="L1611" i="3" s="1"/>
  <c r="K1610" i="3"/>
  <c r="L1610" i="3" s="1"/>
  <c r="K1609" i="3"/>
  <c r="L1609" i="3" s="1"/>
  <c r="L1608" i="3"/>
  <c r="K1608" i="3"/>
  <c r="K1607" i="3"/>
  <c r="L1607" i="3" s="1"/>
  <c r="K1606" i="3"/>
  <c r="L1606" i="3" s="1"/>
  <c r="K1605" i="3"/>
  <c r="L1605" i="3" s="1"/>
  <c r="K1604" i="3"/>
  <c r="L1604" i="3" s="1"/>
  <c r="K1603" i="3"/>
  <c r="L1603" i="3" s="1"/>
  <c r="K1602" i="3"/>
  <c r="L1602" i="3" s="1"/>
  <c r="K1601" i="3"/>
  <c r="L1601" i="3" s="1"/>
  <c r="L1600" i="3"/>
  <c r="K1600" i="3"/>
  <c r="K1599" i="3"/>
  <c r="L1599" i="3" s="1"/>
  <c r="L1598" i="3"/>
  <c r="K1598" i="3"/>
  <c r="K1597" i="3"/>
  <c r="L1597" i="3" s="1"/>
  <c r="L1596" i="3"/>
  <c r="K1596" i="3"/>
  <c r="K1595" i="3"/>
  <c r="L1595" i="3" s="1"/>
  <c r="L1594" i="3"/>
  <c r="K1594" i="3"/>
  <c r="K1593" i="3"/>
  <c r="L1593" i="3" s="1"/>
  <c r="L1592" i="3"/>
  <c r="K1592" i="3"/>
  <c r="K1591" i="3"/>
  <c r="L1591" i="3" s="1"/>
  <c r="L1590" i="3"/>
  <c r="K1590" i="3"/>
  <c r="K1589" i="3"/>
  <c r="L1589" i="3" s="1"/>
  <c r="L1588" i="3"/>
  <c r="K1588" i="3"/>
  <c r="K1587" i="3"/>
  <c r="L1587" i="3" s="1"/>
  <c r="L1586" i="3"/>
  <c r="K1586" i="3"/>
  <c r="K1585" i="3"/>
  <c r="L1585" i="3" s="1"/>
  <c r="L1584" i="3"/>
  <c r="K1584" i="3"/>
  <c r="K1583" i="3"/>
  <c r="L1583" i="3" s="1"/>
  <c r="L1582" i="3"/>
  <c r="K1582" i="3"/>
  <c r="K1581" i="3"/>
  <c r="L1581" i="3" s="1"/>
  <c r="L1580" i="3"/>
  <c r="K1580" i="3"/>
  <c r="K1579" i="3"/>
  <c r="L1579" i="3" s="1"/>
  <c r="L1578" i="3"/>
  <c r="K1578" i="3"/>
  <c r="K1577" i="3"/>
  <c r="L1577" i="3" s="1"/>
  <c r="L1576" i="3"/>
  <c r="K1576" i="3"/>
  <c r="K1575" i="3"/>
  <c r="L1575" i="3" s="1"/>
  <c r="L1574" i="3"/>
  <c r="K1574" i="3"/>
  <c r="K1573" i="3"/>
  <c r="L1573" i="3" s="1"/>
  <c r="L1572" i="3"/>
  <c r="K1572" i="3"/>
  <c r="K1571" i="3"/>
  <c r="L1571" i="3" s="1"/>
  <c r="L1570" i="3"/>
  <c r="K1570" i="3"/>
  <c r="K1569" i="3"/>
  <c r="L1569" i="3" s="1"/>
  <c r="L1568" i="3"/>
  <c r="K1568" i="3"/>
  <c r="K1567" i="3"/>
  <c r="L1567" i="3" s="1"/>
  <c r="L1566" i="3"/>
  <c r="K1566" i="3"/>
  <c r="K1565" i="3"/>
  <c r="L1565" i="3" s="1"/>
  <c r="L1564" i="3"/>
  <c r="K1564" i="3"/>
  <c r="K1563" i="3"/>
  <c r="L1563" i="3" s="1"/>
  <c r="L1562" i="3"/>
  <c r="K1562" i="3"/>
  <c r="K1561" i="3"/>
  <c r="L1561" i="3" s="1"/>
  <c r="L1560" i="3"/>
  <c r="K1560" i="3"/>
  <c r="K1559" i="3"/>
  <c r="L1559" i="3" s="1"/>
  <c r="L1558" i="3"/>
  <c r="K1558" i="3"/>
  <c r="K1557" i="3"/>
  <c r="L1557" i="3" s="1"/>
  <c r="L1556" i="3"/>
  <c r="K1556" i="3"/>
  <c r="K1555" i="3"/>
  <c r="L1555" i="3" s="1"/>
  <c r="L1554" i="3"/>
  <c r="K1554" i="3"/>
  <c r="K1553" i="3"/>
  <c r="L1553" i="3" s="1"/>
  <c r="L1552" i="3"/>
  <c r="K1552" i="3"/>
  <c r="K1551" i="3"/>
  <c r="L1551" i="3" s="1"/>
  <c r="L1550" i="3"/>
  <c r="K1550" i="3"/>
  <c r="K1549" i="3"/>
  <c r="L1549" i="3" s="1"/>
  <c r="L1548" i="3"/>
  <c r="K1548" i="3"/>
  <c r="K1547" i="3"/>
  <c r="L1547" i="3" s="1"/>
  <c r="L1546" i="3"/>
  <c r="K1546" i="3"/>
  <c r="K1545" i="3"/>
  <c r="L1545" i="3" s="1"/>
  <c r="L1544" i="3"/>
  <c r="K1544" i="3"/>
  <c r="K1543" i="3"/>
  <c r="L1543" i="3" s="1"/>
  <c r="L1542" i="3"/>
  <c r="K1542" i="3"/>
  <c r="K1541" i="3"/>
  <c r="L1541" i="3" s="1"/>
  <c r="L1540" i="3"/>
  <c r="K1540" i="3"/>
  <c r="K1539" i="3"/>
  <c r="L1539" i="3" s="1"/>
  <c r="L1538" i="3"/>
  <c r="K1538" i="3"/>
  <c r="K1537" i="3"/>
  <c r="L1537" i="3" s="1"/>
  <c r="K1536" i="3"/>
  <c r="L1536" i="3" s="1"/>
  <c r="K1535" i="3"/>
  <c r="L1535" i="3" s="1"/>
  <c r="K1534" i="3"/>
  <c r="L1534" i="3" s="1"/>
  <c r="K1533" i="3"/>
  <c r="L1533" i="3" s="1"/>
  <c r="K1532" i="3"/>
  <c r="L1532" i="3" s="1"/>
  <c r="K1531" i="3"/>
  <c r="L1531" i="3" s="1"/>
  <c r="K1530" i="3"/>
  <c r="L1530" i="3" s="1"/>
  <c r="K1529" i="3"/>
  <c r="L1529" i="3" s="1"/>
  <c r="K1528" i="3"/>
  <c r="L1528" i="3" s="1"/>
  <c r="K1527" i="3"/>
  <c r="L1527" i="3" s="1"/>
  <c r="K1526" i="3"/>
  <c r="L1526" i="3" s="1"/>
  <c r="K1525" i="3"/>
  <c r="L1525" i="3" s="1"/>
  <c r="K1524" i="3"/>
  <c r="L1524" i="3" s="1"/>
  <c r="K1523" i="3"/>
  <c r="L1523" i="3" s="1"/>
  <c r="K1522" i="3"/>
  <c r="L1522" i="3" s="1"/>
  <c r="K1521" i="3"/>
  <c r="L1521" i="3" s="1"/>
  <c r="K1520" i="3"/>
  <c r="L1520" i="3" s="1"/>
  <c r="K1519" i="3"/>
  <c r="L1519" i="3" s="1"/>
  <c r="K1518" i="3"/>
  <c r="L1518" i="3" s="1"/>
  <c r="K1517" i="3"/>
  <c r="L1517" i="3" s="1"/>
  <c r="K1516" i="3"/>
  <c r="L1516" i="3" s="1"/>
  <c r="K1515" i="3"/>
  <c r="L1515" i="3" s="1"/>
  <c r="K1514" i="3"/>
  <c r="L1514" i="3" s="1"/>
  <c r="K1513" i="3"/>
  <c r="L1513" i="3" s="1"/>
  <c r="K1512" i="3"/>
  <c r="L1512" i="3" s="1"/>
  <c r="K1511" i="3"/>
  <c r="L1511" i="3" s="1"/>
  <c r="K1510" i="3"/>
  <c r="L1510" i="3" s="1"/>
  <c r="K1509" i="3"/>
  <c r="L1509" i="3" s="1"/>
  <c r="K1508" i="3"/>
  <c r="L1508" i="3" s="1"/>
  <c r="K1507" i="3"/>
  <c r="L1507" i="3" s="1"/>
  <c r="K1506" i="3"/>
  <c r="L1506" i="3" s="1"/>
  <c r="K1505" i="3"/>
  <c r="L1505" i="3" s="1"/>
  <c r="K1504" i="3"/>
  <c r="L1504" i="3" s="1"/>
  <c r="K1503" i="3"/>
  <c r="L1503" i="3" s="1"/>
  <c r="K1502" i="3"/>
  <c r="L1502" i="3" s="1"/>
  <c r="K1501" i="3"/>
  <c r="L1501" i="3" s="1"/>
  <c r="K1500" i="3"/>
  <c r="L1500" i="3" s="1"/>
  <c r="K1499" i="3"/>
  <c r="L1499" i="3" s="1"/>
  <c r="K1498" i="3"/>
  <c r="L1498" i="3" s="1"/>
  <c r="K1497" i="3"/>
  <c r="L1497" i="3" s="1"/>
  <c r="K1496" i="3"/>
  <c r="L1496" i="3" s="1"/>
  <c r="K1495" i="3"/>
  <c r="L1495" i="3" s="1"/>
  <c r="K1494" i="3"/>
  <c r="L1494" i="3" s="1"/>
  <c r="K1493" i="3"/>
  <c r="L1493" i="3" s="1"/>
  <c r="K1492" i="3"/>
  <c r="L1492" i="3" s="1"/>
  <c r="K1491" i="3"/>
  <c r="L1491" i="3" s="1"/>
  <c r="K1490" i="3"/>
  <c r="L1490" i="3" s="1"/>
  <c r="K1489" i="3"/>
  <c r="L1489" i="3" s="1"/>
  <c r="K1488" i="3"/>
  <c r="L1488" i="3" s="1"/>
  <c r="K1487" i="3"/>
  <c r="L1487" i="3" s="1"/>
  <c r="K1486" i="3"/>
  <c r="L1486" i="3" s="1"/>
  <c r="K1485" i="3"/>
  <c r="L1485" i="3" s="1"/>
  <c r="K1484" i="3"/>
  <c r="L1484" i="3" s="1"/>
  <c r="K1483" i="3"/>
  <c r="L1483" i="3" s="1"/>
  <c r="K1482" i="3"/>
  <c r="L1482" i="3" s="1"/>
  <c r="K1481" i="3"/>
  <c r="L1481" i="3" s="1"/>
  <c r="K1480" i="3"/>
  <c r="L1480" i="3" s="1"/>
  <c r="K1479" i="3"/>
  <c r="L1479" i="3" s="1"/>
  <c r="K1478" i="3"/>
  <c r="L1478" i="3" s="1"/>
  <c r="K1477" i="3"/>
  <c r="L1477" i="3" s="1"/>
  <c r="K1476" i="3"/>
  <c r="L1476" i="3" s="1"/>
  <c r="K1475" i="3"/>
  <c r="L1475" i="3" s="1"/>
  <c r="K1474" i="3"/>
  <c r="L1474" i="3" s="1"/>
  <c r="K1473" i="3"/>
  <c r="L1473" i="3" s="1"/>
  <c r="K1472" i="3"/>
  <c r="L1472" i="3" s="1"/>
  <c r="K1471" i="3"/>
  <c r="L1471" i="3" s="1"/>
  <c r="K1470" i="3"/>
  <c r="L1470" i="3" s="1"/>
  <c r="K1469" i="3"/>
  <c r="L1469" i="3" s="1"/>
  <c r="K1468" i="3"/>
  <c r="L1468" i="3" s="1"/>
  <c r="K1467" i="3"/>
  <c r="L1467" i="3" s="1"/>
  <c r="K1466" i="3"/>
  <c r="L1466" i="3" s="1"/>
  <c r="K1465" i="3"/>
  <c r="L1465" i="3" s="1"/>
  <c r="K1464" i="3"/>
  <c r="L1464" i="3" s="1"/>
  <c r="K1463" i="3"/>
  <c r="L1463" i="3" s="1"/>
  <c r="K1462" i="3"/>
  <c r="L1462" i="3" s="1"/>
  <c r="K1461" i="3"/>
  <c r="L1461" i="3" s="1"/>
  <c r="K1460" i="3"/>
  <c r="L1460" i="3" s="1"/>
  <c r="K1459" i="3"/>
  <c r="L1459" i="3" s="1"/>
  <c r="K1458" i="3"/>
  <c r="L1458" i="3" s="1"/>
  <c r="K1457" i="3"/>
  <c r="L1457" i="3" s="1"/>
  <c r="K1456" i="3"/>
  <c r="L1456" i="3" s="1"/>
  <c r="K1455" i="3"/>
  <c r="L1455" i="3" s="1"/>
  <c r="K1454" i="3"/>
  <c r="L1454" i="3" s="1"/>
  <c r="K1453" i="3"/>
  <c r="L1453" i="3" s="1"/>
  <c r="K1452" i="3"/>
  <c r="L1452" i="3" s="1"/>
  <c r="K1451" i="3"/>
  <c r="L1451" i="3" s="1"/>
  <c r="K1450" i="3"/>
  <c r="L1450" i="3" s="1"/>
  <c r="K1449" i="3"/>
  <c r="L1449" i="3" s="1"/>
  <c r="K1448" i="3"/>
  <c r="L1448" i="3" s="1"/>
  <c r="K1447" i="3"/>
  <c r="L1447" i="3" s="1"/>
  <c r="K1446" i="3"/>
  <c r="L1446" i="3" s="1"/>
  <c r="K1445" i="3"/>
  <c r="L1445" i="3" s="1"/>
  <c r="K1444" i="3"/>
  <c r="L1444" i="3" s="1"/>
  <c r="K1443" i="3"/>
  <c r="L1443" i="3" s="1"/>
  <c r="K1442" i="3"/>
  <c r="L1442" i="3" s="1"/>
  <c r="K1441" i="3"/>
  <c r="L1441" i="3" s="1"/>
  <c r="K1440" i="3"/>
  <c r="L1440" i="3" s="1"/>
  <c r="K1439" i="3"/>
  <c r="L1439" i="3" s="1"/>
  <c r="K1438" i="3"/>
  <c r="L1438" i="3" s="1"/>
  <c r="K1437" i="3"/>
  <c r="L1437" i="3" s="1"/>
  <c r="K1436" i="3"/>
  <c r="L1436" i="3" s="1"/>
  <c r="K1435" i="3"/>
  <c r="L1435" i="3" s="1"/>
  <c r="K1434" i="3"/>
  <c r="L1434" i="3" s="1"/>
  <c r="K1433" i="3"/>
  <c r="L1433" i="3" s="1"/>
  <c r="K1432" i="3"/>
  <c r="L1432" i="3" s="1"/>
  <c r="K1431" i="3"/>
  <c r="L1431" i="3" s="1"/>
  <c r="K1430" i="3"/>
  <c r="L1430" i="3" s="1"/>
  <c r="K1429" i="3"/>
  <c r="L1429" i="3" s="1"/>
  <c r="K1428" i="3"/>
  <c r="L1428" i="3" s="1"/>
  <c r="K1427" i="3"/>
  <c r="L1427" i="3" s="1"/>
  <c r="K1426" i="3"/>
  <c r="L1426" i="3" s="1"/>
  <c r="K1425" i="3"/>
  <c r="L1425" i="3" s="1"/>
  <c r="K1424" i="3"/>
  <c r="L1424" i="3" s="1"/>
  <c r="K1423" i="3"/>
  <c r="L1423" i="3" s="1"/>
  <c r="K1422" i="3"/>
  <c r="L1422" i="3" s="1"/>
  <c r="K1421" i="3"/>
  <c r="L1421" i="3" s="1"/>
  <c r="K1420" i="3"/>
  <c r="L1420" i="3" s="1"/>
  <c r="K1419" i="3"/>
  <c r="L1419" i="3" s="1"/>
  <c r="K1418" i="3"/>
  <c r="L1418" i="3" s="1"/>
  <c r="K1417" i="3"/>
  <c r="L1417" i="3" s="1"/>
  <c r="K1416" i="3"/>
  <c r="L1416" i="3" s="1"/>
  <c r="K1415" i="3"/>
  <c r="L1415" i="3" s="1"/>
  <c r="K1414" i="3"/>
  <c r="L1414" i="3" s="1"/>
  <c r="K1413" i="3"/>
  <c r="L1413" i="3" s="1"/>
  <c r="K1412" i="3"/>
  <c r="L1412" i="3" s="1"/>
  <c r="K1411" i="3"/>
  <c r="L1411" i="3" s="1"/>
  <c r="K1410" i="3"/>
  <c r="L1410" i="3" s="1"/>
  <c r="K1409" i="3"/>
  <c r="L1409" i="3" s="1"/>
  <c r="K1408" i="3"/>
  <c r="L1408" i="3" s="1"/>
  <c r="K1407" i="3"/>
  <c r="L1407" i="3" s="1"/>
  <c r="K1406" i="3"/>
  <c r="L1406" i="3" s="1"/>
  <c r="K1405" i="3"/>
  <c r="L1405" i="3" s="1"/>
  <c r="K1404" i="3"/>
  <c r="L1404" i="3" s="1"/>
  <c r="K1403" i="3"/>
  <c r="L1403" i="3" s="1"/>
  <c r="K1402" i="3"/>
  <c r="L1402" i="3" s="1"/>
  <c r="K1401" i="3"/>
  <c r="L1401" i="3" s="1"/>
  <c r="K1400" i="3"/>
  <c r="L1400" i="3" s="1"/>
  <c r="K1399" i="3"/>
  <c r="L1399" i="3" s="1"/>
  <c r="K1398" i="3"/>
  <c r="L1398" i="3" s="1"/>
  <c r="K1397" i="3"/>
  <c r="L1397" i="3" s="1"/>
  <c r="K1396" i="3"/>
  <c r="L1396" i="3" s="1"/>
  <c r="K1395" i="3"/>
  <c r="L1395" i="3" s="1"/>
  <c r="K1394" i="3"/>
  <c r="L1394" i="3" s="1"/>
  <c r="K1393" i="3"/>
  <c r="L1393" i="3" s="1"/>
  <c r="K1392" i="3"/>
  <c r="L1392" i="3" s="1"/>
  <c r="K1391" i="3"/>
  <c r="L1391" i="3" s="1"/>
  <c r="K1390" i="3"/>
  <c r="L1390" i="3" s="1"/>
  <c r="K1389" i="3"/>
  <c r="L1389" i="3" s="1"/>
  <c r="K1388" i="3"/>
  <c r="L1388" i="3" s="1"/>
  <c r="K1387" i="3"/>
  <c r="L1387" i="3" s="1"/>
  <c r="K1386" i="3"/>
  <c r="L1386" i="3" s="1"/>
  <c r="K1385" i="3"/>
  <c r="L1385" i="3" s="1"/>
  <c r="K1384" i="3"/>
  <c r="L1384" i="3" s="1"/>
  <c r="K1383" i="3"/>
  <c r="L1383" i="3" s="1"/>
  <c r="K1382" i="3"/>
  <c r="L1382" i="3" s="1"/>
  <c r="K1381" i="3"/>
  <c r="L1381" i="3" s="1"/>
  <c r="K1380" i="3"/>
  <c r="L1380" i="3" s="1"/>
  <c r="K1379" i="3"/>
  <c r="L1379" i="3" s="1"/>
  <c r="K1378" i="3"/>
  <c r="L1378" i="3" s="1"/>
  <c r="K1377" i="3"/>
  <c r="L1377" i="3" s="1"/>
  <c r="K1376" i="3"/>
  <c r="L1376" i="3" s="1"/>
  <c r="K1375" i="3"/>
  <c r="L1375" i="3" s="1"/>
  <c r="K1374" i="3"/>
  <c r="L1374" i="3" s="1"/>
  <c r="K1373" i="3"/>
  <c r="L1373" i="3" s="1"/>
  <c r="K1372" i="3"/>
  <c r="L1372" i="3" s="1"/>
  <c r="K1371" i="3"/>
  <c r="L1371" i="3" s="1"/>
  <c r="K1370" i="3"/>
  <c r="L1370" i="3" s="1"/>
  <c r="K1369" i="3"/>
  <c r="L1369" i="3" s="1"/>
  <c r="K1368" i="3"/>
  <c r="L1368" i="3" s="1"/>
  <c r="K1367" i="3"/>
  <c r="L1367" i="3" s="1"/>
  <c r="K1366" i="3"/>
  <c r="L1366" i="3" s="1"/>
  <c r="K1365" i="3"/>
  <c r="L1365" i="3" s="1"/>
  <c r="K1364" i="3"/>
  <c r="L1364" i="3" s="1"/>
  <c r="K1363" i="3"/>
  <c r="L1363" i="3" s="1"/>
  <c r="K1362" i="3"/>
  <c r="L1362" i="3" s="1"/>
  <c r="K1361" i="3"/>
  <c r="L1361" i="3" s="1"/>
  <c r="L1360" i="3"/>
  <c r="K1360" i="3"/>
  <c r="K1359" i="3"/>
  <c r="L1359" i="3" s="1"/>
  <c r="K1358" i="3"/>
  <c r="L1358" i="3" s="1"/>
  <c r="K1357" i="3"/>
  <c r="L1357" i="3" s="1"/>
  <c r="K1356" i="3"/>
  <c r="L1356" i="3" s="1"/>
  <c r="K1355" i="3"/>
  <c r="L1355" i="3" s="1"/>
  <c r="K1354" i="3"/>
  <c r="L1354" i="3" s="1"/>
  <c r="K1353" i="3"/>
  <c r="L1353" i="3" s="1"/>
  <c r="L1352" i="3"/>
  <c r="K1352" i="3"/>
  <c r="K1351" i="3"/>
  <c r="L1351" i="3" s="1"/>
  <c r="K1350" i="3"/>
  <c r="L1350" i="3" s="1"/>
  <c r="K1349" i="3"/>
  <c r="L1349" i="3" s="1"/>
  <c r="K1348" i="3"/>
  <c r="L1348" i="3" s="1"/>
  <c r="K1347" i="3"/>
  <c r="L1347" i="3" s="1"/>
  <c r="K1346" i="3"/>
  <c r="L1346" i="3" s="1"/>
  <c r="K1345" i="3"/>
  <c r="L1345" i="3" s="1"/>
  <c r="L1344" i="3"/>
  <c r="K1344" i="3"/>
  <c r="K1343" i="3"/>
  <c r="L1343" i="3" s="1"/>
  <c r="L1342" i="3"/>
  <c r="K1342" i="3"/>
  <c r="K1341" i="3"/>
  <c r="L1341" i="3" s="1"/>
  <c r="K1340" i="3"/>
  <c r="L1340" i="3" s="1"/>
  <c r="K1339" i="3"/>
  <c r="L1339" i="3" s="1"/>
  <c r="K1338" i="3"/>
  <c r="L1338" i="3" s="1"/>
  <c r="K1337" i="3"/>
  <c r="L1337" i="3" s="1"/>
  <c r="L1336" i="3"/>
  <c r="K1336" i="3"/>
  <c r="K1335" i="3"/>
  <c r="L1335" i="3" s="1"/>
  <c r="K1334" i="3"/>
  <c r="L1334" i="3" s="1"/>
  <c r="K1333" i="3"/>
  <c r="L1333" i="3" s="1"/>
  <c r="K1332" i="3"/>
  <c r="L1332" i="3" s="1"/>
  <c r="K1331" i="3"/>
  <c r="L1331" i="3" s="1"/>
  <c r="L1330" i="3"/>
  <c r="K1330" i="3"/>
  <c r="K1329" i="3"/>
  <c r="L1329" i="3" s="1"/>
  <c r="L1328" i="3"/>
  <c r="K1328" i="3"/>
  <c r="K1327" i="3"/>
  <c r="L1327" i="3" s="1"/>
  <c r="K1326" i="3"/>
  <c r="L1326" i="3" s="1"/>
  <c r="K1325" i="3"/>
  <c r="L1325" i="3" s="1"/>
  <c r="K1324" i="3"/>
  <c r="L1324" i="3" s="1"/>
  <c r="K1323" i="3"/>
  <c r="L1323" i="3" s="1"/>
  <c r="L1322" i="3"/>
  <c r="K1322" i="3"/>
  <c r="K1321" i="3"/>
  <c r="L1321" i="3" s="1"/>
  <c r="L1320" i="3"/>
  <c r="K1320" i="3"/>
  <c r="K1319" i="3"/>
  <c r="L1319" i="3" s="1"/>
  <c r="K1318" i="3"/>
  <c r="L1318" i="3" s="1"/>
  <c r="K1317" i="3"/>
  <c r="L1317" i="3" s="1"/>
  <c r="K1316" i="3"/>
  <c r="L1316" i="3" s="1"/>
  <c r="K1315" i="3"/>
  <c r="L1315" i="3" s="1"/>
  <c r="K1314" i="3"/>
  <c r="L1314" i="3" s="1"/>
  <c r="K1313" i="3"/>
  <c r="L1313" i="3" s="1"/>
  <c r="L1312" i="3"/>
  <c r="K1312" i="3"/>
  <c r="K1311" i="3"/>
  <c r="L1311" i="3" s="1"/>
  <c r="K1310" i="3"/>
  <c r="L1310" i="3" s="1"/>
  <c r="K1309" i="3"/>
  <c r="L1309" i="3" s="1"/>
  <c r="K1308" i="3"/>
  <c r="L1308" i="3" s="1"/>
  <c r="K1307" i="3"/>
  <c r="L1307" i="3" s="1"/>
  <c r="K1306" i="3"/>
  <c r="L1306" i="3" s="1"/>
  <c r="K1305" i="3"/>
  <c r="L1305" i="3" s="1"/>
  <c r="L1304" i="3"/>
  <c r="K1304" i="3"/>
  <c r="K1303" i="3"/>
  <c r="L1303" i="3" s="1"/>
  <c r="K1302" i="3"/>
  <c r="L1302" i="3" s="1"/>
  <c r="K1301" i="3"/>
  <c r="L1301" i="3" s="1"/>
  <c r="K1300" i="3"/>
  <c r="L1300" i="3" s="1"/>
  <c r="K1299" i="3"/>
  <c r="L1299" i="3" s="1"/>
  <c r="K1298" i="3"/>
  <c r="L1298" i="3" s="1"/>
  <c r="K1297" i="3"/>
  <c r="L1297" i="3" s="1"/>
  <c r="L1296" i="3"/>
  <c r="K1296" i="3"/>
  <c r="K1295" i="3"/>
  <c r="L1295" i="3" s="1"/>
  <c r="K1294" i="3"/>
  <c r="L1294" i="3" s="1"/>
  <c r="K1293" i="3"/>
  <c r="L1293" i="3" s="1"/>
  <c r="K1292" i="3"/>
  <c r="L1292" i="3" s="1"/>
  <c r="K1291" i="3"/>
  <c r="L1291" i="3" s="1"/>
  <c r="K1290" i="3"/>
  <c r="L1290" i="3" s="1"/>
  <c r="K1289" i="3"/>
  <c r="L1289" i="3" s="1"/>
  <c r="L1288" i="3"/>
  <c r="K1288" i="3"/>
  <c r="K1287" i="3"/>
  <c r="L1287" i="3" s="1"/>
  <c r="K1286" i="3"/>
  <c r="L1286" i="3" s="1"/>
  <c r="K1285" i="3"/>
  <c r="L1285" i="3" s="1"/>
  <c r="K1284" i="3"/>
  <c r="L1284" i="3" s="1"/>
  <c r="K1283" i="3"/>
  <c r="L1283" i="3" s="1"/>
  <c r="K1282" i="3"/>
  <c r="L1282" i="3" s="1"/>
  <c r="K1281" i="3"/>
  <c r="L1281" i="3" s="1"/>
  <c r="L1280" i="3"/>
  <c r="K1280" i="3"/>
  <c r="K1279" i="3"/>
  <c r="L1279" i="3" s="1"/>
  <c r="K1278" i="3"/>
  <c r="L1278" i="3" s="1"/>
  <c r="K1277" i="3"/>
  <c r="L1277" i="3" s="1"/>
  <c r="K1276" i="3"/>
  <c r="L1276" i="3" s="1"/>
  <c r="K1275" i="3"/>
  <c r="L1275" i="3" s="1"/>
  <c r="K1274" i="3"/>
  <c r="L1274" i="3" s="1"/>
  <c r="K1273" i="3"/>
  <c r="L1273" i="3" s="1"/>
  <c r="L1272" i="3"/>
  <c r="K1272" i="3"/>
  <c r="K1271" i="3"/>
  <c r="L1271" i="3" s="1"/>
  <c r="K1270" i="3"/>
  <c r="L1270" i="3" s="1"/>
  <c r="K1269" i="3"/>
  <c r="L1269" i="3" s="1"/>
  <c r="K1268" i="3"/>
  <c r="L1268" i="3" s="1"/>
  <c r="K1267" i="3"/>
  <c r="L1267" i="3" s="1"/>
  <c r="K1266" i="3"/>
  <c r="L1266" i="3" s="1"/>
  <c r="K1265" i="3"/>
  <c r="L1265" i="3" s="1"/>
  <c r="L1264" i="3"/>
  <c r="K1264" i="3"/>
  <c r="K1263" i="3"/>
  <c r="L1263" i="3" s="1"/>
  <c r="K1262" i="3"/>
  <c r="L1262" i="3" s="1"/>
  <c r="K1261" i="3"/>
  <c r="L1261" i="3" s="1"/>
  <c r="K1260" i="3"/>
  <c r="L1260" i="3" s="1"/>
  <c r="K1259" i="3"/>
  <c r="L1259" i="3" s="1"/>
  <c r="K1258" i="3"/>
  <c r="L1258" i="3" s="1"/>
  <c r="K1257" i="3"/>
  <c r="L1257" i="3" s="1"/>
  <c r="L1256" i="3"/>
  <c r="K1256" i="3"/>
  <c r="K1255" i="3"/>
  <c r="L1255" i="3" s="1"/>
  <c r="K1254" i="3"/>
  <c r="L1254" i="3" s="1"/>
  <c r="K1253" i="3"/>
  <c r="L1253" i="3" s="1"/>
  <c r="K1252" i="3"/>
  <c r="L1252" i="3" s="1"/>
  <c r="K1251" i="3"/>
  <c r="L1251" i="3" s="1"/>
  <c r="K1250" i="3"/>
  <c r="L1250" i="3" s="1"/>
  <c r="K1249" i="3"/>
  <c r="L1249" i="3" s="1"/>
  <c r="L1248" i="3"/>
  <c r="K1248" i="3"/>
  <c r="K1247" i="3"/>
  <c r="L1247" i="3" s="1"/>
  <c r="K1246" i="3"/>
  <c r="L1246" i="3" s="1"/>
  <c r="K1245" i="3"/>
  <c r="L1245" i="3" s="1"/>
  <c r="K1244" i="3"/>
  <c r="L1244" i="3" s="1"/>
  <c r="K1243" i="3"/>
  <c r="L1243" i="3" s="1"/>
  <c r="K1242" i="3"/>
  <c r="L1242" i="3" s="1"/>
  <c r="K1241" i="3"/>
  <c r="L1241" i="3" s="1"/>
  <c r="L1240" i="3"/>
  <c r="K1240" i="3"/>
  <c r="K1239" i="3"/>
  <c r="L1239" i="3" s="1"/>
  <c r="K1238" i="3"/>
  <c r="L1238" i="3" s="1"/>
  <c r="K1237" i="3"/>
  <c r="L1237" i="3" s="1"/>
  <c r="K1236" i="3"/>
  <c r="L1236" i="3" s="1"/>
  <c r="K1235" i="3"/>
  <c r="L1235" i="3" s="1"/>
  <c r="K1234" i="3"/>
  <c r="L1234" i="3" s="1"/>
  <c r="K1233" i="3"/>
  <c r="L1233" i="3" s="1"/>
  <c r="L1232" i="3"/>
  <c r="K1232" i="3"/>
  <c r="K1231" i="3"/>
  <c r="L1231" i="3" s="1"/>
  <c r="K1230" i="3"/>
  <c r="L1230" i="3" s="1"/>
  <c r="K1229" i="3"/>
  <c r="L1229" i="3" s="1"/>
  <c r="K1228" i="3"/>
  <c r="L1228" i="3" s="1"/>
  <c r="K1227" i="3"/>
  <c r="L1227" i="3" s="1"/>
  <c r="K1226" i="3"/>
  <c r="L1226" i="3" s="1"/>
  <c r="K1225" i="3"/>
  <c r="L1225" i="3" s="1"/>
  <c r="L1224" i="3"/>
  <c r="K1224" i="3"/>
  <c r="K1223" i="3"/>
  <c r="L1223" i="3" s="1"/>
  <c r="K1222" i="3"/>
  <c r="L1222" i="3" s="1"/>
  <c r="K1221" i="3"/>
  <c r="L1221" i="3" s="1"/>
  <c r="K1220" i="3"/>
  <c r="L1220" i="3" s="1"/>
  <c r="K1219" i="3"/>
  <c r="L1219" i="3" s="1"/>
  <c r="K1218" i="3"/>
  <c r="L1218" i="3" s="1"/>
  <c r="K1217" i="3"/>
  <c r="L1217" i="3" s="1"/>
  <c r="L1216" i="3"/>
  <c r="K1216" i="3"/>
  <c r="K1215" i="3"/>
  <c r="L1215" i="3" s="1"/>
  <c r="K1214" i="3"/>
  <c r="L1214" i="3" s="1"/>
  <c r="K1213" i="3"/>
  <c r="L1213" i="3" s="1"/>
  <c r="K1212" i="3"/>
  <c r="L1212" i="3" s="1"/>
  <c r="K1211" i="3"/>
  <c r="L1211" i="3" s="1"/>
  <c r="K1210" i="3"/>
  <c r="L1210" i="3" s="1"/>
  <c r="K1209" i="3"/>
  <c r="L1209" i="3" s="1"/>
  <c r="L1208" i="3"/>
  <c r="K1208" i="3"/>
  <c r="K1207" i="3"/>
  <c r="L1207" i="3" s="1"/>
  <c r="K1206" i="3"/>
  <c r="L1206" i="3" s="1"/>
  <c r="K1205" i="3"/>
  <c r="L1205" i="3" s="1"/>
  <c r="K1204" i="3"/>
  <c r="L1204" i="3" s="1"/>
  <c r="K1203" i="3"/>
  <c r="L1203" i="3" s="1"/>
  <c r="K1202" i="3"/>
  <c r="L1202" i="3" s="1"/>
  <c r="K1201" i="3"/>
  <c r="L1201" i="3" s="1"/>
  <c r="L1200" i="3"/>
  <c r="K1200" i="3"/>
  <c r="K1199" i="3"/>
  <c r="L1199" i="3" s="1"/>
  <c r="K1198" i="3"/>
  <c r="L1198" i="3" s="1"/>
  <c r="K1197" i="3"/>
  <c r="L1197" i="3" s="1"/>
  <c r="K1196" i="3"/>
  <c r="L1196" i="3" s="1"/>
  <c r="K1195" i="3"/>
  <c r="L1195" i="3" s="1"/>
  <c r="K1194" i="3"/>
  <c r="L1194" i="3" s="1"/>
  <c r="K1193" i="3"/>
  <c r="L1193" i="3" s="1"/>
  <c r="L1192" i="3"/>
  <c r="K1192" i="3"/>
  <c r="K1191" i="3"/>
  <c r="L1191" i="3" s="1"/>
  <c r="K1190" i="3"/>
  <c r="L1190" i="3" s="1"/>
  <c r="K1189" i="3"/>
  <c r="L1189" i="3" s="1"/>
  <c r="K1188" i="3"/>
  <c r="L1188" i="3" s="1"/>
  <c r="K1187" i="3"/>
  <c r="L1187" i="3" s="1"/>
  <c r="K1186" i="3"/>
  <c r="L1186" i="3" s="1"/>
  <c r="K1185" i="3"/>
  <c r="L1185" i="3" s="1"/>
  <c r="L1184" i="3"/>
  <c r="K1184" i="3"/>
  <c r="K1183" i="3"/>
  <c r="L1183" i="3" s="1"/>
  <c r="K1182" i="3"/>
  <c r="L1182" i="3" s="1"/>
  <c r="K1181" i="3"/>
  <c r="L1181" i="3" s="1"/>
  <c r="K1180" i="3"/>
  <c r="L1180" i="3" s="1"/>
  <c r="K1179" i="3"/>
  <c r="L1179" i="3" s="1"/>
  <c r="K1178" i="3"/>
  <c r="L1178" i="3" s="1"/>
  <c r="K1177" i="3"/>
  <c r="L1177" i="3" s="1"/>
  <c r="L1176" i="3"/>
  <c r="K1176" i="3"/>
  <c r="K1175" i="3"/>
  <c r="L1175" i="3" s="1"/>
  <c r="K1174" i="3"/>
  <c r="L1174" i="3" s="1"/>
  <c r="K1173" i="3"/>
  <c r="L1173" i="3" s="1"/>
  <c r="K1172" i="3"/>
  <c r="L1172" i="3" s="1"/>
  <c r="K1171" i="3"/>
  <c r="L1171" i="3" s="1"/>
  <c r="L1170" i="3"/>
  <c r="K1170" i="3"/>
  <c r="K1169" i="3"/>
  <c r="L1169" i="3" s="1"/>
  <c r="L1168" i="3"/>
  <c r="K1168" i="3"/>
  <c r="K1167" i="3"/>
  <c r="L1167" i="3" s="1"/>
  <c r="K1166" i="3"/>
  <c r="L1166" i="3" s="1"/>
  <c r="K1165" i="3"/>
  <c r="L1165" i="3" s="1"/>
  <c r="K1164" i="3"/>
  <c r="L1164" i="3" s="1"/>
  <c r="K1163" i="3"/>
  <c r="L1163" i="3" s="1"/>
  <c r="L1162" i="3"/>
  <c r="K1162" i="3"/>
  <c r="K1161" i="3"/>
  <c r="L1161" i="3" s="1"/>
  <c r="L1160" i="3"/>
  <c r="K1160" i="3"/>
  <c r="K1159" i="3"/>
  <c r="L1159" i="3" s="1"/>
  <c r="K1158" i="3"/>
  <c r="L1158" i="3" s="1"/>
  <c r="K1157" i="3"/>
  <c r="L1157" i="3" s="1"/>
  <c r="K1156" i="3"/>
  <c r="L1156" i="3" s="1"/>
  <c r="K1155" i="3"/>
  <c r="L1155" i="3" s="1"/>
  <c r="L1154" i="3"/>
  <c r="K1154" i="3"/>
  <c r="K1153" i="3"/>
  <c r="L1153" i="3" s="1"/>
  <c r="L1152" i="3"/>
  <c r="K1152" i="3"/>
  <c r="K1151" i="3"/>
  <c r="L1151" i="3" s="1"/>
  <c r="K1150" i="3"/>
  <c r="L1150" i="3" s="1"/>
  <c r="K1149" i="3"/>
  <c r="L1149" i="3" s="1"/>
  <c r="K1148" i="3"/>
  <c r="L1148" i="3" s="1"/>
  <c r="K1147" i="3"/>
  <c r="L1147" i="3" s="1"/>
  <c r="L1146" i="3"/>
  <c r="K1146" i="3"/>
  <c r="K1145" i="3"/>
  <c r="L1145" i="3" s="1"/>
  <c r="L1144" i="3"/>
  <c r="K1144" i="3"/>
  <c r="K1143" i="3"/>
  <c r="L1143" i="3" s="1"/>
  <c r="K1142" i="3"/>
  <c r="L1142" i="3" s="1"/>
  <c r="K1141" i="3"/>
  <c r="L1141" i="3" s="1"/>
  <c r="K1140" i="3"/>
  <c r="L1140" i="3" s="1"/>
  <c r="K1139" i="3"/>
  <c r="L1139" i="3" s="1"/>
  <c r="L1138" i="3"/>
  <c r="K1138" i="3"/>
  <c r="K1137" i="3"/>
  <c r="L1137" i="3" s="1"/>
  <c r="L1136" i="3"/>
  <c r="K1136" i="3"/>
  <c r="K1135" i="3"/>
  <c r="L1135" i="3" s="1"/>
  <c r="K1134" i="3"/>
  <c r="L1134" i="3" s="1"/>
  <c r="K1133" i="3"/>
  <c r="L1133" i="3" s="1"/>
  <c r="K1132" i="3"/>
  <c r="L1132" i="3" s="1"/>
  <c r="K1131" i="3"/>
  <c r="L1131" i="3" s="1"/>
  <c r="L1130" i="3"/>
  <c r="K1130" i="3"/>
  <c r="K1129" i="3"/>
  <c r="L1129" i="3" s="1"/>
  <c r="L1128" i="3"/>
  <c r="K1128" i="3"/>
  <c r="K1127" i="3"/>
  <c r="L1127" i="3" s="1"/>
  <c r="K1126" i="3"/>
  <c r="L1126" i="3" s="1"/>
  <c r="K1125" i="3"/>
  <c r="L1125" i="3" s="1"/>
  <c r="K1124" i="3"/>
  <c r="L1124" i="3" s="1"/>
  <c r="K1123" i="3"/>
  <c r="L1123" i="3" s="1"/>
  <c r="L1122" i="3"/>
  <c r="K1122" i="3"/>
  <c r="K1121" i="3"/>
  <c r="L1121" i="3" s="1"/>
  <c r="L1120" i="3"/>
  <c r="K1120" i="3"/>
  <c r="K1119" i="3"/>
  <c r="L1119" i="3" s="1"/>
  <c r="K1118" i="3"/>
  <c r="L1118" i="3" s="1"/>
  <c r="K1117" i="3"/>
  <c r="L1117" i="3" s="1"/>
  <c r="K1116" i="3"/>
  <c r="L1116" i="3" s="1"/>
  <c r="K1115" i="3"/>
  <c r="L1115" i="3" s="1"/>
  <c r="K1114" i="3"/>
  <c r="L1114" i="3" s="1"/>
  <c r="K1113" i="3"/>
  <c r="L1113" i="3" s="1"/>
  <c r="L1112" i="3"/>
  <c r="K1112" i="3"/>
  <c r="K1111" i="3"/>
  <c r="L1111" i="3" s="1"/>
  <c r="K1110" i="3"/>
  <c r="L1110" i="3" s="1"/>
  <c r="K1109" i="3"/>
  <c r="L1109" i="3" s="1"/>
  <c r="K1108" i="3"/>
  <c r="L1108" i="3" s="1"/>
  <c r="K1107" i="3"/>
  <c r="L1107" i="3" s="1"/>
  <c r="K1106" i="3"/>
  <c r="L1106" i="3" s="1"/>
  <c r="K1105" i="3"/>
  <c r="L1105" i="3" s="1"/>
  <c r="L1104" i="3"/>
  <c r="K1104" i="3"/>
  <c r="K1103" i="3"/>
  <c r="L1103" i="3" s="1"/>
  <c r="K1102" i="3"/>
  <c r="L1102" i="3" s="1"/>
  <c r="K1101" i="3"/>
  <c r="L1101" i="3" s="1"/>
  <c r="K1100" i="3"/>
  <c r="L1100" i="3" s="1"/>
  <c r="K1099" i="3"/>
  <c r="L1099" i="3" s="1"/>
  <c r="K1098" i="3"/>
  <c r="L1098" i="3" s="1"/>
  <c r="K1097" i="3"/>
  <c r="L1097" i="3" s="1"/>
  <c r="L1096" i="3"/>
  <c r="K1096" i="3"/>
  <c r="K1095" i="3"/>
  <c r="L1095" i="3" s="1"/>
  <c r="K1094" i="3"/>
  <c r="L1094" i="3" s="1"/>
  <c r="K1093" i="3"/>
  <c r="L1093" i="3" s="1"/>
  <c r="K1092" i="3"/>
  <c r="L1092" i="3" s="1"/>
  <c r="K1091" i="3"/>
  <c r="L1091" i="3" s="1"/>
  <c r="K1090" i="3"/>
  <c r="L1090" i="3" s="1"/>
  <c r="K1089" i="3"/>
  <c r="L1089" i="3" s="1"/>
  <c r="L1088" i="3"/>
  <c r="K1088" i="3"/>
  <c r="K1087" i="3"/>
  <c r="L1087" i="3" s="1"/>
  <c r="K1086" i="3"/>
  <c r="L1086" i="3" s="1"/>
  <c r="K1085" i="3"/>
  <c r="L1085" i="3" s="1"/>
  <c r="K1084" i="3"/>
  <c r="L1084" i="3" s="1"/>
  <c r="K1083" i="3"/>
  <c r="L1083" i="3" s="1"/>
  <c r="K1082" i="3"/>
  <c r="L1082" i="3" s="1"/>
  <c r="K1081" i="3"/>
  <c r="L1081" i="3" s="1"/>
  <c r="L1080" i="3"/>
  <c r="K1080" i="3"/>
  <c r="K1079" i="3"/>
  <c r="L1079" i="3" s="1"/>
  <c r="K1078" i="3"/>
  <c r="L1078" i="3" s="1"/>
  <c r="K1077" i="3"/>
  <c r="L1077" i="3" s="1"/>
  <c r="K1076" i="3"/>
  <c r="L1076" i="3" s="1"/>
  <c r="K1075" i="3"/>
  <c r="L1075" i="3" s="1"/>
  <c r="K1074" i="3"/>
  <c r="L1074" i="3" s="1"/>
  <c r="K1073" i="3"/>
  <c r="L1073" i="3" s="1"/>
  <c r="L1072" i="3"/>
  <c r="K1072" i="3"/>
  <c r="K1071" i="3"/>
  <c r="L1071" i="3" s="1"/>
  <c r="K1070" i="3"/>
  <c r="L1070" i="3" s="1"/>
  <c r="K1069" i="3"/>
  <c r="L1069" i="3" s="1"/>
  <c r="K1068" i="3"/>
  <c r="L1068" i="3" s="1"/>
  <c r="K1067" i="3"/>
  <c r="L1067" i="3" s="1"/>
  <c r="K1066" i="3"/>
  <c r="L1066" i="3" s="1"/>
  <c r="K1065" i="3"/>
  <c r="L1065" i="3" s="1"/>
  <c r="L1064" i="3"/>
  <c r="K1064" i="3"/>
  <c r="K1063" i="3"/>
  <c r="L1063" i="3" s="1"/>
  <c r="K1062" i="3"/>
  <c r="L1062" i="3" s="1"/>
  <c r="K1061" i="3"/>
  <c r="L1061" i="3" s="1"/>
  <c r="K1060" i="3"/>
  <c r="L1060" i="3" s="1"/>
  <c r="K1059" i="3"/>
  <c r="L1059" i="3" s="1"/>
  <c r="K1058" i="3"/>
  <c r="L1058" i="3" s="1"/>
  <c r="K1057" i="3"/>
  <c r="L1057" i="3" s="1"/>
  <c r="L1056" i="3"/>
  <c r="K1056" i="3"/>
  <c r="K1055" i="3"/>
  <c r="L1055" i="3" s="1"/>
  <c r="K1054" i="3"/>
  <c r="L1054" i="3" s="1"/>
  <c r="K1053" i="3"/>
  <c r="L1053" i="3" s="1"/>
  <c r="K1052" i="3"/>
  <c r="L1052" i="3" s="1"/>
  <c r="K1051" i="3"/>
  <c r="L1051" i="3" s="1"/>
  <c r="K1050" i="3"/>
  <c r="L1050" i="3" s="1"/>
  <c r="K1049" i="3"/>
  <c r="L1049" i="3" s="1"/>
  <c r="L1048" i="3"/>
  <c r="K1048" i="3"/>
  <c r="K1047" i="3"/>
  <c r="L1047" i="3" s="1"/>
  <c r="K1046" i="3"/>
  <c r="L1046" i="3" s="1"/>
  <c r="K1045" i="3"/>
  <c r="L1045" i="3" s="1"/>
  <c r="K1044" i="3"/>
  <c r="L1044" i="3" s="1"/>
  <c r="K1043" i="3"/>
  <c r="L1043" i="3" s="1"/>
  <c r="K1042" i="3"/>
  <c r="L1042" i="3" s="1"/>
  <c r="K1041" i="3"/>
  <c r="L1041" i="3" s="1"/>
  <c r="L1040" i="3"/>
  <c r="K1040" i="3"/>
  <c r="K1039" i="3"/>
  <c r="L1039" i="3" s="1"/>
  <c r="K1038" i="3"/>
  <c r="L1038" i="3" s="1"/>
  <c r="K1037" i="3"/>
  <c r="L1037" i="3" s="1"/>
  <c r="K1036" i="3"/>
  <c r="L1036" i="3" s="1"/>
  <c r="K1035" i="3"/>
  <c r="L1035" i="3" s="1"/>
  <c r="K1034" i="3"/>
  <c r="L1034" i="3" s="1"/>
  <c r="K1033" i="3"/>
  <c r="L1033" i="3" s="1"/>
  <c r="L1032" i="3"/>
  <c r="K1032" i="3"/>
  <c r="K1031" i="3"/>
  <c r="L1031" i="3" s="1"/>
  <c r="K1030" i="3"/>
  <c r="L1030" i="3" s="1"/>
  <c r="K1029" i="3"/>
  <c r="L1029" i="3" s="1"/>
  <c r="K1028" i="3"/>
  <c r="L1028" i="3" s="1"/>
  <c r="K1027" i="3"/>
  <c r="L1027" i="3" s="1"/>
  <c r="K1026" i="3"/>
  <c r="L1026" i="3" s="1"/>
  <c r="K1025" i="3"/>
  <c r="L1025" i="3" s="1"/>
  <c r="L1024" i="3"/>
  <c r="K1024" i="3"/>
  <c r="K1023" i="3"/>
  <c r="L1023" i="3" s="1"/>
  <c r="K1022" i="3"/>
  <c r="L1022" i="3" s="1"/>
  <c r="K1021" i="3"/>
  <c r="L1021" i="3" s="1"/>
  <c r="K1020" i="3"/>
  <c r="L1020" i="3" s="1"/>
  <c r="K1019" i="3"/>
  <c r="L1019" i="3" s="1"/>
  <c r="L1018" i="3"/>
  <c r="K1018" i="3"/>
  <c r="K1017" i="3"/>
  <c r="L1017" i="3" s="1"/>
  <c r="L1016" i="3"/>
  <c r="K1016" i="3"/>
  <c r="K1015" i="3"/>
  <c r="L1015" i="3" s="1"/>
  <c r="K1014" i="3"/>
  <c r="L1014" i="3" s="1"/>
  <c r="K1013" i="3"/>
  <c r="L1013" i="3" s="1"/>
  <c r="K1012" i="3"/>
  <c r="L1012" i="3" s="1"/>
  <c r="K1011" i="3"/>
  <c r="L1011" i="3" s="1"/>
  <c r="L1010" i="3"/>
  <c r="K1010" i="3"/>
  <c r="K1009" i="3"/>
  <c r="L1009" i="3" s="1"/>
  <c r="L1008" i="3"/>
  <c r="K1008" i="3"/>
  <c r="K1007" i="3"/>
  <c r="L1007" i="3" s="1"/>
  <c r="K1006" i="3"/>
  <c r="L1006" i="3" s="1"/>
  <c r="K1005" i="3"/>
  <c r="L1005" i="3" s="1"/>
  <c r="K1004" i="3"/>
  <c r="L1004" i="3" s="1"/>
  <c r="K1003" i="3"/>
  <c r="L1003" i="3" s="1"/>
  <c r="L1002" i="3"/>
  <c r="K1002" i="3"/>
  <c r="K1001" i="3"/>
  <c r="L1001" i="3" s="1"/>
  <c r="K1000" i="3"/>
  <c r="L1000" i="3" s="1"/>
  <c r="K999" i="3"/>
  <c r="L999" i="3" s="1"/>
  <c r="K998" i="3"/>
  <c r="L998" i="3" s="1"/>
  <c r="K997" i="3"/>
  <c r="L997" i="3" s="1"/>
  <c r="K996" i="3"/>
  <c r="L996" i="3" s="1"/>
  <c r="K995" i="3"/>
  <c r="L995" i="3" s="1"/>
  <c r="K994" i="3"/>
  <c r="L994" i="3" s="1"/>
  <c r="K993" i="3"/>
  <c r="L993" i="3" s="1"/>
  <c r="K992" i="3"/>
  <c r="L992" i="3" s="1"/>
  <c r="K991" i="3"/>
  <c r="L991" i="3" s="1"/>
  <c r="K990" i="3"/>
  <c r="L990" i="3" s="1"/>
  <c r="K989" i="3"/>
  <c r="L989" i="3" s="1"/>
  <c r="K988" i="3"/>
  <c r="L988" i="3" s="1"/>
  <c r="K987" i="3"/>
  <c r="L987" i="3" s="1"/>
  <c r="K986" i="3"/>
  <c r="L986" i="3" s="1"/>
  <c r="K985" i="3"/>
  <c r="L985" i="3" s="1"/>
  <c r="K984" i="3"/>
  <c r="L984" i="3" s="1"/>
  <c r="K983" i="3"/>
  <c r="L983" i="3" s="1"/>
  <c r="K982" i="3"/>
  <c r="L982" i="3" s="1"/>
  <c r="K981" i="3"/>
  <c r="L981" i="3" s="1"/>
  <c r="K980" i="3"/>
  <c r="L980" i="3" s="1"/>
  <c r="K979" i="3"/>
  <c r="L979" i="3" s="1"/>
  <c r="K978" i="3"/>
  <c r="L978" i="3" s="1"/>
  <c r="K977" i="3"/>
  <c r="L977" i="3" s="1"/>
  <c r="K976" i="3"/>
  <c r="L976" i="3" s="1"/>
  <c r="K975" i="3"/>
  <c r="L975" i="3" s="1"/>
  <c r="K974" i="3"/>
  <c r="L974" i="3" s="1"/>
  <c r="K973" i="3"/>
  <c r="L973" i="3" s="1"/>
  <c r="K972" i="3"/>
  <c r="L972" i="3" s="1"/>
  <c r="K971" i="3"/>
  <c r="L971" i="3" s="1"/>
  <c r="K970" i="3"/>
  <c r="L970" i="3" s="1"/>
  <c r="K969" i="3"/>
  <c r="L969" i="3" s="1"/>
  <c r="K968" i="3"/>
  <c r="L968" i="3" s="1"/>
  <c r="K967" i="3"/>
  <c r="L967" i="3" s="1"/>
  <c r="K966" i="3"/>
  <c r="L966" i="3" s="1"/>
  <c r="K965" i="3"/>
  <c r="L965" i="3" s="1"/>
  <c r="K964" i="3"/>
  <c r="L964" i="3" s="1"/>
  <c r="K963" i="3"/>
  <c r="L963" i="3" s="1"/>
  <c r="K962" i="3"/>
  <c r="L962" i="3" s="1"/>
  <c r="K961" i="3"/>
  <c r="L961" i="3" s="1"/>
  <c r="K960" i="3"/>
  <c r="L960" i="3" s="1"/>
  <c r="K959" i="3"/>
  <c r="L959" i="3" s="1"/>
  <c r="K958" i="3"/>
  <c r="L958" i="3" s="1"/>
  <c r="K957" i="3"/>
  <c r="L957" i="3" s="1"/>
  <c r="K956" i="3"/>
  <c r="L956" i="3" s="1"/>
  <c r="K955" i="3"/>
  <c r="L955" i="3" s="1"/>
  <c r="K954" i="3"/>
  <c r="L954" i="3" s="1"/>
  <c r="K953" i="3"/>
  <c r="L953" i="3" s="1"/>
  <c r="K952" i="3"/>
  <c r="L952" i="3" s="1"/>
  <c r="K951" i="3"/>
  <c r="L951" i="3" s="1"/>
  <c r="K950" i="3"/>
  <c r="L950" i="3" s="1"/>
  <c r="K949" i="3"/>
  <c r="L949" i="3" s="1"/>
  <c r="K948" i="3"/>
  <c r="L948" i="3" s="1"/>
  <c r="K947" i="3"/>
  <c r="L947" i="3" s="1"/>
  <c r="K946" i="3"/>
  <c r="L946" i="3" s="1"/>
  <c r="K945" i="3"/>
  <c r="L945" i="3" s="1"/>
  <c r="K944" i="3"/>
  <c r="L944" i="3" s="1"/>
  <c r="K943" i="3"/>
  <c r="L943" i="3" s="1"/>
  <c r="K942" i="3"/>
  <c r="L942" i="3" s="1"/>
  <c r="K941" i="3"/>
  <c r="L941" i="3" s="1"/>
  <c r="K940" i="3"/>
  <c r="L940" i="3" s="1"/>
  <c r="K939" i="3"/>
  <c r="L939" i="3" s="1"/>
  <c r="K938" i="3"/>
  <c r="L938" i="3" s="1"/>
  <c r="K937" i="3"/>
  <c r="L937" i="3" s="1"/>
  <c r="K936" i="3"/>
  <c r="L936" i="3" s="1"/>
  <c r="K935" i="3"/>
  <c r="L935" i="3" s="1"/>
  <c r="K934" i="3"/>
  <c r="L934" i="3" s="1"/>
  <c r="K933" i="3"/>
  <c r="L933" i="3" s="1"/>
  <c r="K932" i="3"/>
  <c r="L932" i="3" s="1"/>
  <c r="K931" i="3"/>
  <c r="L931" i="3" s="1"/>
  <c r="K930" i="3"/>
  <c r="L930" i="3" s="1"/>
  <c r="K929" i="3"/>
  <c r="L929" i="3" s="1"/>
  <c r="K928" i="3"/>
  <c r="L928" i="3" s="1"/>
  <c r="K927" i="3"/>
  <c r="L927" i="3" s="1"/>
  <c r="K926" i="3"/>
  <c r="L926" i="3" s="1"/>
  <c r="K925" i="3"/>
  <c r="L925" i="3" s="1"/>
  <c r="K924" i="3"/>
  <c r="L924" i="3" s="1"/>
  <c r="K923" i="3"/>
  <c r="L923" i="3" s="1"/>
  <c r="K922" i="3"/>
  <c r="L922" i="3" s="1"/>
  <c r="K921" i="3"/>
  <c r="L921" i="3" s="1"/>
  <c r="K920" i="3"/>
  <c r="L920" i="3" s="1"/>
  <c r="K919" i="3"/>
  <c r="L919" i="3" s="1"/>
  <c r="K918" i="3"/>
  <c r="L918" i="3" s="1"/>
  <c r="K917" i="3"/>
  <c r="L917" i="3" s="1"/>
  <c r="K916" i="3"/>
  <c r="L916" i="3" s="1"/>
  <c r="K915" i="3"/>
  <c r="L915" i="3" s="1"/>
  <c r="K914" i="3"/>
  <c r="L914" i="3" s="1"/>
  <c r="K913" i="3"/>
  <c r="L913" i="3" s="1"/>
  <c r="K912" i="3"/>
  <c r="L912" i="3" s="1"/>
  <c r="K911" i="3"/>
  <c r="L911" i="3" s="1"/>
  <c r="K910" i="3"/>
  <c r="L910" i="3" s="1"/>
  <c r="K909" i="3"/>
  <c r="L909" i="3" s="1"/>
  <c r="K908" i="3"/>
  <c r="L908" i="3" s="1"/>
  <c r="K907" i="3"/>
  <c r="L907" i="3" s="1"/>
  <c r="K906" i="3"/>
  <c r="L906" i="3" s="1"/>
  <c r="K905" i="3"/>
  <c r="L905" i="3" s="1"/>
  <c r="K904" i="3"/>
  <c r="L904" i="3" s="1"/>
  <c r="K903" i="3"/>
  <c r="L903" i="3" s="1"/>
  <c r="K902" i="3"/>
  <c r="L902" i="3" s="1"/>
  <c r="K901" i="3"/>
  <c r="L901" i="3" s="1"/>
  <c r="K900" i="3"/>
  <c r="L900" i="3" s="1"/>
  <c r="K899" i="3"/>
  <c r="L899" i="3" s="1"/>
  <c r="K898" i="3"/>
  <c r="L898" i="3" s="1"/>
  <c r="K897" i="3"/>
  <c r="L897" i="3" s="1"/>
  <c r="K896" i="3"/>
  <c r="L896" i="3" s="1"/>
  <c r="K895" i="3"/>
  <c r="L895" i="3" s="1"/>
  <c r="K894" i="3"/>
  <c r="L894" i="3" s="1"/>
  <c r="K893" i="3"/>
  <c r="L893" i="3" s="1"/>
  <c r="K892" i="3"/>
  <c r="L892" i="3" s="1"/>
  <c r="K891" i="3"/>
  <c r="L891" i="3" s="1"/>
  <c r="K890" i="3"/>
  <c r="L890" i="3" s="1"/>
  <c r="K889" i="3"/>
  <c r="L889" i="3" s="1"/>
  <c r="K888" i="3"/>
  <c r="L888" i="3" s="1"/>
  <c r="K887" i="3"/>
  <c r="L887" i="3" s="1"/>
  <c r="K886" i="3"/>
  <c r="L886" i="3" s="1"/>
  <c r="K885" i="3"/>
  <c r="L885" i="3" s="1"/>
  <c r="K884" i="3"/>
  <c r="L884" i="3" s="1"/>
  <c r="K883" i="3"/>
  <c r="L883" i="3" s="1"/>
  <c r="K882" i="3"/>
  <c r="L882" i="3" s="1"/>
  <c r="K881" i="3"/>
  <c r="L881" i="3" s="1"/>
  <c r="K880" i="3"/>
  <c r="L880" i="3" s="1"/>
  <c r="K879" i="3"/>
  <c r="L879" i="3" s="1"/>
  <c r="K878" i="3"/>
  <c r="L878" i="3" s="1"/>
  <c r="K877" i="3"/>
  <c r="L877" i="3" s="1"/>
  <c r="K876" i="3"/>
  <c r="L876" i="3" s="1"/>
  <c r="K875" i="3"/>
  <c r="L875" i="3" s="1"/>
  <c r="K874" i="3"/>
  <c r="L874" i="3" s="1"/>
  <c r="K873" i="3"/>
  <c r="L873" i="3" s="1"/>
  <c r="K872" i="3"/>
  <c r="L872" i="3" s="1"/>
  <c r="K871" i="3"/>
  <c r="L871" i="3" s="1"/>
  <c r="K870" i="3"/>
  <c r="L870" i="3" s="1"/>
  <c r="K869" i="3"/>
  <c r="L869" i="3" s="1"/>
  <c r="K868" i="3"/>
  <c r="L868" i="3" s="1"/>
  <c r="K867" i="3"/>
  <c r="L867" i="3" s="1"/>
  <c r="K866" i="3"/>
  <c r="L866" i="3" s="1"/>
  <c r="K865" i="3"/>
  <c r="L865" i="3" s="1"/>
  <c r="K864" i="3"/>
  <c r="L864" i="3" s="1"/>
  <c r="K863" i="3"/>
  <c r="L863" i="3" s="1"/>
  <c r="K862" i="3"/>
  <c r="L862" i="3" s="1"/>
  <c r="K861" i="3"/>
  <c r="L861" i="3" s="1"/>
  <c r="K860" i="3"/>
  <c r="L860" i="3" s="1"/>
  <c r="K859" i="3"/>
  <c r="L859" i="3" s="1"/>
  <c r="K858" i="3"/>
  <c r="L858" i="3" s="1"/>
  <c r="K857" i="3"/>
  <c r="L857" i="3" s="1"/>
  <c r="K856" i="3"/>
  <c r="L856" i="3" s="1"/>
  <c r="K855" i="3"/>
  <c r="L855" i="3" s="1"/>
  <c r="K854" i="3"/>
  <c r="L854" i="3" s="1"/>
  <c r="K853" i="3"/>
  <c r="L853" i="3" s="1"/>
  <c r="K852" i="3"/>
  <c r="L852" i="3" s="1"/>
  <c r="K851" i="3"/>
  <c r="L851" i="3" s="1"/>
  <c r="K850" i="3"/>
  <c r="L850" i="3" s="1"/>
  <c r="K849" i="3"/>
  <c r="L849" i="3" s="1"/>
  <c r="K848" i="3"/>
  <c r="L848" i="3" s="1"/>
  <c r="K847" i="3"/>
  <c r="L847" i="3" s="1"/>
  <c r="K846" i="3"/>
  <c r="L846" i="3" s="1"/>
  <c r="K845" i="3"/>
  <c r="L845" i="3" s="1"/>
  <c r="K844" i="3"/>
  <c r="L844" i="3" s="1"/>
  <c r="K843" i="3"/>
  <c r="L843" i="3" s="1"/>
  <c r="K842" i="3"/>
  <c r="L842" i="3" s="1"/>
  <c r="K841" i="3"/>
  <c r="L841" i="3" s="1"/>
  <c r="K840" i="3"/>
  <c r="L840" i="3" s="1"/>
  <c r="K839" i="3"/>
  <c r="L839" i="3" s="1"/>
  <c r="K838" i="3"/>
  <c r="L838" i="3" s="1"/>
  <c r="K837" i="3"/>
  <c r="L837" i="3" s="1"/>
  <c r="K836" i="3"/>
  <c r="L836" i="3" s="1"/>
  <c r="K835" i="3"/>
  <c r="L835" i="3" s="1"/>
  <c r="K834" i="3"/>
  <c r="L834" i="3" s="1"/>
  <c r="K833" i="3"/>
  <c r="L833" i="3" s="1"/>
  <c r="K832" i="3"/>
  <c r="L832" i="3" s="1"/>
  <c r="K831" i="3"/>
  <c r="L831" i="3" s="1"/>
  <c r="K830" i="3"/>
  <c r="L830" i="3" s="1"/>
  <c r="K829" i="3"/>
  <c r="L829" i="3" s="1"/>
  <c r="K828" i="3"/>
  <c r="L828" i="3" s="1"/>
  <c r="K827" i="3"/>
  <c r="L827" i="3" s="1"/>
  <c r="K826" i="3"/>
  <c r="L826" i="3" s="1"/>
  <c r="K825" i="3"/>
  <c r="L825" i="3" s="1"/>
  <c r="K824" i="3"/>
  <c r="L824" i="3" s="1"/>
  <c r="K823" i="3"/>
  <c r="L823" i="3" s="1"/>
  <c r="K822" i="3"/>
  <c r="L822" i="3" s="1"/>
  <c r="K821" i="3"/>
  <c r="L821" i="3" s="1"/>
  <c r="K820" i="3"/>
  <c r="L820" i="3" s="1"/>
  <c r="K819" i="3"/>
  <c r="L819" i="3" s="1"/>
  <c r="K818" i="3"/>
  <c r="L818" i="3" s="1"/>
  <c r="K817" i="3"/>
  <c r="L817" i="3" s="1"/>
  <c r="K816" i="3"/>
  <c r="L816" i="3" s="1"/>
  <c r="K815" i="3"/>
  <c r="L815" i="3" s="1"/>
  <c r="K814" i="3"/>
  <c r="L814" i="3" s="1"/>
  <c r="K813" i="3"/>
  <c r="L813" i="3" s="1"/>
  <c r="K812" i="3"/>
  <c r="L812" i="3" s="1"/>
  <c r="K811" i="3"/>
  <c r="L811" i="3" s="1"/>
  <c r="K810" i="3"/>
  <c r="L810" i="3" s="1"/>
  <c r="K809" i="3"/>
  <c r="L809" i="3" s="1"/>
  <c r="K808" i="3"/>
  <c r="L808" i="3" s="1"/>
  <c r="K807" i="3"/>
  <c r="L807" i="3" s="1"/>
  <c r="K806" i="3"/>
  <c r="L806" i="3" s="1"/>
  <c r="K805" i="3"/>
  <c r="L805" i="3" s="1"/>
  <c r="K804" i="3"/>
  <c r="L804" i="3" s="1"/>
  <c r="K803" i="3"/>
  <c r="L803" i="3" s="1"/>
  <c r="K802" i="3"/>
  <c r="L802" i="3" s="1"/>
  <c r="K801" i="3"/>
  <c r="L801" i="3" s="1"/>
  <c r="K800" i="3"/>
  <c r="L800" i="3" s="1"/>
  <c r="K799" i="3"/>
  <c r="L799" i="3" s="1"/>
  <c r="K798" i="3"/>
  <c r="L798" i="3" s="1"/>
  <c r="K797" i="3"/>
  <c r="L797" i="3" s="1"/>
  <c r="K796" i="3"/>
  <c r="L796" i="3" s="1"/>
  <c r="K795" i="3"/>
  <c r="L795" i="3" s="1"/>
  <c r="K794" i="3"/>
  <c r="L794" i="3" s="1"/>
  <c r="K793" i="3"/>
  <c r="L793" i="3" s="1"/>
  <c r="K792" i="3"/>
  <c r="L792" i="3" s="1"/>
  <c r="K791" i="3"/>
  <c r="L791" i="3" s="1"/>
  <c r="K790" i="3"/>
  <c r="L790" i="3" s="1"/>
  <c r="K789" i="3"/>
  <c r="L789" i="3" s="1"/>
  <c r="K788" i="3"/>
  <c r="L788" i="3" s="1"/>
  <c r="K787" i="3"/>
  <c r="L787" i="3" s="1"/>
  <c r="K786" i="3"/>
  <c r="L786" i="3" s="1"/>
  <c r="K785" i="3"/>
  <c r="L785" i="3" s="1"/>
  <c r="K784" i="3"/>
  <c r="L784" i="3" s="1"/>
  <c r="K783" i="3"/>
  <c r="L783" i="3" s="1"/>
  <c r="K782" i="3"/>
  <c r="L782" i="3" s="1"/>
  <c r="K781" i="3"/>
  <c r="L781" i="3" s="1"/>
  <c r="K780" i="3"/>
  <c r="L780" i="3" s="1"/>
  <c r="K779" i="3"/>
  <c r="L779" i="3" s="1"/>
  <c r="K778" i="3"/>
  <c r="L778" i="3" s="1"/>
  <c r="K777" i="3"/>
  <c r="L777" i="3" s="1"/>
  <c r="K776" i="3"/>
  <c r="L776" i="3" s="1"/>
  <c r="K775" i="3"/>
  <c r="L775" i="3" s="1"/>
  <c r="K774" i="3"/>
  <c r="L774" i="3" s="1"/>
  <c r="K773" i="3"/>
  <c r="L773" i="3" s="1"/>
  <c r="K772" i="3"/>
  <c r="L772" i="3" s="1"/>
  <c r="K771" i="3"/>
  <c r="L771" i="3" s="1"/>
  <c r="K770" i="3"/>
  <c r="L770" i="3" s="1"/>
  <c r="K769" i="3"/>
  <c r="L769" i="3" s="1"/>
  <c r="K768" i="3"/>
  <c r="L768" i="3" s="1"/>
  <c r="K767" i="3"/>
  <c r="L767" i="3" s="1"/>
  <c r="K766" i="3"/>
  <c r="L766" i="3" s="1"/>
  <c r="K765" i="3"/>
  <c r="L765" i="3" s="1"/>
  <c r="K764" i="3"/>
  <c r="L764" i="3" s="1"/>
  <c r="K763" i="3"/>
  <c r="L763" i="3" s="1"/>
  <c r="K762" i="3"/>
  <c r="L762" i="3" s="1"/>
  <c r="K761" i="3"/>
  <c r="L761" i="3" s="1"/>
  <c r="K760" i="3"/>
  <c r="L760" i="3" s="1"/>
  <c r="K759" i="3"/>
  <c r="L759" i="3" s="1"/>
  <c r="K758" i="3"/>
  <c r="L758" i="3" s="1"/>
  <c r="K757" i="3"/>
  <c r="L757" i="3" s="1"/>
  <c r="K756" i="3"/>
  <c r="L756" i="3" s="1"/>
  <c r="K755" i="3"/>
  <c r="L755" i="3" s="1"/>
  <c r="K754" i="3"/>
  <c r="L754" i="3" s="1"/>
  <c r="K753" i="3"/>
  <c r="L753" i="3" s="1"/>
  <c r="K752" i="3"/>
  <c r="L752" i="3" s="1"/>
  <c r="K751" i="3"/>
  <c r="L751" i="3" s="1"/>
  <c r="K750" i="3"/>
  <c r="L750" i="3" s="1"/>
  <c r="K749" i="3"/>
  <c r="L749" i="3" s="1"/>
  <c r="K748" i="3"/>
  <c r="L748" i="3" s="1"/>
  <c r="K747" i="3"/>
  <c r="L747" i="3" s="1"/>
  <c r="K746" i="3"/>
  <c r="L746" i="3" s="1"/>
  <c r="L745" i="3"/>
  <c r="K745" i="3"/>
  <c r="K744" i="3"/>
  <c r="L744" i="3" s="1"/>
  <c r="K743" i="3"/>
  <c r="L743" i="3" s="1"/>
  <c r="K742" i="3"/>
  <c r="L742" i="3" s="1"/>
  <c r="K741" i="3"/>
  <c r="L741" i="3" s="1"/>
  <c r="K740" i="3"/>
  <c r="L740" i="3" s="1"/>
  <c r="K739" i="3"/>
  <c r="L739" i="3" s="1"/>
  <c r="K738" i="3"/>
  <c r="L738" i="3" s="1"/>
  <c r="L737" i="3"/>
  <c r="K737" i="3"/>
  <c r="K736" i="3"/>
  <c r="L736" i="3" s="1"/>
  <c r="K735" i="3"/>
  <c r="L735" i="3" s="1"/>
  <c r="K734" i="3"/>
  <c r="L734" i="3" s="1"/>
  <c r="K733" i="3"/>
  <c r="L733" i="3" s="1"/>
  <c r="K732" i="3"/>
  <c r="L732" i="3" s="1"/>
  <c r="K731" i="3"/>
  <c r="L731" i="3" s="1"/>
  <c r="K730" i="3"/>
  <c r="L730" i="3" s="1"/>
  <c r="L729" i="3"/>
  <c r="K729" i="3"/>
  <c r="K728" i="3"/>
  <c r="L728" i="3" s="1"/>
  <c r="K727" i="3"/>
  <c r="L727" i="3" s="1"/>
  <c r="K726" i="3"/>
  <c r="L726" i="3" s="1"/>
  <c r="K725" i="3"/>
  <c r="L725" i="3" s="1"/>
  <c r="K724" i="3"/>
  <c r="L724" i="3" s="1"/>
  <c r="K723" i="3"/>
  <c r="L723" i="3" s="1"/>
  <c r="K722" i="3"/>
  <c r="L722" i="3" s="1"/>
  <c r="L721" i="3"/>
  <c r="K721" i="3"/>
  <c r="K720" i="3"/>
  <c r="L720" i="3" s="1"/>
  <c r="K719" i="3"/>
  <c r="L719" i="3" s="1"/>
  <c r="K718" i="3"/>
  <c r="L718" i="3" s="1"/>
  <c r="K717" i="3"/>
  <c r="L717" i="3" s="1"/>
  <c r="K716" i="3"/>
  <c r="L716" i="3" s="1"/>
  <c r="K715" i="3"/>
  <c r="L715" i="3" s="1"/>
  <c r="K714" i="3"/>
  <c r="L714" i="3" s="1"/>
  <c r="L713" i="3"/>
  <c r="K713" i="3"/>
  <c r="K712" i="3"/>
  <c r="L712" i="3" s="1"/>
  <c r="K711" i="3"/>
  <c r="L711" i="3" s="1"/>
  <c r="K710" i="3"/>
  <c r="L710" i="3" s="1"/>
  <c r="K709" i="3"/>
  <c r="L709" i="3" s="1"/>
  <c r="K708" i="3"/>
  <c r="L708" i="3" s="1"/>
  <c r="K707" i="3"/>
  <c r="L707" i="3" s="1"/>
  <c r="K706" i="3"/>
  <c r="L706" i="3" s="1"/>
  <c r="L705" i="3"/>
  <c r="K705" i="3"/>
  <c r="K704" i="3"/>
  <c r="L704" i="3" s="1"/>
  <c r="K703" i="3"/>
  <c r="L703" i="3" s="1"/>
  <c r="K702" i="3"/>
  <c r="L702" i="3" s="1"/>
  <c r="K701" i="3"/>
  <c r="L701" i="3" s="1"/>
  <c r="K700" i="3"/>
  <c r="L700" i="3" s="1"/>
  <c r="K699" i="3"/>
  <c r="L699" i="3" s="1"/>
  <c r="K698" i="3"/>
  <c r="L698" i="3" s="1"/>
  <c r="L697" i="3"/>
  <c r="K697" i="3"/>
  <c r="K696" i="3"/>
  <c r="L696" i="3" s="1"/>
  <c r="L695" i="3"/>
  <c r="K695" i="3"/>
  <c r="K694" i="3"/>
  <c r="L694" i="3" s="1"/>
  <c r="L693" i="3"/>
  <c r="K693" i="3"/>
  <c r="K692" i="3"/>
  <c r="L692" i="3" s="1"/>
  <c r="L691" i="3"/>
  <c r="K691" i="3"/>
  <c r="K690" i="3"/>
  <c r="L690" i="3" s="1"/>
  <c r="L689" i="3"/>
  <c r="K689" i="3"/>
  <c r="K688" i="3"/>
  <c r="L688" i="3" s="1"/>
  <c r="L687" i="3"/>
  <c r="K687" i="3"/>
  <c r="K686" i="3"/>
  <c r="L686" i="3" s="1"/>
  <c r="L685" i="3"/>
  <c r="K685" i="3"/>
  <c r="K684" i="3"/>
  <c r="L684" i="3" s="1"/>
  <c r="L683" i="3"/>
  <c r="K683" i="3"/>
  <c r="K682" i="3"/>
  <c r="L682" i="3" s="1"/>
  <c r="L681" i="3"/>
  <c r="K681" i="3"/>
  <c r="K680" i="3"/>
  <c r="L680" i="3" s="1"/>
  <c r="L679" i="3"/>
  <c r="K679" i="3"/>
  <c r="K678" i="3"/>
  <c r="L678" i="3" s="1"/>
  <c r="L677" i="3"/>
  <c r="K677" i="3"/>
  <c r="K676" i="3"/>
  <c r="L676" i="3" s="1"/>
  <c r="L675" i="3"/>
  <c r="K675" i="3"/>
  <c r="K674" i="3"/>
  <c r="L674" i="3" s="1"/>
  <c r="L673" i="3"/>
  <c r="K673" i="3"/>
  <c r="K672" i="3"/>
  <c r="L672" i="3" s="1"/>
  <c r="L671" i="3"/>
  <c r="K671" i="3"/>
  <c r="K670" i="3"/>
  <c r="L670" i="3" s="1"/>
  <c r="L669" i="3"/>
  <c r="K669" i="3"/>
  <c r="K668" i="3"/>
  <c r="L668" i="3" s="1"/>
  <c r="L667" i="3"/>
  <c r="K667" i="3"/>
  <c r="K666" i="3"/>
  <c r="L666" i="3" s="1"/>
  <c r="L665" i="3"/>
  <c r="K665" i="3"/>
  <c r="K664" i="3"/>
  <c r="L664" i="3" s="1"/>
  <c r="L663" i="3"/>
  <c r="K663" i="3"/>
  <c r="K662" i="3"/>
  <c r="L662" i="3" s="1"/>
  <c r="L661" i="3"/>
  <c r="K661" i="3"/>
  <c r="K660" i="3"/>
  <c r="L660" i="3" s="1"/>
  <c r="L659" i="3"/>
  <c r="K659" i="3"/>
  <c r="K658" i="3"/>
  <c r="L658" i="3" s="1"/>
  <c r="L657" i="3"/>
  <c r="K657" i="3"/>
  <c r="K656" i="3"/>
  <c r="L656" i="3" s="1"/>
  <c r="L655" i="3"/>
  <c r="K655" i="3"/>
  <c r="K654" i="3"/>
  <c r="L654" i="3" s="1"/>
  <c r="L653" i="3"/>
  <c r="K653" i="3"/>
  <c r="K652" i="3"/>
  <c r="L652" i="3" s="1"/>
  <c r="L651" i="3"/>
  <c r="K651" i="3"/>
  <c r="K650" i="3"/>
  <c r="L650" i="3" s="1"/>
  <c r="L649" i="3"/>
  <c r="K649" i="3"/>
  <c r="K648" i="3"/>
  <c r="L648" i="3" s="1"/>
  <c r="L647" i="3"/>
  <c r="K647" i="3"/>
  <c r="K646" i="3"/>
  <c r="L646" i="3" s="1"/>
  <c r="L645" i="3"/>
  <c r="K645" i="3"/>
  <c r="K644" i="3"/>
  <c r="L644" i="3" s="1"/>
  <c r="L643" i="3"/>
  <c r="K643" i="3"/>
  <c r="K642" i="3"/>
  <c r="L642" i="3" s="1"/>
  <c r="L641" i="3"/>
  <c r="K641" i="3"/>
  <c r="K640" i="3"/>
  <c r="L640" i="3" s="1"/>
  <c r="L639" i="3"/>
  <c r="K639" i="3"/>
  <c r="K638" i="3"/>
  <c r="L638" i="3" s="1"/>
  <c r="L637" i="3"/>
  <c r="K637" i="3"/>
  <c r="K636" i="3"/>
  <c r="L636" i="3" s="1"/>
  <c r="L635" i="3"/>
  <c r="K635" i="3"/>
  <c r="K634" i="3"/>
  <c r="L634" i="3" s="1"/>
  <c r="L633" i="3"/>
  <c r="K633" i="3"/>
  <c r="K632" i="3"/>
  <c r="L632" i="3" s="1"/>
  <c r="L631" i="3"/>
  <c r="K631" i="3"/>
  <c r="K630" i="3"/>
  <c r="L630" i="3" s="1"/>
  <c r="L629" i="3"/>
  <c r="K629" i="3"/>
  <c r="K628" i="3"/>
  <c r="L628" i="3" s="1"/>
  <c r="L627" i="3"/>
  <c r="K627" i="3"/>
  <c r="K626" i="3"/>
  <c r="L626" i="3" s="1"/>
  <c r="L625" i="3"/>
  <c r="K625" i="3"/>
  <c r="K624" i="3"/>
  <c r="L624" i="3" s="1"/>
  <c r="L623" i="3"/>
  <c r="K623" i="3"/>
  <c r="K622" i="3"/>
  <c r="L622" i="3" s="1"/>
  <c r="L621" i="3"/>
  <c r="K621" i="3"/>
  <c r="K620" i="3"/>
  <c r="L620" i="3" s="1"/>
  <c r="L619" i="3"/>
  <c r="K619" i="3"/>
  <c r="K618" i="3"/>
  <c r="L618" i="3" s="1"/>
  <c r="L617" i="3"/>
  <c r="K617" i="3"/>
  <c r="K616" i="3"/>
  <c r="L616" i="3" s="1"/>
  <c r="L615" i="3"/>
  <c r="K615" i="3"/>
  <c r="K614" i="3"/>
  <c r="L614" i="3" s="1"/>
  <c r="L613" i="3"/>
  <c r="K613" i="3"/>
  <c r="K612" i="3"/>
  <c r="L612" i="3" s="1"/>
  <c r="L611" i="3"/>
  <c r="K611" i="3"/>
  <c r="K610" i="3"/>
  <c r="L610" i="3" s="1"/>
  <c r="L609" i="3"/>
  <c r="K609" i="3"/>
  <c r="K608" i="3"/>
  <c r="L608" i="3" s="1"/>
  <c r="L607" i="3"/>
  <c r="K607" i="3"/>
  <c r="K606" i="3"/>
  <c r="L606" i="3" s="1"/>
  <c r="L605" i="3"/>
  <c r="K605" i="3"/>
  <c r="K604" i="3"/>
  <c r="L604" i="3" s="1"/>
  <c r="L603" i="3"/>
  <c r="K603" i="3"/>
  <c r="K602" i="3"/>
  <c r="L602" i="3" s="1"/>
  <c r="L601" i="3"/>
  <c r="K601" i="3"/>
  <c r="K600" i="3"/>
  <c r="L600" i="3" s="1"/>
  <c r="L599" i="3"/>
  <c r="K599" i="3"/>
  <c r="K598" i="3"/>
  <c r="L598" i="3" s="1"/>
  <c r="L597" i="3"/>
  <c r="K597" i="3"/>
  <c r="K596" i="3"/>
  <c r="L596" i="3" s="1"/>
  <c r="L595" i="3"/>
  <c r="K595" i="3"/>
  <c r="K594" i="3"/>
  <c r="L594" i="3" s="1"/>
  <c r="L593" i="3"/>
  <c r="K593" i="3"/>
  <c r="K592" i="3"/>
  <c r="L592" i="3" s="1"/>
  <c r="L591" i="3"/>
  <c r="K591" i="3"/>
  <c r="K590" i="3"/>
  <c r="L590" i="3" s="1"/>
  <c r="L589" i="3"/>
  <c r="K589" i="3"/>
  <c r="K588" i="3"/>
  <c r="L588" i="3" s="1"/>
  <c r="L587" i="3"/>
  <c r="K587" i="3"/>
  <c r="K586" i="3"/>
  <c r="L586" i="3" s="1"/>
  <c r="L585" i="3"/>
  <c r="K585" i="3"/>
  <c r="K584" i="3"/>
  <c r="L584" i="3" s="1"/>
  <c r="L583" i="3"/>
  <c r="K583" i="3"/>
  <c r="K582" i="3"/>
  <c r="L582" i="3" s="1"/>
  <c r="L581" i="3"/>
  <c r="K581" i="3"/>
  <c r="K580" i="3"/>
  <c r="L580" i="3" s="1"/>
  <c r="L579" i="3"/>
  <c r="K579" i="3"/>
  <c r="K578" i="3"/>
  <c r="L578" i="3" s="1"/>
  <c r="L577" i="3"/>
  <c r="K577" i="3"/>
  <c r="K576" i="3"/>
  <c r="L576" i="3" s="1"/>
  <c r="L575" i="3"/>
  <c r="K575" i="3"/>
  <c r="K574" i="3"/>
  <c r="L574" i="3" s="1"/>
  <c r="L573" i="3"/>
  <c r="K573" i="3"/>
  <c r="K572" i="3"/>
  <c r="L572" i="3" s="1"/>
  <c r="L571" i="3"/>
  <c r="K571" i="3"/>
  <c r="K570" i="3"/>
  <c r="L570" i="3" s="1"/>
  <c r="L569" i="3"/>
  <c r="K569" i="3"/>
  <c r="K568" i="3"/>
  <c r="L568" i="3" s="1"/>
  <c r="L567" i="3"/>
  <c r="K567" i="3"/>
  <c r="K566" i="3"/>
  <c r="L566" i="3" s="1"/>
  <c r="L565" i="3"/>
  <c r="K565" i="3"/>
  <c r="K564" i="3"/>
  <c r="L564" i="3" s="1"/>
  <c r="L563" i="3"/>
  <c r="K563" i="3"/>
  <c r="K562" i="3"/>
  <c r="L562" i="3" s="1"/>
  <c r="L561" i="3"/>
  <c r="K561" i="3"/>
  <c r="K560" i="3"/>
  <c r="L560" i="3" s="1"/>
  <c r="L559" i="3"/>
  <c r="K559" i="3"/>
  <c r="K558" i="3"/>
  <c r="L558" i="3" s="1"/>
  <c r="L557" i="3"/>
  <c r="K557" i="3"/>
  <c r="K556" i="3"/>
  <c r="L556" i="3" s="1"/>
  <c r="L555" i="3"/>
  <c r="K555" i="3"/>
  <c r="K554" i="3"/>
  <c r="L554" i="3" s="1"/>
  <c r="L553" i="3"/>
  <c r="K553" i="3"/>
  <c r="K552" i="3"/>
  <c r="L552" i="3" s="1"/>
  <c r="L551" i="3"/>
  <c r="K551" i="3"/>
  <c r="K550" i="3"/>
  <c r="L550" i="3" s="1"/>
  <c r="L549" i="3"/>
  <c r="K549" i="3"/>
  <c r="K548" i="3"/>
  <c r="L548" i="3" s="1"/>
  <c r="L547" i="3"/>
  <c r="K547" i="3"/>
  <c r="K546" i="3"/>
  <c r="L546" i="3" s="1"/>
  <c r="L545" i="3"/>
  <c r="K545" i="3"/>
  <c r="K544" i="3"/>
  <c r="L544" i="3" s="1"/>
  <c r="L543" i="3"/>
  <c r="K543" i="3"/>
  <c r="K542" i="3"/>
  <c r="L542" i="3" s="1"/>
  <c r="L541" i="3"/>
  <c r="K541" i="3"/>
  <c r="K540" i="3"/>
  <c r="L540" i="3" s="1"/>
  <c r="L539" i="3"/>
  <c r="K539" i="3"/>
  <c r="K538" i="3"/>
  <c r="L538" i="3" s="1"/>
  <c r="L537" i="3"/>
  <c r="K537" i="3"/>
  <c r="K536" i="3"/>
  <c r="L536" i="3" s="1"/>
  <c r="L535" i="3"/>
  <c r="K535" i="3"/>
  <c r="K534" i="3"/>
  <c r="L534" i="3" s="1"/>
  <c r="L533" i="3"/>
  <c r="K533" i="3"/>
  <c r="K532" i="3"/>
  <c r="L532" i="3" s="1"/>
  <c r="L531" i="3"/>
  <c r="K531" i="3"/>
  <c r="K530" i="3"/>
  <c r="L530" i="3" s="1"/>
  <c r="L529" i="3"/>
  <c r="K529" i="3"/>
  <c r="K528" i="3"/>
  <c r="L528" i="3" s="1"/>
  <c r="L527" i="3"/>
  <c r="K527" i="3"/>
  <c r="K526" i="3"/>
  <c r="L526" i="3" s="1"/>
  <c r="L525" i="3"/>
  <c r="K525" i="3"/>
  <c r="K524" i="3"/>
  <c r="L524" i="3" s="1"/>
  <c r="L523" i="3"/>
  <c r="K523" i="3"/>
  <c r="K522" i="3"/>
  <c r="L522" i="3" s="1"/>
  <c r="L521" i="3"/>
  <c r="K521" i="3"/>
  <c r="K520" i="3"/>
  <c r="L520" i="3" s="1"/>
  <c r="L519" i="3"/>
  <c r="K519" i="3"/>
  <c r="K518" i="3"/>
  <c r="L518" i="3" s="1"/>
  <c r="L517" i="3"/>
  <c r="K517" i="3"/>
  <c r="K516" i="3"/>
  <c r="L516" i="3" s="1"/>
  <c r="L515" i="3"/>
  <c r="K515" i="3"/>
  <c r="K514" i="3"/>
  <c r="L514" i="3" s="1"/>
  <c r="L513" i="3"/>
  <c r="K513" i="3"/>
  <c r="K512" i="3"/>
  <c r="L512" i="3" s="1"/>
  <c r="L511" i="3"/>
  <c r="K511" i="3"/>
  <c r="K510" i="3"/>
  <c r="L510" i="3" s="1"/>
  <c r="L509" i="3"/>
  <c r="K509" i="3"/>
  <c r="K508" i="3"/>
  <c r="L508" i="3" s="1"/>
  <c r="L507" i="3"/>
  <c r="K507" i="3"/>
  <c r="K506" i="3"/>
  <c r="L506" i="3" s="1"/>
  <c r="L505" i="3"/>
  <c r="K505" i="3"/>
  <c r="K504" i="3"/>
  <c r="L504" i="3" s="1"/>
  <c r="L503" i="3"/>
  <c r="K503" i="3"/>
  <c r="K502" i="3"/>
  <c r="L502" i="3" s="1"/>
  <c r="L501" i="3"/>
  <c r="K501" i="3"/>
  <c r="K500" i="3"/>
  <c r="L500" i="3" s="1"/>
  <c r="L499" i="3"/>
  <c r="K499" i="3"/>
  <c r="K498" i="3"/>
  <c r="L498" i="3" s="1"/>
  <c r="L497" i="3"/>
  <c r="K497" i="3"/>
  <c r="K496" i="3"/>
  <c r="L496" i="3" s="1"/>
  <c r="L495" i="3"/>
  <c r="K495" i="3"/>
  <c r="K494" i="3"/>
  <c r="L494" i="3" s="1"/>
  <c r="L493" i="3"/>
  <c r="K493" i="3"/>
  <c r="K492" i="3"/>
  <c r="L492" i="3" s="1"/>
  <c r="L491" i="3"/>
  <c r="K491" i="3"/>
  <c r="K490" i="3"/>
  <c r="L490" i="3" s="1"/>
  <c r="L489" i="3"/>
  <c r="K489" i="3"/>
  <c r="K488" i="3"/>
  <c r="L488" i="3" s="1"/>
  <c r="L487" i="3"/>
  <c r="K487" i="3"/>
  <c r="K486" i="3"/>
  <c r="L486" i="3" s="1"/>
  <c r="L485" i="3"/>
  <c r="K485" i="3"/>
  <c r="K484" i="3"/>
  <c r="L484" i="3" s="1"/>
  <c r="L483" i="3"/>
  <c r="K483" i="3"/>
  <c r="K482" i="3"/>
  <c r="L482" i="3" s="1"/>
  <c r="L481" i="3"/>
  <c r="K481" i="3"/>
  <c r="K480" i="3"/>
  <c r="L480" i="3" s="1"/>
  <c r="L479" i="3"/>
  <c r="K479" i="3"/>
  <c r="K478" i="3"/>
  <c r="L478" i="3" s="1"/>
  <c r="L477" i="3"/>
  <c r="K477" i="3"/>
  <c r="K476" i="3"/>
  <c r="L476" i="3" s="1"/>
  <c r="K475" i="3"/>
  <c r="L475" i="3" s="1"/>
  <c r="K474" i="3"/>
  <c r="L474" i="3" s="1"/>
  <c r="L473" i="3"/>
  <c r="K473" i="3"/>
  <c r="K472" i="3"/>
  <c r="L472" i="3" s="1"/>
  <c r="K471" i="3"/>
  <c r="L471" i="3" s="1"/>
  <c r="K470" i="3"/>
  <c r="L470" i="3" s="1"/>
  <c r="K469" i="3"/>
  <c r="L469" i="3" s="1"/>
  <c r="K468" i="3"/>
  <c r="L468" i="3" s="1"/>
  <c r="K467" i="3"/>
  <c r="L467" i="3" s="1"/>
  <c r="K466" i="3"/>
  <c r="L466" i="3" s="1"/>
  <c r="L465" i="3"/>
  <c r="K465" i="3"/>
  <c r="K464" i="3"/>
  <c r="L464" i="3" s="1"/>
  <c r="K463" i="3"/>
  <c r="L463" i="3" s="1"/>
  <c r="K462" i="3"/>
  <c r="L462" i="3" s="1"/>
  <c r="K461" i="3"/>
  <c r="L461" i="3" s="1"/>
  <c r="K460" i="3"/>
  <c r="L460" i="3" s="1"/>
  <c r="K459" i="3"/>
  <c r="L459" i="3" s="1"/>
  <c r="K458" i="3"/>
  <c r="L458" i="3" s="1"/>
  <c r="L457" i="3"/>
  <c r="K457" i="3"/>
  <c r="K456" i="3"/>
  <c r="L456" i="3" s="1"/>
  <c r="K455" i="3"/>
  <c r="L455" i="3" s="1"/>
  <c r="K454" i="3"/>
  <c r="L454" i="3" s="1"/>
  <c r="K453" i="3"/>
  <c r="L453" i="3" s="1"/>
  <c r="K452" i="3"/>
  <c r="L452" i="3" s="1"/>
  <c r="K451" i="3"/>
  <c r="L451" i="3" s="1"/>
  <c r="K450" i="3"/>
  <c r="L450" i="3" s="1"/>
  <c r="L449" i="3"/>
  <c r="K449" i="3"/>
  <c r="K448" i="3"/>
  <c r="L448" i="3" s="1"/>
  <c r="K447" i="3"/>
  <c r="L447" i="3" s="1"/>
  <c r="K446" i="3"/>
  <c r="L446" i="3" s="1"/>
  <c r="K445" i="3"/>
  <c r="L445" i="3" s="1"/>
  <c r="K444" i="3"/>
  <c r="L444" i="3" s="1"/>
  <c r="K443" i="3"/>
  <c r="L443" i="3" s="1"/>
  <c r="K442" i="3"/>
  <c r="L442" i="3" s="1"/>
  <c r="L441" i="3"/>
  <c r="K441" i="3"/>
  <c r="K440" i="3"/>
  <c r="L440" i="3" s="1"/>
  <c r="K439" i="3"/>
  <c r="L439" i="3" s="1"/>
  <c r="K438" i="3"/>
  <c r="L438" i="3" s="1"/>
  <c r="K437" i="3"/>
  <c r="L437" i="3" s="1"/>
  <c r="K436" i="3"/>
  <c r="L436" i="3" s="1"/>
  <c r="K435" i="3"/>
  <c r="L435" i="3" s="1"/>
  <c r="K434" i="3"/>
  <c r="L434" i="3" s="1"/>
  <c r="L433" i="3"/>
  <c r="K433" i="3"/>
  <c r="K432" i="3"/>
  <c r="L432" i="3" s="1"/>
  <c r="K431" i="3"/>
  <c r="L431" i="3" s="1"/>
  <c r="K430" i="3"/>
  <c r="L430" i="3" s="1"/>
  <c r="K429" i="3"/>
  <c r="L429" i="3" s="1"/>
  <c r="K428" i="3"/>
  <c r="L428" i="3" s="1"/>
  <c r="K427" i="3"/>
  <c r="L427" i="3" s="1"/>
  <c r="K426" i="3"/>
  <c r="L426" i="3" s="1"/>
  <c r="L425" i="3"/>
  <c r="K425" i="3"/>
  <c r="K424" i="3"/>
  <c r="L424" i="3" s="1"/>
  <c r="K423" i="3"/>
  <c r="L423" i="3" s="1"/>
  <c r="K422" i="3"/>
  <c r="L422" i="3" s="1"/>
  <c r="K421" i="3"/>
  <c r="L421" i="3" s="1"/>
  <c r="K420" i="3"/>
  <c r="L420" i="3" s="1"/>
  <c r="L419" i="3"/>
  <c r="K419" i="3"/>
  <c r="K418" i="3"/>
  <c r="L418" i="3" s="1"/>
  <c r="L417" i="3"/>
  <c r="K417" i="3"/>
  <c r="K416" i="3"/>
  <c r="L416" i="3" s="1"/>
  <c r="K415" i="3"/>
  <c r="L415" i="3" s="1"/>
  <c r="K414" i="3"/>
  <c r="L414" i="3" s="1"/>
  <c r="K413" i="3"/>
  <c r="L413" i="3" s="1"/>
  <c r="K412" i="3"/>
  <c r="L412" i="3" s="1"/>
  <c r="K411" i="3"/>
  <c r="L411" i="3" s="1"/>
  <c r="K410" i="3"/>
  <c r="L410" i="3" s="1"/>
  <c r="L409" i="3"/>
  <c r="K409" i="3"/>
  <c r="K408" i="3"/>
  <c r="L408" i="3" s="1"/>
  <c r="K407" i="3"/>
  <c r="L407" i="3" s="1"/>
  <c r="K406" i="3"/>
  <c r="L406" i="3" s="1"/>
  <c r="K405" i="3"/>
  <c r="L405" i="3" s="1"/>
  <c r="K404" i="3"/>
  <c r="L404" i="3" s="1"/>
  <c r="K403" i="3"/>
  <c r="L403" i="3" s="1"/>
  <c r="K402" i="3"/>
  <c r="L402" i="3" s="1"/>
  <c r="L401" i="3"/>
  <c r="K401" i="3"/>
  <c r="K400" i="3"/>
  <c r="L400" i="3" s="1"/>
  <c r="K399" i="3"/>
  <c r="L399" i="3" s="1"/>
  <c r="K398" i="3"/>
  <c r="L398" i="3" s="1"/>
  <c r="K397" i="3"/>
  <c r="L397" i="3" s="1"/>
  <c r="K396" i="3"/>
  <c r="L396" i="3" s="1"/>
  <c r="K395" i="3"/>
  <c r="L395" i="3" s="1"/>
  <c r="K394" i="3"/>
  <c r="L394" i="3" s="1"/>
  <c r="L393" i="3"/>
  <c r="K393" i="3"/>
  <c r="K392" i="3"/>
  <c r="L392" i="3" s="1"/>
  <c r="K391" i="3"/>
  <c r="L391" i="3" s="1"/>
  <c r="K390" i="3"/>
  <c r="L390" i="3" s="1"/>
  <c r="K389" i="3"/>
  <c r="L389" i="3" s="1"/>
  <c r="K388" i="3"/>
  <c r="L388" i="3" s="1"/>
  <c r="K387" i="3"/>
  <c r="L387" i="3" s="1"/>
  <c r="K386" i="3"/>
  <c r="L386" i="3" s="1"/>
  <c r="L385" i="3"/>
  <c r="K385" i="3"/>
  <c r="K384" i="3"/>
  <c r="L384" i="3" s="1"/>
  <c r="K383" i="3"/>
  <c r="L383" i="3" s="1"/>
  <c r="K382" i="3"/>
  <c r="L382" i="3" s="1"/>
  <c r="K381" i="3"/>
  <c r="L381" i="3" s="1"/>
  <c r="K380" i="3"/>
  <c r="L380" i="3" s="1"/>
  <c r="K379" i="3"/>
  <c r="L379" i="3" s="1"/>
  <c r="K378" i="3"/>
  <c r="L378" i="3" s="1"/>
  <c r="L377" i="3"/>
  <c r="K377" i="3"/>
  <c r="K376" i="3"/>
  <c r="L376" i="3" s="1"/>
  <c r="K375" i="3"/>
  <c r="L375" i="3" s="1"/>
  <c r="K374" i="3"/>
  <c r="L374" i="3" s="1"/>
  <c r="K373" i="3"/>
  <c r="L373" i="3" s="1"/>
  <c r="K372" i="3"/>
  <c r="L372" i="3" s="1"/>
  <c r="K371" i="3"/>
  <c r="L371" i="3" s="1"/>
  <c r="K370" i="3"/>
  <c r="L370" i="3" s="1"/>
  <c r="K369" i="3"/>
  <c r="L369" i="3" s="1"/>
  <c r="K368" i="3"/>
  <c r="L368" i="3" s="1"/>
  <c r="K367" i="3"/>
  <c r="L367" i="3" s="1"/>
  <c r="K366" i="3"/>
  <c r="L366" i="3" s="1"/>
  <c r="K365" i="3"/>
  <c r="L365" i="3" s="1"/>
  <c r="K364" i="3"/>
  <c r="L364" i="3" s="1"/>
  <c r="K363" i="3"/>
  <c r="L363" i="3" s="1"/>
  <c r="K362" i="3"/>
  <c r="L362" i="3" s="1"/>
  <c r="K361" i="3"/>
  <c r="L361" i="3" s="1"/>
  <c r="K360" i="3"/>
  <c r="L360" i="3" s="1"/>
  <c r="K359" i="3"/>
  <c r="L359" i="3" s="1"/>
  <c r="K358" i="3"/>
  <c r="L358" i="3" s="1"/>
  <c r="K357" i="3"/>
  <c r="L357" i="3" s="1"/>
  <c r="K356" i="3"/>
  <c r="L356" i="3" s="1"/>
  <c r="K355" i="3"/>
  <c r="L355" i="3" s="1"/>
  <c r="K354" i="3"/>
  <c r="L354" i="3" s="1"/>
  <c r="K353" i="3"/>
  <c r="L353" i="3" s="1"/>
  <c r="K352" i="3"/>
  <c r="L352" i="3" s="1"/>
  <c r="K351" i="3"/>
  <c r="L351" i="3" s="1"/>
  <c r="K350" i="3"/>
  <c r="L350" i="3" s="1"/>
  <c r="K349" i="3"/>
  <c r="L349" i="3" s="1"/>
  <c r="K348" i="3"/>
  <c r="L348" i="3" s="1"/>
  <c r="K347" i="3"/>
  <c r="L347" i="3" s="1"/>
  <c r="K346" i="3"/>
  <c r="L346" i="3" s="1"/>
  <c r="K345" i="3"/>
  <c r="L345" i="3" s="1"/>
  <c r="K344" i="3"/>
  <c r="L344" i="3" s="1"/>
  <c r="K343" i="3"/>
  <c r="L343" i="3" s="1"/>
  <c r="K342" i="3"/>
  <c r="L342" i="3" s="1"/>
  <c r="K341" i="3"/>
  <c r="L341" i="3" s="1"/>
  <c r="K340" i="3"/>
  <c r="L340" i="3" s="1"/>
  <c r="K339" i="3"/>
  <c r="L339" i="3" s="1"/>
  <c r="K338" i="3"/>
  <c r="L338" i="3" s="1"/>
  <c r="K337" i="3"/>
  <c r="L337" i="3" s="1"/>
  <c r="K336" i="3"/>
  <c r="L336" i="3" s="1"/>
  <c r="K335" i="3"/>
  <c r="L335" i="3" s="1"/>
  <c r="K334" i="3"/>
  <c r="L334" i="3" s="1"/>
  <c r="K333" i="3"/>
  <c r="L333" i="3" s="1"/>
  <c r="K332" i="3"/>
  <c r="L332" i="3" s="1"/>
  <c r="K331" i="3"/>
  <c r="L331" i="3" s="1"/>
  <c r="K330" i="3"/>
  <c r="L330" i="3" s="1"/>
  <c r="K329" i="3"/>
  <c r="L329" i="3" s="1"/>
  <c r="K328" i="3"/>
  <c r="L328" i="3" s="1"/>
  <c r="K327" i="3"/>
  <c r="L327" i="3" s="1"/>
  <c r="K326" i="3"/>
  <c r="L326" i="3" s="1"/>
  <c r="K325" i="3"/>
  <c r="L325" i="3" s="1"/>
  <c r="K324" i="3"/>
  <c r="L324" i="3" s="1"/>
  <c r="K323" i="3"/>
  <c r="L323" i="3" s="1"/>
  <c r="K322" i="3"/>
  <c r="L322" i="3" s="1"/>
  <c r="K321" i="3"/>
  <c r="L321" i="3" s="1"/>
  <c r="K320" i="3"/>
  <c r="L320" i="3" s="1"/>
  <c r="K319" i="3"/>
  <c r="L319" i="3" s="1"/>
  <c r="K318" i="3"/>
  <c r="L318" i="3" s="1"/>
  <c r="K317" i="3"/>
  <c r="L317" i="3" s="1"/>
  <c r="K316" i="3"/>
  <c r="L316" i="3" s="1"/>
  <c r="K315" i="3"/>
  <c r="L315" i="3" s="1"/>
  <c r="K314" i="3"/>
  <c r="L314" i="3" s="1"/>
  <c r="K313" i="3"/>
  <c r="L313" i="3" s="1"/>
  <c r="K312" i="3"/>
  <c r="L312" i="3" s="1"/>
  <c r="K311" i="3"/>
  <c r="L311" i="3" s="1"/>
  <c r="K310" i="3"/>
  <c r="L310" i="3" s="1"/>
  <c r="K309" i="3"/>
  <c r="L309" i="3" s="1"/>
  <c r="K308" i="3"/>
  <c r="L308" i="3" s="1"/>
  <c r="K307" i="3"/>
  <c r="L307" i="3" s="1"/>
  <c r="K306" i="3"/>
  <c r="L306" i="3" s="1"/>
  <c r="K305" i="3"/>
  <c r="L305" i="3" s="1"/>
  <c r="K304" i="3"/>
  <c r="L304" i="3" s="1"/>
  <c r="K303" i="3"/>
  <c r="L303" i="3" s="1"/>
  <c r="K302" i="3"/>
  <c r="L302" i="3" s="1"/>
  <c r="K301" i="3"/>
  <c r="L301" i="3" s="1"/>
  <c r="K300" i="3"/>
  <c r="L300" i="3" s="1"/>
  <c r="K299" i="3"/>
  <c r="L299" i="3" s="1"/>
  <c r="K298" i="3"/>
  <c r="L298" i="3" s="1"/>
  <c r="K297" i="3"/>
  <c r="L297" i="3" s="1"/>
  <c r="K296" i="3"/>
  <c r="L296" i="3" s="1"/>
  <c r="K295" i="3"/>
  <c r="L295" i="3" s="1"/>
  <c r="K294" i="3"/>
  <c r="L294" i="3" s="1"/>
  <c r="K293" i="3"/>
  <c r="L293" i="3" s="1"/>
  <c r="K292" i="3"/>
  <c r="L292" i="3" s="1"/>
  <c r="K291" i="3"/>
  <c r="L291" i="3" s="1"/>
  <c r="K290" i="3"/>
  <c r="L290" i="3" s="1"/>
  <c r="K289" i="3"/>
  <c r="L289" i="3" s="1"/>
  <c r="K288" i="3"/>
  <c r="L288" i="3" s="1"/>
  <c r="K287" i="3"/>
  <c r="L287" i="3" s="1"/>
  <c r="K286" i="3"/>
  <c r="L286" i="3" s="1"/>
  <c r="K285" i="3"/>
  <c r="L285" i="3" s="1"/>
  <c r="K284" i="3"/>
  <c r="L284" i="3" s="1"/>
  <c r="K283" i="3"/>
  <c r="L283" i="3" s="1"/>
  <c r="K282" i="3"/>
  <c r="L282" i="3" s="1"/>
  <c r="K281" i="3"/>
  <c r="L281" i="3" s="1"/>
  <c r="K280" i="3"/>
  <c r="L280" i="3" s="1"/>
  <c r="K279" i="3"/>
  <c r="L279" i="3" s="1"/>
  <c r="K278" i="3"/>
  <c r="L278" i="3" s="1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L269" i="3" s="1"/>
  <c r="K268" i="3"/>
  <c r="L268" i="3" s="1"/>
  <c r="K267" i="3"/>
  <c r="L267" i="3" s="1"/>
  <c r="K266" i="3"/>
  <c r="L266" i="3" s="1"/>
  <c r="K265" i="3"/>
  <c r="L265" i="3" s="1"/>
  <c r="K264" i="3"/>
  <c r="L264" i="3" s="1"/>
  <c r="K263" i="3"/>
  <c r="L263" i="3" s="1"/>
  <c r="K262" i="3"/>
  <c r="L262" i="3" s="1"/>
  <c r="K261" i="3"/>
  <c r="L261" i="3" s="1"/>
  <c r="K260" i="3"/>
  <c r="L260" i="3" s="1"/>
  <c r="K259" i="3"/>
  <c r="L259" i="3" s="1"/>
  <c r="K258" i="3"/>
  <c r="L258" i="3" s="1"/>
  <c r="K257" i="3"/>
  <c r="L257" i="3" s="1"/>
  <c r="K256" i="3"/>
  <c r="L256" i="3" s="1"/>
  <c r="K255" i="3"/>
  <c r="L255" i="3" s="1"/>
  <c r="K254" i="3"/>
  <c r="L254" i="3" s="1"/>
  <c r="K253" i="3"/>
  <c r="L253" i="3" s="1"/>
  <c r="K252" i="3"/>
  <c r="L252" i="3" s="1"/>
  <c r="K251" i="3"/>
  <c r="L251" i="3" s="1"/>
  <c r="K250" i="3"/>
  <c r="L250" i="3" s="1"/>
  <c r="K249" i="3"/>
  <c r="L249" i="3" s="1"/>
  <c r="K248" i="3"/>
  <c r="L248" i="3" s="1"/>
  <c r="K247" i="3"/>
  <c r="L247" i="3" s="1"/>
  <c r="K246" i="3"/>
  <c r="L246" i="3" s="1"/>
  <c r="K245" i="3"/>
  <c r="L245" i="3" s="1"/>
  <c r="K244" i="3"/>
  <c r="L244" i="3" s="1"/>
  <c r="K243" i="3"/>
  <c r="L243" i="3" s="1"/>
  <c r="K242" i="3"/>
  <c r="L242" i="3" s="1"/>
  <c r="K241" i="3"/>
  <c r="L241" i="3" s="1"/>
  <c r="K240" i="3"/>
  <c r="L240" i="3" s="1"/>
  <c r="K239" i="3"/>
  <c r="L239" i="3" s="1"/>
  <c r="K238" i="3"/>
  <c r="L238" i="3" s="1"/>
  <c r="K237" i="3"/>
  <c r="L237" i="3" s="1"/>
  <c r="K236" i="3"/>
  <c r="L236" i="3" s="1"/>
  <c r="K235" i="3"/>
  <c r="L235" i="3" s="1"/>
  <c r="K234" i="3"/>
  <c r="L234" i="3" s="1"/>
  <c r="K233" i="3"/>
  <c r="L233" i="3" s="1"/>
  <c r="K232" i="3"/>
  <c r="L232" i="3" s="1"/>
  <c r="K231" i="3"/>
  <c r="L231" i="3" s="1"/>
  <c r="K230" i="3"/>
  <c r="L230" i="3" s="1"/>
  <c r="K229" i="3"/>
  <c r="L229" i="3" s="1"/>
  <c r="K228" i="3"/>
  <c r="L228" i="3" s="1"/>
  <c r="K227" i="3"/>
  <c r="L227" i="3" s="1"/>
  <c r="K226" i="3"/>
  <c r="L226" i="3" s="1"/>
  <c r="K225" i="3"/>
  <c r="L225" i="3" s="1"/>
  <c r="K224" i="3"/>
  <c r="L224" i="3" s="1"/>
  <c r="K223" i="3"/>
  <c r="L223" i="3" s="1"/>
  <c r="K222" i="3"/>
  <c r="L222" i="3" s="1"/>
  <c r="K221" i="3"/>
  <c r="L221" i="3" s="1"/>
  <c r="K220" i="3"/>
  <c r="L220" i="3" s="1"/>
  <c r="K219" i="3"/>
  <c r="L219" i="3" s="1"/>
  <c r="K218" i="3"/>
  <c r="L218" i="3" s="1"/>
  <c r="K217" i="3"/>
  <c r="L217" i="3" s="1"/>
  <c r="K216" i="3"/>
  <c r="L216" i="3" s="1"/>
  <c r="K215" i="3"/>
  <c r="L215" i="3" s="1"/>
  <c r="K214" i="3"/>
  <c r="L214" i="3" s="1"/>
  <c r="K213" i="3"/>
  <c r="L213" i="3" s="1"/>
  <c r="K212" i="3"/>
  <c r="L212" i="3" s="1"/>
  <c r="K211" i="3"/>
  <c r="L211" i="3" s="1"/>
  <c r="K210" i="3"/>
  <c r="L210" i="3" s="1"/>
  <c r="K209" i="3"/>
  <c r="L209" i="3" s="1"/>
  <c r="K208" i="3"/>
  <c r="L208" i="3" s="1"/>
  <c r="K207" i="3"/>
  <c r="L207" i="3" s="1"/>
  <c r="K206" i="3"/>
  <c r="L206" i="3" s="1"/>
  <c r="K205" i="3"/>
  <c r="L205" i="3" s="1"/>
  <c r="K204" i="3"/>
  <c r="L204" i="3" s="1"/>
  <c r="K203" i="3"/>
  <c r="L203" i="3" s="1"/>
  <c r="K202" i="3"/>
  <c r="L202" i="3" s="1"/>
  <c r="K201" i="3"/>
  <c r="L201" i="3" s="1"/>
  <c r="K200" i="3"/>
  <c r="L200" i="3" s="1"/>
  <c r="K199" i="3"/>
  <c r="L199" i="3" s="1"/>
  <c r="K198" i="3"/>
  <c r="L198" i="3" s="1"/>
  <c r="K197" i="3"/>
  <c r="L197" i="3" s="1"/>
  <c r="K196" i="3"/>
  <c r="L196" i="3" s="1"/>
  <c r="K195" i="3"/>
  <c r="L195" i="3" s="1"/>
  <c r="K194" i="3"/>
  <c r="L194" i="3" s="1"/>
  <c r="K193" i="3"/>
  <c r="L193" i="3" s="1"/>
  <c r="K192" i="3"/>
  <c r="L192" i="3" s="1"/>
  <c r="K191" i="3"/>
  <c r="L191" i="3" s="1"/>
  <c r="K190" i="3"/>
  <c r="L190" i="3" s="1"/>
  <c r="K189" i="3"/>
  <c r="L189" i="3" s="1"/>
  <c r="K188" i="3"/>
  <c r="L188" i="3" s="1"/>
  <c r="K187" i="3"/>
  <c r="L187" i="3" s="1"/>
  <c r="K186" i="3"/>
  <c r="L186" i="3" s="1"/>
  <c r="K185" i="3"/>
  <c r="L185" i="3" s="1"/>
  <c r="K184" i="3"/>
  <c r="L184" i="3" s="1"/>
  <c r="K183" i="3"/>
  <c r="L183" i="3" s="1"/>
  <c r="K182" i="3"/>
  <c r="L182" i="3" s="1"/>
  <c r="K181" i="3"/>
  <c r="L181" i="3" s="1"/>
  <c r="K180" i="3"/>
  <c r="L180" i="3" s="1"/>
  <c r="K179" i="3"/>
  <c r="L179" i="3" s="1"/>
  <c r="K178" i="3"/>
  <c r="L178" i="3" s="1"/>
  <c r="K177" i="3"/>
  <c r="L177" i="3" s="1"/>
  <c r="K176" i="3"/>
  <c r="L176" i="3" s="1"/>
  <c r="K175" i="3"/>
  <c r="L175" i="3" s="1"/>
  <c r="K174" i="3"/>
  <c r="L174" i="3" s="1"/>
  <c r="K173" i="3"/>
  <c r="L173" i="3" s="1"/>
  <c r="K172" i="3"/>
  <c r="L172" i="3" s="1"/>
  <c r="K171" i="3"/>
  <c r="L171" i="3" s="1"/>
  <c r="K170" i="3"/>
  <c r="L170" i="3" s="1"/>
  <c r="K169" i="3"/>
  <c r="L169" i="3" s="1"/>
  <c r="K168" i="3"/>
  <c r="L168" i="3" s="1"/>
  <c r="K167" i="3"/>
  <c r="L167" i="3" s="1"/>
  <c r="K166" i="3"/>
  <c r="L166" i="3" s="1"/>
  <c r="K165" i="3"/>
  <c r="L165" i="3" s="1"/>
  <c r="K164" i="3"/>
  <c r="L164" i="3" s="1"/>
  <c r="K163" i="3"/>
  <c r="L163" i="3" s="1"/>
  <c r="K162" i="3"/>
  <c r="L162" i="3" s="1"/>
  <c r="K161" i="3"/>
  <c r="L161" i="3" s="1"/>
  <c r="K160" i="3"/>
  <c r="L160" i="3" s="1"/>
  <c r="K159" i="3"/>
  <c r="L159" i="3" s="1"/>
  <c r="K158" i="3"/>
  <c r="L158" i="3" s="1"/>
  <c r="K157" i="3"/>
  <c r="L157" i="3" s="1"/>
  <c r="K156" i="3"/>
  <c r="L156" i="3" s="1"/>
  <c r="K155" i="3"/>
  <c r="L155" i="3" s="1"/>
  <c r="K154" i="3"/>
  <c r="L154" i="3" s="1"/>
  <c r="K153" i="3"/>
  <c r="L153" i="3" s="1"/>
  <c r="K152" i="3"/>
  <c r="L152" i="3" s="1"/>
  <c r="K151" i="3"/>
  <c r="L151" i="3" s="1"/>
  <c r="K150" i="3"/>
  <c r="L150" i="3" s="1"/>
  <c r="K149" i="3"/>
  <c r="L149" i="3" s="1"/>
  <c r="K148" i="3"/>
  <c r="L148" i="3" s="1"/>
  <c r="K147" i="3"/>
  <c r="L147" i="3" s="1"/>
  <c r="K146" i="3"/>
  <c r="L146" i="3" s="1"/>
  <c r="K145" i="3"/>
  <c r="L145" i="3" s="1"/>
  <c r="K144" i="3"/>
  <c r="L144" i="3" s="1"/>
  <c r="K143" i="3"/>
  <c r="L143" i="3" s="1"/>
  <c r="K142" i="3"/>
  <c r="L142" i="3" s="1"/>
  <c r="K141" i="3"/>
  <c r="L141" i="3" s="1"/>
  <c r="K140" i="3"/>
  <c r="L140" i="3" s="1"/>
  <c r="K139" i="3"/>
  <c r="L139" i="3" s="1"/>
  <c r="K138" i="3"/>
  <c r="L138" i="3" s="1"/>
  <c r="K137" i="3"/>
  <c r="L137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1" i="3"/>
  <c r="L121" i="3" s="1"/>
  <c r="K120" i="3"/>
  <c r="L120" i="3" s="1"/>
  <c r="K119" i="3"/>
  <c r="L119" i="3" s="1"/>
  <c r="K118" i="3"/>
  <c r="L118" i="3" s="1"/>
  <c r="K117" i="3"/>
  <c r="L117" i="3" s="1"/>
  <c r="K116" i="3"/>
  <c r="L116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06" i="3"/>
  <c r="L106" i="3" s="1"/>
  <c r="K105" i="3"/>
  <c r="L105" i="3" s="1"/>
  <c r="K104" i="3"/>
  <c r="L104" i="3" s="1"/>
  <c r="K103" i="3"/>
  <c r="L103" i="3" s="1"/>
  <c r="K102" i="3"/>
  <c r="L102" i="3" s="1"/>
  <c r="K101" i="3"/>
  <c r="L101" i="3" s="1"/>
  <c r="K100" i="3"/>
  <c r="L100" i="3" s="1"/>
  <c r="K99" i="3"/>
  <c r="L99" i="3" s="1"/>
  <c r="K98" i="3"/>
  <c r="L98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L88" i="3" s="1"/>
  <c r="K87" i="3"/>
  <c r="L87" i="3" s="1"/>
  <c r="K86" i="3"/>
  <c r="L86" i="3" s="1"/>
  <c r="K85" i="3"/>
  <c r="L85" i="3" s="1"/>
  <c r="K84" i="3"/>
  <c r="L84" i="3" s="1"/>
  <c r="K83" i="3"/>
  <c r="L83" i="3" s="1"/>
  <c r="K82" i="3"/>
  <c r="L82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73" i="3"/>
  <c r="L73" i="3" s="1"/>
  <c r="K72" i="3"/>
  <c r="L72" i="3" s="1"/>
  <c r="K71" i="3"/>
  <c r="L71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56" i="3"/>
  <c r="L56" i="3" s="1"/>
  <c r="K55" i="3"/>
  <c r="L55" i="3" s="1"/>
  <c r="K54" i="3"/>
  <c r="L54" i="3" s="1"/>
  <c r="K53" i="3"/>
  <c r="L53" i="3" s="1"/>
  <c r="K52" i="3"/>
  <c r="L52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L3" i="3"/>
  <c r="K3" i="3"/>
  <c r="L2" i="3"/>
  <c r="K2" i="3"/>
  <c r="A2089" i="3" l="1"/>
  <c r="A2088" i="3"/>
  <c r="A2087" i="3"/>
  <c r="A2086" i="3"/>
  <c r="A2089" i="1"/>
  <c r="A2088" i="1"/>
  <c r="A2087" i="1"/>
  <c r="A2086" i="1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085" i="1" l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3" i="2" l="1"/>
  <c r="B19" i="2"/>
  <c r="B35" i="2"/>
  <c r="B51" i="2"/>
  <c r="B67" i="2"/>
  <c r="B83" i="2"/>
  <c r="B99" i="2"/>
  <c r="B115" i="2"/>
  <c r="B131" i="2"/>
  <c r="B147" i="2"/>
  <c r="B163" i="2"/>
  <c r="B179" i="2"/>
  <c r="B195" i="2"/>
  <c r="B211" i="2"/>
  <c r="B227" i="2"/>
  <c r="B243" i="2"/>
  <c r="B259" i="2"/>
  <c r="B275" i="2"/>
  <c r="B291" i="2"/>
  <c r="B307" i="2"/>
  <c r="B323" i="2"/>
  <c r="B12" i="2"/>
  <c r="B28" i="2"/>
  <c r="B44" i="2"/>
  <c r="B60" i="2"/>
  <c r="B76" i="2"/>
  <c r="B92" i="2"/>
  <c r="B108" i="2"/>
  <c r="B124" i="2"/>
  <c r="B140" i="2"/>
  <c r="B156" i="2"/>
  <c r="B172" i="2"/>
  <c r="B188" i="2"/>
  <c r="B204" i="2"/>
  <c r="B220" i="2"/>
  <c r="B236" i="2"/>
  <c r="B252" i="2"/>
  <c r="B268" i="2"/>
  <c r="B284" i="2"/>
  <c r="B300" i="2"/>
  <c r="B316" i="2"/>
  <c r="B5" i="2"/>
  <c r="B21" i="2"/>
  <c r="B37" i="2"/>
  <c r="B53" i="2"/>
  <c r="B69" i="2"/>
  <c r="B85" i="2"/>
  <c r="B101" i="2"/>
  <c r="B117" i="2"/>
  <c r="B133" i="2"/>
  <c r="B149" i="2"/>
  <c r="B165" i="2"/>
  <c r="B181" i="2"/>
  <c r="B197" i="2"/>
  <c r="B213" i="2"/>
  <c r="B229" i="2"/>
  <c r="B245" i="2"/>
  <c r="B261" i="2"/>
  <c r="B277" i="2"/>
  <c r="B293" i="2"/>
  <c r="B309" i="2"/>
  <c r="B325" i="2"/>
  <c r="B10" i="2"/>
  <c r="B26" i="2"/>
  <c r="B42" i="2"/>
  <c r="B58" i="2"/>
  <c r="B74" i="2"/>
  <c r="B90" i="2"/>
  <c r="B106" i="2"/>
  <c r="B122" i="2"/>
  <c r="B138" i="2"/>
  <c r="B154" i="2"/>
  <c r="B170" i="2"/>
  <c r="B186" i="2"/>
  <c r="B202" i="2"/>
  <c r="B218" i="2"/>
  <c r="B234" i="2"/>
  <c r="B250" i="2"/>
  <c r="B266" i="2"/>
  <c r="B282" i="2"/>
  <c r="B298" i="2"/>
  <c r="B314" i="2"/>
  <c r="B330" i="2"/>
  <c r="B7" i="2"/>
  <c r="B23" i="2"/>
  <c r="B39" i="2"/>
  <c r="B55" i="2"/>
  <c r="B71" i="2"/>
  <c r="B87" i="2"/>
  <c r="B103" i="2"/>
  <c r="B119" i="2"/>
  <c r="B135" i="2"/>
  <c r="B151" i="2"/>
  <c r="B167" i="2"/>
  <c r="B183" i="2"/>
  <c r="B199" i="2"/>
  <c r="B215" i="2"/>
  <c r="B231" i="2"/>
  <c r="B247" i="2"/>
  <c r="B263" i="2"/>
  <c r="B279" i="2"/>
  <c r="B295" i="2"/>
  <c r="B311" i="2"/>
  <c r="B327" i="2"/>
  <c r="B16" i="2"/>
  <c r="B32" i="2"/>
  <c r="B48" i="2"/>
  <c r="B64" i="2"/>
  <c r="B80" i="2"/>
  <c r="B96" i="2"/>
  <c r="B112" i="2"/>
  <c r="B128" i="2"/>
  <c r="B144" i="2"/>
  <c r="B160" i="2"/>
  <c r="B176" i="2"/>
  <c r="B192" i="2"/>
  <c r="B208" i="2"/>
  <c r="B224" i="2"/>
  <c r="B240" i="2"/>
  <c r="B256" i="2"/>
  <c r="B272" i="2"/>
  <c r="B288" i="2"/>
  <c r="B304" i="2"/>
  <c r="B320" i="2"/>
  <c r="B9" i="2"/>
  <c r="B25" i="2"/>
  <c r="B41" i="2"/>
  <c r="B57" i="2"/>
  <c r="B73" i="2"/>
  <c r="B89" i="2"/>
  <c r="B105" i="2"/>
  <c r="B121" i="2"/>
  <c r="B137" i="2"/>
  <c r="B153" i="2"/>
  <c r="B169" i="2"/>
  <c r="B185" i="2"/>
  <c r="B201" i="2"/>
  <c r="B217" i="2"/>
  <c r="B233" i="2"/>
  <c r="B249" i="2"/>
  <c r="B265" i="2"/>
  <c r="B281" i="2"/>
  <c r="B297" i="2"/>
  <c r="B313" i="2"/>
  <c r="B329" i="2"/>
  <c r="B14" i="2"/>
  <c r="B30" i="2"/>
  <c r="B46" i="2"/>
  <c r="B62" i="2"/>
  <c r="B78" i="2"/>
  <c r="B94" i="2"/>
  <c r="B110" i="2"/>
  <c r="B126" i="2"/>
  <c r="B142" i="2"/>
  <c r="B158" i="2"/>
  <c r="B174" i="2"/>
  <c r="B190" i="2"/>
  <c r="B206" i="2"/>
  <c r="B222" i="2"/>
  <c r="B238" i="2"/>
  <c r="B254" i="2"/>
  <c r="B270" i="2"/>
  <c r="B286" i="2"/>
  <c r="B302" i="2"/>
  <c r="B318" i="2"/>
  <c r="B11" i="2"/>
  <c r="B27" i="2"/>
  <c r="B43" i="2"/>
  <c r="B59" i="2"/>
  <c r="B75" i="2"/>
  <c r="B91" i="2"/>
  <c r="B107" i="2"/>
  <c r="B123" i="2"/>
  <c r="B139" i="2"/>
  <c r="B155" i="2"/>
  <c r="B171" i="2"/>
  <c r="B187" i="2"/>
  <c r="B203" i="2"/>
  <c r="B219" i="2"/>
  <c r="B235" i="2"/>
  <c r="B251" i="2"/>
  <c r="B267" i="2"/>
  <c r="B283" i="2"/>
  <c r="B299" i="2"/>
  <c r="B315" i="2"/>
  <c r="B4" i="2"/>
  <c r="B20" i="2"/>
  <c r="B36" i="2"/>
  <c r="B52" i="2"/>
  <c r="B68" i="2"/>
  <c r="B84" i="2"/>
  <c r="B100" i="2"/>
  <c r="B116" i="2"/>
  <c r="B132" i="2"/>
  <c r="B148" i="2"/>
  <c r="B164" i="2"/>
  <c r="B180" i="2"/>
  <c r="B196" i="2"/>
  <c r="B212" i="2"/>
  <c r="B228" i="2"/>
  <c r="B244" i="2"/>
  <c r="B260" i="2"/>
  <c r="B276" i="2"/>
  <c r="B292" i="2"/>
  <c r="B308" i="2"/>
  <c r="B324" i="2"/>
  <c r="B13" i="2"/>
  <c r="B29" i="2"/>
  <c r="B45" i="2"/>
  <c r="B61" i="2"/>
  <c r="B77" i="2"/>
  <c r="B93" i="2"/>
  <c r="B109" i="2"/>
  <c r="B125" i="2"/>
  <c r="B141" i="2"/>
  <c r="B157" i="2"/>
  <c r="B173" i="2"/>
  <c r="B189" i="2"/>
  <c r="B205" i="2"/>
  <c r="B221" i="2"/>
  <c r="B237" i="2"/>
  <c r="B253" i="2"/>
  <c r="B269" i="2"/>
  <c r="B285" i="2"/>
  <c r="B301" i="2"/>
  <c r="B317" i="2"/>
  <c r="B2" i="2"/>
  <c r="B18" i="2"/>
  <c r="B34" i="2"/>
  <c r="B50" i="2"/>
  <c r="B66" i="2"/>
  <c r="B82" i="2"/>
  <c r="B98" i="2"/>
  <c r="B114" i="2"/>
  <c r="B130" i="2"/>
  <c r="B146" i="2"/>
  <c r="B162" i="2"/>
  <c r="B178" i="2"/>
  <c r="B194" i="2"/>
  <c r="B210" i="2"/>
  <c r="B226" i="2"/>
  <c r="B242" i="2"/>
  <c r="B258" i="2"/>
  <c r="B274" i="2"/>
  <c r="B290" i="2"/>
  <c r="B306" i="2"/>
  <c r="B322" i="2"/>
  <c r="B15" i="2"/>
  <c r="B31" i="2"/>
  <c r="B47" i="2"/>
  <c r="B63" i="2"/>
  <c r="B127" i="2"/>
  <c r="B191" i="2"/>
  <c r="B255" i="2"/>
  <c r="B319" i="2"/>
  <c r="B56" i="2"/>
  <c r="B120" i="2"/>
  <c r="B184" i="2"/>
  <c r="B248" i="2"/>
  <c r="B312" i="2"/>
  <c r="B49" i="2"/>
  <c r="B113" i="2"/>
  <c r="B177" i="2"/>
  <c r="B241" i="2"/>
  <c r="B305" i="2"/>
  <c r="B38" i="2"/>
  <c r="B102" i="2"/>
  <c r="B166" i="2"/>
  <c r="B230" i="2"/>
  <c r="B294" i="2"/>
  <c r="B95" i="2"/>
  <c r="B159" i="2"/>
  <c r="B223" i="2"/>
  <c r="B287" i="2"/>
  <c r="B24" i="2"/>
  <c r="B88" i="2"/>
  <c r="B152" i="2"/>
  <c r="B216" i="2"/>
  <c r="B280" i="2"/>
  <c r="B17" i="2"/>
  <c r="B145" i="2"/>
  <c r="B209" i="2"/>
  <c r="B273" i="2"/>
  <c r="B70" i="2"/>
  <c r="B134" i="2"/>
  <c r="B262" i="2"/>
  <c r="B111" i="2"/>
  <c r="B239" i="2"/>
  <c r="B40" i="2"/>
  <c r="B168" i="2"/>
  <c r="B296" i="2"/>
  <c r="B97" i="2"/>
  <c r="B225" i="2"/>
  <c r="B289" i="2"/>
  <c r="B86" i="2"/>
  <c r="B214" i="2"/>
  <c r="B79" i="2"/>
  <c r="B143" i="2"/>
  <c r="B207" i="2"/>
  <c r="B271" i="2"/>
  <c r="B8" i="2"/>
  <c r="B72" i="2"/>
  <c r="B136" i="2"/>
  <c r="B200" i="2"/>
  <c r="B264" i="2"/>
  <c r="B328" i="2"/>
  <c r="B65" i="2"/>
  <c r="B129" i="2"/>
  <c r="B193" i="2"/>
  <c r="B257" i="2"/>
  <c r="B321" i="2"/>
  <c r="B54" i="2"/>
  <c r="B118" i="2"/>
  <c r="B182" i="2"/>
  <c r="B246" i="2"/>
  <c r="B310" i="2"/>
  <c r="B81" i="2"/>
  <c r="B6" i="2"/>
  <c r="B198" i="2"/>
  <c r="B326" i="2"/>
  <c r="B175" i="2"/>
  <c r="B303" i="2"/>
  <c r="B104" i="2"/>
  <c r="B232" i="2"/>
  <c r="B33" i="2"/>
  <c r="B161" i="2"/>
  <c r="B22" i="2"/>
  <c r="B150" i="2"/>
  <c r="B278" i="2"/>
</calcChain>
</file>

<file path=xl/sharedStrings.xml><?xml version="1.0" encoding="utf-8"?>
<sst xmlns="http://schemas.openxmlformats.org/spreadsheetml/2006/main" count="66482" uniqueCount="16472">
  <si>
    <t>kode_barang</t>
  </si>
  <si>
    <t>kode_pending</t>
  </si>
  <si>
    <t>nama_barang</t>
  </si>
  <si>
    <t>panjang</t>
  </si>
  <si>
    <t>lebar</t>
  </si>
  <si>
    <t>tinggi</t>
  </si>
  <si>
    <t>hasil_dimensi</t>
  </si>
  <si>
    <t>exp_date</t>
  </si>
  <si>
    <t>keterangan</t>
  </si>
  <si>
    <t>id</t>
  </si>
  <si>
    <t>stok_box</t>
  </si>
  <si>
    <t>stok_pcs</t>
  </si>
  <si>
    <t>qty</t>
  </si>
  <si>
    <t>Jenis</t>
  </si>
  <si>
    <t>Abacell 18 EC 10 X 1 ltr</t>
  </si>
  <si>
    <t>Gdg. Ttp Sales</t>
  </si>
  <si>
    <t>Obat</t>
  </si>
  <si>
    <t>Abacell 18 EC 40 X 250 ml</t>
  </si>
  <si>
    <t>Gdg. Induk</t>
  </si>
  <si>
    <t>Abacell 18 EC 50 X 100 ml</t>
  </si>
  <si>
    <t>Abado 50 WP 20 X 20 X 10 gr</t>
  </si>
  <si>
    <t>ADV349A006</t>
  </si>
  <si>
    <t>Abado 50 WP 20 X 6 X 40 gr</t>
  </si>
  <si>
    <t>ADV108V010</t>
  </si>
  <si>
    <t>Abenz 22 EC 100 X 100 ml</t>
  </si>
  <si>
    <t>ADV1551025</t>
  </si>
  <si>
    <t>ADV265V040</t>
  </si>
  <si>
    <t>ADV0710180723</t>
  </si>
  <si>
    <t>Abenz 22 EC 40 X 250 ml</t>
  </si>
  <si>
    <t>ADV117V049</t>
  </si>
  <si>
    <t>ADV261V050</t>
  </si>
  <si>
    <t>Abojo 60 WP 10 X 20 X 50 gr</t>
  </si>
  <si>
    <t>ADV1200190124</t>
  </si>
  <si>
    <t>Abojo 60 WP 100 X 100 gr</t>
  </si>
  <si>
    <t>ADV0840270823</t>
  </si>
  <si>
    <t>Acapela System 280 SC 50 X 100 ml</t>
  </si>
  <si>
    <t>C668N23003</t>
  </si>
  <si>
    <t>Accora 100 EC 15 X 1 ltr (Sample)</t>
  </si>
  <si>
    <t>Sample</t>
  </si>
  <si>
    <t>Accora 100 EC 20 X 500 ml</t>
  </si>
  <si>
    <t>Accu Kayaba Kering 12A - 12 Volt</t>
  </si>
  <si>
    <t>Sparepart</t>
  </si>
  <si>
    <t>Accu Sprayer Elektrik 5L 12V 1.3A</t>
  </si>
  <si>
    <t>Sarana Promosi</t>
  </si>
  <si>
    <t>Ace One 75 SP 25 X 400 gr</t>
  </si>
  <si>
    <t>Ace One 75 SP 50 X 100 gr</t>
  </si>
  <si>
    <t>Achlor 4/36 WP 60 X 100 gr</t>
  </si>
  <si>
    <t>ADV095A001</t>
  </si>
  <si>
    <t>obat</t>
  </si>
  <si>
    <t>ACL 6 865 SL 25 X 400 ml</t>
  </si>
  <si>
    <t>ACL 6 865 SL 50 X 200 ml</t>
  </si>
  <si>
    <t>Acrobat WP 20 X 6 X 40 gr</t>
  </si>
  <si>
    <t>2405Q01003</t>
  </si>
  <si>
    <t>2405Q02001</t>
  </si>
  <si>
    <t>Adrift 125 EC 40 X 250 ml</t>
  </si>
  <si>
    <t>Adrift 125 EC 50 X 100 ml</t>
  </si>
  <si>
    <t>Afonil 50 SC 100 X 100 ml</t>
  </si>
  <si>
    <t>Afonil 50 SC 100 X 50 ml</t>
  </si>
  <si>
    <t>ADV074A001</t>
  </si>
  <si>
    <t>Afonil 50 SC 20 X 500 ml</t>
  </si>
  <si>
    <t>Afonil 50 SC 40 X 250 ml</t>
  </si>
  <si>
    <t>Agapro 214/66 SL 40 X 200 ml</t>
  </si>
  <si>
    <t>7733W3001</t>
  </si>
  <si>
    <t>Agapro 214/66 SL 50 X 80 ml</t>
  </si>
  <si>
    <t>78473W3001</t>
  </si>
  <si>
    <t>Agil 100 EC 100 X 100 ml</t>
  </si>
  <si>
    <t>Agil 100 EC 40 X 250 ml</t>
  </si>
  <si>
    <t>Agridex 715 EC 12 X 1 ltr</t>
  </si>
  <si>
    <t>PI41003310</t>
  </si>
  <si>
    <t>PI41003524</t>
  </si>
  <si>
    <t>PI43004064</t>
  </si>
  <si>
    <t>Agrimec 18 EC 40 X 250 ml</t>
  </si>
  <si>
    <t>JAK4B1132X</t>
  </si>
  <si>
    <t>JAK3J1041X</t>
  </si>
  <si>
    <t>JAK4B1122X</t>
  </si>
  <si>
    <t>Agristik 400 L 12 X 1 ltr</t>
  </si>
  <si>
    <t>PI43003850</t>
  </si>
  <si>
    <t>PI42002981</t>
  </si>
  <si>
    <t>Agrogib 40 SL 30 X 15 X 35 ml</t>
  </si>
  <si>
    <t>24GAT0311</t>
  </si>
  <si>
    <t>Agus 500 SC 100 X 100 ml</t>
  </si>
  <si>
    <t>ADV030E046</t>
  </si>
  <si>
    <t>ADV088E047</t>
  </si>
  <si>
    <t>Agus 500 SC 40 X 250 ml</t>
  </si>
  <si>
    <t>ADV026E051</t>
  </si>
  <si>
    <t>ADV089E052</t>
  </si>
  <si>
    <t>Ajin 70 WP 20 X 20 X 25 gr</t>
  </si>
  <si>
    <t>ADVA0015</t>
  </si>
  <si>
    <t>Akalis 550 SC 10 X 1 ltr</t>
  </si>
  <si>
    <t>ADV078A01</t>
  </si>
  <si>
    <t>ADV077A005</t>
  </si>
  <si>
    <t>ADV08600909</t>
  </si>
  <si>
    <t>Akalis 550 SC 20 X 500 ml</t>
  </si>
  <si>
    <t>ADV3451013</t>
  </si>
  <si>
    <t>ADV1100141223</t>
  </si>
  <si>
    <t>Akalis 550 SC 40 X 250 ml</t>
  </si>
  <si>
    <t>ADV075A007</t>
  </si>
  <si>
    <t>Akrostar 40 WP 100 X 100 gr</t>
  </si>
  <si>
    <t>Akrostar 40 WP 60 X 40 gr</t>
  </si>
  <si>
    <t>Alat Kocor Pupuk Cair Jitu 20 Ltr</t>
  </si>
  <si>
    <t>Gdg. Rusak</t>
  </si>
  <si>
    <t>Sarana Pertanian</t>
  </si>
  <si>
    <t>Alat Kocor Pupuk Cair Quda Karisma</t>
  </si>
  <si>
    <t>Alat Kocor Pupuk Padat Quda Karisma</t>
  </si>
  <si>
    <t>Alat Kocor Pupuk Padat Satagro 25 ltr</t>
  </si>
  <si>
    <t>Alat Pengikat Tanaman Yoto</t>
  </si>
  <si>
    <t>Alat Service YT 5L / 7L</t>
  </si>
  <si>
    <t>Alat Tanam Jagung 1 Output Satagro MTB-006 6 X 1 pcs</t>
  </si>
  <si>
    <t>Alat Tanam Roll MTB-008 SS</t>
  </si>
  <si>
    <t>Alat Tanam Roll MTB-010 SS</t>
  </si>
  <si>
    <t>Alfatox 50 EC 20 X 400 ml (AGM)</t>
  </si>
  <si>
    <t>63423W5015</t>
  </si>
  <si>
    <t>63342Y7018</t>
  </si>
  <si>
    <t>Alfatox 50 EC 40 X 200 ml (AGM)</t>
  </si>
  <si>
    <t>63402W9011</t>
  </si>
  <si>
    <t>63483W5014</t>
  </si>
  <si>
    <t>Alfatox 50 EC 50 X 80 ml (AGM)</t>
  </si>
  <si>
    <t>63392Y7016</t>
  </si>
  <si>
    <t>Alika 247 ZC 100 X 50 ml</t>
  </si>
  <si>
    <t>JAK3G2E034</t>
  </si>
  <si>
    <t>JAK2G00289</t>
  </si>
  <si>
    <t>JAK2G00308</t>
  </si>
  <si>
    <t>Alika 247 ZC 40 X 250 ml</t>
  </si>
  <si>
    <t>JAK2G00298</t>
  </si>
  <si>
    <t>JAK2G00299</t>
  </si>
  <si>
    <t>JAK3F00361</t>
  </si>
  <si>
    <t>Alika 247 ZC 50 X 100 ml</t>
  </si>
  <si>
    <t>JAK3F2E027</t>
  </si>
  <si>
    <t>JAK3F0C363</t>
  </si>
  <si>
    <t>Amabas 500 EC 16 X 1 ltr</t>
  </si>
  <si>
    <t>Amabas 500 EC 20 X 400 ml</t>
  </si>
  <si>
    <t>Amazone 80 EC 40 X 200 ml</t>
  </si>
  <si>
    <t>Ambest 100 ME 40 X 250 ml</t>
  </si>
  <si>
    <t>Ambest 100 ME 50 X 100 ml</t>
  </si>
  <si>
    <t>Amco Up 486 SL 20 ltr</t>
  </si>
  <si>
    <t>Amco Up 486 SL 20 X 1 ltr</t>
  </si>
  <si>
    <t>Amco Up 486 SL 4 X 5 ltr</t>
  </si>
  <si>
    <t>Amcoron 80 WP 20 X 1 kg</t>
  </si>
  <si>
    <t>Amegu 200 SL 20 X 1 ltr</t>
  </si>
  <si>
    <t>Amiboost Anti Stress 10 X 1 ltr</t>
  </si>
  <si>
    <t>Amiboost Anti Stress 20 X 250 ml (Sample)</t>
  </si>
  <si>
    <t>Amiboost Anti Stress 20 X 500 ml</t>
  </si>
  <si>
    <t>Amiboost Generative 10 X 1 ltr</t>
  </si>
  <si>
    <t>Amiboost Generative 20 X 250 ml</t>
  </si>
  <si>
    <t>Amiboost Generative 20 X 500 ml</t>
  </si>
  <si>
    <t>Amiboost Vegetative 10 X 1 ltr</t>
  </si>
  <si>
    <t>Amiboost Vegetative 20 X 250 ml</t>
  </si>
  <si>
    <t>Amiboost Vegetative 20 X 500 ml</t>
  </si>
  <si>
    <t>Amichlor 400 EC 100 ml</t>
  </si>
  <si>
    <t>Aminosong 20 X 500 ml (AGM)</t>
  </si>
  <si>
    <t>81252Y6067</t>
  </si>
  <si>
    <t>Pupuk</t>
  </si>
  <si>
    <t>Aminosong Mango 500 ml (AGM) (Sample)</t>
  </si>
  <si>
    <t>81432Y6002</t>
  </si>
  <si>
    <t>Amistartop 325 SC 100 X 50 ml</t>
  </si>
  <si>
    <t>JAK3DS1085</t>
  </si>
  <si>
    <t>JAK3DS1087</t>
  </si>
  <si>
    <t>JAK31S1251</t>
  </si>
  <si>
    <t>Amistartop 325 SC 20 X 250 ml</t>
  </si>
  <si>
    <t>JAK3FS1187</t>
  </si>
  <si>
    <t>JAK3FS1185</t>
  </si>
  <si>
    <t>JAK3IS1257</t>
  </si>
  <si>
    <t>JAK3IS1258</t>
  </si>
  <si>
    <t>Amistartop 325 SC 50 X 100 ml</t>
  </si>
  <si>
    <t>JAK3IS1250</t>
  </si>
  <si>
    <t>JAK3IS1251</t>
  </si>
  <si>
    <t>JAK3IS1254</t>
  </si>
  <si>
    <t>Amolin 300 EC 100 X 100 ml</t>
  </si>
  <si>
    <t>ADV091H012</t>
  </si>
  <si>
    <t>ADV297H015</t>
  </si>
  <si>
    <t>ADV010V017</t>
  </si>
  <si>
    <t>ADV279V019</t>
  </si>
  <si>
    <t>ADV235H014</t>
  </si>
  <si>
    <t>Amolin 300 EC 40 X 250 ml</t>
  </si>
  <si>
    <t>ADV330A021</t>
  </si>
  <si>
    <t>ADV280V035</t>
  </si>
  <si>
    <t>Amotan Gold 325 SC 100 X 100 ml</t>
  </si>
  <si>
    <t>ADV267A005</t>
  </si>
  <si>
    <t>Amotan Gold 40 X 250 ml</t>
  </si>
  <si>
    <t>ADV242H003</t>
  </si>
  <si>
    <t>ADV80A005</t>
  </si>
  <si>
    <t>ADV84A006</t>
  </si>
  <si>
    <t>Ampang 240 SL 20 ltr</t>
  </si>
  <si>
    <t>Ampang 240 SL 20 X 1 ltr</t>
  </si>
  <si>
    <t>Ampang 240 SL 4 X 5 ltr</t>
  </si>
  <si>
    <t>Amuron 70 EC 100 X 100 ml</t>
  </si>
  <si>
    <t>ADV1014GP</t>
  </si>
  <si>
    <t>Amuron 70 EC 40 X 250 ml</t>
  </si>
  <si>
    <t>ADV622012GP</t>
  </si>
  <si>
    <t>Android 72 EC 20 X 200 ml</t>
  </si>
  <si>
    <t>Android 72 EC 20 X 400 ml</t>
  </si>
  <si>
    <t>Android 72 EC 50 X 80 ml</t>
  </si>
  <si>
    <t>Gdg. Expired</t>
  </si>
  <si>
    <t>Aneto 0.5 G 10 X 1 kg (M2U)</t>
  </si>
  <si>
    <t>22103001P1</t>
  </si>
  <si>
    <t>Aneto 50 EC 30 X 500 ml + Neptune 8 gr (M2U)</t>
  </si>
  <si>
    <t>Aneto 50 EC 50 X 100 ml (M2U)</t>
  </si>
  <si>
    <t>Aneto 50 EC 50 X 250 ml + Neptune 8 gr (M2U)</t>
  </si>
  <si>
    <t>Antracol 70 WP 12 X 1 kg</t>
  </si>
  <si>
    <t>PI12003664</t>
  </si>
  <si>
    <t>PI12003665</t>
  </si>
  <si>
    <t>Antracol 70 WP 20 X 500 gr</t>
  </si>
  <si>
    <t>PI24000532</t>
  </si>
  <si>
    <t>PI24000533</t>
  </si>
  <si>
    <t>Antracol 70 WP 40 X 250 gr</t>
  </si>
  <si>
    <t>PI21001648</t>
  </si>
  <si>
    <t>Anvil 50 SC 10 X 1 ltr</t>
  </si>
  <si>
    <t>JAK3H006AX</t>
  </si>
  <si>
    <t>JAK3H002AX</t>
  </si>
  <si>
    <t>Gdg. Ttp Purcha</t>
  </si>
  <si>
    <t>Anvil 50 SC 40 X 250 ml</t>
  </si>
  <si>
    <t>JAK3H007AX</t>
  </si>
  <si>
    <t>JAK3H005AX</t>
  </si>
  <si>
    <t>JAK3H008AX</t>
  </si>
  <si>
    <t>Applaud 10 WP 20 X 5 X 100 gr</t>
  </si>
  <si>
    <t>Apropo 200 SE 100 X 60 ml</t>
  </si>
  <si>
    <t>Apropo 200 SE 40 X 250 ml</t>
  </si>
  <si>
    <t>Arendi 20/10 WP 20 X 20 X 25 gr</t>
  </si>
  <si>
    <t>ADV1240010224</t>
  </si>
  <si>
    <t>ADV0540240323ST</t>
  </si>
  <si>
    <t>Arizona 55 EC 50 X 80 ml</t>
  </si>
  <si>
    <t>10/20/05</t>
  </si>
  <si>
    <t>Arizona 55 EC 80 ml (Sample)</t>
  </si>
  <si>
    <t>Arma 48/4 WP 20 X 500 gr</t>
  </si>
  <si>
    <t>5NA20200700</t>
  </si>
  <si>
    <t>Arma 52 WP 20 X 500 gr (Sample)</t>
  </si>
  <si>
    <t>SNA20200700</t>
  </si>
  <si>
    <t>Armeira 30 WG 10 X 20 X 50 gr</t>
  </si>
  <si>
    <t>Asetop 30 EC 20 X 500 ml</t>
  </si>
  <si>
    <t>AC231I301NE</t>
  </si>
  <si>
    <t>AC252I301NE</t>
  </si>
  <si>
    <t>AC297I301NE</t>
  </si>
  <si>
    <t>Asetop 30 EC 40 X 100 ml</t>
  </si>
  <si>
    <t>AC030I301NE</t>
  </si>
  <si>
    <t>AC298I301NE</t>
  </si>
  <si>
    <t>Asetor 250 EC 40 X 250 ml</t>
  </si>
  <si>
    <t>Asia Top 288 SL 20 ltr</t>
  </si>
  <si>
    <t>Asia Top 288 SL 20 X 1 ltr</t>
  </si>
  <si>
    <t>Asia Top 288 SL 4 X 5 ltr</t>
  </si>
  <si>
    <t>Asia Top 288 SL 40 X 500 ml</t>
  </si>
  <si>
    <t>Asiacol 70 WP 12 X 1 kg</t>
  </si>
  <si>
    <t>Asiacol 70 WP 20 X 250 gr</t>
  </si>
  <si>
    <t>Asiacol 70 WP 20 X 500 gr</t>
  </si>
  <si>
    <t>Aslinya 75 WP 100 X 100 gr</t>
  </si>
  <si>
    <t>ADV260820</t>
  </si>
  <si>
    <t>ADV2608200</t>
  </si>
  <si>
    <t>Aslinya 75 WP 20 X 20 X 25 gr</t>
  </si>
  <si>
    <t>ADV210120</t>
  </si>
  <si>
    <t>Associate 200 SC 20 X 250 ml (Sample)</t>
  </si>
  <si>
    <t>Associate 200 SC 20 X 250 ml</t>
  </si>
  <si>
    <t>Associate 200 SC 50 X 80 ml</t>
  </si>
  <si>
    <t>Astana 85 WP 50 X 100 gr</t>
  </si>
  <si>
    <t>Atnimes 200/20/40 OD 10 X 1 ltr</t>
  </si>
  <si>
    <t>ADV0450061222</t>
  </si>
  <si>
    <t>Atnimes 200/20/40 OD 20 X 500 ml</t>
  </si>
  <si>
    <t>Atnimes 200/20/40 OD 40 X 250 ml</t>
  </si>
  <si>
    <t>Atonik 6.0 L 15 X 500 ml</t>
  </si>
  <si>
    <t>Atonik 6.0 L 30 X 250 ml</t>
  </si>
  <si>
    <t>Atonik 6.0 L 50 X 100 ml</t>
  </si>
  <si>
    <t>Aurora 70 WP 20 X 800 gr</t>
  </si>
  <si>
    <t>F162010201</t>
  </si>
  <si>
    <t>Avidor 25 WP 4 X 25 X 100 gr</t>
  </si>
  <si>
    <t>Avor 40 X 100 ml</t>
  </si>
  <si>
    <t>L057E001</t>
  </si>
  <si>
    <t>0872B033000</t>
  </si>
  <si>
    <t>Ayuna 50 EC 40 X 250 ml</t>
  </si>
  <si>
    <t>AYU2004</t>
  </si>
  <si>
    <t>Aziziah 300/10 SC 20 X 500 ml</t>
  </si>
  <si>
    <t>ADV0530210323</t>
  </si>
  <si>
    <t>Aztro 80 WP 10 X 10 X 50 gr</t>
  </si>
  <si>
    <t>Baalpoint Kompas</t>
  </si>
  <si>
    <t>Bactocyn 150 AL 100 X 100 ml</t>
  </si>
  <si>
    <t>Bag Jagung Q235 - 1 kg</t>
  </si>
  <si>
    <t>Lain - lain</t>
  </si>
  <si>
    <t>Bag NPK Novatec 5 Kg</t>
  </si>
  <si>
    <t>Baju Batik</t>
  </si>
  <si>
    <t>Baju Koko</t>
  </si>
  <si>
    <t>Baledo 250/50 SC 40 X 100 ml</t>
  </si>
  <si>
    <t>Baledo 250/50 SC 40 X 250 ml</t>
  </si>
  <si>
    <t>Bamex 18 EC 100 X 50 ml (M2U)</t>
  </si>
  <si>
    <t>Bamex 18 EC 20 X 200 ml (M2U)</t>
  </si>
  <si>
    <t>Bamex 18 EC 50 X 100 ml (M2U)</t>
  </si>
  <si>
    <t>Banner Gamectin</t>
  </si>
  <si>
    <t>Banner Kecil Icemut</t>
  </si>
  <si>
    <t>Basfoliar Aktif 20 X 500 ml</t>
  </si>
  <si>
    <t>Basfoliar Combi Stipp 20 X 500 ml</t>
  </si>
  <si>
    <t>Basfoliar Klep Premium 20 X 500 ml</t>
  </si>
  <si>
    <t>001/030/2018</t>
  </si>
  <si>
    <t>Basgent 55 SC 100 X 50 ml</t>
  </si>
  <si>
    <t>BSN23110450</t>
  </si>
  <si>
    <t>BSN2311150</t>
  </si>
  <si>
    <t>Basgent 55 SC 20 X 500 ml</t>
  </si>
  <si>
    <t>BSN230911500</t>
  </si>
  <si>
    <t>Basgent 55 SC 50 X 100 ml</t>
  </si>
  <si>
    <t>BSN231120100</t>
  </si>
  <si>
    <t>Basgent 55 SC 50 X 250 ml</t>
  </si>
  <si>
    <t>BSN230908250</t>
  </si>
  <si>
    <t>BSN231222250</t>
  </si>
  <si>
    <t>Basrata 150 SL 20 X 1 ltr</t>
  </si>
  <si>
    <t>BA2311081000</t>
  </si>
  <si>
    <t>BA2405131000</t>
  </si>
  <si>
    <t>Basrata 150 SL 20 X 500 ml</t>
  </si>
  <si>
    <t>BA231108500</t>
  </si>
  <si>
    <t>Basrata 150 SL 50 X 250 ml</t>
  </si>
  <si>
    <t>BA231108250</t>
  </si>
  <si>
    <t>Bastnate 200 SL 12 X 1 ltr</t>
  </si>
  <si>
    <t>RA3RFS3618</t>
  </si>
  <si>
    <t>Battery 12V1, 3AH/20HR</t>
  </si>
  <si>
    <t>Baut Bersayap/Kipas</t>
  </si>
  <si>
    <t>Baut Bintang 17 Lt</t>
  </si>
  <si>
    <t>Baut Kupu-Kupu</t>
  </si>
  <si>
    <t>Bawang Bahana 12 X 10 X 20 gr</t>
  </si>
  <si>
    <t>Benih Horti</t>
  </si>
  <si>
    <t>Bayam Belang 35 X 500 gr</t>
  </si>
  <si>
    <t>Bayam Belang 90 X 100 gr</t>
  </si>
  <si>
    <t>Baycarb 500 EC 20 X 500 ml</t>
  </si>
  <si>
    <t>PI42002908</t>
  </si>
  <si>
    <t>PI42002919</t>
  </si>
  <si>
    <t>PI42002909</t>
  </si>
  <si>
    <t>Bayfolan 40 X 250 ml</t>
  </si>
  <si>
    <t>PI43003944</t>
  </si>
  <si>
    <t>Been Toxcer 40 X 250 ml</t>
  </si>
  <si>
    <t>Beensae EM9 Tambak 20 X 1 ltr</t>
  </si>
  <si>
    <t>Beensae EM9 Tani 20 X 1 ltr</t>
  </si>
  <si>
    <t>Beensae KCL Cair 20 X 1 ltr</t>
  </si>
  <si>
    <t>Beensae Khatrol 20 X 20 X 10 ml</t>
  </si>
  <si>
    <t>Beka Biang Kompos 25 X 250 ml</t>
  </si>
  <si>
    <t>BD1810002</t>
  </si>
  <si>
    <t>Bellator 265 SC 20 X 100 ml</t>
  </si>
  <si>
    <t>Belt Yamaha</t>
  </si>
  <si>
    <t>Benang Pe mlg</t>
  </si>
  <si>
    <t>Bencore 250 EC 20 X 200 ml</t>
  </si>
  <si>
    <t>Bencore 250 EC 20 X 400 ml</t>
  </si>
  <si>
    <t>Bentpipe No. 45</t>
  </si>
  <si>
    <t>Bernas 250 EC 50 X 100 ml (M2U)</t>
  </si>
  <si>
    <t>Bernas 250 EC 50 X 250 ml (M2U)</t>
  </si>
  <si>
    <t>Best Up 480 SL 20 X 1 ltr</t>
  </si>
  <si>
    <t>Better One 40 X 200 ml</t>
  </si>
  <si>
    <t>Biggrow 20 WP 6 X 50 X 5 gr</t>
  </si>
  <si>
    <t>Biggrow Forte 6 X 200 X 1 gr</t>
  </si>
  <si>
    <t>Bigxone 135 SL 20 X 1 ltr</t>
  </si>
  <si>
    <t>Biochem Padi/ Tikus 30 X 500 ml</t>
  </si>
  <si>
    <t>Biochem Umum 20 X 1 ltr</t>
  </si>
  <si>
    <t>Biochem Umum 30 X 500 ml</t>
  </si>
  <si>
    <t>Bion M 1/48 WP 20 X 500 gr</t>
  </si>
  <si>
    <t>CBT3EWP034</t>
  </si>
  <si>
    <t>CBT2JWP071</t>
  </si>
  <si>
    <t>CBT2JWP067</t>
  </si>
  <si>
    <t>CBT2JWP072</t>
  </si>
  <si>
    <t>CBT3EWP037</t>
  </si>
  <si>
    <t>CBT3EWP054</t>
  </si>
  <si>
    <t>Bionik 400 EC 20 X 500 ml</t>
  </si>
  <si>
    <t>Bionik 400 EC 50 X 100 ml</t>
  </si>
  <si>
    <t>Bionta BSA 100 ml (S)</t>
  </si>
  <si>
    <t>Bionta45 250 ml (Sample)</t>
  </si>
  <si>
    <t>Biosoft 20 X 1 ltr</t>
  </si>
  <si>
    <t>Biosoft 20 X 500 ml</t>
  </si>
  <si>
    <t>Biosoft 50 X 100 ml</t>
  </si>
  <si>
    <t>Blacer Booster Buah 25.79 L 24 X 500 ml</t>
  </si>
  <si>
    <t>I5TMA2015</t>
  </si>
  <si>
    <t>Blacer Booster Daun 16.85 L 24 X 500 ml</t>
  </si>
  <si>
    <t>Black Rubber Tube</t>
  </si>
  <si>
    <t>Blast 200 SC 20 X 500 ml</t>
  </si>
  <si>
    <t>1901DD1931</t>
  </si>
  <si>
    <t>1902DD1933</t>
  </si>
  <si>
    <t>Blast 200 SC 48 X 100 ml</t>
  </si>
  <si>
    <t>2501BB2522</t>
  </si>
  <si>
    <t>1701DD1751</t>
  </si>
  <si>
    <t>Bluezeb 80 WP 20 X 1 kg</t>
  </si>
  <si>
    <t>IUYMN80105</t>
  </si>
  <si>
    <t>IUYMNZ8097</t>
  </si>
  <si>
    <t>IUYMNZ8099</t>
  </si>
  <si>
    <t>IUYMNZ8095</t>
  </si>
  <si>
    <t>BM Flythrin 100 EC 20 X 500 ml</t>
  </si>
  <si>
    <t>CTYACM1002</t>
  </si>
  <si>
    <t>GTYALC1001</t>
  </si>
  <si>
    <t>JUYALC1001</t>
  </si>
  <si>
    <t>BM Lamda 50 EC 20 X 500 ml</t>
  </si>
  <si>
    <t>BM Promax 75 SP 100 X 100 gr</t>
  </si>
  <si>
    <t>EUYACT7549</t>
  </si>
  <si>
    <t>BM Promax 75 SP 20 X 500 gr</t>
  </si>
  <si>
    <t>BM Zebco 80 WP 20 X 1 kg</t>
  </si>
  <si>
    <t>A00050</t>
  </si>
  <si>
    <t>Body YT 5L</t>
  </si>
  <si>
    <t>Boral 480 SC 48 X 100 ml</t>
  </si>
  <si>
    <t>Borer 800 SL 5 ml (S)</t>
  </si>
  <si>
    <t>Boron 6 X 200 X 1 gr</t>
  </si>
  <si>
    <t>Botol EM-4 Pertanian (LK) Sample</t>
  </si>
  <si>
    <t>Botol EM-4 Tambak (LM) Sample</t>
  </si>
  <si>
    <t>Botol EM-4 Ternak (LC) Sample</t>
  </si>
  <si>
    <t>Botol EM-4 Toilet Sample</t>
  </si>
  <si>
    <t>Braphon 488 SL 50 X 100 ml</t>
  </si>
  <si>
    <t>F040923L</t>
  </si>
  <si>
    <t>Brasso 250 EC 20 X 250 ml</t>
  </si>
  <si>
    <t>Brasso 250 EC 20 X 400 ml</t>
  </si>
  <si>
    <t>Brasso 250 EC 50 X 80 ml</t>
  </si>
  <si>
    <t>Bravoxone 276 SL 20 ltr (Label Kuda)</t>
  </si>
  <si>
    <t>Bravoxone 276 SL 20 X 1 ltr (Label Kuda)</t>
  </si>
  <si>
    <t>Bravoxone 276 SL 4 X 5 ltr (Label Kuda)</t>
  </si>
  <si>
    <t>Brosur Armeira/Vishaka</t>
  </si>
  <si>
    <t>Brosur Associate</t>
  </si>
  <si>
    <t>Brosur Desanto/Piraklo</t>
  </si>
  <si>
    <t>Brosur Elazaro/Castora</t>
  </si>
  <si>
    <t>Brosur RPSM</t>
  </si>
  <si>
    <t>Buku Agenda</t>
  </si>
  <si>
    <t>Buku Agenda FMC</t>
  </si>
  <si>
    <t>Buku Agenda Java Karlos</t>
  </si>
  <si>
    <t>Buku Saku MIA</t>
  </si>
  <si>
    <t>Buku Tulis Cymax</t>
  </si>
  <si>
    <t>Buncis Elastis 30 X 500 gr</t>
  </si>
  <si>
    <t>Buniken 60/10 WP 20 X 100 gr</t>
  </si>
  <si>
    <t>Busi Star Metal</t>
  </si>
  <si>
    <t>Cabe Balebat F1 12 X 15 X 10 gr</t>
  </si>
  <si>
    <t>Cabe Columbus 20 X 12 X 10 gr</t>
  </si>
  <si>
    <t>Cabe Genie 12 X 15 X 10 gr</t>
  </si>
  <si>
    <t>Cabe Genie 2 gr</t>
  </si>
  <si>
    <t>Cabe Horison 97 20 X 12 X 10 gr</t>
  </si>
  <si>
    <t>Cabe Imperial Ijo 20 X 12 X 10 gr</t>
  </si>
  <si>
    <t>Cabe Keriting Suli 5 X 30 X 10 gr</t>
  </si>
  <si>
    <t>Cabe Ori 212 10 X 25 X 10 gr</t>
  </si>
  <si>
    <t>Cabe Rawit Naomi 5 X 30 X 10 gr</t>
  </si>
  <si>
    <t>Cabe Rawit Yukari 5 X 30 X 10 gr</t>
  </si>
  <si>
    <t>Cabe Sigantung 12 X 15 X 10 gr</t>
  </si>
  <si>
    <t>Cabe Sret 12 X 15 X 10 gr</t>
  </si>
  <si>
    <t>Cabe TM 999 10 X 10 gr</t>
  </si>
  <si>
    <t>Cabe Zahra F1 12 X 15 X 10 gr</t>
  </si>
  <si>
    <t>Horti</t>
  </si>
  <si>
    <t>Cabrio 250 EC 24 X 250 ml</t>
  </si>
  <si>
    <t>221ZQ12002</t>
  </si>
  <si>
    <t>S24023802</t>
  </si>
  <si>
    <t>221ZQ11007</t>
  </si>
  <si>
    <t>231ZQ01002</t>
  </si>
  <si>
    <t>S23123801</t>
  </si>
  <si>
    <t>S24033801</t>
  </si>
  <si>
    <t>Cabrio 250 EC 48 X 100 ml</t>
  </si>
  <si>
    <t>231YQ05002</t>
  </si>
  <si>
    <t>S24033701</t>
  </si>
  <si>
    <t>Calaris 550 SC 10 X 1 ltr</t>
  </si>
  <si>
    <t>JAK3H00001</t>
  </si>
  <si>
    <t>JAK3I090CX</t>
  </si>
  <si>
    <t>Calaris 550 SC 20 X 250 ml</t>
  </si>
  <si>
    <t>JAK3I074CX</t>
  </si>
  <si>
    <t>JAK3I075CX</t>
  </si>
  <si>
    <t>SRG3B016CX</t>
  </si>
  <si>
    <t>SRG3B017CX</t>
  </si>
  <si>
    <t>SRG3B019CX</t>
  </si>
  <si>
    <t>SRG3B015CX</t>
  </si>
  <si>
    <t>SRG3B018CX</t>
  </si>
  <si>
    <t>Calaris 550 SC 20 X 500 ml</t>
  </si>
  <si>
    <t>SRG31082CX</t>
  </si>
  <si>
    <t>SRG3B022CX</t>
  </si>
  <si>
    <t>SRG31086CX</t>
  </si>
  <si>
    <t>SRG3B021CX</t>
  </si>
  <si>
    <t>SRG3B023CX</t>
  </si>
  <si>
    <t>SRG31081CX</t>
  </si>
  <si>
    <t>SRG31084CX</t>
  </si>
  <si>
    <t>JAK3I081CX</t>
  </si>
  <si>
    <t>JAK3I078CX</t>
  </si>
  <si>
    <t>JAK3I079CX</t>
  </si>
  <si>
    <t>JAK3I077CX</t>
  </si>
  <si>
    <t>SRG3C039CX</t>
  </si>
  <si>
    <t>SRG31087CX</t>
  </si>
  <si>
    <t>SRG3C041CX</t>
  </si>
  <si>
    <t>JAK3I076CX</t>
  </si>
  <si>
    <t>Calcium 99 20 X 1 kg</t>
  </si>
  <si>
    <t>Calcium D-Diana 20 X 1 kg</t>
  </si>
  <si>
    <t>Calgary 480 SL 20 ltr</t>
  </si>
  <si>
    <t>DCBA1C</t>
  </si>
  <si>
    <t>Calgary 480 SL 20 X 1 ltr</t>
  </si>
  <si>
    <t>Calgary 480 SL 4 X 5 ltr</t>
  </si>
  <si>
    <t>Caliwa 80 WP 20 X 0.9 kg</t>
  </si>
  <si>
    <t>Camix Gold 200 SL 20 ltr</t>
  </si>
  <si>
    <t>L090324</t>
  </si>
  <si>
    <t>Camix Gold 200 SL 20 X 1 ltr</t>
  </si>
  <si>
    <t>Camix Gold 200 SL 4 X 5 ltr</t>
  </si>
  <si>
    <t>L050124</t>
  </si>
  <si>
    <t>Castora 40 SP 10 X 10 X 100 gr</t>
  </si>
  <si>
    <t>Castora 40 SP 24 X 400 gr</t>
  </si>
  <si>
    <t>Castora 40 SP 8 X 50 X 15 gr</t>
  </si>
  <si>
    <t>Cauli Flower Kiran F1 50 X 10 X 10 gr</t>
  </si>
  <si>
    <t>Cauli Flower White Shot 25 X 10 X 10 gr</t>
  </si>
  <si>
    <t>Ceba 125 EC 20 X 200 ml</t>
  </si>
  <si>
    <t>Ceba 125 EC 20 X 400 ml</t>
  </si>
  <si>
    <t>Ceba 125 EC 50 X 100 ml</t>
  </si>
  <si>
    <t>Celana Furadan</t>
  </si>
  <si>
    <t>Celana Prevathon</t>
  </si>
  <si>
    <t>Celquat 276 SL 10 X 1 ltr</t>
  </si>
  <si>
    <t>Celquat 276 SL 4 X 5 ltr</t>
  </si>
  <si>
    <t>Centaxone 135 SL 20 X 1 ltr</t>
  </si>
  <si>
    <t>Champion 77 WP 10 X 1 kg</t>
  </si>
  <si>
    <t>Charger</t>
  </si>
  <si>
    <t>Charger Tangki Excel 16 ltr</t>
  </si>
  <si>
    <t>Chief 480 SL 4 X 5 ltr</t>
  </si>
  <si>
    <t>L210324</t>
  </si>
  <si>
    <t>Cobra 15 EC 20 X 1 ltr</t>
  </si>
  <si>
    <t>GLPI/AZLIS/NSM9/17</t>
  </si>
  <si>
    <t>Cobra 15 EC 20 X 200 ml</t>
  </si>
  <si>
    <t>Cobra 15 EC 20 X 500 ml</t>
  </si>
  <si>
    <t>Cobra 15 EC 50 X 50 ml ( Sampel )</t>
  </si>
  <si>
    <t>Confidor 200 SL 100 X 60 ml</t>
  </si>
  <si>
    <t>PI41003407</t>
  </si>
  <si>
    <t>PI41003448</t>
  </si>
  <si>
    <t>PI42002889</t>
  </si>
  <si>
    <t>Confidor Extra 350 SC 100 X 100 ml</t>
  </si>
  <si>
    <t>PI41003451</t>
  </si>
  <si>
    <t>Contac Nil 75 WP 16 X 500 gr</t>
  </si>
  <si>
    <t>CL273N305NS</t>
  </si>
  <si>
    <t>Corida 50 SC 20 X 500 ml</t>
  </si>
  <si>
    <t>Corida 50 SC 40 X 250 ml</t>
  </si>
  <si>
    <t>Council Complete SC 300 50 X 100 ml</t>
  </si>
  <si>
    <t>PV00001235</t>
  </si>
  <si>
    <t>Council Complete SC 300 50 X 50 ml</t>
  </si>
  <si>
    <t>PV00001199</t>
  </si>
  <si>
    <t>Cowin 550 EC 25 X 400 ml</t>
  </si>
  <si>
    <t>RA22RNS1095</t>
  </si>
  <si>
    <t>Coyote 400/40 SE 20 X 500 ml</t>
  </si>
  <si>
    <t>7AUYSMS4410</t>
  </si>
  <si>
    <t>Coyote 400/40 SE 40 X 250 ml</t>
  </si>
  <si>
    <t>7AUYSMS4406</t>
  </si>
  <si>
    <t>Curacron 500 EC 20 X 500 ml</t>
  </si>
  <si>
    <t>JAK4C15034</t>
  </si>
  <si>
    <t>SRG4D02038</t>
  </si>
  <si>
    <t>Curacron 500 EC 40 X 250 ml</t>
  </si>
  <si>
    <t>JAK4C06030</t>
  </si>
  <si>
    <t>SRG4C22035</t>
  </si>
  <si>
    <t>JAK4C01026</t>
  </si>
  <si>
    <t>Curaterr 3 GR 10 X 2 kg</t>
  </si>
  <si>
    <t>Cymbush 50 EC 40 X 250 ml</t>
  </si>
  <si>
    <t>JAK3A26002</t>
  </si>
  <si>
    <t>JAK3F28072</t>
  </si>
  <si>
    <t>Cymoxan 15 WP 40 X 250 gr</t>
  </si>
  <si>
    <t>21AD0504</t>
  </si>
  <si>
    <t>236AT1001</t>
  </si>
  <si>
    <t>236AT1201</t>
  </si>
  <si>
    <t>Cypertop 200 EW 20 X 1 ltr</t>
  </si>
  <si>
    <t>Damazeb 80 WP Blue 20 X 800 gr</t>
  </si>
  <si>
    <t>Damex 18 EC 10 X 1 ltr</t>
  </si>
  <si>
    <t>Damex 18 EC 30 X 500 ml</t>
  </si>
  <si>
    <t>Danaxone 135 SL 20 ltr</t>
  </si>
  <si>
    <t>DX24010920000</t>
  </si>
  <si>
    <t>Danaxone 135 SL 20 X 1 ltr</t>
  </si>
  <si>
    <t>DX2401091000</t>
  </si>
  <si>
    <t>Danaxone 135 SL 4 X 5 ltr</t>
  </si>
  <si>
    <t>DX2312065000</t>
  </si>
  <si>
    <t>Decis 2.5 EC 100 X 100 ml</t>
  </si>
  <si>
    <t>PI41003545</t>
  </si>
  <si>
    <t>PI41003546</t>
  </si>
  <si>
    <t>Decis 2.5 EC 100 X 50 ml</t>
  </si>
  <si>
    <t>PI42003001</t>
  </si>
  <si>
    <t>PI42003005</t>
  </si>
  <si>
    <t>PI42003004</t>
  </si>
  <si>
    <t>Decis 2.5 EC 20 X 500 ml</t>
  </si>
  <si>
    <t>PI43003987</t>
  </si>
  <si>
    <t>PI43003988</t>
  </si>
  <si>
    <t>Decis 2.5 EC 40 X 250 ml</t>
  </si>
  <si>
    <t>PI42002946</t>
  </si>
  <si>
    <t>PI43004059</t>
  </si>
  <si>
    <t>PI42002947</t>
  </si>
  <si>
    <t>Dekamon 22,43 L 50 X 100 ml</t>
  </si>
  <si>
    <t>BN3356</t>
  </si>
  <si>
    <t>BN3357</t>
  </si>
  <si>
    <t>Dekamon 22.43 L 12 X 1 ltr</t>
  </si>
  <si>
    <t>BN0357</t>
  </si>
  <si>
    <t>Dekapirim 400 SC 20 X 500 ml</t>
  </si>
  <si>
    <t>BN0326</t>
  </si>
  <si>
    <t>BN2336</t>
  </si>
  <si>
    <t>Dekapirim 400 SC 50 X 100 ml</t>
  </si>
  <si>
    <t>BN0429</t>
  </si>
  <si>
    <t>Dektin 30 WG 12 X 500 gr</t>
  </si>
  <si>
    <t>BN5160</t>
  </si>
  <si>
    <t>Dektin 30 WG 20 X 200 gr</t>
  </si>
  <si>
    <t>BN4141</t>
  </si>
  <si>
    <t>BN3324</t>
  </si>
  <si>
    <t>Dektin 30 WG 50 X 50 gr</t>
  </si>
  <si>
    <t>BN3351</t>
  </si>
  <si>
    <t>BN2414</t>
  </si>
  <si>
    <t>Dellacid 525 EC 20 x 1 ltr</t>
  </si>
  <si>
    <t>Dellacid 525 EC 25 X 500 ml</t>
  </si>
  <si>
    <t>Dellacid 525 EC 40 x 200 ml</t>
  </si>
  <si>
    <t>Demoflag Armeira</t>
  </si>
  <si>
    <t>Demoflag Castora</t>
  </si>
  <si>
    <t>Demoflag Desanto</t>
  </si>
  <si>
    <t>Demoflag Elazaro</t>
  </si>
  <si>
    <t>Demoflag Gardara</t>
  </si>
  <si>
    <t>Demoflag Piraklo</t>
  </si>
  <si>
    <t>Demoflag Vishaka</t>
  </si>
  <si>
    <t>Desanto 200 SL 100 X 100 ml</t>
  </si>
  <si>
    <t>1801200518AS</t>
  </si>
  <si>
    <t>Desanto 200 SL 40 X 250 ml</t>
  </si>
  <si>
    <t>NISL2304525</t>
  </si>
  <si>
    <t>Dewa Dewi 15 X 1 ltr</t>
  </si>
  <si>
    <t>Dewa Dewi 20 X 500 ml</t>
  </si>
  <si>
    <t>Dewa Dewi 250 ml</t>
  </si>
  <si>
    <t>MFG10.20</t>
  </si>
  <si>
    <t>Dinamo Basata Electrik</t>
  </si>
  <si>
    <t>Dinamo Sprayer Elektrik 5L 12V 1.3A</t>
  </si>
  <si>
    <t>Dinamo Yama Power 16 ltr</t>
  </si>
  <si>
    <t>Dinamo Yoto Elektrik 16 ltr</t>
  </si>
  <si>
    <t>Dinda Booster 40 X 500 gr</t>
  </si>
  <si>
    <t>Dispenser Berdiri (Bawah)</t>
  </si>
  <si>
    <t>DK Duopro 490 EC 40 X 250 ml</t>
  </si>
  <si>
    <t>0601BB0651</t>
  </si>
  <si>
    <t>DK Fenzo 120 SC 20 X 500 ml</t>
  </si>
  <si>
    <t>A20240219</t>
  </si>
  <si>
    <t>DK Fenzo 120 SC 40 X 250 ml</t>
  </si>
  <si>
    <t>DK Fenzo 120 SC 50 X 100 ml</t>
  </si>
  <si>
    <t>A20240229</t>
  </si>
  <si>
    <t>Done 200 EC 4 X 25 X 100 ml (S)</t>
  </si>
  <si>
    <t>Donkey 40 WP 100 X 100 gr (sampel)</t>
  </si>
  <si>
    <t>Double Nozzle Yamaha</t>
  </si>
  <si>
    <t>Durus 70 WG 20 X 100 gr</t>
  </si>
  <si>
    <t>Durus 70 WG 80 X 25 gr</t>
  </si>
  <si>
    <t>Edo 25 WG 100 X 100 gr</t>
  </si>
  <si>
    <t>Elazaro 17/8 WG 10 X 20 X 10 gr</t>
  </si>
  <si>
    <t>Elazaro 17/8 WG 10 X 20 X 50 gr</t>
  </si>
  <si>
    <t>ICB230425</t>
  </si>
  <si>
    <t>EM-4 Pertanian (LK) 15 X 1 ltr</t>
  </si>
  <si>
    <t>EM-4 Tambak (LM) 15 X 1 ltr</t>
  </si>
  <si>
    <t>EM-4 Ternak (LC) 15 X 1 ltr</t>
  </si>
  <si>
    <t>Emacel 30 EC 10 X 1 ltr</t>
  </si>
  <si>
    <t>Emacel 30 EC 20 X 500 ml</t>
  </si>
  <si>
    <t>Emacel 30 EC 40 X 250 ml</t>
  </si>
  <si>
    <t>Emacel 30 EC 50 X 100 ml</t>
  </si>
  <si>
    <t>Emaplus 50 EC 20 X 1 ltr</t>
  </si>
  <si>
    <t>Emaplus 50 EC 20 X 400 ml</t>
  </si>
  <si>
    <t>Emaplus 50 EC 30 X 200 ml + ergostim</t>
  </si>
  <si>
    <t>Emaplus 50 EC 40 X 200 ml</t>
  </si>
  <si>
    <t>Emaplus 50 EC 50 X 50 ml</t>
  </si>
  <si>
    <t>Emaplus 50 EC 50 X 80 ml</t>
  </si>
  <si>
    <t>Emapro 20/160 OD 20 X 250 ml</t>
  </si>
  <si>
    <t>Ember Regent</t>
  </si>
  <si>
    <t>Emclopir 300/20 EC 20 X 250 ml</t>
  </si>
  <si>
    <t>Emclopir 300/20 EC 50 X 100 ml</t>
  </si>
  <si>
    <t>L32102901P1</t>
  </si>
  <si>
    <t>Empower 1 ltr</t>
  </si>
  <si>
    <t>Ethrel 480 SL 100 X 100 ml</t>
  </si>
  <si>
    <t>PI41003169</t>
  </si>
  <si>
    <t>PI41003197</t>
  </si>
  <si>
    <t>PI41003170</t>
  </si>
  <si>
    <t>Extra One 680 SC 10 X 1 ltr</t>
  </si>
  <si>
    <t>Fan Nozzle</t>
  </si>
  <si>
    <t>Fastick 400 SL 12 X 1 ltr</t>
  </si>
  <si>
    <t>Fastquat 276 SL 20 X 1 ltr</t>
  </si>
  <si>
    <t>Fenprozole 500 EC 48 X 240 ml</t>
  </si>
  <si>
    <t>RA2RNS1160</t>
  </si>
  <si>
    <t>Fenticide 200 EC 20 X 500 ml</t>
  </si>
  <si>
    <t>A5-2103</t>
  </si>
  <si>
    <t>Fentolin 200 EC 20 X 200 ml</t>
  </si>
  <si>
    <t>Fentolin 200 EC 20 X 500 ml</t>
  </si>
  <si>
    <t>Fenval 200 EC 15 X 1 ltr</t>
  </si>
  <si>
    <t>Fenval 200 EC 20 X 250 ml</t>
  </si>
  <si>
    <t>Fenval 200 EC 20 X 500 ml</t>
  </si>
  <si>
    <t>Fenval 200 EC 50 X 100 ml</t>
  </si>
  <si>
    <t>Ferancher 100 EC 40 X 200 ml</t>
  </si>
  <si>
    <t>L250123</t>
  </si>
  <si>
    <t>Fetrilon Combi 1 12 X 40 X 25 gr</t>
  </si>
  <si>
    <t>Filia 525 SE 100 X 50 ml</t>
  </si>
  <si>
    <t>JAK2B127XX</t>
  </si>
  <si>
    <t>JAK2B126XX</t>
  </si>
  <si>
    <t>JAK3B120XX</t>
  </si>
  <si>
    <t>Filia 525 SE 20 X 250 ml</t>
  </si>
  <si>
    <t>JAK3K003FX</t>
  </si>
  <si>
    <t>JAK4E166XX</t>
  </si>
  <si>
    <t>JAK3K004FX</t>
  </si>
  <si>
    <t>JAK4C144XX</t>
  </si>
  <si>
    <t>Flash 40 X 100 ml</t>
  </si>
  <si>
    <t>Folirfos 400 SL 15 X 1 ltr</t>
  </si>
  <si>
    <t>Folirfos 400 SL 20 X 500 ml</t>
  </si>
  <si>
    <t>Folirfos 400 SL 4 X 5 ltr</t>
  </si>
  <si>
    <t>Format 360/120 SL 20 X 1 ltr</t>
  </si>
  <si>
    <t>Forsil 20 X 250 ml</t>
  </si>
  <si>
    <t>Forsil 20 X 500 ml</t>
  </si>
  <si>
    <t>Fortune 250 ml</t>
  </si>
  <si>
    <t>MFG09.20</t>
  </si>
  <si>
    <t>Fungidex 40 WP 50 X 500 gr</t>
  </si>
  <si>
    <t>GA Bunga Buah 20 X 500 ml</t>
  </si>
  <si>
    <t>GA Cabe 20 X 500 ml</t>
  </si>
  <si>
    <t>GA Jagung 20 X 500 ml</t>
  </si>
  <si>
    <t>GA Jagung 20 X 500 ml (Sample)</t>
  </si>
  <si>
    <t>GA Jeruk 20 X 500 ml</t>
  </si>
  <si>
    <t>GA Padi 20 X 500 ml</t>
  </si>
  <si>
    <t>Ga Plus 20TB 35 X 10 X 5 gr</t>
  </si>
  <si>
    <t>I300323</t>
  </si>
  <si>
    <t>GA Recovery 20 X 500 ml</t>
  </si>
  <si>
    <t>GA Sayur Daun 20 X 500 ml</t>
  </si>
  <si>
    <t>Gallery 403 SL 10 X 1 ltr + SG.02 100 gr</t>
  </si>
  <si>
    <t>Gallery 403 SL 30 X 500 ml + SG.02 100 gr (M2U)</t>
  </si>
  <si>
    <t>Gallery 403 SL 50 X 200 ml (M2U)</t>
  </si>
  <si>
    <t>Gamectin 30 EC 100 X 100 ml</t>
  </si>
  <si>
    <t>2021SM1018</t>
  </si>
  <si>
    <t>Gamectin 30 EC 20 X 500 ml</t>
  </si>
  <si>
    <t>2021SM0608</t>
  </si>
  <si>
    <t>2023SM0608</t>
  </si>
  <si>
    <t>Gamectin 30 EC 40 X 250 ml</t>
  </si>
  <si>
    <t>2023SM1015</t>
  </si>
  <si>
    <t>Gandasil B/K 144 X 100 gr</t>
  </si>
  <si>
    <t>BN3341</t>
  </si>
  <si>
    <t>BN0433</t>
  </si>
  <si>
    <t>BN4332</t>
  </si>
  <si>
    <t>BN0423</t>
  </si>
  <si>
    <t>BN0443</t>
  </si>
  <si>
    <t>BN4313</t>
  </si>
  <si>
    <t>BN4343</t>
  </si>
  <si>
    <t>BN4323</t>
  </si>
  <si>
    <t>BN4333</t>
  </si>
  <si>
    <t>Gandasil B/K 24 X 500 gr</t>
  </si>
  <si>
    <t>BN1446</t>
  </si>
  <si>
    <t>BN1427</t>
  </si>
  <si>
    <t>BN1447</t>
  </si>
  <si>
    <t>Gandasil D/H 144 X 100 gr</t>
  </si>
  <si>
    <t>BN4328</t>
  </si>
  <si>
    <t>BN4338</t>
  </si>
  <si>
    <t>BN3337</t>
  </si>
  <si>
    <t>BN4347</t>
  </si>
  <si>
    <t>BN4324</t>
  </si>
  <si>
    <t>BN2316</t>
  </si>
  <si>
    <t>BN4339</t>
  </si>
  <si>
    <t>BN4316</t>
  </si>
  <si>
    <t>BN4336</t>
  </si>
  <si>
    <t>BN4317</t>
  </si>
  <si>
    <t>BN4327</t>
  </si>
  <si>
    <t>BN4319</t>
  </si>
  <si>
    <t>BN1314</t>
  </si>
  <si>
    <t>BN4315</t>
  </si>
  <si>
    <t>BN4325</t>
  </si>
  <si>
    <t>BN4345</t>
  </si>
  <si>
    <t>Gandasil D/H 24 X 500 gr</t>
  </si>
  <si>
    <t>BN0449</t>
  </si>
  <si>
    <t>BN2450</t>
  </si>
  <si>
    <t>BN2440</t>
  </si>
  <si>
    <t>Ganero 250 EC 34 X 250 ml</t>
  </si>
  <si>
    <t>Ganero 250 EC 40 X 100 ml</t>
  </si>
  <si>
    <t>Ganero 250 EC 40 X 250 ml</t>
  </si>
  <si>
    <t>Gardara 10 SP 100 X 100 gr</t>
  </si>
  <si>
    <t>Gelas Agricon</t>
  </si>
  <si>
    <t>Gelas Marshall</t>
  </si>
  <si>
    <t>Gelas Polos HS-9</t>
  </si>
  <si>
    <t>Gelas Wine</t>
  </si>
  <si>
    <t>Gemilang 110 EC 16 X 1 ltr</t>
  </si>
  <si>
    <t>Genitop 138 SL 20 ltr</t>
  </si>
  <si>
    <t>Genitop 138 SL 20 X 1 ltr</t>
  </si>
  <si>
    <t>Genitop 138 SL 4 X 5 ltr</t>
  </si>
  <si>
    <t>GG Akar 10 X 10 X 15 ml (M2U)</t>
  </si>
  <si>
    <t>GG Akar 10 X 10 X 5 ml (M2U)</t>
  </si>
  <si>
    <t>GG Akar 50 X 100 ml (M2U)</t>
  </si>
  <si>
    <t>GG Akar 70 X 15 ml (M2U)</t>
  </si>
  <si>
    <t>GG Akar 80 X 5 ml (M2U)</t>
  </si>
  <si>
    <t>GG Amino 30 X 500 ml (M2U)</t>
  </si>
  <si>
    <t>GG Bunga 10 X 10 X 15 ml (M2U)</t>
  </si>
  <si>
    <t>GG Bunga 50 X 100 ml</t>
  </si>
  <si>
    <t>GG Cuaca 50 X 100 ml (M2U)</t>
  </si>
  <si>
    <t>GG Daun 50 X 100 ml (M2U)</t>
  </si>
  <si>
    <t>Gibas 240 SL 20 ltr</t>
  </si>
  <si>
    <t>Gibas 240 SL 20 X 1 ltr</t>
  </si>
  <si>
    <t>Gibgro 10 SP 25 X 40 X 1 gr</t>
  </si>
  <si>
    <t>Gibgro 20 T 25 X 10 X 5 gr</t>
  </si>
  <si>
    <t>Gibraz 20/125 OD 100 X 80 ml</t>
  </si>
  <si>
    <t>2023SM0910</t>
  </si>
  <si>
    <t>Gibraz 20/125 OD 25 X 400 ml</t>
  </si>
  <si>
    <t>Gibraz 20/125 OD 50 X 200 ml</t>
  </si>
  <si>
    <t>Glifasco 530 SL 20 X 1 ltr</t>
  </si>
  <si>
    <t>L140624</t>
  </si>
  <si>
    <t>Glove 240 EC 20 X 500 ml</t>
  </si>
  <si>
    <t>Glove 240 EC 40 X 250 ml</t>
  </si>
  <si>
    <t>Glove 240 EC 50 X 100 ml</t>
  </si>
  <si>
    <t>Glykill 480 SL 20 X 1 ltr</t>
  </si>
  <si>
    <t>Goal 240 EC 50 X 100 ml</t>
  </si>
  <si>
    <t>Gold Star 250 EC 40 X 250 ml</t>
  </si>
  <si>
    <t>Gold Stick 20 X 1 ltr</t>
  </si>
  <si>
    <t>Gold Stick 30 X 500 ml</t>
  </si>
  <si>
    <t>Golden Star 100/300 SL 20 X 1 ltr</t>
  </si>
  <si>
    <t>Granat 25 EC 80 Ml</t>
  </si>
  <si>
    <t>Grandally 25 WP 25 gr</t>
  </si>
  <si>
    <t>Grandally 25 WP 5 gr</t>
  </si>
  <si>
    <t>Grasso 480 SL 20 ltr</t>
  </si>
  <si>
    <t>Grasso 480 SL 20 X 1 ltr</t>
  </si>
  <si>
    <t>Grasso 480 SL 4 X 5 ltr</t>
  </si>
  <si>
    <t>Greentop 20 X 1 ltr</t>
  </si>
  <si>
    <t>Greentop 6 X 5 ltr</t>
  </si>
  <si>
    <t>Gunting Gland 7" Lady Pruner 05-219 12 X 1 pcs</t>
  </si>
  <si>
    <t>Gunting Gland 8" Bypass Pruner ,05-203 10 X 10 X 1 pcs</t>
  </si>
  <si>
    <t>GW Magicgro G6 12 X 1 ltr</t>
  </si>
  <si>
    <t>P2QJIKL</t>
  </si>
  <si>
    <t>GW Magicgro G6 48 X 248 ml</t>
  </si>
  <si>
    <t>GW Sanilan 12 X 998 ml</t>
  </si>
  <si>
    <t>GW Vit B1+B6 100 X 100 ml</t>
  </si>
  <si>
    <t>GW Vit B1+B6 12 X 1 ltr</t>
  </si>
  <si>
    <t>5MQKM09</t>
  </si>
  <si>
    <t>HAZB07V</t>
  </si>
  <si>
    <t>GW Vit B1+B6 24 X 500 ml</t>
  </si>
  <si>
    <t>22N4HPP</t>
  </si>
  <si>
    <t>VVHHSTE</t>
  </si>
  <si>
    <t>GW Vit B1+B6 50 X 250 ml</t>
  </si>
  <si>
    <t>T8I0Y3A</t>
  </si>
  <si>
    <t>Handstarter Star Metal</t>
  </si>
  <si>
    <t>Handuk BASF</t>
  </si>
  <si>
    <t>Hara Garuda 20 X 1 kg</t>
  </si>
  <si>
    <t>Herole 240 SC 48 X 250 ml</t>
  </si>
  <si>
    <t>RA22RN50935</t>
  </si>
  <si>
    <t>RA2RNS1162</t>
  </si>
  <si>
    <t>Herozeb 80 WP 10 X 1 kg</t>
  </si>
  <si>
    <t>MZ296N301U</t>
  </si>
  <si>
    <t>Hexacar 100 SC 100 X 100 ml</t>
  </si>
  <si>
    <t>Hexacar 100 SC 20 X 1 ltr</t>
  </si>
  <si>
    <t>Hexacar 100 SC 25 X 500 ml</t>
  </si>
  <si>
    <t>Hexacar 100 SC 40 X 250 ml</t>
  </si>
  <si>
    <t>Hexagold 75 WP 25 X 400 gr</t>
  </si>
  <si>
    <t>Hexagold 75 WP 50 X 100 gr</t>
  </si>
  <si>
    <t>Hidrofur 3 G 10 X 2 kg</t>
  </si>
  <si>
    <t>Hijau 250 ml</t>
  </si>
  <si>
    <t>HiPro Series 13-7-10 Powder 250 gr (Sample)</t>
  </si>
  <si>
    <t>HiPro Series 13-7-10 Powder 40 X 250 gr</t>
  </si>
  <si>
    <t>Hokky 30 EC 16 X 1 ltr</t>
  </si>
  <si>
    <t>Hokky 30 EC 20 X 400 ml</t>
  </si>
  <si>
    <t>Hotshot 200 EC 15 X 1 ltr</t>
  </si>
  <si>
    <t>KP029M401NE</t>
  </si>
  <si>
    <t>Hotshot 200 EC 20 X 500 ml</t>
  </si>
  <si>
    <t>KP269N301NE</t>
  </si>
  <si>
    <t>Huang Mi F8 Note 3/16GB</t>
  </si>
  <si>
    <t>Ijokabe 12 X 25 X 20 ml</t>
  </si>
  <si>
    <t>ANT00042</t>
  </si>
  <si>
    <t>Impetus 10-6-25 + MgO + B2O3 50 kg</t>
  </si>
  <si>
    <t>Imuno 20 x 250 ml</t>
  </si>
  <si>
    <t>Indoban 250 EC 20 X 250 ml</t>
  </si>
  <si>
    <t>Infinito 687.5 SC 24 X 250 ml</t>
  </si>
  <si>
    <t>Insure Max 510 FS 100 X 25 ml</t>
  </si>
  <si>
    <t>242LQ04001</t>
  </si>
  <si>
    <t>242LQ03001</t>
  </si>
  <si>
    <t>242LQ02002</t>
  </si>
  <si>
    <t>242LQ03004</t>
  </si>
  <si>
    <t>242LQ02004</t>
  </si>
  <si>
    <t>242LQ03002</t>
  </si>
  <si>
    <t>242LQ02003</t>
  </si>
  <si>
    <t>Inter Spreading 50 X 20 X 5 gr</t>
  </si>
  <si>
    <t>Intergan 550 SC 20 X 500 ml</t>
  </si>
  <si>
    <t>Isi Staples Alat Pengikat Tanaman Yoto 10 X 1 pack</t>
  </si>
  <si>
    <t>Jagung ADV 132 20 X 1 kg</t>
  </si>
  <si>
    <t>LLK1A1013</t>
  </si>
  <si>
    <t>Benih Jagung</t>
  </si>
  <si>
    <t>LLK1A3016</t>
  </si>
  <si>
    <t>LLK1A1020</t>
  </si>
  <si>
    <t>LLK1A1017</t>
  </si>
  <si>
    <t>LLK1A3015</t>
  </si>
  <si>
    <t>LLK1A1019</t>
  </si>
  <si>
    <t>Jagung ADV 777 20 X 1 kg (NL)</t>
  </si>
  <si>
    <t>Jagung Bisi 18 20 X 1 kg</t>
  </si>
  <si>
    <t>3079HBS18</t>
  </si>
  <si>
    <t>3175HBS18</t>
  </si>
  <si>
    <t>Gdg. Belakang3</t>
  </si>
  <si>
    <t>4039HBS18</t>
  </si>
  <si>
    <t>Gdg.Belakang2</t>
  </si>
  <si>
    <t>3163HBS18</t>
  </si>
  <si>
    <t>Gdg. Belakang1</t>
  </si>
  <si>
    <t>3189HBS18</t>
  </si>
  <si>
    <t>4035HBS18</t>
  </si>
  <si>
    <t>3183HBS18</t>
  </si>
  <si>
    <t>4037HBS18</t>
  </si>
  <si>
    <t>Gdg. Ajung 148</t>
  </si>
  <si>
    <t>3095HBS18</t>
  </si>
  <si>
    <t>3339HBS18</t>
  </si>
  <si>
    <t>3091HBS18</t>
  </si>
  <si>
    <t>3187HBS18</t>
  </si>
  <si>
    <t>3192HBS18</t>
  </si>
  <si>
    <t>3389HBS18</t>
  </si>
  <si>
    <t>3169HBS18</t>
  </si>
  <si>
    <t>3159HBS18</t>
  </si>
  <si>
    <t>4016HBS18</t>
  </si>
  <si>
    <t>Gdg. Ajung</t>
  </si>
  <si>
    <t>3386HBS18</t>
  </si>
  <si>
    <t>3194HBS18</t>
  </si>
  <si>
    <t>3344HBS18</t>
  </si>
  <si>
    <t>4038HBS18</t>
  </si>
  <si>
    <t>3341HBS18</t>
  </si>
  <si>
    <t>3340HBS18</t>
  </si>
  <si>
    <t>3374HBS18</t>
  </si>
  <si>
    <t>3125HBS18</t>
  </si>
  <si>
    <t>3165HBS18</t>
  </si>
  <si>
    <t>3347HBS18</t>
  </si>
  <si>
    <t>3349HBS18</t>
  </si>
  <si>
    <t>3102HBS18</t>
  </si>
  <si>
    <t>3356HBS18</t>
  </si>
  <si>
    <t>3123HBS18</t>
  </si>
  <si>
    <t>4030HBS18</t>
  </si>
  <si>
    <t>3162HBS18</t>
  </si>
  <si>
    <t>3351HBS18</t>
  </si>
  <si>
    <t>3180HBS18</t>
  </si>
  <si>
    <t>3342HBS18</t>
  </si>
  <si>
    <t>3161HBS18</t>
  </si>
  <si>
    <t>3106HBS18</t>
  </si>
  <si>
    <t>3116HBS18</t>
  </si>
  <si>
    <t>3069HBS18</t>
  </si>
  <si>
    <t>3121HBS18</t>
  </si>
  <si>
    <t>4025HBS18</t>
  </si>
  <si>
    <t>3346HBS18</t>
  </si>
  <si>
    <t>3094HBS18</t>
  </si>
  <si>
    <t>3181HBS18</t>
  </si>
  <si>
    <t>3164HBS18</t>
  </si>
  <si>
    <t>3122HBS18</t>
  </si>
  <si>
    <t>3115HBS18</t>
  </si>
  <si>
    <t>3369HBS18</t>
  </si>
  <si>
    <t>3353HBS18</t>
  </si>
  <si>
    <t>3199HBS18</t>
  </si>
  <si>
    <t>3350HBS18</t>
  </si>
  <si>
    <t>3104HBS18</t>
  </si>
  <si>
    <t>3345HBS18</t>
  </si>
  <si>
    <t>3167HBS18</t>
  </si>
  <si>
    <t>3355HBS18</t>
  </si>
  <si>
    <t>3348HBS18</t>
  </si>
  <si>
    <t>3343HBS18</t>
  </si>
  <si>
    <t>3166HBS18</t>
  </si>
  <si>
    <t>4036HBS18</t>
  </si>
  <si>
    <t>3372HBS18</t>
  </si>
  <si>
    <t>3188HBS18</t>
  </si>
  <si>
    <t>3191HBS18</t>
  </si>
  <si>
    <t>3168HBS18</t>
  </si>
  <si>
    <t>3126HBS18</t>
  </si>
  <si>
    <t>3190HBS18</t>
  </si>
  <si>
    <t>3105HBS18</t>
  </si>
  <si>
    <t>3096HBS18</t>
  </si>
  <si>
    <t>3387HBS18</t>
  </si>
  <si>
    <t>3193HBS18</t>
  </si>
  <si>
    <t>3098HBS18</t>
  </si>
  <si>
    <t>4034HBS18</t>
  </si>
  <si>
    <t>4032HBS18</t>
  </si>
  <si>
    <t>3097HBS18</t>
  </si>
  <si>
    <t>3370HBS18</t>
  </si>
  <si>
    <t>3357HBS18</t>
  </si>
  <si>
    <t>3128HBS18</t>
  </si>
  <si>
    <t>4023HBS18</t>
  </si>
  <si>
    <t>4021HBS18</t>
  </si>
  <si>
    <t>4033HBS18</t>
  </si>
  <si>
    <t>4031HBS18</t>
  </si>
  <si>
    <t>4026HBS18</t>
  </si>
  <si>
    <t>4029HBS18</t>
  </si>
  <si>
    <t>4020HBS18</t>
  </si>
  <si>
    <t>4022HBS18</t>
  </si>
  <si>
    <t>4018HBS18</t>
  </si>
  <si>
    <t>4019HBS18</t>
  </si>
  <si>
    <t>Jagung Bisi 2 20 X 1 kg</t>
  </si>
  <si>
    <t>3425HBS2</t>
  </si>
  <si>
    <t>2293HBS2</t>
  </si>
  <si>
    <t>2275HBS2</t>
  </si>
  <si>
    <t>2305HBS2</t>
  </si>
  <si>
    <t>2274HBS2</t>
  </si>
  <si>
    <t>2375HBS2</t>
  </si>
  <si>
    <t>Jagung Bisi 321 20 X 1 kg</t>
  </si>
  <si>
    <t>3358HBS321</t>
  </si>
  <si>
    <t>Jagung Bisi 321 20 X 1 kg (+Kaos)</t>
  </si>
  <si>
    <t>2381HBS321</t>
  </si>
  <si>
    <t>Jagung Bisi 322 20 X 1 kg</t>
  </si>
  <si>
    <t>3016HBS322</t>
  </si>
  <si>
    <t>Jagung Bisi 77 20 X 1 kg</t>
  </si>
  <si>
    <t>3066HBS77</t>
  </si>
  <si>
    <t>3017HBS77</t>
  </si>
  <si>
    <t>Jagung Bisi 959 20 X 1 kg</t>
  </si>
  <si>
    <t>3049HBS959</t>
  </si>
  <si>
    <t>3040HBS959</t>
  </si>
  <si>
    <t>2318HBS959</t>
  </si>
  <si>
    <t>2827HBS959</t>
  </si>
  <si>
    <t>2760HBS959</t>
  </si>
  <si>
    <t>2785HBS959</t>
  </si>
  <si>
    <t>2784HBS959</t>
  </si>
  <si>
    <t>2319HBS959</t>
  </si>
  <si>
    <t>Jagung Bisi 959 40 X 500 gr ( sampel )</t>
  </si>
  <si>
    <t>CXXIHBS959</t>
  </si>
  <si>
    <t>CXXHBS959</t>
  </si>
  <si>
    <t>Jagung DK 771 20 X 1 kg (Bayer)</t>
  </si>
  <si>
    <t>9CFA012102</t>
  </si>
  <si>
    <t>9CFA012097</t>
  </si>
  <si>
    <t>9CFA013002</t>
  </si>
  <si>
    <t>9CFA013004</t>
  </si>
  <si>
    <t>9CFA013008</t>
  </si>
  <si>
    <t>9CFA013003</t>
  </si>
  <si>
    <t>9CFA013020</t>
  </si>
  <si>
    <t>9CFA013018</t>
  </si>
  <si>
    <t>9CFA012099</t>
  </si>
  <si>
    <t>Jagung DK 9209C 20 X 1 kg (Bayer)</t>
  </si>
  <si>
    <t>2CFB013032</t>
  </si>
  <si>
    <t>2CFB013026</t>
  </si>
  <si>
    <t>2CFB013030</t>
  </si>
  <si>
    <t>2CFB013029</t>
  </si>
  <si>
    <t>2CFB013028</t>
  </si>
  <si>
    <t>2CFB013031</t>
  </si>
  <si>
    <t>2CFB013034</t>
  </si>
  <si>
    <t>2CFB013036</t>
  </si>
  <si>
    <t>2CFB013033</t>
  </si>
  <si>
    <t>2CFB013035</t>
  </si>
  <si>
    <t>Jagung Janger 29 20 X 1 kg</t>
  </si>
  <si>
    <t>Jagung Manis Exsotic 40 X 250 gr</t>
  </si>
  <si>
    <t>Jagung Manis Golden Boy 20 X 500 gr</t>
  </si>
  <si>
    <t>Jagung Manis Golden Boy 40 X 250 gr</t>
  </si>
  <si>
    <t>Jagung Manis Madu-59 F1 20 X 250 gr</t>
  </si>
  <si>
    <t>MJS2A1001</t>
  </si>
  <si>
    <t>Jagung Manis Master Sweet 45 20 X 500 gr</t>
  </si>
  <si>
    <t>45-3-314518</t>
  </si>
  <si>
    <t>45-315089</t>
  </si>
  <si>
    <t>Jagung Manis Master Sweet 45 40 X 250 gr</t>
  </si>
  <si>
    <t>Jagung Manis Sweet Lady 27 20 X 500 gr</t>
  </si>
  <si>
    <t>27-316472</t>
  </si>
  <si>
    <t>Jagung NK 212 20 X 1 kg</t>
  </si>
  <si>
    <t>Jagung NK 7202 20 X 1 kg</t>
  </si>
  <si>
    <t>Jagung NK 7328 20 X 1 kg</t>
  </si>
  <si>
    <t>Jagung P27 Gajah 20 X 1 kg</t>
  </si>
  <si>
    <t>102CKMAFINDB062</t>
  </si>
  <si>
    <t>134CJMAFDNDC052</t>
  </si>
  <si>
    <t>143CJMAFINDC053</t>
  </si>
  <si>
    <t>068CKMAFINDB063</t>
  </si>
  <si>
    <t>007CKMAFDNDC055</t>
  </si>
  <si>
    <t>013CKMAFINDE006</t>
  </si>
  <si>
    <t>Jagung Pertiwi 6 20 X 1 kg</t>
  </si>
  <si>
    <t>Jagung Q-235 10 X 1 Kg</t>
  </si>
  <si>
    <t>02/02/PRG/2023</t>
  </si>
  <si>
    <t>04/04/PRG/2023</t>
  </si>
  <si>
    <t>06/06/PRG/2023</t>
  </si>
  <si>
    <t>05/05/PRG/2023</t>
  </si>
  <si>
    <t>M01CB006</t>
  </si>
  <si>
    <t>43/23</t>
  </si>
  <si>
    <t>39/14</t>
  </si>
  <si>
    <t>35/4</t>
  </si>
  <si>
    <t>49/33</t>
  </si>
  <si>
    <t>40/15</t>
  </si>
  <si>
    <t>45/29</t>
  </si>
  <si>
    <t>42/19</t>
  </si>
  <si>
    <t>44/21</t>
  </si>
  <si>
    <t>41/16</t>
  </si>
  <si>
    <t>37/10</t>
  </si>
  <si>
    <t>Jaket Bactocyn</t>
  </si>
  <si>
    <t>Jaket Java Karlos</t>
  </si>
  <si>
    <t>Jaket JJM ( Sortie )</t>
  </si>
  <si>
    <t>Jaket Shadow</t>
  </si>
  <si>
    <t>Jaket Syngenta ( Cruiser )</t>
  </si>
  <si>
    <t>Jam Dinding Bactocyn</t>
  </si>
  <si>
    <t>Jam Dinding Mirado MQ 8505 SL</t>
  </si>
  <si>
    <t>Jam Dinding Mirado MQ 8867 SL</t>
  </si>
  <si>
    <t>Jam Dinding Mirado MQ 8877 SL</t>
  </si>
  <si>
    <t>Jam Dinding Syngenta</t>
  </si>
  <si>
    <t>Japra 400 SE 30 X 500 ml (M2U)+2 pcs Borer</t>
  </si>
  <si>
    <t>Japra 400 SE 50 X 250 ml (M2U)+1 pcs Borer</t>
  </si>
  <si>
    <t>Jet Stik Sprayer</t>
  </si>
  <si>
    <t>Kaliandra 482 EC 10 X 1 ltr (AGM)</t>
  </si>
  <si>
    <t>20362W4004</t>
  </si>
  <si>
    <t>20412Y6005</t>
  </si>
  <si>
    <t>20472Y7017</t>
  </si>
  <si>
    <t>Kaliandra 482 EC 20 X 400 ml (AGM)</t>
  </si>
  <si>
    <t>20402Y6064</t>
  </si>
  <si>
    <t>Kaliandra 482 EC 40 X 200 ml (AGM)</t>
  </si>
  <si>
    <t>20353W2014</t>
  </si>
  <si>
    <t>20352Y9008</t>
  </si>
  <si>
    <t>Kaliandra 482 EC 50 X 80 ml (AGM)</t>
  </si>
  <si>
    <t>20332Y9007</t>
  </si>
  <si>
    <t>Kamem</t>
  </si>
  <si>
    <t>Kangkung Bisi 20 X 1 kg</t>
  </si>
  <si>
    <t>Kangkung Dampit 20 X 1 kg</t>
  </si>
  <si>
    <t>Kangkung Dampit 40 X 500 gr</t>
  </si>
  <si>
    <t>Benih</t>
  </si>
  <si>
    <t>Kantong Plastik Bening Besar (Sample)</t>
  </si>
  <si>
    <t>Kantong Plastik Bening Kecil (Sample)</t>
  </si>
  <si>
    <t>Kantong Plastik Hitam Besar (Sample)</t>
  </si>
  <si>
    <t>Kantong Plastik Hitam Kecil (Sample)</t>
  </si>
  <si>
    <t>Kantong Plastik Hitam Sedang (Sample)</t>
  </si>
  <si>
    <t>Kantong Plastik Kuning Besar (Sample)</t>
  </si>
  <si>
    <t>Kaos Amiboost</t>
  </si>
  <si>
    <t>Kaos Arma</t>
  </si>
  <si>
    <t>Kaos Asetor</t>
  </si>
  <si>
    <t>Kaos Atonik</t>
  </si>
  <si>
    <t>Kaos Bactocyn Putih/New</t>
  </si>
  <si>
    <t>Kaos Bamex</t>
  </si>
  <si>
    <t>Kaos Bayer</t>
  </si>
  <si>
    <t>Kaos Bencore</t>
  </si>
  <si>
    <t>Kaos Bionik</t>
  </si>
  <si>
    <t>Kaos Bisi 99/79</t>
  </si>
  <si>
    <t>Kaos Bravoxone</t>
  </si>
  <si>
    <t>Kaos Cielo</t>
  </si>
  <si>
    <t>Kaos Cotton Combed Java Karlos</t>
  </si>
  <si>
    <t>Kaos dan Tas Boron &amp; Zinc</t>
  </si>
  <si>
    <t>Kaos Dekalb</t>
  </si>
  <si>
    <t>Kaos Dekalb ( T Shirt Anak )</t>
  </si>
  <si>
    <t>Kaos Demolish</t>
  </si>
  <si>
    <t>Kaos Dilan</t>
  </si>
  <si>
    <t>Kaos Dupont</t>
  </si>
  <si>
    <t>Kaos EM-4</t>
  </si>
  <si>
    <t>Kaos Evencio</t>
  </si>
  <si>
    <t>Kaos Excel</t>
  </si>
  <si>
    <t>Kaos Extra One</t>
  </si>
  <si>
    <t>Kaos Fitokarb</t>
  </si>
  <si>
    <t>Kaos Gamectin</t>
  </si>
  <si>
    <t>Kaos Gibraz</t>
  </si>
  <si>
    <t>Kaos Hyget Panjang Super Java</t>
  </si>
  <si>
    <t>Kaos Intergan</t>
  </si>
  <si>
    <t>Kaos Jagung ADV 132</t>
  </si>
  <si>
    <t>Kaos Jagung Janger</t>
  </si>
  <si>
    <t>Kaos Jagung Manis Golden Boy</t>
  </si>
  <si>
    <t>Kaos Jagung Manis Madu</t>
  </si>
  <si>
    <t>Kaos Jagung Pertiwi</t>
  </si>
  <si>
    <t>Kaos Java Karlos</t>
  </si>
  <si>
    <t>Kaos Karisma</t>
  </si>
  <si>
    <t>Kaos Karisma Setia</t>
  </si>
  <si>
    <t>Kaos Kenso</t>
  </si>
  <si>
    <t>Kaos Kertopaten</t>
  </si>
  <si>
    <t>Kaos Klerat</t>
  </si>
  <si>
    <t>Kaos Kloper Symbisect</t>
  </si>
  <si>
    <t>Kaos Kubis Sharira</t>
  </si>
  <si>
    <t>Kaos Lengan Panjang Bisi 77</t>
  </si>
  <si>
    <t>Kaos Lengan Panjang Bisi 959</t>
  </si>
  <si>
    <t>Kaos Lengan Panjang Macerio</t>
  </si>
  <si>
    <t>Kaos Lengan Panjang Pinamec</t>
  </si>
  <si>
    <t>Kaos Lengan Panjang Q235</t>
  </si>
  <si>
    <t>Kaos Lengan Pendek Dekalb</t>
  </si>
  <si>
    <t>Kaos Melon Golden Qiu</t>
  </si>
  <si>
    <t>Kaos Melon Hibrida</t>
  </si>
  <si>
    <t>Kaos Melon Lucky</t>
  </si>
  <si>
    <t>Kaos Metazeb</t>
  </si>
  <si>
    <t>Kaos Mexdone</t>
  </si>
  <si>
    <t>Kaos Mexican</t>
  </si>
  <si>
    <t>Kaos MIA Kerah</t>
  </si>
  <si>
    <t>Kaos MIA Kerah Elazaro</t>
  </si>
  <si>
    <t>Kaos MIA Trio Dahsyat</t>
  </si>
  <si>
    <t>Kaos MKD Neocron</t>
  </si>
  <si>
    <t>Kaos Mulsa Hanoman</t>
  </si>
  <si>
    <t>Kaos Mulsa Kuda</t>
  </si>
  <si>
    <t>Kaos Mulsa Ori Gajah</t>
  </si>
  <si>
    <t>Kaos Mulsa Petani Sejati</t>
  </si>
  <si>
    <t>Kaos Mulsa Universal</t>
  </si>
  <si>
    <t>Kaos Mupsone</t>
  </si>
  <si>
    <t>Kaos Mutual</t>
  </si>
  <si>
    <t>Kaos Novatec</t>
  </si>
  <si>
    <t>Kaos Orca</t>
  </si>
  <si>
    <t>Kaos Petani Sejati</t>
  </si>
  <si>
    <t>Kaos Phoscormit</t>
  </si>
  <si>
    <t>Kaos Phosgrow</t>
  </si>
  <si>
    <t>Kaos Ponco Ceba</t>
  </si>
  <si>
    <t>Kaos Prima-Zeb</t>
  </si>
  <si>
    <t>Kaos Pupuk Hayati</t>
  </si>
  <si>
    <t>Kaos Qiu Asri</t>
  </si>
  <si>
    <t>Kaos Qiu Asri Hijau</t>
  </si>
  <si>
    <t>Kaos Qiuvita</t>
  </si>
  <si>
    <t>Kaos Saber</t>
  </si>
  <si>
    <t>Kaos Saprodap</t>
  </si>
  <si>
    <t>Kaos Saprotan</t>
  </si>
  <si>
    <t>Kaos Sari Kresna D3</t>
  </si>
  <si>
    <t>Kaos Savity</t>
  </si>
  <si>
    <t>Kaos Seminis</t>
  </si>
  <si>
    <t>Kaos Sinasen 300 SC</t>
  </si>
  <si>
    <t>Kaos Sofia</t>
  </si>
  <si>
    <t>Kaos Syngenta</t>
  </si>
  <si>
    <t>Kaos THM Crespo</t>
  </si>
  <si>
    <t>Kaos Toxafin</t>
  </si>
  <si>
    <t>Kaos Tumagon</t>
  </si>
  <si>
    <t>Kaos UPL</t>
  </si>
  <si>
    <t>Karbasin 500 EC 20 X 500 ml</t>
  </si>
  <si>
    <t>BF117R005SI</t>
  </si>
  <si>
    <t>Karburator Star Metal</t>
  </si>
  <si>
    <t>Karet Piston YT 5L</t>
  </si>
  <si>
    <t>Karimazu 590 EC 20 X 400 ml (Label Baru)</t>
  </si>
  <si>
    <t>L010823</t>
  </si>
  <si>
    <t>Karimazu 590 EC 20 X 800 ml</t>
  </si>
  <si>
    <t>Karimazu 590 EC 40 X 200 ml</t>
  </si>
  <si>
    <t>L240723</t>
  </si>
  <si>
    <t>Karung OPP Lami 10 kg Qiu Seed</t>
  </si>
  <si>
    <t>Katup Pelepas Angin YT 5L</t>
  </si>
  <si>
    <t>Kelpak 11/0.031 SL 20 X 500 ml</t>
  </si>
  <si>
    <t>Kelpak 11/0.031 SL 40 X 250 ml</t>
  </si>
  <si>
    <t>Kelpak 11/0.031 SL 50 X 100 ml</t>
  </si>
  <si>
    <t>Kemeja MIA</t>
  </si>
  <si>
    <t>Kencis 55 EW 20 X 1 ltr</t>
  </si>
  <si>
    <t>Kencis 55 EW 24 X 500 ml</t>
  </si>
  <si>
    <t>Kenmectin 39 EC 48 X 250 ml</t>
  </si>
  <si>
    <t>Ken-Mida 12/50 EC 100 X 100 ml</t>
  </si>
  <si>
    <t>Ken-Mida 12/50 EC 24 X 500 ml</t>
  </si>
  <si>
    <t>Ken-Mida 12/50 EC 48 X 250 ml</t>
  </si>
  <si>
    <t>Kick Off 36 EC 20 X 1 ltr</t>
  </si>
  <si>
    <t>5101TT5123</t>
  </si>
  <si>
    <t>Kick Off 36 EC 48 X 100 ml</t>
  </si>
  <si>
    <t>4801SS4852</t>
  </si>
  <si>
    <t>3601TT3643</t>
  </si>
  <si>
    <t>Kilau 36 WP 6 X 50 X 25 gr</t>
  </si>
  <si>
    <t>Kingdom 550 SC 20 ltr</t>
  </si>
  <si>
    <t>Kingdom 550 SC 20 X 1 ltr</t>
  </si>
  <si>
    <t>Kingdom 550 SC 4 X 5 ltr</t>
  </si>
  <si>
    <t>Klep Kulit 14 ltr Star Metal</t>
  </si>
  <si>
    <t>Klep Kulit 17 ltr Star Metal</t>
  </si>
  <si>
    <t>Kloper 500 SL 12 X 1 ltr</t>
  </si>
  <si>
    <t>HY422006</t>
  </si>
  <si>
    <t>HY423007</t>
  </si>
  <si>
    <t>Kloper 500 SL 20 X 500 ml</t>
  </si>
  <si>
    <t>Kloper 500 SL 40 X 250 ml</t>
  </si>
  <si>
    <t>CV323004</t>
  </si>
  <si>
    <t>KNO3 Merah P Tani 15 X 2 kg</t>
  </si>
  <si>
    <t>KNO3 Putih P Tani 15 X 2 kg</t>
  </si>
  <si>
    <t>Knocker 20 X 400 ml</t>
  </si>
  <si>
    <t>Knocker 30 X 200 ml + ergostim</t>
  </si>
  <si>
    <t>Knocker 40 X 200 ml</t>
  </si>
  <si>
    <t>Knocker 50 X 80 ml</t>
  </si>
  <si>
    <t>Kompor Gas Maspion</t>
  </si>
  <si>
    <t>Konektor Nosel Tutup</t>
  </si>
  <si>
    <t>Konsep 50 EC 100 X 100 ml</t>
  </si>
  <si>
    <t>Konsep 50 EC 20 X 1 ltr</t>
  </si>
  <si>
    <t>Konsep 50 EC 25 X 500 ml</t>
  </si>
  <si>
    <t>Konsep 50 EC 40 X 250 ml</t>
  </si>
  <si>
    <t>Korek Api Gesek Banteng</t>
  </si>
  <si>
    <t>Kran Pencet Star Metal</t>
  </si>
  <si>
    <t>Kran YT 4L, 5L, 7L &amp; 9L</t>
  </si>
  <si>
    <t>Kresek Hitam Kecil (Sample)</t>
  </si>
  <si>
    <t>Kresek Merah Kecil (Sample)</t>
  </si>
  <si>
    <t>Kresnadan 3G 10 X 2 kg</t>
  </si>
  <si>
    <t>Kresnakum 0.005 20 X 1 kg</t>
  </si>
  <si>
    <t>Kresnatop 500 SC 20 ltr</t>
  </si>
  <si>
    <t>Kresnatop 500 SC 20 X 1 ltr</t>
  </si>
  <si>
    <t>Kresnatop 500 SC 4 X 5 ltr</t>
  </si>
  <si>
    <t>KS Pak Tani + Boron 25 kg</t>
  </si>
  <si>
    <t>Kubis Grand 11-20 X 12 X 15 gr</t>
  </si>
  <si>
    <t>11-418046</t>
  </si>
  <si>
    <t>Kubis Green Coronet 100 X 10 X 20 gr</t>
  </si>
  <si>
    <t>3190007586-88RD</t>
  </si>
  <si>
    <t>Kubis Green Crown 10 X 20 ml</t>
  </si>
  <si>
    <t>303705A5</t>
  </si>
  <si>
    <t>Kubis Hibrida F1 Kaelo 30 X 15 gr</t>
  </si>
  <si>
    <t>Kubis Icon 10 X 20 X 15 gr</t>
  </si>
  <si>
    <t>Kulkas Mini Sanken 1 Pintu</t>
  </si>
  <si>
    <t>Kunci Inggris set</t>
  </si>
  <si>
    <t>Kuproxat 345 F 20 X 500 ml</t>
  </si>
  <si>
    <t>Kuproxat 345 F 40 X 200 ml</t>
  </si>
  <si>
    <t>Laba Hidroponik 130 gr</t>
  </si>
  <si>
    <t>Laba Hidroponik 142 gr</t>
  </si>
  <si>
    <t>Lancer Gold 55 WG 100 X 100 gr</t>
  </si>
  <si>
    <t>HUJLG55002</t>
  </si>
  <si>
    <t>Lancer Gold 55 WG 20 X 500 gr</t>
  </si>
  <si>
    <t>HUJLG55001</t>
  </si>
  <si>
    <t>Lancer Gold 55 WG 40 X 250 gr</t>
  </si>
  <si>
    <t>GUJLG55003</t>
  </si>
  <si>
    <t>Laptop Lenovo</t>
  </si>
  <si>
    <t>Larviron 100/20 ZC 20 X 500 ml</t>
  </si>
  <si>
    <t>HS3NLC1202</t>
  </si>
  <si>
    <t>Larviron 100/20 ZC 40 X 250 ml</t>
  </si>
  <si>
    <t>5-IT3NLC1201</t>
  </si>
  <si>
    <t>Lem Ajaib 50 X 100 ml</t>
  </si>
  <si>
    <t>Lem Ajaib 50 X 50 ml</t>
  </si>
  <si>
    <t>Licron 500 EC 20 X 400 ml</t>
  </si>
  <si>
    <t>Liding 240 SC 48 X 200 ml</t>
  </si>
  <si>
    <t>RA3RFS2497</t>
  </si>
  <si>
    <t>RA22RFS1838</t>
  </si>
  <si>
    <t>Liding 240 SC 64 X 90 ml</t>
  </si>
  <si>
    <t>RA22RFS2716</t>
  </si>
  <si>
    <t>Logamate 440 EC 20 X 500 ml</t>
  </si>
  <si>
    <t>Logamate 440 EC 40 x 250 ml</t>
  </si>
  <si>
    <t>Logamate 440 EC 50 x 100 ml</t>
  </si>
  <si>
    <t>Losmine 50 EC 40 X 250 ml</t>
  </si>
  <si>
    <t>Losmine 50 EC 50 X 100 ml</t>
  </si>
  <si>
    <t>Loyant 25 EC 20 X 500 ml</t>
  </si>
  <si>
    <t>C668N1I006</t>
  </si>
  <si>
    <t>C668NAA008</t>
  </si>
  <si>
    <t>Ludes 50 EC 30 X 250 ml</t>
  </si>
  <si>
    <t>Ludes 50 EC 50 X 100 ml</t>
  </si>
  <si>
    <t>Macerio 52 WP 20 X 500 gr</t>
  </si>
  <si>
    <t>IRF23FA5868</t>
  </si>
  <si>
    <t>IRF23FA4902</t>
  </si>
  <si>
    <t>Maestro 200 EC 10 X 1 ltr</t>
  </si>
  <si>
    <t>Maestro 200 EC 20 X 500 ml</t>
  </si>
  <si>
    <t>Magicxone 138 SL 20 ltr</t>
  </si>
  <si>
    <t>Magicxone 138 SL 20 X 1 ltr</t>
  </si>
  <si>
    <t>Magicxone 138 SL 4 X 5 ltr</t>
  </si>
  <si>
    <t>Maklostar 30 X 500 gr</t>
  </si>
  <si>
    <t>Malabar 480 SL 20 ltr</t>
  </si>
  <si>
    <t>Mamigro 12-9-6 20 X 1 ltr</t>
  </si>
  <si>
    <t>MO923J1001</t>
  </si>
  <si>
    <t>M0923J1301</t>
  </si>
  <si>
    <t>M0923L2201</t>
  </si>
  <si>
    <t>Mamigro 12-9-6 20 X 500 ml</t>
  </si>
  <si>
    <t>M0923K2701</t>
  </si>
  <si>
    <t>MO923A2701</t>
  </si>
  <si>
    <t>Mandoxone 276 SL 20 ltr</t>
  </si>
  <si>
    <t>Mandoxone 276 SL 20 X 1 ltr</t>
  </si>
  <si>
    <t>Mandoxone 276 SL 4 X 5 ltr</t>
  </si>
  <si>
    <t>Mangkok ART.FSY 178-B</t>
  </si>
  <si>
    <t>Manohara 20 X 1 kg</t>
  </si>
  <si>
    <t>Manohara 250 gr</t>
  </si>
  <si>
    <t>Manohara PPC 15 X 1 ltr</t>
  </si>
  <si>
    <t>Manzate 82 WP 10 X 1 kg</t>
  </si>
  <si>
    <t>7FUSMZW0170</t>
  </si>
  <si>
    <t>7FUSMZW0171</t>
  </si>
  <si>
    <t>Manzate 82 WP 20 X 500 gr</t>
  </si>
  <si>
    <t>7AV5MZW0083</t>
  </si>
  <si>
    <t>Marshal 200 EC 100 X 100 ml</t>
  </si>
  <si>
    <t>Marshal 200 EC 20 X 1 ltr</t>
  </si>
  <si>
    <t>Marshal 200 EC 24 X 500 ml</t>
  </si>
  <si>
    <t>Marshal 200 SC 24 X 500 ml</t>
  </si>
  <si>
    <t>Marshal 25 DS 5 X 40 X 25 gr</t>
  </si>
  <si>
    <t>Marshal 25 DS 50 X 100 gr</t>
  </si>
  <si>
    <t>Martyl 480 SL 12 X 1 ltr</t>
  </si>
  <si>
    <t>23GAT0203</t>
  </si>
  <si>
    <t>23GAT0306</t>
  </si>
  <si>
    <t>Mastercall Biru 20 X 1 kg</t>
  </si>
  <si>
    <t>Matador 25 EC 100 X 50 ml</t>
  </si>
  <si>
    <t>SRG4A12004</t>
  </si>
  <si>
    <t>SRG4A12006</t>
  </si>
  <si>
    <t>SRG4A12005</t>
  </si>
  <si>
    <t>Matador 25 EC 100 X 80 ml</t>
  </si>
  <si>
    <t>JAK2A03247</t>
  </si>
  <si>
    <t>SRG4A26010</t>
  </si>
  <si>
    <t>Matador 25 EC 40 X 250 ml</t>
  </si>
  <si>
    <t>JAK2L07250</t>
  </si>
  <si>
    <t>JAK4A04001</t>
  </si>
  <si>
    <t>JAK4A04002</t>
  </si>
  <si>
    <t>JAK2L05249</t>
  </si>
  <si>
    <t>Match 50 EC 50 X 100 ml</t>
  </si>
  <si>
    <t>JAK3G25024</t>
  </si>
  <si>
    <t>JAK3I08036</t>
  </si>
  <si>
    <t>Megaxone 135 SL 20 ltr</t>
  </si>
  <si>
    <t>Megaxone 135 SL 20 X 1 ltr</t>
  </si>
  <si>
    <t>Megaxone 135 SL 4 X 5 ltr</t>
  </si>
  <si>
    <t>Megazeb 80 WP 20 X 1 kg</t>
  </si>
  <si>
    <t>Melon Action 434 20 X 10 X 12.5 gr</t>
  </si>
  <si>
    <t>Melon Pertiwi Anvi 10 X 15 X 13 gr</t>
  </si>
  <si>
    <t>Melyra 200/200 SC 24 X 250 ml</t>
  </si>
  <si>
    <t>S24052905</t>
  </si>
  <si>
    <t>Metachlor 650 EC 100 X 100 ml</t>
  </si>
  <si>
    <t>Metachlor 650 EC 20 X 800 ml</t>
  </si>
  <si>
    <t>Metachlor 650 EC 25 X 400 ml</t>
  </si>
  <si>
    <t>Metachlor 650 EC 50 ml (S)</t>
  </si>
  <si>
    <t>Metalik 15 X 500 ml</t>
  </si>
  <si>
    <t>Metalik 25 X 100 ml</t>
  </si>
  <si>
    <t>Metindo 25 WP 10 X 10 X 100 gr</t>
  </si>
  <si>
    <t>Metindo 25 WP 40 X 500 gr</t>
  </si>
  <si>
    <t>Metindo 40 SP 10 X 10 X 100 gr</t>
  </si>
  <si>
    <t>Metindo 40 SP 40 X 400 gr</t>
  </si>
  <si>
    <t>Metsulindo Plus 80 WP 8 X 25 X 40 gr</t>
  </si>
  <si>
    <t>Mexdone 36 EC 20 X 1 ltr New</t>
  </si>
  <si>
    <t>Mexdone 36 EC 20 X 500 ml New</t>
  </si>
  <si>
    <t>Mexdone 36 EC 40 X 250 ml New</t>
  </si>
  <si>
    <t>Mexdone 36 EC 50 X 100 ml</t>
  </si>
  <si>
    <t>Minecto Xtra 200/200 SC 100 X 50 ml</t>
  </si>
  <si>
    <t>JAK1JS2017</t>
  </si>
  <si>
    <t>Minecto Xtra 200/200 SC 50 X 100 ml</t>
  </si>
  <si>
    <t>JAK1ES2005</t>
  </si>
  <si>
    <t>JAK1JS2015</t>
  </si>
  <si>
    <t>JAK1JS2016</t>
  </si>
  <si>
    <t>Mini Baliho Bisi 959</t>
  </si>
  <si>
    <t>Minyak Goreng Fitri 400 ml</t>
  </si>
  <si>
    <t>Minyak Goreng Forzan 1 ltr</t>
  </si>
  <si>
    <t>Mipcinta 50 WP 20 X 5 X 100 gr</t>
  </si>
  <si>
    <t>Mipcinta 50 WP 20 X 500 gr</t>
  </si>
  <si>
    <t>MKP 20 X 1 kg</t>
  </si>
  <si>
    <t>Money 865 SL 20 ltr</t>
  </si>
  <si>
    <t>Money 865 SL 20 X 1 ltr</t>
  </si>
  <si>
    <t>Money 865 SL 20 X 400 ml</t>
  </si>
  <si>
    <t>Money 865 SL 4 X 5 ltr</t>
  </si>
  <si>
    <t>Money 865 SL 40 X 200 ml</t>
  </si>
  <si>
    <t>Monkey 40 SP 100 X 100 gr (Sample)</t>
  </si>
  <si>
    <t>Monkey 40 SP 40 X 400 gr</t>
  </si>
  <si>
    <t>Montana 230 EC 50 X 100 ml (sampel)</t>
  </si>
  <si>
    <t>Mospilan 30 EC 20 X 400 ml</t>
  </si>
  <si>
    <t>0717DD2011</t>
  </si>
  <si>
    <t>Mospilan 30 EC 48 X 100 ml</t>
  </si>
  <si>
    <t>5001CC5013</t>
  </si>
  <si>
    <t>Movento Energy 240 SC 50 X 100 ml</t>
  </si>
  <si>
    <t>PI42002954</t>
  </si>
  <si>
    <t>Mr. Qlett 30 X 200 ml</t>
  </si>
  <si>
    <t>Mulsa Coboy 60 cm X 1 kg</t>
  </si>
  <si>
    <t>Mulsa Dewata Biru 60 cm X 9 kg (roll)</t>
  </si>
  <si>
    <t>Sarana pertanian</t>
  </si>
  <si>
    <t>Mulsa Dua Srigala 50 cm X 18 kg (Roll)</t>
  </si>
  <si>
    <t>Mulsa Dua Srigala 50 cm X 5 kg (Roll)</t>
  </si>
  <si>
    <t>Mulsa Dua Srigala 50 cm X 9 kg (Roll)</t>
  </si>
  <si>
    <t>Mulsa Dua Srigala 60 cm X 18 kg (Roll)</t>
  </si>
  <si>
    <t>Mulsa Dua Srigala 60 cm X 9 kg (Roll)</t>
  </si>
  <si>
    <t>Mulsa Hanoman 50 cm X 17 kg (Roll)</t>
  </si>
  <si>
    <t>Mulsa Hanoman 50 cm X 8 kg (Roll)</t>
  </si>
  <si>
    <t>Mulsa Hanoman 60 cm X 17 kg (Roll)</t>
  </si>
  <si>
    <t>Mulsa Hanoman 60 cm X 18 kg (Roll)</t>
  </si>
  <si>
    <t>Mulsa Hanoman 60 cm X 8 kg (Roll)</t>
  </si>
  <si>
    <t>Mulsa Hanoman 60 cm X 9 kg (Roll)</t>
  </si>
  <si>
    <t>Mulsa Hanoman 80 cm X 18 kg (Roll)</t>
  </si>
  <si>
    <t>Mulsa Hanoman 80 cm X 9 kg (Roll)</t>
  </si>
  <si>
    <t>Mulsa Karisma 50 cm / 10 kg (Roll)</t>
  </si>
  <si>
    <t>Mulsa Karisma 50 cm / 20 kg (Roll)</t>
  </si>
  <si>
    <t>Mulsa Karisma 60 cm / 10 kg (Roll)</t>
  </si>
  <si>
    <t>Mulsa Karisma 60 cm / 20 kg (Roll)</t>
  </si>
  <si>
    <t>Mulsa Karisma 70 cm / 10 kg (Roll)</t>
  </si>
  <si>
    <t>Mulsa Karisma 70 cm / 20 kg (Roll)</t>
  </si>
  <si>
    <t>Mulsa Karisma Q989 50 cm X 17 kg (Roll)</t>
  </si>
  <si>
    <t>Mulsa Karisma Q989 50 cm X 8 kg (Roll)</t>
  </si>
  <si>
    <t>Mulsa Karisma Q989 50 cm X 8 kg (Roll) Merah MT</t>
  </si>
  <si>
    <t>Mulsa Karisma Q989 50 cm X 8 kg (Roll) Merah</t>
  </si>
  <si>
    <t>Mulsa Karisma Q989 50 cm X 9 kg (Roll)</t>
  </si>
  <si>
    <t>Mulsa Karisma Q989 60 cm X 17 kg (Roll)</t>
  </si>
  <si>
    <t>Mulsa Karisma Q989 60 cm X 8 kg (Roll)</t>
  </si>
  <si>
    <t>Mulsa Karisma Q989 70 cm X 16 kg (Roll) Merah</t>
  </si>
  <si>
    <t>Mulsa Karisma Q989 70 cm X 8 kg (Roll) Merah</t>
  </si>
  <si>
    <t>Mulsa lembaran 025 X 50 cm (Sample)</t>
  </si>
  <si>
    <t>Mulsa Lembaran 03 X 60 cm (Sample)</t>
  </si>
  <si>
    <t>Mulsa Monesa 50 cm X 17 kg (Roll)</t>
  </si>
  <si>
    <t>Mulsa Monesa 60 cm X 17 kg (Roll)</t>
  </si>
  <si>
    <t>Mulsa Monesa 60 cm X 18 kg (Roll)</t>
  </si>
  <si>
    <t>Mulsa Monesa 60 cm X 9 kg (Roll)</t>
  </si>
  <si>
    <t>Mulsa Ori 03 X 40 cm @1 kg (sample)</t>
  </si>
  <si>
    <t>Mulsa Ori 03 X 40 cm @2 kg (sample)</t>
  </si>
  <si>
    <t>Mulsa Ori 03 X 40 cm @3 kg (sample)</t>
  </si>
  <si>
    <t>Mulsa Ori 03 X 50 cm @1 kg (sample)</t>
  </si>
  <si>
    <t>Mulsa Ori 03 X 50 cm @2 kg (sample)</t>
  </si>
  <si>
    <t>Mulsa Ori 03 X 50 cm @3 kg (sample)</t>
  </si>
  <si>
    <t>Mulsa Ori 03 X 60 cm @1 kg (sample)</t>
  </si>
  <si>
    <t>Mulsa Ori 03 X 60 cm @2 kg (sample)</t>
  </si>
  <si>
    <t>Mulsa Ori 03 X 60 cm @3 kg (sample)</t>
  </si>
  <si>
    <t>Mulsa Ori Gajah 0.3 50 cm X 18 kg (Roll)</t>
  </si>
  <si>
    <t>Mulsa Ori Gajah 0.3 50 cm X 9 kg (Roll)</t>
  </si>
  <si>
    <t>Mulsa Ori Gajah 0.3 60 cm X 18 kg (Roll) Sample</t>
  </si>
  <si>
    <t>Mulsa Ori Gajah 0.3 60 cm X 18 kg (Roll)</t>
  </si>
  <si>
    <t>Mulsa Ori Gajah 0.3 60 cm X 9 kg (Roll) Sample</t>
  </si>
  <si>
    <t>Mulsa Ori Gajah 0.3 60 cm X 9 kg (Roll)</t>
  </si>
  <si>
    <t>Mulsa Ori Gajah 0.3 70 cm X 18 kg (Roll)</t>
  </si>
  <si>
    <t>Mulsa Ori Gajah 0.3 70 cm X 9 kg (Roll)</t>
  </si>
  <si>
    <t>Mulsa Ori Universal 0.25 50 cm X 18 kg (Roll)</t>
  </si>
  <si>
    <t>Mulsa Ori Universal 0.25 50 cm X 9 kg (Roll)</t>
  </si>
  <si>
    <t>Mulsa Ori Universal 0.25 60 cm X 18 kg (Roll) Sample</t>
  </si>
  <si>
    <t>Mulsa Ori Universal 0.25 60 cm X 18 kg (Roll)</t>
  </si>
  <si>
    <t>Mulsa Ori Universal 0.25 60 cm X 9 kg (Roll) Sample</t>
  </si>
  <si>
    <t>Mulsa Ori Universal 0.25 60 cm X 9 kg (Roll)</t>
  </si>
  <si>
    <t>Mulsa Ori Universal 0.25 70 cm X 18 kg (Roll)</t>
  </si>
  <si>
    <t>Mulsa Ori Universal 0.25 70 cm X 9 kg (Roll)</t>
  </si>
  <si>
    <t>Mulsa Petani Sejati 60 cm X 9 kg (Roll)</t>
  </si>
  <si>
    <t>Mulsa Petani Sejati 70 cm X 18 kg (Roll)</t>
  </si>
  <si>
    <t>Mulsa Sadewa Kuning 50 cm X 18 kg (Roll)</t>
  </si>
  <si>
    <t>Mulsa Sadewa Kuning 50 cm X 9 kg (Roll)</t>
  </si>
  <si>
    <t>Mulsa Sadewa Kuning 60 cm X 18 kg (Roll)</t>
  </si>
  <si>
    <t>Mulsa Sadewa Kuning 60 cm X 9 kg (Roll)</t>
  </si>
  <si>
    <t>Mur YT 5L</t>
  </si>
  <si>
    <t>Mutual 25/25 WP 100 X 100 gr</t>
  </si>
  <si>
    <t>2023ES0320</t>
  </si>
  <si>
    <t>Nativo 75 WG 16 X 20 X 12.5 gr</t>
  </si>
  <si>
    <t>PV03000081</t>
  </si>
  <si>
    <t>PV03000090</t>
  </si>
  <si>
    <t>Nativo 75 WG 50 X 2 X 50 gr</t>
  </si>
  <si>
    <t>PV02000684</t>
  </si>
  <si>
    <t>Nemaguard 10 GR 10 X 1 kg</t>
  </si>
  <si>
    <t>Nemaguard 10 GR 20 X 500 gr</t>
  </si>
  <si>
    <t>Neo Foxs 200 EC 12 X 800 ml</t>
  </si>
  <si>
    <t>Neocron 80 OL 15 X 1 ltr</t>
  </si>
  <si>
    <t>Neocron 80 OL 20 X 250 ml</t>
  </si>
  <si>
    <t>Neocron 80 OL 20 X 500 ml</t>
  </si>
  <si>
    <t>Neoroot 16 X 250 gr</t>
  </si>
  <si>
    <t>IU61MWP001</t>
  </si>
  <si>
    <t>Neoroot 16 X 250 gr (Sample)</t>
  </si>
  <si>
    <t>Neshoga 10 X 4 X 25 X 3 ml (S)</t>
  </si>
  <si>
    <t>Neshoga 4 X 75 X 25 ml</t>
  </si>
  <si>
    <t>New Naptalin (Sample)</t>
  </si>
  <si>
    <t>Nokia 150 TA-1235DS New</t>
  </si>
  <si>
    <t>Nokia 210</t>
  </si>
  <si>
    <t>Nokia 5310</t>
  </si>
  <si>
    <t>Nosel N-02</t>
  </si>
  <si>
    <t>Nosel N-06</t>
  </si>
  <si>
    <t>Nosel N-07</t>
  </si>
  <si>
    <t>Nosel Tutup KSB 365</t>
  </si>
  <si>
    <t>Nosel Tutup KSK 235</t>
  </si>
  <si>
    <t>Nostro 440 EC 20 X 500 ml</t>
  </si>
  <si>
    <t>I070723</t>
  </si>
  <si>
    <t>Nostro 440 EC 20 X 500 ml ( label hijau )</t>
  </si>
  <si>
    <t>L110624</t>
  </si>
  <si>
    <t>Nostro 440 EC 40 X 250 ml</t>
  </si>
  <si>
    <t>Nostro 440 EC 40 X 250 ml ( label hijau )</t>
  </si>
  <si>
    <t>Nozzle YT 4L, 5L, 7L &amp; 9L</t>
  </si>
  <si>
    <t>NPK 12-12-17 MPS 25 kg</t>
  </si>
  <si>
    <t>NPK 15-10-22 Magnum 50 kg</t>
  </si>
  <si>
    <t>pupuk</t>
  </si>
  <si>
    <t>NPK 16.16.16+2 MPS 50 kg</t>
  </si>
  <si>
    <t>NPK 17-17-17 MPS 20 kg</t>
  </si>
  <si>
    <t>NPK Dinar 15-9-20 25 kg</t>
  </si>
  <si>
    <t>NPK Multidaya 10-10-10 20 kg</t>
  </si>
  <si>
    <t>NPK Novatec 12-12-17 25 kg</t>
  </si>
  <si>
    <t>NPK P Tani 16-16-16 Biru 50 kg</t>
  </si>
  <si>
    <t>NPK Pelangi 20-10-10 10 X 5 kg</t>
  </si>
  <si>
    <t>NPK Pelangi 20-10-10 50 kg</t>
  </si>
  <si>
    <t>NPK SiNutriHS 13-6-27-4+TE Booster (Hijau) NPG 25 kg</t>
  </si>
  <si>
    <t>NPK SiNutriHS 13-6-27-4+TE Booster (Hijau) NPG 50 kg</t>
  </si>
  <si>
    <t>NPK SiNutriHS 13-6-27-4+TE Booster (Hijau) NPG 500gr (Sample)</t>
  </si>
  <si>
    <t>NPK SiNutriHS 13-6-27-4+TE Booster (Hijau) NPG 8 X 5 kg</t>
  </si>
  <si>
    <t>NPK SiNutriHS 16-16-16+TE (Biru) NPG 25 kg</t>
  </si>
  <si>
    <t>NPK SiNutriHS 16-16-16+TE (Biru) NPG 50 kg</t>
  </si>
  <si>
    <t>NPK SiNutriHS 16-16-16+TE (Biru) NPG 500gr (Sample)</t>
  </si>
  <si>
    <t>NPK SiNutriHS 16-16-16+TE (Biru) NPG 8 X 5 kg</t>
  </si>
  <si>
    <t>Odeon 75 WP 16 X 500 gr</t>
  </si>
  <si>
    <t>2023ES0801</t>
  </si>
  <si>
    <t>Oplosan 550/60 EC 10 X 800 ml</t>
  </si>
  <si>
    <t>Oplosan 550/60 EC 20 X 400 ml</t>
  </si>
  <si>
    <t>Oplosan 550/60 EC 40 X 200 ml</t>
  </si>
  <si>
    <t>Oplosan 550/60 EC 50 X 80 ml</t>
  </si>
  <si>
    <t>Orca 480 SL 20 ltr</t>
  </si>
  <si>
    <t>Orca 480 SL 20 X 1 ltr</t>
  </si>
  <si>
    <t>Orondis Opti 6/400 SC 20 X 500 ml</t>
  </si>
  <si>
    <t>JAK3E02SA1</t>
  </si>
  <si>
    <t>JAK3E25SA1</t>
  </si>
  <si>
    <t>Osmocote Dekastar Buah 6-13-25 24 X 500 gr</t>
  </si>
  <si>
    <t>BN2252</t>
  </si>
  <si>
    <t>BN2262</t>
  </si>
  <si>
    <t>BN2254</t>
  </si>
  <si>
    <t>BN1214</t>
  </si>
  <si>
    <t>BN1224</t>
  </si>
  <si>
    <t>Osmocote Dekastar Buah 6-13-25 40 X 100 gr</t>
  </si>
  <si>
    <t>BN2253</t>
  </si>
  <si>
    <t>BN2245</t>
  </si>
  <si>
    <t>Osmocote Dekastar Imbang 13-13-13 24 X 500 gr</t>
  </si>
  <si>
    <t>Osmocote Dekastar Imbang 13-13-13 40 X 100 gr</t>
  </si>
  <si>
    <t>BN1225</t>
  </si>
  <si>
    <t>Oyong Hanoman 12 X 15 X 10 gr</t>
  </si>
  <si>
    <t>Paclo 15 WP 16 X 5 X 100 gr</t>
  </si>
  <si>
    <t>Padi Pahisa 01 200 gr</t>
  </si>
  <si>
    <t>Benih Padi</t>
  </si>
  <si>
    <t>Padi Q-989 Ciherang 4 X 5 kg</t>
  </si>
  <si>
    <t>Paket Anti Gulma 10 X 500 ml</t>
  </si>
  <si>
    <t>Paket Anti Gulma 20 X 250 ml</t>
  </si>
  <si>
    <t>Paket Booster Kendizol 250 ml + Aviore 100 ml 24 X 1 Paket</t>
  </si>
  <si>
    <t>Paket Convey 336 SC 10 X 40 ml</t>
  </si>
  <si>
    <t>241CQ01002</t>
  </si>
  <si>
    <t>241CQ01003</t>
  </si>
  <si>
    <t>241CQ02011</t>
  </si>
  <si>
    <t>241CQ01006</t>
  </si>
  <si>
    <t>241CQ02009</t>
  </si>
  <si>
    <t>241CQ02016</t>
  </si>
  <si>
    <t>241CQ02003</t>
  </si>
  <si>
    <t>241CQ03001</t>
  </si>
  <si>
    <t>241CQ02010</t>
  </si>
  <si>
    <t>Paket Convey 336 SC 20 X 20 ml</t>
  </si>
  <si>
    <t>239CQ09008</t>
  </si>
  <si>
    <t>Paket Cornbelt 336 EC 20 X 50 ml</t>
  </si>
  <si>
    <t>Paket GG Akar 100 X 5 ml + Akrostar 40 WP 5 gr</t>
  </si>
  <si>
    <t>Paket Kaos dan Tas BrZn</t>
  </si>
  <si>
    <t>Paket Naga 1 6 X 25 X 1 paket</t>
  </si>
  <si>
    <t>Paket Piribac 400 SC 50 X 100 ml + Axial 200 ml</t>
  </si>
  <si>
    <t>I071223</t>
  </si>
  <si>
    <t>Panindo 10 WP 100 X 100 gr</t>
  </si>
  <si>
    <t>Papandayan 486 SL 20 ltr</t>
  </si>
  <si>
    <t>Papandayan 486 SL 20 X 1 ltr</t>
  </si>
  <si>
    <t>Papandayan 486 SL 4 X 5 ltr</t>
  </si>
  <si>
    <t>Paratop 276 SL 20 X 1 ltr</t>
  </si>
  <si>
    <t>Paratop 276 SL 20 X 500 ml</t>
  </si>
  <si>
    <t>Parcel Paket A</t>
  </si>
  <si>
    <t>Parcel Paket B</t>
  </si>
  <si>
    <t>Parcel Paket C</t>
  </si>
  <si>
    <t>Parcel Paket D</t>
  </si>
  <si>
    <t>Parcel Paket E</t>
  </si>
  <si>
    <t>Parcel Paket Sembako</t>
  </si>
  <si>
    <t>Lain - Lain</t>
  </si>
  <si>
    <t>Pare Hokian 12 X 15 X 10 gr</t>
  </si>
  <si>
    <t>Paskal 50 WP 20 X 500 gr</t>
  </si>
  <si>
    <t>C317N301NE</t>
  </si>
  <si>
    <t>C108I301NE</t>
  </si>
  <si>
    <t>I08I301NE</t>
  </si>
  <si>
    <t>Paskal 50 WP 24 X 250 gr</t>
  </si>
  <si>
    <t>C016I301NE</t>
  </si>
  <si>
    <t>Paskal 50 WP 32 X 250 gr</t>
  </si>
  <si>
    <t>C286I301NE</t>
  </si>
  <si>
    <t>Paskal 50 WP 60 X 100 gr</t>
  </si>
  <si>
    <t>C34N301NE</t>
  </si>
  <si>
    <t>C343N301NE</t>
  </si>
  <si>
    <t>C275I301NE</t>
  </si>
  <si>
    <t>Passxone 276 SL 20 ltr</t>
  </si>
  <si>
    <t>Passxone 276 SL 20 X 1 ltr</t>
  </si>
  <si>
    <t>Passxone 276 SL 4 X 5 ltr</t>
  </si>
  <si>
    <t>Payung Java Karlos</t>
  </si>
  <si>
    <t>Payung Lipat</t>
  </si>
  <si>
    <t>Pegasus 500 SC 50 X 80 ml</t>
  </si>
  <si>
    <t>JAK3A23006</t>
  </si>
  <si>
    <t>JAK3A23004</t>
  </si>
  <si>
    <t>JAK3A23009</t>
  </si>
  <si>
    <t>JAK3H23016</t>
  </si>
  <si>
    <t>JAK3F23013</t>
  </si>
  <si>
    <t>JAK3H23017</t>
  </si>
  <si>
    <t>Pelatuk S-04</t>
  </si>
  <si>
    <t>Pelatuk/Trigger</t>
  </si>
  <si>
    <t>Pelle 50 EC 15 X 1 ltr</t>
  </si>
  <si>
    <t>S206I301RIA</t>
  </si>
  <si>
    <t>Pelle 50 EC 20 X 400 ml</t>
  </si>
  <si>
    <t>S090I301RIA</t>
  </si>
  <si>
    <t>Penta So-Z 505 SL 20 X 1 ltr</t>
  </si>
  <si>
    <t>Pentagon 100 ml (Sample)</t>
  </si>
  <si>
    <t>Pentagon 50 ml (Sample)</t>
  </si>
  <si>
    <t>Pentazol 80 X 60 gr (Sample)</t>
  </si>
  <si>
    <t>Perozin 80 WP 14 X 1 kg</t>
  </si>
  <si>
    <t>Perozin 80 WP 15 X 400 gr</t>
  </si>
  <si>
    <t>Perozin 80 WP 60 X 150 gr</t>
  </si>
  <si>
    <t>Petrogenol 800 L 20 X 20 X 5 ml</t>
  </si>
  <si>
    <t>Petrokum 0.005 BB 20 X 10 X 100 gr</t>
  </si>
  <si>
    <t>Pexalon 106 SC 24 X 240 ml</t>
  </si>
  <si>
    <t>C668NSU001</t>
  </si>
  <si>
    <t>Pexalon 106 SC 50 X 100 ml</t>
  </si>
  <si>
    <t>C668NG1001</t>
  </si>
  <si>
    <t>Phenol (Sample)</t>
  </si>
  <si>
    <t>Phosgrow 50 kg</t>
  </si>
  <si>
    <t>Phosthene 97 WG 100 X 100 gr</t>
  </si>
  <si>
    <t>HUCADF9701</t>
  </si>
  <si>
    <t>Pilly 25 WP 20 gr</t>
  </si>
  <si>
    <t>Pinamec 20 EC 15 X 1 ltr</t>
  </si>
  <si>
    <t>L020623</t>
  </si>
  <si>
    <t>L030623</t>
  </si>
  <si>
    <t>L181023</t>
  </si>
  <si>
    <t>Pinamec 20 EC 20 X 1 ltr (Hitam)</t>
  </si>
  <si>
    <t>I080224</t>
  </si>
  <si>
    <t>I200424</t>
  </si>
  <si>
    <t>Pinamec 20 EC 20 X 500 ml (Hitam)</t>
  </si>
  <si>
    <t>I040423</t>
  </si>
  <si>
    <t>Pinamec 20 EC 40 X 250 ml (Hitam)</t>
  </si>
  <si>
    <t>Pinamec 20 EC 40 X 250 ml</t>
  </si>
  <si>
    <t>L130223</t>
  </si>
  <si>
    <t>Pinamec 20 EC 50 X 100 ml (Hitam)</t>
  </si>
  <si>
    <t>Pipa Penyemprot 60 cm Star Metal</t>
  </si>
  <si>
    <t>Pipa Penyemprot Fiberglass YT 3L, 4L, 5L, 7L &amp; 9L</t>
  </si>
  <si>
    <t>Pipa Penyemprot+G.Orange 20 L Star Metal</t>
  </si>
  <si>
    <t>Pipa Semprot</t>
  </si>
  <si>
    <t>Piraklo 250 EC 100 X 100 ml</t>
  </si>
  <si>
    <t>Piraklo 250 EC 40 X 250 ml</t>
  </si>
  <si>
    <t>Piribac 400 SC 50 X 100 ml (Sample)</t>
  </si>
  <si>
    <t>Pisau Lipat Set</t>
  </si>
  <si>
    <t>Pita Alat Pengikat Tanaman Yoto 25 X 20 X 1 roll</t>
  </si>
  <si>
    <t>Planter Bag 11 Liter 2 Handle Standard HDPE 4cm 150 X 24 cm X 25 cm</t>
  </si>
  <si>
    <t>Planter Bag 15 Liter 2 Handle Standard HDPE 4cm 150 X 29 cm X 24 cm</t>
  </si>
  <si>
    <t>Planter Bag 18 Liter 2 Handle Standard HDPE 4cm 150 X 28 cm X 30 cm</t>
  </si>
  <si>
    <t>Planter Bag 28 Liter 2 Handle Standard HDPE 4cm 150 X 30 cm X 40 cm</t>
  </si>
  <si>
    <t>Planter Bag 3 Liter No Handle 200 X 15 cm X 18 cm</t>
  </si>
  <si>
    <t>Planter Bag 5 Liter No Handle 200 X 18 cm X 20 cm</t>
  </si>
  <si>
    <t>Plenum 50 WG 12 X 10 X 25 gr</t>
  </si>
  <si>
    <t>SRG3LW1235</t>
  </si>
  <si>
    <t>Plenum 50 WG 50 X 100 gr</t>
  </si>
  <si>
    <t>SRG3EW3159</t>
  </si>
  <si>
    <t>SRG3KW1229</t>
  </si>
  <si>
    <t>SRG3GW3205</t>
  </si>
  <si>
    <t>SRG3LW1234</t>
  </si>
  <si>
    <t>SRG3LW1233</t>
  </si>
  <si>
    <t>SRG3KW1227</t>
  </si>
  <si>
    <t>Pointer 276 SL 20 X 1 ltr New</t>
  </si>
  <si>
    <t>Polo Shirt MIA (Putih Kombinasi)</t>
  </si>
  <si>
    <t>Polybag Alpen 10/20 X 25 cm - 25 X 1 kg</t>
  </si>
  <si>
    <t>Polybag Alpen 10/20 X 40 cm - 25 X 1 kg</t>
  </si>
  <si>
    <t>Polybag Alpen 12.5/25 X 25 cm - 25 X 1 kg</t>
  </si>
  <si>
    <t>Polybag Alpen 12.5/25 X 30 cm - 25 X 1 kg</t>
  </si>
  <si>
    <t>Polybag Alpen 17.5/35 X 35 cm - 25 X 1 kg</t>
  </si>
  <si>
    <t>Polybag Alpen 17.5/35 X 40 cm - 25 X 1 kg</t>
  </si>
  <si>
    <t>Polybag Alpen 2.5/5 X 15 cm - 50 X 500 gr</t>
  </si>
  <si>
    <t>Polybag Alpen 25/45 X 45 cm - 25 X 1 kg</t>
  </si>
  <si>
    <t>Polybag Alpen 30/50 X 50 cm - 25 X 1 kg</t>
  </si>
  <si>
    <t>Polybag Alpen 5/10 X 15 cm - 50 X 500 gr</t>
  </si>
  <si>
    <t>Polybag Korma 10 X 15 X 004 (Sample)</t>
  </si>
  <si>
    <t>sample</t>
  </si>
  <si>
    <t>Polybag Korma 15 X 15 X 005 (Sample)</t>
  </si>
  <si>
    <t>Polybag Korma 20 X 20 X 006 (Sample)</t>
  </si>
  <si>
    <t>Polybag Korma 25 X 30 X 006 (Sample)</t>
  </si>
  <si>
    <t>Polybag Korma 30 X 30 X 008 (Sample)</t>
  </si>
  <si>
    <t>Polybag Korma 35 X 35 X 008 (Sample)</t>
  </si>
  <si>
    <t>Polybag Korma 40 X 40 X 010 (Sample)</t>
  </si>
  <si>
    <t>Polybag Korma 45 X 45 X 010 (Sample)</t>
  </si>
  <si>
    <t>Polybag Korma 50 X 50 X 010 (Sample)</t>
  </si>
  <si>
    <t>Pompa Plasindo 14 ltr</t>
  </si>
  <si>
    <t>Popzole 525 SE 48 X 240 ml</t>
  </si>
  <si>
    <t>RA3RFS3620</t>
  </si>
  <si>
    <t>RA22RNS0014</t>
  </si>
  <si>
    <t>Popzole 525 SE 64 X 100 ml</t>
  </si>
  <si>
    <t>RA22RN50965</t>
  </si>
  <si>
    <t>RA2RNS0965</t>
  </si>
  <si>
    <t>Poster Piraklo</t>
  </si>
  <si>
    <t>Pot Tray 105 (Sample)</t>
  </si>
  <si>
    <t>Pot Tray 128 (Sample)</t>
  </si>
  <si>
    <t>Pot Tray 200 (Sample)</t>
  </si>
  <si>
    <t>Pot Tray 32 (Sample)</t>
  </si>
  <si>
    <t>Pot Tray 50 (Sample)</t>
  </si>
  <si>
    <t>Pot Tray 72 (Sample)</t>
  </si>
  <si>
    <t>Pot Tray 98 (Sample)</t>
  </si>
  <si>
    <t>Pot Tray Dexxan 100 X 200 lubang</t>
  </si>
  <si>
    <t>Pot Tray Dexxan 100 X 288 lubang</t>
  </si>
  <si>
    <t>Pot Tray Dexxan 100 X 50 lubang</t>
  </si>
  <si>
    <t>Pot Tray Dexxan 100 X 98 lubang</t>
  </si>
  <si>
    <t>Pounce 20 EC 24 X 500 ml</t>
  </si>
  <si>
    <t>Power Grow 20 X 1 ltr</t>
  </si>
  <si>
    <t>Power On/Off YEP 18</t>
  </si>
  <si>
    <t>Powercall Cair 20 X 1 ltr</t>
  </si>
  <si>
    <t>Previcur N 722SL 100 X 100 ml</t>
  </si>
  <si>
    <t>PI41003457</t>
  </si>
  <si>
    <t>Previcur N 722SL 20 X 500 ml</t>
  </si>
  <si>
    <t>PI43003826</t>
  </si>
  <si>
    <t>Prima-Clink 20 X 250 ml</t>
  </si>
  <si>
    <t>Prima-Clink 50 X 100 ml</t>
  </si>
  <si>
    <t>Proclaim 5 SG 4 X 20 X 25 gr</t>
  </si>
  <si>
    <t>CBT3GW2011</t>
  </si>
  <si>
    <t>CBT3IW3013</t>
  </si>
  <si>
    <t>Profuron 600 EC 20 X 500 ml</t>
  </si>
  <si>
    <t>Profuron 600 EC 40 X 250 ml</t>
  </si>
  <si>
    <t>Profuron 600 EC 50 X 100 ml</t>
  </si>
  <si>
    <t>Promo Joss 300 EC 20 X 500 ml</t>
  </si>
  <si>
    <t>Promo Joss 300 EC 50 X 250 ml</t>
  </si>
  <si>
    <t>Pump Protection Plate Yamaha</t>
  </si>
  <si>
    <t>Pupuk Fosfat 50 kg MPS</t>
  </si>
  <si>
    <t>Pupuk Hayati Cair MPS 12 X 1 ltr</t>
  </si>
  <si>
    <t>E1/02/24</t>
  </si>
  <si>
    <t>Pupuk Nakula Alegro 10 X 1 kg</t>
  </si>
  <si>
    <t>Pupuk Nakula Alegro 40 kg</t>
  </si>
  <si>
    <t>Pupuk Nakula Alegro 5 X 5 kg</t>
  </si>
  <si>
    <t>Push 30/300 OD 50 X 100 ml</t>
  </si>
  <si>
    <t>EC20230720</t>
  </si>
  <si>
    <t>Pyzero 100 EC 24 X 400 ml</t>
  </si>
  <si>
    <t>Qaishar 10 WP 100 X 100 gr</t>
  </si>
  <si>
    <t>I090922</t>
  </si>
  <si>
    <t>Qaishar 10 WP 20 X 50 X 5 gr</t>
  </si>
  <si>
    <t>Qiuasri Bawang 20 X 1 ltr</t>
  </si>
  <si>
    <t>Qiuasri Bawang Merah 250 ml (Sample)</t>
  </si>
  <si>
    <t>Qiuasri Bunga Buah 250 ml (Sample)</t>
  </si>
  <si>
    <t>Qiuasri Cabai 250 ml (Sample)</t>
  </si>
  <si>
    <t>Qiuasri Cabe 20 X 1 ltr</t>
  </si>
  <si>
    <t>Qiuasri Jagung 20 X 1 ltr</t>
  </si>
  <si>
    <t>Qiuasri Jeruk 20 X 1 ltr</t>
  </si>
  <si>
    <t>Qiuasri Padi 250 ml (Sample)</t>
  </si>
  <si>
    <t>Qiudor 100 X 100 gr</t>
  </si>
  <si>
    <t>Qiudor 40 X 250 gr</t>
  </si>
  <si>
    <t>Qiumex 36 EC 10 X 1 ltr</t>
  </si>
  <si>
    <t>Qiumex 36 EC 100 X 100 ml</t>
  </si>
  <si>
    <t>Qiumex 36 EC 20 X 500 ml</t>
  </si>
  <si>
    <t>Qiumex 36 EC 40 X 250 ml</t>
  </si>
  <si>
    <t>Qiumino 20 X 250 ml</t>
  </si>
  <si>
    <t>Qiumino 20 X 500 ml</t>
  </si>
  <si>
    <t>Qiunil 40 X 500 gr</t>
  </si>
  <si>
    <t>Qiuonol 400 SL 30 x 250 ml</t>
  </si>
  <si>
    <t>Qiuonol 400 SL 42 x 50 ml (Sample)</t>
  </si>
  <si>
    <t>Qiustar 400 EC 40 X 200 ml</t>
  </si>
  <si>
    <t>Qiustar 400 EC 50 X 100 ml</t>
  </si>
  <si>
    <t>Qiutane 80 WP 25 X 800 gr Biru</t>
  </si>
  <si>
    <t>Qiuvita Biru 16.32.16 100 X 100 gr (Sample)</t>
  </si>
  <si>
    <t>Qiuvita Biru 16.32.16 100 X 100 gr</t>
  </si>
  <si>
    <t>Qiuvita Biru 16.32.16 20 X 500 gr</t>
  </si>
  <si>
    <t>Qiuvita Hayati 20 X 1 ltr</t>
  </si>
  <si>
    <t>Qiuvita Hayati 25 X 100 ml</t>
  </si>
  <si>
    <t>Qiuvita Hayati 30 X 250 ml</t>
  </si>
  <si>
    <t>Qiuvita Hayati 30 X 500 ml</t>
  </si>
  <si>
    <t>Qiuvita Hijau 32.11.11 100 X 100 gr</t>
  </si>
  <si>
    <t>Qiuvita Hijau 32.11.11 20 X 500 gr</t>
  </si>
  <si>
    <t>Qiuvita Merah 16.11.32 100 X 100 gr</t>
  </si>
  <si>
    <t>Qiuvita Merah 16.11.32 20 X 500 gr</t>
  </si>
  <si>
    <t>Quilt 200 SE 40 X 250 ml</t>
  </si>
  <si>
    <t>JAK2H05SB1</t>
  </si>
  <si>
    <t>JAK1H23SB1</t>
  </si>
  <si>
    <t>Raja Mulsa Hijau 60 X 260 mt</t>
  </si>
  <si>
    <t>Raja Mulsa Hijau 60 X 530 mt</t>
  </si>
  <si>
    <t>Ratchet 250 EC 100 ml (sampel)</t>
  </si>
  <si>
    <t>Ratgone 0.005 BB 10 X 1 kg</t>
  </si>
  <si>
    <t>0426DD0511</t>
  </si>
  <si>
    <t>2401DD2412</t>
  </si>
  <si>
    <t>Ratol 80 P 10 X 100 X 10 gr</t>
  </si>
  <si>
    <t>FU00ZNP010</t>
  </si>
  <si>
    <t>FU00ZNP011</t>
  </si>
  <si>
    <t>Reactive 490 SL 20 ltr</t>
  </si>
  <si>
    <t>Reactive 490 SL 20 X 1 ltr</t>
  </si>
  <si>
    <t>Regent Red 24 X 250 ml</t>
  </si>
  <si>
    <t>2489Q05601</t>
  </si>
  <si>
    <t>Regent Red 48 X 100 ml</t>
  </si>
  <si>
    <t>2471Q05601</t>
  </si>
  <si>
    <t>Regent Red 80 X 50 ml</t>
  </si>
  <si>
    <t>2470Q05602</t>
  </si>
  <si>
    <t>Remazole-P 490 EC 100 X 100 ml</t>
  </si>
  <si>
    <t>Remazole-P 490 EC 20 X 400 ml</t>
  </si>
  <si>
    <t>Remazole-P 490 EC 40 X 250 ml</t>
  </si>
  <si>
    <t>Revus 250 SC 40 X 250 ml</t>
  </si>
  <si>
    <t>JAK07S1020</t>
  </si>
  <si>
    <t>Revus Opti 440 SC 20 X 250 ml</t>
  </si>
  <si>
    <t>JAK3BS2010</t>
  </si>
  <si>
    <t>JAK3BS2009</t>
  </si>
  <si>
    <t>JAK3ES1011</t>
  </si>
  <si>
    <t>Ridomil Gold MZ 4/64 WG 100 X 100 gr</t>
  </si>
  <si>
    <t>CBT1K2052X</t>
  </si>
  <si>
    <t>CBT1K2051X</t>
  </si>
  <si>
    <t>CBT2F293RM</t>
  </si>
  <si>
    <t>CBT3A504RM</t>
  </si>
  <si>
    <t>CBT3A503RM</t>
  </si>
  <si>
    <t>Ridomil Gold MZ 4/64 WG 20 X 500 gr</t>
  </si>
  <si>
    <t>CBT2E288RM</t>
  </si>
  <si>
    <t>CBT31694RM</t>
  </si>
  <si>
    <t>CBT3E610RM</t>
  </si>
  <si>
    <t>Ridomil Gold MZ 4/64 WG 40 X 250 gr</t>
  </si>
  <si>
    <t>CBT3A501RM</t>
  </si>
  <si>
    <t>CBT3A511RM</t>
  </si>
  <si>
    <t>CBT3I694RM</t>
  </si>
  <si>
    <t>Ring Biru Plastik Kecil</t>
  </si>
  <si>
    <t>Ring Karet Tg</t>
  </si>
  <si>
    <t>Ring Penyokong 14 ltr Star Metal</t>
  </si>
  <si>
    <t>Ring Penyokong 17 ltr Star Metal</t>
  </si>
  <si>
    <t>Riomax 300 EC 100 X 100 ml</t>
  </si>
  <si>
    <t>2F230807</t>
  </si>
  <si>
    <t>2F240206</t>
  </si>
  <si>
    <t>Riomax 300 EC 40 X 250 ml</t>
  </si>
  <si>
    <t>Robust 40 X 200 ml</t>
  </si>
  <si>
    <t>Robust 50 X 100 ml</t>
  </si>
  <si>
    <t>Roger 480 SL 20 X 1 ltr</t>
  </si>
  <si>
    <t>G0423G2801</t>
  </si>
  <si>
    <t>G0423L2101</t>
  </si>
  <si>
    <t>Roger 480 SL 4 X 5 ltr</t>
  </si>
  <si>
    <t>G0423A01501</t>
  </si>
  <si>
    <t>Rotraz 200 EC 20 X 500 ml</t>
  </si>
  <si>
    <t>Rotraz 200 EC 50 X 100 ml</t>
  </si>
  <si>
    <t>Round Up 486 SL 12 X 1 ltr</t>
  </si>
  <si>
    <t>Round Up 486 SL 20 ltr</t>
  </si>
  <si>
    <t>Round Up 486 SL 4 X 4 ltr</t>
  </si>
  <si>
    <t>Round Up 486 SL 50 X 200 ml</t>
  </si>
  <si>
    <t>Roupix 455/100 SL 20 X 1 ltr</t>
  </si>
  <si>
    <t>Roza Xtra 610 EC 100 X 100 ml</t>
  </si>
  <si>
    <t>AY222002</t>
  </si>
  <si>
    <t>Roza Xtra 610 EC 12 X 900 ml</t>
  </si>
  <si>
    <t>ANT20221206</t>
  </si>
  <si>
    <t>Roza Xtra 610 EC 20 X 400 ml</t>
  </si>
  <si>
    <t>ROZA001</t>
  </si>
  <si>
    <t>Rumpas 120 EW 100 X 100 ml</t>
  </si>
  <si>
    <t>PITL003471</t>
  </si>
  <si>
    <t>PITL003478</t>
  </si>
  <si>
    <t>Rumpas 120 EW 40 X 250 ml</t>
  </si>
  <si>
    <t>PITL003484</t>
  </si>
  <si>
    <t>Saaf 75 WP 20 X 400 gr</t>
  </si>
  <si>
    <t>2GUJSAF7506</t>
  </si>
  <si>
    <t>Sabun Harimau Kuat 24 X 300 gr</t>
  </si>
  <si>
    <t>Sagri-Meth 77 SP 100 X 100 gr</t>
  </si>
  <si>
    <t>Sagri-Meth 77 SP 25 X 400 gr</t>
  </si>
  <si>
    <t>Sagri-Mox 52 WP 100 X 100 gr</t>
  </si>
  <si>
    <t>Sagri-Mox 52 WP 25 X 400 gr</t>
  </si>
  <si>
    <t>Sagri-Storm 100/400/50 SC 20 X 1 ltr</t>
  </si>
  <si>
    <t>Sagri-Storm 100/400/50 SC 20 X 500 ml</t>
  </si>
  <si>
    <t>Sagri-Storm 100/400/50 SC 40 X 250 ml</t>
  </si>
  <si>
    <t>221024STORM03A</t>
  </si>
  <si>
    <t>Sajadah</t>
  </si>
  <si>
    <t>Saringan Tabung 14 ltr &amp; 17 ltr Star Metal</t>
  </si>
  <si>
    <t>Saringan Tangki Star Metal</t>
  </si>
  <si>
    <t>Sarung</t>
  </si>
  <si>
    <t>Sarung Abu Rizqi</t>
  </si>
  <si>
    <t>Sarung Arabi Madinah</t>
  </si>
  <si>
    <t>Sarung Atlas</t>
  </si>
  <si>
    <t>Sarung Gajah Duduk</t>
  </si>
  <si>
    <t>Sarung Gajah Kembar</t>
  </si>
  <si>
    <t>Sarung Java Karlos</t>
  </si>
  <si>
    <t>Sarung Jenggolo</t>
  </si>
  <si>
    <t>Sarung Ramadhani</t>
  </si>
  <si>
    <t>Sarung Samarinda</t>
  </si>
  <si>
    <t>Sarung Wadimor</t>
  </si>
  <si>
    <t>Saturn Plus 20 X 1 ltr</t>
  </si>
  <si>
    <t>Saturn Plus 20 X 250 ml</t>
  </si>
  <si>
    <t>Saturn Plus 20 X 500 ml</t>
  </si>
  <si>
    <t>Satyazeb 80 WP 20 X 1 kg</t>
  </si>
  <si>
    <t>MFD2803141374</t>
  </si>
  <si>
    <t>Sawi Dora 12 X 15 X 25 gr</t>
  </si>
  <si>
    <t>Sawi Majapahit 12 X 15 X 25 gr</t>
  </si>
  <si>
    <t>Sawi Pak Choy White 10 X 20 gr</t>
  </si>
  <si>
    <t>Score 250 EC 40 X 250 ml</t>
  </si>
  <si>
    <t>JAK2L06066</t>
  </si>
  <si>
    <t>JAK3L09060</t>
  </si>
  <si>
    <t>JAK4C22020</t>
  </si>
  <si>
    <t>JAK3L09061</t>
  </si>
  <si>
    <t>JAK4D30027</t>
  </si>
  <si>
    <t>JAK4A04003</t>
  </si>
  <si>
    <t>JAK4B06013</t>
  </si>
  <si>
    <t>JAK4B06014</t>
  </si>
  <si>
    <t>JAK4B06015</t>
  </si>
  <si>
    <t>JAK4B07016</t>
  </si>
  <si>
    <t>JAK4B07017</t>
  </si>
  <si>
    <t>JAK4B07018</t>
  </si>
  <si>
    <t>JAK3A02001</t>
  </si>
  <si>
    <t>JAK3L09062</t>
  </si>
  <si>
    <t>JAK4D26026</t>
  </si>
  <si>
    <t>JAK4D29028</t>
  </si>
  <si>
    <t>Score 250 EC 50 X 80 ml</t>
  </si>
  <si>
    <t>SRG3L09060</t>
  </si>
  <si>
    <t>SRG4D19025</t>
  </si>
  <si>
    <t>JAK4D02022</t>
  </si>
  <si>
    <t>SRG4A03002</t>
  </si>
  <si>
    <t>SRG4D03023</t>
  </si>
  <si>
    <t>Sealing Gasket Yamaha</t>
  </si>
  <si>
    <t>Sekop Tanaman Goodman Transplanter 05-008 100 X 1</t>
  </si>
  <si>
    <t>Selada Kriebo 12 X 15 X 10 gr</t>
  </si>
  <si>
    <t>Selang + Kran Pencet Baru (GA)</t>
  </si>
  <si>
    <t>Selang Drip 010 X 4 X 100 HTM @0.7kg/rol (sample)</t>
  </si>
  <si>
    <t>Selang Drip 010 X 4 X 200 HTM @1.4kg/rol (sample)</t>
  </si>
  <si>
    <t>Selang Drip 015 X 4 X 100 HTM @1.2kg/rol (sample)</t>
  </si>
  <si>
    <t>Selang Drip 015 X 4 X 200 HTM @2.4kg/rol (sample)</t>
  </si>
  <si>
    <t>Selang Drip 05 X 4 X 300 HTM @0.8kg/rol (sample)</t>
  </si>
  <si>
    <t>Selang Drip 05 X 4 X 90 HTM @0.24kg/rol (sample)</t>
  </si>
  <si>
    <t>Selang Orange Komplit+G. Plastik Star Metal</t>
  </si>
  <si>
    <t>Selang Plastik</t>
  </si>
  <si>
    <t>Selang YT 4L, 5L, 7L &amp; 9L</t>
  </si>
  <si>
    <t>Sepeda Listrik tipe GD Golden Monkey 140 ( Kuning )</t>
  </si>
  <si>
    <t>Sepeda Listrik tipe GD Golden Monkey 140 ( Merah )</t>
  </si>
  <si>
    <t>Sepeda Motor Honda Beat 125 Biru Hitam</t>
  </si>
  <si>
    <t>Sepeda Motor Vario 125 Merah</t>
  </si>
  <si>
    <t>Sepeda Motor Yamaha Gear 125 (Hitam)</t>
  </si>
  <si>
    <t>Sevin 85 SP 100 X 100 gr</t>
  </si>
  <si>
    <t>1405DD1443</t>
  </si>
  <si>
    <t>1402DD1433</t>
  </si>
  <si>
    <t>1405DD1441</t>
  </si>
  <si>
    <t>1405DD1433</t>
  </si>
  <si>
    <t>SG.01 30 X 500 gr (M2U)</t>
  </si>
  <si>
    <t>SG.05 200 X 100 gr (M2U)</t>
  </si>
  <si>
    <t>39142702P1</t>
  </si>
  <si>
    <t>39142701P2</t>
  </si>
  <si>
    <t>SG.05 30 X 500 gr (M2U)</t>
  </si>
  <si>
    <t>Shallot 600 SL 10 X 460 ml (Sample)</t>
  </si>
  <si>
    <t>Sign Board Associate</t>
  </si>
  <si>
    <t>Siklon 5.7 WG 4 X 40 X 25 gr</t>
  </si>
  <si>
    <t>Simodis 100 DC 50 X 100 ml</t>
  </si>
  <si>
    <t>SRG4C15003</t>
  </si>
  <si>
    <t>JAK4D02008</t>
  </si>
  <si>
    <t>SRG4D02008</t>
  </si>
  <si>
    <t>Gdg. Ttp Direks</t>
  </si>
  <si>
    <t>Sinagrowth 20 TB 100 X 10 X 5 gr</t>
  </si>
  <si>
    <t>Sinasen 300 SC 40 X 250 ml</t>
  </si>
  <si>
    <t>Sinasen 300 SC 40 X 250 ml (Sample)</t>
  </si>
  <si>
    <t>Sinergy 300 EC 40 X 250 ml</t>
  </si>
  <si>
    <t>Sinergy 300 EC 50 X 80 ml</t>
  </si>
  <si>
    <t>Sivanto Prime 200 SL 100 X 100 ml</t>
  </si>
  <si>
    <t>PQ22020004</t>
  </si>
  <si>
    <t>Skies 20 ltr</t>
  </si>
  <si>
    <t>Skies 4 X 5 ltr</t>
  </si>
  <si>
    <t>Smk. Big Maduri F1 12 X 10 X 20 gr</t>
  </si>
  <si>
    <t>Smk. Esteem 20 X 6 X 20 gr</t>
  </si>
  <si>
    <t>Smk. Maduri 12 X 10 X 20 gr</t>
  </si>
  <si>
    <t>Smk. Seedless F1 Big Classic 20 X 6 X 20 gr</t>
  </si>
  <si>
    <t>Smk. Seedless F1 Classic 20 X 6 X 20 gr</t>
  </si>
  <si>
    <t>Snowden 30 EC 100 ml (sampel)</t>
  </si>
  <si>
    <t>Sofia 200/70/30 OD 16 X 500 ml</t>
  </si>
  <si>
    <t>Sofia 200/70/30 OD 32 X 250 ml</t>
  </si>
  <si>
    <t>Sofia 200/70/30 OD 8 X 1 ltr</t>
  </si>
  <si>
    <t>Sorexin 100 SC 250 ml (Sample)</t>
  </si>
  <si>
    <t>Sortie 36/6 WP 30 X 400 gr (M2U)</t>
  </si>
  <si>
    <t>Spanduk Bionta</t>
  </si>
  <si>
    <t>Spanduk Mulsa Karisma</t>
  </si>
  <si>
    <t>Spie Pen</t>
  </si>
  <si>
    <t>Spindle Screw Cap Pc</t>
  </si>
  <si>
    <t>Spontan 400 SL 12 X 1 ltr</t>
  </si>
  <si>
    <t>4711CC4731</t>
  </si>
  <si>
    <t>1705DD1732</t>
  </si>
  <si>
    <t>1622DD1651</t>
  </si>
  <si>
    <t>1723DD1741</t>
  </si>
  <si>
    <t>2006DD2012</t>
  </si>
  <si>
    <t>1935DD1951</t>
  </si>
  <si>
    <t>2007DD2021</t>
  </si>
  <si>
    <t>1954DD2011</t>
  </si>
  <si>
    <t>2016DD2031</t>
  </si>
  <si>
    <t>Spontan 400 SL 20 X 200 ml</t>
  </si>
  <si>
    <t>1713DD1733</t>
  </si>
  <si>
    <t>1713DD1732</t>
  </si>
  <si>
    <t>1713DD1723</t>
  </si>
  <si>
    <t>2042DD2112</t>
  </si>
  <si>
    <t>2209DD2233</t>
  </si>
  <si>
    <t>Spontan 400 SL 20 X 500 ml</t>
  </si>
  <si>
    <t>2041DD2051</t>
  </si>
  <si>
    <t>1953DD1953</t>
  </si>
  <si>
    <t>2015DD2031</t>
  </si>
  <si>
    <t>2108DD2112</t>
  </si>
  <si>
    <t>Spontas 450 SL 10 X 1 ltr</t>
  </si>
  <si>
    <t>Spontas 450 SL 20 X 500 ml</t>
  </si>
  <si>
    <t>Spontas 450 SL 50 X 200 ml</t>
  </si>
  <si>
    <t>Sprayboost 30 X 15 X 25 ml</t>
  </si>
  <si>
    <t>Sprayboost 40 X 250 ml</t>
  </si>
  <si>
    <t>MFD202002004</t>
  </si>
  <si>
    <t>Sprayboost 50 X 100 ml</t>
  </si>
  <si>
    <t>Sprayboost 50 X 50 ml</t>
  </si>
  <si>
    <t>Sprayer 3 IN 1 KAN 16 Ltr</t>
  </si>
  <si>
    <t>Sprayer Apung Hokita</t>
  </si>
  <si>
    <t>Sprayer Bonanza 20 X 2 ltr</t>
  </si>
  <si>
    <t>Sprayer Elektrik Joeragan 16 L Battery</t>
  </si>
  <si>
    <t>Sprayer Elektrik Quda Karisma 10 L 1 X 6 pcs</t>
  </si>
  <si>
    <t>Sprayer Elektrik Quda Karisma 16 ltr</t>
  </si>
  <si>
    <t>Sprayer Elektrik Quda Karisma 5 L 1 x 6 pcs</t>
  </si>
  <si>
    <t>Sprayer Hokita 30 X 1 ltr</t>
  </si>
  <si>
    <t>Sprayer Quda Karisma 5 L 1 x 6 pcs (Kuning)</t>
  </si>
  <si>
    <t>Sprayer Senapan Magneto</t>
  </si>
  <si>
    <t>Sprayer Ultra Elektrik New 16 ltr Type 3</t>
  </si>
  <si>
    <t>Sprayer Ultra Elektrik New 16 ltr Type 4</t>
  </si>
  <si>
    <t>Spuyer L 3</t>
  </si>
  <si>
    <t>Spuyer L 8</t>
  </si>
  <si>
    <t>Spuyer LB 4 Stell</t>
  </si>
  <si>
    <t>Spuyer Tunggal / Lancip Star Metal</t>
  </si>
  <si>
    <t>Spyker 135 SL 20 ltr</t>
  </si>
  <si>
    <t>L240524</t>
  </si>
  <si>
    <t>Spyker 135 SL 20 X 1 ltr</t>
  </si>
  <si>
    <t>L270123</t>
  </si>
  <si>
    <t>L200524</t>
  </si>
  <si>
    <t>L140524</t>
  </si>
  <si>
    <t>Spyker 135 SL 4 X 5 ltr</t>
  </si>
  <si>
    <t>Stainless Steel Clip Yamaha</t>
  </si>
  <si>
    <t>Stand Fan Panalux</t>
  </si>
  <si>
    <t>Starcide 400 EC 100 gr</t>
  </si>
  <si>
    <t>Stargate 0.5 GR 10 X 2 kg</t>
  </si>
  <si>
    <t>Starkuat 135 SL 20 ltr</t>
  </si>
  <si>
    <t>Starkuat 135 SL 20 X 1 ltr</t>
  </si>
  <si>
    <t>Starkuat 135 SL 4 X 5 ltr</t>
  </si>
  <si>
    <t>Starphos 40 X 500 ml</t>
  </si>
  <si>
    <t>Stick / Spindle Body Pc</t>
  </si>
  <si>
    <t>Suica 50/20 WG 5 X 10 X 100 gr</t>
  </si>
  <si>
    <t>Suica 50/20 WG 5 X 40 X 25 gr</t>
  </si>
  <si>
    <t>Switch Off 62.5 WG 20 X 20 X 20 gr</t>
  </si>
  <si>
    <t>RA22RNS1757</t>
  </si>
  <si>
    <t>Symbisect 2/30 WG 100 X 50 gr</t>
  </si>
  <si>
    <t>2022ES0730</t>
  </si>
  <si>
    <t>Symbisect 2/30 WG 50 X 100 gr</t>
  </si>
  <si>
    <t>Symbisect 2/30 WG 75 X 100 gr</t>
  </si>
  <si>
    <t>Symphony Plus 32 X 250 ml</t>
  </si>
  <si>
    <t>ADV2012002</t>
  </si>
  <si>
    <t>ADV094A001</t>
  </si>
  <si>
    <t>Symphony Plus 40 X 100 ml</t>
  </si>
  <si>
    <t>ADV173A001</t>
  </si>
  <si>
    <t>Tabung Kosong</t>
  </si>
  <si>
    <t>Tabung Pompa Komplit 14 ltr</t>
  </si>
  <si>
    <t>Tali Bahu EDD</t>
  </si>
  <si>
    <t>Tali Gawar 989 40 X 600 gr</t>
  </si>
  <si>
    <t>Tali Gendong</t>
  </si>
  <si>
    <t>Tali Gendong GA</t>
  </si>
  <si>
    <t>Tali Gendong Hijau Star Metal</t>
  </si>
  <si>
    <t>Tali Kapas Cap Kelud 15 X 900 gr (Putih)</t>
  </si>
  <si>
    <t>Tali Kapas Cap Kelud 28 X 450 gr (Putih)</t>
  </si>
  <si>
    <t>Tali Surya</t>
  </si>
  <si>
    <t>Tamicor 250 EC 40 X 100 ml</t>
  </si>
  <si>
    <t>Tamoxanil 6/24 WP 20 X 400 gr</t>
  </si>
  <si>
    <t>Tampidor 200 SL 40 X 100 ml</t>
  </si>
  <si>
    <t>I2257301NE</t>
  </si>
  <si>
    <t>Tampidor 200 SL 40 X 200 ml</t>
  </si>
  <si>
    <t>Tampidor 25 WP 100 X 100 gr</t>
  </si>
  <si>
    <t>I321M201NE</t>
  </si>
  <si>
    <t>I316030102NE</t>
  </si>
  <si>
    <t>Tamuldok 25 EC 20 X 250 ml</t>
  </si>
  <si>
    <t>BS227I301NE</t>
  </si>
  <si>
    <t>Tamuldok 25 EC 20 X 500 ml</t>
  </si>
  <si>
    <t>BS274R301NE</t>
  </si>
  <si>
    <t>Tang Lipat set</t>
  </si>
  <si>
    <t>Tangki ABC 16 ltr BTR (Kuning)</t>
  </si>
  <si>
    <t>Tangki ABC 20 Ltr-7</t>
  </si>
  <si>
    <t>Tangki Dragon Star 16 ltr baterai (Biru)</t>
  </si>
  <si>
    <t>Tangki Dragon Star 16 ltr baterai (Hijau)</t>
  </si>
  <si>
    <t>Tangki Eye Brand 17 ltr</t>
  </si>
  <si>
    <t>Tangki Jacto 16 ltr</t>
  </si>
  <si>
    <t>Bonus Ambest</t>
  </si>
  <si>
    <t>Tangki Star Metal Knapsack Sprayer 14 ltr</t>
  </si>
  <si>
    <t>Tangki Swan 16 ltr (BTR)</t>
  </si>
  <si>
    <t>Tangki Swan 16 ltr F (BTR)</t>
  </si>
  <si>
    <t>Tangki Swan 16 ltr F (BTR) Bisi</t>
  </si>
  <si>
    <t>Tangki Swan 16 ltr F (BTR) Kuningan</t>
  </si>
  <si>
    <t>Tangki TOP AGRI Double Fungsi 16 ltr baterai</t>
  </si>
  <si>
    <t>Tangki TOP AGRI Single Fungsi 16 ltr baterai</t>
  </si>
  <si>
    <t>Tangki Yama Power 16 ltr</t>
  </si>
  <si>
    <t>Tidak Layak Jual</t>
  </si>
  <si>
    <t>Tangki Yoto 14 ltr SS BTR</t>
  </si>
  <si>
    <t>Termikon 15 EC 20 X 400 ml</t>
  </si>
  <si>
    <t>Termikon 15 EC 50 X 100 ml</t>
  </si>
  <si>
    <t>Terminator 135 EC 20 X 500 ml</t>
  </si>
  <si>
    <t>21AD0206</t>
  </si>
  <si>
    <t>Terminator 135 EC 40 X 250 ml</t>
  </si>
  <si>
    <t>23GAT0101</t>
  </si>
  <si>
    <t>23GAT1041</t>
  </si>
  <si>
    <t>Terong Bungo 12 X 20 X 5 gr</t>
  </si>
  <si>
    <t>Terong Hijo 12 X 15 X 10 gr</t>
  </si>
  <si>
    <t>Terong Kenari 12 X 15 X 10 gr</t>
  </si>
  <si>
    <t>Terong Welut 12 X 15 X 10 gr</t>
  </si>
  <si>
    <t>Throne 250 EC 20 X 250 ml</t>
  </si>
  <si>
    <t>1101DD1151</t>
  </si>
  <si>
    <t>Throne 250 EC 20 X 500 ml</t>
  </si>
  <si>
    <t>3001CC3011</t>
  </si>
  <si>
    <t>Timun Micro 203 20 X 20 X 10 gr</t>
  </si>
  <si>
    <t>Timun Pesona 20 20 X 6 X 20 gr</t>
  </si>
  <si>
    <t>Timun Renes F1 12 X 15 X 10 gr</t>
  </si>
  <si>
    <t>Timun Semi F1 12 X 10 X 20 gr</t>
  </si>
  <si>
    <t>Timun Wuku 12 X 10 X 20 gr</t>
  </si>
  <si>
    <t>Tomat Comodor 20 X 20 X 5 gr</t>
  </si>
  <si>
    <t>Tomat Corona 402 20 X 20 X 5 gr</t>
  </si>
  <si>
    <t>Tomat Mawar 12 X 15 X 10 gr</t>
  </si>
  <si>
    <t>Tombol Regulator</t>
  </si>
  <si>
    <t>Topbas 400 SC 25 X 100 ml</t>
  </si>
  <si>
    <t>Topbas 400 SC 50 X 50 ml</t>
  </si>
  <si>
    <t>Topi Agricon</t>
  </si>
  <si>
    <t>Topi Bayer</t>
  </si>
  <si>
    <t>Topi Jagung Bisi</t>
  </si>
  <si>
    <t>Topi Mulsa Hanoman</t>
  </si>
  <si>
    <t>Topi Orbit</t>
  </si>
  <si>
    <t>Topi Pertiwi</t>
  </si>
  <si>
    <t>Topi PT Karisma</t>
  </si>
  <si>
    <t>Topi Rimba Atonik</t>
  </si>
  <si>
    <t>Topi Syngenta</t>
  </si>
  <si>
    <t>Topida 25 WP 100 X 100 gr</t>
  </si>
  <si>
    <t>Topida 25 WP 50 X 100 gr</t>
  </si>
  <si>
    <t>Topjos 300 SL 20 X 1 ltr</t>
  </si>
  <si>
    <t>Topsil B/K 30 X 450 gr</t>
  </si>
  <si>
    <t>Topsindo 70 WP 20 X 500 gr</t>
  </si>
  <si>
    <t>Tori 50 WP 5 X 100 gr (Sample)</t>
  </si>
  <si>
    <t>Trigard 75 WP 10 X 10 X 50 gr</t>
  </si>
  <si>
    <t>CBT21A429X</t>
  </si>
  <si>
    <t>CBT2IA430X</t>
  </si>
  <si>
    <t>Trigard 75 WP 12 X 10 X 25 gr</t>
  </si>
  <si>
    <t>CBT3BA042X</t>
  </si>
  <si>
    <t>Trip Oil 100 X 50 ml</t>
  </si>
  <si>
    <t>Triple XXX 20 X 1 ltr</t>
  </si>
  <si>
    <t>Triplelima 555 SL 20 X 1 ltr</t>
  </si>
  <si>
    <t>Trisula 450 SL 20 X 1 ltr</t>
  </si>
  <si>
    <t>10922J1201</t>
  </si>
  <si>
    <t>T-Shirt Polo Dithane/Dursban</t>
  </si>
  <si>
    <t>T-Shirt Polo Endure/Nurelle</t>
  </si>
  <si>
    <t>Tuntas 300/100 SL 20 X 1 ltr</t>
  </si>
  <si>
    <t>Tuntas 300/100 SL 20 X 500 ml</t>
  </si>
  <si>
    <t>Tutup Sprayer GA</t>
  </si>
  <si>
    <t>Tutup Tabung 14 ltr Star Metal</t>
  </si>
  <si>
    <t>Tutup Tabung 17 ltr Star Metal</t>
  </si>
  <si>
    <t>Tutup Tangki 20 ltr</t>
  </si>
  <si>
    <t>Tutup Tangki Babel Star Metal</t>
  </si>
  <si>
    <t>TV LED COOCA ANDROID</t>
  </si>
  <si>
    <t>TV LED LG 22"</t>
  </si>
  <si>
    <t>TV LED Samsung 32"</t>
  </si>
  <si>
    <t>TV LED Sharp Aquos 24"</t>
  </si>
  <si>
    <t>TV Samsung Full HD Smart TV 43"</t>
  </si>
  <si>
    <t>Ultrasoline 10 X 2 kg</t>
  </si>
  <si>
    <t>Umbul-umbul Desanto</t>
  </si>
  <si>
    <t>Unigo 400/40 EC 10 X 800 ml</t>
  </si>
  <si>
    <t>Unigo 400/40 EC 25 X 400 ml</t>
  </si>
  <si>
    <t>Unihit 120 SC 100 X 100 ml</t>
  </si>
  <si>
    <t>Unihit 120 SC 100 X 100 ml (Sample)</t>
  </si>
  <si>
    <t>Unihit 120 SC 20 X 500 ml</t>
  </si>
  <si>
    <t>Unihit 120 SC 40 X 250 ml</t>
  </si>
  <si>
    <t>Unirex 141/106 2 C 20 X 200 ml</t>
  </si>
  <si>
    <t>Unirex 141/106 2 C 20 X 400 ml</t>
  </si>
  <si>
    <t>Unirex 141/106 2 C 50 X 100 ml</t>
  </si>
  <si>
    <t>Unista 100 SC 10 X 1 ltr</t>
  </si>
  <si>
    <t>Unista 100 SC 20 X 500 ml</t>
  </si>
  <si>
    <t>Unista 100 SC 40 X 250 ml (Sample)</t>
  </si>
  <si>
    <t>Uprise 50 X 100 ml</t>
  </si>
  <si>
    <t>Vayego 200 SC 100 X 50 ml</t>
  </si>
  <si>
    <t>PI42002408</t>
  </si>
  <si>
    <t>Vayego 200 SC 50 X 100 ml</t>
  </si>
  <si>
    <t>PI41003550</t>
  </si>
  <si>
    <t>PI42003012</t>
  </si>
  <si>
    <t>Ventory 865 SL 400 gr</t>
  </si>
  <si>
    <t>Vertibak 60 SP 50 X 100 gr</t>
  </si>
  <si>
    <t>38122901P1</t>
  </si>
  <si>
    <t>Viaron 80 WP 10 X 1 kg</t>
  </si>
  <si>
    <t>Viaron 80 WP 40 X 250 gr</t>
  </si>
  <si>
    <t>Victar 80 WP 20 X 1 kg</t>
  </si>
  <si>
    <t>F0623J0601</t>
  </si>
  <si>
    <t>F0624B0701</t>
  </si>
  <si>
    <t>F0624B0601</t>
  </si>
  <si>
    <t>F0623J1201</t>
  </si>
  <si>
    <t>F0623L2801</t>
  </si>
  <si>
    <t>Victory 80 WP 20 X 1 kg</t>
  </si>
  <si>
    <t>F0423L0901</t>
  </si>
  <si>
    <t>Virtako 300 SC 10 X 20 X 10 ml</t>
  </si>
  <si>
    <t>CBT2FS2060</t>
  </si>
  <si>
    <t>CBT3ES2068</t>
  </si>
  <si>
    <t>CBT3ES2067</t>
  </si>
  <si>
    <t>CBT3ES2069</t>
  </si>
  <si>
    <t>Virtako 300 SC 100 X 50 ml</t>
  </si>
  <si>
    <t>JAK3ES2066</t>
  </si>
  <si>
    <t>JAK3CS2038</t>
  </si>
  <si>
    <t>JAK3ES2064</t>
  </si>
  <si>
    <t>JAK3ES2062</t>
  </si>
  <si>
    <t>JAK3ES2070</t>
  </si>
  <si>
    <t>JAK3ES2065</t>
  </si>
  <si>
    <t>Virtako 300 SC 50 X 100 ml</t>
  </si>
  <si>
    <t>JAK3GS2071</t>
  </si>
  <si>
    <t>JAK3GS2074</t>
  </si>
  <si>
    <t>JAK3GS2072</t>
  </si>
  <si>
    <t>Vishaka 200 EC 20 X 500 ml</t>
  </si>
  <si>
    <t>Vista 400 SL 100 ml (Sample)</t>
  </si>
  <si>
    <t>Vista 400 SL 16 X 1 ltr</t>
  </si>
  <si>
    <t>Vista 400 SL 20 X 500 ml</t>
  </si>
  <si>
    <t>Vista 400 SL 50 X 200 ml</t>
  </si>
  <si>
    <t>Volt Meter YEP18</t>
  </si>
  <si>
    <t>Walang 50 EC 20 X 1 ltr</t>
  </si>
  <si>
    <t>Walang 50 EC 25 X 400 ml</t>
  </si>
  <si>
    <t>Wendry 75 WP 100 X 100 gr (M2U)</t>
  </si>
  <si>
    <t>Wendry 75 WP 20 X 500 gr (M2U)</t>
  </si>
  <si>
    <t>Win 10 WP 25 X 20 X 10 gr</t>
  </si>
  <si>
    <t>2701CC2761</t>
  </si>
  <si>
    <t>1101DD1130</t>
  </si>
  <si>
    <t>1101DD1039</t>
  </si>
  <si>
    <t>Winda 250 SC 10 X 500 ml</t>
  </si>
  <si>
    <t>Winda 250 SC 20 X 250 ml</t>
  </si>
  <si>
    <t>Winda 250 SC 50 X 100 ml</t>
  </si>
  <si>
    <t>Xycort 550/60 EC 20 X 400 ml</t>
  </si>
  <si>
    <t>Xycort 550/60 EC 20 X 900 ml</t>
  </si>
  <si>
    <t>Yoto Perfume Spray 118 X 120 ml</t>
  </si>
  <si>
    <t>20.11.0147</t>
  </si>
  <si>
    <t>You Stick 20 X 500 ml</t>
  </si>
  <si>
    <t>Zencrop Algi 24 X 500 ml</t>
  </si>
  <si>
    <t>Zencrop Algi 40 X 250 ml</t>
  </si>
  <si>
    <t>Zencrop Algi 60 X 100 ml</t>
  </si>
  <si>
    <t>Zenpro Mix 24 X 500 ml</t>
  </si>
  <si>
    <t>Zenpro Mix 40 X 250 ml</t>
  </si>
  <si>
    <t>Zenpro Mix 60 X 100 ml</t>
  </si>
  <si>
    <t>Zenpro NPK 15 X 1 ltr</t>
  </si>
  <si>
    <t>Zentech Poster Ambest Kutu Kebul</t>
  </si>
  <si>
    <t>Zinc 6 X 200 X 1 gr</t>
  </si>
  <si>
    <t>ZNURECOTE 50 kg</t>
  </si>
  <si>
    <t>KODE</t>
  </si>
  <si>
    <t>DESCRIPTION</t>
  </si>
  <si>
    <t>UNIT</t>
  </si>
  <si>
    <t>NAMAGUDANG</t>
  </si>
  <si>
    <t>KELOMPOK</t>
  </si>
  <si>
    <t>JENIS</t>
  </si>
  <si>
    <t>MERK</t>
  </si>
  <si>
    <t>QTY</t>
  </si>
  <si>
    <t>QTYLOT</t>
  </si>
  <si>
    <t>NOMOR_LOT</t>
  </si>
  <si>
    <t>TGLPRODUKSI</t>
  </si>
  <si>
    <t>TGLKADALUARSA</t>
  </si>
  <si>
    <t>QABAC01</t>
  </si>
  <si>
    <t>Btl</t>
  </si>
  <si>
    <t>Insektisida</t>
  </si>
  <si>
    <t>Abacell 18 EC</t>
  </si>
  <si>
    <t>QABAC04</t>
  </si>
  <si>
    <t>QABAC07</t>
  </si>
  <si>
    <t>QABAD02</t>
  </si>
  <si>
    <t>Pack</t>
  </si>
  <si>
    <t>Fungisida</t>
  </si>
  <si>
    <t>Abado 50 WP</t>
  </si>
  <si>
    <t>QABAD01</t>
  </si>
  <si>
    <t>QABEN01</t>
  </si>
  <si>
    <t>Abenz 22 EC</t>
  </si>
  <si>
    <t>QABEN02</t>
  </si>
  <si>
    <t>QABOJ02</t>
  </si>
  <si>
    <t>Moluskisida</t>
  </si>
  <si>
    <t>Abojo 60 WP</t>
  </si>
  <si>
    <t>QABOJ01</t>
  </si>
  <si>
    <t>QACAP02</t>
  </si>
  <si>
    <t>Acapela System 280 SC</t>
  </si>
  <si>
    <t>AACCO03</t>
  </si>
  <si>
    <t>No Group</t>
  </si>
  <si>
    <t>QACCO01</t>
  </si>
  <si>
    <t>Accora 100 EC</t>
  </si>
  <si>
    <t>AACCU01</t>
  </si>
  <si>
    <t>Pcs</t>
  </si>
  <si>
    <t>1/1/1000</t>
  </si>
  <si>
    <t>QACCU05</t>
  </si>
  <si>
    <t>QACEO02</t>
  </si>
  <si>
    <t>Ace One 75 SP</t>
  </si>
  <si>
    <t>QACEO04</t>
  </si>
  <si>
    <t>QACHL01</t>
  </si>
  <si>
    <t>Herbisida</t>
  </si>
  <si>
    <t>Achlor 47/36 WP</t>
  </si>
  <si>
    <t>QACL02</t>
  </si>
  <si>
    <t>ACL 6 865 SL</t>
  </si>
  <si>
    <t>QACL01</t>
  </si>
  <si>
    <t>QACRO03</t>
  </si>
  <si>
    <t>Acrobat 50 WP</t>
  </si>
  <si>
    <t>QADRI02</t>
  </si>
  <si>
    <t>Adrift 125 EC</t>
  </si>
  <si>
    <t>QADRI01</t>
  </si>
  <si>
    <t>QAFON04</t>
  </si>
  <si>
    <t>Afonil 50 SC</t>
  </si>
  <si>
    <t>QAFON03</t>
  </si>
  <si>
    <t>QAFON01</t>
  </si>
  <si>
    <t>AAFON01</t>
  </si>
  <si>
    <t>QAFON02</t>
  </si>
  <si>
    <t>QAGAP02</t>
  </si>
  <si>
    <t>QAGAP01</t>
  </si>
  <si>
    <t>QAGIL01</t>
  </si>
  <si>
    <t>Agil 100 EC</t>
  </si>
  <si>
    <t>QAGIL02</t>
  </si>
  <si>
    <t>QAGRI06</t>
  </si>
  <si>
    <t>Perata</t>
  </si>
  <si>
    <t>Agridex 715 EC</t>
  </si>
  <si>
    <t>QAGRI07</t>
  </si>
  <si>
    <t>Agrimec 18 EC</t>
  </si>
  <si>
    <t>QAGRI04</t>
  </si>
  <si>
    <t>Perata &amp; Perekat</t>
  </si>
  <si>
    <t>Agristik 400 L</t>
  </si>
  <si>
    <t>QAGRO02</t>
  </si>
  <si>
    <t>ZPT</t>
  </si>
  <si>
    <t>Agrogib 40 SL</t>
  </si>
  <si>
    <t>QAGUS01</t>
  </si>
  <si>
    <t>Agus 500 SC</t>
  </si>
  <si>
    <t>QAGUS02</t>
  </si>
  <si>
    <t>QAJIN01</t>
  </si>
  <si>
    <t>Ajin 70 WP</t>
  </si>
  <si>
    <t>QAKAL01</t>
  </si>
  <si>
    <t>Akalis 550 SC</t>
  </si>
  <si>
    <t>QAKAL02</t>
  </si>
  <si>
    <t>QAKAL03</t>
  </si>
  <si>
    <t>QAKRO02</t>
  </si>
  <si>
    <t>Akrostar 40 WP</t>
  </si>
  <si>
    <t>QAKRO01</t>
  </si>
  <si>
    <t>QALAT09</t>
  </si>
  <si>
    <t>Alat Kocor Pupuk</t>
  </si>
  <si>
    <t>QALAT07</t>
  </si>
  <si>
    <t>QALAT06</t>
  </si>
  <si>
    <t>QALAT19</t>
  </si>
  <si>
    <t>QALAT20</t>
  </si>
  <si>
    <t>QALAT16</t>
  </si>
  <si>
    <t>Alat Service YT 5L</t>
  </si>
  <si>
    <t>QALAT15</t>
  </si>
  <si>
    <t>Alat Tanam Jagung</t>
  </si>
  <si>
    <t>QALAT17</t>
  </si>
  <si>
    <t>Alat Tanam Roll</t>
  </si>
  <si>
    <t>QALAT18</t>
  </si>
  <si>
    <t>QALFA01</t>
  </si>
  <si>
    <t>Alfatox 50 EC</t>
  </si>
  <si>
    <t>QALFA02</t>
  </si>
  <si>
    <t>QALFA04</t>
  </si>
  <si>
    <t>QALIK01</t>
  </si>
  <si>
    <t>Alika 247 ZC</t>
  </si>
  <si>
    <t>AALIK03</t>
  </si>
  <si>
    <t>QALIK02</t>
  </si>
  <si>
    <t>QALIK03</t>
  </si>
  <si>
    <t>QAMAB01</t>
  </si>
  <si>
    <t>Amabas 500 EC</t>
  </si>
  <si>
    <t>QAMAB02</t>
  </si>
  <si>
    <t>QAMAZ01</t>
  </si>
  <si>
    <t>Amazone 80 EC</t>
  </si>
  <si>
    <t>QAMBE02</t>
  </si>
  <si>
    <t>Ambest 100 ME</t>
  </si>
  <si>
    <t>QAMBE01</t>
  </si>
  <si>
    <t>QAMCO19</t>
  </si>
  <si>
    <t>Pail</t>
  </si>
  <si>
    <t>Amco Up 486 SL</t>
  </si>
  <si>
    <t>QAMCO17</t>
  </si>
  <si>
    <t>QAMCO18</t>
  </si>
  <si>
    <t>Gal</t>
  </si>
  <si>
    <t>QAMCO12</t>
  </si>
  <si>
    <t>Amcoron 80 WP</t>
  </si>
  <si>
    <t>QAMEG01</t>
  </si>
  <si>
    <t>Amegu 200 SL</t>
  </si>
  <si>
    <t>QAMIB06</t>
  </si>
  <si>
    <t>Amiboost</t>
  </si>
  <si>
    <t>AAMIB01</t>
  </si>
  <si>
    <t>QAMIB05</t>
  </si>
  <si>
    <t>QAMIB04</t>
  </si>
  <si>
    <t>AAMIB02</t>
  </si>
  <si>
    <t>QAMIB03</t>
  </si>
  <si>
    <t>AAMIB05</t>
  </si>
  <si>
    <t>QAMIB02</t>
  </si>
  <si>
    <t>AAMIB03</t>
  </si>
  <si>
    <t>QAMIB01</t>
  </si>
  <si>
    <t>AAMIC01</t>
  </si>
  <si>
    <t>QAMIN01</t>
  </si>
  <si>
    <t>Pupuk Cair</t>
  </si>
  <si>
    <t>Aminosong</t>
  </si>
  <si>
    <t>AAMIN04</t>
  </si>
  <si>
    <t>AAMIS01</t>
  </si>
  <si>
    <t>QAMIS01</t>
  </si>
  <si>
    <t>Amistartop 325 SC</t>
  </si>
  <si>
    <t>QAMIS03</t>
  </si>
  <si>
    <t>QAMIS02</t>
  </si>
  <si>
    <t>QAMOL01</t>
  </si>
  <si>
    <t>Amolin 300 EC</t>
  </si>
  <si>
    <t>AAMOL01</t>
  </si>
  <si>
    <t>QAMOL02</t>
  </si>
  <si>
    <t>QAMOT04</t>
  </si>
  <si>
    <t>QAMOT03</t>
  </si>
  <si>
    <t>Amotan</t>
  </si>
  <si>
    <t>QAMPA02</t>
  </si>
  <si>
    <t>Ampang 240 SL</t>
  </si>
  <si>
    <t>QAMPA01</t>
  </si>
  <si>
    <t>QAMPA03</t>
  </si>
  <si>
    <t>QAMUR01</t>
  </si>
  <si>
    <t>Amuron 70 EC</t>
  </si>
  <si>
    <t>QAMUR02</t>
  </si>
  <si>
    <t>QANDR02</t>
  </si>
  <si>
    <t>Android 72 EC</t>
  </si>
  <si>
    <t>QANDR03</t>
  </si>
  <si>
    <t>QANDR01</t>
  </si>
  <si>
    <t>QANET06</t>
  </si>
  <si>
    <t>Aneto 0,5 GR</t>
  </si>
  <si>
    <t>QANET07</t>
  </si>
  <si>
    <t>Aneto 50 EC</t>
  </si>
  <si>
    <t>QANET04</t>
  </si>
  <si>
    <t>QANET08</t>
  </si>
  <si>
    <t>QANTR01</t>
  </si>
  <si>
    <t>Antracol 70 WP</t>
  </si>
  <si>
    <t>QANTR02</t>
  </si>
  <si>
    <t>QANTR03</t>
  </si>
  <si>
    <t>QANVI01</t>
  </si>
  <si>
    <t>Anvil 50 SC</t>
  </si>
  <si>
    <t>QANVI02</t>
  </si>
  <si>
    <t>QAPPL01</t>
  </si>
  <si>
    <t>Applaud 10 WP</t>
  </si>
  <si>
    <t>QAPRO03</t>
  </si>
  <si>
    <t>Apropo 200 SE</t>
  </si>
  <si>
    <t>QAPRO04</t>
  </si>
  <si>
    <t>QAREN01</t>
  </si>
  <si>
    <t>Arendi 20/10 WP</t>
  </si>
  <si>
    <t>AARIZ03</t>
  </si>
  <si>
    <t>Arizona 55 EC</t>
  </si>
  <si>
    <t>QARIZ01</t>
  </si>
  <si>
    <t>AARIZ01</t>
  </si>
  <si>
    <t>QARMA01</t>
  </si>
  <si>
    <t>Arma 48/4 WP</t>
  </si>
  <si>
    <t>AARMA01</t>
  </si>
  <si>
    <t>QARME01</t>
  </si>
  <si>
    <t>Armeira 30 WG</t>
  </si>
  <si>
    <t>QASET04</t>
  </si>
  <si>
    <t>Asetop 30 EC</t>
  </si>
  <si>
    <t>QASET03</t>
  </si>
  <si>
    <t>QASET02</t>
  </si>
  <si>
    <t>Asetor 250 EC</t>
  </si>
  <si>
    <t>QASIA03</t>
  </si>
  <si>
    <t>Asia Top 288 SL</t>
  </si>
  <si>
    <t>QASIA01</t>
  </si>
  <si>
    <t>QASIA02</t>
  </si>
  <si>
    <t>QASIA05</t>
  </si>
  <si>
    <t>QASIA08</t>
  </si>
  <si>
    <t>Asiacol 70 WP</t>
  </si>
  <si>
    <t>QASIA06</t>
  </si>
  <si>
    <t>QASIA07</t>
  </si>
  <si>
    <t>QASLI02</t>
  </si>
  <si>
    <t>Aslinya 75 WP</t>
  </si>
  <si>
    <t>QASLI01</t>
  </si>
  <si>
    <t>AASSO01</t>
  </si>
  <si>
    <t>Associate 200 SC</t>
  </si>
  <si>
    <t>QASSO01</t>
  </si>
  <si>
    <t>QASSO02</t>
  </si>
  <si>
    <t>QASTA02</t>
  </si>
  <si>
    <t>Astana 85 WP</t>
  </si>
  <si>
    <t>QATNI03</t>
  </si>
  <si>
    <t>Atnimes 200/20/40 OD</t>
  </si>
  <si>
    <t>QATN02</t>
  </si>
  <si>
    <t>QATNI01</t>
  </si>
  <si>
    <t>QATON07</t>
  </si>
  <si>
    <t>Atonik 6.0 L</t>
  </si>
  <si>
    <t>QATON09</t>
  </si>
  <si>
    <t>QATON08</t>
  </si>
  <si>
    <t>QAURO03</t>
  </si>
  <si>
    <t>Aurora 70 WP</t>
  </si>
  <si>
    <t>QAVID01</t>
  </si>
  <si>
    <t>Avidor 25 WP</t>
  </si>
  <si>
    <t>QAVOR01</t>
  </si>
  <si>
    <t>Avor</t>
  </si>
  <si>
    <t>QAYUN02</t>
  </si>
  <si>
    <t>Ayuna 50 EC</t>
  </si>
  <si>
    <t>QAZIZI01</t>
  </si>
  <si>
    <t>Aziziah 300 / 10 SC</t>
  </si>
  <si>
    <t>QAZTR01</t>
  </si>
  <si>
    <t>Aztro 80 WP</t>
  </si>
  <si>
    <t>ZZBAAL01</t>
  </si>
  <si>
    <t>QBACT02</t>
  </si>
  <si>
    <t>Bakterisida</t>
  </si>
  <si>
    <t>Bactocyn 150 AL</t>
  </si>
  <si>
    <t>QBAGJA01</t>
  </si>
  <si>
    <t>Bag</t>
  </si>
  <si>
    <t>QBAGN01</t>
  </si>
  <si>
    <t>ZZBAJU02</t>
  </si>
  <si>
    <t>ZZBAJU01</t>
  </si>
  <si>
    <t>QBALE01</t>
  </si>
  <si>
    <t>Baledo 250/50 SC</t>
  </si>
  <si>
    <t>QBALE02</t>
  </si>
  <si>
    <t>QBAME01</t>
  </si>
  <si>
    <t>Bamex 18 EC</t>
  </si>
  <si>
    <t>QBAME03</t>
  </si>
  <si>
    <t>QBAME04</t>
  </si>
  <si>
    <t>ABAME02</t>
  </si>
  <si>
    <t>ZZBANN05</t>
  </si>
  <si>
    <t>ZZBANN03</t>
  </si>
  <si>
    <t>QBASF04</t>
  </si>
  <si>
    <t>Basfoliar Aktif</t>
  </si>
  <si>
    <t>QBASF03</t>
  </si>
  <si>
    <t>Basfoliar Combi Stip</t>
  </si>
  <si>
    <t>ABASF01</t>
  </si>
  <si>
    <t>Basfoliar Klep Premium</t>
  </si>
  <si>
    <t>QBASF01</t>
  </si>
  <si>
    <t>QBASG01</t>
  </si>
  <si>
    <t>Basgent 55 SC</t>
  </si>
  <si>
    <t>QBASG04</t>
  </si>
  <si>
    <t>QBASG02</t>
  </si>
  <si>
    <t>QBASG03</t>
  </si>
  <si>
    <t>QBASR03</t>
  </si>
  <si>
    <t>Basrata 150 SL</t>
  </si>
  <si>
    <t>QBASR02</t>
  </si>
  <si>
    <t>QBASR01</t>
  </si>
  <si>
    <t>QBAST03</t>
  </si>
  <si>
    <t>QBATT01</t>
  </si>
  <si>
    <t>ABAUT01</t>
  </si>
  <si>
    <t>Baut</t>
  </si>
  <si>
    <t>ABAUT02</t>
  </si>
  <si>
    <t>ABAUT03</t>
  </si>
  <si>
    <t>QBAWA01</t>
  </si>
  <si>
    <t>Benih Bawang</t>
  </si>
  <si>
    <t>Bawang Bahana</t>
  </si>
  <si>
    <t>QBAYA25</t>
  </si>
  <si>
    <t>Benih Bayam</t>
  </si>
  <si>
    <t>Bayam Belang</t>
  </si>
  <si>
    <t>QBAYA04</t>
  </si>
  <si>
    <t>QBAYC01</t>
  </si>
  <si>
    <t>Baycarb 500 EC</t>
  </si>
  <si>
    <t>QBAYF02</t>
  </si>
  <si>
    <t>PPC</t>
  </si>
  <si>
    <t>Bayfolan</t>
  </si>
  <si>
    <t>QBEEN06</t>
  </si>
  <si>
    <t>Been Toxceer</t>
  </si>
  <si>
    <t>QBEEN09</t>
  </si>
  <si>
    <t>Beensae EM9 Tambak</t>
  </si>
  <si>
    <t>QBEEN02</t>
  </si>
  <si>
    <t>Been Sae EM-9</t>
  </si>
  <si>
    <t>QBEEN05</t>
  </si>
  <si>
    <t>Been Sae KCL Cair</t>
  </si>
  <si>
    <t>3/6/202</t>
  </si>
  <si>
    <t>QBEEN08</t>
  </si>
  <si>
    <t>Khatrol</t>
  </si>
  <si>
    <t>QBEKA01</t>
  </si>
  <si>
    <t>Beka</t>
  </si>
  <si>
    <t>QBELL01</t>
  </si>
  <si>
    <t>Bellator 265 SC</t>
  </si>
  <si>
    <t>ABELT02</t>
  </si>
  <si>
    <t>QBENA01</t>
  </si>
  <si>
    <t>Kg</t>
  </si>
  <si>
    <t>QBENC01</t>
  </si>
  <si>
    <t>Bencore 250 EC</t>
  </si>
  <si>
    <t>QBENC02</t>
  </si>
  <si>
    <t>ABENT04</t>
  </si>
  <si>
    <t>Spare Part</t>
  </si>
  <si>
    <t>Bentpipe</t>
  </si>
  <si>
    <t>QBERN04</t>
  </si>
  <si>
    <t>Bernas 250 EC</t>
  </si>
  <si>
    <t>QBERN03</t>
  </si>
  <si>
    <t>QBEST03</t>
  </si>
  <si>
    <t>Best Up 480 SL</t>
  </si>
  <si>
    <t>ABETT02</t>
  </si>
  <si>
    <t>Better One</t>
  </si>
  <si>
    <t>QBETT01</t>
  </si>
  <si>
    <t>QBIGG07</t>
  </si>
  <si>
    <t>Sach</t>
  </si>
  <si>
    <t>Biggrow 20 WP</t>
  </si>
  <si>
    <t>QBIGG04</t>
  </si>
  <si>
    <t>Biggrow Forte</t>
  </si>
  <si>
    <t>QBIGX03</t>
  </si>
  <si>
    <t>QBIOC07</t>
  </si>
  <si>
    <t>QBIOC01</t>
  </si>
  <si>
    <t>Biochem Umum/Tikus</t>
  </si>
  <si>
    <t>QBIOC06</t>
  </si>
  <si>
    <t>QBION01</t>
  </si>
  <si>
    <t>Bion M 1/48 WP</t>
  </si>
  <si>
    <t>QBION02</t>
  </si>
  <si>
    <t>Bionik 400 EC</t>
  </si>
  <si>
    <t>QBION03</t>
  </si>
  <si>
    <t>ABION10</t>
  </si>
  <si>
    <t>Bionta BSA</t>
  </si>
  <si>
    <t>ABION11</t>
  </si>
  <si>
    <t>QBIOS01</t>
  </si>
  <si>
    <t>Biosoft</t>
  </si>
  <si>
    <t>ABIOS03</t>
  </si>
  <si>
    <t>QBIOS02</t>
  </si>
  <si>
    <t>QBIOS03</t>
  </si>
  <si>
    <t>QBLAC01</t>
  </si>
  <si>
    <t>Blacer Booster Buah 25.79L</t>
  </si>
  <si>
    <t>QBLAC02</t>
  </si>
  <si>
    <t>Blacer Booster Daun 16.85L</t>
  </si>
  <si>
    <t>ABLAC01</t>
  </si>
  <si>
    <t>Selang + Kran</t>
  </si>
  <si>
    <t>QBLAS01</t>
  </si>
  <si>
    <t>Blast 200 SC</t>
  </si>
  <si>
    <t>QBLAS02</t>
  </si>
  <si>
    <t>QBLUE01</t>
  </si>
  <si>
    <t>Bluezeb 80 WP</t>
  </si>
  <si>
    <t>QBM F01</t>
  </si>
  <si>
    <t>BM Flythrin</t>
  </si>
  <si>
    <t>QBML01</t>
  </si>
  <si>
    <t>BM Lamda 50 EC</t>
  </si>
  <si>
    <t>QBM P02</t>
  </si>
  <si>
    <t>BM Promax 75 SP</t>
  </si>
  <si>
    <t>QBM P01</t>
  </si>
  <si>
    <t>QBM Z01</t>
  </si>
  <si>
    <t>BM Zebco 80 WP</t>
  </si>
  <si>
    <t>QBODY01</t>
  </si>
  <si>
    <t>Body YT</t>
  </si>
  <si>
    <t>QBORA01</t>
  </si>
  <si>
    <t>Boral 480 SC</t>
  </si>
  <si>
    <t>QBORO01</t>
  </si>
  <si>
    <t>Boron</t>
  </si>
  <si>
    <t>ABORO01</t>
  </si>
  <si>
    <t>ZZBOTO02</t>
  </si>
  <si>
    <t>ZZBOTO01</t>
  </si>
  <si>
    <t>ZZBOTO03</t>
  </si>
  <si>
    <t>ZZBOTO04</t>
  </si>
  <si>
    <t>ABRAP02</t>
  </si>
  <si>
    <t>Braphon 488 SL</t>
  </si>
  <si>
    <t>QBRAP01</t>
  </si>
  <si>
    <t>ABRAS02</t>
  </si>
  <si>
    <t>Brasso 250 EC</t>
  </si>
  <si>
    <t>QBRAS01</t>
  </si>
  <si>
    <t>ABRAS03</t>
  </si>
  <si>
    <t>QBRAS02</t>
  </si>
  <si>
    <t>QBRAS03</t>
  </si>
  <si>
    <t>QBRAV07</t>
  </si>
  <si>
    <t>Bravoxone 276 SL</t>
  </si>
  <si>
    <t>QBRAV04</t>
  </si>
  <si>
    <t>QBRAV06</t>
  </si>
  <si>
    <t>ZZBROS02</t>
  </si>
  <si>
    <t>QBROS01</t>
  </si>
  <si>
    <t>ZZBROS03</t>
  </si>
  <si>
    <t>ZZBROS04</t>
  </si>
  <si>
    <t>ZZBROS05</t>
  </si>
  <si>
    <t>ZZBUKU05</t>
  </si>
  <si>
    <t>ZZBUKU07</t>
  </si>
  <si>
    <t>ZZBUKU08</t>
  </si>
  <si>
    <t>ZZBUKU06</t>
  </si>
  <si>
    <t>ZZBUKU04</t>
  </si>
  <si>
    <t>QBUNC05</t>
  </si>
  <si>
    <t>Benih Buncis</t>
  </si>
  <si>
    <t>Buncis Elastis</t>
  </si>
  <si>
    <t>QBUNI01</t>
  </si>
  <si>
    <t>Buniken 60/10 WP</t>
  </si>
  <si>
    <t>QBUSI01</t>
  </si>
  <si>
    <t>Busi</t>
  </si>
  <si>
    <t>QCABE01</t>
  </si>
  <si>
    <t>Benih Cabe Besar</t>
  </si>
  <si>
    <t>Cabe Balebat F1</t>
  </si>
  <si>
    <t>QCABE54</t>
  </si>
  <si>
    <t>Cabe Columbus</t>
  </si>
  <si>
    <t>QCABE06</t>
  </si>
  <si>
    <t>Benih Cabe Rawit</t>
  </si>
  <si>
    <t>Cabe Genie</t>
  </si>
  <si>
    <t>QCABE68</t>
  </si>
  <si>
    <t>QCABE53</t>
  </si>
  <si>
    <t>Cabe Horison</t>
  </si>
  <si>
    <t>QCABE60</t>
  </si>
  <si>
    <t>Cabe Imperial</t>
  </si>
  <si>
    <t>QCABE64</t>
  </si>
  <si>
    <t>QCABE62</t>
  </si>
  <si>
    <t>Cabe Ori 212</t>
  </si>
  <si>
    <t>QCABE66</t>
  </si>
  <si>
    <t>QCABE65</t>
  </si>
  <si>
    <t>QCABE36</t>
  </si>
  <si>
    <t>Benih Cabe Kecil</t>
  </si>
  <si>
    <t>Cabe Sigantung</t>
  </si>
  <si>
    <t>QCABE17</t>
  </si>
  <si>
    <t>Cabe Sret</t>
  </si>
  <si>
    <t>QCABE61</t>
  </si>
  <si>
    <t>Cabe Zahra F1</t>
  </si>
  <si>
    <t>QCABR01</t>
  </si>
  <si>
    <t>Cabrio 250 EC</t>
  </si>
  <si>
    <t>QCABR02</t>
  </si>
  <si>
    <t>QCALA01</t>
  </si>
  <si>
    <t>Calaris 550 SC</t>
  </si>
  <si>
    <t>QCALA02</t>
  </si>
  <si>
    <t>QCALA03</t>
  </si>
  <si>
    <t>QCALC02</t>
  </si>
  <si>
    <t>Calcium 99</t>
  </si>
  <si>
    <t>QCALC03</t>
  </si>
  <si>
    <t>Calcium D-Diana</t>
  </si>
  <si>
    <t>QCALG03</t>
  </si>
  <si>
    <t>Calgary 480 SL</t>
  </si>
  <si>
    <t>QCALG01</t>
  </si>
  <si>
    <t>QCALG02</t>
  </si>
  <si>
    <t>QCALI01</t>
  </si>
  <si>
    <t>Caliwa 80 WP</t>
  </si>
  <si>
    <t>QCAMI02</t>
  </si>
  <si>
    <t>QCAM01</t>
  </si>
  <si>
    <t>Camix Gold 200 SL</t>
  </si>
  <si>
    <t>QCAMI01</t>
  </si>
  <si>
    <t>QCAST01</t>
  </si>
  <si>
    <t>Castora 40 SP</t>
  </si>
  <si>
    <t>QCAST02</t>
  </si>
  <si>
    <t>QCAST04</t>
  </si>
  <si>
    <t>QCAUL06</t>
  </si>
  <si>
    <t>Benih Cauli Flower</t>
  </si>
  <si>
    <t>Cauli Flower Kiran</t>
  </si>
  <si>
    <t>QCAUL03</t>
  </si>
  <si>
    <t>Cauli Flower White Shot</t>
  </si>
  <si>
    <t>QCEBA02</t>
  </si>
  <si>
    <t>Ceba 125 EC</t>
  </si>
  <si>
    <t>QCEBA03</t>
  </si>
  <si>
    <t>QCEBA01</t>
  </si>
  <si>
    <t>ZZCELA01</t>
  </si>
  <si>
    <t>ZZCELA02</t>
  </si>
  <si>
    <t>QCELQ01</t>
  </si>
  <si>
    <t>Celquat 276 SL</t>
  </si>
  <si>
    <t>QCELQ02</t>
  </si>
  <si>
    <t>QCENT12</t>
  </si>
  <si>
    <t>Centaxone 135 SL</t>
  </si>
  <si>
    <t>QCHAM01</t>
  </si>
  <si>
    <t>Champion 77 WP</t>
  </si>
  <si>
    <t>QCHAR02</t>
  </si>
  <si>
    <t>ACHAR03</t>
  </si>
  <si>
    <t>Charger Tangki</t>
  </si>
  <si>
    <t>QCHIE02</t>
  </si>
  <si>
    <t>QCOBR01</t>
  </si>
  <si>
    <t>Cobra 15 EC</t>
  </si>
  <si>
    <t>QCOBR02</t>
  </si>
  <si>
    <t>QCOBR04</t>
  </si>
  <si>
    <t>ACOBR04</t>
  </si>
  <si>
    <t>QCONF02</t>
  </si>
  <si>
    <t>Confidor 200 SL</t>
  </si>
  <si>
    <t>QCONF05</t>
  </si>
  <si>
    <t>Confidor Extra 350 SC</t>
  </si>
  <si>
    <t>QCONT01</t>
  </si>
  <si>
    <t>Contac Nil 75 WP</t>
  </si>
  <si>
    <t>QCORI02</t>
  </si>
  <si>
    <t>Corida 50 SC</t>
  </si>
  <si>
    <t>QCORI01</t>
  </si>
  <si>
    <t>QCOUN05</t>
  </si>
  <si>
    <t>Council Complete SC 300</t>
  </si>
  <si>
    <t>QCOUN06</t>
  </si>
  <si>
    <t>QCOWI01</t>
  </si>
  <si>
    <t>Cowin 550 EC</t>
  </si>
  <si>
    <t>QCOYO02</t>
  </si>
  <si>
    <t>QCOYO01</t>
  </si>
  <si>
    <t>QCURA01</t>
  </si>
  <si>
    <t>Curacron 500 EC</t>
  </si>
  <si>
    <t>QCURA02</t>
  </si>
  <si>
    <t>QCURA04</t>
  </si>
  <si>
    <t>Curaterr 3 GR</t>
  </si>
  <si>
    <t>QCYMB03</t>
  </si>
  <si>
    <t>Cymbush 50 EC</t>
  </si>
  <si>
    <t>QCYMO03</t>
  </si>
  <si>
    <t>Cymoxan 15 WP</t>
  </si>
  <si>
    <t>QCYPE01</t>
  </si>
  <si>
    <t>Cypertop 200 EW</t>
  </si>
  <si>
    <t>QDAMA01</t>
  </si>
  <si>
    <t>Damazeb 80 WP</t>
  </si>
  <si>
    <t>QDAME01</t>
  </si>
  <si>
    <t>Damex 18 EC</t>
  </si>
  <si>
    <t>QDAME02</t>
  </si>
  <si>
    <t>QDANA03</t>
  </si>
  <si>
    <t>Danaxone 135 SL</t>
  </si>
  <si>
    <t>QDANA01</t>
  </si>
  <si>
    <t>QDANA02</t>
  </si>
  <si>
    <t>QDECI01</t>
  </si>
  <si>
    <t>Decis 2,5 EC</t>
  </si>
  <si>
    <t>QDECI02</t>
  </si>
  <si>
    <t>ADECI03</t>
  </si>
  <si>
    <t>QDECI03</t>
  </si>
  <si>
    <t>QDECI05</t>
  </si>
  <si>
    <t>QDEKA07</t>
  </si>
  <si>
    <t>Dekamon 22,43 L</t>
  </si>
  <si>
    <t>QDEKA03</t>
  </si>
  <si>
    <t>QDEKA04</t>
  </si>
  <si>
    <t>Dekapirim 400 SC</t>
  </si>
  <si>
    <t>QDEKA05</t>
  </si>
  <si>
    <t>QDEKT03</t>
  </si>
  <si>
    <t>Dektin 30 WG</t>
  </si>
  <si>
    <t>QDEKT01</t>
  </si>
  <si>
    <t>QDEKT02</t>
  </si>
  <si>
    <t>QDELL03</t>
  </si>
  <si>
    <t>Dellacid 525 EC</t>
  </si>
  <si>
    <t>QDELL04</t>
  </si>
  <si>
    <t>QDELL01</t>
  </si>
  <si>
    <t>ZZDEMO01</t>
  </si>
  <si>
    <t>ZZDEMO07</t>
  </si>
  <si>
    <t>ZZDEMO04</t>
  </si>
  <si>
    <t>ZZDEMO03</t>
  </si>
  <si>
    <t>ZZDEMO06</t>
  </si>
  <si>
    <t>ZZDEMO02</t>
  </si>
  <si>
    <t>ZZDEMO05</t>
  </si>
  <si>
    <t>QDESA01</t>
  </si>
  <si>
    <t>Desanto 200 SL</t>
  </si>
  <si>
    <t>ADESA01</t>
  </si>
  <si>
    <t>ADESA02</t>
  </si>
  <si>
    <t>QDESA02</t>
  </si>
  <si>
    <t>QDEWA01</t>
  </si>
  <si>
    <t>Dewa Dewi</t>
  </si>
  <si>
    <t>QDEWA02</t>
  </si>
  <si>
    <t>ADEWA01</t>
  </si>
  <si>
    <t>ADINA02</t>
  </si>
  <si>
    <t>QDINA04</t>
  </si>
  <si>
    <t>ADINA01</t>
  </si>
  <si>
    <t>QDINA01</t>
  </si>
  <si>
    <t>Dinamo Yoto Elektrik</t>
  </si>
  <si>
    <t>QDIND01</t>
  </si>
  <si>
    <t>Dinda Grow Booster Act</t>
  </si>
  <si>
    <t>ZZDISP03</t>
  </si>
  <si>
    <t>QDKDU01</t>
  </si>
  <si>
    <t>DK Duopro 490 EC</t>
  </si>
  <si>
    <t>QDKFE02</t>
  </si>
  <si>
    <t>DK Fenzo 120 SC</t>
  </si>
  <si>
    <t>QDKFE01</t>
  </si>
  <si>
    <t>QDKFE03</t>
  </si>
  <si>
    <t>ADONE01</t>
  </si>
  <si>
    <t>Done 200 EC</t>
  </si>
  <si>
    <t>QDONK04</t>
  </si>
  <si>
    <t>Donkey 40 WP</t>
  </si>
  <si>
    <t>ADOUB01</t>
  </si>
  <si>
    <t>QDURU02</t>
  </si>
  <si>
    <t>Durus 70 WG</t>
  </si>
  <si>
    <t>ADURU01</t>
  </si>
  <si>
    <t>QDURU01</t>
  </si>
  <si>
    <t>QEDO01</t>
  </si>
  <si>
    <t>Edo 25 WG</t>
  </si>
  <si>
    <t>QELAZ02</t>
  </si>
  <si>
    <t>Elazaro 17/8 WG</t>
  </si>
  <si>
    <t>QELAZ01</t>
  </si>
  <si>
    <t>AEM-401</t>
  </si>
  <si>
    <t>EM-4 Pertanian (LK)</t>
  </si>
  <si>
    <t>QEM-403</t>
  </si>
  <si>
    <t>QEM-402</t>
  </si>
  <si>
    <t>EM-4 Tambak (LM)</t>
  </si>
  <si>
    <t>QEM-401</t>
  </si>
  <si>
    <t>EM-4 Ternak (LC)</t>
  </si>
  <si>
    <t>QEMAC04</t>
  </si>
  <si>
    <t>Emacel 30 EC</t>
  </si>
  <si>
    <t>AEMAC03</t>
  </si>
  <si>
    <t>QEMAC03</t>
  </si>
  <si>
    <t>QEMAC05</t>
  </si>
  <si>
    <t>QEMAC01</t>
  </si>
  <si>
    <t>QEMAP06</t>
  </si>
  <si>
    <t>Emaplus 50 EC</t>
  </si>
  <si>
    <t>AEMAP06</t>
  </si>
  <si>
    <t>QEMAP05</t>
  </si>
  <si>
    <t>QEMAP04</t>
  </si>
  <si>
    <t>QEMAP08</t>
  </si>
  <si>
    <t>AEMAP01</t>
  </si>
  <si>
    <t>QEMAP03</t>
  </si>
  <si>
    <t>AEMPR07</t>
  </si>
  <si>
    <t>QEMAP07</t>
  </si>
  <si>
    <t>Emapro 20/160 OD</t>
  </si>
  <si>
    <t>ZZEMBE01</t>
  </si>
  <si>
    <t>QEMCL01</t>
  </si>
  <si>
    <t>Emclopir 300/20 EC</t>
  </si>
  <si>
    <t>QEMCL02</t>
  </si>
  <si>
    <t>AEMPO01</t>
  </si>
  <si>
    <t>Empower</t>
  </si>
  <si>
    <t>QETHR02</t>
  </si>
  <si>
    <t>Ethrel 480 SL</t>
  </si>
  <si>
    <t>QEKST04</t>
  </si>
  <si>
    <t>AFAN01</t>
  </si>
  <si>
    <t>QFAST07</t>
  </si>
  <si>
    <t>Fastick 400 SL</t>
  </si>
  <si>
    <t>QFAST08</t>
  </si>
  <si>
    <t>Fastquat 276 SL</t>
  </si>
  <si>
    <t>QFENP01</t>
  </si>
  <si>
    <t>Fenprozole 500 EC</t>
  </si>
  <si>
    <t>QFENT04</t>
  </si>
  <si>
    <t>Fenticide 200 EC</t>
  </si>
  <si>
    <t>QFENT03</t>
  </si>
  <si>
    <t>Fentolin 200 EC</t>
  </si>
  <si>
    <t>QFENT02</t>
  </si>
  <si>
    <t>QFENV01</t>
  </si>
  <si>
    <t>Fenval 200 EC</t>
  </si>
  <si>
    <t>QFENV05</t>
  </si>
  <si>
    <t>QFENV03</t>
  </si>
  <si>
    <t>QFENV04</t>
  </si>
  <si>
    <t>QFERA03</t>
  </si>
  <si>
    <t>Ferancher 100 EC</t>
  </si>
  <si>
    <t>QFETR02</t>
  </si>
  <si>
    <t>QFILI01</t>
  </si>
  <si>
    <t>Filia 525 SE</t>
  </si>
  <si>
    <t>AFILI01</t>
  </si>
  <si>
    <t>QFILI02</t>
  </si>
  <si>
    <t>QFLAS01</t>
  </si>
  <si>
    <t>Flash</t>
  </si>
  <si>
    <t>QFOLI04</t>
  </si>
  <si>
    <t>Folirfos 400 SL</t>
  </si>
  <si>
    <t>QFOLI05</t>
  </si>
  <si>
    <t>QFOLI09</t>
  </si>
  <si>
    <t>QFORM01</t>
  </si>
  <si>
    <t>Format 360/120 SL</t>
  </si>
  <si>
    <t>QFORS01</t>
  </si>
  <si>
    <t>Forsil</t>
  </si>
  <si>
    <t>QFORS02</t>
  </si>
  <si>
    <t>AFORT01</t>
  </si>
  <si>
    <t>QFUNG02</t>
  </si>
  <si>
    <t>Fungidex 40 WP</t>
  </si>
  <si>
    <t>QGABU01</t>
  </si>
  <si>
    <t>GA Bunga Buah</t>
  </si>
  <si>
    <t>QGACA01</t>
  </si>
  <si>
    <t>GA Cabe</t>
  </si>
  <si>
    <t>QGAJA01</t>
  </si>
  <si>
    <t>GA Jagung</t>
  </si>
  <si>
    <t>AGAJA02</t>
  </si>
  <si>
    <t>QGAJE01</t>
  </si>
  <si>
    <t>GA Jeruk</t>
  </si>
  <si>
    <t>QGAPA01</t>
  </si>
  <si>
    <t>GA Padi</t>
  </si>
  <si>
    <t>QGAPL01</t>
  </si>
  <si>
    <t>Ga Plus 20TB</t>
  </si>
  <si>
    <t>QGARE01</t>
  </si>
  <si>
    <t>GA Recovery</t>
  </si>
  <si>
    <t>QGASA01</t>
  </si>
  <si>
    <t>GA Sayur Daun</t>
  </si>
  <si>
    <t>QGALL12</t>
  </si>
  <si>
    <t>Gallery 403 SL</t>
  </si>
  <si>
    <t>QGALL14</t>
  </si>
  <si>
    <t>QGALL03</t>
  </si>
  <si>
    <t>QGAME01</t>
  </si>
  <si>
    <t>Gamectin 30 EC</t>
  </si>
  <si>
    <t>QGAME03</t>
  </si>
  <si>
    <t>QGAME02</t>
  </si>
  <si>
    <t>QGAND01</t>
  </si>
  <si>
    <t>Pupuk Daun</t>
  </si>
  <si>
    <t>Gandasil B</t>
  </si>
  <si>
    <t>QGAND02</t>
  </si>
  <si>
    <t>QGAND03</t>
  </si>
  <si>
    <t>Gandasil D</t>
  </si>
  <si>
    <t>QGAND04</t>
  </si>
  <si>
    <t>QGANE01</t>
  </si>
  <si>
    <t>Ganero 250 EC</t>
  </si>
  <si>
    <t>QGANE02</t>
  </si>
  <si>
    <t>QGANE03</t>
  </si>
  <si>
    <t>AGARD01</t>
  </si>
  <si>
    <t>Gardara 10 SP</t>
  </si>
  <si>
    <t>QGARD01</t>
  </si>
  <si>
    <t>ZZGELA01</t>
  </si>
  <si>
    <t>ZZGELA03</t>
  </si>
  <si>
    <t>ZZGELA06</t>
  </si>
  <si>
    <t>ZZGELA07</t>
  </si>
  <si>
    <t>QGEMI01</t>
  </si>
  <si>
    <t>Gemilang 110 EC</t>
  </si>
  <si>
    <t>QGENI03</t>
  </si>
  <si>
    <t>Genitop 138 SL</t>
  </si>
  <si>
    <t>QGENI01</t>
  </si>
  <si>
    <t>QGENI02</t>
  </si>
  <si>
    <t>QGOLD15</t>
  </si>
  <si>
    <t>Golden Gro Akar</t>
  </si>
  <si>
    <t>QGOLD17</t>
  </si>
  <si>
    <t>QGOLD07</t>
  </si>
  <si>
    <t>QGOLD19</t>
  </si>
  <si>
    <t>QGOLD18</t>
  </si>
  <si>
    <t>QGGAM01</t>
  </si>
  <si>
    <t>GG Amino</t>
  </si>
  <si>
    <t>QGOLD16</t>
  </si>
  <si>
    <t>Golden Gro Bunga</t>
  </si>
  <si>
    <t>QGOLD09</t>
  </si>
  <si>
    <t>QGOLD13</t>
  </si>
  <si>
    <t>GG Cuaca</t>
  </si>
  <si>
    <t>QGOLD10</t>
  </si>
  <si>
    <t>Golden Gro</t>
  </si>
  <si>
    <t>QGIBA03</t>
  </si>
  <si>
    <t>Gibas 240 SL</t>
  </si>
  <si>
    <t>QGIBA01</t>
  </si>
  <si>
    <t>QGIBG03</t>
  </si>
  <si>
    <t>Gibgro 10 SP</t>
  </si>
  <si>
    <t>QGIBG04</t>
  </si>
  <si>
    <t>QGRIB01</t>
  </si>
  <si>
    <t>Gibraz 20/125 OD</t>
  </si>
  <si>
    <t>QGRIB03</t>
  </si>
  <si>
    <t>QGRIB02</t>
  </si>
  <si>
    <t>QGLIF04</t>
  </si>
  <si>
    <t>QGLOV02</t>
  </si>
  <si>
    <t>Glove 240 EC</t>
  </si>
  <si>
    <t>QGLOV03</t>
  </si>
  <si>
    <t>QGLOV01</t>
  </si>
  <si>
    <t>QGLYK01</t>
  </si>
  <si>
    <t>QGOAL02</t>
  </si>
  <si>
    <t>Goal 240 EC</t>
  </si>
  <si>
    <t>QGOLD01</t>
  </si>
  <si>
    <t>Goldstar 250 EC</t>
  </si>
  <si>
    <t>QGOLD12</t>
  </si>
  <si>
    <t>Perekat</t>
  </si>
  <si>
    <t>Gold Stick</t>
  </si>
  <si>
    <t>QGOLD11</t>
  </si>
  <si>
    <t>QGOLD14</t>
  </si>
  <si>
    <t>Golden Star 100/300 SL</t>
  </si>
  <si>
    <t>ZZGRAN01</t>
  </si>
  <si>
    <t>AGRAN01</t>
  </si>
  <si>
    <t>Grandally 25 WP</t>
  </si>
  <si>
    <t>QGRAN01</t>
  </si>
  <si>
    <t>QGRAN04</t>
  </si>
  <si>
    <t>QGRAS01</t>
  </si>
  <si>
    <t>Grasso 480 SL</t>
  </si>
  <si>
    <t>QGRAS02</t>
  </si>
  <si>
    <t>QGRAS03</t>
  </si>
  <si>
    <t>QGREE02</t>
  </si>
  <si>
    <t>Greentop</t>
  </si>
  <si>
    <t>QGREE01</t>
  </si>
  <si>
    <t>AGUNT02</t>
  </si>
  <si>
    <t>Gunting</t>
  </si>
  <si>
    <t>Gunting Gland 7" Lady Pruner 05-219</t>
  </si>
  <si>
    <t>AGUNT01</t>
  </si>
  <si>
    <t>Gunting Gland8"Bypass Pruner,05-203</t>
  </si>
  <si>
    <t>QGWMA05</t>
  </si>
  <si>
    <t>GW Magicgro G6</t>
  </si>
  <si>
    <t>AGWMA03</t>
  </si>
  <si>
    <t>QGWMA02</t>
  </si>
  <si>
    <t>AGWSA01</t>
  </si>
  <si>
    <t>GW Sanilan</t>
  </si>
  <si>
    <t>AGWVI02</t>
  </si>
  <si>
    <t>GW Vit B1+B6</t>
  </si>
  <si>
    <t>QGWVI07</t>
  </si>
  <si>
    <t>QGWVI01</t>
  </si>
  <si>
    <t>QGWVI08</t>
  </si>
  <si>
    <t>AHAND03</t>
  </si>
  <si>
    <t>QHAND01</t>
  </si>
  <si>
    <t>Sparepart Lain - Lain</t>
  </si>
  <si>
    <t>ZZHAND08</t>
  </si>
  <si>
    <t>QHARA01</t>
  </si>
  <si>
    <t>Hara Garuda</t>
  </si>
  <si>
    <t>QHER01</t>
  </si>
  <si>
    <t>Herole 240 SC</t>
  </si>
  <si>
    <t>QHERO01</t>
  </si>
  <si>
    <t>Herozeb 80 WP</t>
  </si>
  <si>
    <t>QHEXA08</t>
  </si>
  <si>
    <t>Hexacar 100 SC</t>
  </si>
  <si>
    <t>QHEXA04</t>
  </si>
  <si>
    <t>QHEXA07</t>
  </si>
  <si>
    <t>QHEXA02</t>
  </si>
  <si>
    <t>QHEXA06</t>
  </si>
  <si>
    <t>Hexagold 75 WP</t>
  </si>
  <si>
    <t>QHEXA05</t>
  </si>
  <si>
    <t>QHIDR01</t>
  </si>
  <si>
    <t>Nematisida, Fungisida, Insektisida</t>
  </si>
  <si>
    <t>Hidrofur 3 G</t>
  </si>
  <si>
    <t>AHIJA01</t>
  </si>
  <si>
    <t>Hijau</t>
  </si>
  <si>
    <t>AHIPR01</t>
  </si>
  <si>
    <t>QHIPR01</t>
  </si>
  <si>
    <t>QHOKK03</t>
  </si>
  <si>
    <t>Hoky 30 EC</t>
  </si>
  <si>
    <t>QHOKK01</t>
  </si>
  <si>
    <t>QHOTS02</t>
  </si>
  <si>
    <t>QHOTS01</t>
  </si>
  <si>
    <t>Hotshot 200 EC</t>
  </si>
  <si>
    <t>ZZHUAN01</t>
  </si>
  <si>
    <t>Handphone</t>
  </si>
  <si>
    <t>QIJOK01</t>
  </si>
  <si>
    <t>Ijokabe</t>
  </si>
  <si>
    <t>QIMPE01</t>
  </si>
  <si>
    <t>Zak</t>
  </si>
  <si>
    <t>Impetus 10-6-25 + MgO + B2O3</t>
  </si>
  <si>
    <t>AIMUN01</t>
  </si>
  <si>
    <t>Imuno</t>
  </si>
  <si>
    <t>QINDO04</t>
  </si>
  <si>
    <t>Indoban 250 EC</t>
  </si>
  <si>
    <t>QINFI03</t>
  </si>
  <si>
    <t>Infinito 687.5 SC</t>
  </si>
  <si>
    <t>QINSU01</t>
  </si>
  <si>
    <t>Insure Max 510 FS</t>
  </si>
  <si>
    <t>AINTE01</t>
  </si>
  <si>
    <t>ZZINT01</t>
  </si>
  <si>
    <t>AINTE02</t>
  </si>
  <si>
    <t>QINTE02</t>
  </si>
  <si>
    <t>Intergan 550 SC</t>
  </si>
  <si>
    <t>QISIS01</t>
  </si>
  <si>
    <t>Isi Staples Alat Pengikat Tanaman</t>
  </si>
  <si>
    <t>QJAGU63</t>
  </si>
  <si>
    <t>Jagung Hibrida</t>
  </si>
  <si>
    <t>Jagung ADV 132</t>
  </si>
  <si>
    <t>QJAGU03</t>
  </si>
  <si>
    <t>Jagung Bisi 18</t>
  </si>
  <si>
    <t>QJAGU04</t>
  </si>
  <si>
    <t>Jagung Bisi 2</t>
  </si>
  <si>
    <t>QJAGU62</t>
  </si>
  <si>
    <t>Jagung Bisi 321</t>
  </si>
  <si>
    <t>QJAGU72</t>
  </si>
  <si>
    <t>QJAGU89</t>
  </si>
  <si>
    <t>QJAGU41</t>
  </si>
  <si>
    <t>Jagung Bisi 77</t>
  </si>
  <si>
    <t>QJAGU67</t>
  </si>
  <si>
    <t>Jagung Bisi 959</t>
  </si>
  <si>
    <t>QJAGU86</t>
  </si>
  <si>
    <t>QJAGU68</t>
  </si>
  <si>
    <t>Jagung DK 771</t>
  </si>
  <si>
    <t>QJAGU78</t>
  </si>
  <si>
    <t>Jagung DEKALB 9209C</t>
  </si>
  <si>
    <t>QJAGU74</t>
  </si>
  <si>
    <t>QJAGU64</t>
  </si>
  <si>
    <t>Jagung Manis Hibrida</t>
  </si>
  <si>
    <t>Jagung Manis Exsotic</t>
  </si>
  <si>
    <t>QJAGU55</t>
  </si>
  <si>
    <t>Jagung Manis Golden Boy</t>
  </si>
  <si>
    <t>QJAGU56</t>
  </si>
  <si>
    <t>QJAGU79</t>
  </si>
  <si>
    <t>Jagung Manis Madu-59 F1</t>
  </si>
  <si>
    <t>QJAGU44</t>
  </si>
  <si>
    <t>Jagung Manis Master Sweet 45</t>
  </si>
  <si>
    <t>QJAGU43</t>
  </si>
  <si>
    <t>QJAGU47</t>
  </si>
  <si>
    <t>Jagung Manis Sweet Lady 27</t>
  </si>
  <si>
    <t>QJAGU13</t>
  </si>
  <si>
    <t>Jagung NK 212</t>
  </si>
  <si>
    <t>QJAGU58</t>
  </si>
  <si>
    <t>Jagung NK 7202</t>
  </si>
  <si>
    <t>QJAGU29</t>
  </si>
  <si>
    <t>Jagung NK 7328</t>
  </si>
  <si>
    <t>QJAGU70</t>
  </si>
  <si>
    <t>Jagung P27 Gajah</t>
  </si>
  <si>
    <t>QJAGU25</t>
  </si>
  <si>
    <t>Jagung Pertiwi 6</t>
  </si>
  <si>
    <t>QJAGU76</t>
  </si>
  <si>
    <t>Jagung Q-235</t>
  </si>
  <si>
    <t>AJAGU76</t>
  </si>
  <si>
    <t>ZZJAKE01</t>
  </si>
  <si>
    <t>QJAKE01</t>
  </si>
  <si>
    <t>Jaket</t>
  </si>
  <si>
    <t>ZZJAKE02</t>
  </si>
  <si>
    <t>ZZJAKE03</t>
  </si>
  <si>
    <t>ZZJAKE04</t>
  </si>
  <si>
    <t>ZZJAMD01</t>
  </si>
  <si>
    <t>QJAMD01</t>
  </si>
  <si>
    <t>QJAMD02</t>
  </si>
  <si>
    <t>QJAMD03</t>
  </si>
  <si>
    <t>ZZJAMD06</t>
  </si>
  <si>
    <t>QJAPR06</t>
  </si>
  <si>
    <t>Japra 400 SE</t>
  </si>
  <si>
    <t>QJAPR04</t>
  </si>
  <si>
    <t>AJET 01</t>
  </si>
  <si>
    <t>QKALI09</t>
  </si>
  <si>
    <t>Kaliandra 482 EC</t>
  </si>
  <si>
    <t>QKALI01</t>
  </si>
  <si>
    <t>QKALI03</t>
  </si>
  <si>
    <t>QKALI05</t>
  </si>
  <si>
    <t>ZZKAME01</t>
  </si>
  <si>
    <t>QKANG07</t>
  </si>
  <si>
    <t>Benih Kangkung</t>
  </si>
  <si>
    <t>Kangkung Bisi</t>
  </si>
  <si>
    <t>QKANG11</t>
  </si>
  <si>
    <t>Kangkung Dampit</t>
  </si>
  <si>
    <t>QKANG10</t>
  </si>
  <si>
    <t>AKANT02</t>
  </si>
  <si>
    <t>AKANT01</t>
  </si>
  <si>
    <t>AKANT05</t>
  </si>
  <si>
    <t>AKANT03</t>
  </si>
  <si>
    <t>AKANT04</t>
  </si>
  <si>
    <t>AKANT06</t>
  </si>
  <si>
    <t>ZZKAOS253</t>
  </si>
  <si>
    <t>ZZKAOS225</t>
  </si>
  <si>
    <t>ZZKAOS258</t>
  </si>
  <si>
    <t>ZZKAOS152</t>
  </si>
  <si>
    <t>Kaos</t>
  </si>
  <si>
    <t>ZZKAOS04</t>
  </si>
  <si>
    <t>ZZKAOS101</t>
  </si>
  <si>
    <t>ZZKAOS06</t>
  </si>
  <si>
    <t>ZZKAOS211</t>
  </si>
  <si>
    <t>ZZKAOS240</t>
  </si>
  <si>
    <t>ZZKAOS189</t>
  </si>
  <si>
    <t>ZZKAOS243</t>
  </si>
  <si>
    <t>ZZKAOS13</t>
  </si>
  <si>
    <t>QKAOS11</t>
  </si>
  <si>
    <t>ZZKAOS192</t>
  </si>
  <si>
    <t>ZZKAOS90</t>
  </si>
  <si>
    <t>ZZKAOS85</t>
  </si>
  <si>
    <t>ZZKAOS15</t>
  </si>
  <si>
    <t>ZZKAOS206</t>
  </si>
  <si>
    <t>ZZKAOS169</t>
  </si>
  <si>
    <t>ZZKAOS17</t>
  </si>
  <si>
    <t>ZZKAOS82</t>
  </si>
  <si>
    <t>ZZKAOS18</t>
  </si>
  <si>
    <t>ZZKAOS186</t>
  </si>
  <si>
    <t>ZZKAOS84</t>
  </si>
  <si>
    <t>ZZKAOS212</t>
  </si>
  <si>
    <t>ZZKAOS228</t>
  </si>
  <si>
    <t>QKAOS10</t>
  </si>
  <si>
    <t>ZZKAOS222</t>
  </si>
  <si>
    <t>ZZKAOS260</t>
  </si>
  <si>
    <t>ZZKAOS227</t>
  </si>
  <si>
    <t>ZZKAOS221</t>
  </si>
  <si>
    <t>ZZKAOS237</t>
  </si>
  <si>
    <t>ZZKAOS205</t>
  </si>
  <si>
    <t>ZZKAOS195</t>
  </si>
  <si>
    <t>QKAOS09</t>
  </si>
  <si>
    <t>QKAOS08</t>
  </si>
  <si>
    <t>ZZKAOS29</t>
  </si>
  <si>
    <t>ZZKAOS99</t>
  </si>
  <si>
    <t>ZZKAOS32</t>
  </si>
  <si>
    <t>ZZKAOS92</t>
  </si>
  <si>
    <t>ZZKAOS160</t>
  </si>
  <si>
    <t>ZZKAOS231</t>
  </si>
  <si>
    <t>ZZKAOS34</t>
  </si>
  <si>
    <t>ZZKAOS219</t>
  </si>
  <si>
    <t>ZZKAOS218</t>
  </si>
  <si>
    <t>ZZKAOS199</t>
  </si>
  <si>
    <t>ZZKAOS198</t>
  </si>
  <si>
    <t>ZZKAOS250</t>
  </si>
  <si>
    <t>ZZKAOS235</t>
  </si>
  <si>
    <t>ZZKAOS41</t>
  </si>
  <si>
    <t>ZZKAOS118</t>
  </si>
  <si>
    <t>ZZKAOS42</t>
  </si>
  <si>
    <t>ZZKAOS120</t>
  </si>
  <si>
    <t>ZZKAOS214</t>
  </si>
  <si>
    <t>ZZKAOS44</t>
  </si>
  <si>
    <t>QKAOS03</t>
  </si>
  <si>
    <t>QKAOS14</t>
  </si>
  <si>
    <t>QKAOS13</t>
  </si>
  <si>
    <t>ZZKAOS155</t>
  </si>
  <si>
    <t>ZZKAOS201</t>
  </si>
  <si>
    <t>ZZKAOS47</t>
  </si>
  <si>
    <t>ZZKAOS242</t>
  </si>
  <si>
    <t>ZZKAOS188</t>
  </si>
  <si>
    <t>ZZKAOS95</t>
  </si>
  <si>
    <t>ZZKAOS123</t>
  </si>
  <si>
    <t>ZZKAOS230</t>
  </si>
  <si>
    <t>ZZKAOS202</t>
  </si>
  <si>
    <t>ZZKAOS52</t>
  </si>
  <si>
    <t>QKAOS12</t>
  </si>
  <si>
    <t>ZZKAOS130</t>
  </si>
  <si>
    <t>ZZKAOS236</t>
  </si>
  <si>
    <t>ZZKAOS168</t>
  </si>
  <si>
    <t>ZZKAOS197</t>
  </si>
  <si>
    <t>ZZKAOS131</t>
  </si>
  <si>
    <t>ZZKAOS256</t>
  </si>
  <si>
    <t>ZZKAOS259</t>
  </si>
  <si>
    <t>ZZKAOS244</t>
  </si>
  <si>
    <t>ZZKAOS58</t>
  </si>
  <si>
    <t>ZZKAO100</t>
  </si>
  <si>
    <t>ZZKAOS96</t>
  </si>
  <si>
    <t>ZZKAOS159</t>
  </si>
  <si>
    <t>ZZKAOS172</t>
  </si>
  <si>
    <t>ZZKAOS138</t>
  </si>
  <si>
    <t>ZZKAOS251</t>
  </si>
  <si>
    <t>ZZKAOS216</t>
  </si>
  <si>
    <t>ZZKAOS69</t>
  </si>
  <si>
    <t>ZZKAOS255</t>
  </si>
  <si>
    <t>ZZKAOS73</t>
  </si>
  <si>
    <t>ZZKAOS146</t>
  </si>
  <si>
    <t>ZZKAOS75</t>
  </si>
  <si>
    <t>QKARB02</t>
  </si>
  <si>
    <t>Karbasin 500 EC</t>
  </si>
  <si>
    <t>QKARB01</t>
  </si>
  <si>
    <t>QKARE01</t>
  </si>
  <si>
    <t>Karet Piston</t>
  </si>
  <si>
    <t>QKARI13</t>
  </si>
  <si>
    <t>Karimazu 590 EC</t>
  </si>
  <si>
    <t>QKARI07</t>
  </si>
  <si>
    <t>QKARI09</t>
  </si>
  <si>
    <t>QKARU01</t>
  </si>
  <si>
    <t>QKATU01</t>
  </si>
  <si>
    <t>QKELP01</t>
  </si>
  <si>
    <t>Kelpak 11/0.031 SL</t>
  </si>
  <si>
    <t>QKELP04</t>
  </si>
  <si>
    <t>QKELP03</t>
  </si>
  <si>
    <t>QKEME01</t>
  </si>
  <si>
    <t>QKENC02</t>
  </si>
  <si>
    <t>QKENC01</t>
  </si>
  <si>
    <t>QKENM05</t>
  </si>
  <si>
    <t>QKENM01</t>
  </si>
  <si>
    <t>QKENM03</t>
  </si>
  <si>
    <t>QKENM02</t>
  </si>
  <si>
    <t>QKICK04</t>
  </si>
  <si>
    <t>Kick Off 36 EC</t>
  </si>
  <si>
    <t>QKICK01</t>
  </si>
  <si>
    <t>QKILA01</t>
  </si>
  <si>
    <t>Kilau 36 WP</t>
  </si>
  <si>
    <t>QKING01</t>
  </si>
  <si>
    <t>Kingdom 550 SC</t>
  </si>
  <si>
    <t>QKING03</t>
  </si>
  <si>
    <t>QKING02</t>
  </si>
  <si>
    <t>AKLEP01</t>
  </si>
  <si>
    <t>Klep</t>
  </si>
  <si>
    <t>AKLEP02</t>
  </si>
  <si>
    <t>QKLOP02</t>
  </si>
  <si>
    <t>Kloper 500 SL</t>
  </si>
  <si>
    <t>QKLOP01</t>
  </si>
  <si>
    <t>QKLOP03</t>
  </si>
  <si>
    <t>QKNO301</t>
  </si>
  <si>
    <t>KNO3 Merah</t>
  </si>
  <si>
    <t>QKNO303</t>
  </si>
  <si>
    <t>KNO3 Putih</t>
  </si>
  <si>
    <t>QKNOC03</t>
  </si>
  <si>
    <t>Knocker</t>
  </si>
  <si>
    <t>QKNOC05</t>
  </si>
  <si>
    <t>QKNOCK06</t>
  </si>
  <si>
    <t>AKNOC02</t>
  </si>
  <si>
    <t>QKNOC02</t>
  </si>
  <si>
    <t>ZZKOMPO04</t>
  </si>
  <si>
    <t>Kompor Gas</t>
  </si>
  <si>
    <t>AKONE01</t>
  </si>
  <si>
    <t>QKONS05</t>
  </si>
  <si>
    <t>Konsep 50 EC</t>
  </si>
  <si>
    <t>QKONS04</t>
  </si>
  <si>
    <t>QKONS02</t>
  </si>
  <si>
    <t>QKONS01</t>
  </si>
  <si>
    <t>ZZKORE01</t>
  </si>
  <si>
    <t>AKRAN02</t>
  </si>
  <si>
    <t>Kran</t>
  </si>
  <si>
    <t>QKRAN01</t>
  </si>
  <si>
    <t>QKRAN02</t>
  </si>
  <si>
    <t>Kran YT 4L, 5L, 7L, &amp; 9L</t>
  </si>
  <si>
    <t>AKRES06</t>
  </si>
  <si>
    <t>AKRES05</t>
  </si>
  <si>
    <t>QKRES01</t>
  </si>
  <si>
    <t>Kresnadan 3 G</t>
  </si>
  <si>
    <t>QKRES02</t>
  </si>
  <si>
    <t>Rodentisida</t>
  </si>
  <si>
    <t>Kresnakum 0,005 BB</t>
  </si>
  <si>
    <t>QKRES06</t>
  </si>
  <si>
    <t>Kresnatop 500 SC</t>
  </si>
  <si>
    <t>QKRES07</t>
  </si>
  <si>
    <t>QKRES05</t>
  </si>
  <si>
    <t>QKSPT02</t>
  </si>
  <si>
    <t>KS Pak Tani</t>
  </si>
  <si>
    <t>QKUBI07</t>
  </si>
  <si>
    <t>Benih Kubis</t>
  </si>
  <si>
    <t>Kubis Grand 11</t>
  </si>
  <si>
    <t>QKUBI02</t>
  </si>
  <si>
    <t>Kubis Green Coronet</t>
  </si>
  <si>
    <t>QKUBI11</t>
  </si>
  <si>
    <t>Kubis Green Crown</t>
  </si>
  <si>
    <t>QKUBI21</t>
  </si>
  <si>
    <t>Kubis Hibrida F1 Kaelo</t>
  </si>
  <si>
    <t>QKUBI10</t>
  </si>
  <si>
    <t>ZZKULK06</t>
  </si>
  <si>
    <t>ZZKUNC01</t>
  </si>
  <si>
    <t>QKUPR01</t>
  </si>
  <si>
    <t>Kuproxat 345 F</t>
  </si>
  <si>
    <t>QKUPR02</t>
  </si>
  <si>
    <t>ALABA01</t>
  </si>
  <si>
    <t>Laba Hidroponik</t>
  </si>
  <si>
    <t>ALABA02</t>
  </si>
  <si>
    <t>QLANC01</t>
  </si>
  <si>
    <t>Lancer Gold 55 WG</t>
  </si>
  <si>
    <t>QLANC03</t>
  </si>
  <si>
    <t>QLANC02</t>
  </si>
  <si>
    <t>ZZLAPT01</t>
  </si>
  <si>
    <t>QLARV06</t>
  </si>
  <si>
    <t>Larviron 100/20 ZC</t>
  </si>
  <si>
    <t>QLARV05</t>
  </si>
  <si>
    <t>QLEMA01</t>
  </si>
  <si>
    <t>Lem Ajaib</t>
  </si>
  <si>
    <t>QLEMA02</t>
  </si>
  <si>
    <t>QLICR03</t>
  </si>
  <si>
    <t>Licron 500 EC</t>
  </si>
  <si>
    <t>QLID01</t>
  </si>
  <si>
    <t>Liding 240 SC</t>
  </si>
  <si>
    <t>ALIDI03</t>
  </si>
  <si>
    <t>QLIDI02</t>
  </si>
  <si>
    <t>QLOGA03</t>
  </si>
  <si>
    <t>Logamate 440 EC</t>
  </si>
  <si>
    <t>QLOGA07</t>
  </si>
  <si>
    <t>QLOGA01</t>
  </si>
  <si>
    <t>QLOSM02</t>
  </si>
  <si>
    <t>Losmine 50 EC</t>
  </si>
  <si>
    <t>QLOSM01</t>
  </si>
  <si>
    <t>QLOYA01</t>
  </si>
  <si>
    <t>Loyant 25 EC</t>
  </si>
  <si>
    <t>QLUDE02</t>
  </si>
  <si>
    <t>Ludes 50 EC</t>
  </si>
  <si>
    <t>QLUDE01</t>
  </si>
  <si>
    <t>QMACE01</t>
  </si>
  <si>
    <t>Macerio 52 WP</t>
  </si>
  <si>
    <t>QMAES01</t>
  </si>
  <si>
    <t>Maestro 200 EC</t>
  </si>
  <si>
    <t>QMAES02</t>
  </si>
  <si>
    <t>QMAGI03</t>
  </si>
  <si>
    <t>Magicxone 138 SL</t>
  </si>
  <si>
    <t>QMAGI01</t>
  </si>
  <si>
    <t>QMAGI02</t>
  </si>
  <si>
    <t>QMAKL01</t>
  </si>
  <si>
    <t>Maklostar Booster</t>
  </si>
  <si>
    <t>QMALA01</t>
  </si>
  <si>
    <t>Malabar 480 SL</t>
  </si>
  <si>
    <t>QMAMI03</t>
  </si>
  <si>
    <t>Mamigro 12-9-6</t>
  </si>
  <si>
    <t>QMAMI04</t>
  </si>
  <si>
    <t>QMAND01</t>
  </si>
  <si>
    <t>Mandoxone 276 SL</t>
  </si>
  <si>
    <t>QMAND02</t>
  </si>
  <si>
    <t>QMAND03</t>
  </si>
  <si>
    <t>ZZMANG01</t>
  </si>
  <si>
    <t>QMANO01</t>
  </si>
  <si>
    <t>Manohara</t>
  </si>
  <si>
    <t>AMANO02</t>
  </si>
  <si>
    <t>QMANO02</t>
  </si>
  <si>
    <t>Manohara PPC</t>
  </si>
  <si>
    <t>QMANZ01</t>
  </si>
  <si>
    <t>Manzate 82 WP</t>
  </si>
  <si>
    <t>QMANZ02</t>
  </si>
  <si>
    <t>QMARS01</t>
  </si>
  <si>
    <t>Marshall 200 EC</t>
  </si>
  <si>
    <t>QMARS02</t>
  </si>
  <si>
    <t>QMARS03</t>
  </si>
  <si>
    <t>QMARS06</t>
  </si>
  <si>
    <t>Marshal 200 SC</t>
  </si>
  <si>
    <t>QMARS04</t>
  </si>
  <si>
    <t>Marshall 25 DS</t>
  </si>
  <si>
    <t>QMARS05</t>
  </si>
  <si>
    <t>QMART01</t>
  </si>
  <si>
    <t>Martyl 480 SL</t>
  </si>
  <si>
    <t>QMAST02</t>
  </si>
  <si>
    <t>Mater Call Briu</t>
  </si>
  <si>
    <t>QMATA02</t>
  </si>
  <si>
    <t>Matador 25 EC</t>
  </si>
  <si>
    <t>QMATA03</t>
  </si>
  <si>
    <t>QMATA04</t>
  </si>
  <si>
    <t>QMATC01</t>
  </si>
  <si>
    <t>Match 50 EC</t>
  </si>
  <si>
    <t>QMEGA11</t>
  </si>
  <si>
    <t>Megaxone 135 SL</t>
  </si>
  <si>
    <t>QMEGA09</t>
  </si>
  <si>
    <t>QMEGA10</t>
  </si>
  <si>
    <t>QMEGA01</t>
  </si>
  <si>
    <t>Megazeb 80 WP</t>
  </si>
  <si>
    <t>QMELO20</t>
  </si>
  <si>
    <t>Benih Melon</t>
  </si>
  <si>
    <t>Melon Action 434</t>
  </si>
  <si>
    <t>AMELO21</t>
  </si>
  <si>
    <t>QMELY01</t>
  </si>
  <si>
    <t>QMETA09</t>
  </si>
  <si>
    <t>Metachlor 650 EC</t>
  </si>
  <si>
    <t>QMETA04</t>
  </si>
  <si>
    <t>QMETA03</t>
  </si>
  <si>
    <t>AMETA06</t>
  </si>
  <si>
    <t>AMETA11</t>
  </si>
  <si>
    <t>QMETA07</t>
  </si>
  <si>
    <t>Metalik</t>
  </si>
  <si>
    <t>AMETA10</t>
  </si>
  <si>
    <t>QMETI03</t>
  </si>
  <si>
    <t>Metindo 25 WP</t>
  </si>
  <si>
    <t>QMETI06</t>
  </si>
  <si>
    <t>QMETI01</t>
  </si>
  <si>
    <t>Metindo 40 SP</t>
  </si>
  <si>
    <t>QMETI07</t>
  </si>
  <si>
    <t>QMETS01</t>
  </si>
  <si>
    <t>Metsulindo Plus 80 WP</t>
  </si>
  <si>
    <t>AMETS01</t>
  </si>
  <si>
    <t>QMEXD05</t>
  </si>
  <si>
    <t>Mexdone 36 EC</t>
  </si>
  <si>
    <t>QMEXD06</t>
  </si>
  <si>
    <t>QMEXD07</t>
  </si>
  <si>
    <t>QMEXD02</t>
  </si>
  <si>
    <t>QMINE01</t>
  </si>
  <si>
    <t>Minecto Xtra 200/200 SC</t>
  </si>
  <si>
    <t>QMINE02</t>
  </si>
  <si>
    <t>ZZMINI01</t>
  </si>
  <si>
    <t>ZZMINY20</t>
  </si>
  <si>
    <t>ZZMINY18</t>
  </si>
  <si>
    <t>QMIPC02</t>
  </si>
  <si>
    <t>Mipcinta 50 WP</t>
  </si>
  <si>
    <t>QMIPC03</t>
  </si>
  <si>
    <t>QMKP01</t>
  </si>
  <si>
    <t>MKP</t>
  </si>
  <si>
    <t>QMONE03</t>
  </si>
  <si>
    <t>Money 865 SL</t>
  </si>
  <si>
    <t>QMONE06</t>
  </si>
  <si>
    <t>QMONE01</t>
  </si>
  <si>
    <t>QMONE05</t>
  </si>
  <si>
    <t>QMONE07</t>
  </si>
  <si>
    <t>QMONK04</t>
  </si>
  <si>
    <t>Monkey 40 SP</t>
  </si>
  <si>
    <t>QMONK03</t>
  </si>
  <si>
    <t>AMONT01</t>
  </si>
  <si>
    <t>Montana 230 EC</t>
  </si>
  <si>
    <t>QMOSP02</t>
  </si>
  <si>
    <t>Mospilan 30 EC</t>
  </si>
  <si>
    <t>QMOSP03</t>
  </si>
  <si>
    <t>QMOVE04</t>
  </si>
  <si>
    <t>QMRQL01</t>
  </si>
  <si>
    <t>QMULS53</t>
  </si>
  <si>
    <t>Mulsa</t>
  </si>
  <si>
    <t>Mulsa Coboy</t>
  </si>
  <si>
    <t>QMULS96</t>
  </si>
  <si>
    <t>Roll</t>
  </si>
  <si>
    <t>Mulsa Dewata Biru</t>
  </si>
  <si>
    <t>QMULS97</t>
  </si>
  <si>
    <t>Mulsa Dua Srigala</t>
  </si>
  <si>
    <t>QMUL125</t>
  </si>
  <si>
    <t>QMULS98</t>
  </si>
  <si>
    <t>QMULS76</t>
  </si>
  <si>
    <t>QMULS77</t>
  </si>
  <si>
    <t>QMUL128</t>
  </si>
  <si>
    <t>Mulsa Hanoman</t>
  </si>
  <si>
    <t>QMUL129</t>
  </si>
  <si>
    <t>AMULS61</t>
  </si>
  <si>
    <t>QMUL121</t>
  </si>
  <si>
    <t>QMULS31</t>
  </si>
  <si>
    <t>QMUL122</t>
  </si>
  <si>
    <t>QMULS32</t>
  </si>
  <si>
    <t>QMULS101</t>
  </si>
  <si>
    <t>QMULS49</t>
  </si>
  <si>
    <t>Mulsa Karisma Kuda</t>
  </si>
  <si>
    <t>QMULS24</t>
  </si>
  <si>
    <t>Mulsa Karisma</t>
  </si>
  <si>
    <t>QMULS20</t>
  </si>
  <si>
    <t>QMULS22</t>
  </si>
  <si>
    <t>QMULS21</t>
  </si>
  <si>
    <t>QMULS27</t>
  </si>
  <si>
    <t>QMULS28</t>
  </si>
  <si>
    <t>QMULS84</t>
  </si>
  <si>
    <t>Mulsa Karisma Q989</t>
  </si>
  <si>
    <t>AMULS59</t>
  </si>
  <si>
    <t>QMULS75</t>
  </si>
  <si>
    <t>Mulsa Q989</t>
  </si>
  <si>
    <t>QMULS88</t>
  </si>
  <si>
    <t>QMULS89</t>
  </si>
  <si>
    <t>QMULS69</t>
  </si>
  <si>
    <t>AMULS101</t>
  </si>
  <si>
    <t>QMULS85</t>
  </si>
  <si>
    <t>QMULS86</t>
  </si>
  <si>
    <t>QMULS82</t>
  </si>
  <si>
    <t>QMULS83</t>
  </si>
  <si>
    <t>AMULS53</t>
  </si>
  <si>
    <t>AMULS52</t>
  </si>
  <si>
    <t>QMUL126</t>
  </si>
  <si>
    <t>Mulsa Monesa</t>
  </si>
  <si>
    <t>QMUL101</t>
  </si>
  <si>
    <t>AMULS56</t>
  </si>
  <si>
    <t>QMULS58</t>
  </si>
  <si>
    <t>QMULS59</t>
  </si>
  <si>
    <t>AMULS37</t>
  </si>
  <si>
    <t>Mulsa Ori</t>
  </si>
  <si>
    <t>AMULS40</t>
  </si>
  <si>
    <t>AMULS43</t>
  </si>
  <si>
    <t>AMULS38</t>
  </si>
  <si>
    <t>AMULS41</t>
  </si>
  <si>
    <t>AMULS44</t>
  </si>
  <si>
    <t>AMULS39</t>
  </si>
  <si>
    <t>AMULS42</t>
  </si>
  <si>
    <t>AMULS45</t>
  </si>
  <si>
    <t>QMUL104</t>
  </si>
  <si>
    <t>Mulsa Gajah 0.3</t>
  </si>
  <si>
    <t>QMUL105</t>
  </si>
  <si>
    <t>AMULS48</t>
  </si>
  <si>
    <t>QMUL102</t>
  </si>
  <si>
    <t>AMULS49</t>
  </si>
  <si>
    <t>QMUL103</t>
  </si>
  <si>
    <t>QMUL106</t>
  </si>
  <si>
    <t>QMUL07</t>
  </si>
  <si>
    <t>QMUL110</t>
  </si>
  <si>
    <t>Mulsa Universal 0.25</t>
  </si>
  <si>
    <t>QMUL111</t>
  </si>
  <si>
    <t>AMULS50</t>
  </si>
  <si>
    <t>QMUL108</t>
  </si>
  <si>
    <t>AMULS51</t>
  </si>
  <si>
    <t>QMUL09</t>
  </si>
  <si>
    <t>QMUL112</t>
  </si>
  <si>
    <t>QMUL113</t>
  </si>
  <si>
    <t>QMULS39</t>
  </si>
  <si>
    <t>Mulsa Petani Sejati</t>
  </si>
  <si>
    <t>AMULS55</t>
  </si>
  <si>
    <t>QMULS54</t>
  </si>
  <si>
    <t>QMUL115</t>
  </si>
  <si>
    <t>Mulsa Sadewa Kuning</t>
  </si>
  <si>
    <t>QMUL117</t>
  </si>
  <si>
    <t>QMUL116</t>
  </si>
  <si>
    <t>QMUL120</t>
  </si>
  <si>
    <t>QMURY01</t>
  </si>
  <si>
    <t>Mur</t>
  </si>
  <si>
    <t>QMUTU01</t>
  </si>
  <si>
    <t>Mutual 25/25 WP</t>
  </si>
  <si>
    <t>QNATI03</t>
  </si>
  <si>
    <t>Nativo 75 WG</t>
  </si>
  <si>
    <t>QNATI02</t>
  </si>
  <si>
    <t>QNEMA03</t>
  </si>
  <si>
    <t>Nemaguard 10 GR</t>
  </si>
  <si>
    <t>QNEMA02</t>
  </si>
  <si>
    <t>QNEOF04</t>
  </si>
  <si>
    <t>Neo Foxs 200 EC</t>
  </si>
  <si>
    <t>QNEOC03</t>
  </si>
  <si>
    <t>Neocron 80 OL</t>
  </si>
  <si>
    <t>QNEOC02</t>
  </si>
  <si>
    <t>QNEOC01</t>
  </si>
  <si>
    <t>QNEOR01</t>
  </si>
  <si>
    <t>ANEOR01</t>
  </si>
  <si>
    <t>Neshoga</t>
  </si>
  <si>
    <t>QNESH01</t>
  </si>
  <si>
    <t>ANEWN01</t>
  </si>
  <si>
    <t>New Naptalin</t>
  </si>
  <si>
    <t>ZZNOKI02</t>
  </si>
  <si>
    <t>ZZNOKI03</t>
  </si>
  <si>
    <t>ZZNOKI01</t>
  </si>
  <si>
    <t>QNOSE03</t>
  </si>
  <si>
    <t>QNOSE04</t>
  </si>
  <si>
    <t>QNOSE05</t>
  </si>
  <si>
    <t>QNOSE01</t>
  </si>
  <si>
    <t>Nosel tutup KSB 365</t>
  </si>
  <si>
    <t>QNOSE02</t>
  </si>
  <si>
    <t>Nosel tutup KSK 235</t>
  </si>
  <si>
    <t>QNOST01</t>
  </si>
  <si>
    <t>Nostro 440 EC</t>
  </si>
  <si>
    <t>QNOST05</t>
  </si>
  <si>
    <t>QNOST02</t>
  </si>
  <si>
    <t>QNOST04</t>
  </si>
  <si>
    <t>ANOZZ02</t>
  </si>
  <si>
    <t>QNOZZ01</t>
  </si>
  <si>
    <t>QNPKM12</t>
  </si>
  <si>
    <t>QNPKM14</t>
  </si>
  <si>
    <t>QNPK119</t>
  </si>
  <si>
    <t>NPK</t>
  </si>
  <si>
    <t>NPK 16.16.16+2 MPS</t>
  </si>
  <si>
    <t>QNPKM13</t>
  </si>
  <si>
    <t>ANPKD08</t>
  </si>
  <si>
    <t>QNPKM08</t>
  </si>
  <si>
    <t>NPK Multidaya 10-10-10</t>
  </si>
  <si>
    <t>QNPKN02</t>
  </si>
  <si>
    <t>NPK Novatec 12-12-17</t>
  </si>
  <si>
    <t>QNPKC13</t>
  </si>
  <si>
    <t>NPK China 16-16-16</t>
  </si>
  <si>
    <t>ANPKS06</t>
  </si>
  <si>
    <t>QNPKS05</t>
  </si>
  <si>
    <t>NPK SiNutriHS 13-6-27-4+TE Booster</t>
  </si>
  <si>
    <t>QNPKS08</t>
  </si>
  <si>
    <t>ANPKS02</t>
  </si>
  <si>
    <t>QNPKS06</t>
  </si>
  <si>
    <t>ANPKS03</t>
  </si>
  <si>
    <t>QNPKS03</t>
  </si>
  <si>
    <t>NPK SiNutriHS 16-16-16+TE</t>
  </si>
  <si>
    <t>QNPKS07</t>
  </si>
  <si>
    <t>ANPKS01</t>
  </si>
  <si>
    <t>QNPKS04</t>
  </si>
  <si>
    <t>QODEO03</t>
  </si>
  <si>
    <t>Odeon 720 SC</t>
  </si>
  <si>
    <t>QOPLO04</t>
  </si>
  <si>
    <t>Oplosan 550/60 EC</t>
  </si>
  <si>
    <t>QOPLO03</t>
  </si>
  <si>
    <t>QOPLO02</t>
  </si>
  <si>
    <t>QOPLO01</t>
  </si>
  <si>
    <t>QORCA02</t>
  </si>
  <si>
    <t>Orca 480 SL</t>
  </si>
  <si>
    <t>QORCA01</t>
  </si>
  <si>
    <t>QORON01</t>
  </si>
  <si>
    <t>Orondis Opti 6/400 SC</t>
  </si>
  <si>
    <t>QOSMO04</t>
  </si>
  <si>
    <t>Osmocote Dekastar Buah</t>
  </si>
  <si>
    <t>QOSMO03</t>
  </si>
  <si>
    <t>QOSMO06</t>
  </si>
  <si>
    <t>Osmocote Dekastar 13.13.13</t>
  </si>
  <si>
    <t>QOSMO05</t>
  </si>
  <si>
    <t>QOYON01</t>
  </si>
  <si>
    <t>Benih Oyong</t>
  </si>
  <si>
    <t>Oyong Hanoman</t>
  </si>
  <si>
    <t>QPACL01</t>
  </si>
  <si>
    <t>Paclo 15 WP</t>
  </si>
  <si>
    <t>APADI40</t>
  </si>
  <si>
    <t>QPADI14</t>
  </si>
  <si>
    <t>Padi Q-989 Ciherang</t>
  </si>
  <si>
    <t>QPAKE03</t>
  </si>
  <si>
    <t>Paket Anti Gulma</t>
  </si>
  <si>
    <t>QPAKE04</t>
  </si>
  <si>
    <t>QPAKE10</t>
  </si>
  <si>
    <t>QPAKE01</t>
  </si>
  <si>
    <t>Paket Convey 336 SC</t>
  </si>
  <si>
    <t>QPAKE02</t>
  </si>
  <si>
    <t>QPAKE08</t>
  </si>
  <si>
    <t>Paket Cornbelt 336 SC</t>
  </si>
  <si>
    <t>QPAKE09</t>
  </si>
  <si>
    <t>ZZPAKE02</t>
  </si>
  <si>
    <t>QPAKE07</t>
  </si>
  <si>
    <t>Paket</t>
  </si>
  <si>
    <t>Paket Naga 1</t>
  </si>
  <si>
    <t>QPAKE11</t>
  </si>
  <si>
    <t>QPANI01</t>
  </si>
  <si>
    <t>Panindo 10 WP</t>
  </si>
  <si>
    <t>QPAPA03</t>
  </si>
  <si>
    <t>Papandayan 486 SL</t>
  </si>
  <si>
    <t>QPAPA01</t>
  </si>
  <si>
    <t>QPAPA02</t>
  </si>
  <si>
    <t>QPARA02</t>
  </si>
  <si>
    <t>Paratop 276 SL</t>
  </si>
  <si>
    <t>QPARA06</t>
  </si>
  <si>
    <t>ZZPARC01</t>
  </si>
  <si>
    <t>ZZPARC02</t>
  </si>
  <si>
    <t>ZZPARC03</t>
  </si>
  <si>
    <t>ZZPARC04</t>
  </si>
  <si>
    <t>ZZPARC05</t>
  </si>
  <si>
    <t>ZZPARC07</t>
  </si>
  <si>
    <t>QPARE01</t>
  </si>
  <si>
    <t>Benih Pare</t>
  </si>
  <si>
    <t>Pare Hokian</t>
  </si>
  <si>
    <t>QPASK04</t>
  </si>
  <si>
    <t>Paskal 50 WP</t>
  </si>
  <si>
    <t>QPASK02</t>
  </si>
  <si>
    <t>QPASK05</t>
  </si>
  <si>
    <t>QPASK01</t>
  </si>
  <si>
    <t>QPASS03</t>
  </si>
  <si>
    <t>Passxone 276 SL</t>
  </si>
  <si>
    <t>QPASS01</t>
  </si>
  <si>
    <t>QPASS02</t>
  </si>
  <si>
    <t>QPAYU01</t>
  </si>
  <si>
    <t>ZZPAYU01</t>
  </si>
  <si>
    <t>QPEGA01</t>
  </si>
  <si>
    <t>Pegasus 500 SC</t>
  </si>
  <si>
    <t>QPELA01</t>
  </si>
  <si>
    <t>QPELA02</t>
  </si>
  <si>
    <t>QPELL02</t>
  </si>
  <si>
    <t>Pelle 50 EC</t>
  </si>
  <si>
    <t>QPELL01</t>
  </si>
  <si>
    <t>QPENT01</t>
  </si>
  <si>
    <t>Penta So-Z 505 SL</t>
  </si>
  <si>
    <t>APENT01</t>
  </si>
  <si>
    <t>APENT03</t>
  </si>
  <si>
    <t>APENT02</t>
  </si>
  <si>
    <t>QPERO03</t>
  </si>
  <si>
    <t>Perozin 80 WP</t>
  </si>
  <si>
    <t>QPERO02</t>
  </si>
  <si>
    <t>QPERO01</t>
  </si>
  <si>
    <t>QPETR01</t>
  </si>
  <si>
    <t>Atraktan</t>
  </si>
  <si>
    <t>Petrogenol 800 L</t>
  </si>
  <si>
    <t>QPETR02</t>
  </si>
  <si>
    <t>Petrokum 0,005 RB</t>
  </si>
  <si>
    <t>QPEXA03</t>
  </si>
  <si>
    <t>QPEXA02</t>
  </si>
  <si>
    <t>APHEN01</t>
  </si>
  <si>
    <t>Phenol</t>
  </si>
  <si>
    <t>QPHOS03</t>
  </si>
  <si>
    <t>Phosgrow</t>
  </si>
  <si>
    <t>QPHOS05</t>
  </si>
  <si>
    <t>Phosthene 97 WG</t>
  </si>
  <si>
    <t>QPILL01</t>
  </si>
  <si>
    <t>Pilly 25 WP</t>
  </si>
  <si>
    <t>QPINA04</t>
  </si>
  <si>
    <t>Pinamec 20 EC</t>
  </si>
  <si>
    <t>QPINA13</t>
  </si>
  <si>
    <t>QPINA12</t>
  </si>
  <si>
    <t>QPINA11</t>
  </si>
  <si>
    <t>QPINA02</t>
  </si>
  <si>
    <t>QPINA10</t>
  </si>
  <si>
    <t>APIPA01</t>
  </si>
  <si>
    <t>Pipa Penyemprot</t>
  </si>
  <si>
    <t>Pipa Penyemprot Star Metal</t>
  </si>
  <si>
    <t>QPIPA02</t>
  </si>
  <si>
    <t>Pipa Penyemprot Fiberglass</t>
  </si>
  <si>
    <t>APIPA03</t>
  </si>
  <si>
    <t>QPIPA01</t>
  </si>
  <si>
    <t>QPIPA03</t>
  </si>
  <si>
    <t>QPIRA01</t>
  </si>
  <si>
    <t>Piraklo 250 EC</t>
  </si>
  <si>
    <t>QPIRA02</t>
  </si>
  <si>
    <t>APIRI05</t>
  </si>
  <si>
    <t>Piribac 400 SC</t>
  </si>
  <si>
    <t>ZZPISA02</t>
  </si>
  <si>
    <t>QPITA01</t>
  </si>
  <si>
    <t>Pita Alat Pengikat Tanaman Yoto</t>
  </si>
  <si>
    <t>QPLAN07</t>
  </si>
  <si>
    <t>Planter Bag</t>
  </si>
  <si>
    <t>QPLAN08</t>
  </si>
  <si>
    <t>QPLAN09</t>
  </si>
  <si>
    <t>QPLAN12</t>
  </si>
  <si>
    <t>QPLAN05</t>
  </si>
  <si>
    <t>QPLAN06</t>
  </si>
  <si>
    <t>QPLEN02</t>
  </si>
  <si>
    <t>Plenum 50 WG</t>
  </si>
  <si>
    <t>APLEN02</t>
  </si>
  <si>
    <t>QPLEN01</t>
  </si>
  <si>
    <t>QPOIN01</t>
  </si>
  <si>
    <t>Pointer 276 SL</t>
  </si>
  <si>
    <t>QPOLO01</t>
  </si>
  <si>
    <t>QPOLY21</t>
  </si>
  <si>
    <t>Polybag</t>
  </si>
  <si>
    <t>Polybag Alpen</t>
  </si>
  <si>
    <t>APOLY26</t>
  </si>
  <si>
    <t>QPOLY41</t>
  </si>
  <si>
    <t>QPOLY22</t>
  </si>
  <si>
    <t>QPOLY31</t>
  </si>
  <si>
    <t>QPOLY27</t>
  </si>
  <si>
    <t>QPOLY26</t>
  </si>
  <si>
    <t>QPOLY43</t>
  </si>
  <si>
    <t>QPOLY47</t>
  </si>
  <si>
    <t>QPOLY34</t>
  </si>
  <si>
    <t>QPOLY45</t>
  </si>
  <si>
    <t>APOLY31</t>
  </si>
  <si>
    <t>APOLY32</t>
  </si>
  <si>
    <t>APOLY33</t>
  </si>
  <si>
    <t>APOLY34</t>
  </si>
  <si>
    <t>APOLY35</t>
  </si>
  <si>
    <t>APOLY36</t>
  </si>
  <si>
    <t>APOLY37</t>
  </si>
  <si>
    <t>APOLY38</t>
  </si>
  <si>
    <t>APOLY39</t>
  </si>
  <si>
    <t>APOMP02</t>
  </si>
  <si>
    <t>Pompa</t>
  </si>
  <si>
    <t>QPOP02</t>
  </si>
  <si>
    <t>Popsole 525 SE</t>
  </si>
  <si>
    <t>QPOP01</t>
  </si>
  <si>
    <t>ZZPOS02</t>
  </si>
  <si>
    <t>Poster</t>
  </si>
  <si>
    <t>APOTT09</t>
  </si>
  <si>
    <t>Pot Tray</t>
  </si>
  <si>
    <t>APOTT10</t>
  </si>
  <si>
    <t>APOTT11</t>
  </si>
  <si>
    <t>APOTT07</t>
  </si>
  <si>
    <t>APOTT06</t>
  </si>
  <si>
    <t>APOTT08</t>
  </si>
  <si>
    <t>APOTT12</t>
  </si>
  <si>
    <t>QPOTT09</t>
  </si>
  <si>
    <t>QPOTT10</t>
  </si>
  <si>
    <t>QPOTT06</t>
  </si>
  <si>
    <t>Pot Tray Dexxan</t>
  </si>
  <si>
    <t>QPOTT08</t>
  </si>
  <si>
    <t>QPOUN01</t>
  </si>
  <si>
    <t>Pounce 20 EC</t>
  </si>
  <si>
    <t>QPOWE02</t>
  </si>
  <si>
    <t>Power Grow</t>
  </si>
  <si>
    <t>APOWE02</t>
  </si>
  <si>
    <t>QPOWE01</t>
  </si>
  <si>
    <t>Powercall Cair</t>
  </si>
  <si>
    <t>QPREV03</t>
  </si>
  <si>
    <t>Previcur N 722SL</t>
  </si>
  <si>
    <t>QPREV04</t>
  </si>
  <si>
    <t>QPRIM24</t>
  </si>
  <si>
    <t>QPRIM23</t>
  </si>
  <si>
    <t>QPROC01</t>
  </si>
  <si>
    <t>Proclaim 5 SG</t>
  </si>
  <si>
    <t>QPROF03</t>
  </si>
  <si>
    <t>Profuron 600 EC</t>
  </si>
  <si>
    <t>QPROF02</t>
  </si>
  <si>
    <t>QPROF01</t>
  </si>
  <si>
    <t>QPROM10</t>
  </si>
  <si>
    <t>Promo Joss 300 EC</t>
  </si>
  <si>
    <t>APROM03</t>
  </si>
  <si>
    <t>APROM02</t>
  </si>
  <si>
    <t>APUMP01</t>
  </si>
  <si>
    <t>QPUPU04</t>
  </si>
  <si>
    <t>Pupuk Fosfat</t>
  </si>
  <si>
    <t>QPUPU14</t>
  </si>
  <si>
    <t>QPUPU09</t>
  </si>
  <si>
    <t>Pupuk Nakula Alegro</t>
  </si>
  <si>
    <t>QPUPU11</t>
  </si>
  <si>
    <t>QPUPU10</t>
  </si>
  <si>
    <t>QPUSH01</t>
  </si>
  <si>
    <t>Push 30/300 OD</t>
  </si>
  <si>
    <t>QPYZE01</t>
  </si>
  <si>
    <t>Pyzero 100 EC</t>
  </si>
  <si>
    <t>QQAIS02</t>
  </si>
  <si>
    <t>Qaishar 10 WP</t>
  </si>
  <si>
    <t>QQAIS03</t>
  </si>
  <si>
    <t>QQIUA04</t>
  </si>
  <si>
    <t>AQIUA05</t>
  </si>
  <si>
    <t>AQIUA02</t>
  </si>
  <si>
    <t>AQIUA03</t>
  </si>
  <si>
    <t>QQIUA03</t>
  </si>
  <si>
    <t>QQIUA01</t>
  </si>
  <si>
    <t>QQIUA02</t>
  </si>
  <si>
    <t>AQIUA04</t>
  </si>
  <si>
    <t>QQIUD01</t>
  </si>
  <si>
    <t>Qiudor</t>
  </si>
  <si>
    <t>QQIUD02</t>
  </si>
  <si>
    <t>QQIUM07</t>
  </si>
  <si>
    <t>Qiumex 36 EC</t>
  </si>
  <si>
    <t>QQIUM08</t>
  </si>
  <si>
    <t>QQIUM03</t>
  </si>
  <si>
    <t>QQIUM06</t>
  </si>
  <si>
    <t>QQIUM09</t>
  </si>
  <si>
    <t>Qiumino</t>
  </si>
  <si>
    <t>QQIUM10</t>
  </si>
  <si>
    <t>QQIUN01</t>
  </si>
  <si>
    <t>Qiunil</t>
  </si>
  <si>
    <t>QQIUO01</t>
  </si>
  <si>
    <t>AQIUO01</t>
  </si>
  <si>
    <t>QQIUS02</t>
  </si>
  <si>
    <t>Qiustar 400 EC</t>
  </si>
  <si>
    <t>QQIUS01</t>
  </si>
  <si>
    <t>AQIUS01</t>
  </si>
  <si>
    <t>QQIUT02</t>
  </si>
  <si>
    <t>Qiutane 80 WP</t>
  </si>
  <si>
    <t>QQIUV11</t>
  </si>
  <si>
    <t>QQIUV01</t>
  </si>
  <si>
    <t>Qiuvita Biru 16.32.16</t>
  </si>
  <si>
    <t>AQIUV05</t>
  </si>
  <si>
    <t>QQIUV02</t>
  </si>
  <si>
    <t>QQIUV10</t>
  </si>
  <si>
    <t>Qiuvita Hayati</t>
  </si>
  <si>
    <t>QQIUV07</t>
  </si>
  <si>
    <t>AQIUV14</t>
  </si>
  <si>
    <t>QQIUV08</t>
  </si>
  <si>
    <t>QQIUV09</t>
  </si>
  <si>
    <t>QQIUV03</t>
  </si>
  <si>
    <t>Qiuvita Hijau 32.11.11</t>
  </si>
  <si>
    <t>AQIUV07</t>
  </si>
  <si>
    <t>QQIUV04</t>
  </si>
  <si>
    <t>QQIUV05</t>
  </si>
  <si>
    <t>Qiuvita Merah 16.11.32</t>
  </si>
  <si>
    <t>QQIUV06</t>
  </si>
  <si>
    <t>QQUIL01</t>
  </si>
  <si>
    <t>Quilt 200 SE</t>
  </si>
  <si>
    <t>ARAJA08</t>
  </si>
  <si>
    <t>Raja Mulsa Hijau</t>
  </si>
  <si>
    <t>ARAJA07</t>
  </si>
  <si>
    <t>ARATC03</t>
  </si>
  <si>
    <t>Ratchet 250 EC</t>
  </si>
  <si>
    <t>QRATG01</t>
  </si>
  <si>
    <t>Ratgone 0.005 RMB</t>
  </si>
  <si>
    <t>QRATO01</t>
  </si>
  <si>
    <t>Ratol 80 P</t>
  </si>
  <si>
    <t>QREAC01</t>
  </si>
  <si>
    <t>Reactive 490 SL</t>
  </si>
  <si>
    <t>QREAC02</t>
  </si>
  <si>
    <t>QREGE09</t>
  </si>
  <si>
    <t>Regent Red 50 SC</t>
  </si>
  <si>
    <t>QREGE02</t>
  </si>
  <si>
    <t>QREGE03</t>
  </si>
  <si>
    <t>QREMA01</t>
  </si>
  <si>
    <t>Remazole-P 490 EC</t>
  </si>
  <si>
    <t>QREMA03</t>
  </si>
  <si>
    <t>QREMA02</t>
  </si>
  <si>
    <t>QREVU04</t>
  </si>
  <si>
    <t>Revus 250 SC</t>
  </si>
  <si>
    <t>QREVU02</t>
  </si>
  <si>
    <t>Revus opti 440 SC</t>
  </si>
  <si>
    <t>QRIDO03</t>
  </si>
  <si>
    <t>Ridomil Gold MZ 4/64 WG</t>
  </si>
  <si>
    <t>QRIDO04</t>
  </si>
  <si>
    <t>QRIDO05</t>
  </si>
  <si>
    <t>QRING01</t>
  </si>
  <si>
    <t>ARING01</t>
  </si>
  <si>
    <t>Ring</t>
  </si>
  <si>
    <t>ARING02</t>
  </si>
  <si>
    <t>ARING03</t>
  </si>
  <si>
    <t>QRIOM01</t>
  </si>
  <si>
    <t>Riomax 300 EC</t>
  </si>
  <si>
    <t>QRIOM02</t>
  </si>
  <si>
    <t>QROBU02</t>
  </si>
  <si>
    <t>Robust</t>
  </si>
  <si>
    <t>QROBU01</t>
  </si>
  <si>
    <t>QROGE02</t>
  </si>
  <si>
    <t>Roger 480 SL</t>
  </si>
  <si>
    <t>QROGE03</t>
  </si>
  <si>
    <t>QROTR01</t>
  </si>
  <si>
    <t>Rotraz 200 EC</t>
  </si>
  <si>
    <t>QROTR02</t>
  </si>
  <si>
    <t>QROUN01</t>
  </si>
  <si>
    <t>Round Up 486 SL</t>
  </si>
  <si>
    <t>QROUN02</t>
  </si>
  <si>
    <t>QROUN03</t>
  </si>
  <si>
    <t>QROUN04</t>
  </si>
  <si>
    <t>QROUP01</t>
  </si>
  <si>
    <t>QROZA01</t>
  </si>
  <si>
    <t>Roza Xtra 610 EC</t>
  </si>
  <si>
    <t>QROZA03</t>
  </si>
  <si>
    <t>QROZA02</t>
  </si>
  <si>
    <t>QRUMP01</t>
  </si>
  <si>
    <t>Rumpas 120 EW</t>
  </si>
  <si>
    <t>QRUMP02</t>
  </si>
  <si>
    <t>QSAAF01</t>
  </si>
  <si>
    <t>Saaf 75 WP</t>
  </si>
  <si>
    <t>ZZSABU02</t>
  </si>
  <si>
    <t>QSAGR05</t>
  </si>
  <si>
    <t>Sagri-Meth 77 SP</t>
  </si>
  <si>
    <t>QSAGR06</t>
  </si>
  <si>
    <t>QSAGR07</t>
  </si>
  <si>
    <t>Sagri-Mox 52 WP</t>
  </si>
  <si>
    <t>QSAGR08</t>
  </si>
  <si>
    <t>QSAGR02</t>
  </si>
  <si>
    <t>Sagri-Storm 100/400/50 SC</t>
  </si>
  <si>
    <t>QSAGR03</t>
  </si>
  <si>
    <t>ASAGR04</t>
  </si>
  <si>
    <t>QSAGR04</t>
  </si>
  <si>
    <t>ZZSAJA01</t>
  </si>
  <si>
    <t>ASARI01</t>
  </si>
  <si>
    <t>ASARI02</t>
  </si>
  <si>
    <t>ZZSARU03</t>
  </si>
  <si>
    <t>ZZSARU27</t>
  </si>
  <si>
    <t>ZZSARU22</t>
  </si>
  <si>
    <t>ZZSARU15</t>
  </si>
  <si>
    <t>ZZSARU20</t>
  </si>
  <si>
    <t>ZZSARU17</t>
  </si>
  <si>
    <t>QSARU01</t>
  </si>
  <si>
    <t>ZZSARU25</t>
  </si>
  <si>
    <t>ZZSARU23</t>
  </si>
  <si>
    <t>ZZSARU19</t>
  </si>
  <si>
    <t>ZZSARU09</t>
  </si>
  <si>
    <t>QSATU05</t>
  </si>
  <si>
    <t>QSATU03</t>
  </si>
  <si>
    <t>Saturn Plus</t>
  </si>
  <si>
    <t>QSATU02</t>
  </si>
  <si>
    <t>QSATY01</t>
  </si>
  <si>
    <t>Satyazeb 80 WP</t>
  </si>
  <si>
    <t>QSAWI02</t>
  </si>
  <si>
    <t>Benih Sawi Mie</t>
  </si>
  <si>
    <t>Sawi Dora</t>
  </si>
  <si>
    <t>QSAWI06</t>
  </si>
  <si>
    <t>Sawi Majapahit</t>
  </si>
  <si>
    <t>QSCOR02</t>
  </si>
  <si>
    <t>Score 250 EC</t>
  </si>
  <si>
    <t>ASCOR02</t>
  </si>
  <si>
    <t>QSCOR03</t>
  </si>
  <si>
    <t>ASEAL01</t>
  </si>
  <si>
    <t>QSEKO02</t>
  </si>
  <si>
    <t>Sekop Tanaman Goodman Transplanter</t>
  </si>
  <si>
    <t>QSELA05</t>
  </si>
  <si>
    <t>Selada Kriebo</t>
  </si>
  <si>
    <t>ASELA02</t>
  </si>
  <si>
    <t>ASELA10</t>
  </si>
  <si>
    <t>Selang Drip</t>
  </si>
  <si>
    <t>ASELA11</t>
  </si>
  <si>
    <t>ASELA12</t>
  </si>
  <si>
    <t>ASELA13</t>
  </si>
  <si>
    <t>ASELA09</t>
  </si>
  <si>
    <t>ASELA08</t>
  </si>
  <si>
    <t>ASELA07</t>
  </si>
  <si>
    <t>Selang Orange Komplit Star Metal</t>
  </si>
  <si>
    <t>QSELA01</t>
  </si>
  <si>
    <t>QSELA10</t>
  </si>
  <si>
    <t>QSELA02</t>
  </si>
  <si>
    <t>XSEPED02</t>
  </si>
  <si>
    <t>XSEPED01</t>
  </si>
  <si>
    <t>ZZSEPE44</t>
  </si>
  <si>
    <t>ASEPE01</t>
  </si>
  <si>
    <t>ZZSEPE41</t>
  </si>
  <si>
    <t>QSEVI02</t>
  </si>
  <si>
    <t>Sevin 85 SP</t>
  </si>
  <si>
    <t>QSG0101</t>
  </si>
  <si>
    <t>SG 01</t>
  </si>
  <si>
    <t>QSG0502</t>
  </si>
  <si>
    <t>SG 05</t>
  </si>
  <si>
    <t>QSG0501</t>
  </si>
  <si>
    <t>ASHAL01</t>
  </si>
  <si>
    <t>Shallot 600 SL</t>
  </si>
  <si>
    <t>QSIGN01</t>
  </si>
  <si>
    <t>QSIKL02</t>
  </si>
  <si>
    <t>Siklon 5.7 WG</t>
  </si>
  <si>
    <t>QSIMO01</t>
  </si>
  <si>
    <t>QSINA07</t>
  </si>
  <si>
    <t>Tab</t>
  </si>
  <si>
    <t>Sinagrowth 20 TB</t>
  </si>
  <si>
    <t>QSINA08</t>
  </si>
  <si>
    <t>Sinasen 300 SC</t>
  </si>
  <si>
    <t>ASINA02</t>
  </si>
  <si>
    <t>QSINE02</t>
  </si>
  <si>
    <t>Sinergy 300 EC</t>
  </si>
  <si>
    <t>QSINE01</t>
  </si>
  <si>
    <t>QSIVA01</t>
  </si>
  <si>
    <t>Sivanto Prime 200 SL</t>
  </si>
  <si>
    <t>ZZSKIE01</t>
  </si>
  <si>
    <t>ZZSKIE02</t>
  </si>
  <si>
    <t>QSMK31</t>
  </si>
  <si>
    <t>Benih Semangka</t>
  </si>
  <si>
    <t>Smk. Big Maduri F1</t>
  </si>
  <si>
    <t>Benih Semangka Inul Kuning</t>
  </si>
  <si>
    <t>Smk. Esteem</t>
  </si>
  <si>
    <t>QSMK09</t>
  </si>
  <si>
    <t>QSMK07</t>
  </si>
  <si>
    <t>Smk. Maduri</t>
  </si>
  <si>
    <t>QSEED04</t>
  </si>
  <si>
    <t>Benih Semangka Non Biji</t>
  </si>
  <si>
    <t>Seedless F1</t>
  </si>
  <si>
    <t>QSEED01</t>
  </si>
  <si>
    <t>ASNOW01</t>
  </si>
  <si>
    <t>Snowden 30 EC</t>
  </si>
  <si>
    <t>QSOFI03</t>
  </si>
  <si>
    <t>Sofia 200/70/30 OD</t>
  </si>
  <si>
    <t>QSOFI02</t>
  </si>
  <si>
    <t>QSOFI04</t>
  </si>
  <si>
    <t>ASORE01</t>
  </si>
  <si>
    <t>Sorexin 100 SC</t>
  </si>
  <si>
    <t>QSORT06</t>
  </si>
  <si>
    <t>Sortie 36/6 WP</t>
  </si>
  <si>
    <t>ZZSPAN04</t>
  </si>
  <si>
    <t>ZZSPAN07</t>
  </si>
  <si>
    <t>ASPIE01</t>
  </si>
  <si>
    <t>ASPIN01</t>
  </si>
  <si>
    <t>QSPON03</t>
  </si>
  <si>
    <t>Spontan 400 SL</t>
  </si>
  <si>
    <t>QSPON01</t>
  </si>
  <si>
    <t>QSPON02</t>
  </si>
  <si>
    <t>QSPON08</t>
  </si>
  <si>
    <t>Spontas 450 SL</t>
  </si>
  <si>
    <t>QSPON07</t>
  </si>
  <si>
    <t>QSPON06</t>
  </si>
  <si>
    <t>QSPRA21</t>
  </si>
  <si>
    <t>Sprayboost</t>
  </si>
  <si>
    <t>QSPRA24</t>
  </si>
  <si>
    <t>QSPRA23</t>
  </si>
  <si>
    <t>QSPRA22</t>
  </si>
  <si>
    <t>QSPRA43</t>
  </si>
  <si>
    <t>QSPRA38</t>
  </si>
  <si>
    <t>Sprayer</t>
  </si>
  <si>
    <t>Sprayer Apung</t>
  </si>
  <si>
    <t>ASPRA18</t>
  </si>
  <si>
    <t>Sprayer Bonanza</t>
  </si>
  <si>
    <t>QSPRA44</t>
  </si>
  <si>
    <t>Sprayer Elektrik Joeragan</t>
  </si>
  <si>
    <t>QSPRA41</t>
  </si>
  <si>
    <t>Sprayer Elektrik Quda Karisma</t>
  </si>
  <si>
    <t>QSPRA15</t>
  </si>
  <si>
    <t>Sprayer Quda Karisma 16 ltr</t>
  </si>
  <si>
    <t>ASPRA40</t>
  </si>
  <si>
    <t>QSPRA40</t>
  </si>
  <si>
    <t>QSPRA32</t>
  </si>
  <si>
    <t>Sprayer Hokita</t>
  </si>
  <si>
    <t>QSPRA46</t>
  </si>
  <si>
    <t>Sprayer Quda Karisma 5 ltr</t>
  </si>
  <si>
    <t>QSPRA12</t>
  </si>
  <si>
    <t>ASPRA41</t>
  </si>
  <si>
    <t>QSPRA39</t>
  </si>
  <si>
    <t>Sprayer Ultra Elektrik</t>
  </si>
  <si>
    <t>QSPRA47</t>
  </si>
  <si>
    <t>ASPUY01</t>
  </si>
  <si>
    <t>Spuyer</t>
  </si>
  <si>
    <t>ASPUY03</t>
  </si>
  <si>
    <t>ASPUY04</t>
  </si>
  <si>
    <t>ASPUY05</t>
  </si>
  <si>
    <t>QSPYK03</t>
  </si>
  <si>
    <t>QSPYK01</t>
  </si>
  <si>
    <t>QSPYK02</t>
  </si>
  <si>
    <t>ASTAI01</t>
  </si>
  <si>
    <t>ZZSTAN02</t>
  </si>
  <si>
    <t>ASTAR07</t>
  </si>
  <si>
    <t>Starcide 400 EC</t>
  </si>
  <si>
    <t>QSTAR11</t>
  </si>
  <si>
    <t>Stargate 0.5 GR</t>
  </si>
  <si>
    <t>QSTAR01</t>
  </si>
  <si>
    <t>Starkuat 135 SL</t>
  </si>
  <si>
    <t>QSTAR02</t>
  </si>
  <si>
    <t>QSTAR05</t>
  </si>
  <si>
    <t>QSTAR12</t>
  </si>
  <si>
    <t>Starphos</t>
  </si>
  <si>
    <t>ASTIC01</t>
  </si>
  <si>
    <t>Spindle</t>
  </si>
  <si>
    <t>QSUIC02</t>
  </si>
  <si>
    <t>QSUIC01</t>
  </si>
  <si>
    <t>QSWIT01</t>
  </si>
  <si>
    <t>Switch Off 62.5 WG</t>
  </si>
  <si>
    <t>QSYMB01</t>
  </si>
  <si>
    <t>Symbisect 2/30 WG</t>
  </si>
  <si>
    <t>QSYMB03</t>
  </si>
  <si>
    <t>QSYMB02</t>
  </si>
  <si>
    <t>QSYMP02</t>
  </si>
  <si>
    <t>Symphony</t>
  </si>
  <si>
    <t>QSYMP01</t>
  </si>
  <si>
    <t>QTABU02</t>
  </si>
  <si>
    <t>ATABU01</t>
  </si>
  <si>
    <t>Tabung Pompa Komplit</t>
  </si>
  <si>
    <t>QTALI07</t>
  </si>
  <si>
    <t>QTALI06</t>
  </si>
  <si>
    <t>Slop</t>
  </si>
  <si>
    <t>Tali Gawar Q989</t>
  </si>
  <si>
    <t>QTALI08</t>
  </si>
  <si>
    <t>ATALI07</t>
  </si>
  <si>
    <t>ATALI01</t>
  </si>
  <si>
    <t>QTALI03</t>
  </si>
  <si>
    <t>Tali Kapas Cap Kelud</t>
  </si>
  <si>
    <t>QTALI05</t>
  </si>
  <si>
    <t>QTALI04</t>
  </si>
  <si>
    <t>QTAMI01</t>
  </si>
  <si>
    <t>QTAMO01</t>
  </si>
  <si>
    <t>Tamoxanil 6/24 WP</t>
  </si>
  <si>
    <t>QTAMP01</t>
  </si>
  <si>
    <t>Tampidor 200 SL</t>
  </si>
  <si>
    <t>QTAMP04</t>
  </si>
  <si>
    <t>QTAMP03</t>
  </si>
  <si>
    <t>Tampidor 25 WP</t>
  </si>
  <si>
    <t>QTAMU01</t>
  </si>
  <si>
    <t>Tamuldok 25 EC</t>
  </si>
  <si>
    <t>QTAMU02</t>
  </si>
  <si>
    <t>ZZTANG01</t>
  </si>
  <si>
    <t>QTANG54</t>
  </si>
  <si>
    <t>Tangki</t>
  </si>
  <si>
    <t>Tangki ABC 16 ltr BTR</t>
  </si>
  <si>
    <t>QTANG43</t>
  </si>
  <si>
    <t>QTANG49</t>
  </si>
  <si>
    <t>Tangki Dragon Star</t>
  </si>
  <si>
    <t>QTANG51</t>
  </si>
  <si>
    <t>QTANG50</t>
  </si>
  <si>
    <t>Tangki Eye Brand</t>
  </si>
  <si>
    <t>ATANG57</t>
  </si>
  <si>
    <t>Tangki Jacto</t>
  </si>
  <si>
    <t>ATANG54</t>
  </si>
  <si>
    <t>QTANG44</t>
  </si>
  <si>
    <t>QTANG55</t>
  </si>
  <si>
    <t>QTANG52</t>
  </si>
  <si>
    <t>ATANG59</t>
  </si>
  <si>
    <t>QTANG48</t>
  </si>
  <si>
    <t>Tangki TOP AGRI</t>
  </si>
  <si>
    <t>ATANG61</t>
  </si>
  <si>
    <t>ATANG33</t>
  </si>
  <si>
    <t>Tangki Yoto SS BTR</t>
  </si>
  <si>
    <t>QTERM01</t>
  </si>
  <si>
    <t>Bahan Pengawet Kayu</t>
  </si>
  <si>
    <t>Termikon 15 EC</t>
  </si>
  <si>
    <t>QTERM02</t>
  </si>
  <si>
    <t>QTERM04</t>
  </si>
  <si>
    <t>Akarisida</t>
  </si>
  <si>
    <t>Terminator</t>
  </si>
  <si>
    <t>QTERM03</t>
  </si>
  <si>
    <t>QTERO08</t>
  </si>
  <si>
    <t>Terong Bungo</t>
  </si>
  <si>
    <t>QTERO02</t>
  </si>
  <si>
    <t>Benih Terong</t>
  </si>
  <si>
    <t>Terong Hijo</t>
  </si>
  <si>
    <t>QTERO03</t>
  </si>
  <si>
    <t>Terong Kenari</t>
  </si>
  <si>
    <t>QTERO05</t>
  </si>
  <si>
    <t>Terong Welut</t>
  </si>
  <si>
    <t>QTHRO02</t>
  </si>
  <si>
    <t>Throne 250 EC</t>
  </si>
  <si>
    <t>QTHRO03</t>
  </si>
  <si>
    <t>QTIMU11</t>
  </si>
  <si>
    <t>Benih Timun</t>
  </si>
  <si>
    <t>QTIMU24</t>
  </si>
  <si>
    <t>QTIMU04</t>
  </si>
  <si>
    <t>Timun Renes</t>
  </si>
  <si>
    <t>QTIMU29</t>
  </si>
  <si>
    <t>Timun Semi F1</t>
  </si>
  <si>
    <t>QTIMU06</t>
  </si>
  <si>
    <t>Timun Wuku</t>
  </si>
  <si>
    <t>QTOMA29</t>
  </si>
  <si>
    <t>Benih Tomat</t>
  </si>
  <si>
    <t>Tomat Comodor</t>
  </si>
  <si>
    <t>QTOMA26</t>
  </si>
  <si>
    <t>Tomat Corona 402</t>
  </si>
  <si>
    <t>QTOMA02</t>
  </si>
  <si>
    <t>Benih Tomat Besar</t>
  </si>
  <si>
    <t>Tomat Mawar</t>
  </si>
  <si>
    <t>QTOMB01</t>
  </si>
  <si>
    <t>QTOPB02</t>
  </si>
  <si>
    <t>Topbas 400 SC</t>
  </si>
  <si>
    <t>QTOPB01</t>
  </si>
  <si>
    <t>ZZTOPI01</t>
  </si>
  <si>
    <t>ZZTOPI12</t>
  </si>
  <si>
    <t>ZZTOPI04</t>
  </si>
  <si>
    <t>ZZTOPI16</t>
  </si>
  <si>
    <t>ZZTOPI06</t>
  </si>
  <si>
    <t>ZZTOPI11</t>
  </si>
  <si>
    <t>ZZTOPI07</t>
  </si>
  <si>
    <t>ZZTOPI15</t>
  </si>
  <si>
    <t>ZZTOPI10</t>
  </si>
  <si>
    <t>ATOPI01</t>
  </si>
  <si>
    <t>QTOPI01</t>
  </si>
  <si>
    <t>Topida 25 WP</t>
  </si>
  <si>
    <t>QTOPI03</t>
  </si>
  <si>
    <t>QTOPJ01</t>
  </si>
  <si>
    <t>QTOPS08</t>
  </si>
  <si>
    <t>Topsil B/K</t>
  </si>
  <si>
    <t>QTOPS02</t>
  </si>
  <si>
    <t>Topsindo 70 WP</t>
  </si>
  <si>
    <t>ATORI01</t>
  </si>
  <si>
    <t>Tori 50 WP</t>
  </si>
  <si>
    <t>QTRIG01</t>
  </si>
  <si>
    <t>Trigard 75 WP</t>
  </si>
  <si>
    <t>QTRIG02</t>
  </si>
  <si>
    <t>QTRIP01</t>
  </si>
  <si>
    <t>Trip Oil</t>
  </si>
  <si>
    <t>QTRIP04</t>
  </si>
  <si>
    <t>Tripe XXX</t>
  </si>
  <si>
    <t>QTRIP02</t>
  </si>
  <si>
    <t>Triplelima 555 SL</t>
  </si>
  <si>
    <t>QTRIS04</t>
  </si>
  <si>
    <t>Trisula 450 SL</t>
  </si>
  <si>
    <t>ZZT-SH02</t>
  </si>
  <si>
    <t>ZZT-SH01</t>
  </si>
  <si>
    <t>QTUNT03</t>
  </si>
  <si>
    <t>Tuntas 300/100 SL</t>
  </si>
  <si>
    <t>QTUNT05</t>
  </si>
  <si>
    <t>ATUTU04</t>
  </si>
  <si>
    <t>Tutup Sprayer</t>
  </si>
  <si>
    <t>ATUTU01</t>
  </si>
  <si>
    <t>ATUTU02</t>
  </si>
  <si>
    <t>ATUTU05</t>
  </si>
  <si>
    <t>Tutup Tangki</t>
  </si>
  <si>
    <t>ATUTU03</t>
  </si>
  <si>
    <t>XTVLED01</t>
  </si>
  <si>
    <t>ZZTVL02</t>
  </si>
  <si>
    <t>ZZTVS02</t>
  </si>
  <si>
    <t>ZZTVLE09</t>
  </si>
  <si>
    <t>ZZTVSA01</t>
  </si>
  <si>
    <t>QULTR01</t>
  </si>
  <si>
    <t>ZZUMBU02</t>
  </si>
  <si>
    <t>QUNIG02</t>
  </si>
  <si>
    <t>QUNIG01</t>
  </si>
  <si>
    <t>QUNIH01</t>
  </si>
  <si>
    <t>Unihit 120 SC</t>
  </si>
  <si>
    <t>AUNIH01</t>
  </si>
  <si>
    <t>QUNIH03</t>
  </si>
  <si>
    <t>QUNIH02</t>
  </si>
  <si>
    <t>QUNIR02</t>
  </si>
  <si>
    <t>Unirex 141/106 2 C</t>
  </si>
  <si>
    <t>QUNIR03</t>
  </si>
  <si>
    <t>QUNIR01</t>
  </si>
  <si>
    <t>QUNIS03</t>
  </si>
  <si>
    <t>QUNIS02</t>
  </si>
  <si>
    <t>AUNIS01</t>
  </si>
  <si>
    <t>QUPRI01</t>
  </si>
  <si>
    <t>Uprise</t>
  </si>
  <si>
    <t>QVAYE02</t>
  </si>
  <si>
    <t>Vayego 200 SC</t>
  </si>
  <si>
    <t>QVAYE03</t>
  </si>
  <si>
    <t>AVENT01</t>
  </si>
  <si>
    <t>QVERT02</t>
  </si>
  <si>
    <t>Vertibak 60 SP</t>
  </si>
  <si>
    <t>QVIAR01</t>
  </si>
  <si>
    <t>Viaron 80 WP</t>
  </si>
  <si>
    <t>QVIAR02</t>
  </si>
  <si>
    <t>QVICT04</t>
  </si>
  <si>
    <t>Victar 80 WP</t>
  </si>
  <si>
    <t>QVICT02</t>
  </si>
  <si>
    <t>Victory 80 WP</t>
  </si>
  <si>
    <t>QVIRT01</t>
  </si>
  <si>
    <t>Virtako 300 SC</t>
  </si>
  <si>
    <t>AVIRT02</t>
  </si>
  <si>
    <t>QVIRT02</t>
  </si>
  <si>
    <t>QVIRT03</t>
  </si>
  <si>
    <t>AVISH02</t>
  </si>
  <si>
    <t>Vishaka 200 EC</t>
  </si>
  <si>
    <t>QVISH01</t>
  </si>
  <si>
    <t>AVIST04</t>
  </si>
  <si>
    <t>Vista 400 SL</t>
  </si>
  <si>
    <t>QVIST01</t>
  </si>
  <si>
    <t>QVIST02</t>
  </si>
  <si>
    <t>QVIST03</t>
  </si>
  <si>
    <t>AVOLT01</t>
  </si>
  <si>
    <t>QWALA02</t>
  </si>
  <si>
    <t>Walang 50 EC</t>
  </si>
  <si>
    <t>QWALA03</t>
  </si>
  <si>
    <t>QWEND02</t>
  </si>
  <si>
    <t>Wendry 75 WP</t>
  </si>
  <si>
    <t>QWEND01</t>
  </si>
  <si>
    <t>AWEND03</t>
  </si>
  <si>
    <t>QWIN01</t>
  </si>
  <si>
    <t>Win 10 WP</t>
  </si>
  <si>
    <t>QWIND08</t>
  </si>
  <si>
    <t>Winda 250 SC</t>
  </si>
  <si>
    <t>QWIND06</t>
  </si>
  <si>
    <t>QWIND07</t>
  </si>
  <si>
    <t>QXYCO02</t>
  </si>
  <si>
    <t>Xycort 550/60 EC</t>
  </si>
  <si>
    <t>QXYCO03</t>
  </si>
  <si>
    <t>AYOTO01</t>
  </si>
  <si>
    <t>Desinfektan</t>
  </si>
  <si>
    <t>Yoto Perfume Spray</t>
  </si>
  <si>
    <t>QYOUS02</t>
  </si>
  <si>
    <t>You Stick</t>
  </si>
  <si>
    <t>QZENC03</t>
  </si>
  <si>
    <t>Zencrop Algi</t>
  </si>
  <si>
    <t>QZENC02</t>
  </si>
  <si>
    <t>QZENC01</t>
  </si>
  <si>
    <t>QZENP03</t>
  </si>
  <si>
    <t>Zenpro Mix</t>
  </si>
  <si>
    <t>QZENP02</t>
  </si>
  <si>
    <t>QZENP01</t>
  </si>
  <si>
    <t>QZENP04</t>
  </si>
  <si>
    <t>Zenpro NPK</t>
  </si>
  <si>
    <t>ZZZENT01</t>
  </si>
  <si>
    <t>QZINC01</t>
  </si>
  <si>
    <t>Zinc</t>
  </si>
  <si>
    <t>AZINC01</t>
  </si>
  <si>
    <t>QZNUR01</t>
  </si>
  <si>
    <t>Nama</t>
  </si>
  <si>
    <t>Sample Benih</t>
  </si>
  <si>
    <t>lot</t>
  </si>
  <si>
    <t>INVENTOR.KODE</t>
  </si>
  <si>
    <t>INVENTOR.DESCRIPTION</t>
  </si>
  <si>
    <t>INVENTOR.PANJANG</t>
  </si>
  <si>
    <t>INVENTOR.LEBAR</t>
  </si>
  <si>
    <t>INVENTOR.TINGGI</t>
  </si>
  <si>
    <t>INVENTOR.BERAT</t>
  </si>
  <si>
    <t>INVENTOR.KUBIKASI</t>
  </si>
  <si>
    <t>UNIT.UNIT</t>
  </si>
  <si>
    <t>Abacell 18 EC 100 X 100 ml (tdk terpakai)</t>
  </si>
  <si>
    <t>Abacell 18 EC 20 X 500 ml</t>
  </si>
  <si>
    <t>Abacyper 30/125 EC 48 X 100 ml</t>
  </si>
  <si>
    <t>Abacyper 30/125 EC 24 X 200 ml</t>
  </si>
  <si>
    <t>Abuki 50 SL 20 X 500 ml</t>
  </si>
  <si>
    <t>Acapela System 280 SC 40 X 100 ml</t>
  </si>
  <si>
    <t>AACCO02</t>
  </si>
  <si>
    <t>Accu Yakotani Kering 12A - 12 Volt</t>
  </si>
  <si>
    <t>Acemain 75 SP 10 X 8 X 100 gr</t>
  </si>
  <si>
    <t>Acemain 75 SP 20 X 400 gr</t>
  </si>
  <si>
    <t>Acrobat WP 16 X 20 X 10 gr</t>
  </si>
  <si>
    <t>Actara WG 4 X 25 X 10 gr</t>
  </si>
  <si>
    <t>Actellicpro 500 EC 10 X 1 ltr</t>
  </si>
  <si>
    <t>Active 490 SL 25 X 500 ml</t>
  </si>
  <si>
    <t>Active 490 SL 30 X 250 ml</t>
  </si>
  <si>
    <t>Adengo SC465 100 X 100 ml</t>
  </si>
  <si>
    <t>Agent 50 SC 50 X 100 ml</t>
  </si>
  <si>
    <t>Agrimec 18 EC 100 X 50 ml</t>
  </si>
  <si>
    <t>Agrimec 18 EC 50 X 100 ml</t>
  </si>
  <si>
    <t>Agristik 400 L 4 X 5 ltr</t>
  </si>
  <si>
    <t>Ali-Ron 10 X 20 X 5 gr</t>
  </si>
  <si>
    <t>Ally Plus 77 WP 8 X 25 X 40 gr</t>
  </si>
  <si>
    <t>Ally 20 WDG 10 X 20 X 5 gr</t>
  </si>
  <si>
    <t>Altar 250 SC 40 X 250 ml</t>
  </si>
  <si>
    <t>Amcoxone 276 SL 4 X 5 ltr</t>
  </si>
  <si>
    <t>Amcoxone 276 SL 20 X 1 ltr</t>
  </si>
  <si>
    <t>Amcoxone 276 SL 20 ltr</t>
  </si>
  <si>
    <t>Ametrex 500 SC 10 X 1 ltr</t>
  </si>
  <si>
    <t>Amitage 200 EC 20 X 500 ml</t>
  </si>
  <si>
    <t>Ammate 150 EC 20 X 50 ml</t>
  </si>
  <si>
    <t>Ammate 150 EC 40 X 50 ml (FMC)</t>
  </si>
  <si>
    <t>Ammate 150 EC 20 X 100 ml (FMC)</t>
  </si>
  <si>
    <t>Anphony 20 X 250 ml</t>
  </si>
  <si>
    <t>Anwavin 500 EC 16 X 1 ltr</t>
  </si>
  <si>
    <t>Applaud 10 WP 25 X 400 gr</t>
  </si>
  <si>
    <t>Arjuna 200 EC 20 X 250 ml</t>
  </si>
  <si>
    <t>Arjuna 200 EC 20 X 500 ml</t>
  </si>
  <si>
    <t>AASSO03</t>
  </si>
  <si>
    <t>Atonik 6.5 L 15 X 500 ml (tdk terpakai)</t>
  </si>
  <si>
    <t>Atonik 6.5 L 25 X 100 ml (tdk terpakai)</t>
  </si>
  <si>
    <t>Atonik 6.5 L 15 X 1 ltr (tdk terpakai)</t>
  </si>
  <si>
    <t>Atonik 6.0 L 15 X 1 ltr</t>
  </si>
  <si>
    <t>Atramix 210 SC 20 X 500 ml</t>
  </si>
  <si>
    <t>Atrium 550 SC 24 X 500 ml</t>
  </si>
  <si>
    <t>Atrium 550 SC 40 X 250 ml</t>
  </si>
  <si>
    <t>Aurora 70 WP 16 X 800 gr</t>
  </si>
  <si>
    <t>Aurora 70 WP 20 X 1 kg</t>
  </si>
  <si>
    <t>Aviate 75 WG 40 X 300 gr</t>
  </si>
  <si>
    <t>Azomite 0.5 GR 20 X 1 kg</t>
  </si>
  <si>
    <t>Bambu Ijo 40 X 10 X 12 ml</t>
  </si>
  <si>
    <t>Bamex 18 EC 10 X 900 ml (M2U)</t>
  </si>
  <si>
    <t>Bandrol 400 EC 20 X 450 ml</t>
  </si>
  <si>
    <t>Bayam Amarin 30 X 500 gr</t>
  </si>
  <si>
    <t>Bayam Amarin 90 X 100 gr</t>
  </si>
  <si>
    <t>Bayam Red 30 X 500 gr</t>
  </si>
  <si>
    <t>Bayam Belang 30 X 500 gr</t>
  </si>
  <si>
    <t>Baycarb 500 EC 100 X 100 ml</t>
  </si>
  <si>
    <t>Bayfolan 20 X 500 ml</t>
  </si>
  <si>
    <t>Bayleton 250 EC 100 X 100 ml</t>
  </si>
  <si>
    <t>Bazoka 80 WP 20 X 1 kg</t>
  </si>
  <si>
    <t>Beet Up 200 EC 100 X 100 ml</t>
  </si>
  <si>
    <t>Beet Up 200 EC 40 X 250 ml</t>
  </si>
  <si>
    <t>Belt Expert 480 SC 40 X 250 ml</t>
  </si>
  <si>
    <t>Belt Expert 480 SC 100 X 100 ml</t>
  </si>
  <si>
    <t>Benstar 50 WP 40 X 250 gr</t>
  </si>
  <si>
    <t>Bentan 60 WP 100 X 100 gr</t>
  </si>
  <si>
    <t>Bentan 45 WP 100 X 100 gr</t>
  </si>
  <si>
    <t>Bentop 276 SL 20 X 1 ltr + 1 Pack Metaben 20 WG-5gr</t>
  </si>
  <si>
    <t>Besromil 35 WP 100 X 100 gr</t>
  </si>
  <si>
    <t>Besvidor 25 WP 4 X 25 X 100 gr</t>
  </si>
  <si>
    <t>Blewah Bisma 20 X 9 X 15 gr</t>
  </si>
  <si>
    <t>Blewah Bisma 20 X 6 X 15 gr</t>
  </si>
  <si>
    <t>BM Cychlophos 500/50 EC 20 X 500 ml</t>
  </si>
  <si>
    <t>Boom Flower 40 X 250 ml</t>
  </si>
  <si>
    <t>Boom Padi @30 Pk</t>
  </si>
  <si>
    <t>Booster 250 SC 40 X 250 ml</t>
  </si>
  <si>
    <t>Booster 250 SC 50 X 80 ml</t>
  </si>
  <si>
    <t>Bravoxone 276 SL 20 X 500 ml</t>
  </si>
  <si>
    <t>Buldok 25 EC 100 X 100 ml</t>
  </si>
  <si>
    <t>Buldok 25 EC 20 X 500 ml</t>
  </si>
  <si>
    <t>Buldok 25 EC 40 X 250 ml</t>
  </si>
  <si>
    <t>Buncis Bayu 90 X 100 gr</t>
  </si>
  <si>
    <t>Buncis Lebat-3 40 X 500 gr</t>
  </si>
  <si>
    <t>Bunga Marigold Rona 10 X 40 X 110 biji</t>
  </si>
  <si>
    <t>Bunga Marigold Casanova 10 X 40 X 110 biji</t>
  </si>
  <si>
    <t>Bunga Marigold Rona 10 X 20 X 550 biji</t>
  </si>
  <si>
    <t>Cabe Genesis Hijau 6 X 15 X 10 gr</t>
  </si>
  <si>
    <t>Cabe Inko 99 10 X 10 gr</t>
  </si>
  <si>
    <t>Cabe Karina 6 X 10 X 10 gr</t>
  </si>
  <si>
    <t>Cabe SG Hot 99 10 gr</t>
  </si>
  <si>
    <t>Cabe Inko Hot 10 X 10 gr</t>
  </si>
  <si>
    <t>Cabe OR Trisula Hijau 10 X 10 gr</t>
  </si>
  <si>
    <t>Cabe Bhaskara 20 X 12 X 10 gr</t>
  </si>
  <si>
    <t>Cabe TM Star 88 10 X 10 gr</t>
  </si>
  <si>
    <t>Cabe Cakra Hijau 20 X 20 X 25 gr</t>
  </si>
  <si>
    <t>Cabe Restu 20 X 13 X 10 gr</t>
  </si>
  <si>
    <t>Cabe Elegance 20 X 12 X 10 gr</t>
  </si>
  <si>
    <t>Cabe Sonar 20 X 12 X 10 gr</t>
  </si>
  <si>
    <t>Cabe Hot Express 10 X 10 gr</t>
  </si>
  <si>
    <t>Cabe Horison 20 X 12 X 10 gr</t>
  </si>
  <si>
    <t>Cabe Restu 20 X 12 X 10 gr</t>
  </si>
  <si>
    <t>Cabe Imperial 20 X 12 X 10 gr</t>
  </si>
  <si>
    <t>Cabe TM Scarlet 10 X 10 gr</t>
  </si>
  <si>
    <t>Cabe TM 007 10 X 10 gr</t>
  </si>
  <si>
    <t>Cabe TM Thunder 99 10 X 10 gr</t>
  </si>
  <si>
    <t>Cabe Balebat F1 12 X 15 X 1500 seed</t>
  </si>
  <si>
    <t>Cabe Cakra Hijau 20 X 12 X 10 gr</t>
  </si>
  <si>
    <t>Cabe Cakra Putih 20 X 12 X 10 gr</t>
  </si>
  <si>
    <t>Cabe Arimbi 85 20 X 12 X 10 gr</t>
  </si>
  <si>
    <t>Cabe Sonar 20 X 24 X 10 gr</t>
  </si>
  <si>
    <t>Cabe Prentul 12 X 15 X 10 gr</t>
  </si>
  <si>
    <t>Cabrio Agcelence 250 EC 48 X 100 ml</t>
  </si>
  <si>
    <t>Cabrio VG 250 EC 24 X 250 ml</t>
  </si>
  <si>
    <t>Cabrio Gold 48 X 100 ml</t>
  </si>
  <si>
    <t>Cabrio Gold 24 X 250 ml</t>
  </si>
  <si>
    <t>Cabrio Top 60 WG 20 X 500 gr</t>
  </si>
  <si>
    <t>Cal. Prima 20 X 1 kg</t>
  </si>
  <si>
    <t>Carmectin 120 EC 40 X 200 ml</t>
  </si>
  <si>
    <t>Carmectin 120 EC 50 X 80 ml</t>
  </si>
  <si>
    <t>Cauli Flower Balotta 6 X 10 X 10 gr</t>
  </si>
  <si>
    <t>Cauli Flower Orient 20 X 12 X 10 gr</t>
  </si>
  <si>
    <t>Cauli Flower Sunny 20 X 12 X 10 gr</t>
  </si>
  <si>
    <t>Centathane 80 WP 20 X 1 kg</t>
  </si>
  <si>
    <t>Centazole 250 EC 80 ml</t>
  </si>
  <si>
    <t>Centatop 288 SL 20 X 1 ltr + Pilly 5 gr</t>
  </si>
  <si>
    <t>Cepha 50 X 100 ml</t>
  </si>
  <si>
    <t>Charger Top Agri</t>
  </si>
  <si>
    <t>Clipper TM 25 OD 50 X 100 ml</t>
  </si>
  <si>
    <t>Clipper TM 25 OD 24 X 250 ml</t>
  </si>
  <si>
    <t>Clipper TM 25 OD 20 X 500 ml</t>
  </si>
  <si>
    <t>Closer 50 WG 10 X 20 X 7.5 gr</t>
  </si>
  <si>
    <t>Confidor 5 WP 100 X 100 gr</t>
  </si>
  <si>
    <t>Confidor Extra 350 SC 100 X 50 ml</t>
  </si>
  <si>
    <t>Consento 60 SC 100 X 60 ml</t>
  </si>
  <si>
    <t>Copcide 77 WP 120 X 100 gr</t>
  </si>
  <si>
    <t>Copcide 77 WP 20 X 1 kg</t>
  </si>
  <si>
    <t>Copcide 77 WP 40 X 400 gr</t>
  </si>
  <si>
    <t>Copcide 77 WP 16 X 1 kg</t>
  </si>
  <si>
    <t>Copcide 77 WP 100 X 100 gr</t>
  </si>
  <si>
    <t>Counter SP 100 X 100 gr</t>
  </si>
  <si>
    <t>Council Complete SC 300 100 X 100 ml</t>
  </si>
  <si>
    <t>CPN 6 X 5 kg</t>
  </si>
  <si>
    <t>Cruiser 350 FS 4 X 20 X 12.5 ml</t>
  </si>
  <si>
    <t>Curacron 500 EC 50 X 100 ml</t>
  </si>
  <si>
    <t>Curbix 100 SC 100 X 100 ml</t>
  </si>
  <si>
    <t>Curbix 100 SC 40 X 250 ml</t>
  </si>
  <si>
    <t>Custodia 320 SC 40 X 250 ml</t>
  </si>
  <si>
    <t>Cymbush 50 EC 100 X 100 ml</t>
  </si>
  <si>
    <t>Cypronex 440 15 X 1 ltr</t>
  </si>
  <si>
    <t>Daconil 75 WP 20 X 500 gr</t>
  </si>
  <si>
    <t>Decis 2.5 EC 20 X 500 ml (Klg)</t>
  </si>
  <si>
    <t>Dekamon 22,43 L 20 X 500 ml</t>
  </si>
  <si>
    <t>Dekamon 22,43 L 48 X 100 ml</t>
  </si>
  <si>
    <t>Delsene MX 80 WP 100 X 100 gr</t>
  </si>
  <si>
    <t>Delsene MX 80 WP 20 X 500 gr</t>
  </si>
  <si>
    <t>Demolish 18 EC 72 X 50 ml</t>
  </si>
  <si>
    <t>Demolish 18 EC 18 X 200 ml</t>
  </si>
  <si>
    <t>Demolish 18 EC 36 X 100 ml</t>
  </si>
  <si>
    <t>Desanto 200 SL 100 X 100 ml ( Sampel )</t>
  </si>
  <si>
    <t>Deskor 95 WP 10 X 20 X 0.3 gr</t>
  </si>
  <si>
    <t>Destello 480 SC 100 X 100 ml</t>
  </si>
  <si>
    <t>Destello 480 SC 40 X 250 ml</t>
  </si>
  <si>
    <t>Diazinon 10 G 20 X 1 kg</t>
  </si>
  <si>
    <t>Dinamec 10 WG 20 X 20 X 5 gr</t>
  </si>
  <si>
    <t>Dithane M-45 80 WP 20 X 1 kg</t>
  </si>
  <si>
    <t>Dithane M-45 80 WP 20 X 500 gr</t>
  </si>
  <si>
    <t>Dithane M-45 80 WP 50 X 200 gr</t>
  </si>
  <si>
    <t>DK Fostrin 550 EC 100 X 100 ml</t>
  </si>
  <si>
    <t>DK Fostrin 550 EC 40 X 250 ml</t>
  </si>
  <si>
    <t>DK Fostrin 550 EC 10 X 1 ltr</t>
  </si>
  <si>
    <t>DK Fostrin 550 EC 20 X 500 ml</t>
  </si>
  <si>
    <t>DK Glifordi 10 X 1 ltr</t>
  </si>
  <si>
    <t>DK Metrin 500 SC 4 X 5 ltr</t>
  </si>
  <si>
    <t>DK Metrin 500 SC 20 ltr</t>
  </si>
  <si>
    <t>Dma-6 825 SL 40 X 200 ml</t>
  </si>
  <si>
    <t>Dma-6 825 SL 20 X 400 ml</t>
  </si>
  <si>
    <t>Dma-6 825 SL 24 X 200 ml</t>
  </si>
  <si>
    <t>Dorum 40 X 200 ml</t>
  </si>
  <si>
    <t>Dorum 50 X 80 ml</t>
  </si>
  <si>
    <t>Dursban 200 EC 20 X 500 ml</t>
  </si>
  <si>
    <t>Dursban 200 EC 30 X 250 ml</t>
  </si>
  <si>
    <t>Dursban 200 EC 50 X 100 ml</t>
  </si>
  <si>
    <t>Dursban 200 EC 10 X 1 ltr</t>
  </si>
  <si>
    <t>Dursban 200 EC 24 X 250 ml</t>
  </si>
  <si>
    <t>EM-4 Toilet 15 X 1 ltr</t>
  </si>
  <si>
    <t>Emerge 300 EC 100 X 80 ml</t>
  </si>
  <si>
    <t>Emerge 300 EC 40 X 250 ml</t>
  </si>
  <si>
    <t>Endure 120 SC 50 X 100 ml</t>
  </si>
  <si>
    <t>Endure 120 SC 100 X 50 ml</t>
  </si>
  <si>
    <t>Endure 120 SC 24 X 200 ml</t>
  </si>
  <si>
    <t>Equation Pro 52 WG 10 X 5 X 100 gr</t>
  </si>
  <si>
    <t>Ethrel 40 PRG 100 X 100 ml</t>
  </si>
  <si>
    <t>Experto 300 SC 50 X 200 ml</t>
  </si>
  <si>
    <t>Experto 300 SC 50 X 100 ml</t>
  </si>
  <si>
    <t>Fastac 15 EC 24 X 300 ml</t>
  </si>
  <si>
    <t>Fastac 15 EC 50 X 100 ml</t>
  </si>
  <si>
    <t>Fastac 15 EC 20 X 500 ml</t>
  </si>
  <si>
    <t>Fastac 15 EC 48 X 100 ml</t>
  </si>
  <si>
    <t>Fenthrin 50 EC 20 X 500 ml</t>
  </si>
  <si>
    <t>Fenval 200 EC 20 X 300 ml</t>
  </si>
  <si>
    <t>Fertila 8.15.19 Granul 5 X 5 kg</t>
  </si>
  <si>
    <t>Ferterra 0.4 GR 10 X 2 kg</t>
  </si>
  <si>
    <t>Ferterra 0.4 GR 20 X 500 gr</t>
  </si>
  <si>
    <t>Ferterra 0.4 GR 10 X 2 kg (FMC)</t>
  </si>
  <si>
    <t>Festans 80 WP 10 X 1 kg (AGM)</t>
  </si>
  <si>
    <t>Fillado 440 EC 20 X 500 ml</t>
  </si>
  <si>
    <t>Fipromix 600 SC 50 X 100 ml</t>
  </si>
  <si>
    <t>Fipromix 600 SC 40 X 250 ml</t>
  </si>
  <si>
    <t>Fitozeb 80 WP 10 X 1 kg</t>
  </si>
  <si>
    <t>Fitokarb 50 WP 50 X 100 gr</t>
  </si>
  <si>
    <t>Fitokarb 50 WP 40 X 250 gr</t>
  </si>
  <si>
    <t>Folicur Gold 250 EC 100 X 60 ml</t>
  </si>
  <si>
    <t>Folicur Gold 250 EC 100 X 100 ml</t>
  </si>
  <si>
    <t>Folicur Gold 250 EC 40 X 240 ml</t>
  </si>
  <si>
    <t>Folicur 25 WP 100 X 50 gr</t>
  </si>
  <si>
    <t>Fujiwan 400 EC 50 X 100 ml</t>
  </si>
  <si>
    <t>Fujiwan 400 EC 20 X 500 ml</t>
  </si>
  <si>
    <t>Furadan 3 G 10 X 1 kg</t>
  </si>
  <si>
    <t>Furadan 3 G 10 X 2 kg</t>
  </si>
  <si>
    <t>Furaxin 10 SL 40 X 100 ml</t>
  </si>
  <si>
    <t>Galil 300 SC 40 X 250 ml</t>
  </si>
  <si>
    <t>Galil 300 SC 50 X 100 ml</t>
  </si>
  <si>
    <t>Galil 300 SC 100 X 100 ml</t>
  </si>
  <si>
    <t>Gallery 403 SL 30 X 500 ml (M2U)</t>
  </si>
  <si>
    <t>Gallery 403 SL 10 X 1 ltr (M2U)</t>
  </si>
  <si>
    <t>Gallery 403 SL 10 X 1 ltr + SG.01 100 gr</t>
  </si>
  <si>
    <t>Gallery 403 SL 10 X 1 ltr + SG.05 100 gr</t>
  </si>
  <si>
    <t>Gandapan Maxima 40 X 200 gr</t>
  </si>
  <si>
    <t>Gaucho 350 FS 100 X 20 ml</t>
  </si>
  <si>
    <t>Gaucho 350 FS 50 X 50 ml</t>
  </si>
  <si>
    <t>Gaya 550 EC 20 X 500 ml</t>
  </si>
  <si>
    <t>Generate 24 X 500 ml</t>
  </si>
  <si>
    <t>Gibgro 20 T 10 X 10 X 5 gr</t>
  </si>
  <si>
    <t>Gladiol 25 EC 50 X 200 ml</t>
  </si>
  <si>
    <t>Gladiol 25 EC 50 X 80 ml</t>
  </si>
  <si>
    <t>Glidamin 300/100 SL 20 X 1 ltr</t>
  </si>
  <si>
    <t>Goal 240 EC 100 X 50 ml</t>
  </si>
  <si>
    <t>Goldwet 50 X 100 ml</t>
  </si>
  <si>
    <t>Gramoxone 276 SL 20 X 1 ltr</t>
  </si>
  <si>
    <t>Gramoxone 276 SL 20 X 500 ml</t>
  </si>
  <si>
    <t>Gramoxone 276 SL 40 X 250 ml</t>
  </si>
  <si>
    <t>Gramoxone 276 SL 4 X 5 ltr</t>
  </si>
  <si>
    <t>GW Blooming 12 X 1 ltr</t>
  </si>
  <si>
    <t>GW Gempi G8 24 X 1 ltr</t>
  </si>
  <si>
    <t>Imar 20 WP 60 X 100 gr</t>
  </si>
  <si>
    <t>Indar 240 SC 24 X 250 ml</t>
  </si>
  <si>
    <t>Indar 240 SC 50 X 80 ml</t>
  </si>
  <si>
    <t>Infinito 687.5 SC 100 X 100 ml</t>
  </si>
  <si>
    <t>Ittoku 73 WP 20 X 400 gr</t>
  </si>
  <si>
    <t>Jagung B 89 20 X 1 kg</t>
  </si>
  <si>
    <t>Jagung Bisi 222 20 X 1 kg</t>
  </si>
  <si>
    <t>Jagung Bisi 816 20 X 1 kg</t>
  </si>
  <si>
    <t>Jagung DK 77 20 X 1 kg</t>
  </si>
  <si>
    <t>Jagung DK 85 20 X 1 kg</t>
  </si>
  <si>
    <t>Jagung DK 888 20 X 1 kg</t>
  </si>
  <si>
    <t>Jagung DK 888 30 X 500 gr</t>
  </si>
  <si>
    <t>Jagung NK 33 20 X 1 kg Maxpro</t>
  </si>
  <si>
    <t>Jagung NK 99S 20 X 1 kg</t>
  </si>
  <si>
    <t>Jagung PAC 105 - 20 X 1 kg</t>
  </si>
  <si>
    <t>Jagung BP 79 20 X 1 kg</t>
  </si>
  <si>
    <t>Jagung Pertiwi 3 20 X 1 kg</t>
  </si>
  <si>
    <t>Jagung Manis Bisi Sweet Lady 40 X 250 gr</t>
  </si>
  <si>
    <t>Jagung ADV 777 20 X 1 kg</t>
  </si>
  <si>
    <t>Jagung Manis Jokowi 40 X 250 gr</t>
  </si>
  <si>
    <t>Jagung DK 771 20 X 1 kg</t>
  </si>
  <si>
    <t>Jagung Manis Jambore 40 X 250 gr</t>
  </si>
  <si>
    <t>Jagung B 54 20 X 1 kg</t>
  </si>
  <si>
    <t>Jagung B 70 20 X 1 kg</t>
  </si>
  <si>
    <t>Jagung DK 959 20 X 1 kg</t>
  </si>
  <si>
    <t>Jagung Bisi 228 20 X 1 kg</t>
  </si>
  <si>
    <t>Jagung Manis Asia 86 F1 40 X 250 gr</t>
  </si>
  <si>
    <t>Jagung Bisi 79 20 X 1 kg</t>
  </si>
  <si>
    <t>Jagung DK 959 20 X 1 kg (Bisi)</t>
  </si>
  <si>
    <t>Jagung DK 771 20 X 1 kg (Bisi)</t>
  </si>
  <si>
    <t>Jagung Impegno 369 20 X 1 kg</t>
  </si>
  <si>
    <t>Jagung Bisi 99 20 X 1 kg</t>
  </si>
  <si>
    <t>Jagung Bisi 220 20 X 1 kg</t>
  </si>
  <si>
    <t>Jagung Bisi 220 4 X 1 paket</t>
  </si>
  <si>
    <t>Jatrax 380 SC 12 X 500 ml</t>
  </si>
  <si>
    <t>Jatrax 380 SC 8 X 1 ltr</t>
  </si>
  <si>
    <t>Jatrax 380 SC 20 X 200 ml</t>
  </si>
  <si>
    <t>Jon Up 480 SL 20 ltr</t>
  </si>
  <si>
    <t>Jon Up 480 SL 20 X 1 ltr</t>
  </si>
  <si>
    <t>Kac. Panj. Katrina 30 X 500 gr</t>
  </si>
  <si>
    <t>Kac. Panj. Katrina 90 X 100 gr</t>
  </si>
  <si>
    <t>Kac. Panj. Tukul 30 X 500 gr</t>
  </si>
  <si>
    <t>Kac. Panj. Tukul 90 X 100 gr</t>
  </si>
  <si>
    <t>Kac. Panj. Katrina Kaleng 20 X 500 gr</t>
  </si>
  <si>
    <t>Kangkung Dampit 30 X 500 gr</t>
  </si>
  <si>
    <t>Kangkung Shanghai 15 X 1 kg</t>
  </si>
  <si>
    <t>Kangkung Shanghai 30 X 500 gr</t>
  </si>
  <si>
    <t>Kanon 400 EC 20 X 400 ml</t>
  </si>
  <si>
    <t>Kanon 400 EC 50 X 100 ml</t>
  </si>
  <si>
    <t>Katana 200 SL 20 X 100 ml</t>
  </si>
  <si>
    <t>Katana 200 SL 40 X 50 ml</t>
  </si>
  <si>
    <t>Kayabas 555 SC 20 X 500 ml</t>
  </si>
  <si>
    <t>Kayaris 555 SC 20 X 500 ml</t>
  </si>
  <si>
    <t>Kayaris 555 SC 40 X 250 ml</t>
  </si>
  <si>
    <t>KCL Putih Flake 10 X 5 kg</t>
  </si>
  <si>
    <t>Kelpak 100 ml</t>
  </si>
  <si>
    <t>Kenfuran 3 GR 10 X 2 kg</t>
  </si>
  <si>
    <t>Kimida 10 WP 80 X 100 gr</t>
  </si>
  <si>
    <t>Kleen Up 480 AS 20 ltr</t>
  </si>
  <si>
    <t>Kloopir 666 EC 50 X 100 ml</t>
  </si>
  <si>
    <t>Kloopir 666 EC 10 X 1 ltr</t>
  </si>
  <si>
    <t>KNO3 Putih P Tani 25 X 2 kg</t>
  </si>
  <si>
    <t>KNO3 Putih Tawon 10 X 2 kg</t>
  </si>
  <si>
    <t>KNO3 Merah (Calponit) 10 X 2 kg</t>
  </si>
  <si>
    <t>KNO3 Putih Cristal 12 X 2 kg</t>
  </si>
  <si>
    <t>KNO3 Merah P Tani 6 X 5 kg</t>
  </si>
  <si>
    <t>Kocide Opti 46 WG 100 X 100 gr</t>
  </si>
  <si>
    <t>Kubis TI-78G 10 X 20 gr</t>
  </si>
  <si>
    <t>Kubis Green Crown 100 X 100 gr</t>
  </si>
  <si>
    <t>Klg</t>
  </si>
  <si>
    <t>Kubis Green Nova 100 X 10 X 20 ml</t>
  </si>
  <si>
    <t>Labu Air Orbit 20 X 12 X 10 gr</t>
  </si>
  <si>
    <t>Lang Kill 276 SL 20 X 1 ltr</t>
  </si>
  <si>
    <t>Lang Up 480 SL 20 X 1 ltr</t>
  </si>
  <si>
    <t>Lanidor Plus 50 WP 100 X 100 gr</t>
  </si>
  <si>
    <t>Lannate 40 SP 12 X 50 X 15 gr</t>
  </si>
  <si>
    <t>Lannate 25 WP 10 X 10 X 100 gr</t>
  </si>
  <si>
    <t>Lannate 25 WP 40 X 250 gr</t>
  </si>
  <si>
    <t>Lannate 40 SP 40 X 250 gr</t>
  </si>
  <si>
    <t>Lannate 25 WP 20 X 50 X 15 gr</t>
  </si>
  <si>
    <t>Lannate 25 WP 20 X 500 gr</t>
  </si>
  <si>
    <t>Lannate 40 SP 10 X 10 X 100 gr</t>
  </si>
  <si>
    <t>Larvin 75 WP 100 X 100 gr</t>
  </si>
  <si>
    <t>Larvin 75 WP 12 X 50 X 15 gr</t>
  </si>
  <si>
    <t>Larvin 350 SL 100 X 100 ml</t>
  </si>
  <si>
    <t>Larvin 350 SL 40 X 250 ml</t>
  </si>
  <si>
    <t>Lebaycid 500 EC 100 X 100 ml</t>
  </si>
  <si>
    <t>Lindomin 865 SL 20 X 400 ml</t>
  </si>
  <si>
    <t>Lindomin 865 SL 40 X 200 ml</t>
  </si>
  <si>
    <t>Logran 75 WG 20 X 50 X 1.5 gr</t>
  </si>
  <si>
    <t>Macerio 52 WP 50 X 250 gr</t>
  </si>
  <si>
    <t>Mamigro 12-9-6 40 X 500 ml</t>
  </si>
  <si>
    <t>Manisa 12 X 10 X 10 gr</t>
  </si>
  <si>
    <t>Marbofid 2 WP 40 X 100 gr</t>
  </si>
  <si>
    <t>Matador 25 EC 10 X 1 ltr</t>
  </si>
  <si>
    <t>Maxima 68 WP 40 X 250 gr</t>
  </si>
  <si>
    <t>Melon Ivory 10 X 15 X 13 gr</t>
  </si>
  <si>
    <t>Melon Shakira F1 12 X 10 X 500 seed</t>
  </si>
  <si>
    <t>Melon Action 20 X 12 X 550 biji</t>
  </si>
  <si>
    <t>Melon Action 88 20 X 12 X 13 gr</t>
  </si>
  <si>
    <t>Melon Merlin F1 12 X 10 X 550 seed</t>
  </si>
  <si>
    <t>Melon Action 434 20 X 12 X 13 gr</t>
  </si>
  <si>
    <t>Melon Monalisa 20 X 12 X 12.5 gr</t>
  </si>
  <si>
    <t>Melon Action 434 240 X 550 seed</t>
  </si>
  <si>
    <t>Melon Action 434 20 X 10 X 550 seed</t>
  </si>
  <si>
    <t>Meothrin 50 EC 80 X 100 ml</t>
  </si>
  <si>
    <t>Meothrin 50 EC 20 X 500 ml</t>
  </si>
  <si>
    <t>Metafuron 20 WP 20 X 20 X 5 gr</t>
  </si>
  <si>
    <t>Metaprima 20 WG 5 Gr</t>
  </si>
  <si>
    <t>Metin 40 SP 40 X 250 gr</t>
  </si>
  <si>
    <t>Metindo 40 SP 40 X 200 gr</t>
  </si>
  <si>
    <t>Mexdone 36 EC 50 X 50 ml</t>
  </si>
  <si>
    <t>Mexdone 36 EC 40 X 200 ml</t>
  </si>
  <si>
    <t>Mipcindo 50 WP 10 X 10 X 100 gr</t>
  </si>
  <si>
    <t>AMONT02</t>
  </si>
  <si>
    <t>Mospilan 30 EC 20 X 100 ml</t>
  </si>
  <si>
    <t>Movento Energy 240 SC 100 X 100 ml</t>
  </si>
  <si>
    <t>Movento Energy 240 SC 100 X 50 ml</t>
  </si>
  <si>
    <t>Mulsa HP Karisma Super (Madya) 120 X 18 kg</t>
  </si>
  <si>
    <t>Mulsa Dewata Biru 60 cm X 18 kg (roll)</t>
  </si>
  <si>
    <t>Multi KP 20 X 1 kg</t>
  </si>
  <si>
    <t>Nativo 75 WG 30 X 10 X 12.5 gr</t>
  </si>
  <si>
    <t>Nimrod 250 EC 40 X 250 ml</t>
  </si>
  <si>
    <t>Nominee 40 X 250 ml</t>
  </si>
  <si>
    <t>Nordox 56 WP 100 X 100 gr</t>
  </si>
  <si>
    <t>Nordox 56 WP 20 X 500 gr</t>
  </si>
  <si>
    <t>Nordox 56 WP 30 X 500 gr</t>
  </si>
  <si>
    <t>Nordox 56 WP 150 X 100 gr</t>
  </si>
  <si>
    <t>Noxone 297 SL 20 X 1 ltr</t>
  </si>
  <si>
    <t>Noxone 297 SL 4 X 5 ltr</t>
  </si>
  <si>
    <t>NPK 16.16.16 Kancil Emas Bellagio Pink 50 kg</t>
  </si>
  <si>
    <t>NPK 16.16.16 Kancil Emas Biru 50 kg</t>
  </si>
  <si>
    <t>NPK 16.16.16 Kancil Emas Biru 20 kg</t>
  </si>
  <si>
    <t>NPK Boost 324 4 X 5 kg</t>
  </si>
  <si>
    <t>NPK Boost 324 @50 kg</t>
  </si>
  <si>
    <t>NPK Blaukorn 12-8-16 10 X 1 kg</t>
  </si>
  <si>
    <t>NPK Blaukorn 12-8-16 25 kg</t>
  </si>
  <si>
    <t>NPK Blaukorn 20-10-10 25 kg</t>
  </si>
  <si>
    <t>NPK Blaukorn 12-12-17 25 kg</t>
  </si>
  <si>
    <t>NPK Cap Tawon 16-16-16 50 kg</t>
  </si>
  <si>
    <t>NPK Cap Tawon 16-16-16 4 X 5 kg</t>
  </si>
  <si>
    <t>NPK Cap Tawon 16-16-16 10 X 5 kg</t>
  </si>
  <si>
    <t>NPK DGW 15-15-15+TE 24 X 1 kg</t>
  </si>
  <si>
    <t>NPK DGW Gold 16-10-18+AN 24 X 1 kg</t>
  </si>
  <si>
    <t>NPK DGW 15-15-15+TE 50 kg</t>
  </si>
  <si>
    <t>NPK DGW Booster 12-6-22+3+TE 50 kg</t>
  </si>
  <si>
    <t>NPK DGW Booster 12-6-22+3+TE 6 X 5 kg</t>
  </si>
  <si>
    <t>NPK DGW Gold 16-10-18+AN 50 kg</t>
  </si>
  <si>
    <t>NPK Dinar 16-16-16 30 X 1 kg</t>
  </si>
  <si>
    <t>NPK Lada 13-6-27-4+0.65B 50 kg</t>
  </si>
  <si>
    <t>NPK Mahkota 16.16.16 50 kg</t>
  </si>
  <si>
    <t>NPK Rosier 12.6.22 25 kg</t>
  </si>
  <si>
    <t>NPK Rosier 16.16.16 25 kg</t>
  </si>
  <si>
    <t>NPK Real Strong Type 11 25 kg</t>
  </si>
  <si>
    <t>NPK Real Strong Type 20 25 kg</t>
  </si>
  <si>
    <t>Nuclear 240 SL 20 X 1 ltr</t>
  </si>
  <si>
    <t>Nuclear 240 SL 4 X 5 ltr</t>
  </si>
  <si>
    <t>Nuclear 240 SL 20 ltr</t>
  </si>
  <si>
    <t>Nurelle D 500/50 EC 20 X 500 ml</t>
  </si>
  <si>
    <t>Nurelle D 500/50 EC 50 X 100 ml</t>
  </si>
  <si>
    <t>Obsesi 400 SL 10 X 1 ltr</t>
  </si>
  <si>
    <t>Odeon 720 SC 100 X 100 ml</t>
  </si>
  <si>
    <t>Optigard Ant 30 X 4 X 30 gr</t>
  </si>
  <si>
    <t>Optigard Cockroach 32 X 4 X 30 gr</t>
  </si>
  <si>
    <t>Opus 75 EC 48 X 80 ml</t>
  </si>
  <si>
    <t>Oring Tutup YT 5L</t>
  </si>
  <si>
    <t>Oyong Ezensa 20 X 12 X 10 gr</t>
  </si>
  <si>
    <t>Oyong Ezensa 20 X 24 X 10 gr</t>
  </si>
  <si>
    <t>Padi Pak Tiwi 8 X 5 kg</t>
  </si>
  <si>
    <t>Padi Arize H6444 15 X 1 kg</t>
  </si>
  <si>
    <t>Padi Arize H6444 Gold 15 X 1 kg</t>
  </si>
  <si>
    <t>Padi Ciherang 8 X 5 kg</t>
  </si>
  <si>
    <t>Padi Arize H6444 Gold 20 X 1 kg</t>
  </si>
  <si>
    <t>Padi Pahisa 01 20 X 1 kg</t>
  </si>
  <si>
    <t>Paratop 276 SL 20 ltr</t>
  </si>
  <si>
    <t>Pare Crown 20 X 12 X 10 gr</t>
  </si>
  <si>
    <t>Penembus 40 X 125 ml</t>
  </si>
  <si>
    <t>Penembus 50 X 125 ml</t>
  </si>
  <si>
    <t>Pepaya California 20 X 25 X 1 gr</t>
  </si>
  <si>
    <t>Phoscormite 18 EC 50 X 200 ml</t>
  </si>
  <si>
    <t>Phoscormite 18 EC 20 X 400 ml</t>
  </si>
  <si>
    <t>Photo Gro 10 X 10 X 100 ml</t>
  </si>
  <si>
    <t>Photo Gro 12 X 20 X 50 ml</t>
  </si>
  <si>
    <t>Photo Gro 50 X 200 ml</t>
  </si>
  <si>
    <t>APIRI01</t>
  </si>
  <si>
    <t>Piribac 400 SC 100 X 50 ml</t>
  </si>
  <si>
    <t>Piribac 400 SC 50 X 200 ml</t>
  </si>
  <si>
    <t>Piribac 400 SC 50 X 50 ml</t>
  </si>
  <si>
    <t>Plantomicyn 7 SP 40 X 100 gr</t>
  </si>
  <si>
    <t>Plantomycin 7 SP 2 X 100 X 10 gr</t>
  </si>
  <si>
    <t>Plasma 486 SL 20 ltr</t>
  </si>
  <si>
    <t>PN 6 X 5 kg</t>
  </si>
  <si>
    <t>Polybag 5/10 X 15 cm</t>
  </si>
  <si>
    <t>Polybag 7.5/15 X 15 cm</t>
  </si>
  <si>
    <t>Polybag 7.5/15 X 20 cm</t>
  </si>
  <si>
    <t>Polybag 7.5/15 X 30 cm</t>
  </si>
  <si>
    <t>Polybag 7.5/15 X 25 cm</t>
  </si>
  <si>
    <t>Polybag 12.5/25 X 30 cm</t>
  </si>
  <si>
    <t>Polybag 15/30 X 30 cm</t>
  </si>
  <si>
    <t>Polybag 15/30 X 40 cm</t>
  </si>
  <si>
    <t>Polybag 20/40 X 40 cm</t>
  </si>
  <si>
    <t>Polybag 10/20 X 30 cm</t>
  </si>
  <si>
    <t>Polybag 15/30 X 35 cm</t>
  </si>
  <si>
    <t>Polybag 10/20 X 25 cm</t>
  </si>
  <si>
    <t>Polybag 17.5/35 X 40 cm</t>
  </si>
  <si>
    <t>Polycom 70 WG 20 X 1 kg</t>
  </si>
  <si>
    <t>Polybag 20/40 X 50 cm</t>
  </si>
  <si>
    <t>Polybag Alpen 5/10 X 20 cm - 50 X 500 gr</t>
  </si>
  <si>
    <t>Poryza 400 SL 10 X 1 ltr (AGM)</t>
  </si>
  <si>
    <t>Poryza 400 SL 20 X 500 ml (AGM)</t>
  </si>
  <si>
    <t>Poryza 400 SL 40 X 200 ml (AGM)</t>
  </si>
  <si>
    <t>Pounce 20 EC 20 X 500 ml</t>
  </si>
  <si>
    <t>Prevathon 50 SC 24 X 250 ml</t>
  </si>
  <si>
    <t>Prevathon 50 SC 40 X 100 ml</t>
  </si>
  <si>
    <t>Preza 100 OD 12 X 250 ml</t>
  </si>
  <si>
    <t>Preza 100 OD 40 X 50 ml</t>
  </si>
  <si>
    <t>Primafur 3 G 10 X 2 kg</t>
  </si>
  <si>
    <t>Primero 75 WG 20 X 20 X 15 gr</t>
  </si>
  <si>
    <t>Prima Furon WP 10 X 20 X 5 gr</t>
  </si>
  <si>
    <t>Proaxis 15 SC 100 X 50 ml</t>
  </si>
  <si>
    <t>Progib 40 SG 4 X 50 X 1.5 gr</t>
  </si>
  <si>
    <t>Promectin 18 EC 50 X 100 ml</t>
  </si>
  <si>
    <t>Protephon 480 SL 50 X 100 ml</t>
  </si>
  <si>
    <t>Protrin 250 EC 20 X 400 ml</t>
  </si>
  <si>
    <t>Pupuk Hayati Taurus 25 kg</t>
  </si>
  <si>
    <t>Pupuk Asnita Cap Tawon 10 X 2 kg</t>
  </si>
  <si>
    <t>Pupuk Kompos MPS 40 kg</t>
  </si>
  <si>
    <t>Qiutane 20 X 1 kg</t>
  </si>
  <si>
    <t>Racumin 0.0375 G 12 X 24 X 20 gr</t>
  </si>
  <si>
    <t>Reactive 490 SL 20 X 500 ml</t>
  </si>
  <si>
    <t>Reactive 490 SL 4 X 5 ltr</t>
  </si>
  <si>
    <t>Regent 3G 10 X 1 kg</t>
  </si>
  <si>
    <t>Regent 50 SC 24 X 250 ml</t>
  </si>
  <si>
    <t>Regent 50 SC 48 X 100 ml</t>
  </si>
  <si>
    <t>Regent 50 SC 10 X 500 ml</t>
  </si>
  <si>
    <t>Regent 50 SC 80 X 50 ml</t>
  </si>
  <si>
    <t>Regent WG 40 X 5 X 1.6 gr</t>
  </si>
  <si>
    <t>Revithrin 25 EC 100 X 100 ml</t>
  </si>
  <si>
    <t>Revus Opti 440 SC 100 X 50 ml</t>
  </si>
  <si>
    <t>Rexdan 3 GR 12 X 1 kg</t>
  </si>
  <si>
    <t>Rexdan 3 GR 6 X 2 kg</t>
  </si>
  <si>
    <t>RG.01 30 X 500 gr (M2U)</t>
  </si>
  <si>
    <t>RG.02 30 X 500 gr (AGM)</t>
  </si>
  <si>
    <t>RG.03 30 X 500 gr (M2U)</t>
  </si>
  <si>
    <t>RG.05 30 X 500 gr (M2U)</t>
  </si>
  <si>
    <t>RG.05 200 X 100 gr (M2U)</t>
  </si>
  <si>
    <t>Ricestar 69 EC 100 X 100 ml</t>
  </si>
  <si>
    <t>Ricestar Xtra 89 OD 100 X 100 ml</t>
  </si>
  <si>
    <t>Ricestar Xtra 89 OD 40 X 250 ml</t>
  </si>
  <si>
    <t>Ricestar 69 EC 40 X 250 ml</t>
  </si>
  <si>
    <t>Ridomil Gold 350 ES 4 X 20 X 12.5 ml</t>
  </si>
  <si>
    <t>Rimon Fast 100 SC 100 X 100 ml</t>
  </si>
  <si>
    <t>Rimon Fast 100 SC 40 X 250 ml</t>
  </si>
  <si>
    <t>Rizotin 100 EC 20 X 250 ml</t>
  </si>
  <si>
    <t>Rizotin 100 EC 20 X 500 ml</t>
  </si>
  <si>
    <t>Rizotin 100 EC 50 X 100 ml</t>
  </si>
  <si>
    <t>Rizotin 100 EC 40 X 250 ml</t>
  </si>
  <si>
    <t>Roger 480 SL 200 ltr</t>
  </si>
  <si>
    <t>Drum</t>
  </si>
  <si>
    <t>Roger 480 SL 20 ltr</t>
  </si>
  <si>
    <t>Rotonik 7.5L 20 X 500 ml</t>
  </si>
  <si>
    <t>Round Up Powermax 660 SL 12 X 1 ltr</t>
  </si>
  <si>
    <t>Rovral 50 WP 120 X 100 gr</t>
  </si>
  <si>
    <t>Saaf 75 WP 50 X 100 gr</t>
  </si>
  <si>
    <t>Sanvit 120 SL 20 X 500 ml</t>
  </si>
  <si>
    <t>Saprodap 16.20.0+125 @25 kg</t>
  </si>
  <si>
    <t>Saturn-D GR 10 X 2 kg</t>
  </si>
  <si>
    <t>Sawi Christina 20 X 10 X 25 gr</t>
  </si>
  <si>
    <t>Sawi Tosakan 24 X 100 gr</t>
  </si>
  <si>
    <t>Sawi Pak Choy Green 10 X 20 gr</t>
  </si>
  <si>
    <t>Sawi Dora 36 X 100 gr</t>
  </si>
  <si>
    <t>Sawi Christina Kaleng 90 X 100 gr</t>
  </si>
  <si>
    <t>Sawi Gardena 20 X 12 X 15 gr</t>
  </si>
  <si>
    <t>Sawi Shinta 24 X 100 gr</t>
  </si>
  <si>
    <t>Sawi Green Pak Choy 20 X 8 X 50 gr</t>
  </si>
  <si>
    <t>Sawi Eikun 10 X 20 gr</t>
  </si>
  <si>
    <t>Sawi Dora Kaleng 40 X 100 gr</t>
  </si>
  <si>
    <t>Sawi Gardena 20 X 24 X 15 gr</t>
  </si>
  <si>
    <t>Sawi Deli CR 20 X 12 X 10 gr</t>
  </si>
  <si>
    <t>Score 250 EC 10 X 20 X 10 ml</t>
  </si>
  <si>
    <t>Seltima 100 CS 20 X 500 ml</t>
  </si>
  <si>
    <t>Sevin 85 SP 40 X 500 gr</t>
  </si>
  <si>
    <t>Shadow 50 EC 50 X 80 ml</t>
  </si>
  <si>
    <t>Sidametrin 50 EC 25 X 400 ml</t>
  </si>
  <si>
    <t>Sidafos 480 SL 15 X 1 ltr</t>
  </si>
  <si>
    <t>Sidametrin 50 EC 50 X 100 ml</t>
  </si>
  <si>
    <t>Sinopest 250 EC 50 X 80 ml</t>
  </si>
  <si>
    <t>Smk. Sun Flower 100 X 5 X 20 gr</t>
  </si>
  <si>
    <t>Smk. Diomedes 10 X 20 gr</t>
  </si>
  <si>
    <t>Smk. Sagita 6 X 8 X 20 gr</t>
  </si>
  <si>
    <t>Smk. Esteem 20 X 12 X 10 gr</t>
  </si>
  <si>
    <t>Smk. Esteem 20 X 24 X 10 gr</t>
  </si>
  <si>
    <t>Smk. Inul Kuning Majesty 8 X 15 X 20 gr</t>
  </si>
  <si>
    <t>Smk. Bali Flower 20 X 6 X 20 gr</t>
  </si>
  <si>
    <t>Snaildown 250 EC 20 X 100 ml</t>
  </si>
  <si>
    <t>Snaildown 250 EC 20 X 500 ml</t>
  </si>
  <si>
    <t>Snaildown 250 EC 20 X 200 ml</t>
  </si>
  <si>
    <t>Sphinx 500 SC 100 X 100 ml</t>
  </si>
  <si>
    <t>Spodo 200 EC 30 X 400 ml</t>
  </si>
  <si>
    <t>Sprayer 5 ltr</t>
  </si>
  <si>
    <t>Sprayer Geika Mesin 15 ltr</t>
  </si>
  <si>
    <t>Sprayer Imtagro 20 X 2 ltr</t>
  </si>
  <si>
    <t>Sprayer Hansa 2in1 16 ltr (Manual BTR)</t>
  </si>
  <si>
    <t>Sprayer Elektrik Flow 16 ltr</t>
  </si>
  <si>
    <t>Sprayer Elektrik Geika 16 Ltr</t>
  </si>
  <si>
    <t>Sprayer Hokita 20 X 2 ltr</t>
  </si>
  <si>
    <t>Sprayer Elektrik Imtagro 16 Ltr</t>
  </si>
  <si>
    <t>Sprayer Elektrik Kejora 16 ltr</t>
  </si>
  <si>
    <t>Srikandi 160/20 OD 20 X 250 ml</t>
  </si>
  <si>
    <t>Starlet 400 SL 20 X 500 ml</t>
  </si>
  <si>
    <t>Stargate 600 SC 4 X 10 X 100 ml</t>
  </si>
  <si>
    <t>Starner 20 WP 4 X 10 X 100 gr</t>
  </si>
  <si>
    <t>Supemec 18 EC 100 X 50 ml</t>
  </si>
  <si>
    <t>Supemec 18 EC 50 X 100 ml</t>
  </si>
  <si>
    <t>Supemec 18 EC 50 X 200 ml</t>
  </si>
  <si>
    <t>Superfos 550 EC 20 X 1 ltr</t>
  </si>
  <si>
    <t>Supretox 276 SL 20 ltr</t>
  </si>
  <si>
    <t>Swallow 80 WP 40 X 250 gr</t>
  </si>
  <si>
    <t>Tabard 500 EC 50 X 80 ml (AGM)</t>
  </si>
  <si>
    <t>Tabard 500 EC 10 X 1 ltr (AGM)</t>
  </si>
  <si>
    <t>Takumi 20 WG 20 X 50 gr</t>
  </si>
  <si>
    <t>Tamex 240 EC 20 X 500 ml</t>
  </si>
  <si>
    <t>Tangki Star Phoenix 14 ltr</t>
  </si>
  <si>
    <t>Tangki Star Phoenix 17 ltr</t>
  </si>
  <si>
    <t>Tangki Swan 14 ltr</t>
  </si>
  <si>
    <t>Tangki Swan 17 ltr</t>
  </si>
  <si>
    <t>Tangki Yamaha 18 ltr Elektric</t>
  </si>
  <si>
    <t>Tangki Yoto Mesin 20 ltr</t>
  </si>
  <si>
    <t>Tangki Yoto 6 X 4 ltr</t>
  </si>
  <si>
    <t>Tangki Yoto 6 X 5 ltr</t>
  </si>
  <si>
    <t>Tangki Yoto 6 X 9 ltr</t>
  </si>
  <si>
    <t>Tangki Yamaha 15 ltr Plastik</t>
  </si>
  <si>
    <t>Tangki Yoto 15 X 2 ltr</t>
  </si>
  <si>
    <t>Tangki Yoto 20 Ltr-7</t>
  </si>
  <si>
    <t>Tangki Eye Brand 14 ltr</t>
  </si>
  <si>
    <t>Tangki Star Phoenix 17 ltr Premium</t>
  </si>
  <si>
    <t>Tangki Yoto 15 ltr Stik Stainless</t>
  </si>
  <si>
    <t>Tangki Star Phoenix 14 ltr Premium</t>
  </si>
  <si>
    <t>Tangki Swan Kuningan 14 ltr</t>
  </si>
  <si>
    <t>Tangki Yoto 16 ltr BTR Biru</t>
  </si>
  <si>
    <t>Tangki ABC 16 ltr BTR (Putih Biru)</t>
  </si>
  <si>
    <t>Tangki CAA Ultra Elektrik 16 ltr</t>
  </si>
  <si>
    <t>Tangki ABC 16 ltr BTR (Putih Biru) + Gunting Ranting</t>
  </si>
  <si>
    <t>Tangki ABC Booster</t>
  </si>
  <si>
    <t>Tangki Yoto 16 ltr Manual</t>
  </si>
  <si>
    <t>Tangki Swan Kuningan 16 ltr (BTR)</t>
  </si>
  <si>
    <t>Tangki CBA Ultra 16 ltr</t>
  </si>
  <si>
    <t>Tangki Yakotani 14 ltr</t>
  </si>
  <si>
    <t>Tangki Swan 16 ltr BE (BTR)</t>
  </si>
  <si>
    <t>Tantan 250 SC 40 X 250 ml</t>
  </si>
  <si>
    <t>Target 500 SC 100 X 50 ml</t>
  </si>
  <si>
    <t>Tenano 360 SC 50 X 100 ml</t>
  </si>
  <si>
    <t>Terong OR Gading 10 X 5 gr</t>
  </si>
  <si>
    <t>Terong Naga Hijau 20 X 20 X 15 gr</t>
  </si>
  <si>
    <t>Terong Antaboga 20 X 24 X 10 gr</t>
  </si>
  <si>
    <t>Terong Ratih Hijau 20 X 12 X 10 gr</t>
  </si>
  <si>
    <t>Terong Antaboga 20 X 12 X 10 gr</t>
  </si>
  <si>
    <t>Throne 250 EC 20 X 100 ml</t>
  </si>
  <si>
    <t>Throne 250 EC 48 X 100 ml</t>
  </si>
  <si>
    <t>Tiezen 80 X 250 gr</t>
  </si>
  <si>
    <t>Tiezen 20 X 1 kg</t>
  </si>
  <si>
    <t>Ti-Gold 10 WP 10 X 20 X 25 gr</t>
  </si>
  <si>
    <t>Timun Harmony 20 X 12 X 25 gr</t>
  </si>
  <si>
    <t>Timun Harmony Plus 20 X 12 X 20 gr</t>
  </si>
  <si>
    <t>Timun Harmony Plus 480 X 10 gr</t>
  </si>
  <si>
    <t>Timun Goldie 20 X 15 X 10 gr</t>
  </si>
  <si>
    <t>Timun Komando F1 12 X 10 X 20 gr</t>
  </si>
  <si>
    <t>Timun Hercules Plus 20 X 12 X 20 gr</t>
  </si>
  <si>
    <t>Timun Lalap Hijau 12 X 10 X 20 gr</t>
  </si>
  <si>
    <t>Timun Model 21 20 X 12 X 10 gr</t>
  </si>
  <si>
    <t>Timun Titan Plus 20 X 6 X 20 gr</t>
  </si>
  <si>
    <t>Timun Titan Plus 20 X 12 X 10 gr</t>
  </si>
  <si>
    <t>Timun Citra Baby F1 12 X 15 X 400 seed</t>
  </si>
  <si>
    <t>Timun Hercules Plus 20 X 6 X 20 gr</t>
  </si>
  <si>
    <t>Tobago 240 EC 20 X 500 ml</t>
  </si>
  <si>
    <t>Tomat Sakina 12 X 20 X 5 gr</t>
  </si>
  <si>
    <t>Tomat Synta 18 X 25 X 5 gr</t>
  </si>
  <si>
    <t>Tomat Vitalia F1 12 X 20 X 5 gr</t>
  </si>
  <si>
    <t>Tomat Fortuna 20 X 30 X 5 gr</t>
  </si>
  <si>
    <t>Tomat Victory 20 X 30 X 5 gr</t>
  </si>
  <si>
    <t>Tomat Fiesta F1 12 X 20 X 5 gr</t>
  </si>
  <si>
    <t>Tomat Grand Sakina F1 12 X 20 X 5 gr</t>
  </si>
  <si>
    <t>Tomat Swadesi F1 12 X 20 X 1750 seed</t>
  </si>
  <si>
    <t>Tomat Citra Asia 12 X 20 X 1750 seed</t>
  </si>
  <si>
    <t>Tomat Royal 58 20 X 24 X 5 gr</t>
  </si>
  <si>
    <t>Tomat Maleo F1 12 X 20 X 1750 seed</t>
  </si>
  <si>
    <t>Tomat Fiesta F1 12 X 20 X 1750 seed</t>
  </si>
  <si>
    <t>Tomat Tinatoon F1 12 X 20 X 1750 seed</t>
  </si>
  <si>
    <t>Topaz 15 EC 50 X 100 ml</t>
  </si>
  <si>
    <t>Trigger 20 WT 10 X 10 X 5 gr</t>
  </si>
  <si>
    <t>Trisula 450 SL 20 X 500 ml</t>
  </si>
  <si>
    <t>Trisula 450 SL 50 X 200 ml</t>
  </si>
  <si>
    <t>Trivia 73 WP 200 X 50 gr</t>
  </si>
  <si>
    <t>Trivia 73 WP 50 X 200 gr</t>
  </si>
  <si>
    <t>Unilax 72 WP 100 X 100 gr</t>
  </si>
  <si>
    <t>Uniquat 276 SL 10 X 1 ltr</t>
  </si>
  <si>
    <t>Valis M 66 WG 40 X 200 gr</t>
  </si>
  <si>
    <t>Valis M 66 WG 8 X 20 X 50 gr</t>
  </si>
  <si>
    <t>Valiant 50 EC 20 X 500 ml</t>
  </si>
  <si>
    <t>Vande 6 X 20 X 100 ml</t>
  </si>
  <si>
    <t>Vayego 200 SC 100 X 100 ml</t>
  </si>
  <si>
    <t>Victory Mix 8/64 25 X 400 gr</t>
  </si>
  <si>
    <t>Voliam Targo 50 X 100 ml</t>
  </si>
  <si>
    <t>Wetcit 24 X 500 ml</t>
  </si>
  <si>
    <t>Winder 25 WP 110 X 100 gr</t>
  </si>
  <si>
    <t>Winder 25 WP 80 X 100 gr</t>
  </si>
  <si>
    <t>Xemco 300 SC 48 X 100 ml</t>
  </si>
  <si>
    <t>Yokozuna 210 SC 50 X 100 ml</t>
  </si>
  <si>
    <t>ZA Lao Ying 50 kg</t>
  </si>
  <si>
    <t>ZA Tawon 50 kg</t>
  </si>
  <si>
    <t>Zephyr 60 WP 80 X 250 gr</t>
  </si>
  <si>
    <t>Amcopyr 670 EC 50 X 100 ml</t>
  </si>
  <si>
    <t>Amora 150 SL 15 X 1 ltr</t>
  </si>
  <si>
    <t>Bablass 490 SL 20 X 1 ltr + Metsul 5 gr</t>
  </si>
  <si>
    <t>Bablass 490 SL 20 X 500 ml + Metsul 5 gr</t>
  </si>
  <si>
    <t>Borate+K 25 kg</t>
  </si>
  <si>
    <t>Calcium Super 20 X 1 kg</t>
  </si>
  <si>
    <t>Celquat 276 SL 20 ltr</t>
  </si>
  <si>
    <t>Dry Up 480 SL 4 X 5 ltr</t>
  </si>
  <si>
    <t>Dry Up 480 SL 20 ltr</t>
  </si>
  <si>
    <t>Gemaxone 276 SL 20 X 500 ml + Metsul 5 gr</t>
  </si>
  <si>
    <t>Gemaxone 276 SL 20 X 1 ltr + Metsul 5 gr</t>
  </si>
  <si>
    <t>Gemaxone 276 SL 4 X 5 ltr + Metsul 5 gr</t>
  </si>
  <si>
    <t>Gemafur 3 GR 20 X 1 kg</t>
  </si>
  <si>
    <t>Gemafur 3 GR 10 X 2 kg</t>
  </si>
  <si>
    <t>Gemaxone 276 SL 20 X 500 ml</t>
  </si>
  <si>
    <t>Joker 75 SP 50 X 100 gr</t>
  </si>
  <si>
    <t>Kovinplus 80 P 10 X 1 kg</t>
  </si>
  <si>
    <t>Kresnakum 0.005 20 X 10 X 100 gr</t>
  </si>
  <si>
    <t>KSP Tawon 50 kg</t>
  </si>
  <si>
    <t>Megaxone 135 SL 20 X 1 ltr + 1 Pack Metaben 20 WG-5 gr</t>
  </si>
  <si>
    <t>Megaxone 135 SL 4 X 5 ltr + 5 Pack Metaben 20 WG-5 gr</t>
  </si>
  <si>
    <t>Megaxone 135 SL 20 ltr + 20 Pack Metaben 20 WG-5 gr</t>
  </si>
  <si>
    <t>Metsul 24 WP 40 X 50 gr</t>
  </si>
  <si>
    <t>Metsulindo 20 WP 20 X 100 gr</t>
  </si>
  <si>
    <t>Metsulindo 20 WP 20 X 250 gr</t>
  </si>
  <si>
    <t>Metsul 24 WP 20 X 200 gr</t>
  </si>
  <si>
    <t>MOP/KCL Mahkota 50 kg</t>
  </si>
  <si>
    <t>Mulsa HP Karisma Star 120 X 9 kg</t>
  </si>
  <si>
    <t>Mulsa HP Karisma Star 120 X 18 kg</t>
  </si>
  <si>
    <t>Mulsa HP Karisma Super (Madya) 120 X 9 kg</t>
  </si>
  <si>
    <t>Mulsa HP Karisma Super (Madya) 120 x 5.5 kg</t>
  </si>
  <si>
    <t>Noxone 276 SL 20 X 1 ltr</t>
  </si>
  <si>
    <t>NPK Boost 324 20 X 1 kg</t>
  </si>
  <si>
    <t>NPK Boost 324 10 X 5 kg</t>
  </si>
  <si>
    <t>NPK Cap Tawon 16-16-16 20 X 1 kg</t>
  </si>
  <si>
    <t>NPK Cap Tawon 16-16-16 + Boron 20 X 1 kg</t>
  </si>
  <si>
    <t>NPK Cap Tawon 16-16-16 Zinc 10 X 5 kg</t>
  </si>
  <si>
    <t>NPK Cap Tawon 16-16-16 + Boron 50 kg</t>
  </si>
  <si>
    <t>One Up 480 SL 20 X 1 ltr</t>
  </si>
  <si>
    <t>One Up 480 SL 4 X 5 ltr</t>
  </si>
  <si>
    <t>Pilar Up 480 SL 20 X 1 ltr</t>
  </si>
  <si>
    <t>Pilar Up 480 SL 4 X 5 ltr</t>
  </si>
  <si>
    <t>Pilar Up 480 SL 20 ltr</t>
  </si>
  <si>
    <t>Polybag 12.5/25 X 25 cm</t>
  </si>
  <si>
    <t xml:space="preserve">Polybag 20/40 X 45 cm </t>
  </si>
  <si>
    <t>Polybag 10/20 X 20 cm</t>
  </si>
  <si>
    <t>Pot Tray Dexxan 100 X 105 lubang</t>
  </si>
  <si>
    <t>Pot Tray Dexxan 100 X 128 lubang</t>
  </si>
  <si>
    <t>Pot Tray Dexxan 100 X 72 lubang</t>
  </si>
  <si>
    <t>Pupuk Canita Cap Tawon 20 X 1 kg</t>
  </si>
  <si>
    <t>Rajatrin 250 EC 50 X 80 ml</t>
  </si>
  <si>
    <t>Rajatrin 250 EC 25 X 400 ml</t>
  </si>
  <si>
    <t>Rambo Gold 480 SL 20 X 1 ltr</t>
  </si>
  <si>
    <t>Rambo Gold 480 SL 4 X 5 ltr</t>
  </si>
  <si>
    <t>Rambo Gold 480 SL 20 ltr</t>
  </si>
  <si>
    <t>Rexron 80 WP 20 X 500 gr</t>
  </si>
  <si>
    <t>Rolifos 150 SL 10 X 1 ltr</t>
  </si>
  <si>
    <t>Roll Up 480 SL 10 X 1 ltr</t>
  </si>
  <si>
    <t>Roll Up 480 SL 20 ltr</t>
  </si>
  <si>
    <t>Scorpio 250 EC 40 X 250 ml</t>
  </si>
  <si>
    <t>Sinar Top 280 SL 20 X 1 ltr</t>
  </si>
  <si>
    <t>Sinar Top 280 SL 20 ltr</t>
  </si>
  <si>
    <t>Tim Top 135 SL 20 ltr</t>
  </si>
  <si>
    <t>Tricocel 525 SE 50 X 100 ml</t>
  </si>
  <si>
    <t>Tricocel 525 SE 50 X 250 ml</t>
  </si>
  <si>
    <t>TSP 46 50 kg</t>
  </si>
  <si>
    <t>USP Asnita Tawon 10 X 5 kg</t>
  </si>
  <si>
    <t>USP Asnita Tawon 25 kg</t>
  </si>
  <si>
    <t>QABAC02</t>
  </si>
  <si>
    <t>QABAC03</t>
  </si>
  <si>
    <t>QABAC05</t>
  </si>
  <si>
    <t>QABAC06</t>
  </si>
  <si>
    <t>QABAS01</t>
  </si>
  <si>
    <t>QABAS02</t>
  </si>
  <si>
    <t>QABSI01</t>
  </si>
  <si>
    <t>QABSI02</t>
  </si>
  <si>
    <t>QABSI03</t>
  </si>
  <si>
    <t>QABSI04</t>
  </si>
  <si>
    <t>QABUK01</t>
  </si>
  <si>
    <t>QABUK02</t>
  </si>
  <si>
    <t>Abuki 50 SL 50 X 100 ml</t>
  </si>
  <si>
    <t>QABUK03</t>
  </si>
  <si>
    <t>Abuki 50 SL 20 X 250 ml</t>
  </si>
  <si>
    <t>QACAP01</t>
  </si>
  <si>
    <t>QACCO02</t>
  </si>
  <si>
    <t>QACCO03</t>
  </si>
  <si>
    <t>QACCU01</t>
  </si>
  <si>
    <t>Accu Tangki ABC 16 ltr 8A - 12 Volt</t>
  </si>
  <si>
    <t>QACCU02</t>
  </si>
  <si>
    <t>Accu Isatech 8A - 12 Volt</t>
  </si>
  <si>
    <t>QACCU03</t>
  </si>
  <si>
    <t>QACEM01</t>
  </si>
  <si>
    <t>QACEM02</t>
  </si>
  <si>
    <t>QACEO01</t>
  </si>
  <si>
    <t>QACEO03</t>
  </si>
  <si>
    <t>QACRO01</t>
  </si>
  <si>
    <t>QACRO02</t>
  </si>
  <si>
    <t>Acrobat 500 SC 20 ltr</t>
  </si>
  <si>
    <t>QACTA01</t>
  </si>
  <si>
    <t>QACTE01</t>
  </si>
  <si>
    <t>QACTI01</t>
  </si>
  <si>
    <t>QACTI02</t>
  </si>
  <si>
    <t>QADEN01</t>
  </si>
  <si>
    <t>QADEN02</t>
  </si>
  <si>
    <t>Adengo SC465 100 X 50 ml</t>
  </si>
  <si>
    <t>QADMI01</t>
  </si>
  <si>
    <t>QADMI02</t>
  </si>
  <si>
    <t>Admil 160 SL 20 X 1 ltr</t>
  </si>
  <si>
    <t>QADOC01</t>
  </si>
  <si>
    <t>QADOC02</t>
  </si>
  <si>
    <t>QADOC03</t>
  </si>
  <si>
    <t>QAGEN01</t>
  </si>
  <si>
    <t>Agent 50 SC 40 X 250 ml</t>
  </si>
  <si>
    <t>QAGEN02</t>
  </si>
  <si>
    <t>QAGRE01</t>
  </si>
  <si>
    <t>Agrept 20 WP 120 X 50 gr</t>
  </si>
  <si>
    <t>QAGRI01</t>
  </si>
  <si>
    <t>Agrifos 400 SL 20 X 500 ml</t>
  </si>
  <si>
    <t>QAGRI02</t>
  </si>
  <si>
    <t>QAGRI03</t>
  </si>
  <si>
    <t>QAGRI05</t>
  </si>
  <si>
    <t>QAGRO01</t>
  </si>
  <si>
    <t>QAGRO03</t>
  </si>
  <si>
    <t>QAGRO04</t>
  </si>
  <si>
    <t>QAGRO05</t>
  </si>
  <si>
    <t>QAGRO06</t>
  </si>
  <si>
    <t>QAGRO07</t>
  </si>
  <si>
    <t>QAGRO08</t>
  </si>
  <si>
    <t>QAGRO09</t>
  </si>
  <si>
    <t>QAGRO10</t>
  </si>
  <si>
    <t>QAGRO11</t>
  </si>
  <si>
    <t>QAIPI01</t>
  </si>
  <si>
    <t>QAIPI02</t>
  </si>
  <si>
    <t>QAIPI03</t>
  </si>
  <si>
    <t>QAKAR01</t>
  </si>
  <si>
    <t>QAKAR02</t>
  </si>
  <si>
    <t>QAKRO03</t>
  </si>
  <si>
    <t>Akrostar 40 WP 100 X 5 gr</t>
  </si>
  <si>
    <t>QALAM01</t>
  </si>
  <si>
    <t>QALAM02</t>
  </si>
  <si>
    <t>QALAT01</t>
  </si>
  <si>
    <t>Alat Service Tangki Yoto 20 ltr</t>
  </si>
  <si>
    <t>QALAT02</t>
  </si>
  <si>
    <t>QALAT03</t>
  </si>
  <si>
    <t>Alat Tanam Jagung 2 Output</t>
  </si>
  <si>
    <t>QALAT04</t>
  </si>
  <si>
    <t>QALAT05</t>
  </si>
  <si>
    <t>QALAT08</t>
  </si>
  <si>
    <t>QALAT10</t>
  </si>
  <si>
    <t>QALAT11</t>
  </si>
  <si>
    <t>QALAT12</t>
  </si>
  <si>
    <t>QALAT13</t>
  </si>
  <si>
    <t>Alat Tanam Jagung 1 Fungsi Imtagro MTB-010</t>
  </si>
  <si>
    <t>QALAT14</t>
  </si>
  <si>
    <t>Alat Tanam Jagung 2 Fungsi Imtagro MTB-2X6</t>
  </si>
  <si>
    <t>QALEX01</t>
  </si>
  <si>
    <t>QALEX02</t>
  </si>
  <si>
    <t>QALFA03</t>
  </si>
  <si>
    <t>QALFA05</t>
  </si>
  <si>
    <t>QALI-01</t>
  </si>
  <si>
    <t>QALIR01</t>
  </si>
  <si>
    <t>Ali-ron 20 WG 10 X 20 X 5 gr</t>
  </si>
  <si>
    <t>QALLY01</t>
  </si>
  <si>
    <t>QALLY02</t>
  </si>
  <si>
    <t>QALMI01</t>
  </si>
  <si>
    <t>QALMI02</t>
  </si>
  <si>
    <t>QALMI03</t>
  </si>
  <si>
    <t>QALMI04</t>
  </si>
  <si>
    <t>Almix 247 ZC 40 X 250 ml</t>
  </si>
  <si>
    <t>QALTA01</t>
  </si>
  <si>
    <t>QAMAN01</t>
  </si>
  <si>
    <t>Amandy 865 SL 20 X 1 ltr</t>
  </si>
  <si>
    <t>QAMAN02</t>
  </si>
  <si>
    <t>Amandy 865 SL 4 X 5 ltr</t>
  </si>
  <si>
    <t>QAMAN03</t>
  </si>
  <si>
    <t>Amandy 865 SL 50 X 200 ml</t>
  </si>
  <si>
    <t>QAMAN04</t>
  </si>
  <si>
    <t>Amandy 865 SL 40 X 400 ml</t>
  </si>
  <si>
    <t>QAMAZ02</t>
  </si>
  <si>
    <t>QAMBI01</t>
  </si>
  <si>
    <t>Ambition 12 X  1 ltr</t>
  </si>
  <si>
    <t>QAMCO01</t>
  </si>
  <si>
    <t>Amcofur 20 WP 20 X 20 X 5 gr</t>
  </si>
  <si>
    <t>QAMCO02</t>
  </si>
  <si>
    <t>Amcofur 20 WP 20 X 100 gr</t>
  </si>
  <si>
    <t>QAMCO03</t>
  </si>
  <si>
    <t>QAMCO04</t>
  </si>
  <si>
    <t>Amcopyr 670 EC 20 X 1 ltr</t>
  </si>
  <si>
    <t>QAMCO05</t>
  </si>
  <si>
    <t>QAMCO06</t>
  </si>
  <si>
    <t>QAMCO07</t>
  </si>
  <si>
    <t>QAMCO08</t>
  </si>
  <si>
    <t>Amcozeb 80 WP 20 X 500 gr</t>
  </si>
  <si>
    <t>QAMCO09</t>
  </si>
  <si>
    <t>Amcofur 20 WP 20 X 250 gr</t>
  </si>
  <si>
    <t>QAMCO10</t>
  </si>
  <si>
    <t>Amcomin 865 SL 20 X 1 ltr</t>
  </si>
  <si>
    <t>QAMCO11</t>
  </si>
  <si>
    <t>Amcomec 18 EC 50 X 100 ml</t>
  </si>
  <si>
    <t>QAMCO13</t>
  </si>
  <si>
    <t>QAMCO14</t>
  </si>
  <si>
    <t>Amcozeb 80 WP 20 X 1 kg</t>
  </si>
  <si>
    <t>QAMCO15</t>
  </si>
  <si>
    <t>Amcoxone 276 SL 20 X 500 ml</t>
  </si>
  <si>
    <t>QAMCO16</t>
  </si>
  <si>
    <t>QAMET01</t>
  </si>
  <si>
    <t>QAMET02</t>
  </si>
  <si>
    <t>Ametrex 500 SC 4 X 5 ltr</t>
  </si>
  <si>
    <t>QAMET03</t>
  </si>
  <si>
    <t>Ametrex 500 SC 15 X 1 ltr</t>
  </si>
  <si>
    <t>QAMFO01</t>
  </si>
  <si>
    <t>Amfonil 75 WP 20 X 500 gr</t>
  </si>
  <si>
    <t>QAMFU01</t>
  </si>
  <si>
    <t>Amfuron 20 WG 20 X 20 X 5 gr</t>
  </si>
  <si>
    <t>QAMIN02</t>
  </si>
  <si>
    <t>QAMIN03</t>
  </si>
  <si>
    <t>QAMIT01</t>
  </si>
  <si>
    <t>QAMMA01</t>
  </si>
  <si>
    <t>QAMMA02</t>
  </si>
  <si>
    <t>Ammate 150 EC 20 X 100 ml</t>
  </si>
  <si>
    <t>QAMMA03</t>
  </si>
  <si>
    <t>QAMMA04</t>
  </si>
  <si>
    <t>QAMMO01</t>
  </si>
  <si>
    <t>Ammonium Phosphate 16.20 50 kg</t>
  </si>
  <si>
    <t>QAMOP01</t>
  </si>
  <si>
    <t>Amophos 16-20 50 kg</t>
  </si>
  <si>
    <t>QAMOR01</t>
  </si>
  <si>
    <t>QAMOR02</t>
  </si>
  <si>
    <t>Amora 150 SL 20 X 500 ml</t>
  </si>
  <si>
    <t>QAMOT01</t>
  </si>
  <si>
    <t>QAMOT02</t>
  </si>
  <si>
    <t>QAMPL01</t>
  </si>
  <si>
    <t>Ampligo 150 ZC 100 X 50 ml</t>
  </si>
  <si>
    <t>QAMUN01</t>
  </si>
  <si>
    <t>Amunisi 100 EC 20 X 400 ml</t>
  </si>
  <si>
    <t>QAMUN02</t>
  </si>
  <si>
    <t>Amunisi 100 EC 20 X 1 ltr</t>
  </si>
  <si>
    <t>QAMUN03</t>
  </si>
  <si>
    <t>Amunisi 100 EC 50 X 100 ml</t>
  </si>
  <si>
    <t>QANET01</t>
  </si>
  <si>
    <t>QANET02</t>
  </si>
  <si>
    <t>QANET03</t>
  </si>
  <si>
    <t>QANET05</t>
  </si>
  <si>
    <t>QANMI01</t>
  </si>
  <si>
    <t>Anmi 100 SC 40 X 250 ml</t>
  </si>
  <si>
    <t>QANPH01</t>
  </si>
  <si>
    <t>QANTR04</t>
  </si>
  <si>
    <t>Antracol 70 WP 80 X 250 gr</t>
  </si>
  <si>
    <t>QANWA01</t>
  </si>
  <si>
    <t>Anwavin 500 EC 20 X 500 ml</t>
  </si>
  <si>
    <t>QANWA02</t>
  </si>
  <si>
    <t>QANWA03</t>
  </si>
  <si>
    <t>Anwavin 500 EC 50 X 100 ml</t>
  </si>
  <si>
    <t>QAPIR01</t>
  </si>
  <si>
    <t>Apiro 550.8 SC 50 X 100 ml</t>
  </si>
  <si>
    <t>QAPIR02</t>
  </si>
  <si>
    <t>Apiro 550.8 SC 20 X 250 ml</t>
  </si>
  <si>
    <t>QAPIS01</t>
  </si>
  <si>
    <t>QAPIS02</t>
  </si>
  <si>
    <t>QAPPL02</t>
  </si>
  <si>
    <t>QAPRO01</t>
  </si>
  <si>
    <t>QAPRO02</t>
  </si>
  <si>
    <t>QAPRO05</t>
  </si>
  <si>
    <t>QARIZ02</t>
  </si>
  <si>
    <t>QARJU01</t>
  </si>
  <si>
    <t>QARJU02</t>
  </si>
  <si>
    <t>Arjuna 200 EC 50 X 80 ml</t>
  </si>
  <si>
    <t>QARJU03</t>
  </si>
  <si>
    <t>QARRI01</t>
  </si>
  <si>
    <t>Arrivo 30 EC 24 X 500 ml</t>
  </si>
  <si>
    <t>QARRI02</t>
  </si>
  <si>
    <t>Arrivo 30 EC 100 X 100 ml</t>
  </si>
  <si>
    <t>QARRI03</t>
  </si>
  <si>
    <t>Arrivo 30 EC 2 X 24 X 250 ml</t>
  </si>
  <si>
    <t>QASET01</t>
  </si>
  <si>
    <t>QASIA04</t>
  </si>
  <si>
    <t>Asiaron 80 WP 40 X 250 gr</t>
  </si>
  <si>
    <t>QASTA01</t>
  </si>
  <si>
    <t>QATAB01</t>
  </si>
  <si>
    <t>Atabron 50 EC 100 X 100 ml</t>
  </si>
  <si>
    <t>QATAB02</t>
  </si>
  <si>
    <t>Atabron 50 EC 40 X 250 ml</t>
  </si>
  <si>
    <t>QATHO01</t>
  </si>
  <si>
    <t>QATHO02</t>
  </si>
  <si>
    <t>QATON01</t>
  </si>
  <si>
    <t>QATON02</t>
  </si>
  <si>
    <t>QATON03</t>
  </si>
  <si>
    <t>Atonik 6.5 L 30 X 250 ml (tdk terpakai)</t>
  </si>
  <si>
    <t>QATON04</t>
  </si>
  <si>
    <t>QATON05</t>
  </si>
  <si>
    <t>Atonik 6.5 L 50 X 100 ml (tdk terpakai)</t>
  </si>
  <si>
    <t>QATON06</t>
  </si>
  <si>
    <t>QATRA01</t>
  </si>
  <si>
    <t>QATRI01</t>
  </si>
  <si>
    <t>Atrium 550 SC 12 X 1 ltr</t>
  </si>
  <si>
    <t>QATRI02</t>
  </si>
  <si>
    <t>QATRI03</t>
  </si>
  <si>
    <t>QAURO01</t>
  </si>
  <si>
    <t>QAURO02</t>
  </si>
  <si>
    <t>QAVIA01</t>
  </si>
  <si>
    <t>QAXER01</t>
  </si>
  <si>
    <t>Axer 100 X 100 ml</t>
  </si>
  <si>
    <t>QAXER02</t>
  </si>
  <si>
    <t>Axer 50 X 250 ml</t>
  </si>
  <si>
    <t>QAYUN01</t>
  </si>
  <si>
    <t>Ayuna 50 EC 100 X 100 ml</t>
  </si>
  <si>
    <t>QAZAT01</t>
  </si>
  <si>
    <t>QAZAT02</t>
  </si>
  <si>
    <t>QAZOM01</t>
  </si>
  <si>
    <t>QAZOM02</t>
  </si>
  <si>
    <t>Azomite 0.5 GR 25 X 1 kg</t>
  </si>
  <si>
    <t>QAZOX01</t>
  </si>
  <si>
    <t>QAZOX02</t>
  </si>
  <si>
    <t>QAZOX03</t>
  </si>
  <si>
    <t>QBABL01</t>
  </si>
  <si>
    <t>Bablass 490 SL 20 X 1 ltr</t>
  </si>
  <si>
    <t>QBABL02</t>
  </si>
  <si>
    <t>Bablass 490 SL 20 ltr</t>
  </si>
  <si>
    <t>QBABL03</t>
  </si>
  <si>
    <t>Bablass 490 SL 4 X 5 ltr</t>
  </si>
  <si>
    <t>QBABL04</t>
  </si>
  <si>
    <t>Bablass 490 SL 20 X 500 ml</t>
  </si>
  <si>
    <t>QBABL05</t>
  </si>
  <si>
    <t>Bablass 490 SL 4 X 5 ltr + Metsul 5 gr</t>
  </si>
  <si>
    <t>QBABL06</t>
  </si>
  <si>
    <t>QBABL07</t>
  </si>
  <si>
    <t>QBACT01</t>
  </si>
  <si>
    <t>QBAKA01</t>
  </si>
  <si>
    <t>Bakar 150 SL 20 X 1 ltr</t>
  </si>
  <si>
    <t>QBAKA02</t>
  </si>
  <si>
    <t>Bakar 150 SL 4 X 5 ltr</t>
  </si>
  <si>
    <t>QBAKA03</t>
  </si>
  <si>
    <t>Bakar 150 SL 20 ltr</t>
  </si>
  <si>
    <t>QBALT01</t>
  </si>
  <si>
    <t>QBALT02</t>
  </si>
  <si>
    <t>QBAMB01</t>
  </si>
  <si>
    <t>QBAME02</t>
  </si>
  <si>
    <t>Bamex 18 EC 20 X 200 ml</t>
  </si>
  <si>
    <t>QBAME05</t>
  </si>
  <si>
    <t>QBAND01</t>
  </si>
  <si>
    <t>QBASA01</t>
  </si>
  <si>
    <t>Basamid 98 GR 20 X 500 gr</t>
  </si>
  <si>
    <t>QBASA02</t>
  </si>
  <si>
    <t>Basamid 98 GR 20 kg</t>
  </si>
  <si>
    <t>QBASF02</t>
  </si>
  <si>
    <t>QBASF05</t>
  </si>
  <si>
    <t>QBASF06</t>
  </si>
  <si>
    <t>QBASI01</t>
  </si>
  <si>
    <t>Basis 150 SL 20 X 1 ltr</t>
  </si>
  <si>
    <t>QBASM01</t>
  </si>
  <si>
    <t>Basmigold 490 SL 1 X 20 ltr</t>
  </si>
  <si>
    <t>QBASM02</t>
  </si>
  <si>
    <t>Basmilang 480 SL 20 X 1 ltr</t>
  </si>
  <si>
    <t>QBASS01</t>
  </si>
  <si>
    <t>Bassa 500 EC 20 X 400 ml</t>
  </si>
  <si>
    <t>QBAST01</t>
  </si>
  <si>
    <t>Basta 150 SL 40 X 250 ml</t>
  </si>
  <si>
    <t>QBAST02</t>
  </si>
  <si>
    <t>Basta 150 SL 20 ltr</t>
  </si>
  <si>
    <t>QBATE01</t>
  </si>
  <si>
    <t>Baterai TOP AGRI</t>
  </si>
  <si>
    <t>QBAYA01</t>
  </si>
  <si>
    <t>QBAYA02</t>
  </si>
  <si>
    <t>QBAYA03</t>
  </si>
  <si>
    <t>QBAYA05</t>
  </si>
  <si>
    <t>Bayam Red 90 X 100 gr</t>
  </si>
  <si>
    <t>QBAYA06</t>
  </si>
  <si>
    <t>QBAYA07</t>
  </si>
  <si>
    <t>Bayam Bisi 40 X 500 gr</t>
  </si>
  <si>
    <t>QBAYA08</t>
  </si>
  <si>
    <t>Bayam Amarin 5 kg</t>
  </si>
  <si>
    <t>QBAYA09</t>
  </si>
  <si>
    <t>Bayam Red 500 gr</t>
  </si>
  <si>
    <t>QBAYA10</t>
  </si>
  <si>
    <t>Bayam Amarin 2 kg</t>
  </si>
  <si>
    <t>QBAYA11</t>
  </si>
  <si>
    <t>Bayam Amarin</t>
  </si>
  <si>
    <t>QBAYA12</t>
  </si>
  <si>
    <t>Bayam Belang 2 kg</t>
  </si>
  <si>
    <t>QBAYA13</t>
  </si>
  <si>
    <t>Bayam Belang 1 kg</t>
  </si>
  <si>
    <t>QBAYC02</t>
  </si>
  <si>
    <t>QBAYF01</t>
  </si>
  <si>
    <t>QBAYL01</t>
  </si>
  <si>
    <t>QBAZO01</t>
  </si>
  <si>
    <t>QBEEN01</t>
  </si>
  <si>
    <t>QBEEN03</t>
  </si>
  <si>
    <t>QBEEN04</t>
  </si>
  <si>
    <t>QBEEN07</t>
  </si>
  <si>
    <t>QBEET01</t>
  </si>
  <si>
    <t>QBEET02</t>
  </si>
  <si>
    <t>QBEET03</t>
  </si>
  <si>
    <t>Beet Up 200 EC 50 X 100 ml</t>
  </si>
  <si>
    <t>QBEHN01</t>
  </si>
  <si>
    <t>Behn Quat 20 X 1 ltr</t>
  </si>
  <si>
    <t>QBELO01</t>
  </si>
  <si>
    <t>QBELT01</t>
  </si>
  <si>
    <t>QBELT02</t>
  </si>
  <si>
    <t>QBENC03</t>
  </si>
  <si>
    <t>QBENF01</t>
  </si>
  <si>
    <t>Benfuron 12/18 WP 160 X 25 gr</t>
  </si>
  <si>
    <t>QBENS01</t>
  </si>
  <si>
    <t>Benstar 50 WP 20 X 500 gr</t>
  </si>
  <si>
    <t>QBENS02</t>
  </si>
  <si>
    <t>QBENT01</t>
  </si>
  <si>
    <t>QBENT02</t>
  </si>
  <si>
    <t>QBENT03</t>
  </si>
  <si>
    <t>Bentop 276 SL 20 X 500 ml + Metil</t>
  </si>
  <si>
    <t>QBENT04</t>
  </si>
  <si>
    <t>QBENT05</t>
  </si>
  <si>
    <t>Bentop 276 SL 4 X 5 ltr + 5 Pack Metaben 20 WG-5 gr</t>
  </si>
  <si>
    <t>QBENT06</t>
  </si>
  <si>
    <t>Bentop 276 SL 20 ltr + 20 Pack Metaben 20 WG-5 gr</t>
  </si>
  <si>
    <t>QBENT07</t>
  </si>
  <si>
    <t>Bentan 60 WP (biru) 100 X 100 gr</t>
  </si>
  <si>
    <t>QBERN01</t>
  </si>
  <si>
    <t>QBERN02</t>
  </si>
  <si>
    <t>QBERN05</t>
  </si>
  <si>
    <t>QBERN06</t>
  </si>
  <si>
    <t>Bernice 5 SL 25 X 200 ml</t>
  </si>
  <si>
    <t>QBERO01</t>
  </si>
  <si>
    <t>QBERO02</t>
  </si>
  <si>
    <t>QBESM01</t>
  </si>
  <si>
    <t>Besmor 200 AS 30 X 100 ml</t>
  </si>
  <si>
    <t>QBESR01</t>
  </si>
  <si>
    <t>QBEST01</t>
  </si>
  <si>
    <t>Bestox 50 EC 20 X 1 ltr</t>
  </si>
  <si>
    <t>QBEST02</t>
  </si>
  <si>
    <t>Bestfast 250 EC 50 X 80 ml</t>
  </si>
  <si>
    <t>QBEST04</t>
  </si>
  <si>
    <t>QBEST05</t>
  </si>
  <si>
    <t>QBESV01</t>
  </si>
  <si>
    <t>QBETA01</t>
  </si>
  <si>
    <t>QBETA02</t>
  </si>
  <si>
    <t>QBETA03</t>
  </si>
  <si>
    <t>QBIGG01</t>
  </si>
  <si>
    <t>Biggest 40 AS 20 X 10 X 10 ml</t>
  </si>
  <si>
    <t>QBIGG02</t>
  </si>
  <si>
    <t>QBIGG03</t>
  </si>
  <si>
    <t>QBIGG05</t>
  </si>
  <si>
    <t>QBIGG06</t>
  </si>
  <si>
    <t>Biggest 20 T 50 X 20 X 5 gr</t>
  </si>
  <si>
    <t>QBIGX04</t>
  </si>
  <si>
    <t>Bigxone 135 SL 4 X 5 ltr</t>
  </si>
  <si>
    <t>QBIGX05</t>
  </si>
  <si>
    <t>Bigxone 135 SL 20 ltr</t>
  </si>
  <si>
    <t>QBINA01</t>
  </si>
  <si>
    <t>QBINA02</t>
  </si>
  <si>
    <t>QBINA03</t>
  </si>
  <si>
    <t>QBIOC02</t>
  </si>
  <si>
    <t>QBIOC03</t>
  </si>
  <si>
    <t>QBIOC04</t>
  </si>
  <si>
    <t>QBIOC05</t>
  </si>
  <si>
    <t>QBIOC08</t>
  </si>
  <si>
    <t>QBIOS04</t>
  </si>
  <si>
    <t>Biostick 20 X 1 ltr</t>
  </si>
  <si>
    <t>QBLEW01</t>
  </si>
  <si>
    <t>QBLEW02</t>
  </si>
  <si>
    <t>QBLEW03</t>
  </si>
  <si>
    <t>Blewah Blaster F1 12 X 15 X 15 gr</t>
  </si>
  <si>
    <t>QBM B01</t>
  </si>
  <si>
    <t>BM Benta-Q 480 SL 40 X 250 ml</t>
  </si>
  <si>
    <t>QBM B02</t>
  </si>
  <si>
    <t>BM Benta-Q 480 SL 100 X 100 ml</t>
  </si>
  <si>
    <t>QBM C01</t>
  </si>
  <si>
    <t>QBM C02</t>
  </si>
  <si>
    <t>BM Cantas 40 WP 20 X 500 gr</t>
  </si>
  <si>
    <t>QBM C03</t>
  </si>
  <si>
    <t>BM Cantas 40 WP 100 X 100 gr</t>
  </si>
  <si>
    <t>QBM C04</t>
  </si>
  <si>
    <t>BM Cychlophos 500/50 EC 100 X 100 ml</t>
  </si>
  <si>
    <t>QBM E01</t>
  </si>
  <si>
    <t>QBM E02</t>
  </si>
  <si>
    <t>QBM E03</t>
  </si>
  <si>
    <t>QBM H01</t>
  </si>
  <si>
    <t>QBM J01</t>
  </si>
  <si>
    <t>QBM P03</t>
  </si>
  <si>
    <t>QBM S01</t>
  </si>
  <si>
    <t>BM Sucthion 400 EC 20 X 500 ml</t>
  </si>
  <si>
    <t>QBM S02</t>
  </si>
  <si>
    <t>QBM V01</t>
  </si>
  <si>
    <t>QBM V02</t>
  </si>
  <si>
    <t>QBOMS01</t>
  </si>
  <si>
    <t>Bomstik Perekat 20 X 1 ltr</t>
  </si>
  <si>
    <t>QBOMU01</t>
  </si>
  <si>
    <t>Bom Up 520 SL 20 X 1 ltr</t>
  </si>
  <si>
    <t>QBOMU02</t>
  </si>
  <si>
    <t>Bom Up 520 SL 20 ltr</t>
  </si>
  <si>
    <t>QBOMU03</t>
  </si>
  <si>
    <t>Bom Up 520 SL 4 X 5 ltr</t>
  </si>
  <si>
    <t>QBOOM01</t>
  </si>
  <si>
    <t>Boom Flower 20 X 500 ml</t>
  </si>
  <si>
    <t>QBOOM02</t>
  </si>
  <si>
    <t>QBOOM03</t>
  </si>
  <si>
    <t>QBOOM04</t>
  </si>
  <si>
    <t>Boom Padi Max @30 Pk</t>
  </si>
  <si>
    <t>QBOOS01</t>
  </si>
  <si>
    <t>QBOOS02</t>
  </si>
  <si>
    <t>QBORA02</t>
  </si>
  <si>
    <t>Boral 480 SC 48 X 250 ml</t>
  </si>
  <si>
    <t>QBORA03</t>
  </si>
  <si>
    <t>Borate+K 20 kg</t>
  </si>
  <si>
    <t>QBORA04</t>
  </si>
  <si>
    <t>QBORA05</t>
  </si>
  <si>
    <t>QBRAP02</t>
  </si>
  <si>
    <t>QBRAP03</t>
  </si>
  <si>
    <t>QBRAP04</t>
  </si>
  <si>
    <t>Braphon Hijau 100 PA 20 X 500 ml</t>
  </si>
  <si>
    <t>QBRAV01</t>
  </si>
  <si>
    <t>QBRAV02</t>
  </si>
  <si>
    <t>QBRAV03</t>
  </si>
  <si>
    <t>QBRAV05</t>
  </si>
  <si>
    <t>QBROA01</t>
  </si>
  <si>
    <t>BroadPlus 77 WP 8 X 25 X 40 gr</t>
  </si>
  <si>
    <t>QBROF01</t>
  </si>
  <si>
    <t>Brofreya 53 SC 24 X 100 ml</t>
  </si>
  <si>
    <t>QBROS03</t>
  </si>
  <si>
    <t>QBROS04</t>
  </si>
  <si>
    <t>QBULD01</t>
  </si>
  <si>
    <t>QBULD02</t>
  </si>
  <si>
    <t>QBULD03</t>
  </si>
  <si>
    <t>QBUNC01</t>
  </si>
  <si>
    <t>Buncis Grand Bayu 30 X 500 gr</t>
  </si>
  <si>
    <t>QBUNC02</t>
  </si>
  <si>
    <t>QBUNC03</t>
  </si>
  <si>
    <t>QBUNC04</t>
  </si>
  <si>
    <t>Buncis Lebat - 3 15 X 20 Gr</t>
  </si>
  <si>
    <t>QBUNC06</t>
  </si>
  <si>
    <t>Buncis Elastis 90 X 100 gr</t>
  </si>
  <si>
    <t>QBUNC07</t>
  </si>
  <si>
    <t>Buncis Grand Bayu 90 X 100 gr</t>
  </si>
  <si>
    <t>QBUNC08</t>
  </si>
  <si>
    <t>Buncis Emha 1 kg</t>
  </si>
  <si>
    <t>QBUNC09</t>
  </si>
  <si>
    <t>Buncis Tala 5 X 35 gr</t>
  </si>
  <si>
    <t>QBUNG01</t>
  </si>
  <si>
    <t>Bunga Marigold Casanova 10 X 20 X 110 biji</t>
  </si>
  <si>
    <t>QBUNG02</t>
  </si>
  <si>
    <t>QBUNG03</t>
  </si>
  <si>
    <t>QBUNG04</t>
  </si>
  <si>
    <t>QBUNG05</t>
  </si>
  <si>
    <t>Bunga Marigold Casanova 10 X 20 X 550 biji</t>
  </si>
  <si>
    <t>QBURN01</t>
  </si>
  <si>
    <t>Burnegg 100 X 100 ml</t>
  </si>
  <si>
    <t>QBUZZ01</t>
  </si>
  <si>
    <t>Buzzer 500 EC 20 X 500 ml</t>
  </si>
  <si>
    <t>QCABE02</t>
  </si>
  <si>
    <t>QCABE03</t>
  </si>
  <si>
    <t>Cabe Bianca 6 X 10 X 10 gr</t>
  </si>
  <si>
    <t>QCABE04</t>
  </si>
  <si>
    <t>Cabe Big Chili 10 X 10 gr</t>
  </si>
  <si>
    <t>QCABE05</t>
  </si>
  <si>
    <t>QCABE07</t>
  </si>
  <si>
    <t>QCABE08</t>
  </si>
  <si>
    <t>QCABE09</t>
  </si>
  <si>
    <t>QCABE10</t>
  </si>
  <si>
    <t>QCABE11</t>
  </si>
  <si>
    <t>QCABE12</t>
  </si>
  <si>
    <t>QCABE13</t>
  </si>
  <si>
    <t>Cabe Macho 6 X 10 X 10 gr</t>
  </si>
  <si>
    <t>QCABE14</t>
  </si>
  <si>
    <t>Cabe P-Sada 700 10 X 10 gr</t>
  </si>
  <si>
    <t>QCABE15</t>
  </si>
  <si>
    <t>QCABE16</t>
  </si>
  <si>
    <t>QCABE18</t>
  </si>
  <si>
    <t>QCABE19</t>
  </si>
  <si>
    <t>Cabe TM 333 10 X 10 gr</t>
  </si>
  <si>
    <t>QCABE20</t>
  </si>
  <si>
    <t>QCABE21</t>
  </si>
  <si>
    <t>QCABE22</t>
  </si>
  <si>
    <t>QCABE23</t>
  </si>
  <si>
    <t>QCABE24</t>
  </si>
  <si>
    <t>Cabe Cakra Putih 20 X 20 X 10 gr</t>
  </si>
  <si>
    <t>QCABE25</t>
  </si>
  <si>
    <t>QCABE26</t>
  </si>
  <si>
    <t>Cabe Prason 10 X 10 gr</t>
  </si>
  <si>
    <t>QCABE27</t>
  </si>
  <si>
    <t>QCABE28</t>
  </si>
  <si>
    <t>QCABE29</t>
  </si>
  <si>
    <t>Cabe Bhaskara 50 X 0.5 gr</t>
  </si>
  <si>
    <t>QCABE30</t>
  </si>
  <si>
    <t>QCABE31</t>
  </si>
  <si>
    <t>Cabe Restu 20 X 20 X 10 gr</t>
  </si>
  <si>
    <t>QCABE32</t>
  </si>
  <si>
    <t>QCABE33</t>
  </si>
  <si>
    <t>QCABE34</t>
  </si>
  <si>
    <t>Cabe Red Sabel 10 X 10 gr</t>
  </si>
  <si>
    <t>QCABE35</t>
  </si>
  <si>
    <t>QCABE37</t>
  </si>
  <si>
    <t>Cabe Hiter F1 12 X 15 X 2300 seed</t>
  </si>
  <si>
    <t>QCABE38</t>
  </si>
  <si>
    <t>QCABE39</t>
  </si>
  <si>
    <t>Cabe Balebat F1 12 X 15 X 1550 seed</t>
  </si>
  <si>
    <t>QCABE40</t>
  </si>
  <si>
    <t>Cabe Bhaskara 20 X 24 X 10 gr</t>
  </si>
  <si>
    <t>QCABE41</t>
  </si>
  <si>
    <t>QCABE42</t>
  </si>
  <si>
    <t>QCABE43</t>
  </si>
  <si>
    <t>Cabe OR Setya 10 gr</t>
  </si>
  <si>
    <t>QCABE44</t>
  </si>
  <si>
    <t>QCABE45</t>
  </si>
  <si>
    <t>Cabe TM Rawity 10 X 10 gr</t>
  </si>
  <si>
    <t>QCABE46</t>
  </si>
  <si>
    <t>QCABE47</t>
  </si>
  <si>
    <t>Cabe Raga 2 20 X 12 X 10 gr</t>
  </si>
  <si>
    <t>QCABE48</t>
  </si>
  <si>
    <t>Cabe Darmais F1 12 X 15 X 1550 seed</t>
  </si>
  <si>
    <t>QCABE49</t>
  </si>
  <si>
    <t>Cabe Ababil F1 12 X 15 X 1550 seed</t>
  </si>
  <si>
    <t>QCABE50</t>
  </si>
  <si>
    <t>Cabe Megatop 12 X 15 X 10 gr</t>
  </si>
  <si>
    <t>QCABE51</t>
  </si>
  <si>
    <t>Cabe Sigantung 1 kg</t>
  </si>
  <si>
    <t>QCABE52</t>
  </si>
  <si>
    <t>QCABE55</t>
  </si>
  <si>
    <t>QCABE56</t>
  </si>
  <si>
    <t>Cabe Genie 500 gr</t>
  </si>
  <si>
    <t>QCABE57</t>
  </si>
  <si>
    <t>Cabe Sret 250 gr</t>
  </si>
  <si>
    <t>QCABE58</t>
  </si>
  <si>
    <t>Cabe Genie 250 gr</t>
  </si>
  <si>
    <t>QCABE63</t>
  </si>
  <si>
    <t>Cabe Darmais F1 12 X 15 X 10 gr</t>
  </si>
  <si>
    <t>QCABR03</t>
  </si>
  <si>
    <t>QCABR04</t>
  </si>
  <si>
    <t>QCABR05</t>
  </si>
  <si>
    <t>QCABR06</t>
  </si>
  <si>
    <t>QCABR07</t>
  </si>
  <si>
    <t>Cabrio VG 250 EC 48 X 100 ml</t>
  </si>
  <si>
    <t>QCABR08</t>
  </si>
  <si>
    <t>QCABR09</t>
  </si>
  <si>
    <t>Cabrio Top 60 WG 40 X 250 gr</t>
  </si>
  <si>
    <t>QCABZ01</t>
  </si>
  <si>
    <t>QCABZ02</t>
  </si>
  <si>
    <t>QCALC01</t>
  </si>
  <si>
    <t>QCALF01</t>
  </si>
  <si>
    <t>Cal. Fertilizer 20 X 1 kg</t>
  </si>
  <si>
    <t>QCALP01</t>
  </si>
  <si>
    <t>QCALP02</t>
  </si>
  <si>
    <t>Calponit 10 X 2 kg</t>
  </si>
  <si>
    <t>QCAMP01</t>
  </si>
  <si>
    <t>Campaign 480 SL 20 X 1 ltr</t>
  </si>
  <si>
    <t>QCAMP02</t>
  </si>
  <si>
    <t>Campaign 480 SL 5 X 5 ltr</t>
  </si>
  <si>
    <t>QCAMP03</t>
  </si>
  <si>
    <t>Campaign 480 SL 20 ltr</t>
  </si>
  <si>
    <t>QCANI01</t>
  </si>
  <si>
    <t>Canitro 20 X 1 kg</t>
  </si>
  <si>
    <t>QCAPT01</t>
  </si>
  <si>
    <t>Capture 50 EC 20 X 1 ltr</t>
  </si>
  <si>
    <t>QCARM01</t>
  </si>
  <si>
    <t>QCARM02</t>
  </si>
  <si>
    <t>QCAST03</t>
  </si>
  <si>
    <t>QCASTO05</t>
  </si>
  <si>
    <t>Castora 40 SP 8 X 50 X 15 gr ( Sampel )</t>
  </si>
  <si>
    <t>QCAUL01</t>
  </si>
  <si>
    <t>QCAUL02</t>
  </si>
  <si>
    <t>QCAUL04</t>
  </si>
  <si>
    <t>QCAUL05</t>
  </si>
  <si>
    <t>Cauli Flower Kiran F1 100 X 10 X 10 gr</t>
  </si>
  <si>
    <t>QCELC01</t>
  </si>
  <si>
    <t>Celcron 500 EC 10 X 1 ltr</t>
  </si>
  <si>
    <t>QCELQ03</t>
  </si>
  <si>
    <t>QCENT01</t>
  </si>
  <si>
    <t>QCENT02</t>
  </si>
  <si>
    <t>QCENT03</t>
  </si>
  <si>
    <t>Centatop 288 SL 4 X 5 ltr + Pilly 20 gr</t>
  </si>
  <si>
    <t>QCENT04</t>
  </si>
  <si>
    <t>Centatop 288 SL 20 ltr</t>
  </si>
  <si>
    <t>QCENT05</t>
  </si>
  <si>
    <t>QCENT06</t>
  </si>
  <si>
    <t>Centaris 245 SL 4 X 5 ltr + Pilly 20 gr</t>
  </si>
  <si>
    <t>QCENT07</t>
  </si>
  <si>
    <t>Centaris 245 SL 20 ltr</t>
  </si>
  <si>
    <t>QCENT08</t>
  </si>
  <si>
    <t>Centaris 245 SL 20 X 1 ltr + Pilly 5 gr</t>
  </si>
  <si>
    <t>QCENT09</t>
  </si>
  <si>
    <t>Centamine 870 SL 20 X 400 ml</t>
  </si>
  <si>
    <t>QCENT10</t>
  </si>
  <si>
    <t>Centamine 870 SL 20 X 1 ltr</t>
  </si>
  <si>
    <t>QCENT11</t>
  </si>
  <si>
    <t>Centamine 870 SL 25 X 200 ml</t>
  </si>
  <si>
    <t>QCENT13</t>
  </si>
  <si>
    <t>Centaxone 135 SL 4 X 5 ltr</t>
  </si>
  <si>
    <t>QCENT14</t>
  </si>
  <si>
    <t>Centaxone 135 SL 20 ltr</t>
  </si>
  <si>
    <t>QCEPH01</t>
  </si>
  <si>
    <t>QCHAR01</t>
  </si>
  <si>
    <t>QCHEP01</t>
  </si>
  <si>
    <t>Chepate 75 SP 20 X 400 gr</t>
  </si>
  <si>
    <t>QCHEP02</t>
  </si>
  <si>
    <t>Chepate 75 SP 10 X 1 kg</t>
  </si>
  <si>
    <t>QCHEP03</t>
  </si>
  <si>
    <t>Chepate 75 SP 100 X 100 gr</t>
  </si>
  <si>
    <t>QCHIE01</t>
  </si>
  <si>
    <t>QCHIE03</t>
  </si>
  <si>
    <t>QCHIX01</t>
  </si>
  <si>
    <t>Chix 25 EC 20 X 250 ml</t>
  </si>
  <si>
    <t>QCHIX02</t>
  </si>
  <si>
    <t>Chix 25 EC 20 X 500 ml</t>
  </si>
  <si>
    <t>QCLEA01</t>
  </si>
  <si>
    <t>Cleaner 20 X 500 ml</t>
  </si>
  <si>
    <t>QCLEA02</t>
  </si>
  <si>
    <t>Cleaner 4 X 5 ltr</t>
  </si>
  <si>
    <t>QCLIN01</t>
  </si>
  <si>
    <t>Clincher 100 EC 24 X 200 ml</t>
  </si>
  <si>
    <t>QCLIP01</t>
  </si>
  <si>
    <t>QCLIP02</t>
  </si>
  <si>
    <t>QCLIP03</t>
  </si>
  <si>
    <t>QCLOS01</t>
  </si>
  <si>
    <t>QCNG01</t>
  </si>
  <si>
    <t>CNG 10 X 1 kg</t>
  </si>
  <si>
    <t>QCOBR03</t>
  </si>
  <si>
    <t>QCOMB01</t>
  </si>
  <si>
    <t>Combitox 550 EC 40 X 250 ml</t>
  </si>
  <si>
    <t>QCOMB02</t>
  </si>
  <si>
    <t>Combitox 550 EC 24 X 500 ml</t>
  </si>
  <si>
    <t>QCOMB03</t>
  </si>
  <si>
    <t>Combitox 550 EC 100 X 100 ml</t>
  </si>
  <si>
    <t>QCOMB04</t>
  </si>
  <si>
    <t>Combitox 550 EC 12 X 1 ltr</t>
  </si>
  <si>
    <t>QCOMP01</t>
  </si>
  <si>
    <t>Complesal D 20 X 500 gr</t>
  </si>
  <si>
    <t>QCONF01</t>
  </si>
  <si>
    <t>Confidor 350 FS 20 ltr</t>
  </si>
  <si>
    <t>QCONF03</t>
  </si>
  <si>
    <t>QCONF04</t>
  </si>
  <si>
    <t>QCONF06</t>
  </si>
  <si>
    <t>Confidor Extra 350 SC 50 X 50 ml</t>
  </si>
  <si>
    <t>QCONS01</t>
  </si>
  <si>
    <t>QCOPC01</t>
  </si>
  <si>
    <t>QCOPC02</t>
  </si>
  <si>
    <t>QCOPC03</t>
  </si>
  <si>
    <t>QCOPC04</t>
  </si>
  <si>
    <t>Copcide 77 WP 15 X 1 kg</t>
  </si>
  <si>
    <t>QCOPC05</t>
  </si>
  <si>
    <t>QCOPC06</t>
  </si>
  <si>
    <t>QCOPP01</t>
  </si>
  <si>
    <t>QCOPP02</t>
  </si>
  <si>
    <t>QCOPP03</t>
  </si>
  <si>
    <t>QCOUN01</t>
  </si>
  <si>
    <t>QCOUN02</t>
  </si>
  <si>
    <t>Counter SP 20 X 500 gr</t>
  </si>
  <si>
    <t>QCOUN03</t>
  </si>
  <si>
    <t>QCOUN04</t>
  </si>
  <si>
    <t>Council Complete SC 300 100 X 50 ml</t>
  </si>
  <si>
    <t>QCPN01</t>
  </si>
  <si>
    <t>QCRAS01</t>
  </si>
  <si>
    <t>Crash 480 SL 12 X 1 ltr</t>
  </si>
  <si>
    <t>QCRAS02</t>
  </si>
  <si>
    <t>Crash 480 SL 20 ltr</t>
  </si>
  <si>
    <t>QCRAS03</t>
  </si>
  <si>
    <t>Crash 480 SL 4 X 5 ltr</t>
  </si>
  <si>
    <t>QCRAS04</t>
  </si>
  <si>
    <t>Crash 480 SL 20 X 1 ltr</t>
  </si>
  <si>
    <t>QCRON01</t>
  </si>
  <si>
    <t>Cronus 18 EC 50 X 200 ml</t>
  </si>
  <si>
    <t>QCRON02</t>
  </si>
  <si>
    <t>Cronus 18 EC 12 X 800 ml</t>
  </si>
  <si>
    <t>QCRUI01</t>
  </si>
  <si>
    <t>QCRUM01</t>
  </si>
  <si>
    <t>Crumble Carb 150 SC 50 X 250 ml</t>
  </si>
  <si>
    <t>QCRUM02</t>
  </si>
  <si>
    <t>Crumble Carb 150 SC 50 X 100 ml</t>
  </si>
  <si>
    <t>QCULT01</t>
  </si>
  <si>
    <t>Cultar 250 SC 40 X 250 ml</t>
  </si>
  <si>
    <t>QCURA03</t>
  </si>
  <si>
    <t>QCURB01</t>
  </si>
  <si>
    <t>QCURB02</t>
  </si>
  <si>
    <t>QCURZ01</t>
  </si>
  <si>
    <t>Curzate 8/64 WP 20 X 400 gr</t>
  </si>
  <si>
    <t>QCUST01</t>
  </si>
  <si>
    <t>Custodia 320 SC 100 X 50 ml</t>
  </si>
  <si>
    <t>QCUST02</t>
  </si>
  <si>
    <t>Custodia 320 SC 40 X 200 ml</t>
  </si>
  <si>
    <t>QCUST03</t>
  </si>
  <si>
    <t>QCYMA01</t>
  </si>
  <si>
    <t>QCYMA02</t>
  </si>
  <si>
    <t>QCYMB01</t>
  </si>
  <si>
    <t>QCYMB02</t>
  </si>
  <si>
    <t>Cymbush 50 EC 20 X 500 ml</t>
  </si>
  <si>
    <t>QCYMO01</t>
  </si>
  <si>
    <t>QCYMO02</t>
  </si>
  <si>
    <t>QCYPR01</t>
  </si>
  <si>
    <t>QDACO01</t>
  </si>
  <si>
    <t>QDAPP01</t>
  </si>
  <si>
    <t>QDECI04</t>
  </si>
  <si>
    <t>QDEKA01</t>
  </si>
  <si>
    <t>QDEKA02</t>
  </si>
  <si>
    <t>QDEKA06</t>
  </si>
  <si>
    <t>Dekapirim 400 SC 12 X 1 ltr</t>
  </si>
  <si>
    <t>QDELL02</t>
  </si>
  <si>
    <t>QDELS01</t>
  </si>
  <si>
    <t>QDELS02</t>
  </si>
  <si>
    <t>QDEMA01</t>
  </si>
  <si>
    <t>Demand 100 CS 50 X 100 ml</t>
  </si>
  <si>
    <t>QDEMO01</t>
  </si>
  <si>
    <t>QDEMO02</t>
  </si>
  <si>
    <t>QDEMO03</t>
  </si>
  <si>
    <t>QDEMO04</t>
  </si>
  <si>
    <t>Demorf 500 SC 50 X 100 ml</t>
  </si>
  <si>
    <t>QDEMO05</t>
  </si>
  <si>
    <t>Demorf 500 SC 100 X 50 ml</t>
  </si>
  <si>
    <t>QDEMO06</t>
  </si>
  <si>
    <t>QDEMO07</t>
  </si>
  <si>
    <t>QDEMO08</t>
  </si>
  <si>
    <t>QDESA03</t>
  </si>
  <si>
    <t>QDESK01</t>
  </si>
  <si>
    <t>QDEST01</t>
  </si>
  <si>
    <t>QDEST02</t>
  </si>
  <si>
    <t>QDEST04</t>
  </si>
  <si>
    <t>Destan 400 EC 20 X 300 ml</t>
  </si>
  <si>
    <t>QDEST05</t>
  </si>
  <si>
    <t>Destan 400 EC 50 X 100 ml</t>
  </si>
  <si>
    <t>QDETA01</t>
  </si>
  <si>
    <t>Detazeb 80 WP 20 X 1 kg</t>
  </si>
  <si>
    <t>QDETS03</t>
  </si>
  <si>
    <t>Destan 400 EC 20 X 500 ml</t>
  </si>
  <si>
    <t>QDIAZ01</t>
  </si>
  <si>
    <t>QDIAZ02</t>
  </si>
  <si>
    <t>Diazinon 600 EC 20 X 500 ml</t>
  </si>
  <si>
    <t>QDIAZ03</t>
  </si>
  <si>
    <t>Diazinon 600 EC 50 X 100 ml</t>
  </si>
  <si>
    <t>QDIKA01</t>
  </si>
  <si>
    <t>Dikamin 720 SL 40 X 200 ml</t>
  </si>
  <si>
    <t>QDIKA02</t>
  </si>
  <si>
    <t>Dikamin 720 SL 20 ltr</t>
  </si>
  <si>
    <t>QDIKA03</t>
  </si>
  <si>
    <t>Dikamin 720 SL 20 X 400 ml</t>
  </si>
  <si>
    <t>QDIKA04</t>
  </si>
  <si>
    <t>Dikamin 720 SL 4 X 5 ltr</t>
  </si>
  <si>
    <t>QDIMA01</t>
  </si>
  <si>
    <t>Dimacide 400 EC 20 X 500 ml</t>
  </si>
  <si>
    <t>QDIMA02</t>
  </si>
  <si>
    <t>Dimacide 400 EC 48 X 100 ml</t>
  </si>
  <si>
    <t>QDINA02</t>
  </si>
  <si>
    <t>QDINA03</t>
  </si>
  <si>
    <t>Dinamec 10 WG 8 X 10 X 25 gr</t>
  </si>
  <si>
    <t>QDITH01</t>
  </si>
  <si>
    <t>QDITH02</t>
  </si>
  <si>
    <t>QDITH03</t>
  </si>
  <si>
    <t>QDIVA01</t>
  </si>
  <si>
    <t>Divaxone 138 SL 20 X 1 ltr</t>
  </si>
  <si>
    <t>QDIVA02</t>
  </si>
  <si>
    <t>Divaxone 138 SL 4 X 5 ltr</t>
  </si>
  <si>
    <t>QDIVA03</t>
  </si>
  <si>
    <t>Divaxone 138 SL 20 ltr</t>
  </si>
  <si>
    <t>QDKFI01</t>
  </si>
  <si>
    <t>QDKFI02</t>
  </si>
  <si>
    <t>QDKFI03</t>
  </si>
  <si>
    <t>QDKFI04</t>
  </si>
  <si>
    <t>QDKFI05</t>
  </si>
  <si>
    <t>DK Fipron 50 SC 100 X 50 ml (sampel)</t>
  </si>
  <si>
    <t>QDKFI06</t>
  </si>
  <si>
    <t>DK Fipron 50 SC 100 X 100 ml (sampel)</t>
  </si>
  <si>
    <t>QDKFO01</t>
  </si>
  <si>
    <t>QDKFO02</t>
  </si>
  <si>
    <t>QDKFO03</t>
  </si>
  <si>
    <t>QDKFO04</t>
  </si>
  <si>
    <t>QDKGL08</t>
  </si>
  <si>
    <t>QDKGL09</t>
  </si>
  <si>
    <t>DK Glifordi 4 X 5 ltr</t>
  </si>
  <si>
    <t>QDKGL10</t>
  </si>
  <si>
    <t>DK Glifordi 20 ltr</t>
  </si>
  <si>
    <t>QDKME01</t>
  </si>
  <si>
    <t>QDKME02</t>
  </si>
  <si>
    <t>QDKME03</t>
  </si>
  <si>
    <t>QDKME04</t>
  </si>
  <si>
    <t>QDKME05</t>
  </si>
  <si>
    <t>QDKME06</t>
  </si>
  <si>
    <t>QDKME07</t>
  </si>
  <si>
    <t>QDKME08</t>
  </si>
  <si>
    <t>QDKME09</t>
  </si>
  <si>
    <t>QDKME10</t>
  </si>
  <si>
    <t>QDKME11</t>
  </si>
  <si>
    <t>QDKME12</t>
  </si>
  <si>
    <t>QDKME13</t>
  </si>
  <si>
    <t>QDKPR01</t>
  </si>
  <si>
    <t>QDKPR02</t>
  </si>
  <si>
    <t>QDKPR03</t>
  </si>
  <si>
    <t>QDKPR04</t>
  </si>
  <si>
    <t>QDKST01</t>
  </si>
  <si>
    <t>QDKST02</t>
  </si>
  <si>
    <t>QDKST03</t>
  </si>
  <si>
    <t>QDKZO01</t>
  </si>
  <si>
    <t>QDKZO02</t>
  </si>
  <si>
    <t>QDKZO03</t>
  </si>
  <si>
    <t>DK Zol Extra 300 SC 100 X 80 ml (sampel)</t>
  </si>
  <si>
    <t>QDMA601</t>
  </si>
  <si>
    <t>QDMA602</t>
  </si>
  <si>
    <t>QDMA603</t>
  </si>
  <si>
    <t>QDONK01</t>
  </si>
  <si>
    <t>QDONK02</t>
  </si>
  <si>
    <t>QDONK03</t>
  </si>
  <si>
    <t>QDONK05</t>
  </si>
  <si>
    <t>Donkey 40 WP 40 X 200 gr (Sample)</t>
  </si>
  <si>
    <t>QDONK06</t>
  </si>
  <si>
    <t>Donkey 40 WP 40 X 400 gr (Sample)</t>
  </si>
  <si>
    <t>QDORU01</t>
  </si>
  <si>
    <t>QDORU02</t>
  </si>
  <si>
    <t>QDORU03</t>
  </si>
  <si>
    <t>Dorum 32 x 200 ml</t>
  </si>
  <si>
    <t>QDORU04</t>
  </si>
  <si>
    <t>Dorum 36 X 80 ml</t>
  </si>
  <si>
    <t>QDRYU01</t>
  </si>
  <si>
    <t>Dry Up 480 SL 20 x 1 ltr</t>
  </si>
  <si>
    <t>QDRYU02</t>
  </si>
  <si>
    <t>QDRYU03</t>
  </si>
  <si>
    <t>QDRYU04</t>
  </si>
  <si>
    <t>Dry Up 480 SL 20 X 500 ml</t>
  </si>
  <si>
    <t>QDUIT01</t>
  </si>
  <si>
    <t>Duit 18 EC 20 ltr</t>
  </si>
  <si>
    <t>QDUIT02</t>
  </si>
  <si>
    <t>Duit 18 EC 40 X 250 ml</t>
  </si>
  <si>
    <t>QDUIT03</t>
  </si>
  <si>
    <t>Duit 18 EC 20 X 1 ltr</t>
  </si>
  <si>
    <t>QDUIT04</t>
  </si>
  <si>
    <t>Duit 18 EC 50 X 50 ml</t>
  </si>
  <si>
    <t>QDUIT05</t>
  </si>
  <si>
    <t>Duit 18 EC 50 X 100 ml</t>
  </si>
  <si>
    <t>QDUIT06</t>
  </si>
  <si>
    <t>Duit 18 EC 20 X 500 ml</t>
  </si>
  <si>
    <t>QDUIT07</t>
  </si>
  <si>
    <t>Duit 18 EC 30 X 200 ml</t>
  </si>
  <si>
    <t>QDUIT08</t>
  </si>
  <si>
    <t>Duit 18 EC 100 X 50 ml</t>
  </si>
  <si>
    <t>QDUMI01</t>
  </si>
  <si>
    <t>QDUMI02</t>
  </si>
  <si>
    <t>QDUMI03</t>
  </si>
  <si>
    <t>QDURS01</t>
  </si>
  <si>
    <t>QDURS02</t>
  </si>
  <si>
    <t>QDURS03</t>
  </si>
  <si>
    <t>QDURS04</t>
  </si>
  <si>
    <t>QDURS05</t>
  </si>
  <si>
    <t>QEKSA01</t>
  </si>
  <si>
    <t>Eksa Up 485 SL 20 X 1 ltr</t>
  </si>
  <si>
    <t>QEKSA02</t>
  </si>
  <si>
    <t>Eksa Up 485 SL 20 ltr</t>
  </si>
  <si>
    <t>QELAN01</t>
  </si>
  <si>
    <t>Elang Gold 480 SL 15 X 1 ltr</t>
  </si>
  <si>
    <t>QELAN02</t>
  </si>
  <si>
    <t>Elang Gold 480 SL 20 ltr</t>
  </si>
  <si>
    <t>QELAZA03</t>
  </si>
  <si>
    <t>Elazaro 17/8 WG 10 X 20 X 10 gr ( Sampel )</t>
  </si>
  <si>
    <t>QELEC01</t>
  </si>
  <si>
    <t>QELEC02</t>
  </si>
  <si>
    <t>QELEC03</t>
  </si>
  <si>
    <t>QELEC04</t>
  </si>
  <si>
    <t>QELEC05</t>
  </si>
  <si>
    <t>QELEC06</t>
  </si>
  <si>
    <t>QELEK01</t>
  </si>
  <si>
    <t>Elektrik Kit 8-12</t>
  </si>
  <si>
    <t>QELES01</t>
  </si>
  <si>
    <t>Elestal Neo 54 WG 20 X 150 gr</t>
  </si>
  <si>
    <t>QELES02</t>
  </si>
  <si>
    <t>Elestal Neo 54 WG 100 X 30 gr</t>
  </si>
  <si>
    <t>QEM-404</t>
  </si>
  <si>
    <t>QEMAC02</t>
  </si>
  <si>
    <t>QEMAP01</t>
  </si>
  <si>
    <t>QEMAP02</t>
  </si>
  <si>
    <t>QEMER01</t>
  </si>
  <si>
    <t>QEMER02</t>
  </si>
  <si>
    <t>QENDU01</t>
  </si>
  <si>
    <t>QENDU02</t>
  </si>
  <si>
    <t>QENDU03</t>
  </si>
  <si>
    <t>QEQUA01</t>
  </si>
  <si>
    <t>Equation Pro 52 WG 10 X 20 X 30 gr</t>
  </si>
  <si>
    <t>QEQUA02</t>
  </si>
  <si>
    <t>QEROS01</t>
  </si>
  <si>
    <t>Eros Gold 0.75/30 DF 50 X 100 gr</t>
  </si>
  <si>
    <t>QEROS02</t>
  </si>
  <si>
    <t>Eros Gold 0.75/30 DF 40 X 250 gr</t>
  </si>
  <si>
    <t>QETHR01</t>
  </si>
  <si>
    <t>QETHR03</t>
  </si>
  <si>
    <t>Ethrel 480 SL 40 X 250 ml</t>
  </si>
  <si>
    <t>QETHR04</t>
  </si>
  <si>
    <t>Ethrel 480 SL 20 X 500 ml</t>
  </si>
  <si>
    <t>QEVEN01</t>
  </si>
  <si>
    <t>QEXPE01</t>
  </si>
  <si>
    <t>QEXPE02</t>
  </si>
  <si>
    <t>QEXTR01</t>
  </si>
  <si>
    <t>QEXTR02</t>
  </si>
  <si>
    <t>QEXTR03</t>
  </si>
  <si>
    <t>QFAMD01</t>
  </si>
  <si>
    <t>Famdatrin 50 EC 100 X 80 ml</t>
  </si>
  <si>
    <t>QFAMD02</t>
  </si>
  <si>
    <t>Famdatrin 50 EC 40 X 250 ml</t>
  </si>
  <si>
    <t>QFAST01</t>
  </si>
  <si>
    <t>QFAST02</t>
  </si>
  <si>
    <t>QFAST03</t>
  </si>
  <si>
    <t>QFAST04</t>
  </si>
  <si>
    <t>Faster 15 EC 20 X 500 ml</t>
  </si>
  <si>
    <t>QFAST05</t>
  </si>
  <si>
    <t>QFAST06</t>
  </si>
  <si>
    <t>Fastac 15 EC 24 X 250 ml</t>
  </si>
  <si>
    <t>QFENT01</t>
  </si>
  <si>
    <t>QFENT05</t>
  </si>
  <si>
    <t>QFENV02</t>
  </si>
  <si>
    <t>QFERA01</t>
  </si>
  <si>
    <t>QFERA02</t>
  </si>
  <si>
    <t>QFERT01</t>
  </si>
  <si>
    <t>QFERT02</t>
  </si>
  <si>
    <t>QFERT03</t>
  </si>
  <si>
    <t>Fertila 8.15.19 @25 kg</t>
  </si>
  <si>
    <t>QFERT04</t>
  </si>
  <si>
    <t>QFERT05</t>
  </si>
  <si>
    <t>QFEST01</t>
  </si>
  <si>
    <t>QFETR01</t>
  </si>
  <si>
    <t>QFILL01</t>
  </si>
  <si>
    <t>QFILL02</t>
  </si>
  <si>
    <t>Fillado 440 EC 10 X 1 ltr</t>
  </si>
  <si>
    <t>QFIPR01</t>
  </si>
  <si>
    <t>QFIPR02</t>
  </si>
  <si>
    <t>QFIRO01</t>
  </si>
  <si>
    <t>QFITO01</t>
  </si>
  <si>
    <t>Fitokarb 50 WP 20 X 500 gr</t>
  </si>
  <si>
    <t>QFITO02</t>
  </si>
  <si>
    <t>QFITO03</t>
  </si>
  <si>
    <t>QFITO04</t>
  </si>
  <si>
    <t>Fitomic 20 X 500 ml</t>
  </si>
  <si>
    <t>QFITO05</t>
  </si>
  <si>
    <t>QFITO06</t>
  </si>
  <si>
    <t>Fitozeb 80 WP 20 X 1 kg</t>
  </si>
  <si>
    <t>QFITO07</t>
  </si>
  <si>
    <t>Fitomic 12 X 1 ltr</t>
  </si>
  <si>
    <t>QFITO08</t>
  </si>
  <si>
    <t>Fitokarb 50 WP 12 X 500 gr</t>
  </si>
  <si>
    <t>QFITO09</t>
  </si>
  <si>
    <t>Fitomic Plus 20 X 500 ml</t>
  </si>
  <si>
    <t>QFITO10</t>
  </si>
  <si>
    <t>Fitomic Plus 20 X 1 ltr</t>
  </si>
  <si>
    <t>QFOLI01</t>
  </si>
  <si>
    <t>QFOLI02</t>
  </si>
  <si>
    <t>QFOLI03</t>
  </si>
  <si>
    <t>QFOLI06</t>
  </si>
  <si>
    <t>Folicur 25 WP 200 X 50 gr</t>
  </si>
  <si>
    <t>QFOLI07</t>
  </si>
  <si>
    <t>QFOLI08</t>
  </si>
  <si>
    <t>Folicur 25 WP 40 X 250 gr</t>
  </si>
  <si>
    <t>QFORM02</t>
  </si>
  <si>
    <t>QFORM03</t>
  </si>
  <si>
    <t>QFORM04</t>
  </si>
  <si>
    <t>QFORT01</t>
  </si>
  <si>
    <t>QFORT02</t>
  </si>
  <si>
    <t>Fortenza 600 FS 4 X 20 X 12 ml</t>
  </si>
  <si>
    <t>QFUJI01</t>
  </si>
  <si>
    <t>QFUJI02</t>
  </si>
  <si>
    <t>QFUNG01</t>
  </si>
  <si>
    <t>QFURA01</t>
  </si>
  <si>
    <t>QFURA02</t>
  </si>
  <si>
    <t>QFURA03</t>
  </si>
  <si>
    <t>QGAGA01</t>
  </si>
  <si>
    <t>Gagang Selang Star Metal</t>
  </si>
  <si>
    <t>QGAGA02</t>
  </si>
  <si>
    <t>Gagang Nozzle Stainless</t>
  </si>
  <si>
    <t>QGALI01</t>
  </si>
  <si>
    <t>QGALI02</t>
  </si>
  <si>
    <t>QGALI03</t>
  </si>
  <si>
    <t>QGALL01</t>
  </si>
  <si>
    <t>QGALL02</t>
  </si>
  <si>
    <t>QGALL04</t>
  </si>
  <si>
    <t>Gallery 403 SL 8 X 2 ltr (M2U)</t>
  </si>
  <si>
    <t>QGALL05</t>
  </si>
  <si>
    <t>Gallery 403 SL 30 X 500 ml + RG.01 100 gr (M2U)</t>
  </si>
  <si>
    <t>QGALL06</t>
  </si>
  <si>
    <t>Gallery 403 SL 30 X 500 ml + RG.05 100 gr (M2U)</t>
  </si>
  <si>
    <t>QGALL07</t>
  </si>
  <si>
    <t>QGALL08</t>
  </si>
  <si>
    <t>Gallery 403 SL 10 X 1 ltr + RG.01 100 gr</t>
  </si>
  <si>
    <t>QGALL09</t>
  </si>
  <si>
    <t>Gallery 403 SL 30 X 500 ml + SG.05 100 gr (M2U)</t>
  </si>
  <si>
    <t>QGALL10</t>
  </si>
  <si>
    <t>QGALL11</t>
  </si>
  <si>
    <t>Gallery 403 SL 30 X 500 ml + SG.01 100 gr (M2U)</t>
  </si>
  <si>
    <t>QGALL13</t>
  </si>
  <si>
    <t>Gallant 108 EC 20 X 500 ml</t>
  </si>
  <si>
    <t>QGALL15</t>
  </si>
  <si>
    <t>Gallery 403 SL 10 X 1 ltr + SG.03 100 gr</t>
  </si>
  <si>
    <t>QGALL16</t>
  </si>
  <si>
    <t>Gallery 403 SL 30 X 500 ml + SG.03 100 gr (M2U)</t>
  </si>
  <si>
    <t>QGALL17</t>
  </si>
  <si>
    <t>Gallery 403 SL 4 X 4 ltr + SG.05 100 gr</t>
  </si>
  <si>
    <t>QGALL18</t>
  </si>
  <si>
    <t>Gallery 403 SL 10 X 1 ltr + SG.06 100 gr (M2U)</t>
  </si>
  <si>
    <t>QGALL19</t>
  </si>
  <si>
    <t>Gallery 403 SL 30 X 500 ml + SG.06 100 gr (M2U)</t>
  </si>
  <si>
    <t>QGALL20</t>
  </si>
  <si>
    <t>Gallery 403 SL 4 X 4 ltr + SG.06 100 gr</t>
  </si>
  <si>
    <t>QGALL21</t>
  </si>
  <si>
    <t>Gallery 403 SL 4 X 4 ltr + SG.03 100 gr</t>
  </si>
  <si>
    <t>QGALL22</t>
  </si>
  <si>
    <t>Gallery 403 SL 4 X 4 ltr + SG.02 100 gr</t>
  </si>
  <si>
    <t>QGAND05</t>
  </si>
  <si>
    <t>Gandapan Maxima 24 X 250 gr</t>
  </si>
  <si>
    <t>QGAND06</t>
  </si>
  <si>
    <t>QGAPL02</t>
  </si>
  <si>
    <t>QGAPL03</t>
  </si>
  <si>
    <t>QGARD02</t>
  </si>
  <si>
    <t>Gardena 30-10-10 40 X 500 gr</t>
  </si>
  <si>
    <t>QGARD03</t>
  </si>
  <si>
    <t>Gardena 6-32-35 40 X 500 gr</t>
  </si>
  <si>
    <t>QGATI01</t>
  </si>
  <si>
    <t>QGAUC01</t>
  </si>
  <si>
    <t>QGAUC02</t>
  </si>
  <si>
    <t>Gaucho 350 FS 20 ltr</t>
  </si>
  <si>
    <t>QGAUC03</t>
  </si>
  <si>
    <t>QGAVI01</t>
  </si>
  <si>
    <t>Gavin 35 WP 50 X 100 gr</t>
  </si>
  <si>
    <t>QGAYA01</t>
  </si>
  <si>
    <t>QGEMA01</t>
  </si>
  <si>
    <t>Gemaxone 276 SL 20 X 1 ltr</t>
  </si>
  <si>
    <t>QGEMA02</t>
  </si>
  <si>
    <t>Gemaxone 276 SL 4 X 5 ltr</t>
  </si>
  <si>
    <t>QGEMA03</t>
  </si>
  <si>
    <t>Gemaxone 276 SL 20 ltr</t>
  </si>
  <si>
    <t>QGEMA04</t>
  </si>
  <si>
    <t>QGEMA05</t>
  </si>
  <si>
    <t>QGEMA06</t>
  </si>
  <si>
    <t>QGEMA07</t>
  </si>
  <si>
    <t>QGEMA08</t>
  </si>
  <si>
    <t>QGEMA09</t>
  </si>
  <si>
    <t>QGEMB01</t>
  </si>
  <si>
    <t>Gembor GL-10A 12 X 10 ltr</t>
  </si>
  <si>
    <t>QGEMI02</t>
  </si>
  <si>
    <t>QGEMP01</t>
  </si>
  <si>
    <t>Gempur 480 SL 20 X 1 ltr</t>
  </si>
  <si>
    <t>QGEMP02</t>
  </si>
  <si>
    <t>Gempur 480 SL 4 X 5 ltr</t>
  </si>
  <si>
    <t>QGEMP03</t>
  </si>
  <si>
    <t>Gempur 480 SL 20 ltr</t>
  </si>
  <si>
    <t>QGEMP04</t>
  </si>
  <si>
    <t>QGENE01</t>
  </si>
  <si>
    <t>QGENE02</t>
  </si>
  <si>
    <t>QGERB01</t>
  </si>
  <si>
    <t>QGERB02</t>
  </si>
  <si>
    <t>QGIBA02</t>
  </si>
  <si>
    <t>QGIBG01</t>
  </si>
  <si>
    <t>Gibgro 10 SP 24 X 40 X 1 gr</t>
  </si>
  <si>
    <t>QGIBG02</t>
  </si>
  <si>
    <t>QGITA01</t>
  </si>
  <si>
    <t>QGLAD01</t>
  </si>
  <si>
    <t>Gladiol 25 EC 30 X 400 ml (M2U)</t>
  </si>
  <si>
    <t>QGLAD02</t>
  </si>
  <si>
    <t>QGLAD03</t>
  </si>
  <si>
    <t>QGLID01</t>
  </si>
  <si>
    <t>QGLIF01</t>
  </si>
  <si>
    <t>Glifasco 520 SL 20 X 1 ltr</t>
  </si>
  <si>
    <t>QGLIF02</t>
  </si>
  <si>
    <t>Glifasco 520 SL 5 X 5 ltr</t>
  </si>
  <si>
    <t>QGLIF03</t>
  </si>
  <si>
    <t>Glifasco 520 SL 20 ltr</t>
  </si>
  <si>
    <t>QGLIM01</t>
  </si>
  <si>
    <t>QGLIM02</t>
  </si>
  <si>
    <t>QGLIM03</t>
  </si>
  <si>
    <t>QGLUF01</t>
  </si>
  <si>
    <t>QGLUF02</t>
  </si>
  <si>
    <t>QGOAL01</t>
  </si>
  <si>
    <t>QGOLD02</t>
  </si>
  <si>
    <t>Goldwet 20 x 250 ml</t>
  </si>
  <si>
    <t>QGOLD03</t>
  </si>
  <si>
    <t>Goldwet 20 X 500 ml</t>
  </si>
  <si>
    <t>QGOLD04</t>
  </si>
  <si>
    <t>QGOLD05</t>
  </si>
  <si>
    <t>GG 50 X 100 ml (M2U)</t>
  </si>
  <si>
    <t>QGOLD06</t>
  </si>
  <si>
    <t>GG 50 X 250 ml (M2U)</t>
  </si>
  <si>
    <t>QGOLD08</t>
  </si>
  <si>
    <t>QGOLO01</t>
  </si>
  <si>
    <t>Gol-Ok 240 EC 20 X 250 ml</t>
  </si>
  <si>
    <t>QGOLO02</t>
  </si>
  <si>
    <t>Gol-Ok 240 EC 20 X 500 ml</t>
  </si>
  <si>
    <t>QGOLO03</t>
  </si>
  <si>
    <t>Gol-Ok 240 EC 50 X 100 ml</t>
  </si>
  <si>
    <t>QGOQU01</t>
  </si>
  <si>
    <t>Goquat 140 SL 20 X 1 ltr</t>
  </si>
  <si>
    <t>QGOQU02</t>
  </si>
  <si>
    <t>Goquat 140 SL 20 ltr</t>
  </si>
  <si>
    <t>QGORD01</t>
  </si>
  <si>
    <t>Gordon 320 EC 20 X 250 ml</t>
  </si>
  <si>
    <t>QGORD02</t>
  </si>
  <si>
    <t>Gordon 320 EC 20 X 500 ml</t>
  </si>
  <si>
    <t>QGRAM01</t>
  </si>
  <si>
    <t>QGRAM02</t>
  </si>
  <si>
    <t>QGRAM03</t>
  </si>
  <si>
    <t>Gramoxone 276 SL 200 ltr</t>
  </si>
  <si>
    <t>QGRAM04</t>
  </si>
  <si>
    <t>QGRAM05</t>
  </si>
  <si>
    <t>Gramoxone 276 SL 20 ltr</t>
  </si>
  <si>
    <t>QGRAM06</t>
  </si>
  <si>
    <t>QGRAN02</t>
  </si>
  <si>
    <t>QGRAN03</t>
  </si>
  <si>
    <t>Grand-K Kristal 10 X 2 kg</t>
  </si>
  <si>
    <t>QGRET01</t>
  </si>
  <si>
    <t>Greta 500 EC 20 X 500 ml</t>
  </si>
  <si>
    <t>QGUSA01</t>
  </si>
  <si>
    <t>Gusang 100 X 100 ml</t>
  </si>
  <si>
    <t>QGUSA02</t>
  </si>
  <si>
    <t>Gusang 50 X 250 ml</t>
  </si>
  <si>
    <t>QGWBL01</t>
  </si>
  <si>
    <t>QGWGE01</t>
  </si>
  <si>
    <t>QGWMA01</t>
  </si>
  <si>
    <t>QGWMA03</t>
  </si>
  <si>
    <t>QGWMA04</t>
  </si>
  <si>
    <t>QGWVI02</t>
  </si>
  <si>
    <t>QGWVI03</t>
  </si>
  <si>
    <t>QGWVI04</t>
  </si>
  <si>
    <t>QGWVI05</t>
  </si>
  <si>
    <t>QGWVI06</t>
  </si>
  <si>
    <t>QHADE01</t>
  </si>
  <si>
    <t>QHADE02</t>
  </si>
  <si>
    <t>QHADE03</t>
  </si>
  <si>
    <t>QHEXA01</t>
  </si>
  <si>
    <t>QHEXA03</t>
  </si>
  <si>
    <t>QHIJA01</t>
  </si>
  <si>
    <t>QHIJA02</t>
  </si>
  <si>
    <t>QHIJA03</t>
  </si>
  <si>
    <t>Hijau Padi Jagung 15 X 1 ltr</t>
  </si>
  <si>
    <t>QHIPO01</t>
  </si>
  <si>
    <t>QHIPO02</t>
  </si>
  <si>
    <t>QHIPO03</t>
  </si>
  <si>
    <t>QHOKK02</t>
  </si>
  <si>
    <t>QHOW 01</t>
  </si>
  <si>
    <t>How Harvet 20 X 500 ml</t>
  </si>
  <si>
    <t>QHOW 02</t>
  </si>
  <si>
    <t>How Harvet 20 X 250 ml</t>
  </si>
  <si>
    <t>QHSPA01</t>
  </si>
  <si>
    <t>QHSPA02</t>
  </si>
  <si>
    <t>QHSPA03</t>
  </si>
  <si>
    <t>QICEM01</t>
  </si>
  <si>
    <t>QICEM02</t>
  </si>
  <si>
    <t>QICON01</t>
  </si>
  <si>
    <t>Icon 25 EC (NDK) 10 X 1 ltr</t>
  </si>
  <si>
    <t>QIMAR01</t>
  </si>
  <si>
    <t>QIMPE02</t>
  </si>
  <si>
    <t>Impetus 10-6-25 + MgO + B2O3 10 X 5 kg</t>
  </si>
  <si>
    <t>QINDA01</t>
  </si>
  <si>
    <t>QINDA02</t>
  </si>
  <si>
    <t>QINDO01</t>
  </si>
  <si>
    <t>Indohipo 500 SL 40 X 250 ml</t>
  </si>
  <si>
    <t>QINDO02</t>
  </si>
  <si>
    <t>Indohipo 500 SL 20 X 500 ml</t>
  </si>
  <si>
    <t>QINDO03</t>
  </si>
  <si>
    <t>Indohipo 500 SL 15 X 1 ltr</t>
  </si>
  <si>
    <t>QINFI01</t>
  </si>
  <si>
    <t>QINFI02</t>
  </si>
  <si>
    <t>Infinito 687.5 SC 40 X 250 ml</t>
  </si>
  <si>
    <t>QINOV01</t>
  </si>
  <si>
    <t>QINSU02</t>
  </si>
  <si>
    <t>Insure Max 510 FS 200 ltr</t>
  </si>
  <si>
    <t>QINTE01</t>
  </si>
  <si>
    <t>Integrate 40 WG 20 X 50 gr</t>
  </si>
  <si>
    <t>QITTO01</t>
  </si>
  <si>
    <t>QJAGA01</t>
  </si>
  <si>
    <t>QJAGU01</t>
  </si>
  <si>
    <t>Jagung Bisi 12 6 X 3 X 1 kg</t>
  </si>
  <si>
    <t>QJAGU02</t>
  </si>
  <si>
    <t>Jagung Bisi 16 20 x 1 kg</t>
  </si>
  <si>
    <t>QJAGU05</t>
  </si>
  <si>
    <t>QJAGU06</t>
  </si>
  <si>
    <t>QJAGU07</t>
  </si>
  <si>
    <t>QJAGU08</t>
  </si>
  <si>
    <t>QJAGU09</t>
  </si>
  <si>
    <t>QJAGU10</t>
  </si>
  <si>
    <t>QJAGU11</t>
  </si>
  <si>
    <t>QJAGU12</t>
  </si>
  <si>
    <t>Jagung Manis Silo 12 40 X 250 gr</t>
  </si>
  <si>
    <t>QJAGU14</t>
  </si>
  <si>
    <t>QJAGU15</t>
  </si>
  <si>
    <t>QJAGU16</t>
  </si>
  <si>
    <t>QJAGU17</t>
  </si>
  <si>
    <t>QJAGU18</t>
  </si>
  <si>
    <t>QJAGU19</t>
  </si>
  <si>
    <t>Jagung Manis Talenta 40 X 250 gr</t>
  </si>
  <si>
    <t>QJAGU20</t>
  </si>
  <si>
    <t>QJAGU21</t>
  </si>
  <si>
    <t>QJAGU22</t>
  </si>
  <si>
    <t>QJAGU23</t>
  </si>
  <si>
    <t>QJAGU24</t>
  </si>
  <si>
    <t>QJAGU26</t>
  </si>
  <si>
    <t>Jagung Ketan Arumba 40 X 250 gr</t>
  </si>
  <si>
    <t>QJAGU27</t>
  </si>
  <si>
    <t>Jagung Manis Super 40 X 250 gr</t>
  </si>
  <si>
    <t>QJAGU28</t>
  </si>
  <si>
    <t>Jagung Manis Master Sweet 40 X 300 gr</t>
  </si>
  <si>
    <t>QJAGU30</t>
  </si>
  <si>
    <t>Jagung Bisi 226 20 X 1 kg</t>
  </si>
  <si>
    <t>QJAGU31</t>
  </si>
  <si>
    <t>QJAGU32</t>
  </si>
  <si>
    <t>QJAGU33</t>
  </si>
  <si>
    <t>QJAGU34</t>
  </si>
  <si>
    <t>Jagung Manis Bonanza 20 X 200 gr</t>
  </si>
  <si>
    <t>QJAGU35</t>
  </si>
  <si>
    <t>QJAGU36</t>
  </si>
  <si>
    <t>QJAGU37</t>
  </si>
  <si>
    <t>Jagung Pertiwi 2 20 X 1 kg</t>
  </si>
  <si>
    <t>QJAGU38</t>
  </si>
  <si>
    <t>QJAGU39</t>
  </si>
  <si>
    <t>QJAGU40</t>
  </si>
  <si>
    <t>QJAGU42</t>
  </si>
  <si>
    <t>QJAGU45</t>
  </si>
  <si>
    <t>Jagung Manis Glory 40 X 250 gr</t>
  </si>
  <si>
    <t>QJAGU46</t>
  </si>
  <si>
    <t>Jagung Manis Sweet Lady 27 40 X 250 gr</t>
  </si>
  <si>
    <t>QJAGU48</t>
  </si>
  <si>
    <t>Jagung NK 007 20 X 1 kg</t>
  </si>
  <si>
    <t>QJAGU49</t>
  </si>
  <si>
    <t>Jagung Bisi 228 4 X 5 kg</t>
  </si>
  <si>
    <t>QJAGU50</t>
  </si>
  <si>
    <t>QJAGU51</t>
  </si>
  <si>
    <t>QJAGU52</t>
  </si>
  <si>
    <t>Jagung Pertiwi 5 20 X 1 kg</t>
  </si>
  <si>
    <t>QJAGU53</t>
  </si>
  <si>
    <t>QJAGU54</t>
  </si>
  <si>
    <t>QJAGU57</t>
  </si>
  <si>
    <t>QJAGU59</t>
  </si>
  <si>
    <t>Jagung Bisi 18 4 X 1 Paket + PAG Kecil</t>
  </si>
  <si>
    <t>QJAGU60</t>
  </si>
  <si>
    <t>Jagung Bisi 2 4 X 1 Paket + PAG Kecil</t>
  </si>
  <si>
    <t>QJAGU61</t>
  </si>
  <si>
    <t>Jagung Bisi 99 4 X 1 Paket + PAG Kecil</t>
  </si>
  <si>
    <t>QJAGU65</t>
  </si>
  <si>
    <t>Jagung NK 6172 20 X 1 kg</t>
  </si>
  <si>
    <t>QJAGU66</t>
  </si>
  <si>
    <t>Jagung PAC 789 20 X 1 kg</t>
  </si>
  <si>
    <t>QJAGU69</t>
  </si>
  <si>
    <t>Jagung P21 Bison 20 X 1 kg</t>
  </si>
  <si>
    <t>QJAGU71</t>
  </si>
  <si>
    <t>Jagung P40 Famili 20 X 1 kg</t>
  </si>
  <si>
    <t>QJAGU73</t>
  </si>
  <si>
    <t>QJAGU75</t>
  </si>
  <si>
    <t>QJAGU77</t>
  </si>
  <si>
    <t>Jagung Pulut Lilac 22 F1 15 X 250 gr</t>
  </si>
  <si>
    <t>QJAGU80</t>
  </si>
  <si>
    <t>Jagung Hibrida Betras 9 20 X 1 kg</t>
  </si>
  <si>
    <t>QJAGU81</t>
  </si>
  <si>
    <t>Jagung Manis Panglima 40 X 1750 seed</t>
  </si>
  <si>
    <t>QJAGU82</t>
  </si>
  <si>
    <t>Jagung NK 212 10 X 2 kg</t>
  </si>
  <si>
    <t>QJAGU83</t>
  </si>
  <si>
    <t>Jagung NK 7328 10 X 2 kg</t>
  </si>
  <si>
    <t>QJAGU84</t>
  </si>
  <si>
    <t>Jagung DK 95R 20 X 1 kg</t>
  </si>
  <si>
    <t>QJAGU85</t>
  </si>
  <si>
    <t>Jagung ADV Jago 20 X 1 kg</t>
  </si>
  <si>
    <t>QJAGU87</t>
  </si>
  <si>
    <t>Jagung NK 212 BTGT 20 X 1 kg</t>
  </si>
  <si>
    <t>QJAGU88</t>
  </si>
  <si>
    <t>Jagung Manis Golden Boy 10 X 1 kg</t>
  </si>
  <si>
    <t>QJAPR01</t>
  </si>
  <si>
    <t>QJAPR02</t>
  </si>
  <si>
    <t>QJAPR03</t>
  </si>
  <si>
    <t>QJAPR05</t>
  </si>
  <si>
    <t>QJATR01</t>
  </si>
  <si>
    <t>QJATR02</t>
  </si>
  <si>
    <t>QJATR03</t>
  </si>
  <si>
    <t>QJATR04</t>
  </si>
  <si>
    <t>Jatrax 380 SC 16 X 500 ml</t>
  </si>
  <si>
    <t>QJATR05</t>
  </si>
  <si>
    <t>Jatrax 380 SC 15 X 250 ml</t>
  </si>
  <si>
    <t>QJERA01</t>
  </si>
  <si>
    <t>QJERS01</t>
  </si>
  <si>
    <t>QJOKE01</t>
  </si>
  <si>
    <t>QJONU01</t>
  </si>
  <si>
    <t>QJONU02</t>
  </si>
  <si>
    <t>QJONU03</t>
  </si>
  <si>
    <t>Jon Up 485 SL 200 ltr</t>
  </si>
  <si>
    <t>QJONU04</t>
  </si>
  <si>
    <t>Jon Up 480 SL 4 X 5 ltr</t>
  </si>
  <si>
    <t>QJOSS01</t>
  </si>
  <si>
    <t>Jossxone 135 SL 20 X 1 ltr</t>
  </si>
  <si>
    <t>QJOSS02</t>
  </si>
  <si>
    <t>Jossxone 135 SL 20 ltr</t>
  </si>
  <si>
    <t>QJOSS03</t>
  </si>
  <si>
    <t>Jossxone 135 SL 4 X 5 ltr</t>
  </si>
  <si>
    <t>QKACA01</t>
  </si>
  <si>
    <t>QKACA02</t>
  </si>
  <si>
    <t>QKACA03</t>
  </si>
  <si>
    <t>QKACA04</t>
  </si>
  <si>
    <t>Kac. Panj. KPK 30 x 500 gr</t>
  </si>
  <si>
    <t>QKACA05</t>
  </si>
  <si>
    <t>QKACA06</t>
  </si>
  <si>
    <t>Kac. Panj. Panzer 30 X 500 gr</t>
  </si>
  <si>
    <t>QKACA07</t>
  </si>
  <si>
    <t>Kac. Panj. Persada 355 40 X 500 gr</t>
  </si>
  <si>
    <t>QKACA08</t>
  </si>
  <si>
    <t>Kac. Panj. Puspita 06 40 X 500 gr</t>
  </si>
  <si>
    <t>QKACA09</t>
  </si>
  <si>
    <t>Kac. Panj. Puspita 06 20 X 6 X 50 gr</t>
  </si>
  <si>
    <t>QKACA10</t>
  </si>
  <si>
    <t>QKACA11</t>
  </si>
  <si>
    <t>Kac. Panj. Persada 355 20 X 6 X 50 gr</t>
  </si>
  <si>
    <t>QKACA12</t>
  </si>
  <si>
    <t>Kac. Panj. Maraton 40 X 500 gr</t>
  </si>
  <si>
    <t>QKACA13</t>
  </si>
  <si>
    <t>Kac. Panj. Maraton 20 X 6 X 50 gr</t>
  </si>
  <si>
    <t>QKACA14</t>
  </si>
  <si>
    <t>Kac. Panj. Katrina 1 kg</t>
  </si>
  <si>
    <t>QKACA15</t>
  </si>
  <si>
    <t>QKACA16</t>
  </si>
  <si>
    <t>Kac. Panj. Pertiwi 40 X 500 gr</t>
  </si>
  <si>
    <t>QKACA17</t>
  </si>
  <si>
    <t>QKALE01</t>
  </si>
  <si>
    <t>Kalender Dinding 2023</t>
  </si>
  <si>
    <t>QKALE02</t>
  </si>
  <si>
    <t>Kalender Duduk 2023</t>
  </si>
  <si>
    <t>QKALI02</t>
  </si>
  <si>
    <t>QKALI04</t>
  </si>
  <si>
    <t>QKALI06</t>
  </si>
  <si>
    <t>QKALI07</t>
  </si>
  <si>
    <t>QKALI08</t>
  </si>
  <si>
    <t>QKANG01</t>
  </si>
  <si>
    <t>Kangkung Bamboo 20 X 1 kg</t>
  </si>
  <si>
    <t>QKANG02</t>
  </si>
  <si>
    <t>QKANG03</t>
  </si>
  <si>
    <t>QKANG04</t>
  </si>
  <si>
    <t>QKANG05</t>
  </si>
  <si>
    <t>Kangkung Pingky 20 X 1 kg</t>
  </si>
  <si>
    <t>QKANG06</t>
  </si>
  <si>
    <t>Kangkung Amanda 10 X 50 gr</t>
  </si>
  <si>
    <t>QKANG08</t>
  </si>
  <si>
    <t>Kangkung Amanda 20 X 1 kg</t>
  </si>
  <si>
    <t>QKANG09</t>
  </si>
  <si>
    <t>Kangkung Dampit 90 X 100 gr</t>
  </si>
  <si>
    <t>QKANM01</t>
  </si>
  <si>
    <t>Kanmulus 80 WP 20 X 1 kg</t>
  </si>
  <si>
    <t>QKANO01</t>
  </si>
  <si>
    <t>QKANO02</t>
  </si>
  <si>
    <t>QKAOS01</t>
  </si>
  <si>
    <t>Kaos Jersey MIA</t>
  </si>
  <si>
    <t>QKAOS02</t>
  </si>
  <si>
    <t>Kaos Piraklo</t>
  </si>
  <si>
    <t>QKAOS04</t>
  </si>
  <si>
    <t>Kaos Oblong Associate</t>
  </si>
  <si>
    <t>QKAOS05</t>
  </si>
  <si>
    <t>Kaos Oblong Sehati Dilan</t>
  </si>
  <si>
    <t>QKAOS06</t>
  </si>
  <si>
    <t>Kaos Oblong Sehati</t>
  </si>
  <si>
    <t>QKAOS07</t>
  </si>
  <si>
    <t>Kaos Polo Shirt Karisma Dekalb</t>
  </si>
  <si>
    <t>QKARD01</t>
  </si>
  <si>
    <t>Kardan 50 SP 80 X 100 gr</t>
  </si>
  <si>
    <t>QKARD02</t>
  </si>
  <si>
    <t>Kardus Parcel Kecil</t>
  </si>
  <si>
    <t>QKARD03</t>
  </si>
  <si>
    <t>Kardus Parcel Besar</t>
  </si>
  <si>
    <t>QKARD04</t>
  </si>
  <si>
    <t>Kardan 50 SP 100 X 100 gr</t>
  </si>
  <si>
    <t>QKARI01</t>
  </si>
  <si>
    <t>QKARI02</t>
  </si>
  <si>
    <t>QKARI03</t>
  </si>
  <si>
    <t>QKARI04</t>
  </si>
  <si>
    <t>QKARI05</t>
  </si>
  <si>
    <t>QKARI06</t>
  </si>
  <si>
    <t>QKARI08</t>
  </si>
  <si>
    <t>QKARI10</t>
  </si>
  <si>
    <t>Karimazu 590 EC 40 X 250 ml (Protego)</t>
  </si>
  <si>
    <t>QKARI11</t>
  </si>
  <si>
    <t>QKARI12</t>
  </si>
  <si>
    <t>QKARI14</t>
  </si>
  <si>
    <t>QKATA01</t>
  </si>
  <si>
    <t>QKATA02</t>
  </si>
  <si>
    <t>QKAYA01</t>
  </si>
  <si>
    <t>Kayaris 555 SC 10 X 1 ltr</t>
  </si>
  <si>
    <t>QKAYA02</t>
  </si>
  <si>
    <t>QKAYA03</t>
  </si>
  <si>
    <t>QKAYA04</t>
  </si>
  <si>
    <t>QKCLK01</t>
  </si>
  <si>
    <t>QKCLP01</t>
  </si>
  <si>
    <t>QKCLW01</t>
  </si>
  <si>
    <t>KCL Wonder STM 30 X 500 ml</t>
  </si>
  <si>
    <t>QKCLW02</t>
  </si>
  <si>
    <t>KCL Wonder STM 12 X 1 ltr</t>
  </si>
  <si>
    <t>QKELO01</t>
  </si>
  <si>
    <t>Kelonil 75 WP 20 X 500 gr</t>
  </si>
  <si>
    <t>QKELP02</t>
  </si>
  <si>
    <t>QKENF01</t>
  </si>
  <si>
    <t>QKENM04</t>
  </si>
  <si>
    <t>Kenmectin 39 EC 100 X 100 ml</t>
  </si>
  <si>
    <t>QKERI01</t>
  </si>
  <si>
    <t>Kering 300 SL 20 X 1 ltr</t>
  </si>
  <si>
    <t>QKERI02</t>
  </si>
  <si>
    <t>Kering 300 SL 4 X 5 ltr</t>
  </si>
  <si>
    <t>QKERI03</t>
  </si>
  <si>
    <t>Kering 300 SL 20 ltr</t>
  </si>
  <si>
    <t>QKETA01</t>
  </si>
  <si>
    <t>QKETA02</t>
  </si>
  <si>
    <t>QKETA03</t>
  </si>
  <si>
    <t>QKICK02</t>
  </si>
  <si>
    <t>QKICK03</t>
  </si>
  <si>
    <t>QKIMI01</t>
  </si>
  <si>
    <t>QKLEE01</t>
  </si>
  <si>
    <t>QKLER01</t>
  </si>
  <si>
    <t>Klerat RMB 50 ppm 10 X 1 Kg</t>
  </si>
  <si>
    <t>QKLER02</t>
  </si>
  <si>
    <t>Klerat RMB 50 ppm 4 X 5 kg</t>
  </si>
  <si>
    <t>QKLER03</t>
  </si>
  <si>
    <t>Klerat RMB 50 ppm 40 X 150 gr</t>
  </si>
  <si>
    <t>QKLOO01</t>
  </si>
  <si>
    <t>QKLOO02</t>
  </si>
  <si>
    <t>QKLOO03</t>
  </si>
  <si>
    <t>Kloopir 666 EC 20 X 1 ltr</t>
  </si>
  <si>
    <t>QKLOR01</t>
  </si>
  <si>
    <t>Klorelle 585 EC 20 X 400 ml</t>
  </si>
  <si>
    <t>QKNO302</t>
  </si>
  <si>
    <t>QKNO304</t>
  </si>
  <si>
    <t>QKNO305</t>
  </si>
  <si>
    <t>QKNO306</t>
  </si>
  <si>
    <t>QKNO307</t>
  </si>
  <si>
    <t>KNO3 Putih P Tani 30 X 1 kg</t>
  </si>
  <si>
    <t>QKNO308</t>
  </si>
  <si>
    <t>KNO3 Merah P Tani 30 X 1 kg</t>
  </si>
  <si>
    <t>QKNO309</t>
  </si>
  <si>
    <t>QKNO310</t>
  </si>
  <si>
    <t>KNO3 Putih Prill 12 X 2 kg</t>
  </si>
  <si>
    <t>QKNOC01</t>
  </si>
  <si>
    <t>QKNOC04</t>
  </si>
  <si>
    <t>QKOCI01</t>
  </si>
  <si>
    <t>QKOMO01</t>
  </si>
  <si>
    <t>Komodor 300/100 AS 4 X 5 ltr</t>
  </si>
  <si>
    <t>QKONS03</t>
  </si>
  <si>
    <t>QKOVI01</t>
  </si>
  <si>
    <t>Kovinplus 80 P 1000 x 15 gr</t>
  </si>
  <si>
    <t>QKOVI02</t>
  </si>
  <si>
    <t>Kovinplus 80 P 100 X 100 gr</t>
  </si>
  <si>
    <t>QKOVI03</t>
  </si>
  <si>
    <t>Kovinplus 80 P 25 kg</t>
  </si>
  <si>
    <t>QKOVI04</t>
  </si>
  <si>
    <t>QKRAN03</t>
  </si>
  <si>
    <t>Kran Yoto 5L</t>
  </si>
  <si>
    <t>QKRES03</t>
  </si>
  <si>
    <t>QKRES04</t>
  </si>
  <si>
    <t>Kresnatop 500 SC 16 X 1 ltr</t>
  </si>
  <si>
    <t>QKSPL01</t>
  </si>
  <si>
    <t>KS Plus 20 X 1 kg</t>
  </si>
  <si>
    <t>QKSPT01</t>
  </si>
  <si>
    <t>QKUBI01</t>
  </si>
  <si>
    <t>Kubis Grand 22-20 X 12 X 15 gr</t>
  </si>
  <si>
    <t>QKUBI03</t>
  </si>
  <si>
    <t>QKUBI04</t>
  </si>
  <si>
    <t>Kubis Silvia 6 X 15 X 10 gr</t>
  </si>
  <si>
    <t>QKUBI05</t>
  </si>
  <si>
    <t>QKUBI06</t>
  </si>
  <si>
    <t>Kubis Top Green 20 X 12 X 15  gr</t>
  </si>
  <si>
    <t>QKUBI08</t>
  </si>
  <si>
    <t>Kubis Kubindo 20 X 12 X 15 gr</t>
  </si>
  <si>
    <t>QKUBI09</t>
  </si>
  <si>
    <t>Kubis Green Nova 100 X 10 X 20 ml (tidak dipakai)</t>
  </si>
  <si>
    <t>QKUBI12</t>
  </si>
  <si>
    <t>QKUBI13</t>
  </si>
  <si>
    <t>Kubis Kubindo 099 20 X 12 X 15 gr</t>
  </si>
  <si>
    <t>QKUBI14</t>
  </si>
  <si>
    <t>Kubis Montana 20 X 12 X 15 gr</t>
  </si>
  <si>
    <t>QKUBI15</t>
  </si>
  <si>
    <t>Kubis Green Luna 10 X 20 ml</t>
  </si>
  <si>
    <t>QKUBI17</t>
  </si>
  <si>
    <t>Kubis Yokohama CR 20 X 12 X 10 gr</t>
  </si>
  <si>
    <t>QKUBI18</t>
  </si>
  <si>
    <t>Kubis Montana 20 X 12 X 20 gr</t>
  </si>
  <si>
    <t>QKUBI19</t>
  </si>
  <si>
    <t>Kubis Montana 20 X 4 X 120 gr</t>
  </si>
  <si>
    <t>QKUBI20</t>
  </si>
  <si>
    <t>Kubis Grand 33-20 X 12 X 15 gr</t>
  </si>
  <si>
    <t>QLABU01</t>
  </si>
  <si>
    <t>QLABU02</t>
  </si>
  <si>
    <t>Labu Samina 12 X 15 X 10 gr</t>
  </si>
  <si>
    <t>QLABU03</t>
  </si>
  <si>
    <t>Labu Almond F1 12 X 15 X 10 gr</t>
  </si>
  <si>
    <t>QLANG01</t>
  </si>
  <si>
    <t>QLANG02</t>
  </si>
  <si>
    <t>QLANG03</t>
  </si>
  <si>
    <t>QLANG04</t>
  </si>
  <si>
    <t>QLANG05</t>
  </si>
  <si>
    <t>QLANI01</t>
  </si>
  <si>
    <t>QLANN01</t>
  </si>
  <si>
    <t>QLANN02</t>
  </si>
  <si>
    <t>QLANN03</t>
  </si>
  <si>
    <t>QLANN04</t>
  </si>
  <si>
    <t>QLANN05</t>
  </si>
  <si>
    <t>QLANN06</t>
  </si>
  <si>
    <t>QLANN07</t>
  </si>
  <si>
    <t>QLARV01</t>
  </si>
  <si>
    <t>QLARV02</t>
  </si>
  <si>
    <t>QLARV03</t>
  </si>
  <si>
    <t>QLARV04</t>
  </si>
  <si>
    <t>QLAST01</t>
  </si>
  <si>
    <t>QLAST02</t>
  </si>
  <si>
    <t>QLAST03</t>
  </si>
  <si>
    <t>QLAST04</t>
  </si>
  <si>
    <t>QLEBA01</t>
  </si>
  <si>
    <t>QLEBA02</t>
  </si>
  <si>
    <t>Lebaycid 500 EC 20 X 500 ml</t>
  </si>
  <si>
    <t>QLEDS01</t>
  </si>
  <si>
    <t>LED Samsung 32"</t>
  </si>
  <si>
    <t>QLESE01</t>
  </si>
  <si>
    <t>Lesenta 80 WG 100 X 100 gr</t>
  </si>
  <si>
    <t>QLICR01</t>
  </si>
  <si>
    <t>QLICR02</t>
  </si>
  <si>
    <t>QLIND01</t>
  </si>
  <si>
    <t>QLIND02</t>
  </si>
  <si>
    <t>QLITO01</t>
  </si>
  <si>
    <t>Litop 200 SL 20 X 1 ltr</t>
  </si>
  <si>
    <t>QLIVA01</t>
  </si>
  <si>
    <t>QLIVA02</t>
  </si>
  <si>
    <t>QLIVA03</t>
  </si>
  <si>
    <t>QLOGA02</t>
  </si>
  <si>
    <t>QLOGA04</t>
  </si>
  <si>
    <t>QLOGA05</t>
  </si>
  <si>
    <t>QLOGA06</t>
  </si>
  <si>
    <t>QLOGR01</t>
  </si>
  <si>
    <t>QLONG01</t>
  </si>
  <si>
    <t>QLUNA01</t>
  </si>
  <si>
    <t>Luna Smart 250/250 SC 100 X 50 ml</t>
  </si>
  <si>
    <t>QLUNA02</t>
  </si>
  <si>
    <t>Luna Smart 250/250 SC 100 X 100 ml</t>
  </si>
  <si>
    <t>QMACE02</t>
  </si>
  <si>
    <t>QMACO01</t>
  </si>
  <si>
    <t>Macoban 80 WP 10 X 1 kg</t>
  </si>
  <si>
    <t>QMACO02</t>
  </si>
  <si>
    <t>Macoban Blue 80 WP 10 X 1 kg</t>
  </si>
  <si>
    <t>QMAGN01</t>
  </si>
  <si>
    <t>Magnesium Sulfate 20 X 1 kg</t>
  </si>
  <si>
    <t>QMAMI01</t>
  </si>
  <si>
    <t>Mamigro B/K 20 X 1 kg</t>
  </si>
  <si>
    <t>QMAMI02</t>
  </si>
  <si>
    <t>Mamigro M/B 20 X 1 kg</t>
  </si>
  <si>
    <t>QMAMI05</t>
  </si>
  <si>
    <t>QMANC01</t>
  </si>
  <si>
    <t>QMAND04</t>
  </si>
  <si>
    <t>QMAND05</t>
  </si>
  <si>
    <t>QMAND06</t>
  </si>
  <si>
    <t>QMANG01</t>
  </si>
  <si>
    <t>QMANG02</t>
  </si>
  <si>
    <t>QMANG03</t>
  </si>
  <si>
    <t>Mangkok Getah N12 400 ml 1 x 500 pcs</t>
  </si>
  <si>
    <t>QMANI01</t>
  </si>
  <si>
    <t>QMANI02</t>
  </si>
  <si>
    <t>Manisa 12 X 15 X 10 gr</t>
  </si>
  <si>
    <t>QMANI03</t>
  </si>
  <si>
    <t>QMANT01</t>
  </si>
  <si>
    <t>Mantracol 70 WP 50 X 200 gr</t>
  </si>
  <si>
    <t>QMANT02</t>
  </si>
  <si>
    <t>Mantracol 70 WP 16 X 500 gr</t>
  </si>
  <si>
    <t>QMARB01</t>
  </si>
  <si>
    <t>QMARB02</t>
  </si>
  <si>
    <t>Marbofid 2 WP 60 X 100 gr</t>
  </si>
  <si>
    <t>QMARC01</t>
  </si>
  <si>
    <t>Marcis 25 EC 20 X 300 ml</t>
  </si>
  <si>
    <t>QMARX01</t>
  </si>
  <si>
    <t>Marxone 300 SL 20 X 1 ltr</t>
  </si>
  <si>
    <t>QMASH01</t>
  </si>
  <si>
    <t>Mashitam @50 kg</t>
  </si>
  <si>
    <t>QMAST01</t>
  </si>
  <si>
    <t>QMATA01</t>
  </si>
  <si>
    <t>QMATR01</t>
  </si>
  <si>
    <t>Matrix 200 EC 20 X 500 ml</t>
  </si>
  <si>
    <t>QMAXI01</t>
  </si>
  <si>
    <t>QMAXI02</t>
  </si>
  <si>
    <t>Maxima 68 WP 50 X 100 gr</t>
  </si>
  <si>
    <t>QMAXX01</t>
  </si>
  <si>
    <t>Maxxquat 135 SL 20 X 1 ltr</t>
  </si>
  <si>
    <t>QMAXX02</t>
  </si>
  <si>
    <t>Maxxquat 135 SL 4 X 5 ltr</t>
  </si>
  <si>
    <t>QMAXX03</t>
  </si>
  <si>
    <t>Maxxquat 135 SL 20 ltr</t>
  </si>
  <si>
    <t>QMEGA02</t>
  </si>
  <si>
    <t>Megathane Kombo 72 WP 25 X 400 gr</t>
  </si>
  <si>
    <t>QMEGA03</t>
  </si>
  <si>
    <t>QMEGA04</t>
  </si>
  <si>
    <t>QMEGA05</t>
  </si>
  <si>
    <t>QMEGA06</t>
  </si>
  <si>
    <t>QMEGA07</t>
  </si>
  <si>
    <t>QMEGA08</t>
  </si>
  <si>
    <t>QMELO01</t>
  </si>
  <si>
    <t>QMELO02</t>
  </si>
  <si>
    <t>QMELO03</t>
  </si>
  <si>
    <t>QMELO04</t>
  </si>
  <si>
    <t>QMELO05</t>
  </si>
  <si>
    <t>Melon Koloni 20 X 12 X 550 biji</t>
  </si>
  <si>
    <t>QMELO06</t>
  </si>
  <si>
    <t>QMELO07</t>
  </si>
  <si>
    <t>Melon Glamour/Sakata 25 X 10 X 100 seed</t>
  </si>
  <si>
    <t>QMELO08</t>
  </si>
  <si>
    <t>QMELO09</t>
  </si>
  <si>
    <t>QMELO10</t>
  </si>
  <si>
    <t>QMELO11</t>
  </si>
  <si>
    <t>Melon Jumbo F1 12 X 10 X 20 gr</t>
  </si>
  <si>
    <t>QMELO12</t>
  </si>
  <si>
    <t>Melon Action 88 20 X 6 X 45 gr</t>
  </si>
  <si>
    <t>QMELO13</t>
  </si>
  <si>
    <t>Melon Leoni F1 12 X 10 X 20 gr</t>
  </si>
  <si>
    <t>QMELO14</t>
  </si>
  <si>
    <t>Melon Merlin F1 12 X 10 X 20 gr</t>
  </si>
  <si>
    <t>QMELO15</t>
  </si>
  <si>
    <t>Melon Action Orange 20 X 12 X 10 gr</t>
  </si>
  <si>
    <t>QMELO16</t>
  </si>
  <si>
    <t>Melon Leoni MH F1 12 X 10 X 20 gr</t>
  </si>
  <si>
    <t>QMELO17</t>
  </si>
  <si>
    <t>QMELO18</t>
  </si>
  <si>
    <t>QMELO19</t>
  </si>
  <si>
    <t>Melon Action 434 10 X 20 X 12.5 gr</t>
  </si>
  <si>
    <t>QMELO21</t>
  </si>
  <si>
    <t>Melon Action 88 20 X 10 X 12.5 gr</t>
  </si>
  <si>
    <t>QMELO22</t>
  </si>
  <si>
    <t>Melon Amanda 20 X 10 X 13 gr</t>
  </si>
  <si>
    <t>QMELO23</t>
  </si>
  <si>
    <t>QMELO24</t>
  </si>
  <si>
    <t>Melon Amanda 20 X 10 X 13 gr + Trichoplus</t>
  </si>
  <si>
    <t>QMEOT01</t>
  </si>
  <si>
    <t>QMEOT02</t>
  </si>
  <si>
    <t>QMESI01</t>
  </si>
  <si>
    <t>QMESI02</t>
  </si>
  <si>
    <t>QMESI03</t>
  </si>
  <si>
    <t>Mesin Inject Pupuk Flow 1 Nozzle</t>
  </si>
  <si>
    <t>QMETA01</t>
  </si>
  <si>
    <t>Metasystox 250 EC 40 x 250 ml</t>
  </si>
  <si>
    <t>QMETA02</t>
  </si>
  <si>
    <t>QMETA05</t>
  </si>
  <si>
    <t>QMETA06</t>
  </si>
  <si>
    <t>QMETA08</t>
  </si>
  <si>
    <t>QMETA10</t>
  </si>
  <si>
    <t>Metaben 20 WG 5 gr</t>
  </si>
  <si>
    <t>QMETI02</t>
  </si>
  <si>
    <t>QMETI04</t>
  </si>
  <si>
    <t>QMETI05</t>
  </si>
  <si>
    <t>QMETI08</t>
  </si>
  <si>
    <t>QMETI09</t>
  </si>
  <si>
    <t>QMETR01</t>
  </si>
  <si>
    <t>Metromil 50 SP 40 X 500 gr</t>
  </si>
  <si>
    <t>QMETR02</t>
  </si>
  <si>
    <t>Metromil 50 SP 100 X 100 gr</t>
  </si>
  <si>
    <t>QMETR03</t>
  </si>
  <si>
    <t>Metromil 50 SP 20 x 1 kg</t>
  </si>
  <si>
    <t>QMETS02</t>
  </si>
  <si>
    <t>Metsul 24 WP 20 X 20 X 5 gr</t>
  </si>
  <si>
    <t>QMETS03</t>
  </si>
  <si>
    <t>Metsul 24 WP 16 X 50 X 5 gr</t>
  </si>
  <si>
    <t>QMETS04</t>
  </si>
  <si>
    <t>QMETS05</t>
  </si>
  <si>
    <t>QMETS06</t>
  </si>
  <si>
    <t>QMETS07</t>
  </si>
  <si>
    <t>QMEXD01</t>
  </si>
  <si>
    <t>QMEXD03</t>
  </si>
  <si>
    <t>QMEXD04</t>
  </si>
  <si>
    <t>QMEXD08</t>
  </si>
  <si>
    <t>Mexdone 36 EC 20 X 1 ltr (Logo CAI)</t>
  </si>
  <si>
    <t>QMEXD09</t>
  </si>
  <si>
    <t>Mexdone 36 EC 20 X 500 ml (Logo CAI)</t>
  </si>
  <si>
    <t>QMEXD10</t>
  </si>
  <si>
    <t>Mexdone 36 EC 40 X 200 ml (Logo CAI)</t>
  </si>
  <si>
    <t>QMEXD11</t>
  </si>
  <si>
    <t>Mexdone 36 EC 20 X 1 ltr (Logo Protego)</t>
  </si>
  <si>
    <t>QMEXD12</t>
  </si>
  <si>
    <t>Mexdone 36 EC 20 X 500 ml (Logo Protego)</t>
  </si>
  <si>
    <t>QMEXD13</t>
  </si>
  <si>
    <t>Mexdone 36 EC 40 X 200 ml (Logo Protego)</t>
  </si>
  <si>
    <t>QMEXD14</t>
  </si>
  <si>
    <t>Mexdone 36 EC 50 X 100 ml (Logo Protego)</t>
  </si>
  <si>
    <t>QMEXD15</t>
  </si>
  <si>
    <t>Mexdone 36 EC 50 X 50 ml (Logo Protego)</t>
  </si>
  <si>
    <t>QMIKR01</t>
  </si>
  <si>
    <t>Mikrotan Karet Super 5 X 4 kg</t>
  </si>
  <si>
    <t>QMIKR02</t>
  </si>
  <si>
    <t>Mikrosil Sawit Super 4 X 5 kg</t>
  </si>
  <si>
    <t>QMIPC01</t>
  </si>
  <si>
    <t>QMIPC04</t>
  </si>
  <si>
    <t>Mipcindo 50 WP 20 X 500 gr</t>
  </si>
  <si>
    <t>QMIRA01</t>
  </si>
  <si>
    <t>Miramar 40 SP 100 X 100 gr</t>
  </si>
  <si>
    <t>QMIRA02</t>
  </si>
  <si>
    <t>Miramar 40 SP 25 X 400 gr</t>
  </si>
  <si>
    <t>QMITI01</t>
  </si>
  <si>
    <t>Mitisun 570 EC 50 X 100 ml</t>
  </si>
  <si>
    <t>QMITR01</t>
  </si>
  <si>
    <t>Mitrafos 400 SL 20 X 500 ml</t>
  </si>
  <si>
    <t>QMITR02</t>
  </si>
  <si>
    <t>Mitrafos 400 SL 15 X 1 ltr</t>
  </si>
  <si>
    <t>QMITR03</t>
  </si>
  <si>
    <t>Mitra Flora 10 X 1 ltr</t>
  </si>
  <si>
    <t>QMKFO01</t>
  </si>
  <si>
    <t>MK FOS 20 X 1 kg</t>
  </si>
  <si>
    <t>QMOME01</t>
  </si>
  <si>
    <t>Momento 20 WP 10 X 20 X 5 gr</t>
  </si>
  <si>
    <t>QMONE02</t>
  </si>
  <si>
    <t>QMONE04</t>
  </si>
  <si>
    <t>QMONE08</t>
  </si>
  <si>
    <t>Money 865 SL 50 X 200 ml</t>
  </si>
  <si>
    <t>QMONK01</t>
  </si>
  <si>
    <t>QMONK02</t>
  </si>
  <si>
    <t>QMONT01</t>
  </si>
  <si>
    <t>QMONT02</t>
  </si>
  <si>
    <t>QMONT03</t>
  </si>
  <si>
    <t>QMOPK01</t>
  </si>
  <si>
    <t>MOP/KCL Mahkota 10 X 5 kg</t>
  </si>
  <si>
    <t>QMOPK02</t>
  </si>
  <si>
    <t>QMOPK03</t>
  </si>
  <si>
    <t>QMOSP01</t>
  </si>
  <si>
    <t>QMOVE01</t>
  </si>
  <si>
    <t>QMOVE02</t>
  </si>
  <si>
    <t>QMOVE03</t>
  </si>
  <si>
    <t>Movento Energy 240 SC 50 X 50 ml</t>
  </si>
  <si>
    <t>QMOXA01</t>
  </si>
  <si>
    <t>QMRKL01</t>
  </si>
  <si>
    <t>Mr. Kleett 50 X 100 ml (M2U)</t>
  </si>
  <si>
    <t>QMUL100</t>
  </si>
  <si>
    <t>QMUL114</t>
  </si>
  <si>
    <t>Mulsa Coboy 70 cm X 1 kg (Roll)</t>
  </si>
  <si>
    <t>QMUL118</t>
  </si>
  <si>
    <t>Mulsa Sadewa Kuning 60 cm X 17 kg (Roll)</t>
  </si>
  <si>
    <t>QMUL119</t>
  </si>
  <si>
    <t>Mulsa Sadewa Kuning 60 cm X 8 kg (Roll)</t>
  </si>
  <si>
    <t>QMUL123</t>
  </si>
  <si>
    <t>QMUL124</t>
  </si>
  <si>
    <t>QMUL127</t>
  </si>
  <si>
    <t>QMULS01</t>
  </si>
  <si>
    <t>QMULS02</t>
  </si>
  <si>
    <t>QMULS03</t>
  </si>
  <si>
    <t>QMULS04</t>
  </si>
  <si>
    <t>QMULS05</t>
  </si>
  <si>
    <t>QMULS06</t>
  </si>
  <si>
    <t>QMULS07</t>
  </si>
  <si>
    <t>QMULS08</t>
  </si>
  <si>
    <t>QMULS09</t>
  </si>
  <si>
    <t>QMULS10</t>
  </si>
  <si>
    <t>QMULS100</t>
  </si>
  <si>
    <t>Mulsa Karisma Q989 50 cm X 17 kg (Roll) Merah</t>
  </si>
  <si>
    <t>QMULS11</t>
  </si>
  <si>
    <t>QMULS12</t>
  </si>
  <si>
    <t>QMULS13</t>
  </si>
  <si>
    <t>QMULS14</t>
  </si>
  <si>
    <t>QMULS15</t>
  </si>
  <si>
    <t>QMULS16</t>
  </si>
  <si>
    <t>QMULS17</t>
  </si>
  <si>
    <t>QMULS18</t>
  </si>
  <si>
    <t>Mulsa Kurma 60 X 18 kg (Roll)</t>
  </si>
  <si>
    <t>QMULS19</t>
  </si>
  <si>
    <t>Mulsa Kurma 60 X 9 kg (Roll)</t>
  </si>
  <si>
    <t>QMULS23</t>
  </si>
  <si>
    <t>QMULS25</t>
  </si>
  <si>
    <t>QMULS26</t>
  </si>
  <si>
    <t>QMULS29</t>
  </si>
  <si>
    <t>QMULS30</t>
  </si>
  <si>
    <t>QMULS33</t>
  </si>
  <si>
    <t>QMULS34</t>
  </si>
  <si>
    <t>QMULS35</t>
  </si>
  <si>
    <t>QMULS36</t>
  </si>
  <si>
    <t>QMULS37</t>
  </si>
  <si>
    <t>QMULS38</t>
  </si>
  <si>
    <t>QMULS40</t>
  </si>
  <si>
    <t>QMULS41</t>
  </si>
  <si>
    <t>QMULS42</t>
  </si>
  <si>
    <t>QMULS43</t>
  </si>
  <si>
    <t>QMULS44</t>
  </si>
  <si>
    <t>QMULS45</t>
  </si>
  <si>
    <t>QMULS46</t>
  </si>
  <si>
    <t>QMULS47</t>
  </si>
  <si>
    <t>QMULS48</t>
  </si>
  <si>
    <t>QMULS50</t>
  </si>
  <si>
    <t>QMULS51</t>
  </si>
  <si>
    <t>QMULS52</t>
  </si>
  <si>
    <t>Mulsa Karisma 80 cm / 10 kg (Roll)</t>
  </si>
  <si>
    <t>QMULS55</t>
  </si>
  <si>
    <t xml:space="preserve">Mulsa Coboy 70 cm X 1 kg </t>
  </si>
  <si>
    <t>QMULS56</t>
  </si>
  <si>
    <t>Mulsa Coboy 75 cm X 1 kg (Roll)</t>
  </si>
  <si>
    <t>QMULS57</t>
  </si>
  <si>
    <t>Mulsa Coboy 80 cm X 1 kg (Roll)</t>
  </si>
  <si>
    <t>QMULS60</t>
  </si>
  <si>
    <t>Mulsa Hitam Perak 60 cm X 1 kg (Roll)</t>
  </si>
  <si>
    <t>QMULS61</t>
  </si>
  <si>
    <t>Mulsa Hitam Perak 70 cm X 1 kg (Roll)</t>
  </si>
  <si>
    <t>QMULS62</t>
  </si>
  <si>
    <t>Mulsa Hitam Perak 80 cm X 1 kg (Roll)</t>
  </si>
  <si>
    <t>QMULS63</t>
  </si>
  <si>
    <t>QMULS64</t>
  </si>
  <si>
    <t>QMULS65</t>
  </si>
  <si>
    <t>Mulsa Coboy 60 cm X 6 kg (Roll)</t>
  </si>
  <si>
    <t>QMULS66</t>
  </si>
  <si>
    <t>QMULS67</t>
  </si>
  <si>
    <t>QMULS68</t>
  </si>
  <si>
    <t>QMULS70</t>
  </si>
  <si>
    <t>QMULS71</t>
  </si>
  <si>
    <t xml:space="preserve">Mulsa HP Petani Sejati 3 X 60 cm X 1 kg </t>
  </si>
  <si>
    <t>QMULS72</t>
  </si>
  <si>
    <t>QMULS73</t>
  </si>
  <si>
    <t>QMULS74</t>
  </si>
  <si>
    <t>QMULS78</t>
  </si>
  <si>
    <t>QMULS79</t>
  </si>
  <si>
    <t>QMULS80</t>
  </si>
  <si>
    <t>QMULS81</t>
  </si>
  <si>
    <t>QMULS87</t>
  </si>
  <si>
    <t>QMULS90</t>
  </si>
  <si>
    <t>QMULS91</t>
  </si>
  <si>
    <t>QMULS92</t>
  </si>
  <si>
    <t>QMULS93</t>
  </si>
  <si>
    <t>Mulsa Petani Sejati 70 cm X 9 kg (Roll)</t>
  </si>
  <si>
    <t>QMULS94</t>
  </si>
  <si>
    <t>Mulsa Sadewa Putih 60 X 15 kg (Roll)</t>
  </si>
  <si>
    <t>QMULS99</t>
  </si>
  <si>
    <t>QMULT01</t>
  </si>
  <si>
    <t>QMULT02</t>
  </si>
  <si>
    <t>Multi KMg 20 X 1 kg</t>
  </si>
  <si>
    <t>QMULT03</t>
  </si>
  <si>
    <t>Multi Padi 20 X 1 kg</t>
  </si>
  <si>
    <t>QMUPX01</t>
  </si>
  <si>
    <t>Mupxone 276 SL 20 X 1 ltr</t>
  </si>
  <si>
    <t>QMUPX02</t>
  </si>
  <si>
    <t>Mupxone 276 SL 4 X 5 ltr</t>
  </si>
  <si>
    <t>QMUPX03</t>
  </si>
  <si>
    <t>Mupxone 276 SL 20 ltr</t>
  </si>
  <si>
    <t>QMUTU02</t>
  </si>
  <si>
    <t>QMUTU03</t>
  </si>
  <si>
    <t>QNAND01</t>
  </si>
  <si>
    <t>QNATI01</t>
  </si>
  <si>
    <t>QNELV01</t>
  </si>
  <si>
    <t>Nelvium 20 X 1 kotak</t>
  </si>
  <si>
    <t>QNEMA01</t>
  </si>
  <si>
    <t>QNEOF01</t>
  </si>
  <si>
    <t>QNEOF02</t>
  </si>
  <si>
    <t>QNEOF03</t>
  </si>
  <si>
    <t>QNEPT01</t>
  </si>
  <si>
    <t>QNEPT02</t>
  </si>
  <si>
    <t>Neptune 25 WP 50 X 100 gr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</si>
  <si>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</si>
  <si>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</si>
  <si>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</si>
  <si>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</si>
  <si>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</si>
  <si>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</si>
  <si>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QNIMR01</t>
  </si>
  <si>
    <t>QNITR01</t>
  </si>
  <si>
    <t>QNITR02</t>
  </si>
  <si>
    <t>QNIXO01</t>
  </si>
  <si>
    <t>Nixon 290 SL 20 X 1 ltr</t>
  </si>
  <si>
    <t>QNIXO02</t>
  </si>
  <si>
    <t>Nixon 290 SL 4 X 5 ltr</t>
  </si>
  <si>
    <t>QNOMI01</t>
  </si>
  <si>
    <t>QNORD01</t>
  </si>
  <si>
    <t>QNORD02</t>
  </si>
  <si>
    <t>QNORD03</t>
  </si>
  <si>
    <t>QNORD04</t>
  </si>
  <si>
    <t>QNOST03</t>
  </si>
  <si>
    <t>QNOVL01</t>
  </si>
  <si>
    <t>Novlect 120 EC 20 X 500 ml</t>
  </si>
  <si>
    <t>QNOWE01</t>
  </si>
  <si>
    <t>QNOWE02</t>
  </si>
  <si>
    <t>QNOXO01</t>
  </si>
  <si>
    <t>QNOXO02</t>
  </si>
  <si>
    <t>Noxone 297 SL 20 X 500 ml</t>
  </si>
  <si>
    <t>QNOXO03</t>
  </si>
  <si>
    <t>Noxone 297 SL 50 X 250 ml</t>
  </si>
  <si>
    <t>QNOXO04</t>
  </si>
  <si>
    <t>Noxone Mix 308 SL 20 X 1 ltr</t>
  </si>
  <si>
    <t>QNOXO05</t>
  </si>
  <si>
    <t>Noxone Mix 308 SL 4 X 5 ltr</t>
  </si>
  <si>
    <t>QNOXO06</t>
  </si>
  <si>
    <t>Noxone Mix 308 SL 20 ltr</t>
  </si>
  <si>
    <t>QNOXO07</t>
  </si>
  <si>
    <t>Noxone 297 SL 20 ltr</t>
  </si>
  <si>
    <t>QNOXO08</t>
  </si>
  <si>
    <t>QNOXO10</t>
  </si>
  <si>
    <t>QNPK101</t>
  </si>
  <si>
    <t>NPK 16.16.16 Biru Pak Tani 20 kg</t>
  </si>
  <si>
    <t>QNPK102</t>
  </si>
  <si>
    <t>NPK 16.16.16 Biru Pak Tani 50 kg</t>
  </si>
  <si>
    <t>QNPK103</t>
  </si>
  <si>
    <t>NPK 16.16.16 Biru Pak Tani 20 X 1 kg</t>
  </si>
  <si>
    <t>QNPK104</t>
  </si>
  <si>
    <t>NPK 16.16.16 Biru Pak Tani 50 X 1 kg</t>
  </si>
  <si>
    <t>QNPK105</t>
  </si>
  <si>
    <t>QNPK106</t>
  </si>
  <si>
    <t>QNPK107</t>
  </si>
  <si>
    <t>QNPK108</t>
  </si>
  <si>
    <t>QNPK109</t>
  </si>
  <si>
    <t>QNPK110</t>
  </si>
  <si>
    <t>QNPK111</t>
  </si>
  <si>
    <t>NPK 15.15.15 Premium 25 X 1 kg</t>
  </si>
  <si>
    <t>QNPK112</t>
  </si>
  <si>
    <t>QNPK113</t>
  </si>
  <si>
    <t>QNPK114</t>
  </si>
  <si>
    <t>QNPK115</t>
  </si>
  <si>
    <t>NPK 16.16.16 Tawon + Baron 20 X 1 kg (tdk terpakai)</t>
  </si>
  <si>
    <t>QNPK116</t>
  </si>
  <si>
    <t>NPK 16.16.16 Tawon + Baron 25 kg (tdk terpakai)</t>
  </si>
  <si>
    <t>QNPK117</t>
  </si>
  <si>
    <t>NPK 16.16.16 Kancil Emas Biru 20 X 1 kg</t>
  </si>
  <si>
    <t>QNPK118</t>
  </si>
  <si>
    <t>NPK 16.16.16 Kancil Emas Bellagio Pink 20 kg</t>
  </si>
  <si>
    <t>QNPK120</t>
  </si>
  <si>
    <t>QNPK121</t>
  </si>
  <si>
    <t>QNPK122</t>
  </si>
  <si>
    <t>QNPK123</t>
  </si>
  <si>
    <t>QNPK124</t>
  </si>
  <si>
    <t>QNPKA01</t>
  </si>
  <si>
    <t>NPK Akasia 11-11-11+TE 25 kg</t>
  </si>
  <si>
    <t>QNPKB01</t>
  </si>
  <si>
    <t>QNPKB02</t>
  </si>
  <si>
    <t>QNPKB03</t>
  </si>
  <si>
    <t>QNPKB04</t>
  </si>
  <si>
    <t>QNPKB06</t>
  </si>
  <si>
    <t>QNPKB07</t>
  </si>
  <si>
    <t>QNPKB08</t>
  </si>
  <si>
    <t>QNPKB09</t>
  </si>
  <si>
    <t>QNPKB10</t>
  </si>
  <si>
    <t>NPK Blaukorn 20-10-10 25 X 1 kg</t>
  </si>
  <si>
    <t>QNPKB11</t>
  </si>
  <si>
    <t>QNPKB12</t>
  </si>
  <si>
    <t>NPK Boost 324 25 kg</t>
  </si>
  <si>
    <t>QNPKC01</t>
  </si>
  <si>
    <t>QNPKC02</t>
  </si>
  <si>
    <t>QNPKC03</t>
  </si>
  <si>
    <t>NPK Cap Tawon 15-15-15 50 kg</t>
  </si>
  <si>
    <t>QNPKC04</t>
  </si>
  <si>
    <t>NPK Cap Tawon 15-15-15 10 kg</t>
  </si>
  <si>
    <t>QNPKC05</t>
  </si>
  <si>
    <t>QNPKC06</t>
  </si>
  <si>
    <t>NPK Cap Tawon 16-16-16 + Boron 25 kg</t>
  </si>
  <si>
    <t>QNPKC07</t>
  </si>
  <si>
    <t>QNPKC08</t>
  </si>
  <si>
    <t>QNPKC09</t>
  </si>
  <si>
    <t>NPK Cap Tawon 16-16-16 + Boron 10 X 5 kg</t>
  </si>
  <si>
    <t>QNPKC10</t>
  </si>
  <si>
    <t>NPK Cap Tawon 16-16-16 25 kg</t>
  </si>
  <si>
    <t>QNPKC11</t>
  </si>
  <si>
    <t>QNPKC12</t>
  </si>
  <si>
    <t>QNPKD01</t>
  </si>
  <si>
    <t>QNPKD02</t>
  </si>
  <si>
    <t>QNPKD03</t>
  </si>
  <si>
    <t>QNPKD04</t>
  </si>
  <si>
    <t>QNPKD05</t>
  </si>
  <si>
    <t>QNPKD06</t>
  </si>
  <si>
    <t>QNPKD07</t>
  </si>
  <si>
    <t>NPK DGW 15-15-15+TE 25 kg</t>
  </si>
  <si>
    <t>QNPKD08</t>
  </si>
  <si>
    <t>QNPKD09</t>
  </si>
  <si>
    <t>NPK Dinar 16-16-16 25 kg</t>
  </si>
  <si>
    <t>QNPKD10</t>
  </si>
  <si>
    <t>QNPKD11</t>
  </si>
  <si>
    <t>NPK DGW Booster 12-6-22+3+TE 25 kg</t>
  </si>
  <si>
    <t>QNPKD17</t>
  </si>
  <si>
    <t>NPK DGW Gold 16-10-18+AN 25 kg</t>
  </si>
  <si>
    <t>QNPKD18</t>
  </si>
  <si>
    <t>NPK DGW Booster 12-6-22+3+TE 24 X 1 kg</t>
  </si>
  <si>
    <t>QNPKL01</t>
  </si>
  <si>
    <t>QNPKM01</t>
  </si>
  <si>
    <t>NPK Mahkota 16.16.16 20 X 1 kg</t>
  </si>
  <si>
    <t>QNPKM02</t>
  </si>
  <si>
    <t>NPK Mahkota 12.12.17.2 50 kg</t>
  </si>
  <si>
    <t>QNPKM03</t>
  </si>
  <si>
    <t>QNPKM04</t>
  </si>
  <si>
    <t>NPK Mahkota 16.16.16 20 kg</t>
  </si>
  <si>
    <t>QNPKM05</t>
  </si>
  <si>
    <t>QNPKM06</t>
  </si>
  <si>
    <t>QNPKM07</t>
  </si>
  <si>
    <t>NPK Mahkota 13.6.27.4+0.65B 50 kg</t>
  </si>
  <si>
    <t>QNPKM09</t>
  </si>
  <si>
    <t>QNPKM10</t>
  </si>
  <si>
    <t>NPK Mahkota 16.16.16 Russia 50 kg</t>
  </si>
  <si>
    <t>QNPKN01</t>
  </si>
  <si>
    <t>QNPKN03</t>
  </si>
  <si>
    <t>QNPKN04</t>
  </si>
  <si>
    <t>QNPKN05</t>
  </si>
  <si>
    <t>QNPKN06</t>
  </si>
  <si>
    <t>QNPKN07</t>
  </si>
  <si>
    <t>QNPKR01</t>
  </si>
  <si>
    <t>QNPKR02</t>
  </si>
  <si>
    <t>QNPKR03</t>
  </si>
  <si>
    <t>QNPKR04</t>
  </si>
  <si>
    <t>QNPKS01</t>
  </si>
  <si>
    <t>NPK Sawit 13-6-27-4+0.65 B 50 kg</t>
  </si>
  <si>
    <t>QNPKS02</t>
  </si>
  <si>
    <t>NPK Sawit 13-6-27-4+0.65 B 50 kg (SADP)</t>
  </si>
  <si>
    <t>QNUCL01</t>
  </si>
  <si>
    <t>QNUCL02</t>
  </si>
  <si>
    <t>QNUCL03</t>
  </si>
  <si>
    <t>QNUCL04</t>
  </si>
  <si>
    <t>QNUFA01</t>
  </si>
  <si>
    <t>Nufaris 240 SL 15 X 1 ltr</t>
  </si>
  <si>
    <t>QNUFA02</t>
  </si>
  <si>
    <t>Nufaris 240 SL 12 X 1 ltr</t>
  </si>
  <si>
    <t>QNUGR01</t>
  </si>
  <si>
    <t>Nugrass 69 EC 50 X 100 ml</t>
  </si>
  <si>
    <t>QNUGR02</t>
  </si>
  <si>
    <t>Nugrass 69 EC 40 X 250 ml</t>
  </si>
  <si>
    <t>QNUME01</t>
  </si>
  <si>
    <t>QNURE01</t>
  </si>
  <si>
    <t>QNURE02</t>
  </si>
  <si>
    <t>QOBAL01</t>
  </si>
  <si>
    <t>Obalolo 865 SL 20 X 400 ml</t>
  </si>
  <si>
    <t>QOBSE01</t>
  </si>
  <si>
    <t>QODEO01</t>
  </si>
  <si>
    <t>QODEO02</t>
  </si>
  <si>
    <t>Odeon 720 SC 20 X 500 ml</t>
  </si>
  <si>
    <t>QONES01</t>
  </si>
  <si>
    <t>QONES02</t>
  </si>
  <si>
    <t>QONES03</t>
  </si>
  <si>
    <t>QONES04</t>
  </si>
  <si>
    <t>QONES05</t>
  </si>
  <si>
    <t>QONEU01</t>
  </si>
  <si>
    <t>QONEU02</t>
  </si>
  <si>
    <t>QOPTI01</t>
  </si>
  <si>
    <t>QOPTI02</t>
  </si>
  <si>
    <t>QOPUS01</t>
  </si>
  <si>
    <t>QORCA03</t>
  </si>
  <si>
    <t>Orca 480 SL 4 X 5 ltr</t>
  </si>
  <si>
    <t>QORCA04</t>
  </si>
  <si>
    <t>Orca 480 SL 200 ltr</t>
  </si>
  <si>
    <t>QORIN01</t>
  </si>
  <si>
    <t>QOSCA01</t>
  </si>
  <si>
    <t>Oscar 25 EC 20 X 500 ml</t>
  </si>
  <si>
    <t>QOSCA02</t>
  </si>
  <si>
    <t>Oscar 25 EC 50 X 80 ml</t>
  </si>
  <si>
    <t>QOSMO01</t>
  </si>
  <si>
    <t>QOSMO02</t>
  </si>
  <si>
    <t>QOXAT01</t>
  </si>
  <si>
    <t>Oxatop 380 SC 100 X 100 ml</t>
  </si>
  <si>
    <t>QOYON02</t>
  </si>
  <si>
    <t>QOYON03</t>
  </si>
  <si>
    <t>Oyong Sasi F1 12 X 15 X 10 gr</t>
  </si>
  <si>
    <t>QOYON04</t>
  </si>
  <si>
    <t>Oyong Ezensa 25 X 3 gr</t>
  </si>
  <si>
    <t>QOYON05</t>
  </si>
  <si>
    <t>Oyong Sasi F1 12 X 15 X 75 seed</t>
  </si>
  <si>
    <t>QOYON06</t>
  </si>
  <si>
    <t>QOYON07</t>
  </si>
  <si>
    <t>QOYON08</t>
  </si>
  <si>
    <t>Oyong Maskur F1 12 X 15 X 10 gr</t>
  </si>
  <si>
    <t>QOYON09</t>
  </si>
  <si>
    <t>Oyong Ezensa Plus 20 X 12 X 10 gr</t>
  </si>
  <si>
    <t>QPADI01</t>
  </si>
  <si>
    <t>Padi Intani 301 - 20 X 1 kg</t>
  </si>
  <si>
    <t>QPADI02</t>
  </si>
  <si>
    <t>QPADI03</t>
  </si>
  <si>
    <t>QPADI04</t>
  </si>
  <si>
    <t>QPADI05</t>
  </si>
  <si>
    <t>QPADI06</t>
  </si>
  <si>
    <t>QPADI07</t>
  </si>
  <si>
    <t>QPADI08</t>
  </si>
  <si>
    <t>QPADI09</t>
  </si>
  <si>
    <t>QPADI10</t>
  </si>
  <si>
    <t>QPADI11</t>
  </si>
  <si>
    <t>QPADI12</t>
  </si>
  <si>
    <t>QPADI13</t>
  </si>
  <si>
    <t>QPADI15</t>
  </si>
  <si>
    <t>QPADI16</t>
  </si>
  <si>
    <t>QPADI17</t>
  </si>
  <si>
    <t>QPADI18</t>
  </si>
  <si>
    <t>QPADI19</t>
  </si>
  <si>
    <t>QPADI20</t>
  </si>
  <si>
    <t>QPADI21</t>
  </si>
  <si>
    <t>QPADI22</t>
  </si>
  <si>
    <t>QPADI23</t>
  </si>
  <si>
    <t>QPADI24</t>
  </si>
  <si>
    <t>QPADI25</t>
  </si>
  <si>
    <t>QPADI26</t>
  </si>
  <si>
    <t>Padi Q-989 Inpari 43 4 X 5 kg</t>
  </si>
  <si>
    <t>QPADI27</t>
  </si>
  <si>
    <t>Padi Janger Cibogo 4 X 5 kg</t>
  </si>
  <si>
    <t>QPADI28</t>
  </si>
  <si>
    <t>Padi Janger Sintanur 4 X 5 kg</t>
  </si>
  <si>
    <t>QPADI29</t>
  </si>
  <si>
    <t>QPADI30</t>
  </si>
  <si>
    <t>Padi Janger Siliwangi 4 X 5 kg</t>
  </si>
  <si>
    <t>QPADI31</t>
  </si>
  <si>
    <t>Padi Q-989 Cakrabuana 4 X 5 kg</t>
  </si>
  <si>
    <t>QPADI32</t>
  </si>
  <si>
    <t>Padi Inpari-32 8 X 5 kg</t>
  </si>
  <si>
    <t>QPADI33</t>
  </si>
  <si>
    <t>Padi Inpari-42 8 X 5 kg</t>
  </si>
  <si>
    <t>QPADI34</t>
  </si>
  <si>
    <t>Padi Q-989 Sunggal 4 X 5 kg</t>
  </si>
  <si>
    <t>QPADI35</t>
  </si>
  <si>
    <t>Padi Janger Inpari-32 4 X 5 kg (tidak dipakai)</t>
  </si>
  <si>
    <t>QPADI36</t>
  </si>
  <si>
    <t>Padi Janger Ciherang 4 X 5 kg (tidak dipakai)</t>
  </si>
  <si>
    <t>QPADI37</t>
  </si>
  <si>
    <t>Padi Q-989 Mantap 4 X 5 kg</t>
  </si>
  <si>
    <t>QPADI38</t>
  </si>
  <si>
    <t>Padi Q-989 Way Apu 4 X 5 kg</t>
  </si>
  <si>
    <t>QPAKE05</t>
  </si>
  <si>
    <t>Paket Anti Gulma 5 X 1 ltr</t>
  </si>
  <si>
    <t>QPAKE06</t>
  </si>
  <si>
    <t>QPAKE12</t>
  </si>
  <si>
    <t xml:space="preserve">Paket Ampuh Ken-Mida 12/50 EC 250 ml + Kenmectin 39 EC 250 ml 24 X 1 paket </t>
  </si>
  <si>
    <t>QPAPA04</t>
  </si>
  <si>
    <t>Papandayan 486 SL 200 ltr</t>
  </si>
  <si>
    <t>QPARA01</t>
  </si>
  <si>
    <t>QPARA03</t>
  </si>
  <si>
    <t>QPARA04</t>
  </si>
  <si>
    <t>QPARA05</t>
  </si>
  <si>
    <t>QPARA07</t>
  </si>
  <si>
    <t>Paraplus 135 SL 20 X 1 ltr</t>
  </si>
  <si>
    <t>QPARE02</t>
  </si>
  <si>
    <t>Pare New Maya 20 X 12 X 10 gr</t>
  </si>
  <si>
    <t>QPARE03</t>
  </si>
  <si>
    <t>Pare Fresty 20 X 15 X 10 gr</t>
  </si>
  <si>
    <t>QPARE04</t>
  </si>
  <si>
    <t>QPARE05</t>
  </si>
  <si>
    <t>Pare Awan 12 X 15 X 10 gr</t>
  </si>
  <si>
    <t>QPARE06</t>
  </si>
  <si>
    <t>Pare Queen 12 F1 20 X 12 X 10 gr</t>
  </si>
  <si>
    <t>QPARE07</t>
  </si>
  <si>
    <t>Pare Naga Hijau 20 X 12 X 10 gr</t>
  </si>
  <si>
    <t>QPARE08</t>
  </si>
  <si>
    <t>Pare Datuk F1 12 X 15 X 10 gr</t>
  </si>
  <si>
    <t>QPASK03</t>
  </si>
  <si>
    <t>QPENE01</t>
  </si>
  <si>
    <t>QPENE02</t>
  </si>
  <si>
    <t>QPENG01</t>
  </si>
  <si>
    <t>Penglaris 240 SL 20 X 1 ltr</t>
  </si>
  <si>
    <t>QPENG02</t>
  </si>
  <si>
    <t>Penglaris 240 SL 4 X 5 ltr</t>
  </si>
  <si>
    <t>QPENG03</t>
  </si>
  <si>
    <t>Penglaris 240 SL 20  ltr</t>
  </si>
  <si>
    <t>QPENY01</t>
  </si>
  <si>
    <t>Penyangga 14 ltr Star Metal</t>
  </si>
  <si>
    <t>QPEPA01</t>
  </si>
  <si>
    <t>QPEPA02</t>
  </si>
  <si>
    <t>Pepaya Adonia 40 X 1 gr</t>
  </si>
  <si>
    <t>QPETI01</t>
  </si>
  <si>
    <t>Petir 480 SL 20 ltr</t>
  </si>
  <si>
    <t>QPETR03</t>
  </si>
  <si>
    <t>Petrokum 0.005 BB 20 X 1 kg</t>
  </si>
  <si>
    <t>QPEXA01</t>
  </si>
  <si>
    <t>Pexalon 106 SC 30 X 100 ml</t>
  </si>
  <si>
    <t>QPHOS01</t>
  </si>
  <si>
    <t>QPHOS02</t>
  </si>
  <si>
    <t>QPHOS04</t>
  </si>
  <si>
    <t>Phostoxin 300 gr</t>
  </si>
  <si>
    <t>QPHOT01</t>
  </si>
  <si>
    <t>QPHOT02</t>
  </si>
  <si>
    <t>QPHOT03</t>
  </si>
  <si>
    <t>QPILA01</t>
  </si>
  <si>
    <t>Pilarmax 400 EC 20 X 500 ml</t>
  </si>
  <si>
    <t>QPILA02</t>
  </si>
  <si>
    <t>Pilarmax 400 EC 32 X 250 ml</t>
  </si>
  <si>
    <t>QPILA03</t>
  </si>
  <si>
    <t>QPILA04</t>
  </si>
  <si>
    <t>QPILA05</t>
  </si>
  <si>
    <t>QPINA01</t>
  </si>
  <si>
    <t>QPINA03</t>
  </si>
  <si>
    <t>QPINA05</t>
  </si>
  <si>
    <t>QPINA06</t>
  </si>
  <si>
    <t>QPINA07</t>
  </si>
  <si>
    <t>QPINA08</t>
  </si>
  <si>
    <t>QPINA09</t>
  </si>
  <si>
    <t>QPIRA03</t>
  </si>
  <si>
    <t>Piraklo 250 EC 100 X 100 ml ( Sampel )</t>
  </si>
  <si>
    <t>QPIRI01</t>
  </si>
  <si>
    <t>QPIRI02</t>
  </si>
  <si>
    <t>QPIRI03</t>
  </si>
  <si>
    <t>QPIRI04</t>
  </si>
  <si>
    <t>QPLAN01</t>
  </si>
  <si>
    <t>QPLAN02</t>
  </si>
  <si>
    <t>QPLAN03</t>
  </si>
  <si>
    <t>Plant Stakes 11 X 1.200 mm</t>
  </si>
  <si>
    <t>QPLAN04</t>
  </si>
  <si>
    <t>Plantomicyn Plus 80 X 100 gr</t>
  </si>
  <si>
    <t>QPLAN10</t>
  </si>
  <si>
    <t>QPLAN11</t>
  </si>
  <si>
    <t>QPLAN13</t>
  </si>
  <si>
    <t>QPLAN14</t>
  </si>
  <si>
    <t>QPLAN15</t>
  </si>
  <si>
    <t>QPLAN16</t>
  </si>
  <si>
    <t>QPLAN17</t>
  </si>
  <si>
    <t>QPLAN18</t>
  </si>
  <si>
    <t>QPLAN19</t>
  </si>
  <si>
    <t>QPLAN20</t>
  </si>
  <si>
    <t>QPLAN21</t>
  </si>
  <si>
    <t>QPLAN22</t>
  </si>
  <si>
    <t>QPLAN23</t>
  </si>
  <si>
    <t>QPLAN24</t>
  </si>
  <si>
    <t>QPLAS01</t>
  </si>
  <si>
    <t>QPLAS02</t>
  </si>
  <si>
    <t>Plastik UV 0.3 80 cm X 9 kg (Roll)</t>
  </si>
  <si>
    <t>QPLAS03</t>
  </si>
  <si>
    <t>Plastik UV 0.3 80 cm X 18 kg (Roll)</t>
  </si>
  <si>
    <t>QPLAS04</t>
  </si>
  <si>
    <t>Plastik UV 0.3 60 cm X 18 kg (Roll) MT</t>
  </si>
  <si>
    <t>QPLET01</t>
  </si>
  <si>
    <t>Plethora 97.5 SC 40 X 250 ml</t>
  </si>
  <si>
    <t>QPLET02</t>
  </si>
  <si>
    <t>Plethora 97.5 SC 20 X 400 ml</t>
  </si>
  <si>
    <t>QPLUS01</t>
  </si>
  <si>
    <t>Plus Getah 48 X 500 ml</t>
  </si>
  <si>
    <t>QPN601</t>
  </si>
  <si>
    <t>QPOIN02</t>
  </si>
  <si>
    <t>QPOIN03</t>
  </si>
  <si>
    <t>QPOLY01</t>
  </si>
  <si>
    <t>QPOLY02</t>
  </si>
  <si>
    <t>Polycom 70 WG 40 X 500 gr</t>
  </si>
  <si>
    <t>QPOLY03</t>
  </si>
  <si>
    <t>Polycom 70 WG 80 X 250 gr</t>
  </si>
  <si>
    <t>QPOLY04</t>
  </si>
  <si>
    <t>QPOLY05</t>
  </si>
  <si>
    <t>QPOLY06</t>
  </si>
  <si>
    <t>QPOLY07</t>
  </si>
  <si>
    <t>QPOLY08</t>
  </si>
  <si>
    <t>QPOLY09</t>
  </si>
  <si>
    <t>QPOLY10</t>
  </si>
  <si>
    <t>QPOLY11</t>
  </si>
  <si>
    <t>QPOLY12</t>
  </si>
  <si>
    <t>QPOLY13</t>
  </si>
  <si>
    <t>QPOLY14</t>
  </si>
  <si>
    <t>QPOLY15</t>
  </si>
  <si>
    <t>QPOLY16</t>
  </si>
  <si>
    <t>QPOLY17</t>
  </si>
  <si>
    <t>QPOLY18</t>
  </si>
  <si>
    <t>QPOLY19</t>
  </si>
  <si>
    <t>QPOLY20</t>
  </si>
  <si>
    <t>QPOLY23</t>
  </si>
  <si>
    <t>QPOLY24</t>
  </si>
  <si>
    <t>QPOLY25</t>
  </si>
  <si>
    <t>QPOLY28</t>
  </si>
  <si>
    <t>QPOLY29</t>
  </si>
  <si>
    <t>QPOLY30</t>
  </si>
  <si>
    <t>QPOLY32</t>
  </si>
  <si>
    <t>QPOLY33</t>
  </si>
  <si>
    <t>QPOLY35</t>
  </si>
  <si>
    <t>QPOLY36</t>
  </si>
  <si>
    <t>QPOLY38</t>
  </si>
  <si>
    <t>QPOLY40</t>
  </si>
  <si>
    <t>QPOLY42</t>
  </si>
  <si>
    <t>QPOLY44</t>
  </si>
  <si>
    <t>QPOLY46</t>
  </si>
  <si>
    <t>QPOLY48</t>
  </si>
  <si>
    <t>QPOLY49</t>
  </si>
  <si>
    <t>QPORY01</t>
  </si>
  <si>
    <t>QPORY02</t>
  </si>
  <si>
    <t>QPORY03</t>
  </si>
  <si>
    <t>QPORY04</t>
  </si>
  <si>
    <t>Poryza 400 SL 50 X 200 ml (M2U)</t>
  </si>
  <si>
    <t>QPORY05</t>
  </si>
  <si>
    <t>Poryza 400 SL 30 X 500 ml (M2U)</t>
  </si>
  <si>
    <t>QPOTT01</t>
  </si>
  <si>
    <t>Pot Tray 100 X 105</t>
  </si>
  <si>
    <t>QPOTT02</t>
  </si>
  <si>
    <t>Pot Tray 150 X 50</t>
  </si>
  <si>
    <t>QPOTT03</t>
  </si>
  <si>
    <t>Pot Tray 100 X 72</t>
  </si>
  <si>
    <t>QPOTT04</t>
  </si>
  <si>
    <t>QPOTT05</t>
  </si>
  <si>
    <t>QPOTT07</t>
  </si>
  <si>
    <t>QPOUN02</t>
  </si>
  <si>
    <t>QPREV01</t>
  </si>
  <si>
    <t>QPREV02</t>
  </si>
  <si>
    <t>QPREZ01</t>
  </si>
  <si>
    <t>QPREZ02</t>
  </si>
  <si>
    <t>QPRIM01</t>
  </si>
  <si>
    <t>QPRIM02</t>
  </si>
  <si>
    <t>QPRIM03</t>
  </si>
  <si>
    <t>Primafur 3 G 10 X 1 kg</t>
  </si>
  <si>
    <t>QPRIM04</t>
  </si>
  <si>
    <t>Primafur 3 G 20 X 1 kg</t>
  </si>
  <si>
    <t>QPRIM05</t>
  </si>
  <si>
    <t>Prima-Tron 135 SL 20 X 1 ltr</t>
  </si>
  <si>
    <t>QPRIM06</t>
  </si>
  <si>
    <t>Prima-Tron 135 SL 4 X 5 ltr + metil</t>
  </si>
  <si>
    <t>QPRIM07</t>
  </si>
  <si>
    <t>Prima-Tron 135 SL 20 ltr</t>
  </si>
  <si>
    <t>QPRIM08</t>
  </si>
  <si>
    <t>Prima-Jos 865 SL 20 X 400 ml</t>
  </si>
  <si>
    <t>QPRIM09</t>
  </si>
  <si>
    <t>Prima-Jos 865 SL 20 X 1 ltr</t>
  </si>
  <si>
    <t>QPRIM10</t>
  </si>
  <si>
    <t>QPRIM11</t>
  </si>
  <si>
    <t>QPRIM12</t>
  </si>
  <si>
    <t>QPRIM13</t>
  </si>
  <si>
    <t>QPRIM14</t>
  </si>
  <si>
    <t>QPRIM15</t>
  </si>
  <si>
    <t>Primax 480/1 SL 20 X 500 ml</t>
  </si>
  <si>
    <t>QPRIM16</t>
  </si>
  <si>
    <t>Primax 480/1 SL 20 X 1 ltr</t>
  </si>
  <si>
    <t>QPRIM17</t>
  </si>
  <si>
    <t>Primax 480/1 SL 4 X 5 ltr</t>
  </si>
  <si>
    <t>QPRIM18</t>
  </si>
  <si>
    <t>Primax 480/1 SL 20 ltr</t>
  </si>
  <si>
    <t>QPRIM19</t>
  </si>
  <si>
    <t>Prima-Lima 555 SL 20 X 1 ltr + metil</t>
  </si>
  <si>
    <t>QPRIM20</t>
  </si>
  <si>
    <t>Prima-Lima 555 SL 4 X 5 ltr + metil</t>
  </si>
  <si>
    <t>QPRIM21</t>
  </si>
  <si>
    <t>Prima-Lima 555 SL 20 ltr</t>
  </si>
  <si>
    <t>QPRIM22</t>
  </si>
  <si>
    <t>Prima Fur 3 G 10 X 2 kg (tidak dipakai)</t>
  </si>
  <si>
    <t>QPRIM25</t>
  </si>
  <si>
    <t>Prima-Clink 50 X 100 ml (sampel)</t>
  </si>
  <si>
    <t>QPRIM26</t>
  </si>
  <si>
    <t>Prima-Clink 20 X 250 ml (sampel)</t>
  </si>
  <si>
    <t>QPROA01</t>
  </si>
  <si>
    <t>QPROF04</t>
  </si>
  <si>
    <t>QPROG01</t>
  </si>
  <si>
    <t>QPROM01</t>
  </si>
  <si>
    <t>QPROM02</t>
  </si>
  <si>
    <t>Promectin 18 EC 50 X 200 ml</t>
  </si>
  <si>
    <t>QPROM03</t>
  </si>
  <si>
    <t>Promo Up 488 SL 4 X 5 ltr</t>
  </si>
  <si>
    <t>QPROM04</t>
  </si>
  <si>
    <t>Promo Up 488 SL 20 X 1 ltr</t>
  </si>
  <si>
    <t>QPROM05</t>
  </si>
  <si>
    <t>Promo Top 531 SL 20 X 1 ltr</t>
  </si>
  <si>
    <t>QPROM06</t>
  </si>
  <si>
    <t>Promo Top 531 SL 20 ltr</t>
  </si>
  <si>
    <t>QPROM07</t>
  </si>
  <si>
    <t>Promo Up 488 SL 20 ltr</t>
  </si>
  <si>
    <t>QPROM08</t>
  </si>
  <si>
    <t>Promo Top 531 SL 4 X 5 ltr</t>
  </si>
  <si>
    <t>QPROM09</t>
  </si>
  <si>
    <t>QPROM11</t>
  </si>
  <si>
    <t>Promectin 60 EC 50 X 100 ml</t>
  </si>
  <si>
    <t>QPROM12</t>
  </si>
  <si>
    <t>Promotrel 110 PA 20 X 500 ml</t>
  </si>
  <si>
    <t>QPROM13</t>
  </si>
  <si>
    <t>Promotrel 110 PA 20 X 1 ltr</t>
  </si>
  <si>
    <t>QPROM14</t>
  </si>
  <si>
    <t>Promo Top 531 SL 4 X 5 ltr + Grandally</t>
  </si>
  <si>
    <t>QPROM15</t>
  </si>
  <si>
    <t>Promo Top 531 SL 20 X 1 ltr + Grandally</t>
  </si>
  <si>
    <t>QPROM16</t>
  </si>
  <si>
    <t>Promo Up 488 SL 20 ltr + Grandally</t>
  </si>
  <si>
    <t>QPROM17</t>
  </si>
  <si>
    <t>Promo Up 488 SL 4 X 5 ltr + Grandally</t>
  </si>
  <si>
    <t>QPROM18</t>
  </si>
  <si>
    <t>Promo Up 488 SL 20 X 1 ltr + Grandally</t>
  </si>
  <si>
    <t>QPROT01</t>
  </si>
  <si>
    <t>QPROT02</t>
  </si>
  <si>
    <t>Protephon Karet 10 PA 20 X 500 ml</t>
  </si>
  <si>
    <t>QPROT03</t>
  </si>
  <si>
    <t>Protephon Karet 10 PA 20 X 1 ltr</t>
  </si>
  <si>
    <t>QPROT04</t>
  </si>
  <si>
    <t>Protrin 250 EC 10 X 1 ltr</t>
  </si>
  <si>
    <t>QPROT05</t>
  </si>
  <si>
    <t>QPROT06</t>
  </si>
  <si>
    <t>Protrin 250 EC 40 X 100 ml</t>
  </si>
  <si>
    <t>QPUPU01</t>
  </si>
  <si>
    <t>QPUPU02</t>
  </si>
  <si>
    <t>QPUPU03</t>
  </si>
  <si>
    <t>Pupuk Asnita Cap Tawon 50 kg</t>
  </si>
  <si>
    <t>QPUPU05</t>
  </si>
  <si>
    <t>Pupuk TCP 36 50 kg</t>
  </si>
  <si>
    <t>QPUPU06</t>
  </si>
  <si>
    <t>QPUPU07</t>
  </si>
  <si>
    <t>QPUPU08</t>
  </si>
  <si>
    <t>QPUPU12</t>
  </si>
  <si>
    <t>Pupuk Borate 48 20 X 1 kg</t>
  </si>
  <si>
    <t>QPUPU13</t>
  </si>
  <si>
    <t>QPYPE01</t>
  </si>
  <si>
    <t>QPYPE02</t>
  </si>
  <si>
    <t>QPYZE02</t>
  </si>
  <si>
    <t>Pyzero 100 EC 48 X 200 ml</t>
  </si>
  <si>
    <t>QQAIS01</t>
  </si>
  <si>
    <t>QQIUM01</t>
  </si>
  <si>
    <t>QQIUM02</t>
  </si>
  <si>
    <t>QQIUM04</t>
  </si>
  <si>
    <t>QQIUM05</t>
  </si>
  <si>
    <t>QQIUT01</t>
  </si>
  <si>
    <t>QQUAT01</t>
  </si>
  <si>
    <t>Quatxone 150 SL 20 ltr</t>
  </si>
  <si>
    <t>QQUAT02</t>
  </si>
  <si>
    <t>Quatxone 150 SL 20 X 1 ltr</t>
  </si>
  <si>
    <t>QQUAT03</t>
  </si>
  <si>
    <t>Quatxone 150 SL 4 X 5 ltr</t>
  </si>
  <si>
    <t>QQUIL02</t>
  </si>
  <si>
    <t>Quilt 200 SE 20 X 500 ml</t>
  </si>
  <si>
    <t>QRACU01</t>
  </si>
  <si>
    <t>QRADI01</t>
  </si>
  <si>
    <t>QRAFT01</t>
  </si>
  <si>
    <t>Raft 60 EC 40 X 250 ml</t>
  </si>
  <si>
    <t>QRAJA01</t>
  </si>
  <si>
    <t>QRAJA02</t>
  </si>
  <si>
    <t>QRAJA03</t>
  </si>
  <si>
    <t>QRAJA04</t>
  </si>
  <si>
    <t>QRAJA05</t>
  </si>
  <si>
    <t>QRAJA06</t>
  </si>
  <si>
    <t>QRAJA07</t>
  </si>
  <si>
    <t>QRAJA08</t>
  </si>
  <si>
    <t>QRAKS01</t>
  </si>
  <si>
    <t>Raksasa 80 WP 10 X 1 kg</t>
  </si>
  <si>
    <t>QRAMB01</t>
  </si>
  <si>
    <t>QRAMB02</t>
  </si>
  <si>
    <t>QRAMB03</t>
  </si>
  <si>
    <t>Rambo Gold 480 SL 20 X 500 ml</t>
  </si>
  <si>
    <t>QRAMB04</t>
  </si>
  <si>
    <t>QRAMB05</t>
  </si>
  <si>
    <t>Rambo 20 X 1 ltr</t>
  </si>
  <si>
    <t>QRAMO01</t>
  </si>
  <si>
    <t>QRAMO02</t>
  </si>
  <si>
    <t>QRAMO03</t>
  </si>
  <si>
    <t>QRANG01</t>
  </si>
  <si>
    <t>Ranger 240 SL 20 ltr</t>
  </si>
  <si>
    <t>QRANG02</t>
  </si>
  <si>
    <t>Ranger 240 SL 20 X 1 ltr</t>
  </si>
  <si>
    <t>QRANG03</t>
  </si>
  <si>
    <t>Ranger 240 SL 4 X 5 ltr</t>
  </si>
  <si>
    <t>QRATC01</t>
  </si>
  <si>
    <t>QRATC02</t>
  </si>
  <si>
    <t>QRATC03</t>
  </si>
  <si>
    <t>QRATO02</t>
  </si>
  <si>
    <t>QREAC03</t>
  </si>
  <si>
    <t>QREAC04</t>
  </si>
  <si>
    <t>Reactive 490 SL 200 ltr</t>
  </si>
  <si>
    <t>QREAC05</t>
  </si>
  <si>
    <t>Reactive 490 SL 30 X 250 ml</t>
  </si>
  <si>
    <t>QREAC06</t>
  </si>
  <si>
    <t>QRECO01</t>
  </si>
  <si>
    <t>Recor 250 EC 20 X 1 ltr</t>
  </si>
  <si>
    <t>QRECO02</t>
  </si>
  <si>
    <t>Recor 250 EC 50 X 250 ml</t>
  </si>
  <si>
    <t>QRECO03</t>
  </si>
  <si>
    <t>Recor 250 EC 50 X 100 ml</t>
  </si>
  <si>
    <t>QRECO04</t>
  </si>
  <si>
    <t>Recor 250 EC 20 X 500 ml</t>
  </si>
  <si>
    <t>QRECO05</t>
  </si>
  <si>
    <t>Recor 300 EC 50 X 250 ml</t>
  </si>
  <si>
    <t>QREDZ01</t>
  </si>
  <si>
    <t>Redzone 276 SL 15 X 1 ltr</t>
  </si>
  <si>
    <t>QREDZ02</t>
  </si>
  <si>
    <t>QREDZ03</t>
  </si>
  <si>
    <t>QREGE01</t>
  </si>
  <si>
    <t>QREGE04</t>
  </si>
  <si>
    <t>QREGE05</t>
  </si>
  <si>
    <t>QREGE06</t>
  </si>
  <si>
    <t>QREGE07</t>
  </si>
  <si>
    <t>QREGE08</t>
  </si>
  <si>
    <t>QREVI01</t>
  </si>
  <si>
    <t>QREVU01</t>
  </si>
  <si>
    <t>QREVU03</t>
  </si>
  <si>
    <t>QREXD01</t>
  </si>
  <si>
    <t>QREXD02</t>
  </si>
  <si>
    <t>QREXD03</t>
  </si>
  <si>
    <t>Rexdan 3 GR 20 X 1 kg</t>
  </si>
  <si>
    <t>QREXD04</t>
  </si>
  <si>
    <t>Rexdan 3 GR 10 X 2 kg</t>
  </si>
  <si>
    <t>QREXR01</t>
  </si>
  <si>
    <t>QREXR02</t>
  </si>
  <si>
    <t>Rexroot 486 SL 20 X 1 ltr</t>
  </si>
  <si>
    <t>QREXX01</t>
  </si>
  <si>
    <t>Rexxone 276 SL 20 X 1 ltr</t>
  </si>
  <si>
    <t>QREXX02</t>
  </si>
  <si>
    <t>Rexxone 276 SL 4 X 5 ltr</t>
  </si>
  <si>
    <t>QREXX03</t>
  </si>
  <si>
    <t>Rexxone 276 SL 20 ltr</t>
  </si>
  <si>
    <t>QRG0101</t>
  </si>
  <si>
    <t>QRG0201</t>
  </si>
  <si>
    <t>RG.02 30 X 500 gr (M2U)</t>
  </si>
  <si>
    <t>QRG0202</t>
  </si>
  <si>
    <t>QRG0301</t>
  </si>
  <si>
    <t>QRG0501</t>
  </si>
  <si>
    <t>QRG0502</t>
  </si>
  <si>
    <t>QRHIZ01</t>
  </si>
  <si>
    <t>QRICE01</t>
  </si>
  <si>
    <t>QRICE02</t>
  </si>
  <si>
    <t>QRICE03</t>
  </si>
  <si>
    <t>QRICE04</t>
  </si>
  <si>
    <t>QRIDO01</t>
  </si>
  <si>
    <t>Ridomil Gold 350 ES 20 ltr</t>
  </si>
  <si>
    <t>QRIDO02</t>
  </si>
  <si>
    <t>QRIMO01</t>
  </si>
  <si>
    <t>QRIMO02</t>
  </si>
  <si>
    <t>QRIP201</t>
  </si>
  <si>
    <t>RIP 200 EC 100 X 100 ml</t>
  </si>
  <si>
    <t>QRIZE01</t>
  </si>
  <si>
    <t>QRIZO01</t>
  </si>
  <si>
    <t>QRIZO02</t>
  </si>
  <si>
    <t>QRIZO03</t>
  </si>
  <si>
    <t>QRIZO04</t>
  </si>
  <si>
    <t>QROBU03</t>
  </si>
  <si>
    <t>QROCK01</t>
  </si>
  <si>
    <t>Rock Phosphate Mahkota 50 kg</t>
  </si>
  <si>
    <t>QROCK02</t>
  </si>
  <si>
    <t>Rock Up 480 SL + Actifast 12 X 1 ltr</t>
  </si>
  <si>
    <t>QROCK03</t>
  </si>
  <si>
    <t>Rock Up 480 SL + Actifast 20 ltr</t>
  </si>
  <si>
    <t>QROGE01</t>
  </si>
  <si>
    <t>QROGE04</t>
  </si>
  <si>
    <t>QROLI01</t>
  </si>
  <si>
    <t>QROLI02</t>
  </si>
  <si>
    <t>Rolifos 150 SL 20 X 500 ml</t>
  </si>
  <si>
    <t>QROLL01</t>
  </si>
  <si>
    <t>QROLL02</t>
  </si>
  <si>
    <t>QRONN01</t>
  </si>
  <si>
    <t>QRONN02</t>
  </si>
  <si>
    <t>QRONN03</t>
  </si>
  <si>
    <t>QROTO01</t>
  </si>
  <si>
    <t>QROTO02</t>
  </si>
  <si>
    <t>Rotonik 7.5L 50 X 100 ml</t>
  </si>
  <si>
    <t>QROUN05</t>
  </si>
  <si>
    <t>QROUN06</t>
  </si>
  <si>
    <t>Round Up Powermax 660 SL 4 X 4 ltr</t>
  </si>
  <si>
    <t>QROUN07</t>
  </si>
  <si>
    <t>Round Up 486 SL 12 X 1 ltr NLP</t>
  </si>
  <si>
    <t>QROUN08</t>
  </si>
  <si>
    <t>Round Up 486 SL 50 X 200 ml NLP</t>
  </si>
  <si>
    <t>QROUN09</t>
  </si>
  <si>
    <t>Round Up 486 SL 4 X 4 ltr NLP</t>
  </si>
  <si>
    <t>QROVE01</t>
  </si>
  <si>
    <t>Rover 20 WG 10 X 20 X 5 gr</t>
  </si>
  <si>
    <t>QROVR01</t>
  </si>
  <si>
    <t>QRUMA01</t>
  </si>
  <si>
    <t>Rumat 300/100 SL 20 X 1 ltr + Metsul 5 gr</t>
  </si>
  <si>
    <t>QSAAF02</t>
  </si>
  <si>
    <t>QSAAF03</t>
  </si>
  <si>
    <t>Saaf 75 WP 10 X 1 kg</t>
  </si>
  <si>
    <t>QSAGR01</t>
  </si>
  <si>
    <t>Sagri-Beat 7/30 WP 100 X 80 gr</t>
  </si>
  <si>
    <t>QSALS01</t>
  </si>
  <si>
    <t>QSALS02</t>
  </si>
  <si>
    <t>QSALS03</t>
  </si>
  <si>
    <t>QSAMI01</t>
  </si>
  <si>
    <t>Samite 135 EC 50 X 250 ml</t>
  </si>
  <si>
    <t>QSAMI02</t>
  </si>
  <si>
    <t>Samite 135 EC 50 X 100 ml</t>
  </si>
  <si>
    <t>QSANG01</t>
  </si>
  <si>
    <t>Sangkur 50 EC 30 X 500 ml (M2U)</t>
  </si>
  <si>
    <t>QSANG02</t>
  </si>
  <si>
    <t>Sangkur 50 EC 50 X 80 ml (M2U)</t>
  </si>
  <si>
    <t>QSANG03</t>
  </si>
  <si>
    <t>Sangkur 50 EC 50 X 250 ml (M2U)</t>
  </si>
  <si>
    <t>QSANG04</t>
  </si>
  <si>
    <t>Sangit 50 EC 20 X 1 ltr</t>
  </si>
  <si>
    <t>QSANV01</t>
  </si>
  <si>
    <t>Sanvit 120 SL 20 X 1 ltr</t>
  </si>
  <si>
    <t>QSANV02</t>
  </si>
  <si>
    <t>QSANV03</t>
  </si>
  <si>
    <t>Sanvit 120 SL 4 X 5 ltr</t>
  </si>
  <si>
    <t>QSAPR01</t>
  </si>
  <si>
    <t>QSARO01</t>
  </si>
  <si>
    <t>Saromyl 35 SD 10 X 40 X 5 gr</t>
  </si>
  <si>
    <t>QSATU01</t>
  </si>
  <si>
    <t>QSATU04</t>
  </si>
  <si>
    <t>QSAWI01</t>
  </si>
  <si>
    <t>QSAWI03</t>
  </si>
  <si>
    <t>QSAWI04</t>
  </si>
  <si>
    <t>QSAWI05</t>
  </si>
  <si>
    <t>QSAWI07</t>
  </si>
  <si>
    <t>QSAWI08</t>
  </si>
  <si>
    <t>QSAWI09</t>
  </si>
  <si>
    <t>Sawi Pak Choy Green 160 X 50 gr</t>
  </si>
  <si>
    <t>QSAWI10</t>
  </si>
  <si>
    <t>QSAWI11</t>
  </si>
  <si>
    <t>QSAWI12</t>
  </si>
  <si>
    <t>QSAWI13</t>
  </si>
  <si>
    <t>QSAWI14</t>
  </si>
  <si>
    <t>Sawi Tosakan 12 X 10 X 25 gr</t>
  </si>
  <si>
    <t>QSAWI15</t>
  </si>
  <si>
    <t>Sawi TM Tycoon CR 10 X 10 gr</t>
  </si>
  <si>
    <t>QSAWI16</t>
  </si>
  <si>
    <t>Sawi Summer High Land 10 x 20 ml</t>
  </si>
  <si>
    <t>QSAWI17</t>
  </si>
  <si>
    <t>QSAWI18</t>
  </si>
  <si>
    <t>Sawi Cakcoy 12 X 15 X 10 gr</t>
  </si>
  <si>
    <t>QSAWI19</t>
  </si>
  <si>
    <t>Sawi Excelent 20 X 12 X 10 gr</t>
  </si>
  <si>
    <t>QSAWI20</t>
  </si>
  <si>
    <t>Sawi Morakot 12 X 10 X 20 gr</t>
  </si>
  <si>
    <t>QSAWI21</t>
  </si>
  <si>
    <t>Sawi Yokohama CR 20 X 12 X 10 gr</t>
  </si>
  <si>
    <t>QSAWI22</t>
  </si>
  <si>
    <t>Sawi Green Pak Choy Kaleng 48 X 100 gr</t>
  </si>
  <si>
    <t>QSAWI23</t>
  </si>
  <si>
    <t>Sawi Green Pak Choy 20 X 6 X 50 gr</t>
  </si>
  <si>
    <t>QSAWI24</t>
  </si>
  <si>
    <t>Sawi Christina Kaleng 48 X 100 gr</t>
  </si>
  <si>
    <t>QSAWI25</t>
  </si>
  <si>
    <t>QSAWI26</t>
  </si>
  <si>
    <t>Sawi Eikun 100 X 10 X 20 gr</t>
  </si>
  <si>
    <t>QSAWI27</t>
  </si>
  <si>
    <t>Sawi Pahit Mustard Green Lotus 20 X 6 X 50 gr</t>
  </si>
  <si>
    <t>QSAWI28</t>
  </si>
  <si>
    <t>Sawi Dora 5 kg</t>
  </si>
  <si>
    <t>QSAWI29</t>
  </si>
  <si>
    <t>Sawi Dora 1 kg</t>
  </si>
  <si>
    <t>QSAWI30</t>
  </si>
  <si>
    <t>Sawi Packchoy Masbro 12 X 15 X 10 gr</t>
  </si>
  <si>
    <t>QSAWI31</t>
  </si>
  <si>
    <t>Sawi Dora 2 kg</t>
  </si>
  <si>
    <t>QSAWI32</t>
  </si>
  <si>
    <t>Sawi Dora 500 gr</t>
  </si>
  <si>
    <t>QSAWI33</t>
  </si>
  <si>
    <t>QSAWI34</t>
  </si>
  <si>
    <t>Sawi Dora 3 kg</t>
  </si>
  <si>
    <t>QSAWI35</t>
  </si>
  <si>
    <t>Sawi Puteri 12 X 15 X 25 gr</t>
  </si>
  <si>
    <t>QSAWI36</t>
  </si>
  <si>
    <t>QSCOR01</t>
  </si>
  <si>
    <t>QSCOR04</t>
  </si>
  <si>
    <t>Scorpio 250 EC 50 X 80 ml</t>
  </si>
  <si>
    <t>QSCOR05</t>
  </si>
  <si>
    <t>QSEED02</t>
  </si>
  <si>
    <t>Smk. Seedless F1 Volcano 120 X 25 gr</t>
  </si>
  <si>
    <t>QSEED03</t>
  </si>
  <si>
    <t>Smk. Seedless F1 Setabindo 20 X 6 X 20 gr</t>
  </si>
  <si>
    <t>QSEKO01</t>
  </si>
  <si>
    <t>Sekop Tanaman Goodman Trowel 05-007 80 X 1</t>
  </si>
  <si>
    <t>QSELA03</t>
  </si>
  <si>
    <t>Selada Lettuce 20 X 12 X 15 gr</t>
  </si>
  <si>
    <t>QSELA04</t>
  </si>
  <si>
    <t>Selang Manual M1</t>
  </si>
  <si>
    <t>QSELA06</t>
  </si>
  <si>
    <t>Selada Yurika 12 X 15 X 10 gr</t>
  </si>
  <si>
    <t>QSELA07</t>
  </si>
  <si>
    <t>Selang Drip Saikyo 3 inch</t>
  </si>
  <si>
    <t>QSELA08</t>
  </si>
  <si>
    <t>Selang Drip Saikyo 2 inch</t>
  </si>
  <si>
    <t>QSELA09</t>
  </si>
  <si>
    <t>Selang Drip Saikyo 3/4 inch</t>
  </si>
  <si>
    <t>QSELA11</t>
  </si>
  <si>
    <t>Selada Fakhira 12 X 15 X 10 gr</t>
  </si>
  <si>
    <t>QSELA12</t>
  </si>
  <si>
    <t>Selada Arista 12 X 15 X 10 gr</t>
  </si>
  <si>
    <t>QSELA13</t>
  </si>
  <si>
    <t>Selada Kriebo 500 gr</t>
  </si>
  <si>
    <t>QSELE01</t>
  </si>
  <si>
    <t>Seledri Aroma 12 X 10 X 20 gr</t>
  </si>
  <si>
    <t>QSELE02</t>
  </si>
  <si>
    <t>Seledri F1 TM Lambada 800 biji</t>
  </si>
  <si>
    <t>QSELT01</t>
  </si>
  <si>
    <t>QSENG01</t>
  </si>
  <si>
    <t>QSENG02</t>
  </si>
  <si>
    <t>QSEPE01</t>
  </si>
  <si>
    <t>Sepeda Motor Vario 125</t>
  </si>
  <si>
    <t>QSEPE02</t>
  </si>
  <si>
    <t>Sepeda Listrik tipe GD Golden Monkey 140 ( Hitam )</t>
  </si>
  <si>
    <t>QSEPE03</t>
  </si>
  <si>
    <t>QSEPE04</t>
  </si>
  <si>
    <t>QSETO01</t>
  </si>
  <si>
    <t>Setor 40 EC 50 X 100 ml</t>
  </si>
  <si>
    <t>QSEVI01</t>
  </si>
  <si>
    <t>Sevin 85 SP 100 X 100 gr (Bayer)</t>
  </si>
  <si>
    <t>QSEVI03</t>
  </si>
  <si>
    <t>QSHAD01</t>
  </si>
  <si>
    <t>Shadow 50 EC 30 X 400 ml</t>
  </si>
  <si>
    <t>QSHAD02</t>
  </si>
  <si>
    <t>QSIDA01</t>
  </si>
  <si>
    <t>QSIDA02</t>
  </si>
  <si>
    <t>QSIDA03</t>
  </si>
  <si>
    <t>Sidamin 865 SL 40 X 200 ml</t>
  </si>
  <si>
    <t>QSIDA04</t>
  </si>
  <si>
    <t>Sidamin 865 SL 25 X 400 ml</t>
  </si>
  <si>
    <t>QSIDA05</t>
  </si>
  <si>
    <t>Sidarat 0.005 BB 20 X 10 X 100 gr</t>
  </si>
  <si>
    <t>QSIDA06</t>
  </si>
  <si>
    <t>Sidarat 0.005 BB 20 X 1 kg</t>
  </si>
  <si>
    <t>QSIDA07</t>
  </si>
  <si>
    <t>QSIKL01</t>
  </si>
  <si>
    <t>QSIMX01</t>
  </si>
  <si>
    <t>Simxone 135 SL 20 X 1 ltr + Metaben 5 gr</t>
  </si>
  <si>
    <t>QSIMX02</t>
  </si>
  <si>
    <t>Simxone 135 SL 4 X 5 ltr + Metaben 5 gr</t>
  </si>
  <si>
    <t>QSIMX03</t>
  </si>
  <si>
    <t>Simxone 135 SL 20 ltr</t>
  </si>
  <si>
    <t>QSINA01</t>
  </si>
  <si>
    <t>QSINA02</t>
  </si>
  <si>
    <t>QSINA03</t>
  </si>
  <si>
    <t>Sinar Metrin 200 EC 20 x 1 ltr</t>
  </si>
  <si>
    <t>QSINA04</t>
  </si>
  <si>
    <t>QSINA05</t>
  </si>
  <si>
    <t>QSINA06</t>
  </si>
  <si>
    <t>Sinarbio 4 X 5 kg</t>
  </si>
  <si>
    <t>QSINO01</t>
  </si>
  <si>
    <t>QSINO02</t>
  </si>
  <si>
    <t>QSINO03</t>
  </si>
  <si>
    <t>QSIVA02</t>
  </si>
  <si>
    <t>Sivanto Prime 200 SL 100 X 50 ml</t>
  </si>
  <si>
    <t>QSIVA03</t>
  </si>
  <si>
    <t>Sivanto Prime 200 SL 50 X 100 ml</t>
  </si>
  <si>
    <t>QSKIE01</t>
  </si>
  <si>
    <t>QSKIE02</t>
  </si>
  <si>
    <t>QSMK01</t>
  </si>
  <si>
    <t>QSMK02</t>
  </si>
  <si>
    <t>Smk. Torpedo 20 X 12 X 10 gr</t>
  </si>
  <si>
    <t>QSMK04</t>
  </si>
  <si>
    <t>QSMK05</t>
  </si>
  <si>
    <t>Smk. Sunbao 10 gr</t>
  </si>
  <si>
    <t>QSMK06</t>
  </si>
  <si>
    <t>Smk. Pretty Orchid 300 Seeds</t>
  </si>
  <si>
    <t>QSMK08</t>
  </si>
  <si>
    <t>Smk. Grandmilano 12 X 10 X 300 biji</t>
  </si>
  <si>
    <t>QSMK10</t>
  </si>
  <si>
    <t>Smk. Setabindo 1 20 X 6 X 20 gr</t>
  </si>
  <si>
    <t>QSMK11</t>
  </si>
  <si>
    <t>Smk. Grandmilano 12 X 10 X 20 gr</t>
  </si>
  <si>
    <t>QSMK12</t>
  </si>
  <si>
    <t>Smk. Maduri 12 X 10 X 400 seed</t>
  </si>
  <si>
    <t>QSMK13</t>
  </si>
  <si>
    <t>Smk. Redin 20 X 12 X 20 gr</t>
  </si>
  <si>
    <t>QSMK14</t>
  </si>
  <si>
    <t>QSMK15</t>
  </si>
  <si>
    <t>QSMK16</t>
  </si>
  <si>
    <t>Smk. Esteem 20 X 12 X 20 gr</t>
  </si>
  <si>
    <t>QSMK17</t>
  </si>
  <si>
    <t>Smk. Master 20 X 6 X 20 gr</t>
  </si>
  <si>
    <t>QSMK18</t>
  </si>
  <si>
    <t>Smk OR Mini Dragon 20 gr</t>
  </si>
  <si>
    <t>QSMK19</t>
  </si>
  <si>
    <t>QSMK20</t>
  </si>
  <si>
    <t>Smk. Apollo 20 X 6 X 20 gr</t>
  </si>
  <si>
    <t>QSMK21</t>
  </si>
  <si>
    <t>QSMK22</t>
  </si>
  <si>
    <t>Smk. Redin 20 X 24 X 10 gr</t>
  </si>
  <si>
    <t>QSMK23</t>
  </si>
  <si>
    <t>Smk. Redin 09 20 X 12 X 10 gr</t>
  </si>
  <si>
    <t>QSMK24</t>
  </si>
  <si>
    <t>QSMK25</t>
  </si>
  <si>
    <t>QSMK26</t>
  </si>
  <si>
    <t>Smk. Made F1 12 X 10 X 20 gr</t>
  </si>
  <si>
    <t>QSMK27</t>
  </si>
  <si>
    <t>Smk. Inden F1 12 X 10 X 20 gr</t>
  </si>
  <si>
    <t>QSMK28</t>
  </si>
  <si>
    <t>Smk. Winda 12 X 10 X 20 gr</t>
  </si>
  <si>
    <t>QSMK29</t>
  </si>
  <si>
    <t>Smk. Setabindo Oval 20 X 6 X 20 gr</t>
  </si>
  <si>
    <t>QSMK30</t>
  </si>
  <si>
    <t>Smk. Mardy F1 12 X 10 X 20 gr</t>
  </si>
  <si>
    <t>QSMK32</t>
  </si>
  <si>
    <t>Smk. Redin 20 X 6 X 20 gr</t>
  </si>
  <si>
    <t>QSMK33</t>
  </si>
  <si>
    <t>Smk. Big Mardy F1 12 X 10 X 20 gr</t>
  </si>
  <si>
    <t>QSNAI01</t>
  </si>
  <si>
    <t>QSNAI02</t>
  </si>
  <si>
    <t>QSNAI03</t>
  </si>
  <si>
    <t>QSNAI04</t>
  </si>
  <si>
    <t>Snaildown 250 EC 48 X 100 ml</t>
  </si>
  <si>
    <t>QSOFI01</t>
  </si>
  <si>
    <t>Sofit 10/10 WP 200 X 20 gr</t>
  </si>
  <si>
    <t>QSORA01</t>
  </si>
  <si>
    <t>Soralis 550 SC 10 X 1 ltr</t>
  </si>
  <si>
    <t>QSORA02</t>
  </si>
  <si>
    <t>Soralis 550 SC 20 X 500 ml</t>
  </si>
  <si>
    <t>QSORT01</t>
  </si>
  <si>
    <t>QSORT02</t>
  </si>
  <si>
    <t>QSORT03</t>
  </si>
  <si>
    <t>QSORT04</t>
  </si>
  <si>
    <t>QSORT05</t>
  </si>
  <si>
    <t>QSPAR01</t>
  </si>
  <si>
    <t>Sparepart Lain - Lain Star Metal</t>
  </si>
  <si>
    <t>QSPHI01</t>
  </si>
  <si>
    <t>Sphinx 500 SC 50 X 100 ml</t>
  </si>
  <si>
    <t>QSPHI02</t>
  </si>
  <si>
    <t>QSPOD01</t>
  </si>
  <si>
    <t>QSPON04</t>
  </si>
  <si>
    <t>Spontan 400 SL 4 X 4 ltr</t>
  </si>
  <si>
    <t>QSPON05</t>
  </si>
  <si>
    <t>Spontan 400 SL 10 X 1.5 ltr</t>
  </si>
  <si>
    <t>QSPRA01</t>
  </si>
  <si>
    <t>QSPRA02</t>
  </si>
  <si>
    <t>QSPRA03</t>
  </si>
  <si>
    <t>QSPRA04</t>
  </si>
  <si>
    <t>Sprayer Elektrik Banzai 16 ltr</t>
  </si>
  <si>
    <t>QSPRA05</t>
  </si>
  <si>
    <t>QSPRA06</t>
  </si>
  <si>
    <t>Sprayer Dexxan 6 X 8 ltr</t>
  </si>
  <si>
    <t>QSPRA07</t>
  </si>
  <si>
    <t>Sprayer Yellow Tank 16 ltr</t>
  </si>
  <si>
    <t>QSPRA08</t>
  </si>
  <si>
    <t>QSPRA09</t>
  </si>
  <si>
    <t>Sprayer 8424 Blue Tank 16 ltr</t>
  </si>
  <si>
    <t>QSPRA10</t>
  </si>
  <si>
    <t>Sprayer Geika Mesin 20 Ltr</t>
  </si>
  <si>
    <t>QSPRA11</t>
  </si>
  <si>
    <t>Sprayer Elektrik Bonanza 16 ltr</t>
  </si>
  <si>
    <t>QSPRA13</t>
  </si>
  <si>
    <t>QSPRA14</t>
  </si>
  <si>
    <t>QSPRA16</t>
  </si>
  <si>
    <t>Sprayer Dexxan 6 X 5 ltr</t>
  </si>
  <si>
    <t>QSPRA17</t>
  </si>
  <si>
    <t>Sprayer Hokita 16 ltr</t>
  </si>
  <si>
    <t>QSPRA18</t>
  </si>
  <si>
    <t>Sprayer ABC-SM 16 ltr BTR</t>
  </si>
  <si>
    <t>QSPRA19</t>
  </si>
  <si>
    <t>QSPRA20</t>
  </si>
  <si>
    <t>QSPRA25</t>
  </si>
  <si>
    <t>QSPRA26</t>
  </si>
  <si>
    <t>Sprayer Hokita 6 X 5 ltr</t>
  </si>
  <si>
    <t>QSPRA27</t>
  </si>
  <si>
    <t>Sprayer Hokita 6 X 8 ltr</t>
  </si>
  <si>
    <t>QSPRA28</t>
  </si>
  <si>
    <t>QSPRA29</t>
  </si>
  <si>
    <t>Sprayer Hokita 88 2in1 16 ltr</t>
  </si>
  <si>
    <t>QSPRA30</t>
  </si>
  <si>
    <t>Sprayer Bonanza 6 X 5 ltr</t>
  </si>
  <si>
    <t>QSPRA31</t>
  </si>
  <si>
    <t>Sprayer Bonanza 6 X 8 ltr</t>
  </si>
  <si>
    <t>QSPRA33</t>
  </si>
  <si>
    <t>Sprayer Dexxan 2in1 16 ltr</t>
  </si>
  <si>
    <t>QSPRA34</t>
  </si>
  <si>
    <t>QSPRA35</t>
  </si>
  <si>
    <t>QSPRA36</t>
  </si>
  <si>
    <t>QSPRA37</t>
  </si>
  <si>
    <t>Sprayer MT-16 16 ltr</t>
  </si>
  <si>
    <t>QSPRA42</t>
  </si>
  <si>
    <t>Sprayer Elektrik Bonanza 13.7 ltr</t>
  </si>
  <si>
    <t>QSPRA45</t>
  </si>
  <si>
    <t>Sprayer Elektrik Satagro 13.7 L</t>
  </si>
  <si>
    <t>QSQUA01</t>
  </si>
  <si>
    <t>Squad 200 SL 4 X 5 ltr</t>
  </si>
  <si>
    <t>QSQUA02</t>
  </si>
  <si>
    <t>Squad 200 SL 20 ltr</t>
  </si>
  <si>
    <t>QSQUA03</t>
  </si>
  <si>
    <t>Squad 200 SL 20 X 1 ltr</t>
  </si>
  <si>
    <t>QSRIK01</t>
  </si>
  <si>
    <t>QSTAR03</t>
  </si>
  <si>
    <t>QSTAR04</t>
  </si>
  <si>
    <t>Starter Star Metal</t>
  </si>
  <si>
    <t>QSTAR06</t>
  </si>
  <si>
    <t>QSTAR07</t>
  </si>
  <si>
    <t>Starlet 400 SL 15 X 1 ltr</t>
  </si>
  <si>
    <t>QSTAR08</t>
  </si>
  <si>
    <t>QSTAR09</t>
  </si>
  <si>
    <t>Starelle 660 EC 20 X 400 ml</t>
  </si>
  <si>
    <t>QSTAR10</t>
  </si>
  <si>
    <t>Starelle 660 EC 20 X 200 ml</t>
  </si>
  <si>
    <t>QSTOP01</t>
  </si>
  <si>
    <t>Stopper 25 EC 20 X 500 ml</t>
  </si>
  <si>
    <t>QSUGO01</t>
  </si>
  <si>
    <t>QSUGO02</t>
  </si>
  <si>
    <t>QSUGO03</t>
  </si>
  <si>
    <t>QSUGO04</t>
  </si>
  <si>
    <t>QSUMO01</t>
  </si>
  <si>
    <t>Sumo 50 EC 20 X 500 ml</t>
  </si>
  <si>
    <t>QSUMO02</t>
  </si>
  <si>
    <t>Sumo 50 EC 50 X 80 ml</t>
  </si>
  <si>
    <t>QSUMO03</t>
  </si>
  <si>
    <t>Sumo 50 EC 40 X 250 ml</t>
  </si>
  <si>
    <t>QSUPE01</t>
  </si>
  <si>
    <t>QSUPE02</t>
  </si>
  <si>
    <t>QSUPE03</t>
  </si>
  <si>
    <t>QSUPE04</t>
  </si>
  <si>
    <t>Supernova 500 OD 4 X 10 X 50 ml</t>
  </si>
  <si>
    <t>QSUPE05</t>
  </si>
  <si>
    <t>QSUPE06</t>
  </si>
  <si>
    <t>Superfos 550 EC 24 X 500 ml</t>
  </si>
  <si>
    <t>QSUPE07</t>
  </si>
  <si>
    <t>QSUPE08</t>
  </si>
  <si>
    <t>Superfos 550 EC 20 X 500 ml</t>
  </si>
  <si>
    <t>QSUPE09</t>
  </si>
  <si>
    <t>Supegibb 20 TB 50 X 20 X 5 gr</t>
  </si>
  <si>
    <t>QSUPR01</t>
  </si>
  <si>
    <t>QSUPR02</t>
  </si>
  <si>
    <t>Supretox 276 SL 20 X 1 ltr</t>
  </si>
  <si>
    <t>QSWAL01</t>
  </si>
  <si>
    <t>QTABA01</t>
  </si>
  <si>
    <t>Tabard 500 EC 50 X 100 ml</t>
  </si>
  <si>
    <t>QTABA02</t>
  </si>
  <si>
    <t>QTABA03</t>
  </si>
  <si>
    <t>Tabard 500 EC 20 X 500 ml (AGM)</t>
  </si>
  <si>
    <t>QTABA04</t>
  </si>
  <si>
    <t>QTABU01</t>
  </si>
  <si>
    <t>Tabung Pompa Diafragma (Top Agri)</t>
  </si>
  <si>
    <t>QTAFT01</t>
  </si>
  <si>
    <t>Taft 75 WP 50 X 100 gr</t>
  </si>
  <si>
    <t>QTAFT02</t>
  </si>
  <si>
    <t>Taft 75 WP 40 X 400 gr</t>
  </si>
  <si>
    <t>QTAKE01</t>
  </si>
  <si>
    <t>Take Over 505 SL 50 X 200 ml</t>
  </si>
  <si>
    <t>QTAKE02</t>
  </si>
  <si>
    <t>Take Over 505 SL 20 X 500 ml</t>
  </si>
  <si>
    <t>QTAKE03</t>
  </si>
  <si>
    <t>Take Over 505 SL 20 X 1 ltr</t>
  </si>
  <si>
    <t>QTAKU01</t>
  </si>
  <si>
    <t>QTALD01</t>
  </si>
  <si>
    <t>Taldin 33 EC 48 X 250 ml</t>
  </si>
  <si>
    <t>QTALI01</t>
  </si>
  <si>
    <t>Tali Gendong 20 ltr Star Metal</t>
  </si>
  <si>
    <t>QTALI02</t>
  </si>
  <si>
    <t>Tali Agro</t>
  </si>
  <si>
    <t>QTAME01</t>
  </si>
  <si>
    <t>QTAMP02</t>
  </si>
  <si>
    <t>QTANG01</t>
  </si>
  <si>
    <t>QTANG02</t>
  </si>
  <si>
    <t>QTANG03</t>
  </si>
  <si>
    <t>QTANG04</t>
  </si>
  <si>
    <t>QTANG05</t>
  </si>
  <si>
    <t>QTANG06</t>
  </si>
  <si>
    <t>QTANG07</t>
  </si>
  <si>
    <t>QTANG08</t>
  </si>
  <si>
    <t>QTANG09</t>
  </si>
  <si>
    <t>Tangki Yoto 6 X 5 ltr Stainless</t>
  </si>
  <si>
    <t>QTANG10</t>
  </si>
  <si>
    <t>QTANG11</t>
  </si>
  <si>
    <t>QTANG12</t>
  </si>
  <si>
    <t>QTANG13</t>
  </si>
  <si>
    <t>QTANG14</t>
  </si>
  <si>
    <t>Tangki Yoto 15 Ltr</t>
  </si>
  <si>
    <t>QTANG15</t>
  </si>
  <si>
    <t>Tangki Yoto 16 Ltr Elektrik</t>
  </si>
  <si>
    <t>QTANG16</t>
  </si>
  <si>
    <t>Tangki Yoto 16 ltr Stik Stainless</t>
  </si>
  <si>
    <t>QTANG17</t>
  </si>
  <si>
    <t>QTANG18</t>
  </si>
  <si>
    <t>Tangki Yoto 15 x 2 ltr Stainless</t>
  </si>
  <si>
    <t>QTANG19</t>
  </si>
  <si>
    <t>Tangki Yoto 15 ltr SS</t>
  </si>
  <si>
    <t>QTANG20</t>
  </si>
  <si>
    <t>QTANG21</t>
  </si>
  <si>
    <t>QTANG22</t>
  </si>
  <si>
    <t>Tangki Kanshasuru 14 ltr</t>
  </si>
  <si>
    <t>QTANG23</t>
  </si>
  <si>
    <t>Tangki Kanshasuru 17 ltr</t>
  </si>
  <si>
    <t>QTANG24</t>
  </si>
  <si>
    <t>Tangki Kanshasuru Premium 14 ltr</t>
  </si>
  <si>
    <t>QTANG25</t>
  </si>
  <si>
    <t>Tangki Kanshasuru Premium 17 ltr</t>
  </si>
  <si>
    <t>QTANG26</t>
  </si>
  <si>
    <t>QTANG27</t>
  </si>
  <si>
    <t>QTANG28</t>
  </si>
  <si>
    <t>Tangki Swan Plastik 15 ltr</t>
  </si>
  <si>
    <t>QTANG29</t>
  </si>
  <si>
    <t>QTANG30</t>
  </si>
  <si>
    <t>Tangki Yoto Mist Blower 20 ltr</t>
  </si>
  <si>
    <t>QTANG31</t>
  </si>
  <si>
    <t>Tangki Pandawa Elektrik 16 ltr</t>
  </si>
  <si>
    <t>QTANG32</t>
  </si>
  <si>
    <t>Tangki Yamaha 14 ltr</t>
  </si>
  <si>
    <t>QTANG33</t>
  </si>
  <si>
    <t>QTANG34</t>
  </si>
  <si>
    <t>Tangki Yamaha 17 ltr</t>
  </si>
  <si>
    <t>QTANG35</t>
  </si>
  <si>
    <t>QTANG36</t>
  </si>
  <si>
    <t>QTANG37</t>
  </si>
  <si>
    <t>QTANG38</t>
  </si>
  <si>
    <t>QTANG39</t>
  </si>
  <si>
    <t>QTANG40</t>
  </si>
  <si>
    <t>Tangki Star Phoenix 16 ltr Elektrik</t>
  </si>
  <si>
    <t>QTANG41</t>
  </si>
  <si>
    <t>QTANG42</t>
  </si>
  <si>
    <t>QTANG45</t>
  </si>
  <si>
    <t>Tangki Yoto 20 X 2 ltr</t>
  </si>
  <si>
    <t>QTANG46</t>
  </si>
  <si>
    <t>QTANG47</t>
  </si>
  <si>
    <t>QTANG53</t>
  </si>
  <si>
    <t>QTANT01</t>
  </si>
  <si>
    <t>QTANT02</t>
  </si>
  <si>
    <t xml:space="preserve">Tantan 250 SC 20 X 500 ml </t>
  </si>
  <si>
    <t>QTARG01</t>
  </si>
  <si>
    <t>QTENA01</t>
  </si>
  <si>
    <t>QTERM05</t>
  </si>
  <si>
    <t>Termiban 400 EC 50 X 100 ml</t>
  </si>
  <si>
    <t>QTERM06</t>
  </si>
  <si>
    <t>Termiban 400 EC 20 X 500 ml</t>
  </si>
  <si>
    <t>QTERO01</t>
  </si>
  <si>
    <t>QTERO04</t>
  </si>
  <si>
    <t>Terong Ratih Hijau 20 X 24 X 10 gr</t>
  </si>
  <si>
    <t>QTERO06</t>
  </si>
  <si>
    <t>QTERO07</t>
  </si>
  <si>
    <t>Terong Ratih Ungu 60 X 1 gr</t>
  </si>
  <si>
    <t>QTERO09</t>
  </si>
  <si>
    <t>Terong Ratih Ungu 20 X 24 X 10 gr</t>
  </si>
  <si>
    <t>QTERO10</t>
  </si>
  <si>
    <t>Terong Ratih Hijau 500 X 1 gr</t>
  </si>
  <si>
    <t>QTERO11</t>
  </si>
  <si>
    <t>Terong Ratih Ungu 500 X 1 gr</t>
  </si>
  <si>
    <t>QTERO12</t>
  </si>
  <si>
    <t>QTERO13</t>
  </si>
  <si>
    <t>Terong Prince 20 X 12 X 10 gr</t>
  </si>
  <si>
    <t>QTERO14</t>
  </si>
  <si>
    <t>QTERO15</t>
  </si>
  <si>
    <t>QTERO16</t>
  </si>
  <si>
    <t>Terong Hijo 1 kg</t>
  </si>
  <si>
    <t>QTERO17</t>
  </si>
  <si>
    <t>Terong Karuna 1 kg</t>
  </si>
  <si>
    <t>QTERO18</t>
  </si>
  <si>
    <t>Terong Bungo 500 gr</t>
  </si>
  <si>
    <t>QTERO19</t>
  </si>
  <si>
    <t>Terong Sriti 12 X 15 X 10 gr</t>
  </si>
  <si>
    <t>QTERO20</t>
  </si>
  <si>
    <t>Terong Ronggo 12 X 15 X 10 gr</t>
  </si>
  <si>
    <t>QTERO21</t>
  </si>
  <si>
    <t>Terong Bondan 12 X 15 X 10 gr</t>
  </si>
  <si>
    <t>QTHRO01</t>
  </si>
  <si>
    <t>QTHRO04</t>
  </si>
  <si>
    <t>QTIEZ01</t>
  </si>
  <si>
    <t>QTIEZ02</t>
  </si>
  <si>
    <t>Tiezen 40 X 500 gr</t>
  </si>
  <si>
    <t>QTIEZ03</t>
  </si>
  <si>
    <t>QTIGO01</t>
  </si>
  <si>
    <t>QTIMT01</t>
  </si>
  <si>
    <t>Tim Top 135 SL 20 X 1 ltr</t>
  </si>
  <si>
    <t>QTIMT02</t>
  </si>
  <si>
    <t>Tim Top 135 SL 4 X 5 ltr</t>
  </si>
  <si>
    <t>QTIMT03</t>
  </si>
  <si>
    <t>QTIMU01</t>
  </si>
  <si>
    <t>Timun Berta Hijau 10 gr</t>
  </si>
  <si>
    <t>QTIMU02</t>
  </si>
  <si>
    <t>QTIMU03</t>
  </si>
  <si>
    <t>Timun Natanz F1 12 X 10 X 20 gr</t>
  </si>
  <si>
    <t>QTIMU05</t>
  </si>
  <si>
    <t>Timun TM Belini 5 X 20 gr</t>
  </si>
  <si>
    <t>QTIMU07</t>
  </si>
  <si>
    <t>QTIMU08</t>
  </si>
  <si>
    <t>Timun Hercules 20 X 12 X 10 gr</t>
  </si>
  <si>
    <t>QTIMU09</t>
  </si>
  <si>
    <t>Timun Expo 200 X 10 gr</t>
  </si>
  <si>
    <t>QTIMU10</t>
  </si>
  <si>
    <t>QTIMU12</t>
  </si>
  <si>
    <t>Timun Master AS 222 20 X 10 X 20 gr</t>
  </si>
  <si>
    <t>QTIMU13</t>
  </si>
  <si>
    <t>QTIMU14</t>
  </si>
  <si>
    <t>QTIMU15</t>
  </si>
  <si>
    <t>QTIMU16</t>
  </si>
  <si>
    <t>QTIMU17</t>
  </si>
  <si>
    <t>QTIMU18</t>
  </si>
  <si>
    <t>QTIMU19</t>
  </si>
  <si>
    <t>QTIMU20</t>
  </si>
  <si>
    <t>QTIMU21</t>
  </si>
  <si>
    <t>QTIMU22</t>
  </si>
  <si>
    <t>QTIMU23</t>
  </si>
  <si>
    <t>QTIMU25</t>
  </si>
  <si>
    <t>QTIMU26</t>
  </si>
  <si>
    <t>Timun Ronaldo F1 12 X 10 X 400 seed</t>
  </si>
  <si>
    <t>QTIMU27</t>
  </si>
  <si>
    <t>Timun Monas F1 12 X 10 X 20 gr</t>
  </si>
  <si>
    <t>QTIMU28</t>
  </si>
  <si>
    <t>Timun Harmony Plus 20 X 6 X 20 gr</t>
  </si>
  <si>
    <t>QTIMU30</t>
  </si>
  <si>
    <t>Timun Wuku 1 kg</t>
  </si>
  <si>
    <t>QTIMU31</t>
  </si>
  <si>
    <t>Timun Sukoi Hijau 1 kg</t>
  </si>
  <si>
    <t>QTINK01</t>
  </si>
  <si>
    <t>QTOBA01</t>
  </si>
  <si>
    <t>QTOMA01</t>
  </si>
  <si>
    <t>Tomat Anita 6 X 20 X 5 gr</t>
  </si>
  <si>
    <t>QTOMA03</t>
  </si>
  <si>
    <t>QTOMA04</t>
  </si>
  <si>
    <t>QTOMA05</t>
  </si>
  <si>
    <t>QTOMA06</t>
  </si>
  <si>
    <t>Tomat Saviro 18 X 25 X 5 gr</t>
  </si>
  <si>
    <t>QTOMA07</t>
  </si>
  <si>
    <t>QTOMA08</t>
  </si>
  <si>
    <t>Tomat Kharisma 20 X 30 X 5 gr</t>
  </si>
  <si>
    <t>QTOMA09</t>
  </si>
  <si>
    <t>QTOMA10</t>
  </si>
  <si>
    <t>Tomat Victory 50 X 0.5 gr</t>
  </si>
  <si>
    <t>QTOMA11</t>
  </si>
  <si>
    <t>Tomat TO 244 12 X 20 X 1750 seed</t>
  </si>
  <si>
    <t>QTOMA12</t>
  </si>
  <si>
    <t>QTOMA13</t>
  </si>
  <si>
    <t>Tomat Citra Asia F1 12 X 20 X 5 gr</t>
  </si>
  <si>
    <t>QTOMA14</t>
  </si>
  <si>
    <t>Tomat Warda 12 X 20 X 5 gr</t>
  </si>
  <si>
    <t>QTOMA15</t>
  </si>
  <si>
    <t>Tomat Fortuna 23 20 X 24 X 5 gr</t>
  </si>
  <si>
    <t>QTOMA16</t>
  </si>
  <si>
    <t>QTOMA17</t>
  </si>
  <si>
    <t>QTOMA18</t>
  </si>
  <si>
    <t>QTOMA19</t>
  </si>
  <si>
    <t>QTOMA20</t>
  </si>
  <si>
    <t>Tomat Servo F1 12 X 20 X 1750 seed</t>
  </si>
  <si>
    <t>QTOMA21</t>
  </si>
  <si>
    <t>QTOMA22</t>
  </si>
  <si>
    <t>Tomat Timoty 12 X 20 X 1750 seed</t>
  </si>
  <si>
    <t>QTOMA23</t>
  </si>
  <si>
    <t>QTOMA24</t>
  </si>
  <si>
    <t>QTOMA25</t>
  </si>
  <si>
    <t>Tomat Corona 402 20 X 24 X 5 gr</t>
  </si>
  <si>
    <t>QTOMA27</t>
  </si>
  <si>
    <t>Tomat Maleo F1 12 X 20 X 5 gr</t>
  </si>
  <si>
    <t>QTOMA28</t>
  </si>
  <si>
    <t>Tomat Fortuna 23 20 X 20 X 5 gr</t>
  </si>
  <si>
    <t>QTOMB02</t>
  </si>
  <si>
    <t>Tombak 189 EC 20 X 400 ml</t>
  </si>
  <si>
    <t>QTOPA01</t>
  </si>
  <si>
    <t>QTOPI02</t>
  </si>
  <si>
    <t>Topi Rimba MIA</t>
  </si>
  <si>
    <t>QTOPJ02</t>
  </si>
  <si>
    <t>Topjos 300 SL 4 X 5 ltr</t>
  </si>
  <si>
    <t>QTOPJ03</t>
  </si>
  <si>
    <t>Topjos 300 SL 20 ltr</t>
  </si>
  <si>
    <t>QTOPN01</t>
  </si>
  <si>
    <t>Topnil 50 EC 50 X 100 ml</t>
  </si>
  <si>
    <t>QTOPN02</t>
  </si>
  <si>
    <t>Topnil 50 EC 20 X 500 ml</t>
  </si>
  <si>
    <t>QTOPS01</t>
  </si>
  <si>
    <t>QTOPS03</t>
  </si>
  <si>
    <t>Topshot 60 OD 20 X 250 ml</t>
  </si>
  <si>
    <t>QTOPS04</t>
  </si>
  <si>
    <t>Topshot 60 OD 24 x 250 ml</t>
  </si>
  <si>
    <t>QTOPS05</t>
  </si>
  <si>
    <t>Topsin M 70 WP 20 X 500 gr</t>
  </si>
  <si>
    <t>QTOPS06</t>
  </si>
  <si>
    <t>Topshot 60 OD 20 X 500 ml</t>
  </si>
  <si>
    <t>QTOPS07</t>
  </si>
  <si>
    <t>Topsin 500 SC 20 X 500 ml</t>
  </si>
  <si>
    <t>QTOPS09</t>
  </si>
  <si>
    <t>QTOPS10</t>
  </si>
  <si>
    <t>Topsin 500 SC 20 X 200 ml</t>
  </si>
  <si>
    <t>QTOPZ01</t>
  </si>
  <si>
    <t>Topzone 150 SL 15 x 1 ltr</t>
  </si>
  <si>
    <t>QTOPZ02</t>
  </si>
  <si>
    <t>Topzone 276 SL 15 x 1 ltr</t>
  </si>
  <si>
    <t>QTORS01</t>
  </si>
  <si>
    <t>QTORS02</t>
  </si>
  <si>
    <t>QTORS03</t>
  </si>
  <si>
    <t>QTOSB01</t>
  </si>
  <si>
    <t>QTOSB02</t>
  </si>
  <si>
    <t>QTOSB03</t>
  </si>
  <si>
    <t>QTRAN01</t>
  </si>
  <si>
    <t>Transformer 20 X 500 ml</t>
  </si>
  <si>
    <t>QTRIA01</t>
  </si>
  <si>
    <t>QTRIA02</t>
  </si>
  <si>
    <t>QTRIA03</t>
  </si>
  <si>
    <t>QTRIC01</t>
  </si>
  <si>
    <t>QTRIC02</t>
  </si>
  <si>
    <t>QTRIC03</t>
  </si>
  <si>
    <t>Tricho Plus AP 100 X 100 gr</t>
  </si>
  <si>
    <t>QTRID01</t>
  </si>
  <si>
    <t>QTRIG03</t>
  </si>
  <si>
    <t>QTRIP03</t>
  </si>
  <si>
    <t>Triplelima 555 SL 4 X 5 ltr</t>
  </si>
  <si>
    <t>QTRIS01</t>
  </si>
  <si>
    <t>QTRIS02</t>
  </si>
  <si>
    <t>QTRIS03</t>
  </si>
  <si>
    <t>Trisula 450 SL 50 X 100 ml</t>
  </si>
  <si>
    <t>QTRIV01</t>
  </si>
  <si>
    <t>QTRIV02</t>
  </si>
  <si>
    <t>QTSP 01</t>
  </si>
  <si>
    <t>TSP Avail 25 kg</t>
  </si>
  <si>
    <t>QTSP 02</t>
  </si>
  <si>
    <t>QTSP 03</t>
  </si>
  <si>
    <t>TSP Cap Daun 50 kg</t>
  </si>
  <si>
    <t>QTUNT01</t>
  </si>
  <si>
    <t>QTUNT02</t>
  </si>
  <si>
    <t>Tuntas 300/100 SL 20 ltr</t>
  </si>
  <si>
    <t>QTUNT04</t>
  </si>
  <si>
    <t>Tuntas 300/100 SL 4 X 5 ltr</t>
  </si>
  <si>
    <t>QTURE01</t>
  </si>
  <si>
    <t>Turex WP 100 X 100 gr</t>
  </si>
  <si>
    <t>QTUTU01</t>
  </si>
  <si>
    <t>Tutup Sprayer Star Metal</t>
  </si>
  <si>
    <t>QUMBU01</t>
  </si>
  <si>
    <t>Umbul-umbul Associate</t>
  </si>
  <si>
    <t>QUMBU02</t>
  </si>
  <si>
    <t>QUMBU03</t>
  </si>
  <si>
    <t>Umbul-umbul Piraklo</t>
  </si>
  <si>
    <t>QUMBU05</t>
  </si>
  <si>
    <t xml:space="preserve">Umbul-umbul Elazaro </t>
  </si>
  <si>
    <t>QUNIL01</t>
  </si>
  <si>
    <t>QUNIQ01</t>
  </si>
  <si>
    <t>QUNIQ02</t>
  </si>
  <si>
    <t>Uniquat 276 SL 2 X 5 ltr</t>
  </si>
  <si>
    <t>QUNIQ03</t>
  </si>
  <si>
    <t>Uniquat 276 SL 20 ltr</t>
  </si>
  <si>
    <t>QUNIS01</t>
  </si>
  <si>
    <t>QUREC01</t>
  </si>
  <si>
    <t>Urecote 50 kg</t>
  </si>
  <si>
    <t>QUSPA01</t>
  </si>
  <si>
    <t>QUSPA02</t>
  </si>
  <si>
    <t>QUSPA03</t>
  </si>
  <si>
    <t>USP Asnita Tawon 8 X 5 kg</t>
  </si>
  <si>
    <t>QVALE01</t>
  </si>
  <si>
    <t>QVALE02</t>
  </si>
  <si>
    <t>Valetudo 600 SC 50 X 250 ml</t>
  </si>
  <si>
    <t>QVALE03</t>
  </si>
  <si>
    <t>Valetudo 600 SC 50 X 100 ml</t>
  </si>
  <si>
    <t>QVALI01</t>
  </si>
  <si>
    <t>QVALI02</t>
  </si>
  <si>
    <t>QVALI03</t>
  </si>
  <si>
    <t>Valiant 50 EC 40 X 250 ml</t>
  </si>
  <si>
    <t>QVALI04</t>
  </si>
  <si>
    <t>QVAND01</t>
  </si>
  <si>
    <t>QVAYE01</t>
  </si>
  <si>
    <t>QVENT01</t>
  </si>
  <si>
    <t>Ventura 3GR 10 X 2 kg</t>
  </si>
  <si>
    <t>QVENT02</t>
  </si>
  <si>
    <t>Ventura 3GR 18 X 1 kg</t>
  </si>
  <si>
    <t>QVERT01</t>
  </si>
  <si>
    <t>QVERT03</t>
  </si>
  <si>
    <t>QVICT01</t>
  </si>
  <si>
    <t>QVICT03</t>
  </si>
  <si>
    <t>Victory 75 WP (Blue) 20 X 1 kg</t>
  </si>
  <si>
    <t>QVISH02</t>
  </si>
  <si>
    <t>QVOLI01</t>
  </si>
  <si>
    <t>QVOLN01</t>
  </si>
  <si>
    <t>QWALA01</t>
  </si>
  <si>
    <t>QWALL01</t>
  </si>
  <si>
    <t>QWALU01</t>
  </si>
  <si>
    <t>Waluh Hammer 20 X 12 X 10 gr</t>
  </si>
  <si>
    <t>QWELC01</t>
  </si>
  <si>
    <t>QWELL01</t>
  </si>
  <si>
    <t>Wellnoid 60 WP 100 X 100 gr</t>
  </si>
  <si>
    <t>QWETC01</t>
  </si>
  <si>
    <t>QWETC02</t>
  </si>
  <si>
    <t>Wetcit 48 X 250 ml</t>
  </si>
  <si>
    <t>QWIND01</t>
  </si>
  <si>
    <t>Winder 100 EC 50 X 100 ml</t>
  </si>
  <si>
    <t>QWIND02</t>
  </si>
  <si>
    <t>Winder 25 WP 160 X 25 gr</t>
  </si>
  <si>
    <t>QWIND03</t>
  </si>
  <si>
    <t>Winder 100 EC 50 X 250 ml</t>
  </si>
  <si>
    <t>QWIND04</t>
  </si>
  <si>
    <t>QWIND05</t>
  </si>
  <si>
    <t>QWINF01</t>
  </si>
  <si>
    <t>Winfos 525 SL 20 X 1 ltr</t>
  </si>
  <si>
    <t>QWINF02</t>
  </si>
  <si>
    <t>Winfos 525 SL 4 X 5 ltr</t>
  </si>
  <si>
    <t>QWINF03</t>
  </si>
  <si>
    <t>Winfos 525 SL 20 ltr</t>
  </si>
  <si>
    <t>QXEMC01</t>
  </si>
  <si>
    <t>QXSIL01</t>
  </si>
  <si>
    <t>QXYCO01</t>
  </si>
  <si>
    <t>Xycort 550/60 EC 100 X 100 ml</t>
  </si>
  <si>
    <t>QXZO01</t>
  </si>
  <si>
    <t>QYOKO01</t>
  </si>
  <si>
    <t>QYOTO01</t>
  </si>
  <si>
    <t>QYOUS01</t>
  </si>
  <si>
    <t>QZAAL01</t>
  </si>
  <si>
    <t>QZAAL02</t>
  </si>
  <si>
    <t>QZACA01</t>
  </si>
  <si>
    <t>QZACH01</t>
  </si>
  <si>
    <t>ZA China 50 kg (tidak dipakai)</t>
  </si>
  <si>
    <t>QZAKR01</t>
  </si>
  <si>
    <t>ZA Kristal 50 kg</t>
  </si>
  <si>
    <t>QZAKU01</t>
  </si>
  <si>
    <t>ZA Kuning 50 kg</t>
  </si>
  <si>
    <t>QZALA01</t>
  </si>
  <si>
    <t>QZAMA01</t>
  </si>
  <si>
    <t>QZAMA02</t>
  </si>
  <si>
    <t>QZAMA03</t>
  </si>
  <si>
    <t>QZAPA01</t>
  </si>
  <si>
    <t>ZA Pak Tani 50 kg</t>
  </si>
  <si>
    <t>QZAPR01</t>
  </si>
  <si>
    <t>ZA Primark 50 kg</t>
  </si>
  <si>
    <t>QZATA01</t>
  </si>
  <si>
    <t>QZEGR01</t>
  </si>
  <si>
    <t>Zegran 50 kg</t>
  </si>
  <si>
    <t>QZEPH01</t>
  </si>
  <si>
    <t>QZORV01</t>
  </si>
  <si>
    <t>Zorvec Encantia 330 SE 20 X 150 ml</t>
  </si>
  <si>
    <t>QZPTP01</t>
  </si>
  <si>
    <t>ZPT Proud 4 EC 100 X 100 ml</t>
  </si>
  <si>
    <t>QZPTP02</t>
  </si>
  <si>
    <t>ZPT Proud 4 EC 40 X 250 ml</t>
  </si>
  <si>
    <t>QZPTP03</t>
  </si>
  <si>
    <t>ZPT Proud 4 EC 20 X 500 ml</t>
  </si>
  <si>
    <t>XHANDP01</t>
  </si>
  <si>
    <t>Handphone Samsung Galaxy S23</t>
  </si>
  <si>
    <t>XKOMPO01</t>
  </si>
  <si>
    <t>Kompor Gas Rinai</t>
  </si>
  <si>
    <t>XKULKA01</t>
  </si>
  <si>
    <t>KULKAS LG</t>
  </si>
  <si>
    <t>XKUPAS01</t>
  </si>
  <si>
    <t>Kipas Angin Cosmos</t>
  </si>
  <si>
    <t>XMAGIC01</t>
  </si>
  <si>
    <t>Magic Com Sharp</t>
  </si>
  <si>
    <t>XMESIN01</t>
  </si>
  <si>
    <t>Mesin Cuci Sharp</t>
  </si>
  <si>
    <t>XNOTEB01</t>
  </si>
  <si>
    <t>Note Book Lenovo</t>
  </si>
  <si>
    <t>XPCAMD01</t>
  </si>
  <si>
    <t>PC AMD ACER</t>
  </si>
  <si>
    <t>XSEPED03</t>
  </si>
  <si>
    <t>XSEPED04</t>
  </si>
  <si>
    <t>Sepeda Listrik Viar</t>
  </si>
  <si>
    <t>XSETRI01</t>
  </si>
  <si>
    <t>Setrika Philips</t>
  </si>
  <si>
    <t>XTVLED02</t>
  </si>
  <si>
    <t>TV LED TOSHIBA ANDROID</t>
  </si>
  <si>
    <t>XTVLED03</t>
  </si>
  <si>
    <t>TV LED XIAOMI</t>
  </si>
  <si>
    <t>XTVLED04</t>
  </si>
  <si>
    <t>TV LED CHANGHONG</t>
  </si>
  <si>
    <t>XTVLED05</t>
  </si>
  <si>
    <t>TV LED Sharp</t>
  </si>
  <si>
    <t>XVACUM01</t>
  </si>
  <si>
    <t>Vacum Cleaner</t>
  </si>
  <si>
    <t>ZZACL01</t>
  </si>
  <si>
    <t>AC LG</t>
  </si>
  <si>
    <t>ZZACMI01</t>
  </si>
  <si>
    <t>AC Mitsubishi</t>
  </si>
  <si>
    <t>ZZACMI02</t>
  </si>
  <si>
    <t>AC Midea</t>
  </si>
  <si>
    <t>ZZAND01</t>
  </si>
  <si>
    <t>Android TV  Coocaa 32"</t>
  </si>
  <si>
    <t>ZZANDRO01</t>
  </si>
  <si>
    <t>Android TV Aqua 32"</t>
  </si>
  <si>
    <t>ZZANTE01</t>
  </si>
  <si>
    <t>Antena HP</t>
  </si>
  <si>
    <t>ZZBAJU03</t>
  </si>
  <si>
    <t>Baju Batik DK</t>
  </si>
  <si>
    <t>ZZBAJU04</t>
  </si>
  <si>
    <t>Baju Taqwa DK</t>
  </si>
  <si>
    <t>ZZBAJU05</t>
  </si>
  <si>
    <t>Baju Batik Gramoxone</t>
  </si>
  <si>
    <t>ZZBAND01</t>
  </si>
  <si>
    <t>Bandana Kemah Kerja</t>
  </si>
  <si>
    <t>ZZBANN01</t>
  </si>
  <si>
    <t>Banner Saprotan</t>
  </si>
  <si>
    <t>ZZBANN02</t>
  </si>
  <si>
    <t>Banner Qiuvita 2 X 1</t>
  </si>
  <si>
    <t>ZZBANN04</t>
  </si>
  <si>
    <t>Banner Kecil Magicgro</t>
  </si>
  <si>
    <t>ZZBERA01</t>
  </si>
  <si>
    <t>Beras @ 5 kg</t>
  </si>
  <si>
    <t>ZZBLEN01</t>
  </si>
  <si>
    <t>Blender Midea</t>
  </si>
  <si>
    <t>ZZBOXK01</t>
  </si>
  <si>
    <t>Box Kanvas Motor Banteng</t>
  </si>
  <si>
    <t>ZZBROS01</t>
  </si>
  <si>
    <t>Brosur Q-989</t>
  </si>
  <si>
    <t>ZZBROS06</t>
  </si>
  <si>
    <t>Brosur Bisi 77 &amp; 959</t>
  </si>
  <si>
    <t>ZZBUKU01</t>
  </si>
  <si>
    <t>Buku Pocket Personal</t>
  </si>
  <si>
    <t>ZZBUKU02</t>
  </si>
  <si>
    <t>Buku Tulis CAC</t>
  </si>
  <si>
    <t>ZZBUKU03</t>
  </si>
  <si>
    <t>Buku Tulis Meteor</t>
  </si>
  <si>
    <t>ZZCAME01</t>
  </si>
  <si>
    <t>Camera Canon</t>
  </si>
  <si>
    <t>ZZCOOK01</t>
  </si>
  <si>
    <t>Cookware Set Maxim</t>
  </si>
  <si>
    <t>ZZCUPS01</t>
  </si>
  <si>
    <t>Cup Set</t>
  </si>
  <si>
    <t>ZZDISP01</t>
  </si>
  <si>
    <t>Dispenser QO</t>
  </si>
  <si>
    <t>ZZDISP02</t>
  </si>
  <si>
    <t>Dispenser Miyako</t>
  </si>
  <si>
    <t>ZZDVD01</t>
  </si>
  <si>
    <t>DVD Polestar</t>
  </si>
  <si>
    <t>ZZDVD02</t>
  </si>
  <si>
    <t>DVD Sanken</t>
  </si>
  <si>
    <t>ZZDVD03</t>
  </si>
  <si>
    <t>DVD Honsu</t>
  </si>
  <si>
    <t>ZZGELA02</t>
  </si>
  <si>
    <t>Gelas Loney</t>
  </si>
  <si>
    <t>ZZGELA04</t>
  </si>
  <si>
    <t>Gelas Migi Fenomin</t>
  </si>
  <si>
    <t>ZZGELA05</t>
  </si>
  <si>
    <t>Gelas MKD</t>
  </si>
  <si>
    <t>ZZGULA01</t>
  </si>
  <si>
    <t>Gula Pasir 1 kg</t>
  </si>
  <si>
    <t>ZZGULA02</t>
  </si>
  <si>
    <t>Gula Pasir 500 gr</t>
  </si>
  <si>
    <t>ZZGUNT01</t>
  </si>
  <si>
    <t>Gunting Dahan Tangan</t>
  </si>
  <si>
    <t>ZZHAND01</t>
  </si>
  <si>
    <t>Handphone INNOS Q88</t>
  </si>
  <si>
    <t>ZZHAND02</t>
  </si>
  <si>
    <t>Handphone Samsung 7262 Starplus</t>
  </si>
  <si>
    <t>ZZHAND03</t>
  </si>
  <si>
    <t>Handphone Samsung Galaxy</t>
  </si>
  <si>
    <t>ZZHAND04</t>
  </si>
  <si>
    <t>Handuk Bola</t>
  </si>
  <si>
    <t>ZZHAND05</t>
  </si>
  <si>
    <t>Handuk Disney</t>
  </si>
  <si>
    <t>ZZHAND06</t>
  </si>
  <si>
    <t>Handphone Blackberry 9330</t>
  </si>
  <si>
    <t>ZZHAND07</t>
  </si>
  <si>
    <t>Handphone Super</t>
  </si>
  <si>
    <t>ZZHAND09</t>
  </si>
  <si>
    <t>Handphone Samsung J1 White</t>
  </si>
  <si>
    <t>ZZHAND10</t>
  </si>
  <si>
    <t>Handphone Strawberry ST-808</t>
  </si>
  <si>
    <t>ZZHAND11</t>
  </si>
  <si>
    <t>Handphone Samsung J510FN Gold</t>
  </si>
  <si>
    <t>ZZHAND12</t>
  </si>
  <si>
    <t>Handphone Samsung J7 Prime</t>
  </si>
  <si>
    <t>ZZHAND13</t>
  </si>
  <si>
    <t>Handphone Android Samsung</t>
  </si>
  <si>
    <t>ZZHAND14</t>
  </si>
  <si>
    <t>Handphone Samsung A10S</t>
  </si>
  <si>
    <t>ZZHEM01</t>
  </si>
  <si>
    <t>Hem/ Baju Monsanto</t>
  </si>
  <si>
    <t>ZZHPINF01</t>
  </si>
  <si>
    <t>HP Infinix Hot</t>
  </si>
  <si>
    <t>ZZHPOP01</t>
  </si>
  <si>
    <t>HP Oppo A58 8/128 Hijau</t>
  </si>
  <si>
    <t>ZZINFIN01</t>
  </si>
  <si>
    <t>Infinix X662 Hot 11 4/64GB</t>
  </si>
  <si>
    <t>ZZIPHO01</t>
  </si>
  <si>
    <t>Iphone 6 Gray 16 GB</t>
  </si>
  <si>
    <t>ZZJAKE05</t>
  </si>
  <si>
    <t>Jaket Bomber</t>
  </si>
  <si>
    <t>ZZJAMD02</t>
  </si>
  <si>
    <t>Jam Dinding Danvil/Dalzon</t>
  </si>
  <si>
    <t>ZZJAMD03</t>
  </si>
  <si>
    <t>Jam Dinding KW</t>
  </si>
  <si>
    <t>ZZJAMD04</t>
  </si>
  <si>
    <t>Jam dinding Mulsa Karisma</t>
  </si>
  <si>
    <t>ZZJAMD05</t>
  </si>
  <si>
    <t>Jam Dinding Mitsubishi</t>
  </si>
  <si>
    <t>ZZJAMD07</t>
  </si>
  <si>
    <t>Jam Dinding</t>
  </si>
  <si>
    <t>ZZJAMG01</t>
  </si>
  <si>
    <t>Jam grafir</t>
  </si>
  <si>
    <t>ZZKALE01</t>
  </si>
  <si>
    <t>Kalender AO</t>
  </si>
  <si>
    <t>ZZKALE02</t>
  </si>
  <si>
    <t>Kalender Bali</t>
  </si>
  <si>
    <t>ZZKALE03</t>
  </si>
  <si>
    <t>Kalender Bisi</t>
  </si>
  <si>
    <t>ZZKALE04</t>
  </si>
  <si>
    <t>Kalender Harian China</t>
  </si>
  <si>
    <t>ZZKALE05</t>
  </si>
  <si>
    <t>Kalender Duduk</t>
  </si>
  <si>
    <t>ZZKALE06</t>
  </si>
  <si>
    <t>Kalender SGI</t>
  </si>
  <si>
    <t>ZZKALE07</t>
  </si>
  <si>
    <t>Kalender Java Karlos</t>
  </si>
  <si>
    <t>ZZKALE08</t>
  </si>
  <si>
    <t>Kalender Dinding Adil Makmur Fajar</t>
  </si>
  <si>
    <t>ZZKALE09</t>
  </si>
  <si>
    <t>Kalender Dinding Java Karlos</t>
  </si>
  <si>
    <t>ZZKALE10</t>
  </si>
  <si>
    <t>Kalender Duduk Java karlos</t>
  </si>
  <si>
    <t>ZZKALE12</t>
  </si>
  <si>
    <t>ZZKALE13</t>
  </si>
  <si>
    <t>ZZKALE14</t>
  </si>
  <si>
    <t>Kalender Duduk Java Karlos</t>
  </si>
  <si>
    <t>ZZKALE15</t>
  </si>
  <si>
    <t>Kalender Dinding</t>
  </si>
  <si>
    <t>ZZKALE16</t>
  </si>
  <si>
    <t>Kalender Dinding Syngenta</t>
  </si>
  <si>
    <t>ZZKALE17</t>
  </si>
  <si>
    <t>Kalender Dinding SGI</t>
  </si>
  <si>
    <t>ZZKALE18</t>
  </si>
  <si>
    <t>Kalender Meja SGI</t>
  </si>
  <si>
    <t>ZZKALE20</t>
  </si>
  <si>
    <t>Kalender Harian - ALSID</t>
  </si>
  <si>
    <t>ZZKALE21</t>
  </si>
  <si>
    <t>Kalender Bulanan - ALSID</t>
  </si>
  <si>
    <t>ZZKALE22</t>
  </si>
  <si>
    <t>Kalender Duduk - ALSID</t>
  </si>
  <si>
    <t>ZZKALE23</t>
  </si>
  <si>
    <t>Kalender Duduk FMC</t>
  </si>
  <si>
    <t>ZZKALE24</t>
  </si>
  <si>
    <t>Kalender Dinding Advanta</t>
  </si>
  <si>
    <t>ZZKALE25</t>
  </si>
  <si>
    <t>Kalender Meja  Advanta</t>
  </si>
  <si>
    <t>ZZKALE35</t>
  </si>
  <si>
    <t>ZZKALE36</t>
  </si>
  <si>
    <t>ZZKALE45</t>
  </si>
  <si>
    <t>ZZKALE50</t>
  </si>
  <si>
    <t>ZZKALK01</t>
  </si>
  <si>
    <t>Kalkulator Karce 400</t>
  </si>
  <si>
    <t>ZZKAOS01</t>
  </si>
  <si>
    <t>Kaos Agrotech</t>
  </si>
  <si>
    <t>ZZKAOS02</t>
  </si>
  <si>
    <t>Kaos Alphadine</t>
  </si>
  <si>
    <t>ZZKAOS03</t>
  </si>
  <si>
    <t>Kaos Amonite</t>
  </si>
  <si>
    <t>ZZKAOS05</t>
  </si>
  <si>
    <t>Kaos BASF</t>
  </si>
  <si>
    <t>ZZKAOS07</t>
  </si>
  <si>
    <t>Kaos BCA (Permana)</t>
  </si>
  <si>
    <t>ZZKAOS08</t>
  </si>
  <si>
    <t>Kaos Bionta</t>
  </si>
  <si>
    <t>ZZKAOS09</t>
  </si>
  <si>
    <t>Kaos Cabe Dewa Rengku</t>
  </si>
  <si>
    <t>ZZKAOS10</t>
  </si>
  <si>
    <t>Kaos Cabe Prada</t>
  </si>
  <si>
    <t>ZZKAOS100</t>
  </si>
  <si>
    <t>Kaos Bafin</t>
  </si>
  <si>
    <t>ZZKAOS102</t>
  </si>
  <si>
    <t>Kaos Besvidor</t>
  </si>
  <si>
    <t>ZZKAOS103</t>
  </si>
  <si>
    <t>Kaos Biggrow</t>
  </si>
  <si>
    <t>ZZKAOS104</t>
  </si>
  <si>
    <t>Kaos Bintang</t>
  </si>
  <si>
    <t>ZZKAOS105</t>
  </si>
  <si>
    <t>Kaos Bintang Asia</t>
  </si>
  <si>
    <t>ZZKAOS106</t>
  </si>
  <si>
    <t>Kaos Bintang Mas</t>
  </si>
  <si>
    <t>ZZKAOS107</t>
  </si>
  <si>
    <t>Kaos Biochem</t>
  </si>
  <si>
    <t>ZZKAOS108</t>
  </si>
  <si>
    <t>Kaos Bravo</t>
  </si>
  <si>
    <t>ZZKAOS109</t>
  </si>
  <si>
    <t>Kaos Smk. Forest</t>
  </si>
  <si>
    <t>ZZKAOS11</t>
  </si>
  <si>
    <t>Kaos Cedrik</t>
  </si>
  <si>
    <t>ZZKAOS110</t>
  </si>
  <si>
    <t>Kaos Gemini</t>
  </si>
  <si>
    <t>ZZKAOS111</t>
  </si>
  <si>
    <t>Kaos Inova</t>
  </si>
  <si>
    <t>ZZKAOS112</t>
  </si>
  <si>
    <t>Kaos JJM</t>
  </si>
  <si>
    <t>ZZKAOS113</t>
  </si>
  <si>
    <t>Kaos KDP</t>
  </si>
  <si>
    <t>ZZKAOS114</t>
  </si>
  <si>
    <t>Kaos Smk. Kingdom</t>
  </si>
  <si>
    <t>ZZKAOS115</t>
  </si>
  <si>
    <t>Kaos Know You</t>
  </si>
  <si>
    <t>ZZKAOS116</t>
  </si>
  <si>
    <t>Kaos Kuning Polos</t>
  </si>
  <si>
    <t>ZZKAOS117</t>
  </si>
  <si>
    <t>Kaos Lirocide</t>
  </si>
  <si>
    <t>ZZKAOS119</t>
  </si>
  <si>
    <t>Kaos Metaprima</t>
  </si>
  <si>
    <t>ZZKAOS12</t>
  </si>
  <si>
    <t>Kaos Centafur</t>
  </si>
  <si>
    <t>ZZKAOS121</t>
  </si>
  <si>
    <t>Kaos Monsanto</t>
  </si>
  <si>
    <t>ZZKAOS122</t>
  </si>
  <si>
    <t>Kaos Mulsa Biotis</t>
  </si>
  <si>
    <t>ZZKAOS124</t>
  </si>
  <si>
    <t>Kaos NPK Booster</t>
  </si>
  <si>
    <t>ZZKAOS125</t>
  </si>
  <si>
    <t>Kaos Paclo</t>
  </si>
  <si>
    <t>ZZKAOS126</t>
  </si>
  <si>
    <t>Kaos Pak Tani</t>
  </si>
  <si>
    <t>ZZKAOS127</t>
  </si>
  <si>
    <t>Kaos Pertiwi</t>
  </si>
  <si>
    <t>ZZKAOS128</t>
  </si>
  <si>
    <t>Kaos Petroban</t>
  </si>
  <si>
    <t>ZZKAOS129</t>
  </si>
  <si>
    <t>Kaos Pinguin</t>
  </si>
  <si>
    <t>ZZKAOS132</t>
  </si>
  <si>
    <t>Kaos Q 99</t>
  </si>
  <si>
    <t>ZZKAOS133</t>
  </si>
  <si>
    <t>Kaos Rapopo</t>
  </si>
  <si>
    <t>ZZKAOS134</t>
  </si>
  <si>
    <t>Kaos Rolidor</t>
  </si>
  <si>
    <t>ZZKAOS135</t>
  </si>
  <si>
    <t>Kaos Round Up</t>
  </si>
  <si>
    <t>ZZKAOS136</t>
  </si>
  <si>
    <t>Kaos Sagripas</t>
  </si>
  <si>
    <t>ZZKAOS137</t>
  </si>
  <si>
    <t>Kaos Sankil</t>
  </si>
  <si>
    <t>ZZKAOS139</t>
  </si>
  <si>
    <t>Kaos Smk. Big Red</t>
  </si>
  <si>
    <t>ZZKAOS14</t>
  </si>
  <si>
    <t>Kaos Counter</t>
  </si>
  <si>
    <t>ZZKAOS140</t>
  </si>
  <si>
    <t>Kaos Spontan</t>
  </si>
  <si>
    <t>ZZKAOS141</t>
  </si>
  <si>
    <t>Kaos TBS</t>
  </si>
  <si>
    <t>ZZKAOS142</t>
  </si>
  <si>
    <t>Kaos Tomat Sakina</t>
  </si>
  <si>
    <t>ZZKAOS143</t>
  </si>
  <si>
    <t>Kaos Topas</t>
  </si>
  <si>
    <t>ZZKAOS144</t>
  </si>
  <si>
    <t>ZZKAOS145</t>
  </si>
  <si>
    <t>Kaos Tracer</t>
  </si>
  <si>
    <t>ZZKAOS147</t>
  </si>
  <si>
    <t>Kaos Urbite Kuning</t>
  </si>
  <si>
    <t>ZZKAOS148</t>
  </si>
  <si>
    <t>Kaos Urbite Putih</t>
  </si>
  <si>
    <t>ZZKAOS149</t>
  </si>
  <si>
    <t>Kaos Weedrol</t>
  </si>
  <si>
    <t>ZZKAOS150</t>
  </si>
  <si>
    <t>Kaos Mulsa Kurma</t>
  </si>
  <si>
    <t>ZZKAOS151</t>
  </si>
  <si>
    <t>Kaos Gallery</t>
  </si>
  <si>
    <t>ZZKAOS153</t>
  </si>
  <si>
    <t>Kaos Hidrofur</t>
  </si>
  <si>
    <t>ZZKAOS154</t>
  </si>
  <si>
    <t>Kaos Karisma Lengan Panjang</t>
  </si>
  <si>
    <t>ZZKAOS156</t>
  </si>
  <si>
    <t>Kaos Kra MIA (DG)</t>
  </si>
  <si>
    <t>ZZKAOS157</t>
  </si>
  <si>
    <t>Kaos Kra MIA (DG#1)</t>
  </si>
  <si>
    <t>ZZKAOS158</t>
  </si>
  <si>
    <t>Kaos Lengan Panjang MIA (DG)</t>
  </si>
  <si>
    <t>ZZKAOS16</t>
  </si>
  <si>
    <t>Kaos DOW</t>
  </si>
  <si>
    <t>ZZKAOS161</t>
  </si>
  <si>
    <t>Kaos Lengan Panjang MIA Resep Padi</t>
  </si>
  <si>
    <t>ZZKAOS162</t>
  </si>
  <si>
    <t>Kaos Royal Agro - Custodia</t>
  </si>
  <si>
    <t>ZZKAOS163</t>
  </si>
  <si>
    <t>Kaos Melon Pertiwi</t>
  </si>
  <si>
    <t>ZZKAOS166</t>
  </si>
  <si>
    <t>Kaos Jagung ADV 777</t>
  </si>
  <si>
    <t>ZZKAOS167</t>
  </si>
  <si>
    <t>Kaos Accora</t>
  </si>
  <si>
    <t>ZZKAOS170</t>
  </si>
  <si>
    <t>Kaos Wakaponda</t>
  </si>
  <si>
    <t>ZZKAOS171</t>
  </si>
  <si>
    <t>Kaos Wrapup</t>
  </si>
  <si>
    <t>ZZKAOS173</t>
  </si>
  <si>
    <t>Kaos TM 888</t>
  </si>
  <si>
    <t>ZZKAOS174</t>
  </si>
  <si>
    <t>Kaos Vista</t>
  </si>
  <si>
    <t>ZZKAOS175</t>
  </si>
  <si>
    <t>ZZKAOS176</t>
  </si>
  <si>
    <t>Kaos Rajatrin</t>
  </si>
  <si>
    <t>ZZKAOS177</t>
  </si>
  <si>
    <t>Kaos Redfast</t>
  </si>
  <si>
    <t>ZZKAOS178</t>
  </si>
  <si>
    <t>Kaos Kiliri</t>
  </si>
  <si>
    <t>ZZKAOS179</t>
  </si>
  <si>
    <t>Kaos Langkil</t>
  </si>
  <si>
    <t>ZZKAOS180</t>
  </si>
  <si>
    <t>Kaos Lentrek 400 EC</t>
  </si>
  <si>
    <t>ZZKAOS181</t>
  </si>
  <si>
    <t>Kaos Permana</t>
  </si>
  <si>
    <t>ZZKAOS182</t>
  </si>
  <si>
    <t>Kaos Cruiser</t>
  </si>
  <si>
    <t>ZZKAOS183</t>
  </si>
  <si>
    <t>Kaos Delcagro</t>
  </si>
  <si>
    <t>ZZKAOS184</t>
  </si>
  <si>
    <t>Kaos Dursban Kerah</t>
  </si>
  <si>
    <t>ZZKAOS185</t>
  </si>
  <si>
    <t>Kaos Betapro</t>
  </si>
  <si>
    <t>ZZKAOS187</t>
  </si>
  <si>
    <t>Kaos Nostro</t>
  </si>
  <si>
    <t>ZZKAOS19</t>
  </si>
  <si>
    <t>Kaos Gromore</t>
  </si>
  <si>
    <t>ZZKAOS190</t>
  </si>
  <si>
    <t>Kaos Smk. Madrid</t>
  </si>
  <si>
    <t>ZZKAOS191</t>
  </si>
  <si>
    <t>Kaos Tomat Maleo</t>
  </si>
  <si>
    <t>ZZKAOS193</t>
  </si>
  <si>
    <t>Kaos Ricebac</t>
  </si>
  <si>
    <t>ZZKAOS194</t>
  </si>
  <si>
    <t>Kaos Janger</t>
  </si>
  <si>
    <t>ZZKAOS196</t>
  </si>
  <si>
    <t>Kaos Prima-Cel</t>
  </si>
  <si>
    <t>ZZKAOS20</t>
  </si>
  <si>
    <t>Kaos Hextar Fertilizer</t>
  </si>
  <si>
    <t>ZZKAOS200</t>
  </si>
  <si>
    <t>Kaos Neocron</t>
  </si>
  <si>
    <t>ZZKAOS203</t>
  </si>
  <si>
    <t>Kaos Dekalb WNT</t>
  </si>
  <si>
    <t>ZZKAOS204</t>
  </si>
  <si>
    <t>Kaos Dekalb Jatim</t>
  </si>
  <si>
    <t>ZZKAOS207</t>
  </si>
  <si>
    <t>Kaos Oblong Elang</t>
  </si>
  <si>
    <t>ZZKAOS208</t>
  </si>
  <si>
    <t>Kaos Oblong Gordon</t>
  </si>
  <si>
    <t>ZZKAOS209</t>
  </si>
  <si>
    <t>Kaos Oblong Marathon</t>
  </si>
  <si>
    <t>ZZKAOS21</t>
  </si>
  <si>
    <t>Kaos Inko Seed</t>
  </si>
  <si>
    <t>ZZKAOS210</t>
  </si>
  <si>
    <t>Kaos Oblong Metindo Plus</t>
  </si>
  <si>
    <t>ZZKAOS213</t>
  </si>
  <si>
    <t>Kaos Seragam Polo Karisma</t>
  </si>
  <si>
    <t>ZZKAOS215</t>
  </si>
  <si>
    <t>Kaos Cabe Imperial</t>
  </si>
  <si>
    <t>ZZKAOS217</t>
  </si>
  <si>
    <t>Kaos Smk. Classic F1</t>
  </si>
  <si>
    <t>ZZKAOS22</t>
  </si>
  <si>
    <t>Kaos Jagung Bisi - 10</t>
  </si>
  <si>
    <t>ZZKAOS220</t>
  </si>
  <si>
    <t>Kaos Bisi 321</t>
  </si>
  <si>
    <t>ZZKAOS223</t>
  </si>
  <si>
    <t>Kaos Jagung Manis Sweet Lady</t>
  </si>
  <si>
    <t>ZZKAOS224</t>
  </si>
  <si>
    <t>Kaos Jagung Manis Master Sweet</t>
  </si>
  <si>
    <t>ZZKAOS226</t>
  </si>
  <si>
    <t>Kaos Sagri-Storm 100/400/50 SC</t>
  </si>
  <si>
    <t>ZZKAOS23</t>
  </si>
  <si>
    <t>Kaos Jagung Bisi - 18</t>
  </si>
  <si>
    <t>ZZKAOS232</t>
  </si>
  <si>
    <t>Kaos Jagung Q 235</t>
  </si>
  <si>
    <t>ZZKAOS24</t>
  </si>
  <si>
    <t>Kaos Jagung Bisi - 222</t>
  </si>
  <si>
    <t>ZZKAOS241</t>
  </si>
  <si>
    <t>Kaos Oblong Panjang Fertiphos Strip</t>
  </si>
  <si>
    <t>ZZKAOS25</t>
  </si>
  <si>
    <t>Kaos Jagung Makmur</t>
  </si>
  <si>
    <t>ZZKAOS252</t>
  </si>
  <si>
    <t>Kaos Merah Putih Saprotan</t>
  </si>
  <si>
    <t>ZZKAOS254</t>
  </si>
  <si>
    <t>Kaos MPS</t>
  </si>
  <si>
    <t>ZZKAOS257</t>
  </si>
  <si>
    <t>Kaos Impetus</t>
  </si>
  <si>
    <t>ZZKAOS261</t>
  </si>
  <si>
    <t>Kaos Lengan Panjang ADV 132</t>
  </si>
  <si>
    <t>ZZKAOS262</t>
  </si>
  <si>
    <t>ZZKAOS263</t>
  </si>
  <si>
    <t>Kaos Lacoste</t>
  </si>
  <si>
    <t>ZZKAOS27</t>
  </si>
  <si>
    <t>Kaos Jagung Phinta</t>
  </si>
  <si>
    <t>ZZKAOS28</t>
  </si>
  <si>
    <t>Kaos Jialing</t>
  </si>
  <si>
    <t>ZZKAOS30</t>
  </si>
  <si>
    <t>Kaos Karissnail</t>
  </si>
  <si>
    <t>ZZKAOS31</t>
  </si>
  <si>
    <t>Kaos Karistick</t>
  </si>
  <si>
    <t>ZZKAOS33</t>
  </si>
  <si>
    <t>Kaos Kresna</t>
  </si>
  <si>
    <t>ZZKAOS35</t>
  </si>
  <si>
    <t>Kaos Magenta</t>
  </si>
  <si>
    <t>ZZKAOS36</t>
  </si>
  <si>
    <t>Kaos Manzate</t>
  </si>
  <si>
    <t>ZZKAOS37</t>
  </si>
  <si>
    <t>Kaos Marcis</t>
  </si>
  <si>
    <t>ZZKAOS38</t>
  </si>
  <si>
    <t>Kaos Marshal SC</t>
  </si>
  <si>
    <t>ZZKAOS39</t>
  </si>
  <si>
    <t>Kaos Matahari Seed</t>
  </si>
  <si>
    <t>ZZKAOS40</t>
  </si>
  <si>
    <t>Kaos Melon Action</t>
  </si>
  <si>
    <t>ZZKAOS43</t>
  </si>
  <si>
    <t>Kaos Methrisida</t>
  </si>
  <si>
    <t>ZZKAOS48</t>
  </si>
  <si>
    <t>Kaos Mulsa Panda</t>
  </si>
  <si>
    <t>ZZKAOS49</t>
  </si>
  <si>
    <t>Kaos Multi benih (Tanpa nama)</t>
  </si>
  <si>
    <t>ZZKAOS50</t>
  </si>
  <si>
    <t>Kaos Mutu Prima</t>
  </si>
  <si>
    <t>ZZKAOS51</t>
  </si>
  <si>
    <t>Kaos Orbit Lama</t>
  </si>
  <si>
    <t>ZZKAOS53</t>
  </si>
  <si>
    <t>Kaos Oryzole</t>
  </si>
  <si>
    <t>ZZKAOS54</t>
  </si>
  <si>
    <t>Kaos Petrosida</t>
  </si>
  <si>
    <t>ZZKAOS55</t>
  </si>
  <si>
    <t>Kaos Primafur</t>
  </si>
  <si>
    <t>ZZKAOS56</t>
  </si>
  <si>
    <t>Kaos Profile</t>
  </si>
  <si>
    <t>ZZKAOS57</t>
  </si>
  <si>
    <t>Kaos Racumin</t>
  </si>
  <si>
    <t>ZZKAOS59</t>
  </si>
  <si>
    <t>Kaos Sanitas</t>
  </si>
  <si>
    <t>ZZKAOS60</t>
  </si>
  <si>
    <t>ZZKAOS61</t>
  </si>
  <si>
    <t>Kaos Shadow</t>
  </si>
  <si>
    <t>ZZKAOS62</t>
  </si>
  <si>
    <t>Kaos Smk. Good Quality</t>
  </si>
  <si>
    <t>ZZKAOS63</t>
  </si>
  <si>
    <t>Kaos Smk. New Diamond</t>
  </si>
  <si>
    <t>ZZKAOS64</t>
  </si>
  <si>
    <t>Kaos Smk. Non</t>
  </si>
  <si>
    <t>ZZKAOS65</t>
  </si>
  <si>
    <t>Kaos Smk. Qiu - 9</t>
  </si>
  <si>
    <t>ZZKAOS66</t>
  </si>
  <si>
    <t>Kaos Spodo</t>
  </si>
  <si>
    <t>ZZKAOS67</t>
  </si>
  <si>
    <t>Kaos Sundava</t>
  </si>
  <si>
    <t>ZZKAOS68</t>
  </si>
  <si>
    <t>Kaos Surya Nusa</t>
  </si>
  <si>
    <t>ZZKAOS70</t>
  </si>
  <si>
    <t>Kaos Syngenta ( Polo )</t>
  </si>
  <si>
    <t>ZZKAOS71</t>
  </si>
  <si>
    <t>Kaos Tanzeb</t>
  </si>
  <si>
    <t>ZZKAOS72</t>
  </si>
  <si>
    <t>Kaos Tomat Audy</t>
  </si>
  <si>
    <t>ZZKAOS74</t>
  </si>
  <si>
    <t>Kaos Trisula/Danatan</t>
  </si>
  <si>
    <t>ZZKAOS76</t>
  </si>
  <si>
    <t>Kaos Piribac</t>
  </si>
  <si>
    <t>ZZKAOS77</t>
  </si>
  <si>
    <t>Kaos Jagung P Tani</t>
  </si>
  <si>
    <t>ZZKAOS78</t>
  </si>
  <si>
    <t>Kaos Mikro 7</t>
  </si>
  <si>
    <t>ZZKAOS79</t>
  </si>
  <si>
    <t>Kaos Goldstar</t>
  </si>
  <si>
    <t>ZZKAOS80</t>
  </si>
  <si>
    <t>Kaos Danken ( DK Mesonin )</t>
  </si>
  <si>
    <t>ZZKAOS81</t>
  </si>
  <si>
    <t>Kaos Danken ( DK Metrin )</t>
  </si>
  <si>
    <t>ZZKAOS83</t>
  </si>
  <si>
    <t>Kaos Calaris</t>
  </si>
  <si>
    <t>ZZKAOS86</t>
  </si>
  <si>
    <t>Kaos Stargate</t>
  </si>
  <si>
    <t>ZZKAOS87</t>
  </si>
  <si>
    <t>Kaos Qiustar</t>
  </si>
  <si>
    <t>ZZKAOS88</t>
  </si>
  <si>
    <t>Kaos MIA</t>
  </si>
  <si>
    <t>ZZKAOS89</t>
  </si>
  <si>
    <t>Kaos Belona</t>
  </si>
  <si>
    <t>ZZKAOS91</t>
  </si>
  <si>
    <t>Kaos Bamex Kra</t>
  </si>
  <si>
    <t>ZZKAOS93</t>
  </si>
  <si>
    <t>Kaos Donkey</t>
  </si>
  <si>
    <t>ZZKAOS94</t>
  </si>
  <si>
    <t>Kaos Akalis</t>
  </si>
  <si>
    <t>ZZKAOS97</t>
  </si>
  <si>
    <t>Kaos Gramoxone</t>
  </si>
  <si>
    <t>ZZKAOS98</t>
  </si>
  <si>
    <t>Kaos Danken ( DK Mektin )</t>
  </si>
  <si>
    <t>ZZKIPA01</t>
  </si>
  <si>
    <t>Kipas Angin Maspion</t>
  </si>
  <si>
    <t>ZZKNAP01</t>
  </si>
  <si>
    <t>Knapsek Power Sprayer 2 tak</t>
  </si>
  <si>
    <t>ZZKOMP01</t>
  </si>
  <si>
    <t>Kompor Gas Covina</t>
  </si>
  <si>
    <t>ZZKOMP02</t>
  </si>
  <si>
    <t>Kompor Gas Rinnai</t>
  </si>
  <si>
    <t>ZZKOMP03</t>
  </si>
  <si>
    <t>Kompor Gas Quantum</t>
  </si>
  <si>
    <t>ZZKOMP04</t>
  </si>
  <si>
    <t>Kompor Gas Fuso</t>
  </si>
  <si>
    <t>ZZKOPI01</t>
  </si>
  <si>
    <t>Kopi Kapal Api Susu 5 X 31 gr</t>
  </si>
  <si>
    <t>ZZKOPI02</t>
  </si>
  <si>
    <t>Kopi Top White Coffe 12 X 21 gr</t>
  </si>
  <si>
    <t>ZZKOPI03</t>
  </si>
  <si>
    <t>Kopi ABC</t>
  </si>
  <si>
    <t>ZZKOPI04</t>
  </si>
  <si>
    <t>Kopi Kapal Api Special Mix 25 gr</t>
  </si>
  <si>
    <t>ZZKRE01</t>
  </si>
  <si>
    <t>Kresek</t>
  </si>
  <si>
    <t>ZZKULK01</t>
  </si>
  <si>
    <t>Kulkas 1 Pintu Panasonic</t>
  </si>
  <si>
    <t>ZZKULK02</t>
  </si>
  <si>
    <t>Kulkas 1 Pintu Sanyo</t>
  </si>
  <si>
    <t>ZZKULK03</t>
  </si>
  <si>
    <t>Kulkas 2 pintu Sharp</t>
  </si>
  <si>
    <t>ZZKULK04</t>
  </si>
  <si>
    <t>Kulkas 1 Pintu GEA</t>
  </si>
  <si>
    <t>ZZKULK05</t>
  </si>
  <si>
    <t>Kulkas 1 pintu Glacio</t>
  </si>
  <si>
    <t>ZZKULK07</t>
  </si>
  <si>
    <t>Kulkas 1 pintu Aqua</t>
  </si>
  <si>
    <t>ZZKULK08</t>
  </si>
  <si>
    <t>Kulkas 1 Pintu Sharp</t>
  </si>
  <si>
    <t>ZZKULK09</t>
  </si>
  <si>
    <t>Kulkas 1 Pintu Maspion</t>
  </si>
  <si>
    <t>ZZKULK10</t>
  </si>
  <si>
    <t>Kulkas 1 Pintu Sanken</t>
  </si>
  <si>
    <t>ZZKULK11</t>
  </si>
  <si>
    <t>Kulkas 1 Pintu Midea</t>
  </si>
  <si>
    <t>ZZKULK12</t>
  </si>
  <si>
    <t>Kulkas 2 Pintu Polytron</t>
  </si>
  <si>
    <t>ZZKULK13</t>
  </si>
  <si>
    <t>Kulkas Polytron 2 pintu</t>
  </si>
  <si>
    <t>ZZKULK14</t>
  </si>
  <si>
    <t>Kulkas Polytron 1 Pintu</t>
  </si>
  <si>
    <t>ZZKULK15</t>
  </si>
  <si>
    <t>ZZKULK16</t>
  </si>
  <si>
    <t>Kulkas Polytron 2 Pintu</t>
  </si>
  <si>
    <t>ZZKULK17</t>
  </si>
  <si>
    <t>Kulkas Sharp 1 Pintu</t>
  </si>
  <si>
    <t>ZZLAPT02</t>
  </si>
  <si>
    <t>Laptop Asus</t>
  </si>
  <si>
    <t>ZZLAPT03</t>
  </si>
  <si>
    <t>Laptop Toshiba</t>
  </si>
  <si>
    <t>ZZLAPT04</t>
  </si>
  <si>
    <t>Laptop Asus A416JAO</t>
  </si>
  <si>
    <t>ZZLCDT01</t>
  </si>
  <si>
    <t>LCD Toshiba</t>
  </si>
  <si>
    <t>ZZLEDC01</t>
  </si>
  <si>
    <t>LED Canghong 32"</t>
  </si>
  <si>
    <t>ZZLEDL02</t>
  </si>
  <si>
    <t>LED LG 24"</t>
  </si>
  <si>
    <t>ZZLEDL03</t>
  </si>
  <si>
    <t>LED LG 32"</t>
  </si>
  <si>
    <t>ZZLEDL04</t>
  </si>
  <si>
    <t>LED LG 43"</t>
  </si>
  <si>
    <t>ZZLEDP01</t>
  </si>
  <si>
    <t>LED Panasonic 22"</t>
  </si>
  <si>
    <t>ZZLEDP02</t>
  </si>
  <si>
    <t>LED Panasonic 40"</t>
  </si>
  <si>
    <t>ZZLEDS01</t>
  </si>
  <si>
    <t>ZZLEDS02</t>
  </si>
  <si>
    <t>LED Sharp 32"</t>
  </si>
  <si>
    <t>ZZLEDS03</t>
  </si>
  <si>
    <t>LED Samsung 40"</t>
  </si>
  <si>
    <t>ZZLEDS04</t>
  </si>
  <si>
    <t>LED 32" Smart TV Samsung</t>
  </si>
  <si>
    <t>ZZLEDS05</t>
  </si>
  <si>
    <t>LED 40" Smart TV Samsung</t>
  </si>
  <si>
    <t>ZZLEMA01</t>
  </si>
  <si>
    <t>Lemari Es 2 pintu Aqua</t>
  </si>
  <si>
    <t>ZZLEMA02</t>
  </si>
  <si>
    <t>Lemari Es 1 pintu Toshiba</t>
  </si>
  <si>
    <t>ZZMAGI01</t>
  </si>
  <si>
    <t>Magic Com Cosmos</t>
  </si>
  <si>
    <t>ZZMAGI02</t>
  </si>
  <si>
    <t>Magic Com Miyako</t>
  </si>
  <si>
    <t>ZZMAGI03</t>
  </si>
  <si>
    <t>Magic Com Midea</t>
  </si>
  <si>
    <t>ZZMAGI04</t>
  </si>
  <si>
    <t>Magic Com Philips</t>
  </si>
  <si>
    <t>ZZMANG02</t>
  </si>
  <si>
    <t>Mangkok B 725</t>
  </si>
  <si>
    <t>ZZMESI01</t>
  </si>
  <si>
    <t>Mesin Cuci Panasonic</t>
  </si>
  <si>
    <t>ZZMETA01</t>
  </si>
  <si>
    <t>ZZMICR01</t>
  </si>
  <si>
    <t>Microwave Kris</t>
  </si>
  <si>
    <t>ZZMIEI01</t>
  </si>
  <si>
    <t>Mie Instant Indomie</t>
  </si>
  <si>
    <t>ZZMIEI02</t>
  </si>
  <si>
    <t>Mie Instant Sedap</t>
  </si>
  <si>
    <t>ZZMINY01</t>
  </si>
  <si>
    <t>Minyak Goreng Fortune 1 ltr</t>
  </si>
  <si>
    <t>ZZMINY02</t>
  </si>
  <si>
    <t>Minyak Goreng Fortune 2 ltr</t>
  </si>
  <si>
    <t>ZZMINY03</t>
  </si>
  <si>
    <t>Minyak Goreng Madina 2 ltr</t>
  </si>
  <si>
    <t>ZZMINY04</t>
  </si>
  <si>
    <t>Minyak Goreng Sania 500 ml</t>
  </si>
  <si>
    <t>ZZMINY05</t>
  </si>
  <si>
    <t>Minyak Goreng Tropical 1 ltr</t>
  </si>
  <si>
    <t>ZZMINY06</t>
  </si>
  <si>
    <t>Minyak Goreng A 2 ltr</t>
  </si>
  <si>
    <t>ZZMINY07</t>
  </si>
  <si>
    <t>Minyak Goreng A 1 ltr</t>
  </si>
  <si>
    <t>ZZMINY08</t>
  </si>
  <si>
    <t>Minyak Goreng Hikari Sauri 12 X 900 ml</t>
  </si>
  <si>
    <t>ZZMINY09</t>
  </si>
  <si>
    <t>Minyak Goreng Fitri @ 1 ltr</t>
  </si>
  <si>
    <t>ZZMINY10</t>
  </si>
  <si>
    <t>Minyak Goreng @ 1 ltr</t>
  </si>
  <si>
    <t>ZZMINY11</t>
  </si>
  <si>
    <t>Minyak Goreng @ 900 ml</t>
  </si>
  <si>
    <t>ZZMINY12</t>
  </si>
  <si>
    <t>Minyak Goreng Frais Well 12 X 1 ltr</t>
  </si>
  <si>
    <t>ZZMINY13</t>
  </si>
  <si>
    <t>Minyak Goreng Hikari Sauri 450 ml</t>
  </si>
  <si>
    <t>ZZMINY14</t>
  </si>
  <si>
    <t>Minyak Goreng Aladin @ 500 ml</t>
  </si>
  <si>
    <t>ZZMINY15</t>
  </si>
  <si>
    <t>Minyak Goreng Fontana @ 900 ml</t>
  </si>
  <si>
    <t>ZZMINY16</t>
  </si>
  <si>
    <t>Minyak Goreng Rose Brand @ 1 ltr</t>
  </si>
  <si>
    <t>ZZMINY17</t>
  </si>
  <si>
    <t>Minyakita 1 ltr</t>
  </si>
  <si>
    <t>ZZMULS01</t>
  </si>
  <si>
    <t>Mulsa Petani Sejati 60 cm X 18 kg (Roll)</t>
  </si>
  <si>
    <t>ZZMULS02</t>
  </si>
  <si>
    <t>ZZMULS03</t>
  </si>
  <si>
    <t>Mulsa Karisma Kuda 60 cm X 18 kg (Roll)</t>
  </si>
  <si>
    <t>ZZNAMA01</t>
  </si>
  <si>
    <t>Nama Toko 4 X 1 Jagung Bisi 77 dan Jagung Bisi 959</t>
  </si>
  <si>
    <t>ZZNAVA01</t>
  </si>
  <si>
    <t>Navara 35 X 45 Jagung Bisi 77 dan Jagung Bisi 959</t>
  </si>
  <si>
    <t>ZZNAVA02</t>
  </si>
  <si>
    <t>Navara Jagung 235 Cling</t>
  </si>
  <si>
    <t>ZZNAVA03</t>
  </si>
  <si>
    <t>Navara Bisi 77 50 X 38</t>
  </si>
  <si>
    <t>ZZNAVA04</t>
  </si>
  <si>
    <t>Navara Bisi 959 50 X 38</t>
  </si>
  <si>
    <t>ZZNETB01</t>
  </si>
  <si>
    <t>Netbook HP Mini</t>
  </si>
  <si>
    <t>ZZNOTE01</t>
  </si>
  <si>
    <t>Notebook Acer</t>
  </si>
  <si>
    <t>ZZNOTEB01</t>
  </si>
  <si>
    <t>Notebook Acer N100</t>
  </si>
  <si>
    <t>ZZPAKE01</t>
  </si>
  <si>
    <t>Paket Sembako</t>
  </si>
  <si>
    <t>ZZPAKE03</t>
  </si>
  <si>
    <t>Paket Beras</t>
  </si>
  <si>
    <t>ZZPANC01</t>
  </si>
  <si>
    <t>Panci Maxim 26 cm</t>
  </si>
  <si>
    <t>ZZPARC06</t>
  </si>
  <si>
    <t>Parcel Aparat</t>
  </si>
  <si>
    <t>ZZPAYU02</t>
  </si>
  <si>
    <t>Payung Syngenta</t>
  </si>
  <si>
    <t>ZZPAYU03</t>
  </si>
  <si>
    <t>Payung CBA</t>
  </si>
  <si>
    <t>ZZPAYU04</t>
  </si>
  <si>
    <t>Payung Golf</t>
  </si>
  <si>
    <t>ZZPENU01</t>
  </si>
  <si>
    <t>Penutup Ban</t>
  </si>
  <si>
    <t>ZZPIRI01</t>
  </si>
  <si>
    <t>Piring Kaca</t>
  </si>
  <si>
    <t>ZZPISA01</t>
  </si>
  <si>
    <t>Pisau Tuwal</t>
  </si>
  <si>
    <t>ZZPOS01</t>
  </si>
  <si>
    <t>Poster Atonik</t>
  </si>
  <si>
    <t>ZZPOS03</t>
  </si>
  <si>
    <t>Poster Tongkol Bisi 77 &amp; 959</t>
  </si>
  <si>
    <t>ZZPOS04</t>
  </si>
  <si>
    <t>Poster Jagung 235 Cling</t>
  </si>
  <si>
    <t>ZZPOS05</t>
  </si>
  <si>
    <t>Poster Bisi 77 60 X 50</t>
  </si>
  <si>
    <t>ZZPOS06</t>
  </si>
  <si>
    <t>Poster Bisi 959 60 X 50</t>
  </si>
  <si>
    <t>ZZPROM01</t>
  </si>
  <si>
    <t>Promo 50 X 60 Jagung Bisi 77 dan Jagung Bisi 959</t>
  </si>
  <si>
    <t>ZZPURE01</t>
  </si>
  <si>
    <t>Pure IT 23 ltr</t>
  </si>
  <si>
    <t>ZZRAKM01</t>
  </si>
  <si>
    <t>Rak Marketing Java Karlos</t>
  </si>
  <si>
    <t>ZZRICE01</t>
  </si>
  <si>
    <t>Rice Coocker Polytron</t>
  </si>
  <si>
    <t>ZZRICE02</t>
  </si>
  <si>
    <t>Rice Coocker Miyako</t>
  </si>
  <si>
    <t>ZZSABU01</t>
  </si>
  <si>
    <t>Sabun Bukrim</t>
  </si>
  <si>
    <t>ZZSAJA02</t>
  </si>
  <si>
    <t>Sajadah Batik</t>
  </si>
  <si>
    <t>ZZSAMS01</t>
  </si>
  <si>
    <t>Samsung Galaxy A035 4/128Gb Red</t>
  </si>
  <si>
    <t>ZZSAMS02</t>
  </si>
  <si>
    <t>Samsung Galaxy A035 4/128Gb Blue</t>
  </si>
  <si>
    <t>ZZSAMS03</t>
  </si>
  <si>
    <t>Samsung Galaxy A035 4/64Gb Black</t>
  </si>
  <si>
    <t>ZZSAMS04</t>
  </si>
  <si>
    <t>Samsung Galaxy A035 4/64Gb Blue</t>
  </si>
  <si>
    <t>ZZSARU01</t>
  </si>
  <si>
    <t>Sarung Agricon</t>
  </si>
  <si>
    <t>ZZSARU02</t>
  </si>
  <si>
    <t>Sarung Dithane</t>
  </si>
  <si>
    <t>ZZSARU04</t>
  </si>
  <si>
    <t>Sarung Gramoxone</t>
  </si>
  <si>
    <t>ZZSARU05</t>
  </si>
  <si>
    <t>Sarung Jagung Bisi - 18</t>
  </si>
  <si>
    <t>ZZSARU06</t>
  </si>
  <si>
    <t>Sarung Pupua Mas</t>
  </si>
  <si>
    <t>ZZSARU07</t>
  </si>
  <si>
    <t>Sarung Al Hikmah</t>
  </si>
  <si>
    <t>ZZSARU08</t>
  </si>
  <si>
    <t>Sarung DAM</t>
  </si>
  <si>
    <t>ZZSARU10</t>
  </si>
  <si>
    <t>Sarung Mangga</t>
  </si>
  <si>
    <t>ZZSARU11</t>
  </si>
  <si>
    <t>Sarung Syngenta</t>
  </si>
  <si>
    <t>ZZSARU12</t>
  </si>
  <si>
    <t>Sarung BASF</t>
  </si>
  <si>
    <t>ZZSARU13</t>
  </si>
  <si>
    <t>Sarung Gajah Surya</t>
  </si>
  <si>
    <t>ZZSARU14</t>
  </si>
  <si>
    <t>Sarung Adduha</t>
  </si>
  <si>
    <t>ZZSARU16</t>
  </si>
  <si>
    <t>Sarung Excel</t>
  </si>
  <si>
    <t>ZZSARU18</t>
  </si>
  <si>
    <t>ZZSARU21</t>
  </si>
  <si>
    <t>Sarung Gajah Kincir</t>
  </si>
  <si>
    <t>ZZSARU24</t>
  </si>
  <si>
    <t>Sarung Abbas</t>
  </si>
  <si>
    <t>ZZSARU26</t>
  </si>
  <si>
    <t>Sarung Kalingga</t>
  </si>
  <si>
    <t>ZZSEPE01</t>
  </si>
  <si>
    <t>Sepeda Motor Honda Beat</t>
  </si>
  <si>
    <t>ZZSEPE02</t>
  </si>
  <si>
    <t>Sepeda Motor Honda Mega Pro</t>
  </si>
  <si>
    <t>ZZSEPE03</t>
  </si>
  <si>
    <t>Sepeda Lipat TREX</t>
  </si>
  <si>
    <t>ZZSEPE04</t>
  </si>
  <si>
    <t>Sepeda Motor New Mio M3 CW</t>
  </si>
  <si>
    <t>ZZSEPE05</t>
  </si>
  <si>
    <t>Sepeda Motor Aerox 155 WA</t>
  </si>
  <si>
    <t>ZZSEPE06</t>
  </si>
  <si>
    <t>Sepeda Motor Honda Beat CW Plus</t>
  </si>
  <si>
    <t>ZZSEPE07</t>
  </si>
  <si>
    <t>Sepeda Listrik tipe GD Monkey 140 ( Putih )</t>
  </si>
  <si>
    <t>ZZSEPE08</t>
  </si>
  <si>
    <t>ZZSEPE09</t>
  </si>
  <si>
    <t>Sepeda Listrik tipe GD The New Turtle 210 ( Putih )</t>
  </si>
  <si>
    <t>ZZSEPE10</t>
  </si>
  <si>
    <t>Sepeda Listrik tipe GD Golden Lion 200 ( Hijau )</t>
  </si>
  <si>
    <t>ZZSEPE11</t>
  </si>
  <si>
    <t>Sepeda Listrik tipe GD Monkey 135 ( Hitam )</t>
  </si>
  <si>
    <t>ZZSEPE12</t>
  </si>
  <si>
    <t>Sepeda Listrik tipe GD Monkey 135 ( Biru )</t>
  </si>
  <si>
    <t>ZZSEPE13</t>
  </si>
  <si>
    <t>Sepeda Listrik tipe GD Golden Monkey 140 ( Biru )</t>
  </si>
  <si>
    <t>ZZSEPE14</t>
  </si>
  <si>
    <t>Sepeda Listrik tipe GD Golden Monkey 140 ( Hijau )</t>
  </si>
  <si>
    <t>ZZSEPE15</t>
  </si>
  <si>
    <t>ZZSEPE16</t>
  </si>
  <si>
    <t>Sepeda Listrik tipe GD Golden Honey 135 ( Hitam )</t>
  </si>
  <si>
    <t>ZZSEPE17</t>
  </si>
  <si>
    <t>Sepeda Listrik tipe GD Golden Honey 135 ( Tosca )</t>
  </si>
  <si>
    <t>ZZSEPE18</t>
  </si>
  <si>
    <t>Sepeda Listrik tipe GD The New Turtle 210 ( Hitam )</t>
  </si>
  <si>
    <t>ZZSEPE19</t>
  </si>
  <si>
    <t>Sepeda Listrik tipe GD Golden Lion 200 ( Biru )</t>
  </si>
  <si>
    <t>ZZSEPE20</t>
  </si>
  <si>
    <t>Sepeda Listrik UwinFly DF 5</t>
  </si>
  <si>
    <t>ZZSEPE21</t>
  </si>
  <si>
    <t>Sepeda Listrik tipe GD Golden Monkey 140 ( Tosca )</t>
  </si>
  <si>
    <t>ZZSEPE22</t>
  </si>
  <si>
    <t>Sepeda Motor Mio M3 CW Putih</t>
  </si>
  <si>
    <t>ZZSEPE23</t>
  </si>
  <si>
    <t>Sepeda Motor Mio Gear Putih</t>
  </si>
  <si>
    <t>ZZSEPE24</t>
  </si>
  <si>
    <t>Sepeda Motor Mio Gear Hijau</t>
  </si>
  <si>
    <t>ZZSEPE25</t>
  </si>
  <si>
    <t>Sepeda Motor Mio Gear Silver</t>
  </si>
  <si>
    <t>ZZSEPE26</t>
  </si>
  <si>
    <t>Sepeda MTB Polygon</t>
  </si>
  <si>
    <t>ZZSEPE27</t>
  </si>
  <si>
    <t>Sepeda Motor Mio M3 CW Hitam</t>
  </si>
  <si>
    <t>ZZSEPE28</t>
  </si>
  <si>
    <t>Sepeda Listrik Tipe GD Mango 125 (Merah)</t>
  </si>
  <si>
    <t>ZZSEPE29</t>
  </si>
  <si>
    <t>Sepeda Listrik Tipe GD Mango 125 (Hitam)</t>
  </si>
  <si>
    <t>ZZSEPE30</t>
  </si>
  <si>
    <t>Sepeda Listrik Tipe GD Mango 125 (Biru)</t>
  </si>
  <si>
    <t>ZZSEPE31</t>
  </si>
  <si>
    <t>Sepeda Listrik Tipe GD Mango 125 (Tosca)</t>
  </si>
  <si>
    <t>ZZSEPE32</t>
  </si>
  <si>
    <t>Sepeda Listrik Tipe GD Mango 125 (Pink)</t>
  </si>
  <si>
    <t>ZZSEPE33</t>
  </si>
  <si>
    <t>Sepeda Listrik Tipe GD Mango 125 (Kuning)</t>
  </si>
  <si>
    <t>ZZSEPE34</t>
  </si>
  <si>
    <t>ZZSEPE38</t>
  </si>
  <si>
    <t>Sepeda Litsrik tipe U-winfly Merah</t>
  </si>
  <si>
    <t>ZZSEPE40</t>
  </si>
  <si>
    <t>Sepeda Listrik Tipe GD 150 (Biru)</t>
  </si>
  <si>
    <t>ZZSEPE42</t>
  </si>
  <si>
    <t>Sepeda Motor Honda Beat 125 Hitam</t>
  </si>
  <si>
    <t>ZZSEPE43</t>
  </si>
  <si>
    <t>Sepeda Motor Honda Beat 125 Silver Hitam</t>
  </si>
  <si>
    <t>ZZSERA01</t>
  </si>
  <si>
    <t>Seragam MIA (Hem)</t>
  </si>
  <si>
    <t>ZZSETR01</t>
  </si>
  <si>
    <t>Setrika Miyako</t>
  </si>
  <si>
    <t>ZZSETR02</t>
  </si>
  <si>
    <t>Setrika Maspion</t>
  </si>
  <si>
    <t>ZZSIRU01</t>
  </si>
  <si>
    <t>Sirup ABC</t>
  </si>
  <si>
    <t>ZZSIRU02</t>
  </si>
  <si>
    <t>Sirup Marjan</t>
  </si>
  <si>
    <t>ZZSIRU03</t>
  </si>
  <si>
    <t>Sirup Marjan Squash</t>
  </si>
  <si>
    <t>ZZSPA08</t>
  </si>
  <si>
    <t>Spanduk Gladiol</t>
  </si>
  <si>
    <t>ZZSPAN01</t>
  </si>
  <si>
    <t>Spanduk Alfatox</t>
  </si>
  <si>
    <t>ZZSPAN02</t>
  </si>
  <si>
    <t>Spanduk Banteng PKL</t>
  </si>
  <si>
    <t>ZZSPAN03</t>
  </si>
  <si>
    <t>Spanduk Bayer(Racumin)</t>
  </si>
  <si>
    <t>ZZSPAN05</t>
  </si>
  <si>
    <t>Spanduk Bravoxone</t>
  </si>
  <si>
    <t>ZZSPAN06</t>
  </si>
  <si>
    <t>Spanduk Jagung DK 3</t>
  </si>
  <si>
    <t>ZZSPAN08</t>
  </si>
  <si>
    <t>Spanduk Saprotan</t>
  </si>
  <si>
    <t>ZZSPAN09</t>
  </si>
  <si>
    <t>Spanduk Pupuk</t>
  </si>
  <si>
    <t>ZZSPAN10</t>
  </si>
  <si>
    <t>Spanduk Mitra Indotani Abadi</t>
  </si>
  <si>
    <t>ZZSPAN11</t>
  </si>
  <si>
    <t>Spanduk Bisi 77 200 X 80</t>
  </si>
  <si>
    <t>ZZSPAN12</t>
  </si>
  <si>
    <t>Spanduk Bisi 959 200 X 80</t>
  </si>
  <si>
    <t>ZZSPRA01</t>
  </si>
  <si>
    <t>ZZSTAN01</t>
  </si>
  <si>
    <t>Stand Fan Matsunichi</t>
  </si>
  <si>
    <t>ZZSTAN03</t>
  </si>
  <si>
    <t>Stand Fan Panasional</t>
  </si>
  <si>
    <t>ZZSTAN04</t>
  </si>
  <si>
    <t>Stand Fan Miyako</t>
  </si>
  <si>
    <t>ZZSUSU01</t>
  </si>
  <si>
    <t>Susu Kaleng 31 gr</t>
  </si>
  <si>
    <t>ZZSUTE01</t>
  </si>
  <si>
    <t>Suteki Biscuite XG Assorted (Box)</t>
  </si>
  <si>
    <t>ZZTABL01</t>
  </si>
  <si>
    <t>Tablet Advan Vandroid EIC PRO</t>
  </si>
  <si>
    <t>ZZTANG02</t>
  </si>
  <si>
    <t>Tangki Swan 14 Ltr</t>
  </si>
  <si>
    <t>ZZTANG03</t>
  </si>
  <si>
    <t>Tangki Charge High Presure</t>
  </si>
  <si>
    <t>ZZTANG04</t>
  </si>
  <si>
    <t>ZZTANG05</t>
  </si>
  <si>
    <t>ZZTANG06</t>
  </si>
  <si>
    <t>ZZTAPE01</t>
  </si>
  <si>
    <t>Tape Compo Polytron</t>
  </si>
  <si>
    <t>ZZTEFL01</t>
  </si>
  <si>
    <t>Teflon Maxim</t>
  </si>
  <si>
    <t>ZZTEKO01</t>
  </si>
  <si>
    <t>Teko Pitcher Set</t>
  </si>
  <si>
    <t>ZZTEKO02</t>
  </si>
  <si>
    <t>Teko Tea Set</t>
  </si>
  <si>
    <t>ZZTOPI02</t>
  </si>
  <si>
    <t>Topi Banteng</t>
  </si>
  <si>
    <t>ZZTOPI03</t>
  </si>
  <si>
    <t>Topi Exocet</t>
  </si>
  <si>
    <t>ZZTOPI05</t>
  </si>
  <si>
    <t>Topi Jagung DK3</t>
  </si>
  <si>
    <t>ZZTOPI08</t>
  </si>
  <si>
    <t>Topi Racumin</t>
  </si>
  <si>
    <t>ZZTOPI09</t>
  </si>
  <si>
    <t>Topi Spontan</t>
  </si>
  <si>
    <t>ZZTOPI13</t>
  </si>
  <si>
    <t>Topi Bionta</t>
  </si>
  <si>
    <t>ZZTOPI14</t>
  </si>
  <si>
    <t>Topi Dekalb</t>
  </si>
  <si>
    <t>ZZTOPI17</t>
  </si>
  <si>
    <t>Topi Yoto</t>
  </si>
  <si>
    <t>ZZTOPI18</t>
  </si>
  <si>
    <t>Topi PAC 789</t>
  </si>
  <si>
    <t>ZZTVAK01</t>
  </si>
  <si>
    <t>TV Akari 14"</t>
  </si>
  <si>
    <t>ZZTVL01</t>
  </si>
  <si>
    <t>TV LED Sharp 32 "</t>
  </si>
  <si>
    <t>ZZTVL03</t>
  </si>
  <si>
    <t>TV LED Polytron 50"</t>
  </si>
  <si>
    <t>ZZTVL04</t>
  </si>
  <si>
    <t>TV LED Sharp Aquos 32"</t>
  </si>
  <si>
    <t>ZZTVL05</t>
  </si>
  <si>
    <t>TV LED Sharp 24"</t>
  </si>
  <si>
    <t>ZZTVL06</t>
  </si>
  <si>
    <t>TV LED LG 32"</t>
  </si>
  <si>
    <t>ZZTVLE01</t>
  </si>
  <si>
    <t>TV LED Philips 32"</t>
  </si>
  <si>
    <t>ZZTVLE02</t>
  </si>
  <si>
    <t>TV LED 40" Sharp Aquos</t>
  </si>
  <si>
    <t>ZZTVLE05</t>
  </si>
  <si>
    <t>TV LED Toshiba 32"</t>
  </si>
  <si>
    <t>ZZTVLE06</t>
  </si>
  <si>
    <t>TV LED Changhong 50"</t>
  </si>
  <si>
    <t>ZZTVLE08</t>
  </si>
  <si>
    <t>ZZTVLE10</t>
  </si>
  <si>
    <t>TV LED Polytron 32"</t>
  </si>
  <si>
    <t>ZZTVLG01</t>
  </si>
  <si>
    <t>TV LG 14"</t>
  </si>
  <si>
    <t>ZZTVLG02</t>
  </si>
  <si>
    <t>TV LG 32"</t>
  </si>
  <si>
    <t>ZZTVS01</t>
  </si>
  <si>
    <t>TV Samsung UHD Smart TV 43"</t>
  </si>
  <si>
    <t>ZZUMBU01</t>
  </si>
  <si>
    <t>Umbul-umbul Alphadine</t>
  </si>
  <si>
    <t>ZZUMBU03</t>
  </si>
  <si>
    <t>ZZUMBU04</t>
  </si>
  <si>
    <t>Umbul-umbul Armeira</t>
  </si>
  <si>
    <t>ZZUMBU05</t>
  </si>
  <si>
    <t>Umbul-umbul Elazaro</t>
  </si>
  <si>
    <t>ZZUMBU06</t>
  </si>
  <si>
    <t>Umbul-umbul Bisi 77</t>
  </si>
  <si>
    <t>ZZWAJA01</t>
  </si>
  <si>
    <t>Wajan Maxima 22 cm</t>
  </si>
  <si>
    <t>ZZYUPI01</t>
  </si>
  <si>
    <t>Yupi Toples</t>
  </si>
  <si>
    <t>Abastar 290 SC 40 X 250 ml</t>
  </si>
  <si>
    <t>Abastar 290 SC 50 X 100 ml</t>
  </si>
  <si>
    <t>Absina 36 EC 100 X 100 ml</t>
  </si>
  <si>
    <t>Absina 36 EC 20 X 1 ltr</t>
  </si>
  <si>
    <t>Absina 36 EC 20 X 500 ml</t>
  </si>
  <si>
    <t>Absina 36 EC 50 X 200 ml</t>
  </si>
  <si>
    <t>Accora 100 EC 15 X 1 ltr</t>
  </si>
  <si>
    <t>Accora 100 EC 50 X 100 ml</t>
  </si>
  <si>
    <t>Ace One 75 SP 100 X 100 gr</t>
  </si>
  <si>
    <t>Ace One 75 SP 20 X 400 gr</t>
  </si>
  <si>
    <t>Admit 50 WP 200 X 50 gr</t>
  </si>
  <si>
    <t>Adoca 150 SC 100 X 100 ml</t>
  </si>
  <si>
    <t>Adoca 150 SC 100 X 50 ml</t>
  </si>
  <si>
    <t>Adoca 150 SC 40 X 250 ml</t>
  </si>
  <si>
    <t>Agrogib 20 T 50 X 5 gr</t>
  </si>
  <si>
    <t>Agrosiper 100 EC 10 X 1 ltr</t>
  </si>
  <si>
    <t>Agrosiper 100 EC 25 X 500 ml</t>
  </si>
  <si>
    <t>Agrosiper 100 EC 50 X 100 ml</t>
  </si>
  <si>
    <t>Agrosiper 100 EC 50 X 250 ml</t>
  </si>
  <si>
    <t>Agrotech 722 SL ( G ) 20 X 500 ml</t>
  </si>
  <si>
    <t>Agrovin 200 SL 100 X 100 ml</t>
  </si>
  <si>
    <t>Agrovin 200 SL 20 X 500 ml</t>
  </si>
  <si>
    <t>Agrovin 200 SL 40 X 250 ml</t>
  </si>
  <si>
    <t>Agrovin 200 SL 50 X 100 ml</t>
  </si>
  <si>
    <t>Aipin 500 SL 12 X 1 ltr</t>
  </si>
  <si>
    <t>Aipin 500 SL 24 X 500 ml</t>
  </si>
  <si>
    <t>Aipin 500 SL 6 X 2 ltr</t>
  </si>
  <si>
    <t>Akara 75 WP 100 X 100 gr</t>
  </si>
  <si>
    <t>Akara 75 WP 20 X 20 X 25 gr</t>
  </si>
  <si>
    <t>Alamo 350 SC 20 X 500 ml</t>
  </si>
  <si>
    <t>Alamo 350 SC 48 X 100 ml</t>
  </si>
  <si>
    <t>Alat Kocor Pupuk Cair Boster 20 Ltr</t>
  </si>
  <si>
    <t>Alat Kocor Pupuk Cair Imtagro</t>
  </si>
  <si>
    <t>Alat Kocor Pupuk Padat Flow 1 Nozzle</t>
  </si>
  <si>
    <t>Alat Kocor Pupuk Padat Flow 2 Nozzle</t>
  </si>
  <si>
    <t>Alat Pengikat Tanaman Yoto 20 X 1 pcs</t>
  </si>
  <si>
    <t>Alat Tanam Jagung 1 Output Imtagro MTB-006 6 X 1 pcs</t>
  </si>
  <si>
    <t>Alat Tanam Jagung 1 Output</t>
  </si>
  <si>
    <t>Alat Tanam Roll 10 Lubang</t>
  </si>
  <si>
    <t>Alat Tanam Roll 8 Lubang</t>
  </si>
  <si>
    <t>Alexis 70 WP 15 X 800 gr</t>
  </si>
  <si>
    <t>Alexis 70 WP 30 X 400 gr</t>
  </si>
  <si>
    <t>Alfatox 50 EC 50 X 200 ml (M2U)</t>
  </si>
  <si>
    <t>Alfatox 50 EC 50 X 200 ml</t>
  </si>
  <si>
    <t>Almix 247 ZC 100 X 50 ml</t>
  </si>
  <si>
    <t>Almix 247 ZC 20 X 250 ml</t>
  </si>
  <si>
    <t>Almix 247 ZC 50 X 100 ml</t>
  </si>
  <si>
    <t>Amazone 80 EC 50 X 80 ml</t>
  </si>
  <si>
    <t>Amcoron 80 WP 20 X 500 gr</t>
  </si>
  <si>
    <t>Amcoron 80 WP 40 X 250 gr</t>
  </si>
  <si>
    <t>Aminosong 100 X 100 ml (M2U)</t>
  </si>
  <si>
    <t>Aminosong 30 X 500 ml (M2U)</t>
  </si>
  <si>
    <t>Amotop 325 SC 100 X 100 ml</t>
  </si>
  <si>
    <t>Amotop 325 SC 40 X 250 ml</t>
  </si>
  <si>
    <t>Aneto 0.5 G 10 X 1 kg</t>
  </si>
  <si>
    <t>Aneto 50 EC 30 X 500 ml (M2U)</t>
  </si>
  <si>
    <t>Aneto 50 EC 30 X 500 ml</t>
  </si>
  <si>
    <t>Aneto 50 EC 50 X 250 ml (M2U)</t>
  </si>
  <si>
    <t>Apison 51.5 DG 100 X 100 gr</t>
  </si>
  <si>
    <t>Apison 51.5 DG 20 X 20 X 25 gr</t>
  </si>
  <si>
    <t>Apronil 50 SC 100 X 100 ml</t>
  </si>
  <si>
    <t>Apronil 50 SC 20 X 500 ml</t>
  </si>
  <si>
    <t>Apronil 50 SC 40 X 250 ml</t>
  </si>
  <si>
    <t>Arizona 55 EC 40 X 200 ml</t>
  </si>
  <si>
    <t>Asetor 250 EC 50 X 80 ml</t>
  </si>
  <si>
    <t>Astana 85 WP 80 X 100 gr</t>
  </si>
  <si>
    <t>Athos 240 SC 100 X 100 ml</t>
  </si>
  <si>
    <t>Athos 240 SC 40 X 250 ml</t>
  </si>
  <si>
    <t>Azatin 500 SC 100 X 100 ml</t>
  </si>
  <si>
    <t>Azatin 500 SC 40 X 250 ml</t>
  </si>
  <si>
    <t>Azoxa Plus 560 SC 20 X 400 ml</t>
  </si>
  <si>
    <t>Azoxa Plus 560 SC 50 X 100 ml</t>
  </si>
  <si>
    <t>Azoxa Plus 560 SC 50 X 200 ml</t>
  </si>
  <si>
    <t>Bactocyn 150 AL 50 X 200 ml</t>
  </si>
  <si>
    <t>Baltiko 100 X 100 gr</t>
  </si>
  <si>
    <t>Baltiko 20 X 500 gr</t>
  </si>
  <si>
    <t>Basfoliar Avant Natur 20 X 500 ml</t>
  </si>
  <si>
    <t>Basfoliar K 10-0-35 20 X 500 gr</t>
  </si>
  <si>
    <t>Basfoliar K 10-0-35 32 X 500 gr</t>
  </si>
  <si>
    <t>Been Toxcer 40 X 500 ml</t>
  </si>
  <si>
    <t>Been Trubus Umum 20 X 1 ltr</t>
  </si>
  <si>
    <t>Beensae Booster 30 X 400 gr</t>
  </si>
  <si>
    <t>Beensae KCL Cair 40 X 500 ml</t>
  </si>
  <si>
    <t>Belona 18 EC 30 X 500 ml</t>
  </si>
  <si>
    <t>Bencore 250 EC 50 X 100 ml</t>
  </si>
  <si>
    <t>Bernas 250 EC 40 X 250 ml (M2U)</t>
  </si>
  <si>
    <t>Bernas 250 EC 50 X 80 ml (M2U)</t>
  </si>
  <si>
    <t>Bernice 5 SL 30 X 200 ml</t>
  </si>
  <si>
    <t>Berosal 50 WP 50 X 100 gr</t>
  </si>
  <si>
    <t>Berosal 50 WP 50 X 400 gr</t>
  </si>
  <si>
    <t>Best Up 480 SL 20 ltr</t>
  </si>
  <si>
    <t>Best Up 480 SL 4 X 5 ltr</t>
  </si>
  <si>
    <t>Beta-Nil 76 WP 20 X 500 gr</t>
  </si>
  <si>
    <t>Betapro 300 SC 100 X 100 ml</t>
  </si>
  <si>
    <t>Betapro 300 SC 40 X 250 ml</t>
  </si>
  <si>
    <t>Bigger 40 EC 24 X 400 gr</t>
  </si>
  <si>
    <t>Biggrow 20 WP 4 X 75 X 5 gr + Kaos ( Tidak dipakai )</t>
  </si>
  <si>
    <t>Biggrow 20 WP 4 X 75 X 5 gr</t>
  </si>
  <si>
    <t>Bina Top 525 SL 20 ltr</t>
  </si>
  <si>
    <t>Bina Top 525 SL 20 X 1 ltr</t>
  </si>
  <si>
    <t>Bina Top 525 SL 4 X 5 ltr</t>
  </si>
  <si>
    <t>Biochem Jagung/Tikus 20 X 1 ltr</t>
  </si>
  <si>
    <t>Biochem Padi/Tikus 20 X 1 ltr</t>
  </si>
  <si>
    <t>Biochem Umum 5 X 5 ltr</t>
  </si>
  <si>
    <t>Biochem Umum/Tikus (NPK Cair) 20 X 1 ltr</t>
  </si>
  <si>
    <t>Biochem Umum/Tikus 20 X 1 ltr</t>
  </si>
  <si>
    <t>BM Ematez 19 EC 100 X 100 ml</t>
  </si>
  <si>
    <t>BM Ematez 19 EC 20 X 500 ml</t>
  </si>
  <si>
    <t>BM Ematez 19 EC 40 X 250 ml</t>
  </si>
  <si>
    <t>BM Hammer 45 WP 100 X 100 gr</t>
  </si>
  <si>
    <t>BM Jamurlang 300 EC 40 X 250 ml</t>
  </si>
  <si>
    <t>BM Promax 75 SP 10 X 1 kg</t>
  </si>
  <si>
    <t>BM Surround 150 SC 100 X 100 ml</t>
  </si>
  <si>
    <t>BM Vefosate 480 SL 20 ltr</t>
  </si>
  <si>
    <t>BM Vefosate 480 SL 20 X 1 ltr</t>
  </si>
  <si>
    <t>Braphon 488 SL 20 X 900 ml</t>
  </si>
  <si>
    <t>Braphon 488 SL 40 X 250 ml</t>
  </si>
  <si>
    <t>Bravoxone 276 SL 20 ltr</t>
  </si>
  <si>
    <t>Bravoxone 276 SL 20 X 1 ltr</t>
  </si>
  <si>
    <t>Bravoxone 276 SL 4 X 5 ltr</t>
  </si>
  <si>
    <t>Cabe Emerald 20 X 12 X 10 gr</t>
  </si>
  <si>
    <t>Cabe Genie 12 X 15 X 3200 seed</t>
  </si>
  <si>
    <t>Cabzim 500 SC 100 X 100 ml</t>
  </si>
  <si>
    <t>Cabzim 500 SC 12 X 1 ltr</t>
  </si>
  <si>
    <t>Castora 40 SP 50 X 200 gr</t>
  </si>
  <si>
    <t>Chief 480 SL 20 ltr</t>
  </si>
  <si>
    <t>Chief 480 SL 20 X 1 ltr</t>
  </si>
  <si>
    <t>Cobra 15 EC 50 X 100 ml</t>
  </si>
  <si>
    <t>Coppertris 50 WP 20 X 1 kg</t>
  </si>
  <si>
    <t>Coppertris 50 WP 30 X 500 gr</t>
  </si>
  <si>
    <t>Coppertris 50 WP 60 X 250 gr</t>
  </si>
  <si>
    <t>Cymax 100 OD 20 X 200 ml</t>
  </si>
  <si>
    <t>Cymax 100 OD 50 X 100 ml</t>
  </si>
  <si>
    <t>Cymoxan 15 WP 35 X 250 gr</t>
  </si>
  <si>
    <t>Cymoxan 15 WP 80 X 250 gr</t>
  </si>
  <si>
    <t>Dapper 75 WP 20 X 500 gr</t>
  </si>
  <si>
    <t>Dellacid 525 EC 20 x 500 ml</t>
  </si>
  <si>
    <t>DK Fipron 50 SC 100 X 100 ml</t>
  </si>
  <si>
    <t>DK Fipron 50 SC 100 X 50 ml</t>
  </si>
  <si>
    <t>DK Fipron 50 SC 20 X 500 ml</t>
  </si>
  <si>
    <t>DK Fipron 50 SC 40 X 250 ml</t>
  </si>
  <si>
    <t>DK Mektin 18 EC 10 X 1 ltr</t>
  </si>
  <si>
    <t>DK Mektin 18 EC 100 X 100 ml</t>
  </si>
  <si>
    <t>DK Mektin 18 EC 20 X 500 ml</t>
  </si>
  <si>
    <t>DK Mektin 18 EC 40 X 250 ml</t>
  </si>
  <si>
    <t>DK Mesonin 550 SC 10 X 1 ltr</t>
  </si>
  <si>
    <t>DK Mesonin 550 SC 15 X 1 ltr</t>
  </si>
  <si>
    <t>DK Mesonin 550 SC 15 X 500 ml</t>
  </si>
  <si>
    <t>DK Mesonin 550 SC 40 X 250 ml</t>
  </si>
  <si>
    <t>DK Metoar 400 EC 20 X 400 ml</t>
  </si>
  <si>
    <t>DK Metoar 400 EC 40 X 200 ml</t>
  </si>
  <si>
    <t>DK Metrin 500 SC 20 X 1 ltr</t>
  </si>
  <si>
    <t>DK Pronil 50 SC 100 X 100 ml</t>
  </si>
  <si>
    <t>DK Pronil 50 SC 100 X 50 ml (S)</t>
  </si>
  <si>
    <t>DK Pronil 50 SC 20 X 500 ml</t>
  </si>
  <si>
    <t>DK Pronil 50 SC 40 X 250 ml</t>
  </si>
  <si>
    <t>DK Staronil Mix 560 SC 20 X 500 ml</t>
  </si>
  <si>
    <t>DK Staronil Mix 560 SC 40 X 250 ml</t>
  </si>
  <si>
    <t>DK Starzeb 80 WP 10 X 800 gr</t>
  </si>
  <si>
    <t>DK Zol Extra 300 SC 100 X 80 ml</t>
  </si>
  <si>
    <t>DK Zol Extra 300 SC 40 X 250 ml</t>
  </si>
  <si>
    <t>Donkey 40 WP 100 X 100 gr</t>
  </si>
  <si>
    <t>Donkey 40 WP 40 X 200 gr</t>
  </si>
  <si>
    <t>Donkey 40 WP 40 X 400 gr</t>
  </si>
  <si>
    <t>Dumil 40 SP 10 X 1 kg</t>
  </si>
  <si>
    <t>Dumil 40 SP 100 X 100 gr</t>
  </si>
  <si>
    <t>Dumil 40 SP 25 X 400 gr</t>
  </si>
  <si>
    <t>Electric 500 EC 20 X 1 ltr</t>
  </si>
  <si>
    <t>Electric 500 EC 20 X 500 ml</t>
  </si>
  <si>
    <t>Electric 500 EC 40 X 250 ml</t>
  </si>
  <si>
    <t>Electron 50/550 EC 20 X 1 ltr</t>
  </si>
  <si>
    <t>Electron 50/550 EC 20 X 400 ml</t>
  </si>
  <si>
    <t>Electron 50/550 EC 40 X 200 ml</t>
  </si>
  <si>
    <t>Emacel 30 EC 50 X 250 ml</t>
  </si>
  <si>
    <t>Emaplus 50 EC 25 X 400 ml</t>
  </si>
  <si>
    <t>Emaplus 50 EC 30 X 200 ml</t>
  </si>
  <si>
    <t>Evencio TM 20 X 330 ml</t>
  </si>
  <si>
    <t>Extra One 680 SC 10 X 500 ml</t>
  </si>
  <si>
    <t>Extra One 680 SC 18 X 250 ml</t>
  </si>
  <si>
    <t>Extra One 680 SC 20 X 250 ml</t>
  </si>
  <si>
    <t>Fenticide 200 EC 10 X 1 ltr</t>
  </si>
  <si>
    <t>Ferancher 100 EC 25 X 200 ml</t>
  </si>
  <si>
    <t>Ferancher 100 EC 50 X 200 ml</t>
  </si>
  <si>
    <t>Fetrilon Combi 1 12 X 200 X 2.5 gr</t>
  </si>
  <si>
    <t>Fironik 50 SC 40 X 250 ml</t>
  </si>
  <si>
    <t>Format 360/120 SL + Metil 20 X 1 ltr</t>
  </si>
  <si>
    <t>Format 360/120 SL 20 ltr</t>
  </si>
  <si>
    <t>Format 360/120 SL 20 X 500 ml</t>
  </si>
  <si>
    <t>Fortune 15 X 1 ltr</t>
  </si>
  <si>
    <t>Fungisid 80 WP 10 X 100 X 10 gr</t>
  </si>
  <si>
    <t>Ga Plus 40 SL 30 X 15 X 35 ml</t>
  </si>
  <si>
    <t>Ga Plus 40 SL 50 X 100 ml</t>
  </si>
  <si>
    <t>Gatiga 20 T 10 X 100 X 2 gr</t>
  </si>
  <si>
    <t>Gemilang 110 EC 20 X 400 ml</t>
  </si>
  <si>
    <t>Genera 24 X 500 ml</t>
  </si>
  <si>
    <t>Gerbera 100 EC 20 X 500 ml</t>
  </si>
  <si>
    <t>Gerbera 100 EC 40 X 200 ml</t>
  </si>
  <si>
    <t>GG Akar 50 X 250 ml (M2U)</t>
  </si>
  <si>
    <t>Gibas 240 SL 4 X 5 ltr</t>
  </si>
  <si>
    <t>Gita 80 WP 20 X 1 kg</t>
  </si>
  <si>
    <t>Glimax 480 SL 20 ltr</t>
  </si>
  <si>
    <t>Glimax 480 SL 20 X 1 ltr</t>
  </si>
  <si>
    <t>Glimax 480 SL 4 X 5 ltr</t>
  </si>
  <si>
    <t>Glufostar 15 X 1 ltr</t>
  </si>
  <si>
    <t>Glufostar 30 X 500 ml</t>
  </si>
  <si>
    <t>GW Magicgro G6 24 X 1 ltr</t>
  </si>
  <si>
    <t>GW Magicgro G8 12 X 998 ml</t>
  </si>
  <si>
    <t>GW Magicgro G8 24 X 998 ml</t>
  </si>
  <si>
    <t>GW Vit B1+B6 32 X 150 ml</t>
  </si>
  <si>
    <t>GW Vit B1+B6 50 X 150 ml</t>
  </si>
  <si>
    <t>GW Vit B1+B6 50 X 200 ml</t>
  </si>
  <si>
    <t>GW Vit B1+B6 56 X 200 ml</t>
  </si>
  <si>
    <t>Hades 123 SL 20 X 500 ml</t>
  </si>
  <si>
    <t>Hades 123 SL 40 X 250 ml</t>
  </si>
  <si>
    <t>Hades 123 SL 50 X 100 ml</t>
  </si>
  <si>
    <t>Hexacar 100 SC 20 X 500 ml</t>
  </si>
  <si>
    <t>Hexacar 100 SC 50 X 100 ml</t>
  </si>
  <si>
    <t>Hijau 15 X 1 ltr</t>
  </si>
  <si>
    <t>Hijau Buah 15 X 1 ltr</t>
  </si>
  <si>
    <t>Hokky 30 EC 50 X 100 ml</t>
  </si>
  <si>
    <t>HSP Astiva 10 X 5 kg</t>
  </si>
  <si>
    <t>HSP Astiva 25 Kg</t>
  </si>
  <si>
    <t>HSP Astiva 8 X 5 kg</t>
  </si>
  <si>
    <t>Hypo One 450 EC 10 X 1 ltr</t>
  </si>
  <si>
    <t>Hypo One 450 EC 20 X 500 ml</t>
  </si>
  <si>
    <t>Hypo One 450 EC 30 X 200 ml</t>
  </si>
  <si>
    <t>Icemut 0.25 GR 4 X 25 X 20 gr</t>
  </si>
  <si>
    <t>Icemut 0.25 GR 5 X 108 X 20 gr</t>
  </si>
  <si>
    <t>Inovate 100 EC 50 X 100 ml</t>
  </si>
  <si>
    <t>Jagabaya 200 EC 20 X 500 ml</t>
  </si>
  <si>
    <t>Jagung Hibrida Betras 1 15 X 1 kg</t>
  </si>
  <si>
    <t>Jagung Manis Madu-59 F1 15 X 250 gr</t>
  </si>
  <si>
    <t>Jagung Q-11 20 X 1 kg</t>
  </si>
  <si>
    <t>Japra 400 SE 20 X 1 ltr (M2U)</t>
  </si>
  <si>
    <t>Japra 400 SE 20 X 500 ml (M2U)</t>
  </si>
  <si>
    <t>Japra 400 SE 20 X 500 ml (M2U)+2 pcs Borer</t>
  </si>
  <si>
    <t>Japra 400 SE 50 X 250 ml (M2U)</t>
  </si>
  <si>
    <t>Jeranti Kujang 4 X 5 kg</t>
  </si>
  <si>
    <t>Jersey 230 EC 40 X 200 ml</t>
  </si>
  <si>
    <t>Kac. Hijau Vima 1 25 X 1 kg</t>
  </si>
  <si>
    <t>Kaliandra 482 EC 30 X 400 ml (M2U) Label Biru</t>
  </si>
  <si>
    <t>Kaliandra 482 EC 30 X 400 ml (M2U) Label Kuning</t>
  </si>
  <si>
    <t>Kaliandra 482 EC 30 X 400 ml</t>
  </si>
  <si>
    <t>Kaliandra 482 EC 50 X 200 ml</t>
  </si>
  <si>
    <t>Kaliandra 482 EC 50 X 80 ml (M2U) Label Kuning</t>
  </si>
  <si>
    <t>Karimazu 590 EC 15 X 1 ltr</t>
  </si>
  <si>
    <t>Karimazu 590 EC 20 X 1 ltr (Protego)</t>
  </si>
  <si>
    <t>Karimazu 590 EC 20 X 500 ml (Protego)</t>
  </si>
  <si>
    <t>Karimazu 590 EC 20 X 500 ml</t>
  </si>
  <si>
    <t>Karimazu 590 EC 25 X 400 ml</t>
  </si>
  <si>
    <t>Karimazu 590 EC 50 X 100 ml</t>
  </si>
  <si>
    <t>Karissnail 6 PL 20 X 500 gr (M2U)</t>
  </si>
  <si>
    <t>Karissnail 6 PL 50 X 200 gr (M2U)</t>
  </si>
  <si>
    <t>Karissnail 6 PL 50 X 200 gr</t>
  </si>
  <si>
    <t>KCL Kujang 5 X 5 kg</t>
  </si>
  <si>
    <t>Ketave 100 SL 10 X 1 ltr</t>
  </si>
  <si>
    <t>Ketave 100 SL 20 X 500 ml</t>
  </si>
  <si>
    <t>Ketave 100 SL 40 X 250 ml</t>
  </si>
  <si>
    <t>Kick Off 36 EC 20 X 250 ml</t>
  </si>
  <si>
    <t>Kick Off 36 EC 20 X 500 ml</t>
  </si>
  <si>
    <t>Knocker 20 X 200 ml + ergostim</t>
  </si>
  <si>
    <t>Knocker 30 X 200 ml</t>
  </si>
  <si>
    <t>Konsep 50 EC 50 X 100 ml</t>
  </si>
  <si>
    <t>Lang Sangit 50 EC 20 X 1 ltr</t>
  </si>
  <si>
    <t>Lang Sangit 50 EC 20 X 400 ml</t>
  </si>
  <si>
    <t>Lang Sangit 50 EC 50 X 100 ml</t>
  </si>
  <si>
    <t>Lastop 485 SL 20 ltr TME</t>
  </si>
  <si>
    <t>Lastop 485 SL 20 X 1 ltr TME</t>
  </si>
  <si>
    <t>Lastop 485 SL 4 X 5 ltr TME</t>
  </si>
  <si>
    <t>Lastop 485 SL 4 X 5 ltr</t>
  </si>
  <si>
    <t>Licron 500 EC 10 X 1 ltr</t>
  </si>
  <si>
    <t>Licron 500 EC 20 X 500 ml</t>
  </si>
  <si>
    <t>Livanto 100 EC 100 X 100 ml</t>
  </si>
  <si>
    <t>Livanto 100 EC 20 X 400 ml</t>
  </si>
  <si>
    <t>Livanto 100 EC 40 X 250 ml</t>
  </si>
  <si>
    <t>Logamate 440 EC 10 x 1 ltr</t>
  </si>
  <si>
    <t>Logamate 440 EC 100 x 100 ml</t>
  </si>
  <si>
    <t>Logamate 440 EC 20 X 800 ml</t>
  </si>
  <si>
    <t>Logamate 440 EC 30 x 250 ml</t>
  </si>
  <si>
    <t>Longer 75 WP 20 X 400 gr</t>
  </si>
  <si>
    <t>Mancozeb 80 WP 1 X 25 kg</t>
  </si>
  <si>
    <t>Mandoxone 276 SL 200 ltr</t>
  </si>
  <si>
    <t>Mandoxone 276 SL 25 X 500 ml</t>
  </si>
  <si>
    <t>Mandoxone 276 SL 40 X 250 ml</t>
  </si>
  <si>
    <t>Manggatox 50 EC 20 X 1 ltr</t>
  </si>
  <si>
    <t>Manggatox 50 EC 20 X 400 ml</t>
  </si>
  <si>
    <t>Manic 62.5 WG 20 X 500 gr</t>
  </si>
  <si>
    <t>Mastercall Putih 20 X 1 kg</t>
  </si>
  <si>
    <t>Mega Up 480 SL 20 ltr + 20 Pack Metaben 20 WG-5 gr</t>
  </si>
  <si>
    <t>Mega Up 480 SL 20 X 1 ltr + 1 Pack Metaben 20 WG-5 gr</t>
  </si>
  <si>
    <t>Mega Up 480 SL 4 X 5 ltr</t>
  </si>
  <si>
    <t>Metachlor 650 EC 50 X 100 ml</t>
  </si>
  <si>
    <t>Metalax - M 25 WP 10 X 20 X 5 gr</t>
  </si>
  <si>
    <t>Metindo 25 WP 20 X 50 X 15 gr</t>
  </si>
  <si>
    <t>Metindo 25 WP 40 X 250 gr</t>
  </si>
  <si>
    <t>Metindo 80 SL 20 X 500 ml</t>
  </si>
  <si>
    <t>Mexdone 36 EC 20 X 1 ltr</t>
  </si>
  <si>
    <t>Money 865 SL 200 ltr</t>
  </si>
  <si>
    <t>Money 865 SL 30 X 200 ml</t>
  </si>
  <si>
    <t>Monkey 40 SP 100 X 100 gr</t>
  </si>
  <si>
    <t>Monkey 40 SP 40 X 200 gr</t>
  </si>
  <si>
    <t>Montana 230 EC 20 X 500 ml</t>
  </si>
  <si>
    <t>Montana 230 EC 40 X 250 ml</t>
  </si>
  <si>
    <t>Montana 230 EC 50 X 100 ml</t>
  </si>
  <si>
    <t>MOP/KCL Cap Daun 50 kg</t>
  </si>
  <si>
    <t>Moxanil 20 X 400 gr</t>
  </si>
  <si>
    <t>Mulsa Hanoman 40 cm X 18 kg (Roll)</t>
  </si>
  <si>
    <t>Mulsa Hanoman 40 cm X 9 kg (Roll)</t>
  </si>
  <si>
    <t>Mulsa Hanoman 50 cm X 18 kg (Roll)</t>
  </si>
  <si>
    <t>Mulsa Hanoman 50 cm X 9 kg (Roll)</t>
  </si>
  <si>
    <t>Mulsa Hanoman 70 cm X 18 kg (Roll)</t>
  </si>
  <si>
    <t>Mulsa Hanoman 70 cm X 9 kg (Roll)</t>
  </si>
  <si>
    <t>Mulsa Karisma Kuda 50 cm X 17 kg (Roll) Merah MT</t>
  </si>
  <si>
    <t>Mulsa Karisma Kuda 50 cm X 18 kg (Roll) Merah</t>
  </si>
  <si>
    <t>Mulsa Karisma Kuda 50 cm X 18 kg (Roll)</t>
  </si>
  <si>
    <t>Mulsa Karisma Kuda 50 cm X 8 kg (Roll) Merah MT</t>
  </si>
  <si>
    <t>Mulsa Karisma Kuda 50 cm X 9 kg (Roll) Merah</t>
  </si>
  <si>
    <t>Mulsa Karisma Kuda 50 cm X 9 kg (Roll)</t>
  </si>
  <si>
    <t>Mulsa Karisma Kuda 60 cm X 17 kg (Roll) Merah MT</t>
  </si>
  <si>
    <t>Mulsa Karisma Kuda 60 cm X 18 kg (Roll) Kuning</t>
  </si>
  <si>
    <t>Mulsa Karisma Kuda 60 cm X 18 kg (Roll) Merah</t>
  </si>
  <si>
    <t>Mulsa Karisma Kuda 60 cm X 18 kg</t>
  </si>
  <si>
    <t>Mulsa Karisma Kuda 60 cm X 8 kg (Roll) Merah MT</t>
  </si>
  <si>
    <t>Mulsa Karisma Kuda 60 cm X 9 kg (Roll) Kuning</t>
  </si>
  <si>
    <t>Mulsa Karisma Kuda 60 cm X 9 kg (Roll) Merah</t>
  </si>
  <si>
    <t>Mulsa Karisma Kuda 60 cm X 9 kg (Roll)</t>
  </si>
  <si>
    <t>Mulsa Karisma Kuda 60 cm X 9 kg</t>
  </si>
  <si>
    <t>Mulsa Karisma Kuda 70 cm X 18 kg (Roll)</t>
  </si>
  <si>
    <t>Mulsa Karisma Kuda 70 cm X 18 kg</t>
  </si>
  <si>
    <t>Mulsa Karisma Kuda 70 cm X 9 kg (Roll)</t>
  </si>
  <si>
    <t>Mulsa Karisma Kuda 70 cm X 9 kg</t>
  </si>
  <si>
    <t>Mulsa Karisma Kuda 80 cm X 18 kg (Roll) Merah</t>
  </si>
  <si>
    <t>Mulsa Karisma Kuda 80 cm X 9 kg (Roll)</t>
  </si>
  <si>
    <t>Mulsa Karisma Q989 50 cm X 16 kg (Roll) Merah MT</t>
  </si>
  <si>
    <t>Mulsa Karisma Q989 50 cm X 16 kg (Roll) Merah</t>
  </si>
  <si>
    <t>Mulsa Karisma Q989 50 cm X 17 kg (Roll) Merah MT</t>
  </si>
  <si>
    <t>Mulsa Karisma Q989 50 cm X 18 kg (Roll)</t>
  </si>
  <si>
    <t>Mulsa Karisma Q989 60 cm X 16 kg (Roll) Merah</t>
  </si>
  <si>
    <t>Mulsa Karisma Q989 60 cm X 17 kg (Roll) Merah MT</t>
  </si>
  <si>
    <t>Mulsa Karisma Q989 60 cm X 18 kg (Roll)</t>
  </si>
  <si>
    <t>Mulsa Karisma Q989 60 cm X 8 kg (Roll) Merah MT</t>
  </si>
  <si>
    <t>Mulsa Karisma Q989 60 cm X 8 kg (Roll) Merah</t>
  </si>
  <si>
    <t>Mulsa Karisma Q989 60 cm X 9 kg (Roll)</t>
  </si>
  <si>
    <t>Mulsa Karisma Q989 60 X 18 kg (Roll) Kuning</t>
  </si>
  <si>
    <t>Mulsa Karisma Q989 70 cm X 17 kg (Roll) Merah MT</t>
  </si>
  <si>
    <t>Mulsa Karisma Q989 70 cm X 17 kg (Roll)</t>
  </si>
  <si>
    <t>Mulsa Karisma Q989 70 cm X 8 kg (Roll) Merah MT</t>
  </si>
  <si>
    <t>Mulsa Karisma Q989 70 cm X 8 kg (Roll)</t>
  </si>
  <si>
    <t>Mulsa Ori Gajah 0.3 80 cm X 18 kg (Roll)</t>
  </si>
  <si>
    <t>Mulsa Ori Gajah 0.3 80 cm X 9 kg (Roll)</t>
  </si>
  <si>
    <t>Mulsa Petani Sejati 50 cm X 18 kg (Roll)</t>
  </si>
  <si>
    <t>Mulsa Petani Sejati 60 cm X 17 kg (Roll) MT</t>
  </si>
  <si>
    <t>Mulsa Petani Sejati 60 cm X 8 kg (Roll) MT</t>
  </si>
  <si>
    <t>Mulsa Universal 50 X 18 kg (Roll)</t>
  </si>
  <si>
    <t>Mulsa Universal 50 X 9 kg (Roll)</t>
  </si>
  <si>
    <t>Mulsa Universal 60 X 18 kg (Roll)</t>
  </si>
  <si>
    <t>Mulsa Universal 60 X 9 kg (Roll)</t>
  </si>
  <si>
    <t>Mulsa Universal 70 X 18 kg (Roll)</t>
  </si>
  <si>
    <t>Mulsa Universal 70 X 9 kg (Roll)</t>
  </si>
  <si>
    <t>Mutual 25/25 WP 40 X 250 gr</t>
  </si>
  <si>
    <t>Mutual 25/25 WP 50 X 100 gr</t>
  </si>
  <si>
    <t>Nando 500 SC 50 X 100 ml</t>
  </si>
  <si>
    <t>Nemaguard 10 GR 20 X 1 kg</t>
  </si>
  <si>
    <t>Neo Foxs 200 EC 24 X 500 ml</t>
  </si>
  <si>
    <t>Neo Foxs 200 EC 40 X 250 ml</t>
  </si>
  <si>
    <t>Neo Foxs 200 EC 50 X 100 ml</t>
  </si>
  <si>
    <t>Neptune 25 WP 50 x 50 gr</t>
  </si>
  <si>
    <t>Nitrea Kujang 25 kg</t>
  </si>
  <si>
    <t>Nitrea Kujang 4 X 5 kg</t>
  </si>
  <si>
    <t>Nostro 440 EC 50 X 100 ml</t>
  </si>
  <si>
    <t>Noweed 400 OF 50 X 100 ml</t>
  </si>
  <si>
    <t>Noweed 400 OF 50 X 50 ml</t>
  </si>
  <si>
    <t>NPK 16.16.16 Lao Ying 50 kg</t>
  </si>
  <si>
    <t>NPK 16.16.16 Lao Ying Biru 20 kg</t>
  </si>
  <si>
    <t>NPK 16.16.16 Lao Ying Biru 20 X 1 kg</t>
  </si>
  <si>
    <t>NPK 16.16.16 Lao Ying Biru 50 kg</t>
  </si>
  <si>
    <t>NPK 16.16.16 Lao Ying Biru 50 X 1 kg</t>
  </si>
  <si>
    <t>NPK 16.16.16 Lao Ying Pink 20 kg</t>
  </si>
  <si>
    <t>NPK 16.16.16 Lao Ying Pink 50 kg</t>
  </si>
  <si>
    <t>NPK 16.16.16+2 MPS 10 X 5 kg</t>
  </si>
  <si>
    <t>NPK 16.16.16+2 MPS 25 X 1 kg</t>
  </si>
  <si>
    <t>NPK 16.16.16+2 MPS 5 X 5 kg</t>
  </si>
  <si>
    <t>NPK 16.16.16+2 MPS 6 X 5 kg</t>
  </si>
  <si>
    <t>NPK Black Ion 20-10-20 50 kg</t>
  </si>
  <si>
    <t>NPK Multidaya 10-10-10 50 kg</t>
  </si>
  <si>
    <t>NPK Multidaya 12-12-17 50 kg</t>
  </si>
  <si>
    <t>NPK Multiera 15-15-15 25 kg</t>
  </si>
  <si>
    <t>NPK Novatec 12-12-17 10 X 1 kg</t>
  </si>
  <si>
    <t>NPK Novatec 12-12-17 25 X 1 kg</t>
  </si>
  <si>
    <t>NPK Novatec 12-12-17 5 X 5 kg</t>
  </si>
  <si>
    <t>NPK Novatec 12-8-16 10 X 1 kg</t>
  </si>
  <si>
    <t>NPK Novatec 12-8-16 25 kg</t>
  </si>
  <si>
    <t>NPK Novatec 12-8-16 25 X 1 kg</t>
  </si>
  <si>
    <t>Numectin 20 EC 15 X 1 ltr</t>
  </si>
  <si>
    <t>Oneshot 100 SC 40 X 250 ml</t>
  </si>
  <si>
    <t>Oneshot 100 SC 50 X 100 ml</t>
  </si>
  <si>
    <t>Onestar 275 EC 100 X 100 ml</t>
  </si>
  <si>
    <t>Onestar 275 EC 20 X 500 ml</t>
  </si>
  <si>
    <t>Onestar 275 EC 40 X 250 ml</t>
  </si>
  <si>
    <t>Osmocote Dekastar Daun 17-11-10 24 X 500 gr</t>
  </si>
  <si>
    <t>Osmocote Dekastar Daun 17-11-10 40 X 100 gr</t>
  </si>
  <si>
    <t>Oyong Hanoman 12 X 15 X 75 seed</t>
  </si>
  <si>
    <t>Padi Intani 602 20 X 1 kg</t>
  </si>
  <si>
    <t>Padi Janger Ciherang 4 X 5 kg</t>
  </si>
  <si>
    <t>Padi Janger Inpari-16 4 X 5 kg</t>
  </si>
  <si>
    <t>Padi Janger Inpari-32 4 X 5 kg</t>
  </si>
  <si>
    <t>Padi Janger Inpari-42 4 X 5 kg</t>
  </si>
  <si>
    <t>Padi Janger IR 64 4 X 5 kg</t>
  </si>
  <si>
    <t>Padi Janger Logawa 4 X 5 kg</t>
  </si>
  <si>
    <t>Padi Janger Membramo 4 X 5 kg</t>
  </si>
  <si>
    <t>Padi Janger Situbagendit 4 X 5 kg</t>
  </si>
  <si>
    <t>Padi Q-989 Cibogo 4 X 5 kg</t>
  </si>
  <si>
    <t>Padi Q-989 Inpari 30 4 X 5 kg</t>
  </si>
  <si>
    <t>Padi Q-989 Inpari 32 4 X 5 kg</t>
  </si>
  <si>
    <t>Padi Q-989 Inpari 33 4 X 5 kg</t>
  </si>
  <si>
    <t>Padi Q-989 Inpari 42 4 X 5 kg</t>
  </si>
  <si>
    <t>Padi Q-989 IR 64 4 X 5 kg</t>
  </si>
  <si>
    <t>Padi Q-989 Logawa 4 X 5 kg</t>
  </si>
  <si>
    <t>Padi Q-989 Mekongga 4 X 5 kg</t>
  </si>
  <si>
    <t>Padi Q-989 Situbagendit 4 X 5 kg</t>
  </si>
  <si>
    <t>Paket Piribac 400 SC 50 X 100 ml + Ferancher 200 ml</t>
  </si>
  <si>
    <t>Paraqueen 276 SL Mahkota 200 ltr</t>
  </si>
  <si>
    <t>Paraqueen Mahkota 276 SL 12 X 1 ltr</t>
  </si>
  <si>
    <t>Paraqueen Mahkota 276 SL 20 ltr</t>
  </si>
  <si>
    <t>Paskal 50 WP 16 X 500 gr</t>
  </si>
  <si>
    <t>Pinamec 20 EC 15 X 1 ltr (Logo Protego)</t>
  </si>
  <si>
    <t>Pinamec 20 EC 20 X 500 ml (Logo Protego)</t>
  </si>
  <si>
    <t>Pinamec 20 EC 20 X 500 ml</t>
  </si>
  <si>
    <t>Pinamec 20 EC 50 X 100 ml (Logo Protego)</t>
  </si>
  <si>
    <t>Pinamec 20 EC 50 X 100 ml</t>
  </si>
  <si>
    <t>Pinamec 20 EC 50 X 200 ml (Logo Protego)</t>
  </si>
  <si>
    <t>Pinamec 20 EC FAST 50 X 100 ml</t>
  </si>
  <si>
    <t>Piribac 400 SC 50 X 100 ml</t>
  </si>
  <si>
    <t>Planter Bag 100 Liter 4 Handle Standard HDPE 7cm 50 X 51 cm X 50 cm</t>
  </si>
  <si>
    <t>Planter Bag 150 Liter 4 Handle Standard HDPE 7cm 40 X 60 cm X 54 cm</t>
  </si>
  <si>
    <t>Planter Bag 20 Liter 2 Handle Standard HDPE 4cm 150 X 32 cm X 25 cm</t>
  </si>
  <si>
    <t>Planter Bag 200 Liter 4 Handle Standard HDPE 7cm 30 X 65 cm X 60 cm</t>
  </si>
  <si>
    <t>Planter Bag 25 Liter 2 Handle Standard HDPE 4cm 150 X 34 cm X 28 cm</t>
  </si>
  <si>
    <t>Planter Bag 250 Liter 4 Handle Standard HDPE 7cm 30 X 70 cm X 66 cm</t>
  </si>
  <si>
    <t>Planter Bag 30 Liter 2 Handle Standard HDPE 4cm 150 X 34 cm X 33 cm</t>
  </si>
  <si>
    <t>Planter Bag 300 Liter 4 Handle Standard HDPE 7cm 20 X 80 cm X 60 cm</t>
  </si>
  <si>
    <t>Planter Bag 35 Liter 2 Handle Standard HDPE 4cm 150 X 37 cm X 33 cm</t>
  </si>
  <si>
    <t>Planter Bag 45 Liter 2 Handle Standard HDPE 4cm 100 X 38 cm X 40 cm</t>
  </si>
  <si>
    <t>Planter Bag 50 Liter 2 Handle Standard HDPE 4cm 100 X 40 cm X 40 cm</t>
  </si>
  <si>
    <t>Planter Bag 75 Liter 2 Handle Standard HDPE 7cm 50 X 46 cm X 46 cm</t>
  </si>
  <si>
    <t>Planter Bag 75 Liter 2 Handle Standard HDPE 7cm 75 X 46 cm X 46 cm</t>
  </si>
  <si>
    <t>Pointer 276 SL 20 ltr</t>
  </si>
  <si>
    <t>Pointer 276 SL 4 X 5 ltr</t>
  </si>
  <si>
    <t>Polybag Alpen 10/20 X 20 cm - 25 X 1 kg</t>
  </si>
  <si>
    <t>Polybag Alpen 12.5/25 X 35 cm - 25 X 1 kg</t>
  </si>
  <si>
    <t>Polybag Alpen 12.5/25 X 50 cm - 25 X 1 kg</t>
  </si>
  <si>
    <t>Polybag Alpen 15/30 X 30 cm - 25 X 1 kg</t>
  </si>
  <si>
    <t>Polybag Alpen 15/30 X 35 cm - 25 X 1 kg</t>
  </si>
  <si>
    <t>Polybag Alpen 15/30 X 40 cm - 25 X 1 kg</t>
  </si>
  <si>
    <t>Polybag Alpen 15/30 X 50 cm - 25 X 1 kg</t>
  </si>
  <si>
    <t>Polybag Alpen 20/40 X 35 cm - 25 X 1 kg</t>
  </si>
  <si>
    <t>Polybag Alpen 20/40 X 40 cm - 25 X 1 kg</t>
  </si>
  <si>
    <t>Polybag Alpen 20/40 X 45 cm - 25 X 1 kg</t>
  </si>
  <si>
    <t>Polybag Alpen 20/40 X 50 cm - 25 X 1 kg</t>
  </si>
  <si>
    <t>Polybag Alpen 25/45 X 45 cm - 25 X 1 kg (tdk Terpakai)</t>
  </si>
  <si>
    <t>Polybag Alpen 30/60 X 60 cm - 25 X 1 kg</t>
  </si>
  <si>
    <t>Polybag Alpen 7.5/15 X 20 cm - 25 X 1 kg</t>
  </si>
  <si>
    <t>Polybag Alpen 7.5/15 X 30 cm - 25 X 1 kg</t>
  </si>
  <si>
    <t>Prima-Cel 18 EC 10 X 1 ltr</t>
  </si>
  <si>
    <t>Prima-Cel 18 EC 20 X 500 ml</t>
  </si>
  <si>
    <t>Prima-Cel 18 EC 40 X 250 ml</t>
  </si>
  <si>
    <t>Prima-Cel 18 EC 50 X 100 ml</t>
  </si>
  <si>
    <t>Profuron 600 EC 25 X 500 ml</t>
  </si>
  <si>
    <t>Pupuk Mahkota Borate 20 X 1 kg</t>
  </si>
  <si>
    <t>Pupuk Phosphate Akasia 50 kg</t>
  </si>
  <si>
    <t>Pyper 100 SC 20 X 250 ml</t>
  </si>
  <si>
    <t>Pyper 100 SC 50 X 100 ml</t>
  </si>
  <si>
    <t>Qaishar 10 WP 50 X 100 gr</t>
  </si>
  <si>
    <t>Qiumex 36 EC 100 X 50 ml</t>
  </si>
  <si>
    <t>Qiumex 36 EC 16 X 1 ltr</t>
  </si>
  <si>
    <t>Qiumex 36 EC 40 X 200 ml</t>
  </si>
  <si>
    <t>Qiumex 36 EC 50 X 100 ml</t>
  </si>
  <si>
    <t>Radix 2000 50 X 100 ml</t>
  </si>
  <si>
    <t>Raja Mulsa Hijau 50 x 310 mt</t>
  </si>
  <si>
    <t>Raja Mulsa Hijau 50 X 640 mt</t>
  </si>
  <si>
    <t>Rajatrin 250 EC 10 X 1 ltr</t>
  </si>
  <si>
    <t>Rajatrin 250 EC 50 x 200 ml</t>
  </si>
  <si>
    <t>Ramoxone 278 SL 20 ltr</t>
  </si>
  <si>
    <t>Ramoxone 278 SL 20 X 1 ltr</t>
  </si>
  <si>
    <t>Ramoxone 278 SL 4 X 5 ltr</t>
  </si>
  <si>
    <t>Ratcell 80 P</t>
  </si>
  <si>
    <t>Redzone 276 SL 20 ltr</t>
  </si>
  <si>
    <t>Redzone 276 SL 4 X 5 ltr</t>
  </si>
  <si>
    <t>Revus 250 SC 50 X 100 ml</t>
  </si>
  <si>
    <t>RhizoPlex 20 X 1 kg</t>
  </si>
  <si>
    <t>Rizeto 200 SC 50 X 100 ml</t>
  </si>
  <si>
    <t>Robust 100 X 100 ml</t>
  </si>
  <si>
    <t>Ronno 100 EC 100 X 100 ml</t>
  </si>
  <si>
    <t>Ronno 100 EC 20 X 400 ml</t>
  </si>
  <si>
    <t>Ronno 100 EC 40 X 200 ml</t>
  </si>
  <si>
    <t>Salsa 605 EC 20 X 1 ltr</t>
  </si>
  <si>
    <t>Salsa 605 EC 20 X 400 ml</t>
  </si>
  <si>
    <t>Salsa 605 EC 40 X 250 ml</t>
  </si>
  <si>
    <t>Saturn Plus 12 X 1 ltr</t>
  </si>
  <si>
    <t>Sengtop 535 SL 20 Ltr</t>
  </si>
  <si>
    <t>Sengtop 535 SL 20 X 1 ltr</t>
  </si>
  <si>
    <t>Siklon 5.7 WG 4 X 20 X 25 gr</t>
  </si>
  <si>
    <t>Sinachlorin 600 EC 20 X 1 ltr</t>
  </si>
  <si>
    <t>Sinachlorin 600 EC 40 X 400 ml</t>
  </si>
  <si>
    <t>Sinopest 250 EC 100 X 100 ml</t>
  </si>
  <si>
    <t>Sinopest 250 EC 40 X 250 ml</t>
  </si>
  <si>
    <t>Smk. Madrid F1 12 X 10 X 20 gr</t>
  </si>
  <si>
    <t>Sortie 30/6 WP 100 X 100 gr (M2U)</t>
  </si>
  <si>
    <t>Sortie 30/6 WP 100 X 100 gr</t>
  </si>
  <si>
    <t>Sortie 30/6 WP 25 X 400 gr (M2U)</t>
  </si>
  <si>
    <t>Sortie 30/6 WP 25 X 400 gr</t>
  </si>
  <si>
    <t>Sortie 30/6 WP 30 X 400 gr (M2U)</t>
  </si>
  <si>
    <t>Sprayer Elektrik Booster 16 ltr</t>
  </si>
  <si>
    <t>Sprayer Elektrik Nagata 16 ltr</t>
  </si>
  <si>
    <t>Sprayer Elektrik Quda Karisma 18 Ltr</t>
  </si>
  <si>
    <t>Sprayer Geika 16 ltr</t>
  </si>
  <si>
    <t>Sprayer Geika 6 X 5 ltr</t>
  </si>
  <si>
    <t>Sugoi 500/50 EC 100 X 100 ml</t>
  </si>
  <si>
    <t>Sugoi 500/50 EC 20 X 1 ltr</t>
  </si>
  <si>
    <t>Sugoi 500/50 EC 20 X 400 ml</t>
  </si>
  <si>
    <t>Sugoi 500/50 EC 40 X 250 ml</t>
  </si>
  <si>
    <t>Super Ammonium Phosphate 25 kg</t>
  </si>
  <si>
    <t>Tampidor 200 SL 20 X 200 ml</t>
  </si>
  <si>
    <t>Timun Hibrida Q-989 F1 18 X 15 X 10 gr</t>
  </si>
  <si>
    <t>Timun Renes F1 12 X 15 X 400 seed</t>
  </si>
  <si>
    <t>Timun Renes F1 12 X 15 X 450 seed</t>
  </si>
  <si>
    <t>Tinker 400 SC 40 X 200 ml</t>
  </si>
  <si>
    <t>Topsil D/H 30 X 450 gr</t>
  </si>
  <si>
    <t>Topsindo 70 WP 10 X 10 X 100 gr</t>
  </si>
  <si>
    <t>Torso 150 EC 100 X 100 ml</t>
  </si>
  <si>
    <t>Torso 150 EC 20 X 500 ml</t>
  </si>
  <si>
    <t>Torso 150 EC 40 X 250 ml</t>
  </si>
  <si>
    <t>Tosbone 200 EC 30 X 400 ml (M2U)</t>
  </si>
  <si>
    <t>Tosbone 200 EC 50 x 100 ml (M2U)</t>
  </si>
  <si>
    <t>Tosbone 200 EC 50 x 250 ml (M2U)</t>
  </si>
  <si>
    <t>Triactive 500 SL 20 X 1 ltr</t>
  </si>
  <si>
    <t>Triactive 500 SL 20 X 500 ml</t>
  </si>
  <si>
    <t>Triactive 500 SL 40 X 200 ml</t>
  </si>
  <si>
    <t>Tridium 70 WG 10 X 1 kg</t>
  </si>
  <si>
    <t>Tuntas 300/100 SL 16 X 1 ltr</t>
  </si>
  <si>
    <t>Unista 100 SC 40 X 250 ml</t>
  </si>
  <si>
    <t>Valeron 200 EC 20 X 500 ml</t>
  </si>
  <si>
    <t>Vertibak 60 SP 100 X 20 gr</t>
  </si>
  <si>
    <t>Vertibak 60 SP 20 X 250 gr</t>
  </si>
  <si>
    <t>Vishaka 200 EC 100 X 100 ml</t>
  </si>
  <si>
    <t>Volney 80 WG 20 X 1 kg</t>
  </si>
  <si>
    <t>Walang 50 EC 20 X 400 ml</t>
  </si>
  <si>
    <t>Wall Planter 20 X 65 cm X 116 cm Isi 3 X 5</t>
  </si>
  <si>
    <t>Welchem 500 SL 40 X 250 ml</t>
  </si>
  <si>
    <t>X-Siller 550 EC 20 X 500 ml</t>
  </si>
  <si>
    <t>X-ZO 50 X 100 ml</t>
  </si>
  <si>
    <t>You Stick 15 X 1 ltr</t>
  </si>
  <si>
    <t>Za Cap Daun 50 kg</t>
  </si>
  <si>
    <t>ZA Mahkota 50 kg</t>
  </si>
  <si>
    <t>ZA Mahkota Cina 50 kg</t>
  </si>
  <si>
    <t>ZA Mahkota Madagaskar 50 kg</t>
  </si>
  <si>
    <t>Zaala 50 EC 20 X 1 ltr</t>
  </si>
  <si>
    <t>Zaala 50 EC 20 X 400 ml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</si>
  <si>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</si>
  <si>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</si>
  <si>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</si>
  <si>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</si>
  <si>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</si>
  <si>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</si>
  <si>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</si>
  <si>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</si>
  <si>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</si>
  <si>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</si>
  <si>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</si>
  <si>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</si>
  <si>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</si>
  <si>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</si>
  <si>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</si>
  <si>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</si>
  <si>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</si>
  <si>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</si>
  <si>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</si>
  <si>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</si>
  <si>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</si>
  <si>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</si>
  <si>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</si>
  <si>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</si>
  <si>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</si>
  <si>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</si>
  <si>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</si>
  <si>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</si>
  <si>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</si>
  <si>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</si>
  <si>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</si>
  <si>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</si>
  <si>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</si>
  <si>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</si>
  <si>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</si>
  <si>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</si>
  <si>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</si>
  <si>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</si>
  <si>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</si>
  <si>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</si>
  <si>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</si>
  <si>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</si>
  <si>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</si>
  <si>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</si>
  <si>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</si>
  <si>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</si>
  <si>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</si>
  <si>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</si>
  <si>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</si>
  <si>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</si>
  <si>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</si>
  <si>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</si>
  <si>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</si>
  <si>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</si>
  <si>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</si>
  <si>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</si>
  <si>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</si>
  <si>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</si>
  <si>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</si>
  <si>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</si>
  <si>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</si>
  <si>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</si>
  <si>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</si>
  <si>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</si>
  <si>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</si>
  <si>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</si>
  <si>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</si>
  <si>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</si>
  <si>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</si>
  <si>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</si>
  <si>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</si>
  <si>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</si>
  <si>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</si>
  <si>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</si>
  <si>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</si>
  <si>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</si>
  <si>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</si>
  <si>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</si>
  <si>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</si>
  <si>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</si>
  <si>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</si>
  <si>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</si>
  <si>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</si>
  <si>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</si>
  <si>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</si>
  <si>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</si>
  <si>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</si>
  <si>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</si>
  <si>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</si>
  <si>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</si>
  <si>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</si>
  <si>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</si>
  <si>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</si>
  <si>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</si>
  <si>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</si>
  <si>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</si>
  <si>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</si>
  <si>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</si>
  <si>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</si>
  <si>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</si>
  <si>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</si>
  <si>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</si>
  <si>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</si>
  <si>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</si>
  <si>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</si>
  <si>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</si>
  <si>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</si>
  <si>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</si>
  <si>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</si>
  <si>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</si>
  <si>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</si>
  <si>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</si>
  <si>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</si>
  <si>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</si>
  <si>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</si>
  <si>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</si>
  <si>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</si>
  <si>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</si>
  <si>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</si>
  <si>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</si>
  <si>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</si>
  <si>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</si>
  <si>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</si>
  <si>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</si>
  <si>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</si>
  <si>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</si>
  <si>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</si>
  <si>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</si>
  <si>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</si>
  <si>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</si>
  <si>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</si>
  <si>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</si>
  <si>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</si>
  <si>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</si>
  <si>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</si>
  <si>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</si>
  <si>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</si>
  <si>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</si>
  <si>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</si>
  <si>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</si>
  <si>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</si>
  <si>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</si>
  <si>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</si>
  <si>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</si>
  <si>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</si>
  <si>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</si>
  <si>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</si>
  <si>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</si>
  <si>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</si>
  <si>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</si>
  <si>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</si>
  <si>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</si>
  <si>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</si>
  <si>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</si>
  <si>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</si>
  <si>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</si>
  <si>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</si>
  <si>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</si>
  <si>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</si>
  <si>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</si>
  <si>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</si>
  <si>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</si>
  <si>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</si>
  <si>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</si>
  <si>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</si>
  <si>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</si>
  <si>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</si>
  <si>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</si>
  <si>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</si>
  <si>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</si>
  <si>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</si>
  <si>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</si>
  <si>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</si>
  <si>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</si>
  <si>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</si>
  <si>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</si>
  <si>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</si>
  <si>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</si>
  <si>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</si>
  <si>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</si>
  <si>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</si>
  <si>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</si>
  <si>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</si>
  <si>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</si>
  <si>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</si>
  <si>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</si>
  <si>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</si>
  <si>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</si>
  <si>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</si>
  <si>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</si>
  <si>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</si>
  <si>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</si>
  <si>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</si>
  <si>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</si>
  <si>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</si>
  <si>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</si>
  <si>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</si>
  <si>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</si>
  <si>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</si>
  <si>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</si>
  <si>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</si>
  <si>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</si>
  <si>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</si>
  <si>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</si>
  <si>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</si>
  <si>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</si>
  <si>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</si>
  <si>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</si>
  <si>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</si>
  <si>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</si>
  <si>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</si>
  <si>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</si>
  <si>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</si>
  <si>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</si>
  <si>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</si>
  <si>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</si>
  <si>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</si>
  <si>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</si>
  <si>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</si>
  <si>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</si>
  <si>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</si>
  <si>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</si>
  <si>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</si>
  <si>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</si>
  <si>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</si>
  <si>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</si>
  <si>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</si>
  <si>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</si>
  <si>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</si>
  <si>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</si>
  <si>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</si>
  <si>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</si>
  <si>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</si>
  <si>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</si>
  <si>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</si>
  <si>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</si>
  <si>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</si>
  <si>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</si>
  <si>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</si>
  <si>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</si>
  <si>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</si>
  <si>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</si>
  <si>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</si>
  <si>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</si>
  <si>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</si>
  <si>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</si>
  <si>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</si>
  <si>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</si>
  <si>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</si>
  <si>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</si>
  <si>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</si>
  <si>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</si>
  <si>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</si>
  <si>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</si>
  <si>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</si>
  <si>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</si>
  <si>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</si>
  <si>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</si>
  <si>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</si>
  <si>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</si>
  <si>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</si>
  <si>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</si>
  <si>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</si>
  <si>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</si>
  <si>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</si>
  <si>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</si>
  <si>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</si>
  <si>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</si>
  <si>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</si>
  <si>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</si>
  <si>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</si>
  <si>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</si>
  <si>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</si>
  <si>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</si>
  <si>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</si>
  <si>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</si>
  <si>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</si>
  <si>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</si>
  <si>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</si>
  <si>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</si>
  <si>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</si>
  <si>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</si>
  <si>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</si>
  <si>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</si>
  <si>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</si>
  <si>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</si>
  <si>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</si>
  <si>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</si>
  <si>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</si>
  <si>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</si>
  <si>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</si>
  <si>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</si>
  <si>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</si>
  <si>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</si>
  <si>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</si>
  <si>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</si>
  <si>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</si>
  <si>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</si>
  <si>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</si>
  <si>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</si>
  <si>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</si>
  <si>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</si>
  <si>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</si>
  <si>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</si>
  <si>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</si>
  <si>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</si>
  <si>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</si>
  <si>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</si>
  <si>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</si>
  <si>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</si>
  <si>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</si>
  <si>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</si>
  <si>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</si>
  <si>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</si>
  <si>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</si>
  <si>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</si>
  <si>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</si>
  <si>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</si>
  <si>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</si>
  <si>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</si>
  <si>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</si>
  <si>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</si>
  <si>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</si>
  <si>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</si>
  <si>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</si>
  <si>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</si>
  <si>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</si>
  <si>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</si>
  <si>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</si>
  <si>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</si>
  <si>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</si>
  <si>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</si>
  <si>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</si>
  <si>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</si>
  <si>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</si>
  <si>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</si>
  <si>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</si>
  <si>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</si>
  <si>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</si>
  <si>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</si>
  <si>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</si>
  <si>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</si>
  <si>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</si>
  <si>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</si>
  <si>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</si>
  <si>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</si>
  <si>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</si>
  <si>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</si>
  <si>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</si>
  <si>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</si>
  <si>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</si>
  <si>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</si>
  <si>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</si>
  <si>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</si>
  <si>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</si>
  <si>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</si>
  <si>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</si>
  <si>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</si>
  <si>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</si>
  <si>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</si>
  <si>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</si>
  <si>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</si>
  <si>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</si>
  <si>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</si>
  <si>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</si>
  <si>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</si>
  <si>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</si>
  <si>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</si>
  <si>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</si>
  <si>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</si>
  <si>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</si>
  <si>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</si>
  <si>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</si>
  <si>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</si>
  <si>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</si>
  <si>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</si>
  <si>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</si>
  <si>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</si>
  <si>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</si>
  <si>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</si>
  <si>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</si>
  <si>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</si>
  <si>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</si>
  <si>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</si>
  <si>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</si>
  <si>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</si>
  <si>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</si>
  <si>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</si>
  <si>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</si>
  <si>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</si>
  <si>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</si>
  <si>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</si>
  <si>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</si>
  <si>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</si>
  <si>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</si>
  <si>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</si>
  <si>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</si>
  <si>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</si>
  <si>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</si>
  <si>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</si>
  <si>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</si>
  <si>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</si>
  <si>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</si>
  <si>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</si>
  <si>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</si>
  <si>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</si>
  <si>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</si>
  <si>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</si>
  <si>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</si>
  <si>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</si>
  <si>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</si>
  <si>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</si>
  <si>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</si>
  <si>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</si>
  <si>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</si>
  <si>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</si>
  <si>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</si>
  <si>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</si>
  <si>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</si>
  <si>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</si>
  <si>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</si>
  <si>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</si>
  <si>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</si>
  <si>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</si>
  <si>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</si>
  <si>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</si>
  <si>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</si>
  <si>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</si>
  <si>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</si>
  <si>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</si>
  <si>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</si>
  <si>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</si>
  <si>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</si>
  <si>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</si>
  <si>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</si>
  <si>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</si>
  <si>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</si>
  <si>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</si>
  <si>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</si>
  <si>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</si>
  <si>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</si>
  <si>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</si>
  <si>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</si>
  <si>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</si>
  <si>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</si>
  <si>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</si>
  <si>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</si>
  <si>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</si>
  <si>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</si>
  <si>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</si>
  <si>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</si>
  <si>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</si>
  <si>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</si>
  <si>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</si>
  <si>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</si>
  <si>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</si>
  <si>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</si>
  <si>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</si>
  <si>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</si>
  <si>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</si>
  <si>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</si>
  <si>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</si>
  <si>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</si>
  <si>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</si>
  <si>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</si>
  <si>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</si>
  <si>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</si>
  <si>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</si>
  <si>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</si>
  <si>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</si>
  <si>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</si>
  <si>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</si>
  <si>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</si>
  <si>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</si>
  <si>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</si>
  <si>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</si>
  <si>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</si>
  <si>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</si>
  <si>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</si>
  <si>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</si>
  <si>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</si>
  <si>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</si>
  <si>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</si>
  <si>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</si>
  <si>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</si>
  <si>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</si>
  <si>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</si>
  <si>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</si>
  <si>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</si>
  <si>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</si>
  <si>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</si>
  <si>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</si>
  <si>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</si>
  <si>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</si>
  <si>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</si>
  <si>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</si>
  <si>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</si>
  <si>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</si>
  <si>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</si>
  <si>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</si>
  <si>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</si>
  <si>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</si>
  <si>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</si>
  <si>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</si>
  <si>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</si>
  <si>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</si>
  <si>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</si>
  <si>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</si>
  <si>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</si>
  <si>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</si>
  <si>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</si>
  <si>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</si>
  <si>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</si>
  <si>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</si>
  <si>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</si>
  <si>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</si>
  <si>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</si>
  <si>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</si>
  <si>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</si>
  <si>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</si>
  <si>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</si>
  <si>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</si>
  <si>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</si>
  <si>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</si>
  <si>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</si>
  <si>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</si>
  <si>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</si>
  <si>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</si>
  <si>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</si>
  <si>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</si>
  <si>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</si>
  <si>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</si>
  <si>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</si>
  <si>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</si>
  <si>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</si>
  <si>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</si>
  <si>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</si>
  <si>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</si>
  <si>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</si>
  <si>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</si>
  <si>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</si>
  <si>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</si>
  <si>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</si>
  <si>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</si>
  <si>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</si>
  <si>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</si>
  <si>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</si>
  <si>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</si>
  <si>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</si>
  <si>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</si>
  <si>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</si>
  <si>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</si>
  <si>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</si>
  <si>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</si>
  <si>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</si>
  <si>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</si>
  <si>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</si>
  <si>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</si>
  <si>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</si>
  <si>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</si>
  <si>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</si>
  <si>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</si>
  <si>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</si>
  <si>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</si>
  <si>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</si>
  <si>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</si>
  <si>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</si>
  <si>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</si>
  <si>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</si>
  <si>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</si>
  <si>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</si>
  <si>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</si>
  <si>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</si>
  <si>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</si>
  <si>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</si>
  <si>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</si>
  <si>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</si>
  <si>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</si>
  <si>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</si>
  <si>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</si>
  <si>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</si>
  <si>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</si>
  <si>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</si>
  <si>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</si>
  <si>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</si>
  <si>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</si>
  <si>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</si>
  <si>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</si>
  <si>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</si>
  <si>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</si>
  <si>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</si>
  <si>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</si>
  <si>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</si>
  <si>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</si>
  <si>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</si>
  <si>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</si>
  <si>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</si>
  <si>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</si>
  <si>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</si>
  <si>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</si>
  <si>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</si>
  <si>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</si>
  <si>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</si>
  <si>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</si>
  <si>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</si>
  <si>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</si>
  <si>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</si>
  <si>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</si>
  <si>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</si>
  <si>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</si>
  <si>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</si>
  <si>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</si>
  <si>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</si>
  <si>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</si>
  <si>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</si>
  <si>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</si>
  <si>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</si>
  <si>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</si>
  <si>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</si>
  <si>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</si>
  <si>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</si>
  <si>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</si>
  <si>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</si>
  <si>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</si>
  <si>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</si>
  <si>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</si>
  <si>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</si>
  <si>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</si>
  <si>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</si>
  <si>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</si>
  <si>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</si>
  <si>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</si>
  <si>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</si>
  <si>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</si>
  <si>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</si>
  <si>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</si>
  <si>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</si>
  <si>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</si>
  <si>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</si>
  <si>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</si>
  <si>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</si>
  <si>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</si>
  <si>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</si>
  <si>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</si>
  <si>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</si>
  <si>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</si>
  <si>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</si>
  <si>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</si>
  <si>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</si>
  <si>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</si>
  <si>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</si>
  <si>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</si>
  <si>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</si>
  <si>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</si>
  <si>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</si>
  <si>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</si>
  <si>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</si>
  <si>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</si>
  <si>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</si>
  <si>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</si>
  <si>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</si>
  <si>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</si>
  <si>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</si>
  <si>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</si>
  <si>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</si>
  <si>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</si>
  <si>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</si>
  <si>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</si>
  <si>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</si>
  <si>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</si>
  <si>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</si>
  <si>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</si>
  <si>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</si>
  <si>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</si>
  <si>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</si>
  <si>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</si>
  <si>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</si>
  <si>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</si>
  <si>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</si>
  <si>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</si>
  <si>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</si>
  <si>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</si>
  <si>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</si>
  <si>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</si>
  <si>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</si>
  <si>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</si>
  <si>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</si>
  <si>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</si>
  <si>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</si>
  <si>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</si>
  <si>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</si>
  <si>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</si>
  <si>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</si>
  <si>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</si>
  <si>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</si>
  <si>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</si>
  <si>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</si>
  <si>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</si>
  <si>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</si>
  <si>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</si>
  <si>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</si>
  <si>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</si>
  <si>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</si>
  <si>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</si>
  <si>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</si>
  <si>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</si>
  <si>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</si>
  <si>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</si>
  <si>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</si>
  <si>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</si>
  <si>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</si>
  <si>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</si>
  <si>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</si>
  <si>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</si>
  <si>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</si>
  <si>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</si>
  <si>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</si>
  <si>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</si>
  <si>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</si>
  <si>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</si>
  <si>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</si>
  <si>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</si>
  <si>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</si>
  <si>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</si>
  <si>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</si>
  <si>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</si>
  <si>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</si>
  <si>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</si>
  <si>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</si>
  <si>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</si>
  <si>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</si>
  <si>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</si>
  <si>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</si>
  <si>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</si>
  <si>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</si>
  <si>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</si>
  <si>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</si>
  <si>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</si>
  <si>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</si>
  <si>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</si>
  <si>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</si>
  <si>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</si>
  <si>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</si>
  <si>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</si>
  <si>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</si>
  <si>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</si>
  <si>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</si>
  <si>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</si>
  <si>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</si>
  <si>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</si>
  <si>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</si>
  <si>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</si>
  <si>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</si>
  <si>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</si>
  <si>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</si>
  <si>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</si>
  <si>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</si>
  <si>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</si>
  <si>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</si>
  <si>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</si>
  <si>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</si>
  <si>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</si>
  <si>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</si>
  <si>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</si>
  <si>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</si>
  <si>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</si>
  <si>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</si>
  <si>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</si>
  <si>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</si>
  <si>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</si>
  <si>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</si>
  <si>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</si>
  <si>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</si>
  <si>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</si>
  <si>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</si>
  <si>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</si>
  <si>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</si>
  <si>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</si>
  <si>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</si>
  <si>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</si>
  <si>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</si>
  <si>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</si>
  <si>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</si>
  <si>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</si>
  <si>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</si>
  <si>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</si>
  <si>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</si>
  <si>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</si>
  <si>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</si>
  <si>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</si>
  <si>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</si>
  <si>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</si>
  <si>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</si>
  <si>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</si>
  <si>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</si>
  <si>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</si>
  <si>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</si>
  <si>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</si>
  <si>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</si>
  <si>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</si>
  <si>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</si>
  <si>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</si>
  <si>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</si>
  <si>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</si>
  <si>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</si>
  <si>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</si>
  <si>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</si>
  <si>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</si>
  <si>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</si>
  <si>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</si>
  <si>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</si>
  <si>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</si>
  <si>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</si>
  <si>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</si>
  <si>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</si>
  <si>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</si>
  <si>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</si>
  <si>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</si>
  <si>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</si>
  <si>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</si>
  <si>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</si>
  <si>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</si>
  <si>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</si>
  <si>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</si>
  <si>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</si>
  <si>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</si>
  <si>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</si>
  <si>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</si>
  <si>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</si>
  <si>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</si>
  <si>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</si>
  <si>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</si>
  <si>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</si>
  <si>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</si>
  <si>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</si>
  <si>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</si>
  <si>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</si>
  <si>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</si>
  <si>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</si>
  <si>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</si>
  <si>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</si>
  <si>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</si>
  <si>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</si>
  <si>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</si>
  <si>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</si>
  <si>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</si>
  <si>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</si>
  <si>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</si>
  <si>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</si>
  <si>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</si>
  <si>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</si>
  <si>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</si>
  <si>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</si>
  <si>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</si>
  <si>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</si>
  <si>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</si>
  <si>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</si>
  <si>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</si>
  <si>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</si>
  <si>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</si>
  <si>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</si>
  <si>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</si>
  <si>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</si>
  <si>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</si>
  <si>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</si>
  <si>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</si>
  <si>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</si>
  <si>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</si>
  <si>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</si>
  <si>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</si>
  <si>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</si>
  <si>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</si>
  <si>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</si>
  <si>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</si>
  <si>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</si>
  <si>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</si>
  <si>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</si>
  <si>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</si>
  <si>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</si>
  <si>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</si>
  <si>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</si>
  <si>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</si>
  <si>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</si>
  <si>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</si>
  <si>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</si>
  <si>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</si>
  <si>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</si>
  <si>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</si>
  <si>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</si>
  <si>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</si>
  <si>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</si>
  <si>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</si>
  <si>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</si>
  <si>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</si>
  <si>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</si>
  <si>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</si>
  <si>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</si>
  <si>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</si>
  <si>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</si>
  <si>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</si>
  <si>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</si>
  <si>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</si>
  <si>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</si>
  <si>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</si>
  <si>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</si>
  <si>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</si>
  <si>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</si>
  <si>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</si>
  <si>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</si>
  <si>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</si>
  <si>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</si>
  <si>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</si>
  <si>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</si>
  <si>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</si>
  <si>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</si>
  <si>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</si>
  <si>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</si>
  <si>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</si>
  <si>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</si>
  <si>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</si>
  <si>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</si>
  <si>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</si>
  <si>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</si>
  <si>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</si>
  <si>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</si>
  <si>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</si>
  <si>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</si>
  <si>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</si>
  <si>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</si>
  <si>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</si>
  <si>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</si>
  <si>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</si>
  <si>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</si>
  <si>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</si>
  <si>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</si>
  <si>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</si>
  <si>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</si>
  <si>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</si>
  <si>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</si>
  <si>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</si>
  <si>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</si>
  <si>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</si>
  <si>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</si>
  <si>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</si>
  <si>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</si>
  <si>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</si>
  <si>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</si>
  <si>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</si>
  <si>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</si>
  <si>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</si>
  <si>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</si>
  <si>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</si>
  <si>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</si>
  <si>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</si>
  <si>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</si>
  <si>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</si>
  <si>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</si>
  <si>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</si>
  <si>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</si>
  <si>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</si>
  <si>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</si>
  <si>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</si>
  <si>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</si>
  <si>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</si>
  <si>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</si>
  <si>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</si>
  <si>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</si>
  <si>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</si>
  <si>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</si>
  <si>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</si>
  <si>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</si>
  <si>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</si>
  <si>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</si>
  <si>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</si>
  <si>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</si>
  <si>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</si>
  <si>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</si>
  <si>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</si>
  <si>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</si>
  <si>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</si>
  <si>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</si>
  <si>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</si>
  <si>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</si>
  <si>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</si>
  <si>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</si>
  <si>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</si>
  <si>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</si>
  <si>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</si>
  <si>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</si>
  <si>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</si>
  <si>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</si>
  <si>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</si>
  <si>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</si>
  <si>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</si>
  <si>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</si>
  <si>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</si>
  <si>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</si>
  <si>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</si>
  <si>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</si>
  <si>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</si>
  <si>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</si>
  <si>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</si>
  <si>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</si>
  <si>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</si>
  <si>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</si>
  <si>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</si>
  <si>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</si>
  <si>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</si>
  <si>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</si>
  <si>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</si>
  <si>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</si>
  <si>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</si>
  <si>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</si>
  <si>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</si>
  <si>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</si>
  <si>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</si>
  <si>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</si>
  <si>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</si>
  <si>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</si>
  <si>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</si>
  <si>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</si>
  <si>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</si>
  <si>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</si>
  <si>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</si>
  <si>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</si>
  <si>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</si>
  <si>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</si>
  <si>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</si>
  <si>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</si>
  <si>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</si>
  <si>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</si>
  <si>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</si>
  <si>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</si>
  <si>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</si>
  <si>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</si>
  <si>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</si>
  <si>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</si>
  <si>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</si>
  <si>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</si>
  <si>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</si>
  <si>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</si>
  <si>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</si>
  <si>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</si>
  <si>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</si>
  <si>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</si>
  <si>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</si>
  <si>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</si>
  <si>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</si>
  <si>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</si>
  <si>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</si>
  <si>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</si>
  <si>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</si>
  <si>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</si>
  <si>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</si>
  <si>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</si>
  <si>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</si>
  <si>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</si>
  <si>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</si>
  <si>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</si>
  <si>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</si>
  <si>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</si>
  <si>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</si>
  <si>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</si>
  <si>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</si>
  <si>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</si>
  <si>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</si>
  <si>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</si>
  <si>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</si>
  <si>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</si>
  <si>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</si>
  <si>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</si>
  <si>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</si>
  <si>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</si>
  <si>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</si>
  <si>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</si>
  <si>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</si>
  <si>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</si>
  <si>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</si>
  <si>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</si>
  <si>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</si>
  <si>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</si>
  <si>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</si>
  <si>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</si>
  <si>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</si>
  <si>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</si>
  <si>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</si>
  <si>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</si>
  <si>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</si>
  <si>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</si>
  <si>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</si>
  <si>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</si>
  <si>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</si>
  <si>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</si>
  <si>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</si>
  <si>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</si>
  <si>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</si>
  <si>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</si>
  <si>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</si>
  <si>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</si>
  <si>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</si>
  <si>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</si>
  <si>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</si>
  <si>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</si>
  <si>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</si>
  <si>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</si>
  <si>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</si>
  <si>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</si>
  <si>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</si>
  <si>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</si>
  <si>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</si>
  <si>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</si>
  <si>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</si>
  <si>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</si>
  <si>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</si>
  <si>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</si>
  <si>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</si>
  <si>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</si>
  <si>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</si>
  <si>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</si>
  <si>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</si>
  <si>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</si>
  <si>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</si>
  <si>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</si>
  <si>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</si>
  <si>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</si>
  <si>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</si>
  <si>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</si>
  <si>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</si>
  <si>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</si>
  <si>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</si>
  <si>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</si>
  <si>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</si>
  <si>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</si>
  <si>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</si>
  <si>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</si>
  <si>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</si>
  <si>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</si>
  <si>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</si>
  <si>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</si>
  <si>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</si>
  <si>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</si>
  <si>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</si>
  <si>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</si>
  <si>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</si>
  <si>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</si>
  <si>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</si>
  <si>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</si>
  <si>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</si>
  <si>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</si>
  <si>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</si>
  <si>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</si>
  <si>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</si>
  <si>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</si>
  <si>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</si>
  <si>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</si>
  <si>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</si>
  <si>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</si>
  <si>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</si>
  <si>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</si>
  <si>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</si>
  <si>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</si>
  <si>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</si>
  <si>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</si>
  <si>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</si>
  <si>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</si>
  <si>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</si>
  <si>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</si>
  <si>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</si>
  <si>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</si>
  <si>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</si>
  <si>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</si>
  <si>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</si>
  <si>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</si>
  <si>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</si>
  <si>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</si>
  <si>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</si>
  <si>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</si>
  <si>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</si>
  <si>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</si>
  <si>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</si>
  <si>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</si>
  <si>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</si>
  <si>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</si>
  <si>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</si>
  <si>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</si>
  <si>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</si>
  <si>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</si>
  <si>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</si>
  <si>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</si>
  <si>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</si>
  <si>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</si>
  <si>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</si>
  <si>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</si>
  <si>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</si>
  <si>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</si>
  <si>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</si>
  <si>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</si>
  <si>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</si>
  <si>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</si>
  <si>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</si>
  <si>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</si>
  <si>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</si>
  <si>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</si>
  <si>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</si>
  <si>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</si>
  <si>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</si>
  <si>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</si>
  <si>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</si>
  <si>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</si>
  <si>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</si>
  <si>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</si>
  <si>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</si>
  <si>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</si>
  <si>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</si>
  <si>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</si>
  <si>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</si>
  <si>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</si>
  <si>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</si>
  <si>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</si>
  <si>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</si>
  <si>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</si>
  <si>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</si>
  <si>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</si>
  <si>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</si>
  <si>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</si>
  <si>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</si>
  <si>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</si>
  <si>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</si>
  <si>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</si>
  <si>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</si>
  <si>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</si>
  <si>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</si>
  <si>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</si>
  <si>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</si>
  <si>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</si>
  <si>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</si>
  <si>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</si>
  <si>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</si>
  <si>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</si>
  <si>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</si>
  <si>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</si>
  <si>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</si>
  <si>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</si>
  <si>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</si>
  <si>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</si>
  <si>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</si>
  <si>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</si>
  <si>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</si>
  <si>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</si>
  <si>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</si>
  <si>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</si>
  <si>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</si>
  <si>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</si>
  <si>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</si>
  <si>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</si>
  <si>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</si>
  <si>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</si>
  <si>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</si>
  <si>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</si>
  <si>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</si>
  <si>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</si>
  <si>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</si>
  <si>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</si>
  <si>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</si>
  <si>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</si>
  <si>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</si>
  <si>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</si>
  <si>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</si>
  <si>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</si>
  <si>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</si>
  <si>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</si>
  <si>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</si>
  <si>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</si>
  <si>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</si>
  <si>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</si>
  <si>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</si>
  <si>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</si>
  <si>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</si>
  <si>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</si>
  <si>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</si>
  <si>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</si>
  <si>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</si>
  <si>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</si>
  <si>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</si>
  <si>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</si>
  <si>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</si>
  <si>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</si>
  <si>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</si>
  <si>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</si>
  <si>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</si>
  <si>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</si>
  <si>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</si>
  <si>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</si>
  <si>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</si>
  <si>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</si>
  <si>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</si>
  <si>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</si>
  <si>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</si>
  <si>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</si>
  <si>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</si>
  <si>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</si>
  <si>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</si>
  <si>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</si>
  <si>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</si>
  <si>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</si>
  <si>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</si>
  <si>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</si>
  <si>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</si>
  <si>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</si>
  <si>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</si>
  <si>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</si>
  <si>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</si>
  <si>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</si>
  <si>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</si>
  <si>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</si>
  <si>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</si>
  <si>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</si>
  <si>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</si>
  <si>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</si>
  <si>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</si>
  <si>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</si>
  <si>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</si>
  <si>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</si>
  <si>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</si>
  <si>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</si>
  <si>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</si>
  <si>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</si>
  <si>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</si>
  <si>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</si>
  <si>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</si>
  <si>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</si>
  <si>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</si>
  <si>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</si>
  <si>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</si>
  <si>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</si>
  <si>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</si>
  <si>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</si>
  <si>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</si>
  <si>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</si>
  <si>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</si>
  <si>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</si>
  <si>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</si>
  <si>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</si>
  <si>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</si>
  <si>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</si>
  <si>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</si>
  <si>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</si>
  <si>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</si>
  <si>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</si>
  <si>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</si>
  <si>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</si>
  <si>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</si>
  <si>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</si>
  <si>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</si>
  <si>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</si>
  <si>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</si>
  <si>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</si>
  <si>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</si>
  <si>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</si>
  <si>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</si>
  <si>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</si>
  <si>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</si>
  <si>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</si>
  <si>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</si>
  <si>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</si>
  <si>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</si>
  <si>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</si>
  <si>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</si>
  <si>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</si>
  <si>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</si>
  <si>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</si>
  <si>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</si>
  <si>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</si>
  <si>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</si>
  <si>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</si>
  <si>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</si>
  <si>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</si>
  <si>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</si>
  <si>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</si>
  <si>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</si>
  <si>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</si>
  <si>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</si>
  <si>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</si>
  <si>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</si>
  <si>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</si>
  <si>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</si>
  <si>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</si>
  <si>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</si>
  <si>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</si>
  <si>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</si>
  <si>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</si>
  <si>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</si>
  <si>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</si>
  <si>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</si>
  <si>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</si>
  <si>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</si>
  <si>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</si>
  <si>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</si>
  <si>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</si>
  <si>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</si>
  <si>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</si>
  <si>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</si>
  <si>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</si>
  <si>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</si>
  <si>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</si>
  <si>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</si>
  <si>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</si>
  <si>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</si>
  <si>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</si>
  <si>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</si>
  <si>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</si>
  <si>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</si>
  <si>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</si>
  <si>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</si>
  <si>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</si>
  <si>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</si>
  <si>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</si>
  <si>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</si>
  <si>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</si>
  <si>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</si>
  <si>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</si>
  <si>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</si>
  <si>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</si>
  <si>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</si>
  <si>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</si>
  <si>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</si>
  <si>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</si>
  <si>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</si>
  <si>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</si>
  <si>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</si>
  <si>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</si>
  <si>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</si>
  <si>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</si>
  <si>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</si>
  <si>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</si>
  <si>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</si>
  <si>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</si>
  <si>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</si>
  <si>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</si>
  <si>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</si>
  <si>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</si>
  <si>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</si>
  <si>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</si>
  <si>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</si>
  <si>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</si>
  <si>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</si>
  <si>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</si>
  <si>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</si>
  <si>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</si>
  <si>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</si>
  <si>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</si>
  <si>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</si>
  <si>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</si>
  <si>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</si>
  <si>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</si>
  <si>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</si>
  <si>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</si>
  <si>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</si>
  <si>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</si>
  <si>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</si>
  <si>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</si>
  <si>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</si>
  <si>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</si>
  <si>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</si>
  <si>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</si>
  <si>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</si>
  <si>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</si>
  <si>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</si>
  <si>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</si>
  <si>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</si>
  <si>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</si>
  <si>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</si>
  <si>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</si>
  <si>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</si>
  <si>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</si>
  <si>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</si>
  <si>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</si>
  <si>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</si>
  <si>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</si>
  <si>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</si>
  <si>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</si>
  <si>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</si>
  <si>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</si>
  <si>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</si>
  <si>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</si>
  <si>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</si>
  <si>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</si>
  <si>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</si>
  <si>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</si>
  <si>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</si>
  <si>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</si>
  <si>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</si>
  <si>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</si>
  <si>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</si>
  <si>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</si>
  <si>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</si>
  <si>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</si>
  <si>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</si>
  <si>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</si>
  <si>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</si>
  <si>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</si>
  <si>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</si>
  <si>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</si>
  <si>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</si>
  <si>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</si>
  <si>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</si>
  <si>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</si>
  <si>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</si>
  <si>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</si>
  <si>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</si>
  <si>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</si>
  <si>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</si>
  <si>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</si>
  <si>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</si>
  <si>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</si>
  <si>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</si>
  <si>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</si>
  <si>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</si>
  <si>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</si>
  <si>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</si>
  <si>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</si>
  <si>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</si>
  <si>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</si>
  <si>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</si>
  <si>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</si>
  <si>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</si>
  <si>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</si>
  <si>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</si>
  <si>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</si>
  <si>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</si>
  <si>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</si>
  <si>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</si>
  <si>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</si>
  <si>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</si>
  <si>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</si>
  <si>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</si>
  <si>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</si>
  <si>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</si>
  <si>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</si>
  <si>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</si>
  <si>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</si>
  <si>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</si>
  <si>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</si>
  <si>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</si>
  <si>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</si>
  <si>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</si>
  <si>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</si>
  <si>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</si>
  <si>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</si>
  <si>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</si>
  <si>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</si>
  <si>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</si>
  <si>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</si>
  <si>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</si>
  <si>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</si>
  <si>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</si>
  <si>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</si>
  <si>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</si>
  <si>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</si>
  <si>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</si>
  <si>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</si>
  <si>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</si>
  <si>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</si>
  <si>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</si>
  <si>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</si>
  <si>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</si>
  <si>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</si>
  <si>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</si>
  <si>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</si>
  <si>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</si>
  <si>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</si>
  <si>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</si>
  <si>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</si>
  <si>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</si>
  <si>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</si>
  <si>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</si>
  <si>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</si>
  <si>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</si>
  <si>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</si>
  <si>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</si>
  <si>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</si>
  <si>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</si>
  <si>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</si>
  <si>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</si>
  <si>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</si>
  <si>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</si>
  <si>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</si>
  <si>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</si>
  <si>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</si>
  <si>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</si>
  <si>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</si>
  <si>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</si>
  <si>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</si>
  <si>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</si>
  <si>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</si>
  <si>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</si>
  <si>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</si>
  <si>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</si>
  <si>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</si>
  <si>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</si>
  <si>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</si>
  <si>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</si>
  <si>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</si>
  <si>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</si>
  <si>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</si>
  <si>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</si>
  <si>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</si>
  <si>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</si>
  <si>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</si>
  <si>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</si>
  <si>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</si>
  <si>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</si>
  <si>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</si>
  <si>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</si>
  <si>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</si>
  <si>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</si>
  <si>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</si>
  <si>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</si>
  <si>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</si>
  <si>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</si>
  <si>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</si>
  <si>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</si>
  <si>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</si>
  <si>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</si>
  <si>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</si>
  <si>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</si>
  <si>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</si>
  <si>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</si>
  <si>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</si>
  <si>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</si>
  <si>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</si>
  <si>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</si>
  <si>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</si>
  <si>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</si>
  <si>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</si>
  <si>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</si>
  <si>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</si>
  <si>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</si>
  <si>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</si>
  <si>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</si>
  <si>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</si>
  <si>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</si>
  <si>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</si>
  <si>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</si>
  <si>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</si>
  <si>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</si>
  <si>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</si>
  <si>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</si>
  <si>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</si>
  <si>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</si>
  <si>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</si>
  <si>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</si>
  <si>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</si>
  <si>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</si>
  <si>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</si>
  <si>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</si>
  <si>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</si>
  <si>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</si>
  <si>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</si>
  <si>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</si>
  <si>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</si>
  <si>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</si>
  <si>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</si>
  <si>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</si>
  <si>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</si>
  <si>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</si>
  <si>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</si>
  <si>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</si>
  <si>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</si>
  <si>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</si>
  <si>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</si>
  <si>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</si>
  <si>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</si>
  <si>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</si>
  <si>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</si>
  <si>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</si>
  <si>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</si>
  <si>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</si>
  <si>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</si>
  <si>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</si>
  <si>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</si>
  <si>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</si>
  <si>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</si>
  <si>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</si>
  <si>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</si>
  <si>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</si>
  <si>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</si>
  <si>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</si>
  <si>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</si>
  <si>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</si>
  <si>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</si>
  <si>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</si>
  <si>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</si>
  <si>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</si>
  <si>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</si>
  <si>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</si>
  <si>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</si>
  <si>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</si>
  <si>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</si>
  <si>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</si>
  <si>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</si>
  <si>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</si>
  <si>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</si>
  <si>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</si>
  <si>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</si>
  <si>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</si>
  <si>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</si>
  <si>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</si>
  <si>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</si>
  <si>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</si>
  <si>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</si>
  <si>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</si>
  <si>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</si>
  <si>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</si>
  <si>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</si>
  <si>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</si>
  <si>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</si>
  <si>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</si>
  <si>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</si>
  <si>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</si>
  <si>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</si>
  <si>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</si>
  <si>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</si>
  <si>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</si>
  <si>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</si>
  <si>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</si>
  <si>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</si>
  <si>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</si>
  <si>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</si>
  <si>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</si>
  <si>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</si>
  <si>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</si>
  <si>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</si>
  <si>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</si>
  <si>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</si>
  <si>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</si>
  <si>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</si>
  <si>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</si>
  <si>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</si>
  <si>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</si>
  <si>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</si>
  <si>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</si>
  <si>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</si>
  <si>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</si>
  <si>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</si>
  <si>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</si>
  <si>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</si>
  <si>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</si>
  <si>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</si>
  <si>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</si>
  <si>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</si>
  <si>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</si>
  <si>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</si>
  <si>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</si>
  <si>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</si>
  <si>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</si>
  <si>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</si>
  <si>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</si>
  <si>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</si>
  <si>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</si>
  <si>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</si>
  <si>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</si>
  <si>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</si>
  <si>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</si>
  <si>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</si>
  <si>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</si>
  <si>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</si>
  <si>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</si>
  <si>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</si>
  <si>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</si>
  <si>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</si>
  <si>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</si>
  <si>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</si>
  <si>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</si>
  <si>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</si>
  <si>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</si>
  <si>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</si>
  <si>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</si>
  <si>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</si>
  <si>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</si>
  <si>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</si>
  <si>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</si>
  <si>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</si>
  <si>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</si>
  <si>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</si>
  <si>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</si>
  <si>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</si>
  <si>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</si>
  <si>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</si>
  <si>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</si>
  <si>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</si>
  <si>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</si>
  <si>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</si>
  <si>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</si>
  <si>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</si>
  <si>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</si>
  <si>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</si>
  <si>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</si>
  <si>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</si>
  <si>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</si>
  <si>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</si>
  <si>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</si>
  <si>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</si>
  <si>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</si>
  <si>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</si>
  <si>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</si>
  <si>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</si>
  <si>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</si>
  <si>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</si>
  <si>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</si>
  <si>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</si>
  <si>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</si>
  <si>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</si>
  <si>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</si>
  <si>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</si>
  <si>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</si>
  <si>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</si>
  <si>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</si>
  <si>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</si>
  <si>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</si>
  <si>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</si>
  <si>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</si>
  <si>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</si>
  <si>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</si>
  <si>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</si>
  <si>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</si>
  <si>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</si>
  <si>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</si>
  <si>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</si>
  <si>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</si>
  <si>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</si>
  <si>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</si>
  <si>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</si>
  <si>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</si>
  <si>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</si>
  <si>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</si>
  <si>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</si>
  <si>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</si>
  <si>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</si>
  <si>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</si>
  <si>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</si>
  <si>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</si>
  <si>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</si>
  <si>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</si>
  <si>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</si>
  <si>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</si>
  <si>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</si>
  <si>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</si>
  <si>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</si>
  <si>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</si>
  <si>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</si>
  <si>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</si>
  <si>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</si>
  <si>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</si>
  <si>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</si>
  <si>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</si>
  <si>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</si>
  <si>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</si>
  <si>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</si>
  <si>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</si>
  <si>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</si>
  <si>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</si>
  <si>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</si>
  <si>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</si>
  <si>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</si>
  <si>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</si>
  <si>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</si>
  <si>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</si>
  <si>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</si>
  <si>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</si>
  <si>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</si>
  <si>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</si>
  <si>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</si>
  <si>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</si>
  <si>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</si>
  <si>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</si>
  <si>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</si>
  <si>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</si>
  <si>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</si>
  <si>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</si>
  <si>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</si>
  <si>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</si>
  <si>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</si>
  <si>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</si>
  <si>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</si>
  <si>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</si>
  <si>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</si>
  <si>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</si>
  <si>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</si>
  <si>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</si>
  <si>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</si>
  <si>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</si>
  <si>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</si>
  <si>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</si>
  <si>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</si>
  <si>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</si>
  <si>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</si>
  <si>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</si>
  <si>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</si>
  <si>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</si>
  <si>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</si>
  <si>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</si>
  <si>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</si>
  <si>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</si>
  <si>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</si>
  <si>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</si>
  <si>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</si>
  <si>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</si>
  <si>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</si>
  <si>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</si>
  <si>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</si>
  <si>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</si>
  <si>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</si>
  <si>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</si>
  <si>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</si>
  <si>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</si>
  <si>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</si>
  <si>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</si>
  <si>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</si>
  <si>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</si>
  <si>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</si>
  <si>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</si>
  <si>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</si>
  <si>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</si>
  <si>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</si>
  <si>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</si>
  <si>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</si>
  <si>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</si>
  <si>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</si>
  <si>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</si>
  <si>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</si>
  <si>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</si>
  <si>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</si>
  <si>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</si>
  <si>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</si>
  <si>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</si>
  <si>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</si>
  <si>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</si>
  <si>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</si>
  <si>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</si>
  <si>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</si>
  <si>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</si>
  <si>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</si>
  <si>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</si>
  <si>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</si>
  <si>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</si>
  <si>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</si>
  <si>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</si>
  <si>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</si>
  <si>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</si>
  <si>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</si>
  <si>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</si>
  <si>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</si>
  <si>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</si>
  <si>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</si>
  <si>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</si>
  <si>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</si>
  <si>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</si>
  <si>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</si>
  <si>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</si>
  <si>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</si>
  <si>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</si>
  <si>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</si>
  <si>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</si>
  <si>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</si>
  <si>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</si>
  <si>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</si>
  <si>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</si>
  <si>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</si>
  <si>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</si>
  <si>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</si>
  <si>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</si>
  <si>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</si>
  <si>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</si>
  <si>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</si>
  <si>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</si>
  <si>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</si>
  <si>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</si>
  <si>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</si>
  <si>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</si>
  <si>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</si>
  <si>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</si>
  <si>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</si>
  <si>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</si>
  <si>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</si>
  <si>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</si>
  <si>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</si>
  <si>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</si>
  <si>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</si>
  <si>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</si>
  <si>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</si>
  <si>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</si>
  <si>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</si>
  <si>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</si>
  <si>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</si>
  <si>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</si>
  <si>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</si>
  <si>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</si>
  <si>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</si>
  <si>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</si>
  <si>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</si>
  <si>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</si>
  <si>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</si>
  <si>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</si>
  <si>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</si>
  <si>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</si>
  <si>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</si>
  <si>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</si>
  <si>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</si>
  <si>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</si>
  <si>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</si>
  <si>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</si>
  <si>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</si>
  <si>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</si>
  <si>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</si>
  <si>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</si>
  <si>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</si>
  <si>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</si>
  <si>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</si>
  <si>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</si>
  <si>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</si>
  <si>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</si>
  <si>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</si>
  <si>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</si>
  <si>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</si>
  <si>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</si>
  <si>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</si>
  <si>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</si>
  <si>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</si>
  <si>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</si>
  <si>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</si>
  <si>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</si>
  <si>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</si>
  <si>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</si>
  <si>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</si>
  <si>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</si>
  <si>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</si>
  <si>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</si>
  <si>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</si>
  <si>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</si>
  <si>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</si>
  <si>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</si>
  <si>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</si>
  <si>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</si>
  <si>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</si>
  <si>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</si>
  <si>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</si>
  <si>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</si>
  <si>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</si>
  <si>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</si>
  <si>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</si>
  <si>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</si>
  <si>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</si>
  <si>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</si>
  <si>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</si>
  <si>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</si>
  <si>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</si>
  <si>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</si>
  <si>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</si>
  <si>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</si>
  <si>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</si>
  <si>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</si>
  <si>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</si>
  <si>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</si>
  <si>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</si>
  <si>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</si>
  <si>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</si>
  <si>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</si>
  <si>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</si>
  <si>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</si>
  <si>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</si>
  <si>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</si>
  <si>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</si>
  <si>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</si>
  <si>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</si>
  <si>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</si>
  <si>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</si>
  <si>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</si>
  <si>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</si>
  <si>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</si>
  <si>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</si>
  <si>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</si>
  <si>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</si>
  <si>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</si>
  <si>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KIU1</t>
  </si>
  <si>
    <t>KIU2</t>
  </si>
  <si>
    <t>KIU3</t>
  </si>
  <si>
    <t>KIU4</t>
  </si>
  <si>
    <t>KIU5</t>
  </si>
  <si>
    <t>KIU6</t>
  </si>
  <si>
    <t>KIU7</t>
  </si>
  <si>
    <t>KIU8</t>
  </si>
  <si>
    <t>KIU9</t>
  </si>
  <si>
    <t>KIU10</t>
  </si>
  <si>
    <t>KIU11</t>
  </si>
  <si>
    <t>KIU12</t>
  </si>
  <si>
    <t>KIU13</t>
  </si>
  <si>
    <t>KIU14</t>
  </si>
  <si>
    <t>KIU15</t>
  </si>
  <si>
    <t>KIU16</t>
  </si>
  <si>
    <t>KIU17</t>
  </si>
  <si>
    <t>KIU18</t>
  </si>
  <si>
    <t>KIU19</t>
  </si>
  <si>
    <t>KIU20</t>
  </si>
  <si>
    <t>KIU21</t>
  </si>
  <si>
    <t>KIU22</t>
  </si>
  <si>
    <t>KIU23</t>
  </si>
  <si>
    <t>KIU24</t>
  </si>
  <si>
    <t>KIU25</t>
  </si>
  <si>
    <t>KIU26</t>
  </si>
  <si>
    <t>KIU27</t>
  </si>
  <si>
    <t>KIU28</t>
  </si>
  <si>
    <t>KIU29</t>
  </si>
  <si>
    <t>KIU30</t>
  </si>
  <si>
    <t>KIU31</t>
  </si>
  <si>
    <t>KIU32</t>
  </si>
  <si>
    <t>KIU33</t>
  </si>
  <si>
    <t>KIU34</t>
  </si>
  <si>
    <t>KIU35</t>
  </si>
  <si>
    <t>KIU36</t>
  </si>
  <si>
    <t>KIU37</t>
  </si>
  <si>
    <t>KIU38</t>
  </si>
  <si>
    <t>KIU39</t>
  </si>
  <si>
    <t>KIU40</t>
  </si>
  <si>
    <t>KIU41</t>
  </si>
  <si>
    <t>KIU42</t>
  </si>
  <si>
    <t>KIU43</t>
  </si>
  <si>
    <t>KIU44</t>
  </si>
  <si>
    <t>KIU45</t>
  </si>
  <si>
    <t>KIU46</t>
  </si>
  <si>
    <t>KIU47</t>
  </si>
  <si>
    <t>KIU48</t>
  </si>
  <si>
    <t>KIU49</t>
  </si>
  <si>
    <t>KIU50</t>
  </si>
  <si>
    <t>KIU51</t>
  </si>
  <si>
    <t>KIU52</t>
  </si>
  <si>
    <t>KIU53</t>
  </si>
  <si>
    <t>KIU54</t>
  </si>
  <si>
    <t>KIU55</t>
  </si>
  <si>
    <t>KIU56</t>
  </si>
  <si>
    <t>KIU57</t>
  </si>
  <si>
    <t>KIU58</t>
  </si>
  <si>
    <t>KIU59</t>
  </si>
  <si>
    <t>KIU60</t>
  </si>
  <si>
    <t>KIU61</t>
  </si>
  <si>
    <t>KIU62</t>
  </si>
  <si>
    <t>KIU63</t>
  </si>
  <si>
    <t>KIU64</t>
  </si>
  <si>
    <t>KIU65</t>
  </si>
  <si>
    <t>KIU66</t>
  </si>
  <si>
    <t>KIU67</t>
  </si>
  <si>
    <t>KIU68</t>
  </si>
  <si>
    <t>KIU69</t>
  </si>
  <si>
    <t>KIU70</t>
  </si>
  <si>
    <t>KIU71</t>
  </si>
  <si>
    <t>KIU72</t>
  </si>
  <si>
    <t>KIU73</t>
  </si>
  <si>
    <t>KIU74</t>
  </si>
  <si>
    <t>KIU75</t>
  </si>
  <si>
    <t>KIU76</t>
  </si>
  <si>
    <t>KIU77</t>
  </si>
  <si>
    <t>KIU78</t>
  </si>
  <si>
    <t>KIU79</t>
  </si>
  <si>
    <t>KIU80</t>
  </si>
  <si>
    <t>KIU81</t>
  </si>
  <si>
    <t>KIU82</t>
  </si>
  <si>
    <t>KIU83</t>
  </si>
  <si>
    <t>KIU84</t>
  </si>
  <si>
    <t>KIU85</t>
  </si>
  <si>
    <t>KIU86</t>
  </si>
  <si>
    <t>KIU87</t>
  </si>
  <si>
    <t>KIU88</t>
  </si>
  <si>
    <t>KIU89</t>
  </si>
  <si>
    <t>KIU90</t>
  </si>
  <si>
    <t>KIU91</t>
  </si>
  <si>
    <t>KIU92</t>
  </si>
  <si>
    <t>KIU93</t>
  </si>
  <si>
    <t>KIU94</t>
  </si>
  <si>
    <t>KIU95</t>
  </si>
  <si>
    <t>KIU96</t>
  </si>
  <si>
    <t>KIU97</t>
  </si>
  <si>
    <t>KIU98</t>
  </si>
  <si>
    <t>KIU99</t>
  </si>
  <si>
    <t>KIU100</t>
  </si>
  <si>
    <t>KIU101</t>
  </si>
  <si>
    <t>KIU102</t>
  </si>
  <si>
    <t>KIU103</t>
  </si>
  <si>
    <t>KIU104</t>
  </si>
  <si>
    <t>KIU105</t>
  </si>
  <si>
    <t>KIU106</t>
  </si>
  <si>
    <t>KIU107</t>
  </si>
  <si>
    <t>KIU108</t>
  </si>
  <si>
    <t>KIU109</t>
  </si>
  <si>
    <t>KIU110</t>
  </si>
  <si>
    <t>KIU111</t>
  </si>
  <si>
    <t>KIU112</t>
  </si>
  <si>
    <t>KIU113</t>
  </si>
  <si>
    <t>KIU114</t>
  </si>
  <si>
    <t>KIU115</t>
  </si>
  <si>
    <t>KIU116</t>
  </si>
  <si>
    <t>KIU117</t>
  </si>
  <si>
    <t>KIU118</t>
  </si>
  <si>
    <t>KIU119</t>
  </si>
  <si>
    <t>KIU120</t>
  </si>
  <si>
    <t>KIU121</t>
  </si>
  <si>
    <t>KIU122</t>
  </si>
  <si>
    <t>KIU123</t>
  </si>
  <si>
    <t>KIU124</t>
  </si>
  <si>
    <t>KIU125</t>
  </si>
  <si>
    <t>KIU126</t>
  </si>
  <si>
    <t>KIU127</t>
  </si>
  <si>
    <t>KIU128</t>
  </si>
  <si>
    <t>KIU129</t>
  </si>
  <si>
    <t>KIU130</t>
  </si>
  <si>
    <t>KIU131</t>
  </si>
  <si>
    <t>KIU132</t>
  </si>
  <si>
    <t>KIU133</t>
  </si>
  <si>
    <t>KIU134</t>
  </si>
  <si>
    <t>KIU135</t>
  </si>
  <si>
    <t>KIU136</t>
  </si>
  <si>
    <t>KIU137</t>
  </si>
  <si>
    <t>KIU138</t>
  </si>
  <si>
    <t>KIU139</t>
  </si>
  <si>
    <t>KIU140</t>
  </si>
  <si>
    <t>KIU141</t>
  </si>
  <si>
    <t>KIU142</t>
  </si>
  <si>
    <t>KIU143</t>
  </si>
  <si>
    <t>KIU144</t>
  </si>
  <si>
    <t>KIU145</t>
  </si>
  <si>
    <t>KIU146</t>
  </si>
  <si>
    <t>KIU147</t>
  </si>
  <si>
    <t>KIU148</t>
  </si>
  <si>
    <t>KIU149</t>
  </si>
  <si>
    <t>KIU150</t>
  </si>
  <si>
    <t>KIU151</t>
  </si>
  <si>
    <t>KIU152</t>
  </si>
  <si>
    <t>KIU153</t>
  </si>
  <si>
    <t>KIU154</t>
  </si>
  <si>
    <t>KIU155</t>
  </si>
  <si>
    <t>KIU156</t>
  </si>
  <si>
    <t>KIU157</t>
  </si>
  <si>
    <t>KIU158</t>
  </si>
  <si>
    <t>KIU159</t>
  </si>
  <si>
    <t>KIU160</t>
  </si>
  <si>
    <t>KIU161</t>
  </si>
  <si>
    <t>KIU162</t>
  </si>
  <si>
    <t>KIU163</t>
  </si>
  <si>
    <t>KIU164</t>
  </si>
  <si>
    <t>KIU165</t>
  </si>
  <si>
    <t>KIU166</t>
  </si>
  <si>
    <t>KIU167</t>
  </si>
  <si>
    <t>KIU168</t>
  </si>
  <si>
    <t>KIU169</t>
  </si>
  <si>
    <t>KIU170</t>
  </si>
  <si>
    <t>KIU171</t>
  </si>
  <si>
    <t>KIU172</t>
  </si>
  <si>
    <t>KIU173</t>
  </si>
  <si>
    <t>KIU174</t>
  </si>
  <si>
    <t>KIU175</t>
  </si>
  <si>
    <t>KIU176</t>
  </si>
  <si>
    <t>KIU177</t>
  </si>
  <si>
    <t>KIU178</t>
  </si>
  <si>
    <t>KIU179</t>
  </si>
  <si>
    <t>KIU180</t>
  </si>
  <si>
    <t>KIU181</t>
  </si>
  <si>
    <t>KIU182</t>
  </si>
  <si>
    <t>KIU183</t>
  </si>
  <si>
    <t>KIU184</t>
  </si>
  <si>
    <t>KIU185</t>
  </si>
  <si>
    <t>KIU186</t>
  </si>
  <si>
    <t>KIU187</t>
  </si>
  <si>
    <t>KIU188</t>
  </si>
  <si>
    <t>KIU189</t>
  </si>
  <si>
    <t>KIU190</t>
  </si>
  <si>
    <t>KIU191</t>
  </si>
  <si>
    <t>KIU192</t>
  </si>
  <si>
    <t>KIU193</t>
  </si>
  <si>
    <t>KIU194</t>
  </si>
  <si>
    <t>KIU195</t>
  </si>
  <si>
    <t>KIU196</t>
  </si>
  <si>
    <t>KIU197</t>
  </si>
  <si>
    <t>KIU198</t>
  </si>
  <si>
    <t>KIU199</t>
  </si>
  <si>
    <t>KIU200</t>
  </si>
  <si>
    <t>KIU201</t>
  </si>
  <si>
    <t>KIU202</t>
  </si>
  <si>
    <t>KIU203</t>
  </si>
  <si>
    <t>KIU204</t>
  </si>
  <si>
    <t>KIU205</t>
  </si>
  <si>
    <t>KIU206</t>
  </si>
  <si>
    <t>KIU207</t>
  </si>
  <si>
    <t>KIU208</t>
  </si>
  <si>
    <t>KIU209</t>
  </si>
  <si>
    <t>KIU210</t>
  </si>
  <si>
    <t>KIU211</t>
  </si>
  <si>
    <t>KIU212</t>
  </si>
  <si>
    <t>KIU213</t>
  </si>
  <si>
    <t>KIU214</t>
  </si>
  <si>
    <t>KIU215</t>
  </si>
  <si>
    <t>KIU216</t>
  </si>
  <si>
    <t>KIU217</t>
  </si>
  <si>
    <t>KIU218</t>
  </si>
  <si>
    <t>KIU219</t>
  </si>
  <si>
    <t>KIU220</t>
  </si>
  <si>
    <t>KIU221</t>
  </si>
  <si>
    <t>KIU222</t>
  </si>
  <si>
    <t>KIU223</t>
  </si>
  <si>
    <t>KIU224</t>
  </si>
  <si>
    <t>KIU225</t>
  </si>
  <si>
    <t>KIU226</t>
  </si>
  <si>
    <t>KIU227</t>
  </si>
  <si>
    <t>KIU228</t>
  </si>
  <si>
    <t>KIU229</t>
  </si>
  <si>
    <t>KIU230</t>
  </si>
  <si>
    <t>KIU231</t>
  </si>
  <si>
    <t>KIU232</t>
  </si>
  <si>
    <t>KIU233</t>
  </si>
  <si>
    <t>KIU234</t>
  </si>
  <si>
    <t>KIU235</t>
  </si>
  <si>
    <t>KIU236</t>
  </si>
  <si>
    <t>KIU237</t>
  </si>
  <si>
    <t>KIU238</t>
  </si>
  <si>
    <t>KIU239</t>
  </si>
  <si>
    <t>KIU240</t>
  </si>
  <si>
    <t>KIU241</t>
  </si>
  <si>
    <t>KIU242</t>
  </si>
  <si>
    <t>KIU243</t>
  </si>
  <si>
    <t>KIU244</t>
  </si>
  <si>
    <t>KIU245</t>
  </si>
  <si>
    <t>KIU246</t>
  </si>
  <si>
    <t>KIU247</t>
  </si>
  <si>
    <t>KIU248</t>
  </si>
  <si>
    <t>KIU249</t>
  </si>
  <si>
    <t>KIU250</t>
  </si>
  <si>
    <t>KIU251</t>
  </si>
  <si>
    <t>KIU252</t>
  </si>
  <si>
    <t>KIU253</t>
  </si>
  <si>
    <t>KIU254</t>
  </si>
  <si>
    <t>KIU255</t>
  </si>
  <si>
    <t>KIU256</t>
  </si>
  <si>
    <t>KIU257</t>
  </si>
  <si>
    <t>KIU258</t>
  </si>
  <si>
    <t>KIU259</t>
  </si>
  <si>
    <t>KIU260</t>
  </si>
  <si>
    <t>KIU261</t>
  </si>
  <si>
    <t>KIU262</t>
  </si>
  <si>
    <t>KIU263</t>
  </si>
  <si>
    <t>KIU264</t>
  </si>
  <si>
    <t>KIU265</t>
  </si>
  <si>
    <t>KIU266</t>
  </si>
  <si>
    <t>KIU267</t>
  </si>
  <si>
    <t>KIU268</t>
  </si>
  <si>
    <t>KIU269</t>
  </si>
  <si>
    <t>KIU270</t>
  </si>
  <si>
    <t>KIU271</t>
  </si>
  <si>
    <t>KIU272</t>
  </si>
  <si>
    <t>KIU273</t>
  </si>
  <si>
    <t>KIU274</t>
  </si>
  <si>
    <t>KIU275</t>
  </si>
  <si>
    <t>KIU276</t>
  </si>
  <si>
    <t>KIU277</t>
  </si>
  <si>
    <t>KIU278</t>
  </si>
  <si>
    <t>KIU279</t>
  </si>
  <si>
    <t>KIU280</t>
  </si>
  <si>
    <t>KIU281</t>
  </si>
  <si>
    <t>KIU282</t>
  </si>
  <si>
    <t>KIU283</t>
  </si>
  <si>
    <t>KIU284</t>
  </si>
  <si>
    <t>KIU285</t>
  </si>
  <si>
    <t>KIU286</t>
  </si>
  <si>
    <t>KIU287</t>
  </si>
  <si>
    <t>KIU288</t>
  </si>
  <si>
    <t>KIU289</t>
  </si>
  <si>
    <t>KIU290</t>
  </si>
  <si>
    <t>KIU291</t>
  </si>
  <si>
    <t>KIU292</t>
  </si>
  <si>
    <t>KIU293</t>
  </si>
  <si>
    <t>KIU294</t>
  </si>
  <si>
    <t>KIU295</t>
  </si>
  <si>
    <t>KIU296</t>
  </si>
  <si>
    <t>KIU297</t>
  </si>
  <si>
    <t>KIU298</t>
  </si>
  <si>
    <t>KIU299</t>
  </si>
  <si>
    <t>KIU300</t>
  </si>
  <si>
    <t>KIU301</t>
  </si>
  <si>
    <t>KIU302</t>
  </si>
  <si>
    <t>KIU303</t>
  </si>
  <si>
    <t>KIU304</t>
  </si>
  <si>
    <t>KIU305</t>
  </si>
  <si>
    <t>KIU306</t>
  </si>
  <si>
    <t>KIU307</t>
  </si>
  <si>
    <t>KIU308</t>
  </si>
  <si>
    <t>KIU309</t>
  </si>
  <si>
    <t>KIU310</t>
  </si>
  <si>
    <t>KIU311</t>
  </si>
  <si>
    <t>KIU312</t>
  </si>
  <si>
    <t>KIU313</t>
  </si>
  <si>
    <t>KIU314</t>
  </si>
  <si>
    <t>KIU315</t>
  </si>
  <si>
    <t>KIU316</t>
  </si>
  <si>
    <t>KIU317</t>
  </si>
  <si>
    <t>KIU318</t>
  </si>
  <si>
    <t>KIU319</t>
  </si>
  <si>
    <t>KIU320</t>
  </si>
  <si>
    <t>KIU321</t>
  </si>
  <si>
    <t>KIU322</t>
  </si>
  <si>
    <t>KIU323</t>
  </si>
  <si>
    <t>KIU324</t>
  </si>
  <si>
    <t>KIU325</t>
  </si>
  <si>
    <t>KIU326</t>
  </si>
  <si>
    <t>KIU327</t>
  </si>
  <si>
    <t>KIU328</t>
  </si>
  <si>
    <t>KIU329</t>
  </si>
  <si>
    <t>KIU330</t>
  </si>
  <si>
    <t>KIU331</t>
  </si>
  <si>
    <t>KIU332</t>
  </si>
  <si>
    <t>KIU333</t>
  </si>
  <si>
    <t>KIU334</t>
  </si>
  <si>
    <t>KIU335</t>
  </si>
  <si>
    <t>KIU336</t>
  </si>
  <si>
    <t>KIU337</t>
  </si>
  <si>
    <t>KIU338</t>
  </si>
  <si>
    <t>KIU339</t>
  </si>
  <si>
    <t>KIU340</t>
  </si>
  <si>
    <t>KIU341</t>
  </si>
  <si>
    <t>KIU342</t>
  </si>
  <si>
    <t>KIU343</t>
  </si>
  <si>
    <t>KIU344</t>
  </si>
  <si>
    <t>KIU345</t>
  </si>
  <si>
    <t>KIU346</t>
  </si>
  <si>
    <t>KIU347</t>
  </si>
  <si>
    <t>KIU348</t>
  </si>
  <si>
    <t>KIU349</t>
  </si>
  <si>
    <t>KIU350</t>
  </si>
  <si>
    <t>KIU351</t>
  </si>
  <si>
    <t>KIU352</t>
  </si>
  <si>
    <t>KIU353</t>
  </si>
  <si>
    <t>KIU354</t>
  </si>
  <si>
    <t>KIU355</t>
  </si>
  <si>
    <t>KIU356</t>
  </si>
  <si>
    <t>KIU357</t>
  </si>
  <si>
    <t>KIU358</t>
  </si>
  <si>
    <t>KIU359</t>
  </si>
  <si>
    <t>KIU360</t>
  </si>
  <si>
    <t>KIU361</t>
  </si>
  <si>
    <t>KIU362</t>
  </si>
  <si>
    <t>KIU363</t>
  </si>
  <si>
    <t>KIU364</t>
  </si>
  <si>
    <t>KIU365</t>
  </si>
  <si>
    <t>KIU366</t>
  </si>
  <si>
    <t>KIU367</t>
  </si>
  <si>
    <t>KIU368</t>
  </si>
  <si>
    <t>KIU369</t>
  </si>
  <si>
    <t>KIU370</t>
  </si>
  <si>
    <t>KIU371</t>
  </si>
  <si>
    <t>KIU372</t>
  </si>
  <si>
    <t>KIU373</t>
  </si>
  <si>
    <t>KIU374</t>
  </si>
  <si>
    <t>KIU375</t>
  </si>
  <si>
    <t>KIU376</t>
  </si>
  <si>
    <t>KIU377</t>
  </si>
  <si>
    <t>KIU378</t>
  </si>
  <si>
    <t>KIU379</t>
  </si>
  <si>
    <t>KIU380</t>
  </si>
  <si>
    <t>KIU381</t>
  </si>
  <si>
    <t>KIU382</t>
  </si>
  <si>
    <t>KIU383</t>
  </si>
  <si>
    <t>KIU384</t>
  </si>
  <si>
    <t>KIU385</t>
  </si>
  <si>
    <t>KIU386</t>
  </si>
  <si>
    <t>KIU387</t>
  </si>
  <si>
    <t>KIU388</t>
  </si>
  <si>
    <t>KIU389</t>
  </si>
  <si>
    <t>KIU390</t>
  </si>
  <si>
    <t>KIU391</t>
  </si>
  <si>
    <t>KIU392</t>
  </si>
  <si>
    <t>KIU393</t>
  </si>
  <si>
    <t>KIU394</t>
  </si>
  <si>
    <t>KIU395</t>
  </si>
  <si>
    <t>KIU396</t>
  </si>
  <si>
    <t>KIU397</t>
  </si>
  <si>
    <t>KIU398</t>
  </si>
  <si>
    <t>KIU399</t>
  </si>
  <si>
    <t>KIU400</t>
  </si>
  <si>
    <t>KIU401</t>
  </si>
  <si>
    <t>KIU402</t>
  </si>
  <si>
    <t>KIU403</t>
  </si>
  <si>
    <t>KIU404</t>
  </si>
  <si>
    <t>KIU405</t>
  </si>
  <si>
    <t>KIU406</t>
  </si>
  <si>
    <t>KIU407</t>
  </si>
  <si>
    <t>KIU408</t>
  </si>
  <si>
    <t>KIU409</t>
  </si>
  <si>
    <t>KIU410</t>
  </si>
  <si>
    <t>KIU411</t>
  </si>
  <si>
    <t>KIU412</t>
  </si>
  <si>
    <t>KIU413</t>
  </si>
  <si>
    <t>KIU414</t>
  </si>
  <si>
    <t>KIU415</t>
  </si>
  <si>
    <t>KIU416</t>
  </si>
  <si>
    <t>KIU417</t>
  </si>
  <si>
    <t>KIU418</t>
  </si>
  <si>
    <t>KIU419</t>
  </si>
  <si>
    <t>KIU420</t>
  </si>
  <si>
    <t>KIU421</t>
  </si>
  <si>
    <t>KIU422</t>
  </si>
  <si>
    <t>KIU423</t>
  </si>
  <si>
    <t>KIU424</t>
  </si>
  <si>
    <t>KIU425</t>
  </si>
  <si>
    <t>KIU426</t>
  </si>
  <si>
    <t>KIU427</t>
  </si>
  <si>
    <t>KIU428</t>
  </si>
  <si>
    <t>KIU429</t>
  </si>
  <si>
    <t>KIU430</t>
  </si>
  <si>
    <t>KIU431</t>
  </si>
  <si>
    <t>KIU432</t>
  </si>
  <si>
    <t>KIU433</t>
  </si>
  <si>
    <t>KIU434</t>
  </si>
  <si>
    <t>KIU435</t>
  </si>
  <si>
    <t>KIU436</t>
  </si>
  <si>
    <t>KIU437</t>
  </si>
  <si>
    <t>KIU438</t>
  </si>
  <si>
    <t>KIU439</t>
  </si>
  <si>
    <t>KIU440</t>
  </si>
  <si>
    <t>KIU441</t>
  </si>
  <si>
    <t>KIU442</t>
  </si>
  <si>
    <t>KIU443</t>
  </si>
  <si>
    <t>KIU444</t>
  </si>
  <si>
    <t>KIU445</t>
  </si>
  <si>
    <t>KIU446</t>
  </si>
  <si>
    <t>KIU447</t>
  </si>
  <si>
    <t>KIU448</t>
  </si>
  <si>
    <t>KIU449</t>
  </si>
  <si>
    <t>KIU450</t>
  </si>
  <si>
    <t>KIU451</t>
  </si>
  <si>
    <t>KIU452</t>
  </si>
  <si>
    <t>KIU453</t>
  </si>
  <si>
    <t>KIU454</t>
  </si>
  <si>
    <t>KIU455</t>
  </si>
  <si>
    <t>KIU456</t>
  </si>
  <si>
    <t>KIU457</t>
  </si>
  <si>
    <t>KIU458</t>
  </si>
  <si>
    <t>KIU459</t>
  </si>
  <si>
    <t>KIU460</t>
  </si>
  <si>
    <t>KIU461</t>
  </si>
  <si>
    <t>KIU462</t>
  </si>
  <si>
    <t>KIU463</t>
  </si>
  <si>
    <t>KIU464</t>
  </si>
  <si>
    <t>KIU465</t>
  </si>
  <si>
    <t>KIU466</t>
  </si>
  <si>
    <t>KIU467</t>
  </si>
  <si>
    <t>KIU468</t>
  </si>
  <si>
    <t>KIU469</t>
  </si>
  <si>
    <t>KIU470</t>
  </si>
  <si>
    <t>KIU471</t>
  </si>
  <si>
    <t>KIU472</t>
  </si>
  <si>
    <t>KIU473</t>
  </si>
  <si>
    <t>KIU474</t>
  </si>
  <si>
    <t>KIU475</t>
  </si>
  <si>
    <t>KIU476</t>
  </si>
  <si>
    <t>KIU477</t>
  </si>
  <si>
    <t>KIU478</t>
  </si>
  <si>
    <t>KIU479</t>
  </si>
  <si>
    <t>KIU480</t>
  </si>
  <si>
    <t>KIU481</t>
  </si>
  <si>
    <t>KIU482</t>
  </si>
  <si>
    <t>KIU483</t>
  </si>
  <si>
    <t>KIU484</t>
  </si>
  <si>
    <t>KIU485</t>
  </si>
  <si>
    <t>KIU486</t>
  </si>
  <si>
    <t>KIU487</t>
  </si>
  <si>
    <t>KIU488</t>
  </si>
  <si>
    <t>KIU489</t>
  </si>
  <si>
    <t>KIU490</t>
  </si>
  <si>
    <t>KIU491</t>
  </si>
  <si>
    <t>KIU492</t>
  </si>
  <si>
    <t>KIU493</t>
  </si>
  <si>
    <t>KIU494</t>
  </si>
  <si>
    <t>KIU495</t>
  </si>
  <si>
    <t>KIU496</t>
  </si>
  <si>
    <t>KIU497</t>
  </si>
  <si>
    <t>KIU498</t>
  </si>
  <si>
    <t>KIU499</t>
  </si>
  <si>
    <t>KIU500</t>
  </si>
  <si>
    <t>KIU501</t>
  </si>
  <si>
    <t>KIU502</t>
  </si>
  <si>
    <t>KIU503</t>
  </si>
  <si>
    <t>KIU504</t>
  </si>
  <si>
    <t>KIU505</t>
  </si>
  <si>
    <t>KIU506</t>
  </si>
  <si>
    <t>KIU507</t>
  </si>
  <si>
    <t>KIU508</t>
  </si>
  <si>
    <t>KIU509</t>
  </si>
  <si>
    <t>KIU510</t>
  </si>
  <si>
    <t>KIU511</t>
  </si>
  <si>
    <t>KIU512</t>
  </si>
  <si>
    <t>KIU513</t>
  </si>
  <si>
    <t>KIU514</t>
  </si>
  <si>
    <t>KIU515</t>
  </si>
  <si>
    <t>KIU516</t>
  </si>
  <si>
    <t>KIU517</t>
  </si>
  <si>
    <t>KIU518</t>
  </si>
  <si>
    <t>KIU519</t>
  </si>
  <si>
    <t>KIU520</t>
  </si>
  <si>
    <t>KIU521</t>
  </si>
  <si>
    <t>KIU522</t>
  </si>
  <si>
    <t>KIU523</t>
  </si>
  <si>
    <t>KIU524</t>
  </si>
  <si>
    <t>KIU525</t>
  </si>
  <si>
    <t>KIU526</t>
  </si>
  <si>
    <t>KIU527</t>
  </si>
  <si>
    <t>KIU528</t>
  </si>
  <si>
    <t>KIU529</t>
  </si>
  <si>
    <t>KIU530</t>
  </si>
  <si>
    <t>KIU531</t>
  </si>
  <si>
    <t>KIU532</t>
  </si>
  <si>
    <t>KIU533</t>
  </si>
  <si>
    <t>KIU534</t>
  </si>
  <si>
    <t>KIU535</t>
  </si>
  <si>
    <t>KIU536</t>
  </si>
  <si>
    <t>KIU537</t>
  </si>
  <si>
    <t>KIU538</t>
  </si>
  <si>
    <t>KIU539</t>
  </si>
  <si>
    <t>KIU540</t>
  </si>
  <si>
    <t>KIU541</t>
  </si>
  <si>
    <t>KIU542</t>
  </si>
  <si>
    <t>KIU543</t>
  </si>
  <si>
    <t>KIU544</t>
  </si>
  <si>
    <t>KIU545</t>
  </si>
  <si>
    <t>KIU546</t>
  </si>
  <si>
    <t>KIU547</t>
  </si>
  <si>
    <t>KIU548</t>
  </si>
  <si>
    <t>KIU549</t>
  </si>
  <si>
    <t>KIU550</t>
  </si>
  <si>
    <t>KIU551</t>
  </si>
  <si>
    <t>KIU552</t>
  </si>
  <si>
    <t>KIU553</t>
  </si>
  <si>
    <t>KIU554</t>
  </si>
  <si>
    <t>KIU555</t>
  </si>
  <si>
    <t>KIU556</t>
  </si>
  <si>
    <t>KIU557</t>
  </si>
  <si>
    <t>KIU558</t>
  </si>
  <si>
    <t>KIU559</t>
  </si>
  <si>
    <t>KIU560</t>
  </si>
  <si>
    <t>KIU561</t>
  </si>
  <si>
    <t>KIU562</t>
  </si>
  <si>
    <t>KIU563</t>
  </si>
  <si>
    <t>KIU564</t>
  </si>
  <si>
    <t>KIU565</t>
  </si>
  <si>
    <t>KIU566</t>
  </si>
  <si>
    <t>KIU567</t>
  </si>
  <si>
    <t>KIU568</t>
  </si>
  <si>
    <t>KIU569</t>
  </si>
  <si>
    <t>KIU570</t>
  </si>
  <si>
    <t>KIU571</t>
  </si>
  <si>
    <t>KIU572</t>
  </si>
  <si>
    <t>KIU573</t>
  </si>
  <si>
    <t>KIU574</t>
  </si>
  <si>
    <t>KIU575</t>
  </si>
  <si>
    <t>KIU576</t>
  </si>
  <si>
    <t>KIU577</t>
  </si>
  <si>
    <t>KIU578</t>
  </si>
  <si>
    <t>KIU579</t>
  </si>
  <si>
    <t>KIU580</t>
  </si>
  <si>
    <t>KIU581</t>
  </si>
  <si>
    <t>KIU582</t>
  </si>
  <si>
    <t>KIU583</t>
  </si>
  <si>
    <t>KIU584</t>
  </si>
  <si>
    <t>KIU585</t>
  </si>
  <si>
    <t>KIU586</t>
  </si>
  <si>
    <t>KIU587</t>
  </si>
  <si>
    <t>KIU588</t>
  </si>
  <si>
    <t>KIU589</t>
  </si>
  <si>
    <t>KIU590</t>
  </si>
  <si>
    <t>KIU591</t>
  </si>
  <si>
    <t>KIU592</t>
  </si>
  <si>
    <t>KIU593</t>
  </si>
  <si>
    <t>KIU594</t>
  </si>
  <si>
    <t>KIU595</t>
  </si>
  <si>
    <t>KIU596</t>
  </si>
  <si>
    <t>KIU597</t>
  </si>
  <si>
    <t>KIU598</t>
  </si>
  <si>
    <t>KIU599</t>
  </si>
  <si>
    <t>KIU600</t>
  </si>
  <si>
    <t>KIU601</t>
  </si>
  <si>
    <t>KIU602</t>
  </si>
  <si>
    <t>KIU603</t>
  </si>
  <si>
    <t>KIU604</t>
  </si>
  <si>
    <t>KIU605</t>
  </si>
  <si>
    <t>KIU606</t>
  </si>
  <si>
    <t>KIU607</t>
  </si>
  <si>
    <t>KIU608</t>
  </si>
  <si>
    <t>KIU609</t>
  </si>
  <si>
    <t>KIU610</t>
  </si>
  <si>
    <t>KIU611</t>
  </si>
  <si>
    <t>KIU612</t>
  </si>
  <si>
    <t>KIU613</t>
  </si>
  <si>
    <t>KIU614</t>
  </si>
  <si>
    <t>KIU615</t>
  </si>
  <si>
    <t>KIU616</t>
  </si>
  <si>
    <t>KIU617</t>
  </si>
  <si>
    <t>KIU618</t>
  </si>
  <si>
    <t>KIU619</t>
  </si>
  <si>
    <t>KIU620</t>
  </si>
  <si>
    <t>KIU621</t>
  </si>
  <si>
    <t>KIU622</t>
  </si>
  <si>
    <t>KIU623</t>
  </si>
  <si>
    <t>KIU624</t>
  </si>
  <si>
    <t>KIU625</t>
  </si>
  <si>
    <t>KIU626</t>
  </si>
  <si>
    <t>KIU627</t>
  </si>
  <si>
    <t>KIU628</t>
  </si>
  <si>
    <t>KIU629</t>
  </si>
  <si>
    <t>KIU630</t>
  </si>
  <si>
    <t>KIU631</t>
  </si>
  <si>
    <t>KIU632</t>
  </si>
  <si>
    <t>KIU633</t>
  </si>
  <si>
    <t>KIU634</t>
  </si>
  <si>
    <t>KIU635</t>
  </si>
  <si>
    <t>KIU636</t>
  </si>
  <si>
    <t>KIU637</t>
  </si>
  <si>
    <t>KIU638</t>
  </si>
  <si>
    <t>KIU639</t>
  </si>
  <si>
    <t>KIU640</t>
  </si>
  <si>
    <t>KIU641</t>
  </si>
  <si>
    <t>KIU642</t>
  </si>
  <si>
    <t>KIU643</t>
  </si>
  <si>
    <t>KIU644</t>
  </si>
  <si>
    <t>KIU645</t>
  </si>
  <si>
    <t>KIU646</t>
  </si>
  <si>
    <t>KIU647</t>
  </si>
  <si>
    <t>KIU648</t>
  </si>
  <si>
    <t>KIU649</t>
  </si>
  <si>
    <t>KIU650</t>
  </si>
  <si>
    <t>KIU651</t>
  </si>
  <si>
    <t>KIU652</t>
  </si>
  <si>
    <t>KIU653</t>
  </si>
  <si>
    <t>KIU654</t>
  </si>
  <si>
    <t>KIU655</t>
  </si>
  <si>
    <t>KIU656</t>
  </si>
  <si>
    <t>KIU657</t>
  </si>
  <si>
    <t>KIU658</t>
  </si>
  <si>
    <t>KIU659</t>
  </si>
  <si>
    <t>KIU660</t>
  </si>
  <si>
    <t>KIU661</t>
  </si>
  <si>
    <t>KIU662</t>
  </si>
  <si>
    <t>KIU663</t>
  </si>
  <si>
    <t>KIU664</t>
  </si>
  <si>
    <t>KIU665</t>
  </si>
  <si>
    <t>KIU666</t>
  </si>
  <si>
    <t>KIU667</t>
  </si>
  <si>
    <t>KIU668</t>
  </si>
  <si>
    <t>KIU669</t>
  </si>
  <si>
    <t>KIU670</t>
  </si>
  <si>
    <t>KIU671</t>
  </si>
  <si>
    <t>KIU672</t>
  </si>
  <si>
    <t>KIU673</t>
  </si>
  <si>
    <t>KIU674</t>
  </si>
  <si>
    <t>KIU675</t>
  </si>
  <si>
    <t>KIU676</t>
  </si>
  <si>
    <t>KIU677</t>
  </si>
  <si>
    <t>KIU678</t>
  </si>
  <si>
    <t>KIU679</t>
  </si>
  <si>
    <t>KIU680</t>
  </si>
  <si>
    <t>KIU681</t>
  </si>
  <si>
    <t>KIU682</t>
  </si>
  <si>
    <t>KIU683</t>
  </si>
  <si>
    <t>KIU684</t>
  </si>
  <si>
    <t>KIU685</t>
  </si>
  <si>
    <t>KIU686</t>
  </si>
  <si>
    <t>KIU687</t>
  </si>
  <si>
    <t>KIU688</t>
  </si>
  <si>
    <t>KIU689</t>
  </si>
  <si>
    <t>KIU690</t>
  </si>
  <si>
    <t>KIU691</t>
  </si>
  <si>
    <t>KIU692</t>
  </si>
  <si>
    <t>KIU693</t>
  </si>
  <si>
    <t>KIU694</t>
  </si>
  <si>
    <t>KIU695</t>
  </si>
  <si>
    <t>KIU696</t>
  </si>
  <si>
    <t>KIU697</t>
  </si>
  <si>
    <t>KIU698</t>
  </si>
  <si>
    <t>KIU699</t>
  </si>
  <si>
    <t>KIU700</t>
  </si>
  <si>
    <t>KIU701</t>
  </si>
  <si>
    <t>KIU702</t>
  </si>
  <si>
    <t>KIU703</t>
  </si>
  <si>
    <t>KIU704</t>
  </si>
  <si>
    <t>KIU705</t>
  </si>
  <si>
    <t>KIU706</t>
  </si>
  <si>
    <t>KIU707</t>
  </si>
  <si>
    <t>KIU708</t>
  </si>
  <si>
    <t>KIU709</t>
  </si>
  <si>
    <t>KIU710</t>
  </si>
  <si>
    <t>KIU711</t>
  </si>
  <si>
    <t>KIU712</t>
  </si>
  <si>
    <t>KIU713</t>
  </si>
  <si>
    <t>KIU714</t>
  </si>
  <si>
    <t>KIU715</t>
  </si>
  <si>
    <t>KIU716</t>
  </si>
  <si>
    <t>KIU717</t>
  </si>
  <si>
    <t>KIU718</t>
  </si>
  <si>
    <t>KIU719</t>
  </si>
  <si>
    <t>KIU720</t>
  </si>
  <si>
    <t>KIU721</t>
  </si>
  <si>
    <t>KIU722</t>
  </si>
  <si>
    <t>KIU723</t>
  </si>
  <si>
    <t>KIU724</t>
  </si>
  <si>
    <t>KIU725</t>
  </si>
  <si>
    <t>KIU726</t>
  </si>
  <si>
    <t>KIU727</t>
  </si>
  <si>
    <t>KIU728</t>
  </si>
  <si>
    <t>KIU729</t>
  </si>
  <si>
    <t>KIU730</t>
  </si>
  <si>
    <t>KIU731</t>
  </si>
  <si>
    <t>KIU732</t>
  </si>
  <si>
    <t>KIU733</t>
  </si>
  <si>
    <t>KIU734</t>
  </si>
  <si>
    <t>KIU735</t>
  </si>
  <si>
    <t>KIU736</t>
  </si>
  <si>
    <t>KIU737</t>
  </si>
  <si>
    <t>KIU738</t>
  </si>
  <si>
    <t>KIU739</t>
  </si>
  <si>
    <t>KIU740</t>
  </si>
  <si>
    <t>KIU741</t>
  </si>
  <si>
    <t>KIU742</t>
  </si>
  <si>
    <t>KIU743</t>
  </si>
  <si>
    <t>KIU744</t>
  </si>
  <si>
    <t>KIU745</t>
  </si>
  <si>
    <t>KIU746</t>
  </si>
  <si>
    <t>KIU747</t>
  </si>
  <si>
    <t>KIU748</t>
  </si>
  <si>
    <t>KIU749</t>
  </si>
  <si>
    <t>KIU750</t>
  </si>
  <si>
    <t>KIU751</t>
  </si>
  <si>
    <t>KIU752</t>
  </si>
  <si>
    <t>KIU753</t>
  </si>
  <si>
    <t>KIU754</t>
  </si>
  <si>
    <t>KIU755</t>
  </si>
  <si>
    <t>KIU756</t>
  </si>
  <si>
    <t>KIU757</t>
  </si>
  <si>
    <t>KIU758</t>
  </si>
  <si>
    <t>KIU759</t>
  </si>
  <si>
    <t>KIU760</t>
  </si>
  <si>
    <t>KIU761</t>
  </si>
  <si>
    <t>KIU762</t>
  </si>
  <si>
    <t>KIU763</t>
  </si>
  <si>
    <t>KIU764</t>
  </si>
  <si>
    <t>KIU765</t>
  </si>
  <si>
    <t>KIU766</t>
  </si>
  <si>
    <t>KIU767</t>
  </si>
  <si>
    <t>KIU768</t>
  </si>
  <si>
    <t>KIU769</t>
  </si>
  <si>
    <t>KIU770</t>
  </si>
  <si>
    <t>KIU771</t>
  </si>
  <si>
    <t>KIU772</t>
  </si>
  <si>
    <t>KIU773</t>
  </si>
  <si>
    <t>KIU774</t>
  </si>
  <si>
    <t>KIU775</t>
  </si>
  <si>
    <t>KIU776</t>
  </si>
  <si>
    <t>KIU777</t>
  </si>
  <si>
    <t>KIU778</t>
  </si>
  <si>
    <t>KIU779</t>
  </si>
  <si>
    <t>KIU780</t>
  </si>
  <si>
    <t>KIU781</t>
  </si>
  <si>
    <t>KIU782</t>
  </si>
  <si>
    <t>KIU783</t>
  </si>
  <si>
    <t>KIU784</t>
  </si>
  <si>
    <t>KIU785</t>
  </si>
  <si>
    <t>KIU786</t>
  </si>
  <si>
    <t>KIU787</t>
  </si>
  <si>
    <t>KIU788</t>
  </si>
  <si>
    <t>KIU789</t>
  </si>
  <si>
    <t>KIU790</t>
  </si>
  <si>
    <t>KIU791</t>
  </si>
  <si>
    <t>KIU792</t>
  </si>
  <si>
    <t>KIU793</t>
  </si>
  <si>
    <t>KIU794</t>
  </si>
  <si>
    <t>KIU795</t>
  </si>
  <si>
    <t>KIU796</t>
  </si>
  <si>
    <t>KIU797</t>
  </si>
  <si>
    <t>KIU798</t>
  </si>
  <si>
    <t>KIU799</t>
  </si>
  <si>
    <t>KIU800</t>
  </si>
  <si>
    <t>KIU801</t>
  </si>
  <si>
    <t>KIU802</t>
  </si>
  <si>
    <t>KIU803</t>
  </si>
  <si>
    <t>KIU804</t>
  </si>
  <si>
    <t>KIU805</t>
  </si>
  <si>
    <t>KIU806</t>
  </si>
  <si>
    <t>KIU807</t>
  </si>
  <si>
    <t>KIU808</t>
  </si>
  <si>
    <t>KIU809</t>
  </si>
  <si>
    <t>KIU810</t>
  </si>
  <si>
    <t>KIU811</t>
  </si>
  <si>
    <t>KIU812</t>
  </si>
  <si>
    <t>KIU813</t>
  </si>
  <si>
    <t>KIU814</t>
  </si>
  <si>
    <t>KIU815</t>
  </si>
  <si>
    <t>KIU816</t>
  </si>
  <si>
    <t>KIU817</t>
  </si>
  <si>
    <t>KIU818</t>
  </si>
  <si>
    <t>KIU819</t>
  </si>
  <si>
    <t>KIU820</t>
  </si>
  <si>
    <t>KIU821</t>
  </si>
  <si>
    <t>KIU822</t>
  </si>
  <si>
    <t>KIU823</t>
  </si>
  <si>
    <t>KIU824</t>
  </si>
  <si>
    <t>KIU825</t>
  </si>
  <si>
    <t>KIU826</t>
  </si>
  <si>
    <t>KIU827</t>
  </si>
  <si>
    <t>KIU828</t>
  </si>
  <si>
    <t>KIU829</t>
  </si>
  <si>
    <t>KIU830</t>
  </si>
  <si>
    <t>KIU831</t>
  </si>
  <si>
    <t>KIU832</t>
  </si>
  <si>
    <t>KIU833</t>
  </si>
  <si>
    <t>KIU834</t>
  </si>
  <si>
    <t>KIU835</t>
  </si>
  <si>
    <t>KIU836</t>
  </si>
  <si>
    <t>KIU837</t>
  </si>
  <si>
    <t>KIU838</t>
  </si>
  <si>
    <t>KIU839</t>
  </si>
  <si>
    <t>KIU840</t>
  </si>
  <si>
    <t>KIU841</t>
  </si>
  <si>
    <t>KIU842</t>
  </si>
  <si>
    <t>KIU843</t>
  </si>
  <si>
    <t>KIU844</t>
  </si>
  <si>
    <t>KIU845</t>
  </si>
  <si>
    <t>KIU846</t>
  </si>
  <si>
    <t>KIU847</t>
  </si>
  <si>
    <t>KIU848</t>
  </si>
  <si>
    <t>KIU849</t>
  </si>
  <si>
    <t>KIU850</t>
  </si>
  <si>
    <t>KIU851</t>
  </si>
  <si>
    <t>KIU852</t>
  </si>
  <si>
    <t>KIU853</t>
  </si>
  <si>
    <t>KIU854</t>
  </si>
  <si>
    <t>KIU855</t>
  </si>
  <si>
    <t>KIU856</t>
  </si>
  <si>
    <t>KIU857</t>
  </si>
  <si>
    <t>KIU858</t>
  </si>
  <si>
    <t>KIU859</t>
  </si>
  <si>
    <t>KIU860</t>
  </si>
  <si>
    <t>KIU861</t>
  </si>
  <si>
    <t>KIU862</t>
  </si>
  <si>
    <t>KIU863</t>
  </si>
  <si>
    <t>KIU864</t>
  </si>
  <si>
    <t>KIU865</t>
  </si>
  <si>
    <t>KIU866</t>
  </si>
  <si>
    <t>KIU867</t>
  </si>
  <si>
    <t>KIU868</t>
  </si>
  <si>
    <t>KIU869</t>
  </si>
  <si>
    <t>KIU870</t>
  </si>
  <si>
    <t>KIU871</t>
  </si>
  <si>
    <t>KIU872</t>
  </si>
  <si>
    <t>KIU873</t>
  </si>
  <si>
    <t>KIU874</t>
  </si>
  <si>
    <t>KIU875</t>
  </si>
  <si>
    <t>KIU876</t>
  </si>
  <si>
    <t>KIU877</t>
  </si>
  <si>
    <t>KIU878</t>
  </si>
  <si>
    <t>KIU879</t>
  </si>
  <si>
    <t>KIU880</t>
  </si>
  <si>
    <t>KIU881</t>
  </si>
  <si>
    <t>KIU882</t>
  </si>
  <si>
    <t>KIU883</t>
  </si>
  <si>
    <t>KIU884</t>
  </si>
  <si>
    <t>KIU885</t>
  </si>
  <si>
    <t>KIU886</t>
  </si>
  <si>
    <t>KIU887</t>
  </si>
  <si>
    <t>KIU888</t>
  </si>
  <si>
    <t>KIU889</t>
  </si>
  <si>
    <t>KIU890</t>
  </si>
  <si>
    <t>KIU891</t>
  </si>
  <si>
    <t>KIU892</t>
  </si>
  <si>
    <t>KIU893</t>
  </si>
  <si>
    <t>KIU894</t>
  </si>
  <si>
    <t>KIU895</t>
  </si>
  <si>
    <t>KIU896</t>
  </si>
  <si>
    <t>KIU897</t>
  </si>
  <si>
    <t>KIU898</t>
  </si>
  <si>
    <t>KIU899</t>
  </si>
  <si>
    <t>KIU900</t>
  </si>
  <si>
    <t>KIU901</t>
  </si>
  <si>
    <t>KIU902</t>
  </si>
  <si>
    <t>KIU903</t>
  </si>
  <si>
    <t>KIU904</t>
  </si>
  <si>
    <t>KIU905</t>
  </si>
  <si>
    <t>KIU906</t>
  </si>
  <si>
    <t>KIU907</t>
  </si>
  <si>
    <t>KIU908</t>
  </si>
  <si>
    <t>KIU909</t>
  </si>
  <si>
    <t>KIU910</t>
  </si>
  <si>
    <t>KIU911</t>
  </si>
  <si>
    <t>KIU912</t>
  </si>
  <si>
    <t>KIU913</t>
  </si>
  <si>
    <t>KIU914</t>
  </si>
  <si>
    <t>KIU915</t>
  </si>
  <si>
    <t>KIU916</t>
  </si>
  <si>
    <t>KIU917</t>
  </si>
  <si>
    <t>KIU918</t>
  </si>
  <si>
    <t>KIU919</t>
  </si>
  <si>
    <t>KIU920</t>
  </si>
  <si>
    <t>KIU921</t>
  </si>
  <si>
    <t>KIU922</t>
  </si>
  <si>
    <t>KIU923</t>
  </si>
  <si>
    <t>KIU924</t>
  </si>
  <si>
    <t>KIU925</t>
  </si>
  <si>
    <t>KIU926</t>
  </si>
  <si>
    <t>KIU927</t>
  </si>
  <si>
    <t>KIU928</t>
  </si>
  <si>
    <t>KIU929</t>
  </si>
  <si>
    <t>KIU930</t>
  </si>
  <si>
    <t>KIU931</t>
  </si>
  <si>
    <t>KIU932</t>
  </si>
  <si>
    <t>KIU933</t>
  </si>
  <si>
    <t>KIU934</t>
  </si>
  <si>
    <t>KIU935</t>
  </si>
  <si>
    <t>KIU936</t>
  </si>
  <si>
    <t>KIU937</t>
  </si>
  <si>
    <t>KIU938</t>
  </si>
  <si>
    <t>KIU939</t>
  </si>
  <si>
    <t>KIU940</t>
  </si>
  <si>
    <t>KIU941</t>
  </si>
  <si>
    <t>KIU942</t>
  </si>
  <si>
    <t>KIU943</t>
  </si>
  <si>
    <t>KIU944</t>
  </si>
  <si>
    <t>KIU945</t>
  </si>
  <si>
    <t>KIU946</t>
  </si>
  <si>
    <t>KIU947</t>
  </si>
  <si>
    <t>KIU948</t>
  </si>
  <si>
    <t>KIU949</t>
  </si>
  <si>
    <t>KIU950</t>
  </si>
  <si>
    <t>KIU951</t>
  </si>
  <si>
    <t>KIU952</t>
  </si>
  <si>
    <t>KIU953</t>
  </si>
  <si>
    <t>KIU954</t>
  </si>
  <si>
    <t>KIU955</t>
  </si>
  <si>
    <t>KIU956</t>
  </si>
  <si>
    <t>KIU957</t>
  </si>
  <si>
    <t>KIU958</t>
  </si>
  <si>
    <t>KIU959</t>
  </si>
  <si>
    <t>KIU960</t>
  </si>
  <si>
    <t>KIU961</t>
  </si>
  <si>
    <t>KIU962</t>
  </si>
  <si>
    <t>KIU963</t>
  </si>
  <si>
    <t>KIU964</t>
  </si>
  <si>
    <t>KIU965</t>
  </si>
  <si>
    <t>KIU966</t>
  </si>
  <si>
    <t>KIU967</t>
  </si>
  <si>
    <t>KIU968</t>
  </si>
  <si>
    <t>KIU969</t>
  </si>
  <si>
    <t>KIU970</t>
  </si>
  <si>
    <t>KIU971</t>
  </si>
  <si>
    <t>KIU972</t>
  </si>
  <si>
    <t>KIU973</t>
  </si>
  <si>
    <t>KIU974</t>
  </si>
  <si>
    <t>KIU975</t>
  </si>
  <si>
    <t>KIU976</t>
  </si>
  <si>
    <t>KIU977</t>
  </si>
  <si>
    <t>KIU978</t>
  </si>
  <si>
    <t>KIU979</t>
  </si>
  <si>
    <t>KIU980</t>
  </si>
  <si>
    <t>KIU981</t>
  </si>
  <si>
    <t>KIU982</t>
  </si>
  <si>
    <t>KIU983</t>
  </si>
  <si>
    <t>KIU984</t>
  </si>
  <si>
    <t>KIU985</t>
  </si>
  <si>
    <t>KIU986</t>
  </si>
  <si>
    <t>KIU987</t>
  </si>
  <si>
    <t>KIU988</t>
  </si>
  <si>
    <t>KIU989</t>
  </si>
  <si>
    <t>KIU990</t>
  </si>
  <si>
    <t>KIU991</t>
  </si>
  <si>
    <t>KIU992</t>
  </si>
  <si>
    <t>KIU993</t>
  </si>
  <si>
    <t>KIU994</t>
  </si>
  <si>
    <t>KIU995</t>
  </si>
  <si>
    <t>KIU996</t>
  </si>
  <si>
    <t>KIU997</t>
  </si>
  <si>
    <t>KIU998</t>
  </si>
  <si>
    <t>KIU999</t>
  </si>
  <si>
    <t>KIU1000</t>
  </si>
  <si>
    <t>KIU1001</t>
  </si>
  <si>
    <t>KIU1002</t>
  </si>
  <si>
    <t>KIU1003</t>
  </si>
  <si>
    <t>KIU1004</t>
  </si>
  <si>
    <t>KIU1005</t>
  </si>
  <si>
    <t>KIU1006</t>
  </si>
  <si>
    <t>KIU1007</t>
  </si>
  <si>
    <t>KIU1008</t>
  </si>
  <si>
    <t>KIU1009</t>
  </si>
  <si>
    <t>KIU1010</t>
  </si>
  <si>
    <t>KIU1011</t>
  </si>
  <si>
    <t>KIU1012</t>
  </si>
  <si>
    <t>KIU1013</t>
  </si>
  <si>
    <t>KIU1014</t>
  </si>
  <si>
    <t>KIU1015</t>
  </si>
  <si>
    <t>KIU1016</t>
  </si>
  <si>
    <t>KIU1017</t>
  </si>
  <si>
    <t>KIU1018</t>
  </si>
  <si>
    <t>KIU1019</t>
  </si>
  <si>
    <t>KIU1020</t>
  </si>
  <si>
    <t>KIU1021</t>
  </si>
  <si>
    <t>KIU1022</t>
  </si>
  <si>
    <t>KIU1023</t>
  </si>
  <si>
    <t>KIU1024</t>
  </si>
  <si>
    <t>KIU1025</t>
  </si>
  <si>
    <t>KIU1026</t>
  </si>
  <si>
    <t>KIU1027</t>
  </si>
  <si>
    <t>KIU1028</t>
  </si>
  <si>
    <t>KIU1029</t>
  </si>
  <si>
    <t>KIU1030</t>
  </si>
  <si>
    <t>KIU1031</t>
  </si>
  <si>
    <t>KIU1032</t>
  </si>
  <si>
    <t>KIU1033</t>
  </si>
  <si>
    <t>KIU1034</t>
  </si>
  <si>
    <t>KIU1035</t>
  </si>
  <si>
    <t>KIU1036</t>
  </si>
  <si>
    <t>KIU1037</t>
  </si>
  <si>
    <t>KIU1038</t>
  </si>
  <si>
    <t>KIU1039</t>
  </si>
  <si>
    <t>KIU1040</t>
  </si>
  <si>
    <t>KIU1041</t>
  </si>
  <si>
    <t>KIU1042</t>
  </si>
  <si>
    <t>KIU1043</t>
  </si>
  <si>
    <t>KIU1044</t>
  </si>
  <si>
    <t>KIU1045</t>
  </si>
  <si>
    <t>KIU1046</t>
  </si>
  <si>
    <t>KIU1047</t>
  </si>
  <si>
    <t>KIU1048</t>
  </si>
  <si>
    <t>KIU1049</t>
  </si>
  <si>
    <t>KIU1050</t>
  </si>
  <si>
    <t>KIU1051</t>
  </si>
  <si>
    <t>KIU1052</t>
  </si>
  <si>
    <t>KIU1053</t>
  </si>
  <si>
    <t>KIU1054</t>
  </si>
  <si>
    <t>KIU1055</t>
  </si>
  <si>
    <t>KIU1056</t>
  </si>
  <si>
    <t>KIU1057</t>
  </si>
  <si>
    <t>KIU1058</t>
  </si>
  <si>
    <t>KIU1059</t>
  </si>
  <si>
    <t>KIU1060</t>
  </si>
  <si>
    <t>KIU1061</t>
  </si>
  <si>
    <t>KIU1062</t>
  </si>
  <si>
    <t>KIU1063</t>
  </si>
  <si>
    <t>KIU1064</t>
  </si>
  <si>
    <t>KIU1065</t>
  </si>
  <si>
    <t>KIU1066</t>
  </si>
  <si>
    <t>KIU1067</t>
  </si>
  <si>
    <t>KIU1068</t>
  </si>
  <si>
    <t>KIU1069</t>
  </si>
  <si>
    <t>KIU1070</t>
  </si>
  <si>
    <t>KIU1071</t>
  </si>
  <si>
    <t>KIU1072</t>
  </si>
  <si>
    <t>KIU1073</t>
  </si>
  <si>
    <t>KIU1074</t>
  </si>
  <si>
    <t>KIU1075</t>
  </si>
  <si>
    <t>KIU1076</t>
  </si>
  <si>
    <t>KIU1077</t>
  </si>
  <si>
    <t>KIU1078</t>
  </si>
  <si>
    <t>KIU1079</t>
  </si>
  <si>
    <t>KIU1080</t>
  </si>
  <si>
    <t>KIU1081</t>
  </si>
  <si>
    <t>KIU1082</t>
  </si>
  <si>
    <t>KIU1083</t>
  </si>
  <si>
    <t>KIU1084</t>
  </si>
  <si>
    <t>KIU1085</t>
  </si>
  <si>
    <t>KIU1086</t>
  </si>
  <si>
    <t>KIU1087</t>
  </si>
  <si>
    <t>KIU1088</t>
  </si>
  <si>
    <t>KIU1089</t>
  </si>
  <si>
    <t>KIU1090</t>
  </si>
  <si>
    <t>KIU1091</t>
  </si>
  <si>
    <t>KIU1092</t>
  </si>
  <si>
    <t>KIU1093</t>
  </si>
  <si>
    <t>KIU1094</t>
  </si>
  <si>
    <t>KIU1095</t>
  </si>
  <si>
    <t>KIU1096</t>
  </si>
  <si>
    <t>KIU1097</t>
  </si>
  <si>
    <t>KIU1098</t>
  </si>
  <si>
    <t>KIU1099</t>
  </si>
  <si>
    <t>KIU1100</t>
  </si>
  <si>
    <t>KIU1101</t>
  </si>
  <si>
    <t>KIU1102</t>
  </si>
  <si>
    <t>KIU1103</t>
  </si>
  <si>
    <t>KIU1104</t>
  </si>
  <si>
    <t>KIU1105</t>
  </si>
  <si>
    <t>KIU1106</t>
  </si>
  <si>
    <t>KIU1107</t>
  </si>
  <si>
    <t>KIU1108</t>
  </si>
  <si>
    <t>KIU1109</t>
  </si>
  <si>
    <t>KIU1110</t>
  </si>
  <si>
    <t>KIU1111</t>
  </si>
  <si>
    <t>KIU1112</t>
  </si>
  <si>
    <t>KIU1113</t>
  </si>
  <si>
    <t>KIU1114</t>
  </si>
  <si>
    <t>KIU1115</t>
  </si>
  <si>
    <t>KIU1116</t>
  </si>
  <si>
    <t>KIU1117</t>
  </si>
  <si>
    <t>KIU1118</t>
  </si>
  <si>
    <t>KIU1119</t>
  </si>
  <si>
    <t>KIU1120</t>
  </si>
  <si>
    <t>KIU1121</t>
  </si>
  <si>
    <t>KIU1122</t>
  </si>
  <si>
    <t>KIU1123</t>
  </si>
  <si>
    <t>KIU1124</t>
  </si>
  <si>
    <t>KIU1125</t>
  </si>
  <si>
    <t>KIU1126</t>
  </si>
  <si>
    <t>KIU1127</t>
  </si>
  <si>
    <t>KIU1128</t>
  </si>
  <si>
    <t>KIU1129</t>
  </si>
  <si>
    <t>KIU1130</t>
  </si>
  <si>
    <t>KIU1131</t>
  </si>
  <si>
    <t>KIU1132</t>
  </si>
  <si>
    <t>KIU1133</t>
  </si>
  <si>
    <t>KIU1134</t>
  </si>
  <si>
    <t>KIU1135</t>
  </si>
  <si>
    <t>KIU1136</t>
  </si>
  <si>
    <t>KIU1137</t>
  </si>
  <si>
    <t>KIU1138</t>
  </si>
  <si>
    <t>KIU1139</t>
  </si>
  <si>
    <t>KIU1140</t>
  </si>
  <si>
    <t>KIU1141</t>
  </si>
  <si>
    <t>KIU1142</t>
  </si>
  <si>
    <t>KIU1143</t>
  </si>
  <si>
    <t>KIU1144</t>
  </si>
  <si>
    <t>KIU1145</t>
  </si>
  <si>
    <t>KIU1146</t>
  </si>
  <si>
    <t>KIU1147</t>
  </si>
  <si>
    <t>KIU1148</t>
  </si>
  <si>
    <t>KIU1149</t>
  </si>
  <si>
    <t>KIU1150</t>
  </si>
  <si>
    <t>KIU1151</t>
  </si>
  <si>
    <t>KIU1152</t>
  </si>
  <si>
    <t>KIU1153</t>
  </si>
  <si>
    <t>KIU1154</t>
  </si>
  <si>
    <t>KIU1155</t>
  </si>
  <si>
    <t>KIU1156</t>
  </si>
  <si>
    <t>KIU1157</t>
  </si>
  <si>
    <t>KIU1158</t>
  </si>
  <si>
    <t>KIU1159</t>
  </si>
  <si>
    <t>KIU1160</t>
  </si>
  <si>
    <t>KIU1161</t>
  </si>
  <si>
    <t>KIU1162</t>
  </si>
  <si>
    <t>KIU1163</t>
  </si>
  <si>
    <t>KIU1164</t>
  </si>
  <si>
    <t>KIU1165</t>
  </si>
  <si>
    <t>KIU1166</t>
  </si>
  <si>
    <t>KIU1167</t>
  </si>
  <si>
    <t>KIU1168</t>
  </si>
  <si>
    <t>KIU1169</t>
  </si>
  <si>
    <t>KIU1170</t>
  </si>
  <si>
    <t>KIU1171</t>
  </si>
  <si>
    <t>KIU1172</t>
  </si>
  <si>
    <t>KIU1173</t>
  </si>
  <si>
    <t>KIU1174</t>
  </si>
  <si>
    <t>KIU1175</t>
  </si>
  <si>
    <t>KIU1176</t>
  </si>
  <si>
    <t>KIU1177</t>
  </si>
  <si>
    <t>KIU1178</t>
  </si>
  <si>
    <t>KIU1179</t>
  </si>
  <si>
    <t>KIU1180</t>
  </si>
  <si>
    <t>KIU1181</t>
  </si>
  <si>
    <t>KIU1182</t>
  </si>
  <si>
    <t>KIU1183</t>
  </si>
  <si>
    <t>KIU1184</t>
  </si>
  <si>
    <t>KIU1185</t>
  </si>
  <si>
    <t>KIU1186</t>
  </si>
  <si>
    <t>KIU1187</t>
  </si>
  <si>
    <t>KIU1188</t>
  </si>
  <si>
    <t>KIU1189</t>
  </si>
  <si>
    <t>KIU1190</t>
  </si>
  <si>
    <t>KIU1191</t>
  </si>
  <si>
    <t>KIU1192</t>
  </si>
  <si>
    <t>KIU1193</t>
  </si>
  <si>
    <t>KIU1194</t>
  </si>
  <si>
    <t>KIU1195</t>
  </si>
  <si>
    <t>KIU1196</t>
  </si>
  <si>
    <t>KIU1197</t>
  </si>
  <si>
    <t>KIU1198</t>
  </si>
  <si>
    <t>KIU1199</t>
  </si>
  <si>
    <t>KIU1200</t>
  </si>
  <si>
    <t>KIU1201</t>
  </si>
  <si>
    <t>KIU1202</t>
  </si>
  <si>
    <t>KIU1203</t>
  </si>
  <si>
    <t>KIU1204</t>
  </si>
  <si>
    <t>KIU1205</t>
  </si>
  <si>
    <t>KIU1206</t>
  </si>
  <si>
    <t>KIU1207</t>
  </si>
  <si>
    <t>KIU1208</t>
  </si>
  <si>
    <t>KIU1209</t>
  </si>
  <si>
    <t>KIU1210</t>
  </si>
  <si>
    <t>KIU1211</t>
  </si>
  <si>
    <t>KIU1212</t>
  </si>
  <si>
    <t>KIU1213</t>
  </si>
  <si>
    <t>KIU1214</t>
  </si>
  <si>
    <t>KIU1215</t>
  </si>
  <si>
    <t>KIU1216</t>
  </si>
  <si>
    <t>KIU1217</t>
  </si>
  <si>
    <t>KIU1218</t>
  </si>
  <si>
    <t>KIU1219</t>
  </si>
  <si>
    <t>KIU1220</t>
  </si>
  <si>
    <t>KIU1221</t>
  </si>
  <si>
    <t>KIU1222</t>
  </si>
  <si>
    <t>KIU1223</t>
  </si>
  <si>
    <t>KIU1224</t>
  </si>
  <si>
    <t>KIU1225</t>
  </si>
  <si>
    <t>KIU1226</t>
  </si>
  <si>
    <t>KIU1227</t>
  </si>
  <si>
    <t>KIU1228</t>
  </si>
  <si>
    <t>KIU1229</t>
  </si>
  <si>
    <t>KIU1230</t>
  </si>
  <si>
    <t>KIU1231</t>
  </si>
  <si>
    <t>KIU1232</t>
  </si>
  <si>
    <t>KIU1233</t>
  </si>
  <si>
    <t>KIU1234</t>
  </si>
  <si>
    <t>KIU1235</t>
  </si>
  <si>
    <t>KIU1236</t>
  </si>
  <si>
    <t>KIU1237</t>
  </si>
  <si>
    <t>KIU1238</t>
  </si>
  <si>
    <t>KIU1239</t>
  </si>
  <si>
    <t>KIU1240</t>
  </si>
  <si>
    <t>KIU1241</t>
  </si>
  <si>
    <t>KIU1242</t>
  </si>
  <si>
    <t>KIU1243</t>
  </si>
  <si>
    <t>KIU1244</t>
  </si>
  <si>
    <t>KIU1245</t>
  </si>
  <si>
    <t>KIU1246</t>
  </si>
  <si>
    <t>KIU1247</t>
  </si>
  <si>
    <t>KIU1248</t>
  </si>
  <si>
    <t>KIU1249</t>
  </si>
  <si>
    <t>KIU1250</t>
  </si>
  <si>
    <t>KIU1251</t>
  </si>
  <si>
    <t>KIU1252</t>
  </si>
  <si>
    <t>KIU1253</t>
  </si>
  <si>
    <t>KIU1254</t>
  </si>
  <si>
    <t>KIU1255</t>
  </si>
  <si>
    <t>KIU1256</t>
  </si>
  <si>
    <t>KIU1257</t>
  </si>
  <si>
    <t>KIU1258</t>
  </si>
  <si>
    <t>KIU1259</t>
  </si>
  <si>
    <t>KIU1260</t>
  </si>
  <si>
    <t>KIU1261</t>
  </si>
  <si>
    <t>KIU1262</t>
  </si>
  <si>
    <t>KIU1263</t>
  </si>
  <si>
    <t>KIU1264</t>
  </si>
  <si>
    <t>KIU1265</t>
  </si>
  <si>
    <t>KIU1266</t>
  </si>
  <si>
    <t>KIU1267</t>
  </si>
  <si>
    <t>KIU1268</t>
  </si>
  <si>
    <t>KIU1269</t>
  </si>
  <si>
    <t>KIU1270</t>
  </si>
  <si>
    <t>KIU1271</t>
  </si>
  <si>
    <t>KIU1272</t>
  </si>
  <si>
    <t>KIU1273</t>
  </si>
  <si>
    <t>KIU1274</t>
  </si>
  <si>
    <t>KIU1275</t>
  </si>
  <si>
    <t>KIU1276</t>
  </si>
  <si>
    <t>KIU1277</t>
  </si>
  <si>
    <t>KIU1278</t>
  </si>
  <si>
    <t>KIU1279</t>
  </si>
  <si>
    <t>KIU1280</t>
  </si>
  <si>
    <t>KIU1281</t>
  </si>
  <si>
    <t>KIU1282</t>
  </si>
  <si>
    <t>KIU1283</t>
  </si>
  <si>
    <t>KIU1284</t>
  </si>
  <si>
    <t>KIU1285</t>
  </si>
  <si>
    <t>KIU1286</t>
  </si>
  <si>
    <t>KIU1287</t>
  </si>
  <si>
    <t>KIU1288</t>
  </si>
  <si>
    <t>KIU1289</t>
  </si>
  <si>
    <t>KIU1290</t>
  </si>
  <si>
    <t>KIU1291</t>
  </si>
  <si>
    <t>KIU1292</t>
  </si>
  <si>
    <t>KIU1293</t>
  </si>
  <si>
    <t>KIU1294</t>
  </si>
  <si>
    <t>KIU1295</t>
  </si>
  <si>
    <t>KIU1296</t>
  </si>
  <si>
    <t>KIU1297</t>
  </si>
  <si>
    <t>KIU1298</t>
  </si>
  <si>
    <t>KIU1299</t>
  </si>
  <si>
    <t>KIU1300</t>
  </si>
  <si>
    <t>KIU1301</t>
  </si>
  <si>
    <t>KIU1302</t>
  </si>
  <si>
    <t>KIU1303</t>
  </si>
  <si>
    <t>KIU1304</t>
  </si>
  <si>
    <t>KIU1305</t>
  </si>
  <si>
    <t>KIU1306</t>
  </si>
  <si>
    <t>KIU1307</t>
  </si>
  <si>
    <t>KIU1308</t>
  </si>
  <si>
    <t>KIU1309</t>
  </si>
  <si>
    <t>KIU1310</t>
  </si>
  <si>
    <t>KIU1311</t>
  </si>
  <si>
    <t>KIU1312</t>
  </si>
  <si>
    <t>KIU1313</t>
  </si>
  <si>
    <t>KIU1314</t>
  </si>
  <si>
    <t>KIU1315</t>
  </si>
  <si>
    <t>KIU1316</t>
  </si>
  <si>
    <t>KIU1317</t>
  </si>
  <si>
    <t>KIU1318</t>
  </si>
  <si>
    <t>KIU1319</t>
  </si>
  <si>
    <t>KIU1320</t>
  </si>
  <si>
    <t>KIU1321</t>
  </si>
  <si>
    <t>KIU1322</t>
  </si>
  <si>
    <t>KIU1323</t>
  </si>
  <si>
    <t>KIU1324</t>
  </si>
  <si>
    <t>KIU1325</t>
  </si>
  <si>
    <t>KIU1326</t>
  </si>
  <si>
    <t>KIU1327</t>
  </si>
  <si>
    <t>KIU1328</t>
  </si>
  <si>
    <t>KIU1329</t>
  </si>
  <si>
    <t>KIU1330</t>
  </si>
  <si>
    <t>KIU1331</t>
  </si>
  <si>
    <t>KIU1332</t>
  </si>
  <si>
    <t>KIU1333</t>
  </si>
  <si>
    <t>KIU1334</t>
  </si>
  <si>
    <t>KIU1335</t>
  </si>
  <si>
    <t>KIU1336</t>
  </si>
  <si>
    <t>KIU1337</t>
  </si>
  <si>
    <t>KIU1338</t>
  </si>
  <si>
    <t>KIU1339</t>
  </si>
  <si>
    <t>KIU1340</t>
  </si>
  <si>
    <t>KIU1341</t>
  </si>
  <si>
    <t>KIU1342</t>
  </si>
  <si>
    <t>KIU1343</t>
  </si>
  <si>
    <t>KIU1344</t>
  </si>
  <si>
    <t>KIU1345</t>
  </si>
  <si>
    <t>KIU1346</t>
  </si>
  <si>
    <t>KIU1347</t>
  </si>
  <si>
    <t>KIU1348</t>
  </si>
  <si>
    <t>KIU1349</t>
  </si>
  <si>
    <t>KIU1350</t>
  </si>
  <si>
    <t>KIU1351</t>
  </si>
  <si>
    <t>KIU1352</t>
  </si>
  <si>
    <t>KIU1353</t>
  </si>
  <si>
    <t>KIU1354</t>
  </si>
  <si>
    <t>KIU1355</t>
  </si>
  <si>
    <t>KIU1356</t>
  </si>
  <si>
    <t>KIU1357</t>
  </si>
  <si>
    <t>KIU1358</t>
  </si>
  <si>
    <t>KIU1359</t>
  </si>
  <si>
    <t>KIU1360</t>
  </si>
  <si>
    <t>KIU1361</t>
  </si>
  <si>
    <t>KIU1362</t>
  </si>
  <si>
    <t>KIU1363</t>
  </si>
  <si>
    <t>KIU1364</t>
  </si>
  <si>
    <t>KIU1365</t>
  </si>
  <si>
    <t>KIU1366</t>
  </si>
  <si>
    <t>KIU1367</t>
  </si>
  <si>
    <t>KIU1368</t>
  </si>
  <si>
    <t>KIU1369</t>
  </si>
  <si>
    <t>KIU1370</t>
  </si>
  <si>
    <t>KIU1371</t>
  </si>
  <si>
    <t>KIU1372</t>
  </si>
  <si>
    <t>KIU1373</t>
  </si>
  <si>
    <t>KIU1374</t>
  </si>
  <si>
    <t>KIU1375</t>
  </si>
  <si>
    <t>KIU1376</t>
  </si>
  <si>
    <t>KIU1377</t>
  </si>
  <si>
    <t>KIU1378</t>
  </si>
  <si>
    <t>KIU1379</t>
  </si>
  <si>
    <t>KIU1380</t>
  </si>
  <si>
    <t>KIU1381</t>
  </si>
  <si>
    <t>KIU1382</t>
  </si>
  <si>
    <t>KIU1383</t>
  </si>
  <si>
    <t>KIU1384</t>
  </si>
  <si>
    <t>KIU1385</t>
  </si>
  <si>
    <t>KIU1386</t>
  </si>
  <si>
    <t>KIU1387</t>
  </si>
  <si>
    <t>KIU1388</t>
  </si>
  <si>
    <t>KIU1389</t>
  </si>
  <si>
    <t>KIU1390</t>
  </si>
  <si>
    <t>KIU1391</t>
  </si>
  <si>
    <t>KIU1392</t>
  </si>
  <si>
    <t>KIU1393</t>
  </si>
  <si>
    <t>KIU1394</t>
  </si>
  <si>
    <t>KIU1395</t>
  </si>
  <si>
    <t>KIU1396</t>
  </si>
  <si>
    <t>KIU1397</t>
  </si>
  <si>
    <t>KIU1398</t>
  </si>
  <si>
    <t>KIU1399</t>
  </si>
  <si>
    <t>KIU1400</t>
  </si>
  <si>
    <t>KIU1401</t>
  </si>
  <si>
    <t>KIU1402</t>
  </si>
  <si>
    <t>KIU1403</t>
  </si>
  <si>
    <t>KIU1404</t>
  </si>
  <si>
    <t>KIU1405</t>
  </si>
  <si>
    <t>KIU1406</t>
  </si>
  <si>
    <t>KIU1407</t>
  </si>
  <si>
    <t>KIU1408</t>
  </si>
  <si>
    <t>KIU1409</t>
  </si>
  <si>
    <t>KIU1410</t>
  </si>
  <si>
    <t>KIU1411</t>
  </si>
  <si>
    <t>KIU1412</t>
  </si>
  <si>
    <t>KIU1413</t>
  </si>
  <si>
    <t>KIU1414</t>
  </si>
  <si>
    <t>KIU1415</t>
  </si>
  <si>
    <t>KIU1416</t>
  </si>
  <si>
    <t>KIU1417</t>
  </si>
  <si>
    <t>KIU1418</t>
  </si>
  <si>
    <t>KIU1419</t>
  </si>
  <si>
    <t>KIU1420</t>
  </si>
  <si>
    <t>KIU1421</t>
  </si>
  <si>
    <t>KIU1422</t>
  </si>
  <si>
    <t>KIU1423</t>
  </si>
  <si>
    <t>KIU1424</t>
  </si>
  <si>
    <t>KIU1425</t>
  </si>
  <si>
    <t>KIU1426</t>
  </si>
  <si>
    <t>KIU1427</t>
  </si>
  <si>
    <t>KIU1428</t>
  </si>
  <si>
    <t>KIU1429</t>
  </si>
  <si>
    <t>KIU1430</t>
  </si>
  <si>
    <t>KIU1431</t>
  </si>
  <si>
    <t>KIU1432</t>
  </si>
  <si>
    <t>KIU1433</t>
  </si>
  <si>
    <t>KIU1434</t>
  </si>
  <si>
    <t>KIU1435</t>
  </si>
  <si>
    <t>KIU1436</t>
  </si>
  <si>
    <t>KIU1437</t>
  </si>
  <si>
    <t>KIU1438</t>
  </si>
  <si>
    <t>KIU1439</t>
  </si>
  <si>
    <t>KIU1440</t>
  </si>
  <si>
    <t>KIU1441</t>
  </si>
  <si>
    <t>KIU1442</t>
  </si>
  <si>
    <t>KIU1443</t>
  </si>
  <si>
    <t>KIU1444</t>
  </si>
  <si>
    <t>KIU1445</t>
  </si>
  <si>
    <t>KIU1446</t>
  </si>
  <si>
    <t>KIU1447</t>
  </si>
  <si>
    <t>KIU1448</t>
  </si>
  <si>
    <t>KIU1449</t>
  </si>
  <si>
    <t>KIU1450</t>
  </si>
  <si>
    <t>KIU1451</t>
  </si>
  <si>
    <t>KIU1452</t>
  </si>
  <si>
    <t>KIU1453</t>
  </si>
  <si>
    <t>KIU1454</t>
  </si>
  <si>
    <t>KIU1455</t>
  </si>
  <si>
    <t>KIU1456</t>
  </si>
  <si>
    <t>KIU1457</t>
  </si>
  <si>
    <t>KIU1458</t>
  </si>
  <si>
    <t>KIU1459</t>
  </si>
  <si>
    <t>KIU1460</t>
  </si>
  <si>
    <t>KIU1461</t>
  </si>
  <si>
    <t>KIU1462</t>
  </si>
  <si>
    <t>KIU1463</t>
  </si>
  <si>
    <t>KIU1464</t>
  </si>
  <si>
    <t>KIU1465</t>
  </si>
  <si>
    <t>KIU1466</t>
  </si>
  <si>
    <t>KIU1467</t>
  </si>
  <si>
    <t>KIU1468</t>
  </si>
  <si>
    <t>KIU1469</t>
  </si>
  <si>
    <t>KIU1470</t>
  </si>
  <si>
    <t>KIU1471</t>
  </si>
  <si>
    <t>KIU1472</t>
  </si>
  <si>
    <t>KIU1473</t>
  </si>
  <si>
    <t>KIU1474</t>
  </si>
  <si>
    <t>KIU1475</t>
  </si>
  <si>
    <t>KIU1476</t>
  </si>
  <si>
    <t>KIU1477</t>
  </si>
  <si>
    <t>KIU1478</t>
  </si>
  <si>
    <t>KIU1479</t>
  </si>
  <si>
    <t>KIU1480</t>
  </si>
  <si>
    <t>KIU1481</t>
  </si>
  <si>
    <t>KIU1482</t>
  </si>
  <si>
    <t>KIU1483</t>
  </si>
  <si>
    <t>KIU1484</t>
  </si>
  <si>
    <t>KIU1485</t>
  </si>
  <si>
    <t>KIU1486</t>
  </si>
  <si>
    <t>KIU1487</t>
  </si>
  <si>
    <t>KIU1488</t>
  </si>
  <si>
    <t>KIU1489</t>
  </si>
  <si>
    <t>KIU1490</t>
  </si>
  <si>
    <t>KIU1491</t>
  </si>
  <si>
    <t>KIU1492</t>
  </si>
  <si>
    <t>KIU1493</t>
  </si>
  <si>
    <t>KIU1494</t>
  </si>
  <si>
    <t>KIU1495</t>
  </si>
  <si>
    <t>KIU1496</t>
  </si>
  <si>
    <t>KIU1497</t>
  </si>
  <si>
    <t>KIU1498</t>
  </si>
  <si>
    <t>KIU1499</t>
  </si>
  <si>
    <t>KIU1500</t>
  </si>
  <si>
    <t>KIU1501</t>
  </si>
  <si>
    <t>KIU1502</t>
  </si>
  <si>
    <t>KIU1503</t>
  </si>
  <si>
    <t>KIU1504</t>
  </si>
  <si>
    <t>KIU1505</t>
  </si>
  <si>
    <t>KIU1506</t>
  </si>
  <si>
    <t>KIU1507</t>
  </si>
  <si>
    <t>KIU1508</t>
  </si>
  <si>
    <t>KIU1509</t>
  </si>
  <si>
    <t>KIU1510</t>
  </si>
  <si>
    <t>KIU1511</t>
  </si>
  <si>
    <t>KIU1512</t>
  </si>
  <si>
    <t>KIU1513</t>
  </si>
  <si>
    <t>KIU1514</t>
  </si>
  <si>
    <t>KIU1515</t>
  </si>
  <si>
    <t>KIU1516</t>
  </si>
  <si>
    <t>KIU1517</t>
  </si>
  <si>
    <t>KIU1518</t>
  </si>
  <si>
    <t>KIU1519</t>
  </si>
  <si>
    <t>KIU1520</t>
  </si>
  <si>
    <t>KIU1521</t>
  </si>
  <si>
    <t>KIU1522</t>
  </si>
  <si>
    <t>KIU1523</t>
  </si>
  <si>
    <t>KIU1524</t>
  </si>
  <si>
    <t>KIU1525</t>
  </si>
  <si>
    <t>KIU1526</t>
  </si>
  <si>
    <t>KIU1527</t>
  </si>
  <si>
    <t>KIU1528</t>
  </si>
  <si>
    <t>KIU1529</t>
  </si>
  <si>
    <t>KIU1530</t>
  </si>
  <si>
    <t>KIU1531</t>
  </si>
  <si>
    <t>KIU1532</t>
  </si>
  <si>
    <t>KIU1533</t>
  </si>
  <si>
    <t>KIU1534</t>
  </si>
  <si>
    <t>KIU1535</t>
  </si>
  <si>
    <t>KIU1536</t>
  </si>
  <si>
    <t>KIU1537</t>
  </si>
  <si>
    <t>KIU1538</t>
  </si>
  <si>
    <t>KIU1539</t>
  </si>
  <si>
    <t>KIU1540</t>
  </si>
  <si>
    <t>KIU1541</t>
  </si>
  <si>
    <t>KIU1542</t>
  </si>
  <si>
    <t>KIU1543</t>
  </si>
  <si>
    <t>KIU1544</t>
  </si>
  <si>
    <t>KIU1545</t>
  </si>
  <si>
    <t>KIU1546</t>
  </si>
  <si>
    <t>KIU1547</t>
  </si>
  <si>
    <t>KIU1548</t>
  </si>
  <si>
    <t>KIU1549</t>
  </si>
  <si>
    <t>KIU1550</t>
  </si>
  <si>
    <t>KIU1551</t>
  </si>
  <si>
    <t>KIU1552</t>
  </si>
  <si>
    <t>KIU1553</t>
  </si>
  <si>
    <t>KIU1554</t>
  </si>
  <si>
    <t>KIU1555</t>
  </si>
  <si>
    <t>KIU1556</t>
  </si>
  <si>
    <t>KIU1557</t>
  </si>
  <si>
    <t>KIU1558</t>
  </si>
  <si>
    <t>KIU1559</t>
  </si>
  <si>
    <t>KIU1560</t>
  </si>
  <si>
    <t>KIU1561</t>
  </si>
  <si>
    <t>KIU1562</t>
  </si>
  <si>
    <t>KIU1563</t>
  </si>
  <si>
    <t>KIU1564</t>
  </si>
  <si>
    <t>KIU1565</t>
  </si>
  <si>
    <t>KIU1566</t>
  </si>
  <si>
    <t>KIU1567</t>
  </si>
  <si>
    <t>KIU1568</t>
  </si>
  <si>
    <t>KIU1569</t>
  </si>
  <si>
    <t>KIU1570</t>
  </si>
  <si>
    <t>KIU1571</t>
  </si>
  <si>
    <t>KIU1572</t>
  </si>
  <si>
    <t>KIU1573</t>
  </si>
  <si>
    <t>KIU1574</t>
  </si>
  <si>
    <t>KIU1575</t>
  </si>
  <si>
    <t>KIU1576</t>
  </si>
  <si>
    <t>KIU1577</t>
  </si>
  <si>
    <t>KIU1578</t>
  </si>
  <si>
    <t>KIU1579</t>
  </si>
  <si>
    <t>KIU1580</t>
  </si>
  <si>
    <t>KIU1581</t>
  </si>
  <si>
    <t>KIU1582</t>
  </si>
  <si>
    <t>KIU1583</t>
  </si>
  <si>
    <t>KIU1584</t>
  </si>
  <si>
    <t>KIU1585</t>
  </si>
  <si>
    <t>KIU1586</t>
  </si>
  <si>
    <t>KIU1587</t>
  </si>
  <si>
    <t>KIU1588</t>
  </si>
  <si>
    <t>KIU1589</t>
  </si>
  <si>
    <t>KIU1590</t>
  </si>
  <si>
    <t>KIU1591</t>
  </si>
  <si>
    <t>KIU1592</t>
  </si>
  <si>
    <t>KIU1593</t>
  </si>
  <si>
    <t>KIU1594</t>
  </si>
  <si>
    <t>KIU1595</t>
  </si>
  <si>
    <t>KIU1596</t>
  </si>
  <si>
    <t>KIU1597</t>
  </si>
  <si>
    <t>KIU1598</t>
  </si>
  <si>
    <t>KIU1599</t>
  </si>
  <si>
    <t>KIU1600</t>
  </si>
  <si>
    <t>KIU1601</t>
  </si>
  <si>
    <t>KIU1602</t>
  </si>
  <si>
    <t>KIU1603</t>
  </si>
  <si>
    <t>KIU1604</t>
  </si>
  <si>
    <t>KIU1605</t>
  </si>
  <si>
    <t>KIU1606</t>
  </si>
  <si>
    <t>KIU1607</t>
  </si>
  <si>
    <t>KIU1608</t>
  </si>
  <si>
    <t>KIU1609</t>
  </si>
  <si>
    <t>KIU1610</t>
  </si>
  <si>
    <t>KIU1611</t>
  </si>
  <si>
    <t>KIU1612</t>
  </si>
  <si>
    <t>KIU1613</t>
  </si>
  <si>
    <t>KIU1614</t>
  </si>
  <si>
    <t>KIU1615</t>
  </si>
  <si>
    <t>KIU1616</t>
  </si>
  <si>
    <t>KIU1617</t>
  </si>
  <si>
    <t>KIU1618</t>
  </si>
  <si>
    <t>KIU1619</t>
  </si>
  <si>
    <t>KIU1620</t>
  </si>
  <si>
    <t>KIU1621</t>
  </si>
  <si>
    <t>KIU1622</t>
  </si>
  <si>
    <t>KIU1623</t>
  </si>
  <si>
    <t>KIU1624</t>
  </si>
  <si>
    <t>KIU1625</t>
  </si>
  <si>
    <t>KIU1626</t>
  </si>
  <si>
    <t>KIU1627</t>
  </si>
  <si>
    <t>KIU1628</t>
  </si>
  <si>
    <t>KIU1629</t>
  </si>
  <si>
    <t>KIU1630</t>
  </si>
  <si>
    <t>KIU1631</t>
  </si>
  <si>
    <t>KIU1632</t>
  </si>
  <si>
    <t>KIU1633</t>
  </si>
  <si>
    <t>KIU1634</t>
  </si>
  <si>
    <t>KIU1635</t>
  </si>
  <si>
    <t>KIU1636</t>
  </si>
  <si>
    <t>KIU1637</t>
  </si>
  <si>
    <t>KIU1638</t>
  </si>
  <si>
    <t>KIU1639</t>
  </si>
  <si>
    <t>KIU1640</t>
  </si>
  <si>
    <t>KIU1641</t>
  </si>
  <si>
    <t>KIU1642</t>
  </si>
  <si>
    <t>KIU1643</t>
  </si>
  <si>
    <t>KIU1644</t>
  </si>
  <si>
    <t>KIU1645</t>
  </si>
  <si>
    <t>KIU1646</t>
  </si>
  <si>
    <t>KIU1647</t>
  </si>
  <si>
    <t>KIU1648</t>
  </si>
  <si>
    <t>KIU1649</t>
  </si>
  <si>
    <t>KIU1650</t>
  </si>
  <si>
    <t>KIU1651</t>
  </si>
  <si>
    <t>KIU1652</t>
  </si>
  <si>
    <t>KIU1653</t>
  </si>
  <si>
    <t>KIU1654</t>
  </si>
  <si>
    <t>KIU1655</t>
  </si>
  <si>
    <t>KIU1656</t>
  </si>
  <si>
    <t>KIU1657</t>
  </si>
  <si>
    <t>KIU1658</t>
  </si>
  <si>
    <t>KIU1659</t>
  </si>
  <si>
    <t>KIU1660</t>
  </si>
  <si>
    <t>KIU1661</t>
  </si>
  <si>
    <t>KIU1662</t>
  </si>
  <si>
    <t>KIU1663</t>
  </si>
  <si>
    <t>KIU1664</t>
  </si>
  <si>
    <t>KIU1665</t>
  </si>
  <si>
    <t>KIU1666</t>
  </si>
  <si>
    <t>KIU1667</t>
  </si>
  <si>
    <t>KIU1668</t>
  </si>
  <si>
    <t>KIU1669</t>
  </si>
  <si>
    <t>KIU1670</t>
  </si>
  <si>
    <t>KIU1671</t>
  </si>
  <si>
    <t>KIU1672</t>
  </si>
  <si>
    <t>KIU1673</t>
  </si>
  <si>
    <t>KIU1674</t>
  </si>
  <si>
    <t>KIU1675</t>
  </si>
  <si>
    <t>KIU1676</t>
  </si>
  <si>
    <t>KIU1677</t>
  </si>
  <si>
    <t>KIU1678</t>
  </si>
  <si>
    <t>KIU1679</t>
  </si>
  <si>
    <t>KIU1680</t>
  </si>
  <si>
    <t>KIU1681</t>
  </si>
  <si>
    <t>KIU1682</t>
  </si>
  <si>
    <t>KIU1683</t>
  </si>
  <si>
    <t>KIU1684</t>
  </si>
  <si>
    <t>KIU1685</t>
  </si>
  <si>
    <t>KIU1686</t>
  </si>
  <si>
    <t>KIU1687</t>
  </si>
  <si>
    <t>KIU1688</t>
  </si>
  <si>
    <t>KIU1689</t>
  </si>
  <si>
    <t>KIU1690</t>
  </si>
  <si>
    <t>KIU1691</t>
  </si>
  <si>
    <t>KIU1692</t>
  </si>
  <si>
    <t>KIU1693</t>
  </si>
  <si>
    <t>KIU1694</t>
  </si>
  <si>
    <t>KIU1695</t>
  </si>
  <si>
    <t>KIU1696</t>
  </si>
  <si>
    <t>KIU1697</t>
  </si>
  <si>
    <t>KIU1698</t>
  </si>
  <si>
    <t>KIU1699</t>
  </si>
  <si>
    <t>KIU1700</t>
  </si>
  <si>
    <t>KIU1701</t>
  </si>
  <si>
    <t>KIU1702</t>
  </si>
  <si>
    <t>KIU1703</t>
  </si>
  <si>
    <t>KIU1704</t>
  </si>
  <si>
    <t>KIU1705</t>
  </si>
  <si>
    <t>KIU1706</t>
  </si>
  <si>
    <t>KIU1707</t>
  </si>
  <si>
    <t>KIU1708</t>
  </si>
  <si>
    <t>KIU1709</t>
  </si>
  <si>
    <t>KIU1710</t>
  </si>
  <si>
    <t>KIU1711</t>
  </si>
  <si>
    <t>KIU1712</t>
  </si>
  <si>
    <t>KIU1713</t>
  </si>
  <si>
    <t>KIU1714</t>
  </si>
  <si>
    <t>KIU1715</t>
  </si>
  <si>
    <t>KIU1716</t>
  </si>
  <si>
    <t>KIU1717</t>
  </si>
  <si>
    <t>KIU1718</t>
  </si>
  <si>
    <t>KIU1719</t>
  </si>
  <si>
    <t>KIU1720</t>
  </si>
  <si>
    <t>KIU1721</t>
  </si>
  <si>
    <t>KIU1722</t>
  </si>
  <si>
    <t>KIU1723</t>
  </si>
  <si>
    <t>KIU1724</t>
  </si>
  <si>
    <t>KIU1725</t>
  </si>
  <si>
    <t>KIU1726</t>
  </si>
  <si>
    <t>KIU1727</t>
  </si>
  <si>
    <t>KIU1728</t>
  </si>
  <si>
    <t>KIU1729</t>
  </si>
  <si>
    <t>KIU1730</t>
  </si>
  <si>
    <t>KIU1731</t>
  </si>
  <si>
    <t>KIU1732</t>
  </si>
  <si>
    <t>KIU1733</t>
  </si>
  <si>
    <t>KIU1734</t>
  </si>
  <si>
    <t>KIU1735</t>
  </si>
  <si>
    <t>KIU1736</t>
  </si>
  <si>
    <t>KIU1737</t>
  </si>
  <si>
    <t>KIU1738</t>
  </si>
  <si>
    <t>KIU1739</t>
  </si>
  <si>
    <t>KIU1740</t>
  </si>
  <si>
    <t>KIU1741</t>
  </si>
  <si>
    <t>KIU1742</t>
  </si>
  <si>
    <t>KIU1743</t>
  </si>
  <si>
    <t>KIU1744</t>
  </si>
  <si>
    <t>KIU1745</t>
  </si>
  <si>
    <t>KIU1746</t>
  </si>
  <si>
    <t>KIU1747</t>
  </si>
  <si>
    <t>KIU1748</t>
  </si>
  <si>
    <t>KIU1749</t>
  </si>
  <si>
    <t>KIU1750</t>
  </si>
  <si>
    <t>KIU1751</t>
  </si>
  <si>
    <t>KIU1752</t>
  </si>
  <si>
    <t>KIU1753</t>
  </si>
  <si>
    <t>KIU1754</t>
  </si>
  <si>
    <t>KIU1755</t>
  </si>
  <si>
    <t>KIU1756</t>
  </si>
  <si>
    <t>KIU1757</t>
  </si>
  <si>
    <t>KIU1758</t>
  </si>
  <si>
    <t>KIU1759</t>
  </si>
  <si>
    <t>KIU1760</t>
  </si>
  <si>
    <t>KIU1761</t>
  </si>
  <si>
    <t>KIU1762</t>
  </si>
  <si>
    <t>KIU1763</t>
  </si>
  <si>
    <t>KIU1764</t>
  </si>
  <si>
    <t>KIU1765</t>
  </si>
  <si>
    <t>KIU1766</t>
  </si>
  <si>
    <t>KIU1767</t>
  </si>
  <si>
    <t>KIU1768</t>
  </si>
  <si>
    <t>KIU1769</t>
  </si>
  <si>
    <t>KIU1770</t>
  </si>
  <si>
    <t>KIU1771</t>
  </si>
  <si>
    <t>KIU1772</t>
  </si>
  <si>
    <t>KIU1773</t>
  </si>
  <si>
    <t>KIU1774</t>
  </si>
  <si>
    <t>KIU1775</t>
  </si>
  <si>
    <t>KIU1776</t>
  </si>
  <si>
    <t>KIU1777</t>
  </si>
  <si>
    <t>KIU1778</t>
  </si>
  <si>
    <t>KIU1779</t>
  </si>
  <si>
    <t>KIU1780</t>
  </si>
  <si>
    <t>KIU1781</t>
  </si>
  <si>
    <t>KIU1782</t>
  </si>
  <si>
    <t>KIU1783</t>
  </si>
  <si>
    <t>KIU1784</t>
  </si>
  <si>
    <t>KIU1785</t>
  </si>
  <si>
    <t>KIU1786</t>
  </si>
  <si>
    <t>KIU1787</t>
  </si>
  <si>
    <t>KIU1788</t>
  </si>
  <si>
    <t>KIU1789</t>
  </si>
  <si>
    <t>KIU1790</t>
  </si>
  <si>
    <t>KIU1791</t>
  </si>
  <si>
    <t>KIU1792</t>
  </si>
  <si>
    <t>KIU1793</t>
  </si>
  <si>
    <t>KIU1794</t>
  </si>
  <si>
    <t>KIU1795</t>
  </si>
  <si>
    <t>KIU1796</t>
  </si>
  <si>
    <t>KIU1797</t>
  </si>
  <si>
    <t>KIU1798</t>
  </si>
  <si>
    <t>KIU1799</t>
  </si>
  <si>
    <t>KIU1800</t>
  </si>
  <si>
    <t>KIU1801</t>
  </si>
  <si>
    <t>KIU1802</t>
  </si>
  <si>
    <t>KIU1803</t>
  </si>
  <si>
    <t>KIU1804</t>
  </si>
  <si>
    <t>KIU1805</t>
  </si>
  <si>
    <t>KIU1806</t>
  </si>
  <si>
    <t>KIU1807</t>
  </si>
  <si>
    <t>KIU1808</t>
  </si>
  <si>
    <t>KIU1809</t>
  </si>
  <si>
    <t>KIU1810</t>
  </si>
  <si>
    <t>KIU1811</t>
  </si>
  <si>
    <t>KIU1812</t>
  </si>
  <si>
    <t>KIU1813</t>
  </si>
  <si>
    <t>KIU1814</t>
  </si>
  <si>
    <t>KIU1815</t>
  </si>
  <si>
    <t>KIU1816</t>
  </si>
  <si>
    <t>KIU1817</t>
  </si>
  <si>
    <t>KIU1818</t>
  </si>
  <si>
    <t>KIU1819</t>
  </si>
  <si>
    <t>KIU1820</t>
  </si>
  <si>
    <t>KIU1821</t>
  </si>
  <si>
    <t>KIU1822</t>
  </si>
  <si>
    <t>KIU1823</t>
  </si>
  <si>
    <t>KIU1824</t>
  </si>
  <si>
    <t>KIU1825</t>
  </si>
  <si>
    <t>KIU1826</t>
  </si>
  <si>
    <t>KIU1827</t>
  </si>
  <si>
    <t>KIU1828</t>
  </si>
  <si>
    <t>KIU1829</t>
  </si>
  <si>
    <t>KIU1830</t>
  </si>
  <si>
    <t>KIU1831</t>
  </si>
  <si>
    <t>KIU1832</t>
  </si>
  <si>
    <t>KIU1833</t>
  </si>
  <si>
    <t>KIU1834</t>
  </si>
  <si>
    <t>KIU1835</t>
  </si>
  <si>
    <t>KIU1836</t>
  </si>
  <si>
    <t>KIU1837</t>
  </si>
  <si>
    <t>KIU1838</t>
  </si>
  <si>
    <t>KIU1839</t>
  </si>
  <si>
    <t>KIU1840</t>
  </si>
  <si>
    <t>KIU1841</t>
  </si>
  <si>
    <t>KIU1842</t>
  </si>
  <si>
    <t>KIU1843</t>
  </si>
  <si>
    <t>KIU1844</t>
  </si>
  <si>
    <t>KIU1845</t>
  </si>
  <si>
    <t>KIU1846</t>
  </si>
  <si>
    <t>KIU1847</t>
  </si>
  <si>
    <t>KIU1848</t>
  </si>
  <si>
    <t>KIU1849</t>
  </si>
  <si>
    <t>KIU1850</t>
  </si>
  <si>
    <t>KIU1851</t>
  </si>
  <si>
    <t>KIU1852</t>
  </si>
  <si>
    <t>KIU1853</t>
  </si>
  <si>
    <t>KIU1854</t>
  </si>
  <si>
    <t>KIU1855</t>
  </si>
  <si>
    <t>KIU1856</t>
  </si>
  <si>
    <t>KIU1857</t>
  </si>
  <si>
    <t>KIU1858</t>
  </si>
  <si>
    <t>KIU1859</t>
  </si>
  <si>
    <t>KIU1860</t>
  </si>
  <si>
    <t>KIU1861</t>
  </si>
  <si>
    <t>KIU1862</t>
  </si>
  <si>
    <t>KIU1863</t>
  </si>
  <si>
    <t>KIU1864</t>
  </si>
  <si>
    <t>KIU1865</t>
  </si>
  <si>
    <t>KIU1866</t>
  </si>
  <si>
    <t>KIU1867</t>
  </si>
  <si>
    <t>KIU1868</t>
  </si>
  <si>
    <t>KIU1869</t>
  </si>
  <si>
    <t>KIU1870</t>
  </si>
  <si>
    <t>KIU1871</t>
  </si>
  <si>
    <t>KIU1872</t>
  </si>
  <si>
    <t>KIU1873</t>
  </si>
  <si>
    <t>KIU1874</t>
  </si>
  <si>
    <t>KIU1875</t>
  </si>
  <si>
    <t>KIU1876</t>
  </si>
  <si>
    <t>KIU1877</t>
  </si>
  <si>
    <t>KIU1878</t>
  </si>
  <si>
    <t>KIU1879</t>
  </si>
  <si>
    <t>KIU1880</t>
  </si>
  <si>
    <t>KIU1881</t>
  </si>
  <si>
    <t>KIU1882</t>
  </si>
  <si>
    <t>KIU1883</t>
  </si>
  <si>
    <t>KIU1884</t>
  </si>
  <si>
    <t>KIU1885</t>
  </si>
  <si>
    <t>KIU1886</t>
  </si>
  <si>
    <t>KIU1887</t>
  </si>
  <si>
    <t>KIU1888</t>
  </si>
  <si>
    <t>KIU1889</t>
  </si>
  <si>
    <t>KIU1890</t>
  </si>
  <si>
    <t>KIU1891</t>
  </si>
  <si>
    <t>KIU1892</t>
  </si>
  <si>
    <t>KIU1893</t>
  </si>
  <si>
    <t>KIU1894</t>
  </si>
  <si>
    <t>KIU1895</t>
  </si>
  <si>
    <t>KIU1896</t>
  </si>
  <si>
    <t>KIU1897</t>
  </si>
  <si>
    <t>KIU1898</t>
  </si>
  <si>
    <t>KIU1899</t>
  </si>
  <si>
    <t>KIU1900</t>
  </si>
  <si>
    <t>KIU1901</t>
  </si>
  <si>
    <t>KIU1902</t>
  </si>
  <si>
    <t>KIU1903</t>
  </si>
  <si>
    <t>KIU1904</t>
  </si>
  <si>
    <t>KIU1905</t>
  </si>
  <si>
    <t>KIU1906</t>
  </si>
  <si>
    <t>KIU1907</t>
  </si>
  <si>
    <t>KIU1908</t>
  </si>
  <si>
    <t>KIU1909</t>
  </si>
  <si>
    <t>KIU1910</t>
  </si>
  <si>
    <t>KIU1911</t>
  </si>
  <si>
    <t>KIU1912</t>
  </si>
  <si>
    <t>KIU1913</t>
  </si>
  <si>
    <t>KIU1914</t>
  </si>
  <si>
    <t>KIU1915</t>
  </si>
  <si>
    <t>KIU1916</t>
  </si>
  <si>
    <t>KIU1917</t>
  </si>
  <si>
    <t>KIU1918</t>
  </si>
  <si>
    <t>KIU1919</t>
  </si>
  <si>
    <t>KIU1920</t>
  </si>
  <si>
    <t>KIU1921</t>
  </si>
  <si>
    <t>KIU1922</t>
  </si>
  <si>
    <t>KIU1923</t>
  </si>
  <si>
    <t>KIU1924</t>
  </si>
  <si>
    <t>KIU1925</t>
  </si>
  <si>
    <t>KIU1926</t>
  </si>
  <si>
    <t>KIU1927</t>
  </si>
  <si>
    <t>KIU1928</t>
  </si>
  <si>
    <t>KIU1929</t>
  </si>
  <si>
    <t>KIU1930</t>
  </si>
  <si>
    <t>KIU1931</t>
  </si>
  <si>
    <t>KIU1932</t>
  </si>
  <si>
    <t>KIU1933</t>
  </si>
  <si>
    <t>KIU1934</t>
  </si>
  <si>
    <t>KIU1935</t>
  </si>
  <si>
    <t>KIU1936</t>
  </si>
  <si>
    <t>KIU1937</t>
  </si>
  <si>
    <t>KIU1938</t>
  </si>
  <si>
    <t>KIU1939</t>
  </si>
  <si>
    <t>KIU1940</t>
  </si>
  <si>
    <t>KIU1941</t>
  </si>
  <si>
    <t>KIU1942</t>
  </si>
  <si>
    <t>KIU1943</t>
  </si>
  <si>
    <t>KIU1944</t>
  </si>
  <si>
    <t>KIU1945</t>
  </si>
  <si>
    <t>KIU1946</t>
  </si>
  <si>
    <t>KIU1947</t>
  </si>
  <si>
    <t>KIU1948</t>
  </si>
  <si>
    <t>KIU1949</t>
  </si>
  <si>
    <t>KIU1950</t>
  </si>
  <si>
    <t>KIU1951</t>
  </si>
  <si>
    <t>KIU1952</t>
  </si>
  <si>
    <t>KIU1953</t>
  </si>
  <si>
    <t>KIU1954</t>
  </si>
  <si>
    <t>KIU1955</t>
  </si>
  <si>
    <t>KIU1956</t>
  </si>
  <si>
    <t>KIU1957</t>
  </si>
  <si>
    <t>KIU1958</t>
  </si>
  <si>
    <t>KIU1959</t>
  </si>
  <si>
    <t>KIU1960</t>
  </si>
  <si>
    <t>KIU1961</t>
  </si>
  <si>
    <t>KIU1962</t>
  </si>
  <si>
    <t>KIU1963</t>
  </si>
  <si>
    <t>KIU1964</t>
  </si>
  <si>
    <t>KIU1965</t>
  </si>
  <si>
    <t>KIU1966</t>
  </si>
  <si>
    <t>KIU1967</t>
  </si>
  <si>
    <t>KIU1968</t>
  </si>
  <si>
    <t>KIU1969</t>
  </si>
  <si>
    <t>KIU1970</t>
  </si>
  <si>
    <t>KIU1971</t>
  </si>
  <si>
    <t>KIU1972</t>
  </si>
  <si>
    <t>KIU1973</t>
  </si>
  <si>
    <t>KIU1974</t>
  </si>
  <si>
    <t>KIU1975</t>
  </si>
  <si>
    <t>KIU1976</t>
  </si>
  <si>
    <t>KIU1977</t>
  </si>
  <si>
    <t>KIU1978</t>
  </si>
  <si>
    <t>KIU1979</t>
  </si>
  <si>
    <t>KIU1980</t>
  </si>
  <si>
    <t>KIU1981</t>
  </si>
  <si>
    <t>KIU1982</t>
  </si>
  <si>
    <t>KIU1983</t>
  </si>
  <si>
    <t>KIU1984</t>
  </si>
  <si>
    <t>KIU1985</t>
  </si>
  <si>
    <t>KIU1986</t>
  </si>
  <si>
    <t>KIU1987</t>
  </si>
  <si>
    <t>KIU1988</t>
  </si>
  <si>
    <t>KIU1989</t>
  </si>
  <si>
    <t>KIU1990</t>
  </si>
  <si>
    <t>KIU1991</t>
  </si>
  <si>
    <t>KIU1992</t>
  </si>
  <si>
    <t>KIU1993</t>
  </si>
  <si>
    <t>KIU1994</t>
  </si>
  <si>
    <t>KIU1995</t>
  </si>
  <si>
    <t>KIU1996</t>
  </si>
  <si>
    <t>KIU1997</t>
  </si>
  <si>
    <t>KIU1998</t>
  </si>
  <si>
    <t>KIU1999</t>
  </si>
  <si>
    <t>KIU2000</t>
  </si>
  <si>
    <t>KIU2001</t>
  </si>
  <si>
    <t>KIU2002</t>
  </si>
  <si>
    <t>KIU2003</t>
  </si>
  <si>
    <t>KIU2004</t>
  </si>
  <si>
    <t>KIU2005</t>
  </si>
  <si>
    <t>KIU2006</t>
  </si>
  <si>
    <t>KIU2007</t>
  </si>
  <si>
    <t>KIU2008</t>
  </si>
  <si>
    <t>KIU2009</t>
  </si>
  <si>
    <t>KIU2010</t>
  </si>
  <si>
    <t>KIU2011</t>
  </si>
  <si>
    <t>KIU2012</t>
  </si>
  <si>
    <t>KIU2013</t>
  </si>
  <si>
    <t>KIU2014</t>
  </si>
  <si>
    <t>KIU2015</t>
  </si>
  <si>
    <t>KIU2016</t>
  </si>
  <si>
    <t>KIU2017</t>
  </si>
  <si>
    <t>KIU2018</t>
  </si>
  <si>
    <t>KIU2019</t>
  </si>
  <si>
    <t>KIU2020</t>
  </si>
  <si>
    <t>KIU2021</t>
  </si>
  <si>
    <t>KIU2022</t>
  </si>
  <si>
    <t>KIU2023</t>
  </si>
  <si>
    <t>KIU2024</t>
  </si>
  <si>
    <t>KIU2025</t>
  </si>
  <si>
    <t>KIU2026</t>
  </si>
  <si>
    <t>KIU2027</t>
  </si>
  <si>
    <t>KIU2028</t>
  </si>
  <si>
    <t>KIU2029</t>
  </si>
  <si>
    <t>KIU2030</t>
  </si>
  <si>
    <t>KIU2031</t>
  </si>
  <si>
    <t>KIU2032</t>
  </si>
  <si>
    <t>KIU2033</t>
  </si>
  <si>
    <t>KIU2034</t>
  </si>
  <si>
    <t>KIU2035</t>
  </si>
  <si>
    <t>KIU2036</t>
  </si>
  <si>
    <t>KIU2037</t>
  </si>
  <si>
    <t>KIU2038</t>
  </si>
  <si>
    <t>KIU2039</t>
  </si>
  <si>
    <t>KIU2040</t>
  </si>
  <si>
    <t>KIU2041</t>
  </si>
  <si>
    <t>KIU2042</t>
  </si>
  <si>
    <t>KIU2043</t>
  </si>
  <si>
    <t>KIU2044</t>
  </si>
  <si>
    <t>KIU2045</t>
  </si>
  <si>
    <t>KIU2046</t>
  </si>
  <si>
    <t>KIU2047</t>
  </si>
  <si>
    <t>KIU2048</t>
  </si>
  <si>
    <t>KIU2049</t>
  </si>
  <si>
    <t>KIU2050</t>
  </si>
  <si>
    <t>KIU2051</t>
  </si>
  <si>
    <t>KIU2052</t>
  </si>
  <si>
    <t>KIU2053</t>
  </si>
  <si>
    <t>KIU2054</t>
  </si>
  <si>
    <t>KIU2055</t>
  </si>
  <si>
    <t>KIU2056</t>
  </si>
  <si>
    <t>KIU2057</t>
  </si>
  <si>
    <t>KIU2058</t>
  </si>
  <si>
    <t>KIU2059</t>
  </si>
  <si>
    <t>KIU2060</t>
  </si>
  <si>
    <t>KIU2061</t>
  </si>
  <si>
    <t>KIU2062</t>
  </si>
  <si>
    <t>KIU2063</t>
  </si>
  <si>
    <t>KIU2064</t>
  </si>
  <si>
    <t>KIU2065</t>
  </si>
  <si>
    <t>KIU2066</t>
  </si>
  <si>
    <t>KIU2067</t>
  </si>
  <si>
    <t>KIU2068</t>
  </si>
  <si>
    <t>KIU2069</t>
  </si>
  <si>
    <t>KIU2070</t>
  </si>
  <si>
    <t>KIU2071</t>
  </si>
  <si>
    <t>KIU2072</t>
  </si>
  <si>
    <t>KIU2073</t>
  </si>
  <si>
    <t>KIU2074</t>
  </si>
  <si>
    <t>KIU2075</t>
  </si>
  <si>
    <t>KIU2076</t>
  </si>
  <si>
    <t>KIU2077</t>
  </si>
  <si>
    <t>KIU2078</t>
  </si>
  <si>
    <t>KIU2079</t>
  </si>
  <si>
    <t>KIU2080</t>
  </si>
  <si>
    <t>KIU2081</t>
  </si>
  <si>
    <t>KIU2082</t>
  </si>
  <si>
    <t>KIU2083</t>
  </si>
  <si>
    <t>KIU2084</t>
  </si>
  <si>
    <t>Tgl Faktur</t>
  </si>
  <si>
    <t>No. Faktur</t>
  </si>
  <si>
    <t>Code Cust.</t>
  </si>
  <si>
    <t>Code Brg</t>
  </si>
  <si>
    <t>Nama Barang</t>
  </si>
  <si>
    <t>Qty</t>
  </si>
  <si>
    <t>Sat</t>
  </si>
  <si>
    <t>Trx</t>
  </si>
  <si>
    <t>Batch</t>
  </si>
  <si>
    <t>Expired Date</t>
  </si>
  <si>
    <t>D22002298</t>
  </si>
  <si>
    <t>KARI09</t>
  </si>
  <si>
    <t>SJ</t>
  </si>
  <si>
    <t>0,00E+00</t>
  </si>
  <si>
    <t>01/01/1000</t>
  </si>
  <si>
    <t>N22000051</t>
  </si>
  <si>
    <t>KARI07</t>
  </si>
  <si>
    <t>D23000060A</t>
  </si>
  <si>
    <t>MITR54</t>
  </si>
  <si>
    <t>Z23001366</t>
  </si>
  <si>
    <t>N23000103</t>
  </si>
  <si>
    <t>6,00E+01</t>
  </si>
  <si>
    <t>Z24000077</t>
  </si>
  <si>
    <t>D24002098A</t>
  </si>
  <si>
    <t>NNDA02</t>
  </si>
  <si>
    <t>2,31E+07</t>
  </si>
  <si>
    <t>D24002638a</t>
  </si>
  <si>
    <t>Z24000995</t>
  </si>
  <si>
    <t>570.012.000.000.000.000</t>
  </si>
  <si>
    <t>D24007107</t>
  </si>
  <si>
    <t>ALAM01</t>
  </si>
  <si>
    <t>D24007109</t>
  </si>
  <si>
    <t>LONT01</t>
  </si>
  <si>
    <t>D24007110</t>
  </si>
  <si>
    <t>HIMA01</t>
  </si>
  <si>
    <t>Z24001130</t>
  </si>
  <si>
    <t>FAJA07</t>
  </si>
  <si>
    <t>D24007260</t>
  </si>
  <si>
    <t>REJO06</t>
  </si>
  <si>
    <t>D24007297</t>
  </si>
  <si>
    <t>PERT10</t>
  </si>
  <si>
    <t>P0823I0801</t>
  </si>
  <si>
    <t>D24007317</t>
  </si>
  <si>
    <t>JOKO12</t>
  </si>
  <si>
    <t>1,02E+07</t>
  </si>
  <si>
    <t>B24007272</t>
  </si>
  <si>
    <t>2,20E+09</t>
  </si>
  <si>
    <t>C24003264</t>
  </si>
  <si>
    <t>BIMO02</t>
  </si>
  <si>
    <t>D24007355</t>
  </si>
  <si>
    <t>TANI57</t>
  </si>
  <si>
    <t>D24007356</t>
  </si>
  <si>
    <t>SUMB41</t>
  </si>
  <si>
    <t>4,04E+04</t>
  </si>
  <si>
    <t>D24007358</t>
  </si>
  <si>
    <t>TANI245</t>
  </si>
  <si>
    <t>2,31E+06</t>
  </si>
  <si>
    <t>B24007296</t>
  </si>
  <si>
    <t>BERK61</t>
  </si>
  <si>
    <t>2.402.151.002</t>
  </si>
  <si>
    <t>B24007303</t>
  </si>
  <si>
    <t>TANI224</t>
  </si>
  <si>
    <t>B24007307</t>
  </si>
  <si>
    <t>TAWA01</t>
  </si>
  <si>
    <t>3,10E+07</t>
  </si>
  <si>
    <t>B24007329</t>
  </si>
  <si>
    <t>TANI259</t>
  </si>
  <si>
    <t>1,01E+07</t>
  </si>
  <si>
    <t>20.221.015</t>
  </si>
  <si>
    <t>5,12E+06</t>
  </si>
  <si>
    <t>D24007363</t>
  </si>
  <si>
    <t>SUMB05</t>
  </si>
  <si>
    <t>4,13E+16</t>
  </si>
  <si>
    <t>D24007364</t>
  </si>
  <si>
    <t>D24007378</t>
  </si>
  <si>
    <t>MUNA01</t>
  </si>
  <si>
    <t>D24007379</t>
  </si>
  <si>
    <t>D24007385</t>
  </si>
  <si>
    <t>2,02E+07</t>
  </si>
  <si>
    <t>4,20E+07</t>
  </si>
  <si>
    <t>D24007388</t>
  </si>
  <si>
    <t>SUMB208</t>
  </si>
  <si>
    <t>23.065.761</t>
  </si>
  <si>
    <t>D24007390</t>
  </si>
  <si>
    <t>4,72E+07</t>
  </si>
  <si>
    <t>D24007401</t>
  </si>
  <si>
    <t>3,21E+07</t>
  </si>
  <si>
    <t>3,51E+07</t>
  </si>
  <si>
    <t>1,81E+07</t>
  </si>
  <si>
    <t>T24000684</t>
  </si>
  <si>
    <t>B24007346</t>
  </si>
  <si>
    <t>PELI01</t>
  </si>
  <si>
    <t>4,05E+05</t>
  </si>
  <si>
    <t>B24007347</t>
  </si>
  <si>
    <t>SARA06</t>
  </si>
  <si>
    <t>B24007350</t>
  </si>
  <si>
    <t>EKAJ01</t>
  </si>
  <si>
    <t>2,01E+07</t>
  </si>
  <si>
    <t>B24007356</t>
  </si>
  <si>
    <t>SUCI01</t>
  </si>
  <si>
    <t>B24007358</t>
  </si>
  <si>
    <t>2,02E+10</t>
  </si>
  <si>
    <t>20.231.218.011</t>
  </si>
  <si>
    <t>B24007359</t>
  </si>
  <si>
    <t>CAHA05</t>
  </si>
  <si>
    <t>B24007364</t>
  </si>
  <si>
    <t>2,40E+09</t>
  </si>
  <si>
    <t>B24007368</t>
  </si>
  <si>
    <t>ABIT01</t>
  </si>
  <si>
    <t>BN1417</t>
  </si>
  <si>
    <t>B24007369</t>
  </si>
  <si>
    <t>20.240.430</t>
  </si>
  <si>
    <t>B24007372</t>
  </si>
  <si>
    <t>SUGE04</t>
  </si>
  <si>
    <t>B24007378</t>
  </si>
  <si>
    <t>5,58E+04</t>
  </si>
  <si>
    <t>B24007380</t>
  </si>
  <si>
    <t>BERK18</t>
  </si>
  <si>
    <t>B24007381</t>
  </si>
  <si>
    <t>4,02E+07</t>
  </si>
  <si>
    <t>B24007382</t>
  </si>
  <si>
    <t>B24007383</t>
  </si>
  <si>
    <t>B24007384</t>
  </si>
  <si>
    <t>B24007385</t>
  </si>
  <si>
    <t>B24007386</t>
  </si>
  <si>
    <t>B24007387</t>
  </si>
  <si>
    <t>B24007388</t>
  </si>
  <si>
    <t>D24007434</t>
  </si>
  <si>
    <t>INTI02</t>
  </si>
  <si>
    <t>D24007443</t>
  </si>
  <si>
    <t>UTAM01</t>
  </si>
  <si>
    <t>D24007452</t>
  </si>
  <si>
    <t>ADAM02</t>
  </si>
  <si>
    <t>D24007457</t>
  </si>
  <si>
    <t>NUAN01</t>
  </si>
  <si>
    <t>D24007458</t>
  </si>
  <si>
    <t>SUMB193</t>
  </si>
  <si>
    <t>P0824E1601</t>
  </si>
  <si>
    <t>D24007473</t>
  </si>
  <si>
    <t>TANI49</t>
  </si>
  <si>
    <t>D24007477</t>
  </si>
  <si>
    <t>SUBU01</t>
  </si>
  <si>
    <t>D24007481</t>
  </si>
  <si>
    <t>KARY02</t>
  </si>
  <si>
    <t>D24007486</t>
  </si>
  <si>
    <t>D24007487</t>
  </si>
  <si>
    <t>RUMA02</t>
  </si>
  <si>
    <t>23.100.207</t>
  </si>
  <si>
    <t>D24007497</t>
  </si>
  <si>
    <t>KHAR02</t>
  </si>
  <si>
    <t>2,30E+05</t>
  </si>
  <si>
    <t>T24000687</t>
  </si>
  <si>
    <t>AGRO49</t>
  </si>
  <si>
    <t>B24007395</t>
  </si>
  <si>
    <t>B24007396</t>
  </si>
  <si>
    <t>B24007402</t>
  </si>
  <si>
    <t>SARI08</t>
  </si>
  <si>
    <t>B24007404</t>
  </si>
  <si>
    <t>PUTR06</t>
  </si>
  <si>
    <t>B24007405</t>
  </si>
  <si>
    <t>MEKA15</t>
  </si>
  <si>
    <t>3.240.829</t>
  </si>
  <si>
    <t>B24007406</t>
  </si>
  <si>
    <t>SRIW03</t>
  </si>
  <si>
    <t>1,23E+06</t>
  </si>
  <si>
    <t>BN1437</t>
  </si>
  <si>
    <t>B24007409</t>
  </si>
  <si>
    <t>B24007411</t>
  </si>
  <si>
    <t>B24007422</t>
  </si>
  <si>
    <t>SUMB01</t>
  </si>
  <si>
    <t>2,81E+07</t>
  </si>
  <si>
    <t>B24007424</t>
  </si>
  <si>
    <t>SUMB06</t>
  </si>
  <si>
    <t>B24007426</t>
  </si>
  <si>
    <t>LANG01</t>
  </si>
  <si>
    <t>41.231.221</t>
  </si>
  <si>
    <t>B24007427</t>
  </si>
  <si>
    <t>20.240.113</t>
  </si>
  <si>
    <t>B24007430</t>
  </si>
  <si>
    <t>B24007431</t>
  </si>
  <si>
    <t>B24007439</t>
  </si>
  <si>
    <t>B24007440</t>
  </si>
  <si>
    <t>BALE01</t>
  </si>
  <si>
    <t>B24007441</t>
  </si>
  <si>
    <t>B24007442</t>
  </si>
  <si>
    <t>B24007443</t>
  </si>
  <si>
    <t>D24007510</t>
  </si>
  <si>
    <t>D24007511</t>
  </si>
  <si>
    <t>D24007512</t>
  </si>
  <si>
    <t>D24007514</t>
  </si>
  <si>
    <t>D24007519</t>
  </si>
  <si>
    <t>ZEES01</t>
  </si>
  <si>
    <t>D24007522</t>
  </si>
  <si>
    <t>D24007523</t>
  </si>
  <si>
    <t>SUMB61</t>
  </si>
  <si>
    <t>D24007525</t>
  </si>
  <si>
    <t>KENA01</t>
  </si>
  <si>
    <t>D24007530</t>
  </si>
  <si>
    <t>SUMB36</t>
  </si>
  <si>
    <t>2,41E+06</t>
  </si>
  <si>
    <t>D24007537</t>
  </si>
  <si>
    <t>D24007544</t>
  </si>
  <si>
    <t>D24007545</t>
  </si>
  <si>
    <t>INDA08</t>
  </si>
  <si>
    <t>1,25E+05</t>
  </si>
  <si>
    <t>2,20E+05</t>
  </si>
  <si>
    <t>D24007546</t>
  </si>
  <si>
    <t>82.320.100.000.000.000</t>
  </si>
  <si>
    <t>D24007547</t>
  </si>
  <si>
    <t>PRAT02</t>
  </si>
  <si>
    <t>D24007551</t>
  </si>
  <si>
    <t>D24007552</t>
  </si>
  <si>
    <t>BERK36</t>
  </si>
  <si>
    <t>D24007553</t>
  </si>
  <si>
    <t>D24007563</t>
  </si>
  <si>
    <t>BARU02</t>
  </si>
  <si>
    <t>40.328.003</t>
  </si>
  <si>
    <t>D24007564</t>
  </si>
  <si>
    <t>T24000691</t>
  </si>
  <si>
    <t>B24007451</t>
  </si>
  <si>
    <t>WAHO01</t>
  </si>
  <si>
    <t>B24007453</t>
  </si>
  <si>
    <t>DUTA03</t>
  </si>
  <si>
    <t>2351DD2343</t>
  </si>
  <si>
    <t>B24007455</t>
  </si>
  <si>
    <t>MUKT01</t>
  </si>
  <si>
    <t>B24007456</t>
  </si>
  <si>
    <t>BUKI01</t>
  </si>
  <si>
    <t>B24007457</t>
  </si>
  <si>
    <t>KARY22</t>
  </si>
  <si>
    <t>4,03E+07</t>
  </si>
  <si>
    <t>B24007458</t>
  </si>
  <si>
    <t>MITR63</t>
  </si>
  <si>
    <t>B24007459</t>
  </si>
  <si>
    <t>6,00E+04</t>
  </si>
  <si>
    <t>B24007461</t>
  </si>
  <si>
    <t>B24007463</t>
  </si>
  <si>
    <t>INSA01</t>
  </si>
  <si>
    <t>B24007464</t>
  </si>
  <si>
    <t>B24007466</t>
  </si>
  <si>
    <t>HART04</t>
  </si>
  <si>
    <t>20.082.023</t>
  </si>
  <si>
    <t>48.030.817</t>
  </si>
  <si>
    <t>B24007467</t>
  </si>
  <si>
    <t>B24007468</t>
  </si>
  <si>
    <t>SUMB96</t>
  </si>
  <si>
    <t>2,01E+16</t>
  </si>
  <si>
    <t>B24007469</t>
  </si>
  <si>
    <t>2,01E+15</t>
  </si>
  <si>
    <t>B24007470</t>
  </si>
  <si>
    <t>6,62E+04</t>
  </si>
  <si>
    <t>B24007471</t>
  </si>
  <si>
    <t>AGRO07</t>
  </si>
  <si>
    <t>B24007472</t>
  </si>
  <si>
    <t>B24007477</t>
  </si>
  <si>
    <t>BUAN02</t>
  </si>
  <si>
    <t>B24007478</t>
  </si>
  <si>
    <t>B24007481</t>
  </si>
  <si>
    <t>PEMU01</t>
  </si>
  <si>
    <t>B24007483</t>
  </si>
  <si>
    <t>B24007484</t>
  </si>
  <si>
    <t>JAYA08</t>
  </si>
  <si>
    <t>B24007485</t>
  </si>
  <si>
    <t>MUHA31</t>
  </si>
  <si>
    <t>B24007486</t>
  </si>
  <si>
    <t>B24007487</t>
  </si>
  <si>
    <t>SEKA01</t>
  </si>
  <si>
    <t>2,10E+05</t>
  </si>
  <si>
    <t>5,11E+08</t>
  </si>
  <si>
    <t>1,92E+07</t>
  </si>
  <si>
    <t>B24007488</t>
  </si>
  <si>
    <t>B24007489</t>
  </si>
  <si>
    <t>5,90E+09</t>
  </si>
  <si>
    <t>B24007493</t>
  </si>
  <si>
    <t>42.024.001</t>
  </si>
  <si>
    <t>B24007496</t>
  </si>
  <si>
    <t>LEST16</t>
  </si>
  <si>
    <t>15.092.023</t>
  </si>
  <si>
    <t>B24007497</t>
  </si>
  <si>
    <t>JAK4B19016</t>
  </si>
  <si>
    <t>JAK3J1032X</t>
  </si>
  <si>
    <t>B24007498</t>
  </si>
  <si>
    <t>D24007565</t>
  </si>
  <si>
    <t>D24007569</t>
  </si>
  <si>
    <t>SUMB212</t>
  </si>
  <si>
    <t>D24007575</t>
  </si>
  <si>
    <t>SINA27</t>
  </si>
  <si>
    <t>D24007576</t>
  </si>
  <si>
    <t>BUNG06</t>
  </si>
  <si>
    <t>D24007578</t>
  </si>
  <si>
    <t>SUBU19</t>
  </si>
  <si>
    <t>D24007582</t>
  </si>
  <si>
    <t>D24007583</t>
  </si>
  <si>
    <t>GUNA02</t>
  </si>
  <si>
    <t>D24007584</t>
  </si>
  <si>
    <t>KARY03</t>
  </si>
  <si>
    <t>D24007586</t>
  </si>
  <si>
    <t>WESJ01</t>
  </si>
  <si>
    <t>16.032.024</t>
  </si>
  <si>
    <t>D24007587</t>
  </si>
  <si>
    <t>D24007589</t>
  </si>
  <si>
    <t>D24007591</t>
  </si>
  <si>
    <t>JUNA02</t>
  </si>
  <si>
    <t>D24007592</t>
  </si>
  <si>
    <t>D24007595</t>
  </si>
  <si>
    <t>BERK01</t>
  </si>
  <si>
    <t>D24007597</t>
  </si>
  <si>
    <t>FAST07</t>
  </si>
  <si>
    <t>D24007598</t>
  </si>
  <si>
    <t>1,64E+08</t>
  </si>
  <si>
    <t>D24007603</t>
  </si>
  <si>
    <t>PAYU01</t>
  </si>
  <si>
    <t>D24007604</t>
  </si>
  <si>
    <t>PERD03</t>
  </si>
  <si>
    <t>D24007605</t>
  </si>
  <si>
    <t>BARO44</t>
  </si>
  <si>
    <t>20.220.907</t>
  </si>
  <si>
    <t>4,12E+07</t>
  </si>
  <si>
    <t>D24007607</t>
  </si>
  <si>
    <t>40.222.999</t>
  </si>
  <si>
    <t>D24007608</t>
  </si>
  <si>
    <t>JAYA30</t>
  </si>
  <si>
    <t>D24007612</t>
  </si>
  <si>
    <t>HIKM01</t>
  </si>
  <si>
    <t>D24007613</t>
  </si>
  <si>
    <t>SUBK01</t>
  </si>
  <si>
    <t>3,00E+07</t>
  </si>
  <si>
    <t>D24007614</t>
  </si>
  <si>
    <t>PRIM03</t>
  </si>
  <si>
    <t>T24000693</t>
  </si>
  <si>
    <t>BUMI16</t>
  </si>
  <si>
    <t>2,23E+08</t>
  </si>
  <si>
    <t>T24000694</t>
  </si>
  <si>
    <t>MUAR03</t>
  </si>
  <si>
    <t>T24000695</t>
  </si>
  <si>
    <t>KLIN02</t>
  </si>
  <si>
    <t>Z24001191</t>
  </si>
  <si>
    <t>SAHA12</t>
  </si>
  <si>
    <t>48.060.515</t>
  </si>
  <si>
    <t>Z24001196</t>
  </si>
  <si>
    <t>2,30E+07</t>
  </si>
  <si>
    <t>B24007501</t>
  </si>
  <si>
    <t>ARTH04</t>
  </si>
  <si>
    <t>20.190.601</t>
  </si>
  <si>
    <t>B24007502</t>
  </si>
  <si>
    <t>3,22E+07</t>
  </si>
  <si>
    <t>B24007504</t>
  </si>
  <si>
    <t>AGRO51</t>
  </si>
  <si>
    <t>1,51E+07</t>
  </si>
  <si>
    <t>B24007505</t>
  </si>
  <si>
    <t>B24007506</t>
  </si>
  <si>
    <t>B24007508</t>
  </si>
  <si>
    <t>B24007509</t>
  </si>
  <si>
    <t>B24007510</t>
  </si>
  <si>
    <t>ILYA01</t>
  </si>
  <si>
    <t>B24007511</t>
  </si>
  <si>
    <t>B24007512</t>
  </si>
  <si>
    <t>BARO74</t>
  </si>
  <si>
    <t>B24007517</t>
  </si>
  <si>
    <t>BUMI01</t>
  </si>
  <si>
    <t>2,29E+09</t>
  </si>
  <si>
    <t>47.210.720</t>
  </si>
  <si>
    <t>B24007519</t>
  </si>
  <si>
    <t>D24007615</t>
  </si>
  <si>
    <t>ADIT08</t>
  </si>
  <si>
    <t>D24007616</t>
  </si>
  <si>
    <t>D24007619</t>
  </si>
  <si>
    <t>SETI01</t>
  </si>
  <si>
    <t>6,61E+04</t>
  </si>
  <si>
    <t>D24007620</t>
  </si>
  <si>
    <t>IBUT01</t>
  </si>
  <si>
    <t>D24007621</t>
  </si>
  <si>
    <t>D24007622</t>
  </si>
  <si>
    <t>D24007623</t>
  </si>
  <si>
    <t>MULY07</t>
  </si>
  <si>
    <t>3,16E+05</t>
  </si>
  <si>
    <t>D24007625</t>
  </si>
  <si>
    <t>JAWA01</t>
  </si>
  <si>
    <t>D24007626</t>
  </si>
  <si>
    <t>D24007627</t>
  </si>
  <si>
    <t>D24007628</t>
  </si>
  <si>
    <t>RADE01</t>
  </si>
  <si>
    <t>T24000696</t>
  </si>
  <si>
    <t>1,31E+05</t>
  </si>
  <si>
    <t>Z24001197</t>
  </si>
  <si>
    <t>KARU01</t>
  </si>
  <si>
    <t>validas</t>
  </si>
  <si>
    <t>ID2085</t>
  </si>
  <si>
    <t>ID2086</t>
  </si>
  <si>
    <t>ID2087</t>
  </si>
  <si>
    <t>ID2088</t>
  </si>
  <si>
    <t>KIU2085</t>
  </si>
  <si>
    <t>KIU2086</t>
  </si>
  <si>
    <t>KIU2087</t>
  </si>
  <si>
    <t>KIU2088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</si>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</sst>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FFFF"/>
      <name val="Roboto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wrapText="1"/>
    </xf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14" fontId="0" fillId="2" borderId="0" xfId="0" applyNumberFormat="1" applyFill="1"/>
    <xf numFmtId="0" fontId="2" fillId="4" borderId="0" xfId="0" applyNumberFormat="1" applyFon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9"/>
  <sheetViews>
    <sheetView workbookViewId="0">
      <selection activeCell="A2" sqref="A2"/>
    </sheetView>
  </sheetViews>
  <sheetFormatPr defaultRowHeight="15"/>
  <cols>
    <col min="2" max="2" width="6.85546875" bestFit="1" customWidth="1"/>
    <col min="3" max="3" width="12.42578125" bestFit="1" customWidth="1"/>
    <col min="4" max="4" width="13.85546875" bestFit="1" customWidth="1"/>
    <col min="5" max="5" width="12.85546875" bestFit="1" customWidth="1"/>
    <col min="10" max="10" width="16.28515625" style="3" customWidth="1"/>
    <col min="11" max="11" width="22.140625" style="6" customWidth="1"/>
  </cols>
  <sheetData>
    <row r="1" spans="1:12"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5" t="s">
        <v>7</v>
      </c>
      <c r="K1" s="26" t="s">
        <v>4295</v>
      </c>
      <c r="L1" s="1" t="s">
        <v>8</v>
      </c>
    </row>
    <row r="2" spans="1:12">
      <c r="A2" t="str">
        <f>E2&amp;J2&amp;K2</f>
        <v>Abacell 18 EC 10 X 1 ltr462040</v>
      </c>
      <c r="B2" t="s">
        <v>9821</v>
      </c>
      <c r="C2" t="s">
        <v>11905</v>
      </c>
      <c r="D2" t="s">
        <v>14384</v>
      </c>
      <c r="E2" t="s">
        <v>14</v>
      </c>
      <c r="F2">
        <v>10</v>
      </c>
      <c r="G2">
        <v>1</v>
      </c>
      <c r="H2">
        <v>1</v>
      </c>
      <c r="I2">
        <v>10</v>
      </c>
      <c r="J2" s="3">
        <v>46204</v>
      </c>
      <c r="K2" s="6">
        <v>0</v>
      </c>
    </row>
    <row r="3" spans="1:12">
      <c r="A3" t="str">
        <f t="shared" ref="A3:A66" si="0">E3&amp;J3&amp;K3</f>
        <v>Abacell 18 EC 40 X 250 ml463570</v>
      </c>
      <c r="B3" t="s">
        <v>9822</v>
      </c>
      <c r="C3" t="s">
        <v>11906</v>
      </c>
      <c r="D3" t="s">
        <v>14385</v>
      </c>
      <c r="E3" t="s">
        <v>17</v>
      </c>
      <c r="F3">
        <v>40</v>
      </c>
      <c r="G3">
        <v>1</v>
      </c>
      <c r="H3">
        <v>1</v>
      </c>
      <c r="I3">
        <v>40</v>
      </c>
      <c r="J3" s="3">
        <v>46357</v>
      </c>
      <c r="K3" s="6">
        <v>0</v>
      </c>
    </row>
    <row r="4" spans="1:12">
      <c r="A4" t="str">
        <f t="shared" si="0"/>
        <v>Abacell 18 EC 50 X 100 ml460820</v>
      </c>
      <c r="B4" t="s">
        <v>9823</v>
      </c>
      <c r="C4" t="s">
        <v>11907</v>
      </c>
      <c r="D4" t="s">
        <v>14386</v>
      </c>
      <c r="E4" t="s">
        <v>19</v>
      </c>
      <c r="F4">
        <v>50</v>
      </c>
      <c r="G4">
        <v>1</v>
      </c>
      <c r="H4">
        <v>1</v>
      </c>
      <c r="I4">
        <v>50</v>
      </c>
      <c r="J4" s="3">
        <v>46082</v>
      </c>
      <c r="K4" s="6">
        <v>0</v>
      </c>
    </row>
    <row r="5" spans="1:12">
      <c r="A5" t="str">
        <f t="shared" si="0"/>
        <v>Abado 50 WP 20 X 20 X 10 gr467220</v>
      </c>
      <c r="B5" t="s">
        <v>9824</v>
      </c>
      <c r="C5" t="s">
        <v>11908</v>
      </c>
      <c r="D5" t="s">
        <v>14387</v>
      </c>
      <c r="E5" t="s">
        <v>20</v>
      </c>
      <c r="F5">
        <v>20</v>
      </c>
      <c r="G5">
        <v>20</v>
      </c>
      <c r="H5">
        <v>1</v>
      </c>
      <c r="I5">
        <v>400</v>
      </c>
      <c r="J5" s="3">
        <v>46722</v>
      </c>
      <c r="K5" s="6">
        <v>0</v>
      </c>
    </row>
    <row r="6" spans="1:12">
      <c r="A6" t="str">
        <f t="shared" si="0"/>
        <v>Abado 50 WP 20 X 6 X 40 gr468440</v>
      </c>
      <c r="B6" t="s">
        <v>9825</v>
      </c>
      <c r="C6" t="s">
        <v>11909</v>
      </c>
      <c r="D6" t="s">
        <v>14388</v>
      </c>
      <c r="E6" t="s">
        <v>22</v>
      </c>
      <c r="F6">
        <v>20</v>
      </c>
      <c r="G6">
        <v>6</v>
      </c>
      <c r="H6">
        <v>1</v>
      </c>
      <c r="I6">
        <v>120</v>
      </c>
      <c r="J6" s="3">
        <v>46844</v>
      </c>
      <c r="K6" s="6">
        <v>0</v>
      </c>
    </row>
    <row r="7" spans="1:12">
      <c r="A7" t="str">
        <f t="shared" si="0"/>
        <v>Abenz 22 EC 100 X 100 ml458090</v>
      </c>
      <c r="B7" t="s">
        <v>9826</v>
      </c>
      <c r="C7" t="s">
        <v>11910</v>
      </c>
      <c r="D7" t="s">
        <v>14389</v>
      </c>
      <c r="E7" t="s">
        <v>24</v>
      </c>
      <c r="F7">
        <v>100</v>
      </c>
      <c r="G7">
        <v>1</v>
      </c>
      <c r="H7">
        <v>1</v>
      </c>
      <c r="I7">
        <v>100</v>
      </c>
      <c r="J7" s="3">
        <v>45809</v>
      </c>
      <c r="K7" s="6">
        <v>0</v>
      </c>
    </row>
    <row r="8" spans="1:12">
      <c r="A8" t="str">
        <f t="shared" si="0"/>
        <v>Abenz 22 EC 100 X 100 ml469970</v>
      </c>
      <c r="B8" t="s">
        <v>9827</v>
      </c>
      <c r="C8" t="s">
        <v>11911</v>
      </c>
      <c r="D8" t="s">
        <v>14390</v>
      </c>
      <c r="E8" t="s">
        <v>24</v>
      </c>
      <c r="F8">
        <v>100</v>
      </c>
      <c r="G8">
        <v>1</v>
      </c>
      <c r="H8">
        <v>1</v>
      </c>
      <c r="I8">
        <v>100</v>
      </c>
      <c r="J8" s="3">
        <v>46997</v>
      </c>
      <c r="K8" s="6">
        <v>0</v>
      </c>
    </row>
    <row r="9" spans="1:12">
      <c r="A9" t="str">
        <f t="shared" si="0"/>
        <v>Abenz 22 EC 100 X 100 ml469350</v>
      </c>
      <c r="B9" t="s">
        <v>9828</v>
      </c>
      <c r="C9" t="s">
        <v>11912</v>
      </c>
      <c r="D9" t="s">
        <v>14391</v>
      </c>
      <c r="E9" t="s">
        <v>24</v>
      </c>
      <c r="F9">
        <v>100</v>
      </c>
      <c r="G9">
        <v>1</v>
      </c>
      <c r="H9">
        <v>1</v>
      </c>
      <c r="I9">
        <v>100</v>
      </c>
      <c r="J9" s="3">
        <v>46935</v>
      </c>
      <c r="K9" s="6">
        <v>0</v>
      </c>
    </row>
    <row r="10" spans="1:12">
      <c r="A10" t="str">
        <f t="shared" si="0"/>
        <v>Abenz 22 EC 40 X 250 ml468440</v>
      </c>
      <c r="B10" t="s">
        <v>9829</v>
      </c>
      <c r="C10" t="s">
        <v>11913</v>
      </c>
      <c r="D10" t="s">
        <v>14392</v>
      </c>
      <c r="E10" t="s">
        <v>28</v>
      </c>
      <c r="F10">
        <v>40</v>
      </c>
      <c r="G10">
        <v>1</v>
      </c>
      <c r="H10">
        <v>1</v>
      </c>
      <c r="I10">
        <v>40</v>
      </c>
      <c r="J10" s="3">
        <v>46844</v>
      </c>
      <c r="K10" s="6">
        <v>0</v>
      </c>
    </row>
    <row r="11" spans="1:12">
      <c r="A11" t="str">
        <f t="shared" si="0"/>
        <v>Abenz 22 EC 40 X 250 ml469970</v>
      </c>
      <c r="B11" t="s">
        <v>9830</v>
      </c>
      <c r="C11" t="s">
        <v>11914</v>
      </c>
      <c r="D11" t="s">
        <v>14393</v>
      </c>
      <c r="E11" t="s">
        <v>28</v>
      </c>
      <c r="F11">
        <v>40</v>
      </c>
      <c r="G11">
        <v>1</v>
      </c>
      <c r="H11">
        <v>1</v>
      </c>
      <c r="I11">
        <v>40</v>
      </c>
      <c r="J11" s="3">
        <v>46997</v>
      </c>
      <c r="K11" s="6">
        <v>0</v>
      </c>
    </row>
    <row r="12" spans="1:12">
      <c r="A12" t="str">
        <f t="shared" si="0"/>
        <v>Abojo 60 WP 10 X 20 X 50 gr471190</v>
      </c>
      <c r="B12" t="s">
        <v>9831</v>
      </c>
      <c r="C12" t="s">
        <v>11915</v>
      </c>
      <c r="D12" t="s">
        <v>14394</v>
      </c>
      <c r="E12" t="s">
        <v>31</v>
      </c>
      <c r="F12">
        <v>10</v>
      </c>
      <c r="G12">
        <v>20</v>
      </c>
      <c r="H12">
        <v>1</v>
      </c>
      <c r="I12">
        <v>200</v>
      </c>
      <c r="J12" s="3">
        <v>47119</v>
      </c>
      <c r="K12" s="6">
        <v>0</v>
      </c>
    </row>
    <row r="13" spans="1:12">
      <c r="A13" t="str">
        <f t="shared" si="0"/>
        <v>Abojo 60 WP 100 X 100 gr469660</v>
      </c>
      <c r="B13" t="s">
        <v>9832</v>
      </c>
      <c r="C13" t="s">
        <v>11916</v>
      </c>
      <c r="D13" t="s">
        <v>14395</v>
      </c>
      <c r="E13" t="s">
        <v>33</v>
      </c>
      <c r="F13">
        <v>100</v>
      </c>
      <c r="G13">
        <v>1</v>
      </c>
      <c r="H13">
        <v>1</v>
      </c>
      <c r="I13">
        <v>100</v>
      </c>
      <c r="J13" s="3">
        <v>46966</v>
      </c>
      <c r="K13" s="6">
        <v>0</v>
      </c>
    </row>
    <row r="14" spans="1:12">
      <c r="A14" t="str">
        <f t="shared" si="0"/>
        <v>Acapela System 280 SC 50 X 100 ml456890</v>
      </c>
      <c r="B14" t="s">
        <v>9833</v>
      </c>
      <c r="C14" t="s">
        <v>11917</v>
      </c>
      <c r="D14" t="s">
        <v>14396</v>
      </c>
      <c r="E14" t="s">
        <v>35</v>
      </c>
      <c r="F14">
        <v>50</v>
      </c>
      <c r="G14">
        <v>1</v>
      </c>
      <c r="H14">
        <v>1</v>
      </c>
      <c r="I14">
        <v>50</v>
      </c>
      <c r="J14" s="3">
        <v>45689</v>
      </c>
      <c r="K14" s="6">
        <v>0</v>
      </c>
    </row>
    <row r="15" spans="1:12">
      <c r="A15" t="str">
        <f t="shared" si="0"/>
        <v>Accora 100 EC 15 X 1 ltr (Sample)456580</v>
      </c>
      <c r="B15" t="s">
        <v>9834</v>
      </c>
      <c r="C15" t="s">
        <v>11918</v>
      </c>
      <c r="D15" t="s">
        <v>14397</v>
      </c>
      <c r="E15" t="s">
        <v>37</v>
      </c>
      <c r="F15">
        <v>15</v>
      </c>
      <c r="G15">
        <v>1</v>
      </c>
      <c r="H15">
        <v>1</v>
      </c>
      <c r="I15">
        <v>15</v>
      </c>
      <c r="J15" s="3">
        <v>45658</v>
      </c>
      <c r="K15" s="6">
        <v>0</v>
      </c>
    </row>
    <row r="16" spans="1:12">
      <c r="A16" t="str">
        <f t="shared" si="0"/>
        <v>Accora 100 EC 20 X 500 ml460540</v>
      </c>
      <c r="B16" t="s">
        <v>9835</v>
      </c>
      <c r="C16" t="s">
        <v>11919</v>
      </c>
      <c r="D16" t="s">
        <v>14398</v>
      </c>
      <c r="E16" t="s">
        <v>39</v>
      </c>
      <c r="F16">
        <v>20</v>
      </c>
      <c r="G16">
        <v>1</v>
      </c>
      <c r="H16">
        <v>1</v>
      </c>
      <c r="I16">
        <v>20</v>
      </c>
      <c r="J16" s="3">
        <v>46054</v>
      </c>
      <c r="K16" s="6">
        <v>0</v>
      </c>
    </row>
    <row r="17" spans="1:11">
      <c r="A17" t="str">
        <f t="shared" si="0"/>
        <v>Accu Kayaba Kering 12A - 12 Volt1/1/10000</v>
      </c>
      <c r="B17" t="s">
        <v>9836</v>
      </c>
      <c r="C17" t="s">
        <v>11920</v>
      </c>
      <c r="D17" t="s">
        <v>14399</v>
      </c>
      <c r="E17" t="s">
        <v>40</v>
      </c>
      <c r="F17">
        <v>1</v>
      </c>
      <c r="G17">
        <v>1</v>
      </c>
      <c r="H17">
        <v>1</v>
      </c>
      <c r="I17">
        <v>1</v>
      </c>
      <c r="J17" s="3" t="s">
        <v>2222</v>
      </c>
      <c r="K17" s="6">
        <v>0</v>
      </c>
    </row>
    <row r="18" spans="1:11">
      <c r="A18" t="str">
        <f t="shared" si="0"/>
        <v>Accu Sprayer Elektrik 5L 12V 1.3A1/1/10000</v>
      </c>
      <c r="B18" t="s">
        <v>9837</v>
      </c>
      <c r="C18" t="s">
        <v>11921</v>
      </c>
      <c r="D18" t="s">
        <v>14400</v>
      </c>
      <c r="E18" t="s">
        <v>42</v>
      </c>
      <c r="F18">
        <v>1</v>
      </c>
      <c r="G18">
        <v>1</v>
      </c>
      <c r="H18">
        <v>1</v>
      </c>
      <c r="I18">
        <v>1</v>
      </c>
      <c r="J18" s="3" t="s">
        <v>2222</v>
      </c>
      <c r="K18" s="6">
        <v>0</v>
      </c>
    </row>
    <row r="19" spans="1:11">
      <c r="A19" t="str">
        <f t="shared" si="0"/>
        <v>Ace One 75 SP 25 X 400 gr470580</v>
      </c>
      <c r="B19" t="s">
        <v>9838</v>
      </c>
      <c r="C19" t="s">
        <v>11922</v>
      </c>
      <c r="D19" t="s">
        <v>14401</v>
      </c>
      <c r="E19" t="s">
        <v>44</v>
      </c>
      <c r="F19">
        <v>25</v>
      </c>
      <c r="G19">
        <v>1</v>
      </c>
      <c r="H19">
        <v>1</v>
      </c>
      <c r="I19">
        <v>25</v>
      </c>
      <c r="J19" s="3">
        <v>47058</v>
      </c>
      <c r="K19" s="6">
        <v>0</v>
      </c>
    </row>
    <row r="20" spans="1:11">
      <c r="A20" t="str">
        <f t="shared" si="0"/>
        <v>Ace One 75 SP 25 X 400 gr471500</v>
      </c>
      <c r="B20" t="s">
        <v>9839</v>
      </c>
      <c r="C20" t="s">
        <v>11923</v>
      </c>
      <c r="D20" t="s">
        <v>14402</v>
      </c>
      <c r="E20" t="s">
        <v>44</v>
      </c>
      <c r="F20">
        <v>25</v>
      </c>
      <c r="G20">
        <v>1</v>
      </c>
      <c r="H20">
        <v>1</v>
      </c>
      <c r="I20">
        <v>25</v>
      </c>
      <c r="J20" s="3">
        <v>47150</v>
      </c>
      <c r="K20" s="6">
        <v>0</v>
      </c>
    </row>
    <row r="21" spans="1:11">
      <c r="A21" t="str">
        <f t="shared" si="0"/>
        <v>Ace One 75 SP 50 X 100 gr469660</v>
      </c>
      <c r="B21" t="s">
        <v>9840</v>
      </c>
      <c r="C21" t="s">
        <v>11924</v>
      </c>
      <c r="D21" t="s">
        <v>14403</v>
      </c>
      <c r="E21" t="s">
        <v>45</v>
      </c>
      <c r="F21">
        <v>50</v>
      </c>
      <c r="G21">
        <v>1</v>
      </c>
      <c r="H21">
        <v>1</v>
      </c>
      <c r="I21">
        <v>50</v>
      </c>
      <c r="J21" s="3">
        <v>46966</v>
      </c>
      <c r="K21" s="6">
        <v>0</v>
      </c>
    </row>
    <row r="22" spans="1:11">
      <c r="A22" t="str">
        <f t="shared" si="0"/>
        <v>Ace One 75 SP 50 X 100 gr470580</v>
      </c>
      <c r="B22" t="s">
        <v>9841</v>
      </c>
      <c r="C22" t="s">
        <v>11925</v>
      </c>
      <c r="D22" t="s">
        <v>14404</v>
      </c>
      <c r="E22" t="s">
        <v>45</v>
      </c>
      <c r="F22">
        <v>50</v>
      </c>
      <c r="G22">
        <v>1</v>
      </c>
      <c r="H22">
        <v>1</v>
      </c>
      <c r="I22">
        <v>50</v>
      </c>
      <c r="J22" s="3">
        <v>47058</v>
      </c>
      <c r="K22" s="6">
        <v>0</v>
      </c>
    </row>
    <row r="23" spans="1:11">
      <c r="A23" t="str">
        <f t="shared" si="0"/>
        <v>Achlor 4/36 WP 60 X 100 gr464780</v>
      </c>
      <c r="B23" t="s">
        <v>9842</v>
      </c>
      <c r="C23" t="s">
        <v>11926</v>
      </c>
      <c r="D23" t="s">
        <v>14405</v>
      </c>
      <c r="E23" t="s">
        <v>46</v>
      </c>
      <c r="F23">
        <v>60</v>
      </c>
      <c r="G23">
        <v>1</v>
      </c>
      <c r="H23">
        <v>1</v>
      </c>
      <c r="I23">
        <v>60</v>
      </c>
      <c r="J23" s="3">
        <v>46478</v>
      </c>
      <c r="K23" s="6">
        <v>0</v>
      </c>
    </row>
    <row r="24" spans="1:11">
      <c r="A24" t="str">
        <f t="shared" si="0"/>
        <v>ACL 6 865 SL 25 X 400 ml466310</v>
      </c>
      <c r="B24" t="s">
        <v>9843</v>
      </c>
      <c r="C24" t="s">
        <v>11927</v>
      </c>
      <c r="D24" t="s">
        <v>14406</v>
      </c>
      <c r="E24" t="s">
        <v>49</v>
      </c>
      <c r="F24">
        <v>25</v>
      </c>
      <c r="G24">
        <v>1</v>
      </c>
      <c r="H24">
        <v>1</v>
      </c>
      <c r="I24">
        <v>25</v>
      </c>
      <c r="J24" s="3">
        <v>46631</v>
      </c>
      <c r="K24" s="6">
        <v>0</v>
      </c>
    </row>
    <row r="25" spans="1:11">
      <c r="A25" t="str">
        <f t="shared" si="0"/>
        <v>ACL 6 865 SL 50 X 200 ml466000</v>
      </c>
      <c r="B25" t="s">
        <v>9844</v>
      </c>
      <c r="C25" t="s">
        <v>11928</v>
      </c>
      <c r="D25" t="s">
        <v>14407</v>
      </c>
      <c r="E25" t="s">
        <v>50</v>
      </c>
      <c r="F25">
        <v>50</v>
      </c>
      <c r="G25">
        <v>1</v>
      </c>
      <c r="H25">
        <v>1</v>
      </c>
      <c r="I25">
        <v>50</v>
      </c>
      <c r="J25" s="3">
        <v>46600</v>
      </c>
      <c r="K25" s="6">
        <v>0</v>
      </c>
    </row>
    <row r="26" spans="1:11">
      <c r="A26" t="str">
        <f t="shared" si="0"/>
        <v>Acrobat WP 20 X 6 X 40 gr461130</v>
      </c>
      <c r="B26" t="s">
        <v>9845</v>
      </c>
      <c r="C26" t="s">
        <v>11929</v>
      </c>
      <c r="D26" t="s">
        <v>14408</v>
      </c>
      <c r="E26" t="s">
        <v>51</v>
      </c>
      <c r="F26">
        <v>20</v>
      </c>
      <c r="G26">
        <v>6</v>
      </c>
      <c r="H26">
        <v>1</v>
      </c>
      <c r="I26">
        <v>120</v>
      </c>
      <c r="J26" s="3">
        <v>46113</v>
      </c>
      <c r="K26" s="6">
        <v>0</v>
      </c>
    </row>
    <row r="27" spans="1:11">
      <c r="A27" t="str">
        <f t="shared" si="0"/>
        <v>Adrift 125 EC 40 X 250 ml455970</v>
      </c>
      <c r="B27" t="s">
        <v>9846</v>
      </c>
      <c r="C27" t="s">
        <v>11930</v>
      </c>
      <c r="D27" t="s">
        <v>14409</v>
      </c>
      <c r="E27" t="s">
        <v>54</v>
      </c>
      <c r="F27">
        <v>40</v>
      </c>
      <c r="G27">
        <v>1</v>
      </c>
      <c r="H27">
        <v>1</v>
      </c>
      <c r="I27">
        <v>40</v>
      </c>
      <c r="J27" s="3">
        <v>45597</v>
      </c>
      <c r="K27" s="6">
        <v>0</v>
      </c>
    </row>
    <row r="28" spans="1:11">
      <c r="A28" t="str">
        <f t="shared" si="0"/>
        <v>Adrift 125 EC 50 X 100 ml455970</v>
      </c>
      <c r="B28" t="s">
        <v>9847</v>
      </c>
      <c r="C28" t="s">
        <v>11931</v>
      </c>
      <c r="D28" t="s">
        <v>14410</v>
      </c>
      <c r="E28" t="s">
        <v>55</v>
      </c>
      <c r="F28">
        <v>50</v>
      </c>
      <c r="G28">
        <v>1</v>
      </c>
      <c r="H28">
        <v>1</v>
      </c>
      <c r="I28">
        <v>50</v>
      </c>
      <c r="J28" s="3">
        <v>45597</v>
      </c>
      <c r="K28" s="6">
        <v>0</v>
      </c>
    </row>
    <row r="29" spans="1:11">
      <c r="A29" t="str">
        <f t="shared" si="0"/>
        <v>Afonil 50 SC 100 X 100 ml456890</v>
      </c>
      <c r="B29" t="s">
        <v>9848</v>
      </c>
      <c r="C29" t="s">
        <v>11932</v>
      </c>
      <c r="D29" t="s">
        <v>14411</v>
      </c>
      <c r="E29" t="s">
        <v>56</v>
      </c>
      <c r="F29">
        <v>100</v>
      </c>
      <c r="G29">
        <v>1</v>
      </c>
      <c r="H29">
        <v>1</v>
      </c>
      <c r="I29">
        <v>100</v>
      </c>
      <c r="J29" s="3">
        <v>45689</v>
      </c>
      <c r="K29" s="6">
        <v>0</v>
      </c>
    </row>
    <row r="30" spans="1:11">
      <c r="A30" t="str">
        <f t="shared" si="0"/>
        <v>Afonil 50 SC 100 X 50 ml457170</v>
      </c>
      <c r="B30" t="s">
        <v>9849</v>
      </c>
      <c r="C30" t="s">
        <v>11933</v>
      </c>
      <c r="D30" t="s">
        <v>14412</v>
      </c>
      <c r="E30" t="s">
        <v>57</v>
      </c>
      <c r="F30">
        <v>100</v>
      </c>
      <c r="G30">
        <v>1</v>
      </c>
      <c r="H30">
        <v>1</v>
      </c>
      <c r="I30">
        <v>100</v>
      </c>
      <c r="J30" s="3">
        <v>45717</v>
      </c>
      <c r="K30" s="6">
        <v>0</v>
      </c>
    </row>
    <row r="31" spans="1:11">
      <c r="A31" t="str">
        <f t="shared" si="0"/>
        <v>Afonil 50 SC 20 X 500 ml455970</v>
      </c>
      <c r="B31" t="s">
        <v>9850</v>
      </c>
      <c r="C31" t="s">
        <v>11934</v>
      </c>
      <c r="D31" t="s">
        <v>14413</v>
      </c>
      <c r="E31" t="s">
        <v>59</v>
      </c>
      <c r="F31">
        <v>20</v>
      </c>
      <c r="G31">
        <v>1</v>
      </c>
      <c r="H31">
        <v>1</v>
      </c>
      <c r="I31">
        <v>20</v>
      </c>
      <c r="J31" s="3">
        <v>45597</v>
      </c>
      <c r="K31" s="6">
        <v>0</v>
      </c>
    </row>
    <row r="32" spans="1:11">
      <c r="A32" t="str">
        <f t="shared" si="0"/>
        <v>Afonil 50 SC 40 X 250 ml455970</v>
      </c>
      <c r="B32" t="s">
        <v>9851</v>
      </c>
      <c r="C32" t="s">
        <v>11935</v>
      </c>
      <c r="D32" t="s">
        <v>14414</v>
      </c>
      <c r="E32" t="s">
        <v>60</v>
      </c>
      <c r="F32">
        <v>40</v>
      </c>
      <c r="G32">
        <v>1</v>
      </c>
      <c r="H32">
        <v>1</v>
      </c>
      <c r="I32">
        <v>40</v>
      </c>
      <c r="J32" s="3">
        <v>45597</v>
      </c>
      <c r="K32" s="6">
        <v>0</v>
      </c>
    </row>
    <row r="33" spans="1:11">
      <c r="A33" t="str">
        <f t="shared" si="0"/>
        <v>Afonil 50 SC 40 X 250 ml466310</v>
      </c>
      <c r="B33" t="s">
        <v>9852</v>
      </c>
      <c r="C33" t="s">
        <v>11936</v>
      </c>
      <c r="D33" t="s">
        <v>14415</v>
      </c>
      <c r="E33" t="s">
        <v>60</v>
      </c>
      <c r="F33">
        <v>40</v>
      </c>
      <c r="G33">
        <v>1</v>
      </c>
      <c r="H33">
        <v>1</v>
      </c>
      <c r="I33">
        <v>40</v>
      </c>
      <c r="J33" s="3">
        <v>46631</v>
      </c>
      <c r="K33" s="6">
        <v>0</v>
      </c>
    </row>
    <row r="34" spans="1:11">
      <c r="A34" t="str">
        <f t="shared" si="0"/>
        <v>Agapro 214/66 SL 40 X 200 ml470270</v>
      </c>
      <c r="B34" t="s">
        <v>9853</v>
      </c>
      <c r="C34" t="s">
        <v>11937</v>
      </c>
      <c r="D34" t="s">
        <v>14416</v>
      </c>
      <c r="E34" t="s">
        <v>61</v>
      </c>
      <c r="F34">
        <v>40</v>
      </c>
      <c r="G34">
        <v>1</v>
      </c>
      <c r="H34">
        <v>1</v>
      </c>
      <c r="I34">
        <v>40</v>
      </c>
      <c r="J34" s="3">
        <v>47027</v>
      </c>
      <c r="K34" s="6">
        <v>0</v>
      </c>
    </row>
    <row r="35" spans="1:11">
      <c r="A35" t="str">
        <f t="shared" si="0"/>
        <v>Agapro 214/66 SL 50 X 80 ml470270</v>
      </c>
      <c r="B35" t="s">
        <v>9854</v>
      </c>
      <c r="C35" t="s">
        <v>11938</v>
      </c>
      <c r="D35" t="s">
        <v>14417</v>
      </c>
      <c r="E35" t="s">
        <v>63</v>
      </c>
      <c r="F35">
        <v>50</v>
      </c>
      <c r="G35">
        <v>1</v>
      </c>
      <c r="H35">
        <v>1</v>
      </c>
      <c r="I35">
        <v>50</v>
      </c>
      <c r="J35" s="3">
        <v>47027</v>
      </c>
      <c r="K35" s="6">
        <v>0</v>
      </c>
    </row>
    <row r="36" spans="1:11">
      <c r="A36" t="str">
        <f t="shared" si="0"/>
        <v>Agil 100 EC 100 X 100 ml470580</v>
      </c>
      <c r="B36" t="s">
        <v>9855</v>
      </c>
      <c r="C36" t="s">
        <v>11939</v>
      </c>
      <c r="D36" t="s">
        <v>14418</v>
      </c>
      <c r="E36" t="s">
        <v>65</v>
      </c>
      <c r="F36">
        <v>100</v>
      </c>
      <c r="G36">
        <v>1</v>
      </c>
      <c r="H36">
        <v>1</v>
      </c>
      <c r="I36">
        <v>100</v>
      </c>
      <c r="J36" s="3">
        <v>47058</v>
      </c>
      <c r="K36" s="6">
        <v>0</v>
      </c>
    </row>
    <row r="37" spans="1:11">
      <c r="A37" t="str">
        <f t="shared" si="0"/>
        <v>Agil 100 EC 100 X 100 ml470270</v>
      </c>
      <c r="B37" t="s">
        <v>9856</v>
      </c>
      <c r="C37" t="s">
        <v>11940</v>
      </c>
      <c r="D37" t="s">
        <v>14419</v>
      </c>
      <c r="E37" t="s">
        <v>65</v>
      </c>
      <c r="F37">
        <v>100</v>
      </c>
      <c r="G37">
        <v>1</v>
      </c>
      <c r="H37">
        <v>1</v>
      </c>
      <c r="I37">
        <v>100</v>
      </c>
      <c r="J37" s="3">
        <v>47027</v>
      </c>
      <c r="K37" s="6">
        <v>0</v>
      </c>
    </row>
    <row r="38" spans="1:11">
      <c r="A38" t="str">
        <f t="shared" si="0"/>
        <v>Agil 100 EC 100 X 100 ml469660</v>
      </c>
      <c r="B38" t="s">
        <v>9857</v>
      </c>
      <c r="C38" t="s">
        <v>11941</v>
      </c>
      <c r="D38" t="s">
        <v>14420</v>
      </c>
      <c r="E38" t="s">
        <v>65</v>
      </c>
      <c r="F38">
        <v>100</v>
      </c>
      <c r="G38">
        <v>1</v>
      </c>
      <c r="H38">
        <v>1</v>
      </c>
      <c r="I38">
        <v>100</v>
      </c>
      <c r="J38" s="3">
        <v>46966</v>
      </c>
      <c r="K38" s="6">
        <v>0</v>
      </c>
    </row>
    <row r="39" spans="1:11">
      <c r="A39" t="str">
        <f t="shared" si="0"/>
        <v>Agil 100 EC 40 X 250 ml470880</v>
      </c>
      <c r="B39" t="s">
        <v>9858</v>
      </c>
      <c r="C39" t="s">
        <v>11942</v>
      </c>
      <c r="D39" t="s">
        <v>14421</v>
      </c>
      <c r="E39" t="s">
        <v>66</v>
      </c>
      <c r="F39">
        <v>40</v>
      </c>
      <c r="G39">
        <v>1</v>
      </c>
      <c r="H39">
        <v>1</v>
      </c>
      <c r="I39">
        <v>40</v>
      </c>
      <c r="J39" s="3">
        <v>47088</v>
      </c>
      <c r="K39" s="6">
        <v>0</v>
      </c>
    </row>
    <row r="40" spans="1:11">
      <c r="A40" t="str">
        <f t="shared" si="0"/>
        <v>Agil 100 EC 40 X 250 ml472090</v>
      </c>
      <c r="B40" t="s">
        <v>9859</v>
      </c>
      <c r="C40" t="s">
        <v>11943</v>
      </c>
      <c r="D40" t="s">
        <v>14422</v>
      </c>
      <c r="E40" t="s">
        <v>66</v>
      </c>
      <c r="F40">
        <v>40</v>
      </c>
      <c r="G40">
        <v>1</v>
      </c>
      <c r="H40">
        <v>1</v>
      </c>
      <c r="I40">
        <v>40</v>
      </c>
      <c r="J40" s="3">
        <v>47209</v>
      </c>
      <c r="K40" s="6">
        <v>0</v>
      </c>
    </row>
    <row r="41" spans="1:11">
      <c r="A41" t="str">
        <f t="shared" si="0"/>
        <v>Agridex 715 EC 12 X 1 ltr464190</v>
      </c>
      <c r="B41" t="s">
        <v>9860</v>
      </c>
      <c r="C41" t="s">
        <v>11944</v>
      </c>
      <c r="D41" t="s">
        <v>14423</v>
      </c>
      <c r="E41" t="s">
        <v>67</v>
      </c>
      <c r="F41">
        <v>12</v>
      </c>
      <c r="G41">
        <v>1</v>
      </c>
      <c r="H41">
        <v>1</v>
      </c>
      <c r="I41">
        <v>12</v>
      </c>
      <c r="J41" s="3">
        <v>46419</v>
      </c>
      <c r="K41" s="6">
        <v>0</v>
      </c>
    </row>
    <row r="42" spans="1:11">
      <c r="A42" t="str">
        <f t="shared" si="0"/>
        <v>Agridex 715 EC 12 X 1 ltr466920</v>
      </c>
      <c r="B42" t="s">
        <v>9861</v>
      </c>
      <c r="C42" t="s">
        <v>11945</v>
      </c>
      <c r="D42" t="s">
        <v>14424</v>
      </c>
      <c r="E42" t="s">
        <v>67</v>
      </c>
      <c r="F42">
        <v>12</v>
      </c>
      <c r="G42">
        <v>1</v>
      </c>
      <c r="H42">
        <v>1</v>
      </c>
      <c r="I42">
        <v>12</v>
      </c>
      <c r="J42" s="3">
        <v>46692</v>
      </c>
      <c r="K42" s="6">
        <v>0</v>
      </c>
    </row>
    <row r="43" spans="1:11">
      <c r="A43" t="str">
        <f t="shared" si="0"/>
        <v>Agridex 715 EC 12 X 1 ltr468440</v>
      </c>
      <c r="B43" t="s">
        <v>9862</v>
      </c>
      <c r="C43" t="s">
        <v>11946</v>
      </c>
      <c r="D43" t="s">
        <v>14425</v>
      </c>
      <c r="E43" t="s">
        <v>67</v>
      </c>
      <c r="F43">
        <v>12</v>
      </c>
      <c r="G43">
        <v>1</v>
      </c>
      <c r="H43">
        <v>1</v>
      </c>
      <c r="I43">
        <v>12</v>
      </c>
      <c r="J43" s="3">
        <v>46844</v>
      </c>
      <c r="K43" s="6">
        <v>0</v>
      </c>
    </row>
    <row r="44" spans="1:11">
      <c r="A44" t="str">
        <f t="shared" si="0"/>
        <v>Agrimec 18 EC 40 X 250 ml464190</v>
      </c>
      <c r="B44" t="s">
        <v>9863</v>
      </c>
      <c r="C44" t="s">
        <v>11947</v>
      </c>
      <c r="D44" t="s">
        <v>14426</v>
      </c>
      <c r="E44" t="s">
        <v>71</v>
      </c>
      <c r="F44">
        <v>40</v>
      </c>
      <c r="G44">
        <v>1</v>
      </c>
      <c r="H44">
        <v>1</v>
      </c>
      <c r="I44">
        <v>40</v>
      </c>
      <c r="J44" s="3">
        <v>46419</v>
      </c>
      <c r="K44" s="6">
        <v>0</v>
      </c>
    </row>
    <row r="45" spans="1:11">
      <c r="A45" t="str">
        <f t="shared" si="0"/>
        <v>Agrimec 18 EC 40 X 250 ml462960</v>
      </c>
      <c r="B45" t="s">
        <v>9864</v>
      </c>
      <c r="C45" t="s">
        <v>11948</v>
      </c>
      <c r="D45" t="s">
        <v>14427</v>
      </c>
      <c r="E45" t="s">
        <v>71</v>
      </c>
      <c r="F45">
        <v>40</v>
      </c>
      <c r="G45">
        <v>1</v>
      </c>
      <c r="H45">
        <v>1</v>
      </c>
      <c r="I45">
        <v>40</v>
      </c>
      <c r="J45" s="3">
        <v>46296</v>
      </c>
      <c r="K45" s="6">
        <v>0</v>
      </c>
    </row>
    <row r="46" spans="1:11">
      <c r="A46" t="str">
        <f t="shared" si="0"/>
        <v>Agristik 400 L 12 X 1 ltr458390</v>
      </c>
      <c r="B46" t="s">
        <v>9865</v>
      </c>
      <c r="C46" t="s">
        <v>11949</v>
      </c>
      <c r="D46" t="s">
        <v>14428</v>
      </c>
      <c r="E46" t="s">
        <v>75</v>
      </c>
      <c r="F46">
        <v>12</v>
      </c>
      <c r="G46">
        <v>1</v>
      </c>
      <c r="H46">
        <v>1</v>
      </c>
      <c r="I46">
        <v>12</v>
      </c>
      <c r="J46" s="3">
        <v>45839</v>
      </c>
      <c r="K46" s="6">
        <v>0</v>
      </c>
    </row>
    <row r="47" spans="1:11">
      <c r="A47" t="str">
        <f t="shared" si="0"/>
        <v>Agristik 400 L 12 X 1 ltr461130</v>
      </c>
      <c r="B47" t="s">
        <v>9866</v>
      </c>
      <c r="C47" t="s">
        <v>11950</v>
      </c>
      <c r="D47" t="s">
        <v>14429</v>
      </c>
      <c r="E47" t="s">
        <v>75</v>
      </c>
      <c r="F47">
        <v>12</v>
      </c>
      <c r="G47">
        <v>1</v>
      </c>
      <c r="H47">
        <v>1</v>
      </c>
      <c r="I47">
        <v>12</v>
      </c>
      <c r="J47" s="3">
        <v>46113</v>
      </c>
      <c r="K47" s="6">
        <v>0</v>
      </c>
    </row>
    <row r="48" spans="1:11">
      <c r="A48" t="str">
        <f t="shared" si="0"/>
        <v>Agrogib 40 SL 30 X 15 X 35 ml471780</v>
      </c>
      <c r="B48" t="s">
        <v>9867</v>
      </c>
      <c r="C48" t="s">
        <v>11951</v>
      </c>
      <c r="D48" t="s">
        <v>14430</v>
      </c>
      <c r="E48" t="s">
        <v>78</v>
      </c>
      <c r="F48">
        <v>30</v>
      </c>
      <c r="G48">
        <v>15</v>
      </c>
      <c r="H48">
        <v>1</v>
      </c>
      <c r="I48">
        <v>450</v>
      </c>
      <c r="J48" s="3">
        <v>47178</v>
      </c>
      <c r="K48" s="6">
        <v>0</v>
      </c>
    </row>
    <row r="49" spans="1:11">
      <c r="A49" t="str">
        <f t="shared" si="0"/>
        <v>Agus 500 SC 100 X 100 ml463880</v>
      </c>
      <c r="B49" t="s">
        <v>9868</v>
      </c>
      <c r="C49" t="s">
        <v>11952</v>
      </c>
      <c r="D49" t="s">
        <v>14431</v>
      </c>
      <c r="E49" t="s">
        <v>80</v>
      </c>
      <c r="F49">
        <v>100</v>
      </c>
      <c r="G49">
        <v>1</v>
      </c>
      <c r="H49">
        <v>1</v>
      </c>
      <c r="I49">
        <v>100</v>
      </c>
      <c r="J49" s="3">
        <v>46388</v>
      </c>
      <c r="K49" s="6">
        <v>0</v>
      </c>
    </row>
    <row r="50" spans="1:11">
      <c r="A50" t="str">
        <f t="shared" si="0"/>
        <v>Agus 500 SC 100 X 100 ml464470</v>
      </c>
      <c r="B50" t="s">
        <v>9869</v>
      </c>
      <c r="C50" t="s">
        <v>11953</v>
      </c>
      <c r="D50" t="s">
        <v>14432</v>
      </c>
      <c r="E50" t="s">
        <v>80</v>
      </c>
      <c r="F50">
        <v>100</v>
      </c>
      <c r="G50">
        <v>1</v>
      </c>
      <c r="H50">
        <v>1</v>
      </c>
      <c r="I50">
        <v>100</v>
      </c>
      <c r="J50" s="3">
        <v>46447</v>
      </c>
      <c r="K50" s="6">
        <v>0</v>
      </c>
    </row>
    <row r="51" spans="1:11">
      <c r="A51" t="str">
        <f t="shared" si="0"/>
        <v>Agus 500 SC 40 X 250 ml463880</v>
      </c>
      <c r="B51" t="s">
        <v>9870</v>
      </c>
      <c r="C51" t="s">
        <v>11954</v>
      </c>
      <c r="D51" t="s">
        <v>14433</v>
      </c>
      <c r="E51" t="s">
        <v>83</v>
      </c>
      <c r="F51">
        <v>40</v>
      </c>
      <c r="G51">
        <v>1</v>
      </c>
      <c r="H51">
        <v>1</v>
      </c>
      <c r="I51">
        <v>40</v>
      </c>
      <c r="J51" s="3">
        <v>46388</v>
      </c>
      <c r="K51" s="6">
        <v>0</v>
      </c>
    </row>
    <row r="52" spans="1:11">
      <c r="A52" t="str">
        <f t="shared" si="0"/>
        <v>Agus 500 SC 40 X 250 ml464470</v>
      </c>
      <c r="B52" t="s">
        <v>9871</v>
      </c>
      <c r="C52" t="s">
        <v>11955</v>
      </c>
      <c r="D52" t="s">
        <v>14434</v>
      </c>
      <c r="E52" t="s">
        <v>83</v>
      </c>
      <c r="F52">
        <v>40</v>
      </c>
      <c r="G52">
        <v>1</v>
      </c>
      <c r="H52">
        <v>1</v>
      </c>
      <c r="I52">
        <v>40</v>
      </c>
      <c r="J52" s="3">
        <v>46447</v>
      </c>
      <c r="K52" s="6">
        <v>0</v>
      </c>
    </row>
    <row r="53" spans="1:11">
      <c r="A53" t="str">
        <f t="shared" si="0"/>
        <v>Ajin 70 WP 20 X 20 X 25 gr465390</v>
      </c>
      <c r="B53" t="s">
        <v>9872</v>
      </c>
      <c r="C53" t="s">
        <v>11956</v>
      </c>
      <c r="D53" t="s">
        <v>14435</v>
      </c>
      <c r="E53" t="s">
        <v>86</v>
      </c>
      <c r="F53">
        <v>20</v>
      </c>
      <c r="G53">
        <v>20</v>
      </c>
      <c r="H53">
        <v>1</v>
      </c>
      <c r="I53">
        <v>400</v>
      </c>
      <c r="J53" s="3">
        <v>46539</v>
      </c>
      <c r="K53" s="6">
        <v>0</v>
      </c>
    </row>
    <row r="54" spans="1:11">
      <c r="A54" t="str">
        <f t="shared" si="0"/>
        <v>Akalis 550 SC 10 X 1 ltr457170</v>
      </c>
      <c r="B54" t="s">
        <v>9873</v>
      </c>
      <c r="C54" t="s">
        <v>11957</v>
      </c>
      <c r="D54" t="s">
        <v>14436</v>
      </c>
      <c r="E54" t="s">
        <v>88</v>
      </c>
      <c r="F54">
        <v>10</v>
      </c>
      <c r="G54">
        <v>1</v>
      </c>
      <c r="H54">
        <v>1</v>
      </c>
      <c r="I54">
        <v>10</v>
      </c>
      <c r="J54" s="3">
        <v>45717</v>
      </c>
      <c r="K54" s="6">
        <v>0</v>
      </c>
    </row>
    <row r="55" spans="1:11">
      <c r="A55" t="str">
        <f t="shared" si="0"/>
        <v>Akalis 550 SC 10 X 1 ltr462660</v>
      </c>
      <c r="B55" t="s">
        <v>9874</v>
      </c>
      <c r="C55" t="s">
        <v>11958</v>
      </c>
      <c r="D55" t="s">
        <v>14437</v>
      </c>
      <c r="E55" t="s">
        <v>88</v>
      </c>
      <c r="F55">
        <v>10</v>
      </c>
      <c r="G55">
        <v>1</v>
      </c>
      <c r="H55">
        <v>1</v>
      </c>
      <c r="I55">
        <v>10</v>
      </c>
      <c r="J55" s="3">
        <v>46266</v>
      </c>
      <c r="K55" s="6">
        <v>0</v>
      </c>
    </row>
    <row r="56" spans="1:11">
      <c r="A56" t="str">
        <f t="shared" si="0"/>
        <v>Akalis 550 SC 20 X 500 ml466310</v>
      </c>
      <c r="B56" t="s">
        <v>9875</v>
      </c>
      <c r="C56" t="s">
        <v>11959</v>
      </c>
      <c r="D56" t="s">
        <v>14438</v>
      </c>
      <c r="E56" t="s">
        <v>92</v>
      </c>
      <c r="F56">
        <v>20</v>
      </c>
      <c r="G56">
        <v>1</v>
      </c>
      <c r="H56">
        <v>1</v>
      </c>
      <c r="I56">
        <v>20</v>
      </c>
      <c r="J56" s="3">
        <v>46631</v>
      </c>
      <c r="K56" s="6">
        <v>0</v>
      </c>
    </row>
    <row r="57" spans="1:11">
      <c r="A57" t="str">
        <f t="shared" si="0"/>
        <v>Akalis 550 SC 20 X 500 ml463570</v>
      </c>
      <c r="B57" t="s">
        <v>9876</v>
      </c>
      <c r="C57" t="s">
        <v>11960</v>
      </c>
      <c r="D57" t="s">
        <v>14439</v>
      </c>
      <c r="E57" t="s">
        <v>92</v>
      </c>
      <c r="F57">
        <v>20</v>
      </c>
      <c r="G57">
        <v>1</v>
      </c>
      <c r="H57">
        <v>1</v>
      </c>
      <c r="I57">
        <v>20</v>
      </c>
      <c r="J57" s="3">
        <v>46357</v>
      </c>
      <c r="K57" s="6">
        <v>0</v>
      </c>
    </row>
    <row r="58" spans="1:11">
      <c r="A58" t="str">
        <f t="shared" si="0"/>
        <v>Akalis 550 SC 40 X 250 ml457170</v>
      </c>
      <c r="B58" t="s">
        <v>9877</v>
      </c>
      <c r="C58" t="s">
        <v>11961</v>
      </c>
      <c r="D58" t="s">
        <v>14440</v>
      </c>
      <c r="E58" t="s">
        <v>95</v>
      </c>
      <c r="F58">
        <v>40</v>
      </c>
      <c r="G58">
        <v>1</v>
      </c>
      <c r="H58">
        <v>1</v>
      </c>
      <c r="I58">
        <v>40</v>
      </c>
      <c r="J58" s="3">
        <v>45717</v>
      </c>
      <c r="K58" s="6">
        <v>0</v>
      </c>
    </row>
    <row r="59" spans="1:11">
      <c r="A59" t="str">
        <f t="shared" si="0"/>
        <v>Akrostar 40 WP 100 X 100 gr459010</v>
      </c>
      <c r="B59" t="s">
        <v>9878</v>
      </c>
      <c r="C59" t="s">
        <v>11962</v>
      </c>
      <c r="D59" t="s">
        <v>14441</v>
      </c>
      <c r="E59" t="s">
        <v>97</v>
      </c>
      <c r="F59">
        <v>100</v>
      </c>
      <c r="G59">
        <v>1</v>
      </c>
      <c r="H59">
        <v>1</v>
      </c>
      <c r="I59">
        <v>100</v>
      </c>
      <c r="J59" s="3">
        <v>45901</v>
      </c>
      <c r="K59" s="6">
        <v>0</v>
      </c>
    </row>
    <row r="60" spans="1:11">
      <c r="A60" t="str">
        <f t="shared" si="0"/>
        <v>Akrostar 40 WP 60 X 40 gr461740</v>
      </c>
      <c r="B60" t="s">
        <v>9879</v>
      </c>
      <c r="C60" t="s">
        <v>11963</v>
      </c>
      <c r="D60" t="s">
        <v>14442</v>
      </c>
      <c r="E60" t="s">
        <v>98</v>
      </c>
      <c r="F60">
        <v>60</v>
      </c>
      <c r="G60">
        <v>1</v>
      </c>
      <c r="H60">
        <v>1</v>
      </c>
      <c r="I60">
        <v>60</v>
      </c>
      <c r="J60" s="3">
        <v>46174</v>
      </c>
      <c r="K60" s="6">
        <v>0</v>
      </c>
    </row>
    <row r="61" spans="1:11">
      <c r="A61" t="str">
        <f t="shared" si="0"/>
        <v>Alat Kocor Pupuk Cair Jitu 20 Ltr1/1/10000</v>
      </c>
      <c r="B61" t="s">
        <v>9880</v>
      </c>
      <c r="C61" t="s">
        <v>11964</v>
      </c>
      <c r="D61" t="s">
        <v>14443</v>
      </c>
      <c r="E61" t="s">
        <v>99</v>
      </c>
      <c r="F61">
        <v>1</v>
      </c>
      <c r="G61">
        <v>1</v>
      </c>
      <c r="H61">
        <v>1</v>
      </c>
      <c r="I61">
        <v>1</v>
      </c>
      <c r="J61" s="3" t="s">
        <v>2222</v>
      </c>
      <c r="K61" s="6">
        <v>0</v>
      </c>
    </row>
    <row r="62" spans="1:11">
      <c r="A62" t="str">
        <f t="shared" si="0"/>
        <v>Alat Kocor Pupuk Cair Quda Karisma1/1/10000</v>
      </c>
      <c r="B62" t="s">
        <v>9881</v>
      </c>
      <c r="C62" t="s">
        <v>11965</v>
      </c>
      <c r="D62" t="s">
        <v>14444</v>
      </c>
      <c r="E62" t="s">
        <v>102</v>
      </c>
      <c r="F62">
        <v>1</v>
      </c>
      <c r="G62">
        <v>1</v>
      </c>
      <c r="H62">
        <v>1</v>
      </c>
      <c r="I62">
        <v>1</v>
      </c>
      <c r="J62" s="3" t="s">
        <v>2222</v>
      </c>
      <c r="K62" s="6">
        <v>0</v>
      </c>
    </row>
    <row r="63" spans="1:11">
      <c r="A63" t="str">
        <f t="shared" si="0"/>
        <v>Alat Kocor Pupuk Padat Quda Karisma1/1/10000</v>
      </c>
      <c r="B63" t="s">
        <v>9882</v>
      </c>
      <c r="C63" t="s">
        <v>11966</v>
      </c>
      <c r="D63" t="s">
        <v>14445</v>
      </c>
      <c r="E63" t="s">
        <v>103</v>
      </c>
      <c r="F63">
        <v>1</v>
      </c>
      <c r="G63">
        <v>1</v>
      </c>
      <c r="H63">
        <v>1</v>
      </c>
      <c r="I63">
        <v>1</v>
      </c>
      <c r="J63" s="3" t="s">
        <v>2222</v>
      </c>
      <c r="K63" s="6">
        <v>0</v>
      </c>
    </row>
    <row r="64" spans="1:11">
      <c r="A64" t="str">
        <f t="shared" si="0"/>
        <v>Alat Kocor Pupuk Padat Satagro 25 ltr1/1/10000</v>
      </c>
      <c r="B64" t="s">
        <v>9883</v>
      </c>
      <c r="C64" t="s">
        <v>11967</v>
      </c>
      <c r="D64" t="s">
        <v>14446</v>
      </c>
      <c r="E64" t="s">
        <v>104</v>
      </c>
      <c r="F64">
        <v>1</v>
      </c>
      <c r="G64">
        <v>1</v>
      </c>
      <c r="H64">
        <v>1</v>
      </c>
      <c r="I64">
        <v>1</v>
      </c>
      <c r="J64" s="3" t="s">
        <v>2222</v>
      </c>
      <c r="K64" s="6">
        <v>0</v>
      </c>
    </row>
    <row r="65" spans="1:11">
      <c r="A65" t="str">
        <f t="shared" si="0"/>
        <v>Alat Pengikat Tanaman Yoto1/1/10000</v>
      </c>
      <c r="B65" t="s">
        <v>9884</v>
      </c>
      <c r="C65" t="s">
        <v>11968</v>
      </c>
      <c r="D65" t="s">
        <v>14447</v>
      </c>
      <c r="E65" t="s">
        <v>105</v>
      </c>
      <c r="F65">
        <v>1</v>
      </c>
      <c r="G65">
        <v>1</v>
      </c>
      <c r="H65">
        <v>1</v>
      </c>
      <c r="I65">
        <v>1</v>
      </c>
      <c r="J65" s="3" t="s">
        <v>2222</v>
      </c>
      <c r="K65" s="6">
        <v>0</v>
      </c>
    </row>
    <row r="66" spans="1:11">
      <c r="A66" t="str">
        <f t="shared" si="0"/>
        <v>Alat Service YT 5L / 7L1/1/10000</v>
      </c>
      <c r="B66" t="s">
        <v>9885</v>
      </c>
      <c r="C66" t="s">
        <v>11969</v>
      </c>
      <c r="D66" t="s">
        <v>14448</v>
      </c>
      <c r="E66" t="s">
        <v>106</v>
      </c>
      <c r="F66">
        <v>1</v>
      </c>
      <c r="G66">
        <v>1</v>
      </c>
      <c r="H66">
        <v>1</v>
      </c>
      <c r="I66">
        <v>1</v>
      </c>
      <c r="J66" s="3" t="s">
        <v>2222</v>
      </c>
      <c r="K66" s="6">
        <v>0</v>
      </c>
    </row>
    <row r="67" spans="1:11">
      <c r="A67" t="str">
        <f t="shared" ref="A67:A130" si="1">E67&amp;J67&amp;K67</f>
        <v>Alat Tanam Jagung 1 Output Satagro MTB-006 6 X 1 pcs1/1/10000</v>
      </c>
      <c r="B67" t="s">
        <v>9886</v>
      </c>
      <c r="C67" t="s">
        <v>11970</v>
      </c>
      <c r="D67" t="s">
        <v>14449</v>
      </c>
      <c r="E67" t="s">
        <v>107</v>
      </c>
      <c r="F67">
        <v>6</v>
      </c>
      <c r="G67">
        <v>1</v>
      </c>
      <c r="H67">
        <v>1</v>
      </c>
      <c r="I67">
        <v>6</v>
      </c>
      <c r="J67" s="3" t="s">
        <v>2222</v>
      </c>
      <c r="K67" s="6">
        <v>0</v>
      </c>
    </row>
    <row r="68" spans="1:11">
      <c r="A68" t="str">
        <f t="shared" si="1"/>
        <v>Alat Tanam Roll MTB-008 SS1/1/10000</v>
      </c>
      <c r="B68" t="s">
        <v>9887</v>
      </c>
      <c r="C68" t="s">
        <v>11971</v>
      </c>
      <c r="D68" t="s">
        <v>14450</v>
      </c>
      <c r="E68" t="s">
        <v>108</v>
      </c>
      <c r="F68">
        <v>1</v>
      </c>
      <c r="G68">
        <v>1</v>
      </c>
      <c r="H68">
        <v>1</v>
      </c>
      <c r="I68">
        <v>1</v>
      </c>
      <c r="J68" s="3" t="s">
        <v>2222</v>
      </c>
      <c r="K68" s="6">
        <v>0</v>
      </c>
    </row>
    <row r="69" spans="1:11">
      <c r="A69" t="str">
        <f t="shared" si="1"/>
        <v>Alat Tanam Roll MTB-010 SS1/1/10000</v>
      </c>
      <c r="B69" t="s">
        <v>9888</v>
      </c>
      <c r="C69" t="s">
        <v>11972</v>
      </c>
      <c r="D69" t="s">
        <v>14451</v>
      </c>
      <c r="E69" t="s">
        <v>109</v>
      </c>
      <c r="F69">
        <v>1</v>
      </c>
      <c r="G69">
        <v>1</v>
      </c>
      <c r="H69">
        <v>1</v>
      </c>
      <c r="I69">
        <v>1</v>
      </c>
      <c r="J69" s="3" t="s">
        <v>2222</v>
      </c>
      <c r="K69" s="6">
        <v>0</v>
      </c>
    </row>
    <row r="70" spans="1:11">
      <c r="A70" t="str">
        <f t="shared" si="1"/>
        <v>Alfatox 50 EC 20 X 400 ml (AGM)470880</v>
      </c>
      <c r="B70" t="s">
        <v>9889</v>
      </c>
      <c r="C70" t="s">
        <v>11973</v>
      </c>
      <c r="D70" t="s">
        <v>14452</v>
      </c>
      <c r="E70" t="s">
        <v>110</v>
      </c>
      <c r="F70">
        <v>20</v>
      </c>
      <c r="G70">
        <v>1</v>
      </c>
      <c r="H70">
        <v>1</v>
      </c>
      <c r="I70">
        <v>20</v>
      </c>
      <c r="J70" s="3">
        <v>47088</v>
      </c>
      <c r="K70" s="6">
        <v>0</v>
      </c>
    </row>
    <row r="71" spans="1:11">
      <c r="A71" t="str">
        <f t="shared" si="1"/>
        <v>Alfatox 50 EC 20 X 400 ml (AGM)471780</v>
      </c>
      <c r="B71" t="s">
        <v>9890</v>
      </c>
      <c r="C71" t="s">
        <v>11974</v>
      </c>
      <c r="D71" t="s">
        <v>14453</v>
      </c>
      <c r="E71" t="s">
        <v>110</v>
      </c>
      <c r="F71">
        <v>20</v>
      </c>
      <c r="G71">
        <v>1</v>
      </c>
      <c r="H71">
        <v>1</v>
      </c>
      <c r="I71">
        <v>20</v>
      </c>
      <c r="J71" s="3">
        <v>47178</v>
      </c>
      <c r="K71" s="6">
        <v>0</v>
      </c>
    </row>
    <row r="72" spans="1:11">
      <c r="A72" t="str">
        <f t="shared" si="1"/>
        <v>Alfatox 50 EC 40 X 200 ml (AGM)469050</v>
      </c>
      <c r="B72" t="s">
        <v>9891</v>
      </c>
      <c r="C72" t="s">
        <v>11975</v>
      </c>
      <c r="D72" t="s">
        <v>14454</v>
      </c>
      <c r="E72" t="s">
        <v>113</v>
      </c>
      <c r="F72">
        <v>40</v>
      </c>
      <c r="G72">
        <v>1</v>
      </c>
      <c r="H72">
        <v>1</v>
      </c>
      <c r="I72">
        <v>40</v>
      </c>
      <c r="J72" s="3">
        <v>46905</v>
      </c>
      <c r="K72" s="6">
        <v>0</v>
      </c>
    </row>
    <row r="73" spans="1:11">
      <c r="A73" t="str">
        <f t="shared" si="1"/>
        <v>Alfatox 50 EC 40 X 200 ml (AGM)470880</v>
      </c>
      <c r="B73" t="s">
        <v>9892</v>
      </c>
      <c r="C73" t="s">
        <v>11976</v>
      </c>
      <c r="D73" t="s">
        <v>14455</v>
      </c>
      <c r="E73" t="s">
        <v>113</v>
      </c>
      <c r="F73">
        <v>40</v>
      </c>
      <c r="G73">
        <v>1</v>
      </c>
      <c r="H73">
        <v>1</v>
      </c>
      <c r="I73">
        <v>40</v>
      </c>
      <c r="J73" s="3">
        <v>47088</v>
      </c>
      <c r="K73" s="6">
        <v>0</v>
      </c>
    </row>
    <row r="74" spans="1:11">
      <c r="A74" t="str">
        <f t="shared" si="1"/>
        <v>Alfatox 50 EC 50 X 80 ml (AGM)471780</v>
      </c>
      <c r="B74" t="s">
        <v>9893</v>
      </c>
      <c r="C74" t="s">
        <v>11977</v>
      </c>
      <c r="D74" t="s">
        <v>14456</v>
      </c>
      <c r="E74" t="s">
        <v>116</v>
      </c>
      <c r="F74">
        <v>50</v>
      </c>
      <c r="G74">
        <v>1</v>
      </c>
      <c r="H74">
        <v>1</v>
      </c>
      <c r="I74">
        <v>50</v>
      </c>
      <c r="J74" s="3">
        <v>47178</v>
      </c>
      <c r="K74" s="6">
        <v>0</v>
      </c>
    </row>
    <row r="75" spans="1:11">
      <c r="A75" t="str">
        <f t="shared" si="1"/>
        <v>Alika 247 ZC 100 X 50 ml458390</v>
      </c>
      <c r="B75" t="s">
        <v>9894</v>
      </c>
      <c r="C75" t="s">
        <v>11978</v>
      </c>
      <c r="D75" t="s">
        <v>14457</v>
      </c>
      <c r="E75" t="s">
        <v>118</v>
      </c>
      <c r="F75">
        <v>100</v>
      </c>
      <c r="G75">
        <v>1</v>
      </c>
      <c r="H75">
        <v>1</v>
      </c>
      <c r="I75">
        <v>100</v>
      </c>
      <c r="J75" s="3">
        <v>45839</v>
      </c>
      <c r="K75" s="6">
        <v>0</v>
      </c>
    </row>
    <row r="76" spans="1:11">
      <c r="A76" t="str">
        <f t="shared" si="1"/>
        <v>Alika 247 ZC 40 X 250 ml458390</v>
      </c>
      <c r="B76" t="s">
        <v>9895</v>
      </c>
      <c r="C76" t="s">
        <v>11979</v>
      </c>
      <c r="D76" t="s">
        <v>14458</v>
      </c>
      <c r="E76" t="s">
        <v>122</v>
      </c>
      <c r="F76">
        <v>40</v>
      </c>
      <c r="G76">
        <v>1</v>
      </c>
      <c r="H76">
        <v>1</v>
      </c>
      <c r="I76">
        <v>40</v>
      </c>
      <c r="J76" s="3">
        <v>45839</v>
      </c>
      <c r="K76" s="6">
        <v>0</v>
      </c>
    </row>
    <row r="77" spans="1:11">
      <c r="A77" t="str">
        <f t="shared" si="1"/>
        <v>Alika 247 ZC 40 X 250 ml458090</v>
      </c>
      <c r="B77" t="s">
        <v>9896</v>
      </c>
      <c r="C77" t="s">
        <v>11980</v>
      </c>
      <c r="D77" t="s">
        <v>14459</v>
      </c>
      <c r="E77" t="s">
        <v>122</v>
      </c>
      <c r="F77">
        <v>40</v>
      </c>
      <c r="G77">
        <v>1</v>
      </c>
      <c r="H77">
        <v>1</v>
      </c>
      <c r="I77">
        <v>40</v>
      </c>
      <c r="J77" s="3">
        <v>45809</v>
      </c>
      <c r="K77" s="6">
        <v>0</v>
      </c>
    </row>
    <row r="78" spans="1:11">
      <c r="A78" t="str">
        <f t="shared" si="1"/>
        <v>Alika 247 ZC 50 X 100 ml458090</v>
      </c>
      <c r="B78" t="s">
        <v>9897</v>
      </c>
      <c r="C78" t="s">
        <v>11981</v>
      </c>
      <c r="D78" t="s">
        <v>14460</v>
      </c>
      <c r="E78" t="s">
        <v>126</v>
      </c>
      <c r="F78">
        <v>50</v>
      </c>
      <c r="G78">
        <v>1</v>
      </c>
      <c r="H78">
        <v>1</v>
      </c>
      <c r="I78">
        <v>50</v>
      </c>
      <c r="J78" s="3">
        <v>45809</v>
      </c>
      <c r="K78" s="6">
        <v>0</v>
      </c>
    </row>
    <row r="79" spans="1:11">
      <c r="A79" t="str">
        <f t="shared" si="1"/>
        <v>Alika 247 ZC 50 X 100 ml458390</v>
      </c>
      <c r="B79" t="s">
        <v>9898</v>
      </c>
      <c r="C79" t="s">
        <v>11982</v>
      </c>
      <c r="D79" t="s">
        <v>14461</v>
      </c>
      <c r="E79" t="s">
        <v>126</v>
      </c>
      <c r="F79">
        <v>50</v>
      </c>
      <c r="G79">
        <v>1</v>
      </c>
      <c r="H79">
        <v>1</v>
      </c>
      <c r="I79">
        <v>50</v>
      </c>
      <c r="J79" s="3">
        <v>45839</v>
      </c>
      <c r="K79" s="6">
        <v>0</v>
      </c>
    </row>
    <row r="80" spans="1:11">
      <c r="A80" t="str">
        <f t="shared" si="1"/>
        <v>Amabas 500 EC 16 X 1 ltr471500</v>
      </c>
      <c r="B80" t="s">
        <v>9899</v>
      </c>
      <c r="C80" t="s">
        <v>11983</v>
      </c>
      <c r="D80" t="s">
        <v>14462</v>
      </c>
      <c r="E80" t="s">
        <v>129</v>
      </c>
      <c r="F80">
        <v>16</v>
      </c>
      <c r="G80">
        <v>1</v>
      </c>
      <c r="H80">
        <v>1</v>
      </c>
      <c r="I80">
        <v>16</v>
      </c>
      <c r="J80" s="3">
        <v>47150</v>
      </c>
      <c r="K80" s="6">
        <v>0</v>
      </c>
    </row>
    <row r="81" spans="1:11">
      <c r="A81" t="str">
        <f t="shared" si="1"/>
        <v>Amabas 500 EC 16 X 1 ltr471780</v>
      </c>
      <c r="B81" t="s">
        <v>9900</v>
      </c>
      <c r="C81" t="s">
        <v>11984</v>
      </c>
      <c r="D81" t="s">
        <v>14463</v>
      </c>
      <c r="E81" t="s">
        <v>129</v>
      </c>
      <c r="F81">
        <v>16</v>
      </c>
      <c r="G81">
        <v>1</v>
      </c>
      <c r="H81">
        <v>1</v>
      </c>
      <c r="I81">
        <v>16</v>
      </c>
      <c r="J81" s="3">
        <v>47178</v>
      </c>
      <c r="K81" s="6">
        <v>0</v>
      </c>
    </row>
    <row r="82" spans="1:11">
      <c r="A82" t="str">
        <f t="shared" si="1"/>
        <v>Amabas 500 EC 16 X 1 ltr472090</v>
      </c>
      <c r="B82" t="s">
        <v>9901</v>
      </c>
      <c r="C82" t="s">
        <v>11985</v>
      </c>
      <c r="D82" t="s">
        <v>14464</v>
      </c>
      <c r="E82" t="s">
        <v>129</v>
      </c>
      <c r="F82">
        <v>16</v>
      </c>
      <c r="G82">
        <v>1</v>
      </c>
      <c r="H82">
        <v>1</v>
      </c>
      <c r="I82">
        <v>16</v>
      </c>
      <c r="J82" s="3">
        <v>47209</v>
      </c>
      <c r="K82" s="6">
        <v>0</v>
      </c>
    </row>
    <row r="83" spans="1:11">
      <c r="A83" t="str">
        <f t="shared" si="1"/>
        <v>Amabas 500 EC 20 X 400 ml472090</v>
      </c>
      <c r="B83" t="s">
        <v>9902</v>
      </c>
      <c r="C83" t="s">
        <v>11986</v>
      </c>
      <c r="D83" t="s">
        <v>14465</v>
      </c>
      <c r="E83" t="s">
        <v>130</v>
      </c>
      <c r="F83">
        <v>20</v>
      </c>
      <c r="G83">
        <v>1</v>
      </c>
      <c r="H83">
        <v>1</v>
      </c>
      <c r="I83">
        <v>20</v>
      </c>
      <c r="J83" s="3">
        <v>47209</v>
      </c>
      <c r="K83" s="6">
        <v>0</v>
      </c>
    </row>
    <row r="84" spans="1:11">
      <c r="A84" t="str">
        <f t="shared" si="1"/>
        <v>Amazone 80 EC 40 X 200 ml469970</v>
      </c>
      <c r="B84" t="s">
        <v>9903</v>
      </c>
      <c r="C84" t="s">
        <v>11987</v>
      </c>
      <c r="D84" t="s">
        <v>14466</v>
      </c>
      <c r="E84" t="s">
        <v>131</v>
      </c>
      <c r="F84">
        <v>40</v>
      </c>
      <c r="G84">
        <v>1</v>
      </c>
      <c r="H84">
        <v>1</v>
      </c>
      <c r="I84">
        <v>40</v>
      </c>
      <c r="J84" s="3">
        <v>46997</v>
      </c>
      <c r="K84" s="6">
        <v>0</v>
      </c>
    </row>
    <row r="85" spans="1:11">
      <c r="A85" t="str">
        <f t="shared" si="1"/>
        <v>Ambest 100 ME 40 X 250 ml467530</v>
      </c>
      <c r="B85" t="s">
        <v>9904</v>
      </c>
      <c r="C85" t="s">
        <v>11988</v>
      </c>
      <c r="D85" t="s">
        <v>14467</v>
      </c>
      <c r="E85" t="s">
        <v>132</v>
      </c>
      <c r="F85">
        <v>40</v>
      </c>
      <c r="G85">
        <v>1</v>
      </c>
      <c r="H85">
        <v>1</v>
      </c>
      <c r="I85">
        <v>40</v>
      </c>
      <c r="J85" s="3">
        <v>46753</v>
      </c>
      <c r="K85" s="6">
        <v>0</v>
      </c>
    </row>
    <row r="86" spans="1:11">
      <c r="A86" t="str">
        <f t="shared" si="1"/>
        <v>Ambest 100 ME 50 X 100 ml467530</v>
      </c>
      <c r="B86" t="s">
        <v>9905</v>
      </c>
      <c r="C86" t="s">
        <v>11989</v>
      </c>
      <c r="D86" t="s">
        <v>14468</v>
      </c>
      <c r="E86" t="s">
        <v>133</v>
      </c>
      <c r="F86">
        <v>50</v>
      </c>
      <c r="G86">
        <v>1</v>
      </c>
      <c r="H86">
        <v>1</v>
      </c>
      <c r="I86">
        <v>50</v>
      </c>
      <c r="J86" s="3">
        <v>46753</v>
      </c>
      <c r="K86" s="6">
        <v>0</v>
      </c>
    </row>
    <row r="87" spans="1:11">
      <c r="A87" t="str">
        <f t="shared" si="1"/>
        <v>Amco Up 486 SL 20 ltr470580</v>
      </c>
      <c r="B87" t="s">
        <v>9906</v>
      </c>
      <c r="C87" t="s">
        <v>11990</v>
      </c>
      <c r="D87" t="s">
        <v>14469</v>
      </c>
      <c r="E87" t="s">
        <v>134</v>
      </c>
      <c r="F87">
        <v>1</v>
      </c>
      <c r="G87">
        <v>1</v>
      </c>
      <c r="H87">
        <v>1</v>
      </c>
      <c r="I87">
        <v>1</v>
      </c>
      <c r="J87" s="3">
        <v>47058</v>
      </c>
      <c r="K87" s="6">
        <v>0</v>
      </c>
    </row>
    <row r="88" spans="1:11">
      <c r="A88" t="str">
        <f t="shared" si="1"/>
        <v>Amco Up 486 SL 20 X 1 ltr470270</v>
      </c>
      <c r="B88" t="s">
        <v>9907</v>
      </c>
      <c r="C88" t="s">
        <v>11991</v>
      </c>
      <c r="D88" t="s">
        <v>14470</v>
      </c>
      <c r="E88" t="s">
        <v>135</v>
      </c>
      <c r="F88">
        <v>20</v>
      </c>
      <c r="G88">
        <v>1</v>
      </c>
      <c r="H88">
        <v>1</v>
      </c>
      <c r="I88">
        <v>20</v>
      </c>
      <c r="J88" s="3">
        <v>47027</v>
      </c>
      <c r="K88" s="6">
        <v>0</v>
      </c>
    </row>
    <row r="89" spans="1:11">
      <c r="A89" t="str">
        <f t="shared" si="1"/>
        <v>Amco Up 486 SL 20 X 1 ltr470580</v>
      </c>
      <c r="B89" t="s">
        <v>9908</v>
      </c>
      <c r="C89" t="s">
        <v>11992</v>
      </c>
      <c r="D89" t="s">
        <v>14471</v>
      </c>
      <c r="E89" t="s">
        <v>135</v>
      </c>
      <c r="F89">
        <v>20</v>
      </c>
      <c r="G89">
        <v>1</v>
      </c>
      <c r="H89">
        <v>1</v>
      </c>
      <c r="I89">
        <v>20</v>
      </c>
      <c r="J89" s="3">
        <v>47058</v>
      </c>
      <c r="K89" s="6">
        <v>0</v>
      </c>
    </row>
    <row r="90" spans="1:11">
      <c r="A90" t="str">
        <f t="shared" si="1"/>
        <v>Amco Up 486 SL 4 X 5 ltr470580</v>
      </c>
      <c r="B90" t="s">
        <v>9909</v>
      </c>
      <c r="C90" t="s">
        <v>11993</v>
      </c>
      <c r="D90" t="s">
        <v>14472</v>
      </c>
      <c r="E90" t="s">
        <v>136</v>
      </c>
      <c r="F90">
        <v>4</v>
      </c>
      <c r="G90">
        <v>1</v>
      </c>
      <c r="H90">
        <v>1</v>
      </c>
      <c r="I90">
        <v>4</v>
      </c>
      <c r="J90" s="3">
        <v>47058</v>
      </c>
      <c r="K90" s="6">
        <v>0</v>
      </c>
    </row>
    <row r="91" spans="1:11">
      <c r="A91" t="str">
        <f t="shared" si="1"/>
        <v>Amcoron 80 WP 20 X 1 kg462960</v>
      </c>
      <c r="B91" t="s">
        <v>9910</v>
      </c>
      <c r="C91" t="s">
        <v>11994</v>
      </c>
      <c r="D91" t="s">
        <v>14473</v>
      </c>
      <c r="E91" t="s">
        <v>137</v>
      </c>
      <c r="F91">
        <v>20</v>
      </c>
      <c r="G91">
        <v>1</v>
      </c>
      <c r="H91">
        <v>1</v>
      </c>
      <c r="I91">
        <v>20</v>
      </c>
      <c r="J91" s="3">
        <v>46296</v>
      </c>
      <c r="K91" s="6">
        <v>0</v>
      </c>
    </row>
    <row r="92" spans="1:11">
      <c r="A92" t="str">
        <f t="shared" si="1"/>
        <v>Amegu 200 SL 20 X 1 ltr470270</v>
      </c>
      <c r="B92" t="s">
        <v>9911</v>
      </c>
      <c r="C92" t="s">
        <v>11995</v>
      </c>
      <c r="D92" t="s">
        <v>14474</v>
      </c>
      <c r="E92" t="s">
        <v>138</v>
      </c>
      <c r="F92">
        <v>20</v>
      </c>
      <c r="G92">
        <v>1</v>
      </c>
      <c r="H92">
        <v>1</v>
      </c>
      <c r="I92">
        <v>20</v>
      </c>
      <c r="J92" s="3">
        <v>47027</v>
      </c>
      <c r="K92" s="6">
        <v>0</v>
      </c>
    </row>
    <row r="93" spans="1:11">
      <c r="A93" t="str">
        <f t="shared" si="1"/>
        <v>Amiboost Anti Stress 10 X 1 ltr458700</v>
      </c>
      <c r="B93" t="s">
        <v>9912</v>
      </c>
      <c r="C93" t="s">
        <v>11996</v>
      </c>
      <c r="D93" t="s">
        <v>14475</v>
      </c>
      <c r="E93" t="s">
        <v>139</v>
      </c>
      <c r="F93">
        <v>10</v>
      </c>
      <c r="G93">
        <v>1</v>
      </c>
      <c r="H93">
        <v>1</v>
      </c>
      <c r="I93">
        <v>10</v>
      </c>
      <c r="J93" s="3">
        <v>45870</v>
      </c>
      <c r="K93" s="6">
        <v>0</v>
      </c>
    </row>
    <row r="94" spans="1:11">
      <c r="A94" t="str">
        <f t="shared" si="1"/>
        <v>Amiboost Anti Stress 20 X 250 ml (Sample)458700</v>
      </c>
      <c r="B94" t="s">
        <v>9913</v>
      </c>
      <c r="C94" t="s">
        <v>11997</v>
      </c>
      <c r="D94" t="s">
        <v>14476</v>
      </c>
      <c r="E94" t="s">
        <v>140</v>
      </c>
      <c r="F94">
        <v>20</v>
      </c>
      <c r="G94">
        <v>1</v>
      </c>
      <c r="H94">
        <v>1</v>
      </c>
      <c r="I94">
        <v>20</v>
      </c>
      <c r="J94" s="3">
        <v>45870</v>
      </c>
      <c r="K94" s="6">
        <v>0</v>
      </c>
    </row>
    <row r="95" spans="1:11">
      <c r="A95" t="str">
        <f t="shared" si="1"/>
        <v>Amiboost Anti Stress 20 X 500 ml458700</v>
      </c>
      <c r="B95" t="s">
        <v>9914</v>
      </c>
      <c r="C95" t="s">
        <v>11998</v>
      </c>
      <c r="D95" t="s">
        <v>14477</v>
      </c>
      <c r="E95" t="s">
        <v>141</v>
      </c>
      <c r="F95">
        <v>20</v>
      </c>
      <c r="G95">
        <v>1</v>
      </c>
      <c r="H95">
        <v>1</v>
      </c>
      <c r="I95">
        <v>20</v>
      </c>
      <c r="J95" s="3">
        <v>45870</v>
      </c>
      <c r="K95" s="6">
        <v>0</v>
      </c>
    </row>
    <row r="96" spans="1:11">
      <c r="A96" t="str">
        <f t="shared" si="1"/>
        <v>Amiboost Generative 10 X 1 ltr458700</v>
      </c>
      <c r="B96" t="s">
        <v>9915</v>
      </c>
      <c r="C96" t="s">
        <v>11999</v>
      </c>
      <c r="D96" t="s">
        <v>14478</v>
      </c>
      <c r="E96" t="s">
        <v>142</v>
      </c>
      <c r="F96">
        <v>10</v>
      </c>
      <c r="G96">
        <v>1</v>
      </c>
      <c r="H96">
        <v>1</v>
      </c>
      <c r="I96">
        <v>10</v>
      </c>
      <c r="J96" s="3">
        <v>45870</v>
      </c>
      <c r="K96" s="6">
        <v>0</v>
      </c>
    </row>
    <row r="97" spans="1:11">
      <c r="A97" t="str">
        <f t="shared" si="1"/>
        <v>Amiboost Generative 20 X 250 ml458700</v>
      </c>
      <c r="B97" t="s">
        <v>9916</v>
      </c>
      <c r="C97" t="s">
        <v>12000</v>
      </c>
      <c r="D97" t="s">
        <v>14479</v>
      </c>
      <c r="E97" t="s">
        <v>143</v>
      </c>
      <c r="F97">
        <v>20</v>
      </c>
      <c r="G97">
        <v>1</v>
      </c>
      <c r="H97">
        <v>1</v>
      </c>
      <c r="I97">
        <v>20</v>
      </c>
      <c r="J97" s="3">
        <v>45870</v>
      </c>
      <c r="K97" s="6">
        <v>0</v>
      </c>
    </row>
    <row r="98" spans="1:11">
      <c r="A98" t="str">
        <f t="shared" si="1"/>
        <v>Amiboost Generative 20 X 500 ml458700</v>
      </c>
      <c r="B98" t="s">
        <v>9917</v>
      </c>
      <c r="C98" t="s">
        <v>12001</v>
      </c>
      <c r="D98" t="s">
        <v>14480</v>
      </c>
      <c r="E98" t="s">
        <v>144</v>
      </c>
      <c r="F98">
        <v>20</v>
      </c>
      <c r="G98">
        <v>1</v>
      </c>
      <c r="H98">
        <v>1</v>
      </c>
      <c r="I98">
        <v>20</v>
      </c>
      <c r="J98" s="3">
        <v>45870</v>
      </c>
      <c r="K98" s="6">
        <v>0</v>
      </c>
    </row>
    <row r="99" spans="1:11">
      <c r="A99" t="str">
        <f t="shared" si="1"/>
        <v>Amiboost Vegetative 10 X 1 ltr459920</v>
      </c>
      <c r="B99" t="s">
        <v>9918</v>
      </c>
      <c r="C99" t="s">
        <v>12002</v>
      </c>
      <c r="D99" t="s">
        <v>14481</v>
      </c>
      <c r="E99" t="s">
        <v>145</v>
      </c>
      <c r="F99">
        <v>10</v>
      </c>
      <c r="G99">
        <v>1</v>
      </c>
      <c r="H99">
        <v>1</v>
      </c>
      <c r="I99">
        <v>10</v>
      </c>
      <c r="J99" s="3">
        <v>45992</v>
      </c>
      <c r="K99" s="6">
        <v>0</v>
      </c>
    </row>
    <row r="100" spans="1:11">
      <c r="A100" t="str">
        <f t="shared" si="1"/>
        <v>Amiboost Vegetative 10 X 1 ltr458700</v>
      </c>
      <c r="B100" t="s">
        <v>9919</v>
      </c>
      <c r="C100" t="s">
        <v>12003</v>
      </c>
      <c r="D100" t="s">
        <v>14482</v>
      </c>
      <c r="E100" t="s">
        <v>145</v>
      </c>
      <c r="F100">
        <v>10</v>
      </c>
      <c r="G100">
        <v>1</v>
      </c>
      <c r="H100">
        <v>1</v>
      </c>
      <c r="I100">
        <v>10</v>
      </c>
      <c r="J100" s="3">
        <v>45870</v>
      </c>
      <c r="K100" s="6">
        <v>0</v>
      </c>
    </row>
    <row r="101" spans="1:11">
      <c r="A101" t="str">
        <f t="shared" si="1"/>
        <v>Amiboost Vegetative 20 X 250 ml458700</v>
      </c>
      <c r="B101" t="s">
        <v>9920</v>
      </c>
      <c r="C101" t="s">
        <v>12004</v>
      </c>
      <c r="D101" t="s">
        <v>14483</v>
      </c>
      <c r="E101" t="s">
        <v>146</v>
      </c>
      <c r="F101">
        <v>20</v>
      </c>
      <c r="G101">
        <v>1</v>
      </c>
      <c r="H101">
        <v>1</v>
      </c>
      <c r="I101">
        <v>20</v>
      </c>
      <c r="J101" s="3">
        <v>45870</v>
      </c>
      <c r="K101" s="6">
        <v>0</v>
      </c>
    </row>
    <row r="102" spans="1:11">
      <c r="A102" t="str">
        <f t="shared" si="1"/>
        <v>Amiboost Vegetative 20 X 500 ml458700</v>
      </c>
      <c r="B102" t="s">
        <v>9921</v>
      </c>
      <c r="C102" t="s">
        <v>12005</v>
      </c>
      <c r="D102" t="s">
        <v>14484</v>
      </c>
      <c r="E102" t="s">
        <v>147</v>
      </c>
      <c r="F102">
        <v>20</v>
      </c>
      <c r="G102">
        <v>1</v>
      </c>
      <c r="H102">
        <v>1</v>
      </c>
      <c r="I102">
        <v>20</v>
      </c>
      <c r="J102" s="3">
        <v>45870</v>
      </c>
      <c r="K102" s="6">
        <v>0</v>
      </c>
    </row>
    <row r="103" spans="1:11">
      <c r="A103" t="str">
        <f t="shared" si="1"/>
        <v>Amichlor 400 EC 100 ml1/1/10000</v>
      </c>
      <c r="B103" t="s">
        <v>9922</v>
      </c>
      <c r="C103" t="s">
        <v>12006</v>
      </c>
      <c r="D103" t="s">
        <v>14485</v>
      </c>
      <c r="E103" t="s">
        <v>148</v>
      </c>
      <c r="F103">
        <v>1</v>
      </c>
      <c r="G103">
        <v>1</v>
      </c>
      <c r="H103">
        <v>1</v>
      </c>
      <c r="I103">
        <v>1</v>
      </c>
      <c r="J103" s="3" t="s">
        <v>2222</v>
      </c>
      <c r="K103" s="6">
        <v>0</v>
      </c>
    </row>
    <row r="104" spans="1:11">
      <c r="A104" t="str">
        <f t="shared" si="1"/>
        <v>Aminosong 20 X 500 ml (AGM)471500</v>
      </c>
      <c r="B104" t="s">
        <v>9923</v>
      </c>
      <c r="C104" t="s">
        <v>12007</v>
      </c>
      <c r="D104" t="s">
        <v>14486</v>
      </c>
      <c r="E104" t="s">
        <v>149</v>
      </c>
      <c r="F104">
        <v>20</v>
      </c>
      <c r="G104">
        <v>1</v>
      </c>
      <c r="H104">
        <v>1</v>
      </c>
      <c r="I104">
        <v>20</v>
      </c>
      <c r="J104" s="3">
        <v>47150</v>
      </c>
      <c r="K104" s="6">
        <v>0</v>
      </c>
    </row>
    <row r="105" spans="1:11">
      <c r="A105" t="str">
        <f t="shared" si="1"/>
        <v>Aminosong Mango 500 ml (AGM) (Sample)471500</v>
      </c>
      <c r="B105" t="s">
        <v>9924</v>
      </c>
      <c r="C105" t="s">
        <v>12008</v>
      </c>
      <c r="D105" t="s">
        <v>14487</v>
      </c>
      <c r="E105" t="s">
        <v>152</v>
      </c>
      <c r="F105">
        <v>1</v>
      </c>
      <c r="G105">
        <v>1</v>
      </c>
      <c r="H105">
        <v>1</v>
      </c>
      <c r="I105">
        <v>1</v>
      </c>
      <c r="J105" s="3">
        <v>47150</v>
      </c>
      <c r="K105" s="6">
        <v>0</v>
      </c>
    </row>
    <row r="106" spans="1:11">
      <c r="A106" t="str">
        <f t="shared" si="1"/>
        <v>Amistartop 325 SC 100 X 50 ml461130</v>
      </c>
      <c r="B106" t="s">
        <v>9925</v>
      </c>
      <c r="C106" t="s">
        <v>12009</v>
      </c>
      <c r="D106" t="s">
        <v>14488</v>
      </c>
      <c r="E106" t="s">
        <v>154</v>
      </c>
      <c r="F106">
        <v>100</v>
      </c>
      <c r="G106">
        <v>1</v>
      </c>
      <c r="H106">
        <v>1</v>
      </c>
      <c r="I106">
        <v>100</v>
      </c>
      <c r="J106" s="3">
        <v>46113</v>
      </c>
      <c r="K106" s="6">
        <v>0</v>
      </c>
    </row>
    <row r="107" spans="1:11">
      <c r="A107" t="str">
        <f t="shared" si="1"/>
        <v>Amistartop 325 SC 100 X 50 ml462660</v>
      </c>
      <c r="B107" t="s">
        <v>9926</v>
      </c>
      <c r="C107" t="s">
        <v>12010</v>
      </c>
      <c r="D107" t="s">
        <v>14489</v>
      </c>
      <c r="E107" t="s">
        <v>154</v>
      </c>
      <c r="F107">
        <v>100</v>
      </c>
      <c r="G107">
        <v>1</v>
      </c>
      <c r="H107">
        <v>1</v>
      </c>
      <c r="I107">
        <v>100</v>
      </c>
      <c r="J107" s="3">
        <v>46266</v>
      </c>
      <c r="K107" s="6">
        <v>0</v>
      </c>
    </row>
    <row r="108" spans="1:11">
      <c r="A108" t="str">
        <f t="shared" si="1"/>
        <v>Amistartop 325 SC 20 X 250 ml461740</v>
      </c>
      <c r="B108" t="s">
        <v>9927</v>
      </c>
      <c r="C108" t="s">
        <v>12011</v>
      </c>
      <c r="D108" t="s">
        <v>14490</v>
      </c>
      <c r="E108" t="s">
        <v>158</v>
      </c>
      <c r="F108">
        <v>20</v>
      </c>
      <c r="G108">
        <v>1</v>
      </c>
      <c r="H108">
        <v>1</v>
      </c>
      <c r="I108">
        <v>20</v>
      </c>
      <c r="J108" s="3">
        <v>46174</v>
      </c>
      <c r="K108" s="6">
        <v>0</v>
      </c>
    </row>
    <row r="109" spans="1:11">
      <c r="A109" t="str">
        <f t="shared" si="1"/>
        <v>Amistartop 325 SC 20 X 250 ml462660</v>
      </c>
      <c r="B109" t="s">
        <v>9928</v>
      </c>
      <c r="C109" t="s">
        <v>12012</v>
      </c>
      <c r="D109" t="s">
        <v>14491</v>
      </c>
      <c r="E109" t="s">
        <v>158</v>
      </c>
      <c r="F109">
        <v>20</v>
      </c>
      <c r="G109">
        <v>1</v>
      </c>
      <c r="H109">
        <v>1</v>
      </c>
      <c r="I109">
        <v>20</v>
      </c>
      <c r="J109" s="3">
        <v>46266</v>
      </c>
      <c r="K109" s="6">
        <v>0</v>
      </c>
    </row>
    <row r="110" spans="1:11">
      <c r="A110" t="str">
        <f t="shared" si="1"/>
        <v>Amistartop 325 SC 50 X 100 ml462660</v>
      </c>
      <c r="B110" t="s">
        <v>9929</v>
      </c>
      <c r="C110" t="s">
        <v>12013</v>
      </c>
      <c r="D110" t="s">
        <v>14492</v>
      </c>
      <c r="E110" t="s">
        <v>163</v>
      </c>
      <c r="F110">
        <v>50</v>
      </c>
      <c r="G110">
        <v>1</v>
      </c>
      <c r="H110">
        <v>1</v>
      </c>
      <c r="I110">
        <v>50</v>
      </c>
      <c r="J110" s="3">
        <v>46266</v>
      </c>
      <c r="K110" s="6">
        <v>0</v>
      </c>
    </row>
    <row r="111" spans="1:11">
      <c r="A111" t="str">
        <f t="shared" si="1"/>
        <v>Amolin 300 EC 100 X 100 ml461130</v>
      </c>
      <c r="B111" t="s">
        <v>9930</v>
      </c>
      <c r="C111" t="s">
        <v>12014</v>
      </c>
      <c r="D111" t="s">
        <v>14493</v>
      </c>
      <c r="E111" t="s">
        <v>167</v>
      </c>
      <c r="F111">
        <v>100</v>
      </c>
      <c r="G111">
        <v>1</v>
      </c>
      <c r="H111">
        <v>1</v>
      </c>
      <c r="I111">
        <v>100</v>
      </c>
      <c r="J111" s="3">
        <v>46113</v>
      </c>
      <c r="K111" s="6">
        <v>0</v>
      </c>
    </row>
    <row r="112" spans="1:11">
      <c r="A112" t="str">
        <f t="shared" si="1"/>
        <v>Amolin 300 EC 100 X 100 ml462960</v>
      </c>
      <c r="B112" t="s">
        <v>9931</v>
      </c>
      <c r="C112" t="s">
        <v>12015</v>
      </c>
      <c r="D112" t="s">
        <v>14494</v>
      </c>
      <c r="E112" t="s">
        <v>167</v>
      </c>
      <c r="F112">
        <v>100</v>
      </c>
      <c r="G112">
        <v>1</v>
      </c>
      <c r="H112">
        <v>1</v>
      </c>
      <c r="I112">
        <v>100</v>
      </c>
      <c r="J112" s="3">
        <v>46296</v>
      </c>
      <c r="K112" s="6">
        <v>0</v>
      </c>
    </row>
    <row r="113" spans="1:11">
      <c r="A113" t="str">
        <f t="shared" si="1"/>
        <v>Amolin 300 EC 100 X 100 ml467530</v>
      </c>
      <c r="B113" t="s">
        <v>9932</v>
      </c>
      <c r="C113" t="s">
        <v>12016</v>
      </c>
      <c r="D113" t="s">
        <v>14495</v>
      </c>
      <c r="E113" t="s">
        <v>167</v>
      </c>
      <c r="F113">
        <v>100</v>
      </c>
      <c r="G113">
        <v>1</v>
      </c>
      <c r="H113">
        <v>1</v>
      </c>
      <c r="I113">
        <v>100</v>
      </c>
      <c r="J113" s="3">
        <v>46753</v>
      </c>
      <c r="K113" s="6">
        <v>0</v>
      </c>
    </row>
    <row r="114" spans="1:11">
      <c r="A114" t="str">
        <f t="shared" si="1"/>
        <v>Amolin 300 EC 100 X 100 ml470270</v>
      </c>
      <c r="B114" t="s">
        <v>9933</v>
      </c>
      <c r="C114" t="s">
        <v>12017</v>
      </c>
      <c r="D114" t="s">
        <v>14496</v>
      </c>
      <c r="E114" t="s">
        <v>167</v>
      </c>
      <c r="F114">
        <v>100</v>
      </c>
      <c r="G114">
        <v>1</v>
      </c>
      <c r="H114">
        <v>1</v>
      </c>
      <c r="I114">
        <v>100</v>
      </c>
      <c r="J114" s="3">
        <v>47027</v>
      </c>
      <c r="K114" s="6">
        <v>0</v>
      </c>
    </row>
    <row r="115" spans="1:11">
      <c r="A115" t="str">
        <f t="shared" si="1"/>
        <v>Amolin 300 EC 100 X 100 ml462350</v>
      </c>
      <c r="B115" t="s">
        <v>9934</v>
      </c>
      <c r="C115" t="s">
        <v>12018</v>
      </c>
      <c r="D115" t="s">
        <v>14497</v>
      </c>
      <c r="E115" t="s">
        <v>167</v>
      </c>
      <c r="F115">
        <v>100</v>
      </c>
      <c r="G115">
        <v>1</v>
      </c>
      <c r="H115">
        <v>1</v>
      </c>
      <c r="I115">
        <v>100</v>
      </c>
      <c r="J115" s="3">
        <v>46235</v>
      </c>
      <c r="K115" s="6">
        <v>0</v>
      </c>
    </row>
    <row r="116" spans="1:11">
      <c r="A116" t="str">
        <f t="shared" si="1"/>
        <v>Amolin 300 EC 40 X 250 ml464470</v>
      </c>
      <c r="B116" t="s">
        <v>9935</v>
      </c>
      <c r="C116" t="s">
        <v>12019</v>
      </c>
      <c r="D116" t="s">
        <v>14498</v>
      </c>
      <c r="E116" t="s">
        <v>173</v>
      </c>
      <c r="F116">
        <v>40</v>
      </c>
      <c r="G116">
        <v>1</v>
      </c>
      <c r="H116">
        <v>1</v>
      </c>
      <c r="I116">
        <v>40</v>
      </c>
      <c r="J116" s="3">
        <v>46447</v>
      </c>
      <c r="K116" s="6">
        <v>0</v>
      </c>
    </row>
    <row r="117" spans="1:11">
      <c r="A117" t="str">
        <f t="shared" si="1"/>
        <v>Amolin 300 EC 40 X 250 ml470270</v>
      </c>
      <c r="B117" t="s">
        <v>9936</v>
      </c>
      <c r="C117" t="s">
        <v>12020</v>
      </c>
      <c r="D117" t="s">
        <v>14499</v>
      </c>
      <c r="E117" t="s">
        <v>173</v>
      </c>
      <c r="F117">
        <v>40</v>
      </c>
      <c r="G117">
        <v>1</v>
      </c>
      <c r="H117">
        <v>1</v>
      </c>
      <c r="I117">
        <v>40</v>
      </c>
      <c r="J117" s="3">
        <v>47027</v>
      </c>
      <c r="K117" s="6">
        <v>0</v>
      </c>
    </row>
    <row r="118" spans="1:11">
      <c r="A118" t="str">
        <f t="shared" si="1"/>
        <v>Amotan Gold 325 SC 100 X 100 ml459010</v>
      </c>
      <c r="B118" t="s">
        <v>9937</v>
      </c>
      <c r="C118" t="s">
        <v>12021</v>
      </c>
      <c r="D118" t="s">
        <v>14500</v>
      </c>
      <c r="E118" t="s">
        <v>176</v>
      </c>
      <c r="F118">
        <v>100</v>
      </c>
      <c r="G118">
        <v>1</v>
      </c>
      <c r="H118">
        <v>1</v>
      </c>
      <c r="I118">
        <v>100</v>
      </c>
      <c r="J118" s="3">
        <v>45901</v>
      </c>
      <c r="K118" s="6">
        <v>0</v>
      </c>
    </row>
    <row r="119" spans="1:11">
      <c r="A119" t="str">
        <f t="shared" si="1"/>
        <v>Amotan Gold 40 X 250 ml455360</v>
      </c>
      <c r="B119" t="s">
        <v>9938</v>
      </c>
      <c r="C119" t="s">
        <v>12022</v>
      </c>
      <c r="D119" t="s">
        <v>14501</v>
      </c>
      <c r="E119" t="s">
        <v>178</v>
      </c>
      <c r="F119">
        <v>40</v>
      </c>
      <c r="G119">
        <v>1</v>
      </c>
      <c r="H119">
        <v>1</v>
      </c>
      <c r="I119">
        <v>40</v>
      </c>
      <c r="J119" s="3">
        <v>45536</v>
      </c>
      <c r="K119" s="6">
        <v>0</v>
      </c>
    </row>
    <row r="120" spans="1:11">
      <c r="A120" t="str">
        <f t="shared" si="1"/>
        <v>Amotan Gold 40 X 250 ml458090</v>
      </c>
      <c r="B120" t="s">
        <v>9939</v>
      </c>
      <c r="C120" t="s">
        <v>12023</v>
      </c>
      <c r="D120" t="s">
        <v>14502</v>
      </c>
      <c r="E120" t="s">
        <v>178</v>
      </c>
      <c r="F120">
        <v>40</v>
      </c>
      <c r="G120">
        <v>1</v>
      </c>
      <c r="H120">
        <v>1</v>
      </c>
      <c r="I120">
        <v>40</v>
      </c>
      <c r="J120" s="3">
        <v>45809</v>
      </c>
      <c r="K120" s="6">
        <v>0</v>
      </c>
    </row>
    <row r="121" spans="1:11">
      <c r="A121" t="str">
        <f t="shared" si="1"/>
        <v>Amotan Gold 40 X 250 ml459310</v>
      </c>
      <c r="B121" t="s">
        <v>9940</v>
      </c>
      <c r="C121" t="s">
        <v>12024</v>
      </c>
      <c r="D121" t="s">
        <v>14503</v>
      </c>
      <c r="E121" t="s">
        <v>178</v>
      </c>
      <c r="F121">
        <v>40</v>
      </c>
      <c r="G121">
        <v>1</v>
      </c>
      <c r="H121">
        <v>1</v>
      </c>
      <c r="I121">
        <v>40</v>
      </c>
      <c r="J121" s="3">
        <v>45931</v>
      </c>
      <c r="K121" s="6">
        <v>0</v>
      </c>
    </row>
    <row r="122" spans="1:11">
      <c r="A122" t="str">
        <f t="shared" si="1"/>
        <v>Ampang 240 SL 20 ltr472390</v>
      </c>
      <c r="B122" t="s">
        <v>9941</v>
      </c>
      <c r="C122" t="s">
        <v>12025</v>
      </c>
      <c r="D122" t="s">
        <v>14504</v>
      </c>
      <c r="E122" t="s">
        <v>182</v>
      </c>
      <c r="F122">
        <v>1</v>
      </c>
      <c r="G122">
        <v>1</v>
      </c>
      <c r="H122">
        <v>1</v>
      </c>
      <c r="I122">
        <v>1</v>
      </c>
      <c r="J122" s="3">
        <v>47239</v>
      </c>
      <c r="K122" s="6">
        <v>0</v>
      </c>
    </row>
    <row r="123" spans="1:11">
      <c r="A123" t="str">
        <f t="shared" si="1"/>
        <v>Ampang 240 SL 20 X 1 ltr469660</v>
      </c>
      <c r="B123" t="s">
        <v>9942</v>
      </c>
      <c r="C123" t="s">
        <v>12026</v>
      </c>
      <c r="D123" t="s">
        <v>14505</v>
      </c>
      <c r="E123" t="s">
        <v>183</v>
      </c>
      <c r="F123">
        <v>20</v>
      </c>
      <c r="G123">
        <v>1</v>
      </c>
      <c r="H123">
        <v>1</v>
      </c>
      <c r="I123">
        <v>20</v>
      </c>
      <c r="J123" s="3">
        <v>46966</v>
      </c>
      <c r="K123" s="6">
        <v>0</v>
      </c>
    </row>
    <row r="124" spans="1:11">
      <c r="A124" t="str">
        <f t="shared" si="1"/>
        <v>Ampang 240 SL 20 X 1 ltr471780</v>
      </c>
      <c r="B124" t="s">
        <v>9943</v>
      </c>
      <c r="C124" t="s">
        <v>12027</v>
      </c>
      <c r="D124" t="s">
        <v>14506</v>
      </c>
      <c r="E124" t="s">
        <v>183</v>
      </c>
      <c r="F124">
        <v>20</v>
      </c>
      <c r="G124">
        <v>1</v>
      </c>
      <c r="H124">
        <v>1</v>
      </c>
      <c r="I124">
        <v>20</v>
      </c>
      <c r="J124" s="3">
        <v>47178</v>
      </c>
      <c r="K124" s="6">
        <v>0</v>
      </c>
    </row>
    <row r="125" spans="1:11">
      <c r="A125" t="str">
        <f t="shared" si="1"/>
        <v>Ampang 240 SL 4 X 5 ltr470880</v>
      </c>
      <c r="B125" t="s">
        <v>9944</v>
      </c>
      <c r="C125" t="s">
        <v>12028</v>
      </c>
      <c r="D125" t="s">
        <v>14507</v>
      </c>
      <c r="E125" t="s">
        <v>184</v>
      </c>
      <c r="F125">
        <v>4</v>
      </c>
      <c r="G125">
        <v>1</v>
      </c>
      <c r="H125">
        <v>1</v>
      </c>
      <c r="I125">
        <v>4</v>
      </c>
      <c r="J125" s="3">
        <v>47088</v>
      </c>
      <c r="K125" s="6">
        <v>0</v>
      </c>
    </row>
    <row r="126" spans="1:11">
      <c r="A126" t="str">
        <f t="shared" si="1"/>
        <v>Ampang 240 SL 4 X 5 ltr470580</v>
      </c>
      <c r="B126" t="s">
        <v>9945</v>
      </c>
      <c r="C126" t="s">
        <v>12029</v>
      </c>
      <c r="D126" t="s">
        <v>14508</v>
      </c>
      <c r="E126" t="s">
        <v>184</v>
      </c>
      <c r="F126">
        <v>4</v>
      </c>
      <c r="G126">
        <v>1</v>
      </c>
      <c r="H126">
        <v>1</v>
      </c>
      <c r="I126">
        <v>4</v>
      </c>
      <c r="J126" s="3">
        <v>47058</v>
      </c>
      <c r="K126" s="6">
        <v>0</v>
      </c>
    </row>
    <row r="127" spans="1:11">
      <c r="A127" t="str">
        <f t="shared" si="1"/>
        <v>Amuron 70 EC 100 X 100 ml461740</v>
      </c>
      <c r="B127" t="s">
        <v>9946</v>
      </c>
      <c r="C127" t="s">
        <v>12030</v>
      </c>
      <c r="D127" t="s">
        <v>14509</v>
      </c>
      <c r="E127" t="s">
        <v>185</v>
      </c>
      <c r="F127">
        <v>100</v>
      </c>
      <c r="G127">
        <v>1</v>
      </c>
      <c r="H127">
        <v>1</v>
      </c>
      <c r="I127">
        <v>100</v>
      </c>
      <c r="J127" s="3">
        <v>46174</v>
      </c>
      <c r="K127" s="6">
        <v>0</v>
      </c>
    </row>
    <row r="128" spans="1:11">
      <c r="A128" t="str">
        <f t="shared" si="1"/>
        <v>Amuron 70 EC 40 X 250 ml465390</v>
      </c>
      <c r="B128" t="s">
        <v>9947</v>
      </c>
      <c r="C128" t="s">
        <v>12031</v>
      </c>
      <c r="D128" t="s">
        <v>14510</v>
      </c>
      <c r="E128" t="s">
        <v>187</v>
      </c>
      <c r="F128">
        <v>40</v>
      </c>
      <c r="G128">
        <v>1</v>
      </c>
      <c r="H128">
        <v>1</v>
      </c>
      <c r="I128">
        <v>40</v>
      </c>
      <c r="J128" s="3">
        <v>46539</v>
      </c>
      <c r="K128" s="6">
        <v>0</v>
      </c>
    </row>
    <row r="129" spans="1:11">
      <c r="A129" t="str">
        <f t="shared" si="1"/>
        <v>Android 72 EC 20 X 200 ml457480</v>
      </c>
      <c r="B129" t="s">
        <v>9948</v>
      </c>
      <c r="C129" t="s">
        <v>12032</v>
      </c>
      <c r="D129" t="s">
        <v>14511</v>
      </c>
      <c r="E129" t="s">
        <v>189</v>
      </c>
      <c r="F129">
        <v>20</v>
      </c>
      <c r="G129">
        <v>1</v>
      </c>
      <c r="H129">
        <v>1</v>
      </c>
      <c r="I129">
        <v>20</v>
      </c>
      <c r="J129" s="3">
        <v>45748</v>
      </c>
      <c r="K129" s="6">
        <v>0</v>
      </c>
    </row>
    <row r="130" spans="1:11">
      <c r="A130" t="str">
        <f t="shared" si="1"/>
        <v>Android 72 EC 20 X 200 ml459310</v>
      </c>
      <c r="B130" t="s">
        <v>9949</v>
      </c>
      <c r="C130" t="s">
        <v>12033</v>
      </c>
      <c r="D130" t="s">
        <v>14512</v>
      </c>
      <c r="E130" t="s">
        <v>189</v>
      </c>
      <c r="F130">
        <v>20</v>
      </c>
      <c r="G130">
        <v>1</v>
      </c>
      <c r="H130">
        <v>1</v>
      </c>
      <c r="I130">
        <v>20</v>
      </c>
      <c r="J130" s="3">
        <v>45931</v>
      </c>
      <c r="K130" s="6">
        <v>0</v>
      </c>
    </row>
    <row r="131" spans="1:11">
      <c r="A131" t="str">
        <f t="shared" ref="A131:A194" si="2">E131&amp;J131&amp;K131</f>
        <v>Android 72 EC 20 X 400 ml459310</v>
      </c>
      <c r="B131" t="s">
        <v>9950</v>
      </c>
      <c r="C131" t="s">
        <v>12034</v>
      </c>
      <c r="D131" t="s">
        <v>14513</v>
      </c>
      <c r="E131" t="s">
        <v>190</v>
      </c>
      <c r="F131">
        <v>20</v>
      </c>
      <c r="G131">
        <v>1</v>
      </c>
      <c r="H131">
        <v>1</v>
      </c>
      <c r="I131">
        <v>20</v>
      </c>
      <c r="J131" s="3">
        <v>45931</v>
      </c>
      <c r="K131" s="6">
        <v>0</v>
      </c>
    </row>
    <row r="132" spans="1:11">
      <c r="A132" t="str">
        <f t="shared" si="2"/>
        <v>Android 72 EC 50 X 80 ml454130</v>
      </c>
      <c r="B132" t="s">
        <v>9951</v>
      </c>
      <c r="C132" t="s">
        <v>12035</v>
      </c>
      <c r="D132" t="s">
        <v>14514</v>
      </c>
      <c r="E132" t="s">
        <v>191</v>
      </c>
      <c r="F132">
        <v>50</v>
      </c>
      <c r="G132">
        <v>1</v>
      </c>
      <c r="H132">
        <v>1</v>
      </c>
      <c r="I132">
        <v>50</v>
      </c>
      <c r="J132" s="3">
        <v>45413</v>
      </c>
      <c r="K132" s="6">
        <v>0</v>
      </c>
    </row>
    <row r="133" spans="1:11">
      <c r="A133" t="str">
        <f t="shared" si="2"/>
        <v>Aneto 0.5 G 10 X 1 kg (M2U)460540</v>
      </c>
      <c r="B133" t="s">
        <v>9952</v>
      </c>
      <c r="C133" t="s">
        <v>12036</v>
      </c>
      <c r="D133" t="s">
        <v>14515</v>
      </c>
      <c r="E133" t="s">
        <v>193</v>
      </c>
      <c r="F133">
        <v>10</v>
      </c>
      <c r="G133">
        <v>1</v>
      </c>
      <c r="H133">
        <v>1</v>
      </c>
      <c r="I133">
        <v>10</v>
      </c>
      <c r="J133" s="3">
        <v>46054</v>
      </c>
      <c r="K133" s="6">
        <v>0</v>
      </c>
    </row>
    <row r="134" spans="1:11">
      <c r="A134" t="str">
        <f t="shared" si="2"/>
        <v>Aneto 50 EC 30 X 500 ml + Neptune 8 gr (M2U)462350</v>
      </c>
      <c r="B134" t="s">
        <v>9953</v>
      </c>
      <c r="C134" t="s">
        <v>12037</v>
      </c>
      <c r="D134" t="s">
        <v>14516</v>
      </c>
      <c r="E134" t="s">
        <v>195</v>
      </c>
      <c r="F134">
        <v>30</v>
      </c>
      <c r="G134">
        <v>1</v>
      </c>
      <c r="H134">
        <v>1</v>
      </c>
      <c r="I134">
        <v>30</v>
      </c>
      <c r="J134" s="3">
        <v>46235</v>
      </c>
      <c r="K134" s="6">
        <v>0</v>
      </c>
    </row>
    <row r="135" spans="1:11">
      <c r="A135" t="str">
        <f t="shared" si="2"/>
        <v>Aneto 50 EC 30 X 500 ml + Neptune 8 gr (M2U)463570</v>
      </c>
      <c r="B135" t="s">
        <v>9954</v>
      </c>
      <c r="C135" t="s">
        <v>12038</v>
      </c>
      <c r="D135" t="s">
        <v>14517</v>
      </c>
      <c r="E135" t="s">
        <v>195</v>
      </c>
      <c r="F135">
        <v>30</v>
      </c>
      <c r="G135">
        <v>1</v>
      </c>
      <c r="H135">
        <v>1</v>
      </c>
      <c r="I135">
        <v>30</v>
      </c>
      <c r="J135" s="3">
        <v>46357</v>
      </c>
      <c r="K135" s="6">
        <v>0</v>
      </c>
    </row>
    <row r="136" spans="1:11">
      <c r="A136" t="str">
        <f t="shared" si="2"/>
        <v>Aneto 50 EC 50 X 100 ml (M2U)461430</v>
      </c>
      <c r="B136" t="s">
        <v>9955</v>
      </c>
      <c r="C136" t="s">
        <v>12039</v>
      </c>
      <c r="D136" t="s">
        <v>14518</v>
      </c>
      <c r="E136" t="s">
        <v>196</v>
      </c>
      <c r="F136">
        <v>50</v>
      </c>
      <c r="G136">
        <v>1</v>
      </c>
      <c r="H136">
        <v>1</v>
      </c>
      <c r="I136">
        <v>50</v>
      </c>
      <c r="J136" s="3">
        <v>46143</v>
      </c>
      <c r="K136" s="6">
        <v>0</v>
      </c>
    </row>
    <row r="137" spans="1:11">
      <c r="A137" t="str">
        <f t="shared" si="2"/>
        <v>Aneto 50 EC 50 X 100 ml (M2U)465080</v>
      </c>
      <c r="B137" t="s">
        <v>9956</v>
      </c>
      <c r="C137" t="s">
        <v>12040</v>
      </c>
      <c r="D137" t="s">
        <v>14519</v>
      </c>
      <c r="E137" t="s">
        <v>196</v>
      </c>
      <c r="F137">
        <v>50</v>
      </c>
      <c r="G137">
        <v>1</v>
      </c>
      <c r="H137">
        <v>1</v>
      </c>
      <c r="I137">
        <v>50</v>
      </c>
      <c r="J137" s="3">
        <v>46508</v>
      </c>
      <c r="K137" s="6">
        <v>0</v>
      </c>
    </row>
    <row r="138" spans="1:11">
      <c r="A138" t="str">
        <f t="shared" si="2"/>
        <v>Aneto 50 EC 50 X 250 ml + Neptune 8 gr (M2U)459010</v>
      </c>
      <c r="B138" t="s">
        <v>9957</v>
      </c>
      <c r="C138" t="s">
        <v>12041</v>
      </c>
      <c r="D138" t="s">
        <v>14520</v>
      </c>
      <c r="E138" t="s">
        <v>197</v>
      </c>
      <c r="F138">
        <v>50</v>
      </c>
      <c r="G138">
        <v>1</v>
      </c>
      <c r="H138">
        <v>1</v>
      </c>
      <c r="I138">
        <v>50</v>
      </c>
      <c r="J138" s="3">
        <v>45901</v>
      </c>
      <c r="K138" s="6">
        <v>0</v>
      </c>
    </row>
    <row r="139" spans="1:11">
      <c r="A139" t="str">
        <f t="shared" si="2"/>
        <v>Aneto 50 EC 50 X 250 ml + Neptune 8 gr (M2U)460820</v>
      </c>
      <c r="B139" t="s">
        <v>9958</v>
      </c>
      <c r="C139" t="s">
        <v>12042</v>
      </c>
      <c r="D139" t="s">
        <v>14521</v>
      </c>
      <c r="E139" t="s">
        <v>197</v>
      </c>
      <c r="F139">
        <v>50</v>
      </c>
      <c r="G139">
        <v>1</v>
      </c>
      <c r="H139">
        <v>1</v>
      </c>
      <c r="I139">
        <v>50</v>
      </c>
      <c r="J139" s="3">
        <v>46082</v>
      </c>
      <c r="K139" s="6">
        <v>0</v>
      </c>
    </row>
    <row r="140" spans="1:11">
      <c r="A140" t="str">
        <f t="shared" si="2"/>
        <v>Antracol 70 WP 12 X 1 kg457170</v>
      </c>
      <c r="B140" t="s">
        <v>9959</v>
      </c>
      <c r="C140" t="s">
        <v>12043</v>
      </c>
      <c r="D140" t="s">
        <v>14522</v>
      </c>
      <c r="E140" t="s">
        <v>198</v>
      </c>
      <c r="F140">
        <v>12</v>
      </c>
      <c r="G140">
        <v>1</v>
      </c>
      <c r="H140">
        <v>1</v>
      </c>
      <c r="I140">
        <v>12</v>
      </c>
      <c r="J140" s="3">
        <v>45717</v>
      </c>
      <c r="K140" s="6">
        <v>0</v>
      </c>
    </row>
    <row r="141" spans="1:11">
      <c r="A141" t="str">
        <f t="shared" si="2"/>
        <v>Antracol 70 WP 20 X 500 gr464470</v>
      </c>
      <c r="B141" t="s">
        <v>9960</v>
      </c>
      <c r="C141" t="s">
        <v>12044</v>
      </c>
      <c r="D141" t="s">
        <v>14523</v>
      </c>
      <c r="E141" t="s">
        <v>201</v>
      </c>
      <c r="F141">
        <v>20</v>
      </c>
      <c r="G141">
        <v>1</v>
      </c>
      <c r="H141">
        <v>1</v>
      </c>
      <c r="I141">
        <v>20</v>
      </c>
      <c r="J141" s="3">
        <v>46447</v>
      </c>
      <c r="K141" s="6">
        <v>0</v>
      </c>
    </row>
    <row r="142" spans="1:11">
      <c r="A142" t="str">
        <f t="shared" si="2"/>
        <v>Antracol 70 WP 20 X 500 gr464780</v>
      </c>
      <c r="B142" t="s">
        <v>9961</v>
      </c>
      <c r="C142" t="s">
        <v>12045</v>
      </c>
      <c r="D142" t="s">
        <v>14524</v>
      </c>
      <c r="E142" t="s">
        <v>201</v>
      </c>
      <c r="F142">
        <v>20</v>
      </c>
      <c r="G142">
        <v>1</v>
      </c>
      <c r="H142">
        <v>1</v>
      </c>
      <c r="I142">
        <v>20</v>
      </c>
      <c r="J142" s="3">
        <v>46478</v>
      </c>
      <c r="K142" s="6">
        <v>0</v>
      </c>
    </row>
    <row r="143" spans="1:11">
      <c r="A143" t="str">
        <f t="shared" si="2"/>
        <v>Antracol 70 WP 40 X 250 gr462660</v>
      </c>
      <c r="B143" t="s">
        <v>9962</v>
      </c>
      <c r="C143" t="s">
        <v>12046</v>
      </c>
      <c r="D143" t="s">
        <v>14525</v>
      </c>
      <c r="E143" t="s">
        <v>204</v>
      </c>
      <c r="F143">
        <v>40</v>
      </c>
      <c r="G143">
        <v>1</v>
      </c>
      <c r="H143">
        <v>1</v>
      </c>
      <c r="I143">
        <v>40</v>
      </c>
      <c r="J143" s="3">
        <v>46266</v>
      </c>
      <c r="K143" s="6">
        <v>0</v>
      </c>
    </row>
    <row r="144" spans="1:11">
      <c r="A144" t="str">
        <f t="shared" si="2"/>
        <v>Anvil 50 SC 10 X 1 ltr458700</v>
      </c>
      <c r="B144" t="s">
        <v>9963</v>
      </c>
      <c r="C144" t="s">
        <v>12047</v>
      </c>
      <c r="D144" t="s">
        <v>14526</v>
      </c>
      <c r="E144" t="s">
        <v>206</v>
      </c>
      <c r="F144">
        <v>10</v>
      </c>
      <c r="G144">
        <v>1</v>
      </c>
      <c r="H144">
        <v>1</v>
      </c>
      <c r="I144">
        <v>10</v>
      </c>
      <c r="J144" s="3">
        <v>45870</v>
      </c>
      <c r="K144" s="6">
        <v>0</v>
      </c>
    </row>
    <row r="145" spans="1:11">
      <c r="A145" t="str">
        <f t="shared" si="2"/>
        <v>Anvil 50 SC 40 X 250 ml458700</v>
      </c>
      <c r="B145" t="s">
        <v>9964</v>
      </c>
      <c r="C145" t="s">
        <v>12048</v>
      </c>
      <c r="D145" t="s">
        <v>14527</v>
      </c>
      <c r="E145" t="s">
        <v>210</v>
      </c>
      <c r="F145">
        <v>40</v>
      </c>
      <c r="G145">
        <v>1</v>
      </c>
      <c r="H145">
        <v>1</v>
      </c>
      <c r="I145">
        <v>40</v>
      </c>
      <c r="J145" s="3">
        <v>45870</v>
      </c>
      <c r="K145" s="6">
        <v>0</v>
      </c>
    </row>
    <row r="146" spans="1:11">
      <c r="A146" t="str">
        <f t="shared" si="2"/>
        <v>Applaud 10 WP 20 X 5 X 100 gr467840</v>
      </c>
      <c r="B146" t="s">
        <v>9965</v>
      </c>
      <c r="C146" t="s">
        <v>12049</v>
      </c>
      <c r="D146" t="s">
        <v>14528</v>
      </c>
      <c r="E146" t="s">
        <v>214</v>
      </c>
      <c r="F146">
        <v>20</v>
      </c>
      <c r="G146">
        <v>5</v>
      </c>
      <c r="H146">
        <v>1</v>
      </c>
      <c r="I146">
        <v>100</v>
      </c>
      <c r="J146" s="3">
        <v>46784</v>
      </c>
      <c r="K146" s="6">
        <v>0</v>
      </c>
    </row>
    <row r="147" spans="1:11">
      <c r="A147" t="str">
        <f t="shared" si="2"/>
        <v>Apropo 200 SE 100 X 60 ml457480</v>
      </c>
      <c r="B147" t="s">
        <v>9966</v>
      </c>
      <c r="C147" t="s">
        <v>12050</v>
      </c>
      <c r="D147" t="s">
        <v>14529</v>
      </c>
      <c r="E147" t="s">
        <v>215</v>
      </c>
      <c r="F147">
        <v>100</v>
      </c>
      <c r="G147">
        <v>1</v>
      </c>
      <c r="H147">
        <v>1</v>
      </c>
      <c r="I147">
        <v>100</v>
      </c>
      <c r="J147" s="3">
        <v>45748</v>
      </c>
      <c r="K147" s="6">
        <v>0</v>
      </c>
    </row>
    <row r="148" spans="1:11">
      <c r="A148" t="str">
        <f t="shared" si="2"/>
        <v>Apropo 200 SE 40 X 250 ml1/1/10000</v>
      </c>
      <c r="B148" t="s">
        <v>9967</v>
      </c>
      <c r="C148" t="s">
        <v>12051</v>
      </c>
      <c r="D148" t="s">
        <v>14530</v>
      </c>
      <c r="E148" t="s">
        <v>216</v>
      </c>
      <c r="F148">
        <v>40</v>
      </c>
      <c r="G148">
        <v>1</v>
      </c>
      <c r="H148">
        <v>1</v>
      </c>
      <c r="I148">
        <v>40</v>
      </c>
      <c r="J148" s="3" t="s">
        <v>2222</v>
      </c>
      <c r="K148" s="6">
        <v>0</v>
      </c>
    </row>
    <row r="149" spans="1:11">
      <c r="A149" t="str">
        <f t="shared" si="2"/>
        <v>Arendi 20/10 WP 20 X 20 X 25 gr471500</v>
      </c>
      <c r="B149" t="s">
        <v>9968</v>
      </c>
      <c r="C149" t="s">
        <v>12052</v>
      </c>
      <c r="D149" t="s">
        <v>14531</v>
      </c>
      <c r="E149" t="s">
        <v>217</v>
      </c>
      <c r="F149">
        <v>20</v>
      </c>
      <c r="G149">
        <v>20</v>
      </c>
      <c r="H149">
        <v>1</v>
      </c>
      <c r="I149">
        <v>400</v>
      </c>
      <c r="J149" s="3">
        <v>47150</v>
      </c>
      <c r="K149" s="6">
        <v>0</v>
      </c>
    </row>
    <row r="150" spans="1:11">
      <c r="A150" t="str">
        <f t="shared" si="2"/>
        <v>Arendi 20/10 WP 20 X 20 X 25 gr468130</v>
      </c>
      <c r="B150" t="s">
        <v>9969</v>
      </c>
      <c r="C150" t="s">
        <v>12053</v>
      </c>
      <c r="D150" t="s">
        <v>14532</v>
      </c>
      <c r="E150" t="s">
        <v>217</v>
      </c>
      <c r="F150">
        <v>20</v>
      </c>
      <c r="G150">
        <v>20</v>
      </c>
      <c r="H150">
        <v>1</v>
      </c>
      <c r="I150">
        <v>400</v>
      </c>
      <c r="J150" s="3">
        <v>46813</v>
      </c>
      <c r="K150" s="6">
        <v>0</v>
      </c>
    </row>
    <row r="151" spans="1:11">
      <c r="A151" t="str">
        <f t="shared" si="2"/>
        <v>Arizona 55 EC 50 X 80 ml459310</v>
      </c>
      <c r="B151" t="s">
        <v>9970</v>
      </c>
      <c r="C151" t="s">
        <v>12054</v>
      </c>
      <c r="D151" t="s">
        <v>14533</v>
      </c>
      <c r="E151" t="s">
        <v>220</v>
      </c>
      <c r="F151">
        <v>50</v>
      </c>
      <c r="G151">
        <v>1</v>
      </c>
      <c r="H151">
        <v>1</v>
      </c>
      <c r="I151">
        <v>50</v>
      </c>
      <c r="J151" s="3">
        <v>45931</v>
      </c>
      <c r="K151" s="6">
        <v>0</v>
      </c>
    </row>
    <row r="152" spans="1:11">
      <c r="A152" t="str">
        <f t="shared" si="2"/>
        <v>Arizona 55 EC 80 ml (Sample)1/1/10000</v>
      </c>
      <c r="B152" t="s">
        <v>9971</v>
      </c>
      <c r="C152" t="s">
        <v>12055</v>
      </c>
      <c r="D152" t="s">
        <v>14534</v>
      </c>
      <c r="E152" t="s">
        <v>222</v>
      </c>
      <c r="F152">
        <v>1</v>
      </c>
      <c r="G152">
        <v>1</v>
      </c>
      <c r="H152">
        <v>1</v>
      </c>
      <c r="I152">
        <v>1</v>
      </c>
      <c r="J152" s="3" t="s">
        <v>2222</v>
      </c>
      <c r="K152" s="6">
        <v>0</v>
      </c>
    </row>
    <row r="153" spans="1:11">
      <c r="A153" t="str">
        <f t="shared" si="2"/>
        <v>Arma 48/4 WP 20 X 500 gr458390</v>
      </c>
      <c r="B153" t="s">
        <v>9972</v>
      </c>
      <c r="C153" t="s">
        <v>12056</v>
      </c>
      <c r="D153" t="s">
        <v>14535</v>
      </c>
      <c r="E153" t="s">
        <v>223</v>
      </c>
      <c r="F153">
        <v>20</v>
      </c>
      <c r="G153">
        <v>1</v>
      </c>
      <c r="H153">
        <v>1</v>
      </c>
      <c r="I153">
        <v>20</v>
      </c>
      <c r="J153" s="3">
        <v>45839</v>
      </c>
      <c r="K153" s="6">
        <v>0</v>
      </c>
    </row>
    <row r="154" spans="1:11">
      <c r="A154" t="str">
        <f t="shared" si="2"/>
        <v>Arma 52 WP 20 X 500 gr (Sample)458390</v>
      </c>
      <c r="B154" t="s">
        <v>9973</v>
      </c>
      <c r="C154" t="s">
        <v>12057</v>
      </c>
      <c r="D154" t="s">
        <v>14536</v>
      </c>
      <c r="E154" t="s">
        <v>225</v>
      </c>
      <c r="F154">
        <v>20</v>
      </c>
      <c r="G154">
        <v>1</v>
      </c>
      <c r="H154">
        <v>1</v>
      </c>
      <c r="I154">
        <v>20</v>
      </c>
      <c r="J154" s="3">
        <v>45839</v>
      </c>
      <c r="K154" s="6">
        <v>0</v>
      </c>
    </row>
    <row r="155" spans="1:11">
      <c r="A155" t="str">
        <f t="shared" si="2"/>
        <v>Armeira 30 WG 10 X 20 X 50 gr458090</v>
      </c>
      <c r="B155" t="s">
        <v>9974</v>
      </c>
      <c r="C155" t="s">
        <v>12058</v>
      </c>
      <c r="D155" t="s">
        <v>14537</v>
      </c>
      <c r="E155" t="s">
        <v>227</v>
      </c>
      <c r="F155">
        <v>10</v>
      </c>
      <c r="G155">
        <v>20</v>
      </c>
      <c r="H155">
        <v>1</v>
      </c>
      <c r="I155">
        <v>200</v>
      </c>
      <c r="J155" s="3">
        <v>45809</v>
      </c>
      <c r="K155" s="6">
        <v>0</v>
      </c>
    </row>
    <row r="156" spans="1:11">
      <c r="A156" t="str">
        <f t="shared" si="2"/>
        <v>Armeira 30 WG 10 X 20 X 50 gr459310</v>
      </c>
      <c r="B156" t="s">
        <v>9975</v>
      </c>
      <c r="C156" t="s">
        <v>12059</v>
      </c>
      <c r="D156" t="s">
        <v>14538</v>
      </c>
      <c r="E156" t="s">
        <v>227</v>
      </c>
      <c r="F156">
        <v>10</v>
      </c>
      <c r="G156">
        <v>20</v>
      </c>
      <c r="H156">
        <v>1</v>
      </c>
      <c r="I156">
        <v>200</v>
      </c>
      <c r="J156" s="3">
        <v>45931</v>
      </c>
      <c r="K156" s="6">
        <v>0</v>
      </c>
    </row>
    <row r="157" spans="1:11">
      <c r="A157" t="str">
        <f t="shared" si="2"/>
        <v>Asetop 30 EC 20 X 500 ml458700</v>
      </c>
      <c r="B157" t="s">
        <v>9976</v>
      </c>
      <c r="C157" t="s">
        <v>12060</v>
      </c>
      <c r="D157" t="s">
        <v>14539</v>
      </c>
      <c r="E157" t="s">
        <v>228</v>
      </c>
      <c r="F157">
        <v>20</v>
      </c>
      <c r="G157">
        <v>1</v>
      </c>
      <c r="H157">
        <v>1</v>
      </c>
      <c r="I157">
        <v>20</v>
      </c>
      <c r="J157" s="3">
        <v>45870</v>
      </c>
      <c r="K157" s="6">
        <v>0</v>
      </c>
    </row>
    <row r="158" spans="1:11">
      <c r="A158" t="str">
        <f t="shared" si="2"/>
        <v>Asetop 30 EC 20 X 500 ml463570</v>
      </c>
      <c r="B158" t="s">
        <v>9977</v>
      </c>
      <c r="C158" t="s">
        <v>12061</v>
      </c>
      <c r="D158" t="s">
        <v>14540</v>
      </c>
      <c r="E158" t="s">
        <v>228</v>
      </c>
      <c r="F158">
        <v>20</v>
      </c>
      <c r="G158">
        <v>1</v>
      </c>
      <c r="H158">
        <v>1</v>
      </c>
      <c r="I158">
        <v>20</v>
      </c>
      <c r="J158" s="3">
        <v>46357</v>
      </c>
      <c r="K158" s="6">
        <v>0</v>
      </c>
    </row>
    <row r="159" spans="1:11">
      <c r="A159" t="str">
        <f t="shared" si="2"/>
        <v>Asetop 30 EC 40 X 100 ml458700</v>
      </c>
      <c r="B159" t="s">
        <v>9978</v>
      </c>
      <c r="C159" t="s">
        <v>12062</v>
      </c>
      <c r="D159" t="s">
        <v>14541</v>
      </c>
      <c r="E159" t="s">
        <v>232</v>
      </c>
      <c r="F159">
        <v>40</v>
      </c>
      <c r="G159">
        <v>1</v>
      </c>
      <c r="H159">
        <v>1</v>
      </c>
      <c r="I159">
        <v>40</v>
      </c>
      <c r="J159" s="3">
        <v>45870</v>
      </c>
      <c r="K159" s="6">
        <v>0</v>
      </c>
    </row>
    <row r="160" spans="1:11">
      <c r="A160" t="str">
        <f t="shared" si="2"/>
        <v>Asetor 250 EC 40 X 250 ml459310</v>
      </c>
      <c r="B160" t="s">
        <v>9979</v>
      </c>
      <c r="C160" t="s">
        <v>12063</v>
      </c>
      <c r="D160" t="s">
        <v>14542</v>
      </c>
      <c r="E160" t="s">
        <v>235</v>
      </c>
      <c r="F160">
        <v>40</v>
      </c>
      <c r="G160">
        <v>1</v>
      </c>
      <c r="H160">
        <v>1</v>
      </c>
      <c r="I160">
        <v>40</v>
      </c>
      <c r="J160" s="3">
        <v>45931</v>
      </c>
      <c r="K160" s="6">
        <v>0</v>
      </c>
    </row>
    <row r="161" spans="1:11">
      <c r="A161" t="str">
        <f t="shared" si="2"/>
        <v>Asetor 250 EC 40 X 250 ml460820</v>
      </c>
      <c r="B161" t="s">
        <v>9980</v>
      </c>
      <c r="C161" t="s">
        <v>12064</v>
      </c>
      <c r="D161" t="s">
        <v>14543</v>
      </c>
      <c r="E161" t="s">
        <v>235</v>
      </c>
      <c r="F161">
        <v>40</v>
      </c>
      <c r="G161">
        <v>1</v>
      </c>
      <c r="H161">
        <v>1</v>
      </c>
      <c r="I161">
        <v>40</v>
      </c>
      <c r="J161" s="3">
        <v>46082</v>
      </c>
      <c r="K161" s="6">
        <v>0</v>
      </c>
    </row>
    <row r="162" spans="1:11">
      <c r="A162" t="str">
        <f t="shared" si="2"/>
        <v>Asetor 250 EC 40 X 250 ml471780</v>
      </c>
      <c r="B162" t="s">
        <v>9981</v>
      </c>
      <c r="C162" t="s">
        <v>12065</v>
      </c>
      <c r="D162" t="s">
        <v>14544</v>
      </c>
      <c r="E162" t="s">
        <v>235</v>
      </c>
      <c r="F162">
        <v>40</v>
      </c>
      <c r="G162">
        <v>1</v>
      </c>
      <c r="H162">
        <v>1</v>
      </c>
      <c r="I162">
        <v>40</v>
      </c>
      <c r="J162" s="3">
        <v>47178</v>
      </c>
      <c r="K162" s="6">
        <v>0</v>
      </c>
    </row>
    <row r="163" spans="1:11">
      <c r="A163" t="str">
        <f t="shared" si="2"/>
        <v>Asia Top 288 SL 20 ltr471190</v>
      </c>
      <c r="B163" t="s">
        <v>9982</v>
      </c>
      <c r="C163" t="s">
        <v>12066</v>
      </c>
      <c r="D163" t="s">
        <v>14545</v>
      </c>
      <c r="E163" t="s">
        <v>236</v>
      </c>
      <c r="F163">
        <v>1</v>
      </c>
      <c r="G163">
        <v>1</v>
      </c>
      <c r="H163">
        <v>1</v>
      </c>
      <c r="I163">
        <v>1</v>
      </c>
      <c r="J163" s="3">
        <v>47119</v>
      </c>
      <c r="K163" s="6">
        <v>0</v>
      </c>
    </row>
    <row r="164" spans="1:11">
      <c r="A164" t="str">
        <f t="shared" si="2"/>
        <v>Asia Top 288 SL 20 ltr472700</v>
      </c>
      <c r="B164" t="s">
        <v>9983</v>
      </c>
      <c r="C164" t="s">
        <v>12067</v>
      </c>
      <c r="D164" t="s">
        <v>14546</v>
      </c>
      <c r="E164" t="s">
        <v>236</v>
      </c>
      <c r="F164">
        <v>1</v>
      </c>
      <c r="G164">
        <v>1</v>
      </c>
      <c r="H164">
        <v>1</v>
      </c>
      <c r="I164">
        <v>1</v>
      </c>
      <c r="J164" s="3">
        <v>47270</v>
      </c>
      <c r="K164" s="6">
        <v>0</v>
      </c>
    </row>
    <row r="165" spans="1:11">
      <c r="A165" t="str">
        <f t="shared" si="2"/>
        <v>Asia Top 288 SL 20 X 1 ltr472700</v>
      </c>
      <c r="B165" t="s">
        <v>9984</v>
      </c>
      <c r="C165" t="s">
        <v>12068</v>
      </c>
      <c r="D165" t="s">
        <v>14547</v>
      </c>
      <c r="E165" t="s">
        <v>237</v>
      </c>
      <c r="F165">
        <v>20</v>
      </c>
      <c r="G165">
        <v>1</v>
      </c>
      <c r="H165">
        <v>1</v>
      </c>
      <c r="I165">
        <v>20</v>
      </c>
      <c r="J165" s="3">
        <v>47270</v>
      </c>
      <c r="K165" s="6">
        <v>0</v>
      </c>
    </row>
    <row r="166" spans="1:11">
      <c r="A166" t="str">
        <f t="shared" si="2"/>
        <v>Asia Top 288 SL 4 X 5 ltr472700</v>
      </c>
      <c r="B166" t="s">
        <v>9985</v>
      </c>
      <c r="C166" t="s">
        <v>12069</v>
      </c>
      <c r="D166" t="s">
        <v>14548</v>
      </c>
      <c r="E166" t="s">
        <v>238</v>
      </c>
      <c r="F166">
        <v>4</v>
      </c>
      <c r="G166">
        <v>1</v>
      </c>
      <c r="H166">
        <v>1</v>
      </c>
      <c r="I166">
        <v>4</v>
      </c>
      <c r="J166" s="3">
        <v>47270</v>
      </c>
      <c r="K166" s="6">
        <v>0</v>
      </c>
    </row>
    <row r="167" spans="1:11">
      <c r="A167" t="str">
        <f t="shared" si="2"/>
        <v>Asia Top 288 SL 40 X 500 ml464780</v>
      </c>
      <c r="B167" t="s">
        <v>9986</v>
      </c>
      <c r="C167" t="s">
        <v>12070</v>
      </c>
      <c r="D167" t="s">
        <v>14549</v>
      </c>
      <c r="E167" t="s">
        <v>239</v>
      </c>
      <c r="F167">
        <v>40</v>
      </c>
      <c r="G167">
        <v>1</v>
      </c>
      <c r="H167">
        <v>1</v>
      </c>
      <c r="I167">
        <v>40</v>
      </c>
      <c r="J167" s="3">
        <v>46478</v>
      </c>
      <c r="K167" s="6">
        <v>0</v>
      </c>
    </row>
    <row r="168" spans="1:11">
      <c r="A168" t="str">
        <f t="shared" si="2"/>
        <v>Asiacol 70 WP 12 X 1 kg469350</v>
      </c>
      <c r="B168" t="s">
        <v>9987</v>
      </c>
      <c r="C168" t="s">
        <v>12071</v>
      </c>
      <c r="D168" t="s">
        <v>14550</v>
      </c>
      <c r="E168" t="s">
        <v>240</v>
      </c>
      <c r="F168">
        <v>12</v>
      </c>
      <c r="G168">
        <v>1</v>
      </c>
      <c r="H168">
        <v>1</v>
      </c>
      <c r="I168">
        <v>12</v>
      </c>
      <c r="J168" s="3">
        <v>46935</v>
      </c>
      <c r="K168" s="6">
        <v>0</v>
      </c>
    </row>
    <row r="169" spans="1:11">
      <c r="A169" t="str">
        <f t="shared" si="2"/>
        <v>Asiacol 70 WP 20 X 250 gr458700</v>
      </c>
      <c r="B169" t="s">
        <v>9988</v>
      </c>
      <c r="C169" t="s">
        <v>12072</v>
      </c>
      <c r="D169" t="s">
        <v>14551</v>
      </c>
      <c r="E169" t="s">
        <v>241</v>
      </c>
      <c r="F169">
        <v>20</v>
      </c>
      <c r="G169">
        <v>1</v>
      </c>
      <c r="H169">
        <v>1</v>
      </c>
      <c r="I169">
        <v>20</v>
      </c>
      <c r="J169" s="3">
        <v>45870</v>
      </c>
      <c r="K169" s="6">
        <v>0</v>
      </c>
    </row>
    <row r="170" spans="1:11">
      <c r="A170" t="str">
        <f t="shared" si="2"/>
        <v>Asiacol 70 WP 20 X 250 gr459920</v>
      </c>
      <c r="B170" t="s">
        <v>9989</v>
      </c>
      <c r="C170" t="s">
        <v>12073</v>
      </c>
      <c r="D170" t="s">
        <v>14552</v>
      </c>
      <c r="E170" t="s">
        <v>241</v>
      </c>
      <c r="F170">
        <v>20</v>
      </c>
      <c r="G170">
        <v>1</v>
      </c>
      <c r="H170">
        <v>1</v>
      </c>
      <c r="I170">
        <v>20</v>
      </c>
      <c r="J170" s="3">
        <v>45992</v>
      </c>
      <c r="K170" s="6">
        <v>0</v>
      </c>
    </row>
    <row r="171" spans="1:11">
      <c r="A171" t="str">
        <f t="shared" si="2"/>
        <v>Asiacol 70 WP 20 X 500 gr469660</v>
      </c>
      <c r="B171" t="s">
        <v>9990</v>
      </c>
      <c r="C171" t="s">
        <v>12074</v>
      </c>
      <c r="D171" t="s">
        <v>14553</v>
      </c>
      <c r="E171" t="s">
        <v>242</v>
      </c>
      <c r="F171">
        <v>20</v>
      </c>
      <c r="G171">
        <v>1</v>
      </c>
      <c r="H171">
        <v>1</v>
      </c>
      <c r="I171">
        <v>20</v>
      </c>
      <c r="J171" s="3">
        <v>46966</v>
      </c>
      <c r="K171" s="6">
        <v>0</v>
      </c>
    </row>
    <row r="172" spans="1:11">
      <c r="A172" t="str">
        <f t="shared" si="2"/>
        <v>Aslinya 75 WP 100 X 100 gr458700</v>
      </c>
      <c r="B172" t="s">
        <v>9991</v>
      </c>
      <c r="C172" t="s">
        <v>12075</v>
      </c>
      <c r="D172" t="s">
        <v>14554</v>
      </c>
      <c r="E172" t="s">
        <v>243</v>
      </c>
      <c r="F172">
        <v>100</v>
      </c>
      <c r="G172">
        <v>1</v>
      </c>
      <c r="H172">
        <v>1</v>
      </c>
      <c r="I172">
        <v>100</v>
      </c>
      <c r="J172" s="3">
        <v>45870</v>
      </c>
      <c r="K172" s="6">
        <v>0</v>
      </c>
    </row>
    <row r="173" spans="1:11">
      <c r="A173" t="str">
        <f t="shared" si="2"/>
        <v>Aslinya 75 WP 20 X 20 X 25 gr460230</v>
      </c>
      <c r="B173" t="s">
        <v>9992</v>
      </c>
      <c r="C173" t="s">
        <v>12076</v>
      </c>
      <c r="D173" t="s">
        <v>14555</v>
      </c>
      <c r="E173" t="s">
        <v>246</v>
      </c>
      <c r="F173">
        <v>20</v>
      </c>
      <c r="G173">
        <v>20</v>
      </c>
      <c r="H173">
        <v>1</v>
      </c>
      <c r="I173">
        <v>400</v>
      </c>
      <c r="J173" s="3">
        <v>46023</v>
      </c>
      <c r="K173" s="6">
        <v>0</v>
      </c>
    </row>
    <row r="174" spans="1:11">
      <c r="A174" t="str">
        <f t="shared" si="2"/>
        <v>Associate 200 SC 20 X 250 ml459310</v>
      </c>
      <c r="B174" t="s">
        <v>9993</v>
      </c>
      <c r="C174" t="s">
        <v>12077</v>
      </c>
      <c r="D174" t="s">
        <v>14556</v>
      </c>
      <c r="E174" t="s">
        <v>249</v>
      </c>
      <c r="F174">
        <v>20</v>
      </c>
      <c r="G174">
        <v>1</v>
      </c>
      <c r="H174">
        <v>1</v>
      </c>
      <c r="I174">
        <v>20</v>
      </c>
      <c r="J174" s="3">
        <v>45931</v>
      </c>
      <c r="K174" s="6">
        <v>0</v>
      </c>
    </row>
    <row r="175" spans="1:11">
      <c r="A175" t="str">
        <f t="shared" si="2"/>
        <v>Associate 200 SC 20 X 250 ml462660</v>
      </c>
      <c r="B175" t="s">
        <v>9994</v>
      </c>
      <c r="C175" t="s">
        <v>12078</v>
      </c>
      <c r="D175" t="s">
        <v>14557</v>
      </c>
      <c r="E175" t="s">
        <v>249</v>
      </c>
      <c r="F175">
        <v>20</v>
      </c>
      <c r="G175">
        <v>1</v>
      </c>
      <c r="H175">
        <v>1</v>
      </c>
      <c r="I175">
        <v>20</v>
      </c>
      <c r="J175" s="3">
        <v>46266</v>
      </c>
      <c r="K175" s="6">
        <v>0</v>
      </c>
    </row>
    <row r="176" spans="1:11">
      <c r="A176" t="str">
        <f t="shared" si="2"/>
        <v>Associate 200 SC 20 X 250 ml (Sample)455970</v>
      </c>
      <c r="B176" t="s">
        <v>9995</v>
      </c>
      <c r="C176" t="s">
        <v>12079</v>
      </c>
      <c r="D176" t="s">
        <v>14558</v>
      </c>
      <c r="E176" t="s">
        <v>248</v>
      </c>
      <c r="F176">
        <v>20</v>
      </c>
      <c r="G176">
        <v>1</v>
      </c>
      <c r="H176">
        <v>1</v>
      </c>
      <c r="I176">
        <v>20</v>
      </c>
      <c r="J176" s="3">
        <v>45597</v>
      </c>
      <c r="K176" s="6">
        <v>0</v>
      </c>
    </row>
    <row r="177" spans="1:11">
      <c r="A177" t="str">
        <f t="shared" si="2"/>
        <v>Associate 200 SC 50 X 80 ml456890</v>
      </c>
      <c r="B177" t="s">
        <v>9996</v>
      </c>
      <c r="C177" t="s">
        <v>12080</v>
      </c>
      <c r="D177" t="s">
        <v>14559</v>
      </c>
      <c r="E177" t="s">
        <v>250</v>
      </c>
      <c r="F177">
        <v>50</v>
      </c>
      <c r="G177">
        <v>1</v>
      </c>
      <c r="H177">
        <v>1</v>
      </c>
      <c r="I177">
        <v>50</v>
      </c>
      <c r="J177" s="3">
        <v>45689</v>
      </c>
      <c r="K177" s="6">
        <v>0</v>
      </c>
    </row>
    <row r="178" spans="1:11">
      <c r="A178" t="str">
        <f t="shared" si="2"/>
        <v>Astana 85 WP 50 X 100 gr470580</v>
      </c>
      <c r="B178" t="s">
        <v>9997</v>
      </c>
      <c r="C178" t="s">
        <v>12081</v>
      </c>
      <c r="D178" t="s">
        <v>14560</v>
      </c>
      <c r="E178" t="s">
        <v>251</v>
      </c>
      <c r="F178">
        <v>50</v>
      </c>
      <c r="G178">
        <v>1</v>
      </c>
      <c r="H178">
        <v>1</v>
      </c>
      <c r="I178">
        <v>50</v>
      </c>
      <c r="J178" s="3">
        <v>47058</v>
      </c>
      <c r="K178" s="6">
        <v>0</v>
      </c>
    </row>
    <row r="179" spans="1:11">
      <c r="A179" t="str">
        <f t="shared" si="2"/>
        <v>Atnimes 200/20/40 OD 10 X 1 ltr467220</v>
      </c>
      <c r="B179" t="s">
        <v>9998</v>
      </c>
      <c r="C179" t="s">
        <v>12082</v>
      </c>
      <c r="D179" t="s">
        <v>14561</v>
      </c>
      <c r="E179" t="s">
        <v>252</v>
      </c>
      <c r="F179">
        <v>10</v>
      </c>
      <c r="G179">
        <v>1</v>
      </c>
      <c r="H179">
        <v>1</v>
      </c>
      <c r="I179">
        <v>10</v>
      </c>
      <c r="J179" s="3">
        <v>46722</v>
      </c>
      <c r="K179" s="6">
        <v>0</v>
      </c>
    </row>
    <row r="180" spans="1:11">
      <c r="A180" t="str">
        <f t="shared" si="2"/>
        <v>Atnimes 200/20/40 OD 20 X 500 ml467220</v>
      </c>
      <c r="B180" t="s">
        <v>9999</v>
      </c>
      <c r="C180" t="s">
        <v>12083</v>
      </c>
      <c r="D180" t="s">
        <v>14562</v>
      </c>
      <c r="E180" t="s">
        <v>254</v>
      </c>
      <c r="F180">
        <v>20</v>
      </c>
      <c r="G180">
        <v>1</v>
      </c>
      <c r="H180">
        <v>1</v>
      </c>
      <c r="I180">
        <v>20</v>
      </c>
      <c r="J180" s="3">
        <v>46722</v>
      </c>
      <c r="K180" s="6">
        <v>0</v>
      </c>
    </row>
    <row r="181" spans="1:11">
      <c r="A181" t="str">
        <f t="shared" si="2"/>
        <v>Atnimes 200/20/40 OD 40 X 250 ml467220</v>
      </c>
      <c r="B181" t="s">
        <v>10000</v>
      </c>
      <c r="C181" t="s">
        <v>12084</v>
      </c>
      <c r="D181" t="s">
        <v>14563</v>
      </c>
      <c r="E181" t="s">
        <v>255</v>
      </c>
      <c r="F181">
        <v>40</v>
      </c>
      <c r="G181">
        <v>1</v>
      </c>
      <c r="H181">
        <v>1</v>
      </c>
      <c r="I181">
        <v>40</v>
      </c>
      <c r="J181" s="3">
        <v>46722</v>
      </c>
      <c r="K181" s="6">
        <v>0</v>
      </c>
    </row>
    <row r="182" spans="1:11">
      <c r="A182" t="str">
        <f t="shared" si="2"/>
        <v>Atonik 6.0 L 15 X 500 ml471190</v>
      </c>
      <c r="B182" t="s">
        <v>10001</v>
      </c>
      <c r="C182" t="s">
        <v>12085</v>
      </c>
      <c r="D182" t="s">
        <v>14564</v>
      </c>
      <c r="E182" t="s">
        <v>256</v>
      </c>
      <c r="F182">
        <v>15</v>
      </c>
      <c r="G182">
        <v>1</v>
      </c>
      <c r="H182">
        <v>1</v>
      </c>
      <c r="I182">
        <v>15</v>
      </c>
      <c r="J182" s="3">
        <v>47119</v>
      </c>
      <c r="K182" s="6">
        <v>0</v>
      </c>
    </row>
    <row r="183" spans="1:11">
      <c r="A183" t="str">
        <f t="shared" si="2"/>
        <v>Atonik 6.0 L 15 X 500 ml472390</v>
      </c>
      <c r="B183" t="s">
        <v>10002</v>
      </c>
      <c r="C183" t="s">
        <v>12086</v>
      </c>
      <c r="D183" t="s">
        <v>14565</v>
      </c>
      <c r="E183" t="s">
        <v>256</v>
      </c>
      <c r="F183">
        <v>15</v>
      </c>
      <c r="G183">
        <v>1</v>
      </c>
      <c r="H183">
        <v>1</v>
      </c>
      <c r="I183">
        <v>15</v>
      </c>
      <c r="J183" s="3">
        <v>47239</v>
      </c>
      <c r="K183" s="6">
        <v>0</v>
      </c>
    </row>
    <row r="184" spans="1:11">
      <c r="A184" t="str">
        <f t="shared" si="2"/>
        <v>Atonik 6.0 L 30 X 250 ml472390</v>
      </c>
      <c r="B184" t="s">
        <v>10003</v>
      </c>
      <c r="C184" t="s">
        <v>12087</v>
      </c>
      <c r="D184" t="s">
        <v>14566</v>
      </c>
      <c r="E184" t="s">
        <v>257</v>
      </c>
      <c r="F184">
        <v>30</v>
      </c>
      <c r="G184">
        <v>1</v>
      </c>
      <c r="H184">
        <v>1</v>
      </c>
      <c r="I184">
        <v>30</v>
      </c>
      <c r="J184" s="3">
        <v>47239</v>
      </c>
      <c r="K184" s="6">
        <v>0</v>
      </c>
    </row>
    <row r="185" spans="1:11">
      <c r="A185" t="str">
        <f t="shared" si="2"/>
        <v>Atonik 6.0 L 50 X 100 ml471500</v>
      </c>
      <c r="B185" t="s">
        <v>10004</v>
      </c>
      <c r="C185" t="s">
        <v>12088</v>
      </c>
      <c r="D185" t="s">
        <v>14567</v>
      </c>
      <c r="E185" t="s">
        <v>258</v>
      </c>
      <c r="F185">
        <v>50</v>
      </c>
      <c r="G185">
        <v>1</v>
      </c>
      <c r="H185">
        <v>1</v>
      </c>
      <c r="I185">
        <v>50</v>
      </c>
      <c r="J185" s="3">
        <v>47150</v>
      </c>
      <c r="K185" s="6">
        <v>0</v>
      </c>
    </row>
    <row r="186" spans="1:11">
      <c r="A186" t="str">
        <f t="shared" si="2"/>
        <v>Atonik 6.0 L 50 X 100 ml472390</v>
      </c>
      <c r="B186" t="s">
        <v>10005</v>
      </c>
      <c r="C186" t="s">
        <v>12089</v>
      </c>
      <c r="D186" t="s">
        <v>14568</v>
      </c>
      <c r="E186" t="s">
        <v>258</v>
      </c>
      <c r="F186">
        <v>50</v>
      </c>
      <c r="G186">
        <v>1</v>
      </c>
      <c r="H186">
        <v>1</v>
      </c>
      <c r="I186">
        <v>50</v>
      </c>
      <c r="J186" s="3">
        <v>47239</v>
      </c>
      <c r="K186" s="6">
        <v>0</v>
      </c>
    </row>
    <row r="187" spans="1:11">
      <c r="A187" t="str">
        <f t="shared" si="2"/>
        <v>Aurora 70 WP 20 X 800 gr459920</v>
      </c>
      <c r="B187" t="s">
        <v>10006</v>
      </c>
      <c r="C187" t="s">
        <v>12090</v>
      </c>
      <c r="D187" t="s">
        <v>14569</v>
      </c>
      <c r="E187" t="s">
        <v>259</v>
      </c>
      <c r="F187">
        <v>20</v>
      </c>
      <c r="G187">
        <v>1</v>
      </c>
      <c r="H187">
        <v>1</v>
      </c>
      <c r="I187">
        <v>20</v>
      </c>
      <c r="J187" s="3">
        <v>45992</v>
      </c>
      <c r="K187" s="6">
        <v>0</v>
      </c>
    </row>
    <row r="188" spans="1:11">
      <c r="A188" t="str">
        <f t="shared" si="2"/>
        <v>Avidor 25 WP 4 X 25 X 100 gr472090</v>
      </c>
      <c r="B188" t="s">
        <v>10007</v>
      </c>
      <c r="C188" t="s">
        <v>12091</v>
      </c>
      <c r="D188" t="s">
        <v>14570</v>
      </c>
      <c r="E188" t="s">
        <v>261</v>
      </c>
      <c r="F188">
        <v>4</v>
      </c>
      <c r="G188">
        <v>25</v>
      </c>
      <c r="H188">
        <v>1</v>
      </c>
      <c r="I188">
        <v>100</v>
      </c>
      <c r="J188" s="3">
        <v>47209</v>
      </c>
      <c r="K188" s="6">
        <v>0</v>
      </c>
    </row>
    <row r="189" spans="1:11">
      <c r="A189" t="str">
        <f t="shared" si="2"/>
        <v>Avor 40 X 100 ml464190</v>
      </c>
      <c r="B189" t="s">
        <v>10008</v>
      </c>
      <c r="C189" t="s">
        <v>12092</v>
      </c>
      <c r="D189" t="s">
        <v>14571</v>
      </c>
      <c r="E189" t="s">
        <v>262</v>
      </c>
      <c r="F189">
        <v>40</v>
      </c>
      <c r="G189">
        <v>1</v>
      </c>
      <c r="H189">
        <v>1</v>
      </c>
      <c r="I189">
        <v>40</v>
      </c>
      <c r="J189" s="3">
        <v>46419</v>
      </c>
      <c r="K189" s="6">
        <v>0</v>
      </c>
    </row>
    <row r="190" spans="1:11">
      <c r="A190" t="str">
        <f t="shared" si="2"/>
        <v>Avor 40 X 100 ml462040</v>
      </c>
      <c r="B190" t="s">
        <v>10009</v>
      </c>
      <c r="C190" t="s">
        <v>12093</v>
      </c>
      <c r="D190" t="s">
        <v>14572</v>
      </c>
      <c r="E190" t="s">
        <v>262</v>
      </c>
      <c r="F190">
        <v>40</v>
      </c>
      <c r="G190">
        <v>1</v>
      </c>
      <c r="H190">
        <v>1</v>
      </c>
      <c r="I190">
        <v>40</v>
      </c>
      <c r="J190" s="3">
        <v>46204</v>
      </c>
      <c r="K190" s="6">
        <v>0</v>
      </c>
    </row>
    <row r="191" spans="1:11">
      <c r="A191" t="str">
        <f t="shared" si="2"/>
        <v>Ayuna 50 EC 40 X 250 ml458090</v>
      </c>
      <c r="B191" t="s">
        <v>10010</v>
      </c>
      <c r="C191" t="s">
        <v>12094</v>
      </c>
      <c r="D191" t="s">
        <v>14573</v>
      </c>
      <c r="E191" t="s">
        <v>265</v>
      </c>
      <c r="F191">
        <v>40</v>
      </c>
      <c r="G191">
        <v>1</v>
      </c>
      <c r="H191">
        <v>1</v>
      </c>
      <c r="I191">
        <v>40</v>
      </c>
      <c r="J191" s="3">
        <v>45809</v>
      </c>
      <c r="K191" s="6">
        <v>0</v>
      </c>
    </row>
    <row r="192" spans="1:11">
      <c r="A192" t="str">
        <f t="shared" si="2"/>
        <v>Aziziah 300/10 SC 20 X 500 ml468130</v>
      </c>
      <c r="B192" t="s">
        <v>10011</v>
      </c>
      <c r="C192" t="s">
        <v>12095</v>
      </c>
      <c r="D192" t="s">
        <v>14574</v>
      </c>
      <c r="E192" t="s">
        <v>267</v>
      </c>
      <c r="F192">
        <v>20</v>
      </c>
      <c r="G192">
        <v>1</v>
      </c>
      <c r="H192">
        <v>1</v>
      </c>
      <c r="I192">
        <v>20</v>
      </c>
      <c r="J192" s="3">
        <v>46813</v>
      </c>
      <c r="K192" s="6">
        <v>0</v>
      </c>
    </row>
    <row r="193" spans="1:11">
      <c r="A193" t="str">
        <f t="shared" si="2"/>
        <v>Aztro 80 WP 10 X 10 X 50 gr456580</v>
      </c>
      <c r="B193" t="s">
        <v>10012</v>
      </c>
      <c r="C193" t="s">
        <v>12096</v>
      </c>
      <c r="D193" t="s">
        <v>14575</v>
      </c>
      <c r="E193" t="s">
        <v>269</v>
      </c>
      <c r="F193">
        <v>10</v>
      </c>
      <c r="G193">
        <v>10</v>
      </c>
      <c r="H193">
        <v>1</v>
      </c>
      <c r="I193">
        <v>100</v>
      </c>
      <c r="J193" s="3">
        <v>45658</v>
      </c>
      <c r="K193" s="6">
        <v>0</v>
      </c>
    </row>
    <row r="194" spans="1:11">
      <c r="A194" t="str">
        <f t="shared" si="2"/>
        <v>Baalpoint Kompas1/1/10000</v>
      </c>
      <c r="B194" t="s">
        <v>10013</v>
      </c>
      <c r="C194" t="s">
        <v>12097</v>
      </c>
      <c r="D194" t="s">
        <v>14576</v>
      </c>
      <c r="E194" t="s">
        <v>270</v>
      </c>
      <c r="F194">
        <v>1</v>
      </c>
      <c r="G194">
        <v>1</v>
      </c>
      <c r="H194">
        <v>1</v>
      </c>
      <c r="I194">
        <v>1</v>
      </c>
      <c r="J194" s="3" t="s">
        <v>2222</v>
      </c>
      <c r="K194" s="6">
        <v>0</v>
      </c>
    </row>
    <row r="195" spans="1:11">
      <c r="A195" t="str">
        <f t="shared" ref="A195:A258" si="3">E195&amp;J195&amp;K195</f>
        <v>Bactocyn 150 AL 100 X 100 ml474530</v>
      </c>
      <c r="B195" t="s">
        <v>10014</v>
      </c>
      <c r="C195" t="s">
        <v>12098</v>
      </c>
      <c r="D195" t="s">
        <v>14577</v>
      </c>
      <c r="E195" t="s">
        <v>271</v>
      </c>
      <c r="F195">
        <v>100</v>
      </c>
      <c r="G195">
        <v>1</v>
      </c>
      <c r="H195">
        <v>1</v>
      </c>
      <c r="I195">
        <v>100</v>
      </c>
      <c r="J195" s="3">
        <v>47453</v>
      </c>
      <c r="K195" s="6">
        <v>0</v>
      </c>
    </row>
    <row r="196" spans="1:11">
      <c r="A196" t="str">
        <f t="shared" si="3"/>
        <v>Bag Jagung Q235 - 1 kg1/1/10000</v>
      </c>
      <c r="B196" t="s">
        <v>10015</v>
      </c>
      <c r="C196" t="s">
        <v>12099</v>
      </c>
      <c r="D196" t="s">
        <v>14578</v>
      </c>
      <c r="E196" t="s">
        <v>272</v>
      </c>
      <c r="F196">
        <v>1</v>
      </c>
      <c r="G196">
        <v>1</v>
      </c>
      <c r="H196">
        <v>1</v>
      </c>
      <c r="I196">
        <v>1</v>
      </c>
      <c r="J196" s="3" t="s">
        <v>2222</v>
      </c>
      <c r="K196" s="6">
        <v>0</v>
      </c>
    </row>
    <row r="197" spans="1:11">
      <c r="A197" t="str">
        <f t="shared" si="3"/>
        <v>Bag NPK Novatec 5 Kg1/1/10000</v>
      </c>
      <c r="B197" t="s">
        <v>10016</v>
      </c>
      <c r="C197" t="s">
        <v>12100</v>
      </c>
      <c r="D197" t="s">
        <v>14579</v>
      </c>
      <c r="E197" t="s">
        <v>274</v>
      </c>
      <c r="F197">
        <v>1</v>
      </c>
      <c r="G197">
        <v>1</v>
      </c>
      <c r="H197">
        <v>1</v>
      </c>
      <c r="I197">
        <v>1</v>
      </c>
      <c r="J197" s="3" t="s">
        <v>2222</v>
      </c>
      <c r="K197" s="6">
        <v>0</v>
      </c>
    </row>
    <row r="198" spans="1:11">
      <c r="A198" t="str">
        <f t="shared" si="3"/>
        <v>Baju Batik1/1/10000</v>
      </c>
      <c r="B198" t="s">
        <v>10017</v>
      </c>
      <c r="C198" t="s">
        <v>12101</v>
      </c>
      <c r="D198" t="s">
        <v>14580</v>
      </c>
      <c r="E198" t="s">
        <v>275</v>
      </c>
      <c r="F198">
        <v>1</v>
      </c>
      <c r="G198">
        <v>1</v>
      </c>
      <c r="H198">
        <v>1</v>
      </c>
      <c r="I198">
        <v>1</v>
      </c>
      <c r="J198" s="3" t="s">
        <v>2222</v>
      </c>
      <c r="K198" s="6">
        <v>0</v>
      </c>
    </row>
    <row r="199" spans="1:11">
      <c r="A199" t="str">
        <f t="shared" si="3"/>
        <v>Baju Koko1/1/10000</v>
      </c>
      <c r="B199" t="s">
        <v>10018</v>
      </c>
      <c r="C199" t="s">
        <v>12102</v>
      </c>
      <c r="D199" t="s">
        <v>14581</v>
      </c>
      <c r="E199" t="s">
        <v>276</v>
      </c>
      <c r="F199">
        <v>1</v>
      </c>
      <c r="G199">
        <v>1</v>
      </c>
      <c r="H199">
        <v>1</v>
      </c>
      <c r="I199">
        <v>1</v>
      </c>
      <c r="J199" s="3" t="s">
        <v>2222</v>
      </c>
      <c r="K199" s="6">
        <v>0</v>
      </c>
    </row>
    <row r="200" spans="1:11">
      <c r="A200" t="str">
        <f t="shared" si="3"/>
        <v>Baledo 250/50 SC 40 X 100 ml458700</v>
      </c>
      <c r="B200" t="s">
        <v>10019</v>
      </c>
      <c r="C200" t="s">
        <v>12103</v>
      </c>
      <c r="D200" t="s">
        <v>14582</v>
      </c>
      <c r="E200" t="s">
        <v>277</v>
      </c>
      <c r="F200">
        <v>40</v>
      </c>
      <c r="G200">
        <v>1</v>
      </c>
      <c r="H200">
        <v>1</v>
      </c>
      <c r="I200">
        <v>40</v>
      </c>
      <c r="J200" s="3">
        <v>45870</v>
      </c>
      <c r="K200" s="6">
        <v>0</v>
      </c>
    </row>
    <row r="201" spans="1:11">
      <c r="A201" t="str">
        <f t="shared" si="3"/>
        <v>Baledo 250/50 SC 40 X 250 ml470880</v>
      </c>
      <c r="B201" t="s">
        <v>10020</v>
      </c>
      <c r="C201" t="s">
        <v>12104</v>
      </c>
      <c r="D201" t="s">
        <v>14583</v>
      </c>
      <c r="E201" t="s">
        <v>278</v>
      </c>
      <c r="F201">
        <v>40</v>
      </c>
      <c r="G201">
        <v>1</v>
      </c>
      <c r="H201">
        <v>1</v>
      </c>
      <c r="I201">
        <v>40</v>
      </c>
      <c r="J201" s="3">
        <v>47088</v>
      </c>
      <c r="K201" s="6">
        <v>0</v>
      </c>
    </row>
    <row r="202" spans="1:11">
      <c r="A202" t="str">
        <f t="shared" si="3"/>
        <v>Bamex 18 EC 100 X 50 ml (M2U)462040</v>
      </c>
      <c r="B202" t="s">
        <v>10021</v>
      </c>
      <c r="C202" t="s">
        <v>12105</v>
      </c>
      <c r="D202" t="s">
        <v>14584</v>
      </c>
      <c r="E202" t="s">
        <v>279</v>
      </c>
      <c r="F202">
        <v>100</v>
      </c>
      <c r="G202">
        <v>1</v>
      </c>
      <c r="H202">
        <v>1</v>
      </c>
      <c r="I202">
        <v>100</v>
      </c>
      <c r="J202" s="3">
        <v>46204</v>
      </c>
      <c r="K202" s="6">
        <v>0</v>
      </c>
    </row>
    <row r="203" spans="1:11">
      <c r="A203" t="str">
        <f t="shared" si="3"/>
        <v>Bamex 18 EC 100 X 50 ml (M2U)462660</v>
      </c>
      <c r="B203" t="s">
        <v>10022</v>
      </c>
      <c r="C203" t="s">
        <v>12106</v>
      </c>
      <c r="D203" t="s">
        <v>14585</v>
      </c>
      <c r="E203" t="s">
        <v>279</v>
      </c>
      <c r="F203">
        <v>100</v>
      </c>
      <c r="G203">
        <v>1</v>
      </c>
      <c r="H203">
        <v>1</v>
      </c>
      <c r="I203">
        <v>100</v>
      </c>
      <c r="J203" s="3">
        <v>46266</v>
      </c>
      <c r="K203" s="6">
        <v>0</v>
      </c>
    </row>
    <row r="204" spans="1:11">
      <c r="A204" t="str">
        <f t="shared" si="3"/>
        <v>Bamex 18 EC 100 X 50 ml (M2U)464190</v>
      </c>
      <c r="B204" t="s">
        <v>10023</v>
      </c>
      <c r="C204" t="s">
        <v>12107</v>
      </c>
      <c r="D204" t="s">
        <v>14586</v>
      </c>
      <c r="E204" t="s">
        <v>279</v>
      </c>
      <c r="F204">
        <v>100</v>
      </c>
      <c r="G204">
        <v>1</v>
      </c>
      <c r="H204">
        <v>1</v>
      </c>
      <c r="I204">
        <v>100</v>
      </c>
      <c r="J204" s="3">
        <v>46419</v>
      </c>
      <c r="K204" s="6">
        <v>0</v>
      </c>
    </row>
    <row r="205" spans="1:11">
      <c r="A205" t="str">
        <f t="shared" si="3"/>
        <v>Bamex 18 EC 20 X 200 ml (M2U)464190</v>
      </c>
      <c r="B205" t="s">
        <v>10024</v>
      </c>
      <c r="C205" t="s">
        <v>12108</v>
      </c>
      <c r="D205" t="s">
        <v>14587</v>
      </c>
      <c r="E205" t="s">
        <v>280</v>
      </c>
      <c r="F205">
        <v>20</v>
      </c>
      <c r="G205">
        <v>1</v>
      </c>
      <c r="H205">
        <v>1</v>
      </c>
      <c r="I205">
        <v>20</v>
      </c>
      <c r="J205" s="3">
        <v>46419</v>
      </c>
      <c r="K205" s="6">
        <v>0</v>
      </c>
    </row>
    <row r="206" spans="1:11">
      <c r="A206" t="str">
        <f t="shared" si="3"/>
        <v>Bamex 18 EC 20 X 200 ml (M2U)465080</v>
      </c>
      <c r="B206" t="s">
        <v>10025</v>
      </c>
      <c r="C206" t="s">
        <v>12109</v>
      </c>
      <c r="D206" t="s">
        <v>14588</v>
      </c>
      <c r="E206" t="s">
        <v>280</v>
      </c>
      <c r="F206">
        <v>20</v>
      </c>
      <c r="G206">
        <v>1</v>
      </c>
      <c r="H206">
        <v>1</v>
      </c>
      <c r="I206">
        <v>20</v>
      </c>
      <c r="J206" s="3">
        <v>46508</v>
      </c>
      <c r="K206" s="6">
        <v>0</v>
      </c>
    </row>
    <row r="207" spans="1:11">
      <c r="A207" t="str">
        <f t="shared" si="3"/>
        <v>Bamex 18 EC 50 X 100 ml (M2U)462040</v>
      </c>
      <c r="B207" t="s">
        <v>10026</v>
      </c>
      <c r="C207" t="s">
        <v>12110</v>
      </c>
      <c r="D207" t="s">
        <v>14589</v>
      </c>
      <c r="E207" t="s">
        <v>281</v>
      </c>
      <c r="F207">
        <v>50</v>
      </c>
      <c r="G207">
        <v>1</v>
      </c>
      <c r="H207">
        <v>1</v>
      </c>
      <c r="I207">
        <v>50</v>
      </c>
      <c r="J207" s="3">
        <v>46204</v>
      </c>
      <c r="K207" s="6">
        <v>0</v>
      </c>
    </row>
    <row r="208" spans="1:11">
      <c r="A208" t="str">
        <f t="shared" si="3"/>
        <v>Bamex 18 EC 50 X 100 ml (M2U)461430</v>
      </c>
      <c r="B208" t="s">
        <v>10027</v>
      </c>
      <c r="C208" t="s">
        <v>12111</v>
      </c>
      <c r="D208" t="s">
        <v>14590</v>
      </c>
      <c r="E208" t="s">
        <v>281</v>
      </c>
      <c r="F208">
        <v>50</v>
      </c>
      <c r="G208">
        <v>1</v>
      </c>
      <c r="H208">
        <v>1</v>
      </c>
      <c r="I208">
        <v>50</v>
      </c>
      <c r="J208" s="3">
        <v>46143</v>
      </c>
      <c r="K208" s="6">
        <v>0</v>
      </c>
    </row>
    <row r="209" spans="1:11">
      <c r="A209" t="str">
        <f t="shared" si="3"/>
        <v>Bamex 18 EC 50 X 100 ml (M2U)463570</v>
      </c>
      <c r="B209" t="s">
        <v>10028</v>
      </c>
      <c r="C209" t="s">
        <v>12112</v>
      </c>
      <c r="D209" t="s">
        <v>14591</v>
      </c>
      <c r="E209" t="s">
        <v>281</v>
      </c>
      <c r="F209">
        <v>50</v>
      </c>
      <c r="G209">
        <v>1</v>
      </c>
      <c r="H209">
        <v>1</v>
      </c>
      <c r="I209">
        <v>50</v>
      </c>
      <c r="J209" s="3">
        <v>46357</v>
      </c>
      <c r="K209" s="6">
        <v>0</v>
      </c>
    </row>
    <row r="210" spans="1:11">
      <c r="A210" t="str">
        <f t="shared" si="3"/>
        <v>Bamex 18 EC 50 X 100 ml (M2U)462350</v>
      </c>
      <c r="B210" t="s">
        <v>10029</v>
      </c>
      <c r="C210" t="s">
        <v>12113</v>
      </c>
      <c r="D210" t="s">
        <v>14592</v>
      </c>
      <c r="E210" t="s">
        <v>281</v>
      </c>
      <c r="F210">
        <v>50</v>
      </c>
      <c r="G210">
        <v>1</v>
      </c>
      <c r="H210">
        <v>1</v>
      </c>
      <c r="I210">
        <v>50</v>
      </c>
      <c r="J210" s="3">
        <v>46235</v>
      </c>
      <c r="K210" s="6">
        <v>0</v>
      </c>
    </row>
    <row r="211" spans="1:11">
      <c r="A211" t="str">
        <f t="shared" si="3"/>
        <v>Bamex 18 EC 50 X 100 ml (M2U)462960</v>
      </c>
      <c r="B211" t="s">
        <v>10030</v>
      </c>
      <c r="C211" t="s">
        <v>12114</v>
      </c>
      <c r="D211" t="s">
        <v>14593</v>
      </c>
      <c r="E211" t="s">
        <v>281</v>
      </c>
      <c r="F211">
        <v>50</v>
      </c>
      <c r="G211">
        <v>1</v>
      </c>
      <c r="H211">
        <v>1</v>
      </c>
      <c r="I211">
        <v>50</v>
      </c>
      <c r="J211" s="3">
        <v>46296</v>
      </c>
      <c r="K211" s="6">
        <v>0</v>
      </c>
    </row>
    <row r="212" spans="1:11">
      <c r="A212" t="str">
        <f t="shared" si="3"/>
        <v>Banner Gamectin1/1/10000</v>
      </c>
      <c r="B212" t="s">
        <v>10031</v>
      </c>
      <c r="C212" t="s">
        <v>12115</v>
      </c>
      <c r="D212" t="s">
        <v>14594</v>
      </c>
      <c r="E212" t="s">
        <v>282</v>
      </c>
      <c r="F212">
        <v>1</v>
      </c>
      <c r="G212">
        <v>1</v>
      </c>
      <c r="H212">
        <v>1</v>
      </c>
      <c r="I212">
        <v>1</v>
      </c>
      <c r="J212" s="3" t="s">
        <v>2222</v>
      </c>
      <c r="K212" s="6">
        <v>0</v>
      </c>
    </row>
    <row r="213" spans="1:11">
      <c r="A213" t="str">
        <f t="shared" si="3"/>
        <v>Banner Kecil Icemut441530</v>
      </c>
      <c r="B213" t="s">
        <v>10032</v>
      </c>
      <c r="C213" t="s">
        <v>12116</v>
      </c>
      <c r="D213" t="s">
        <v>14595</v>
      </c>
      <c r="E213" t="s">
        <v>283</v>
      </c>
      <c r="F213">
        <v>1</v>
      </c>
      <c r="G213">
        <v>1</v>
      </c>
      <c r="H213">
        <v>1</v>
      </c>
      <c r="I213">
        <v>1</v>
      </c>
      <c r="J213" s="3">
        <v>44153</v>
      </c>
      <c r="K213" s="6">
        <v>0</v>
      </c>
    </row>
    <row r="214" spans="1:11">
      <c r="A214" t="str">
        <f t="shared" si="3"/>
        <v>Basfoliar Aktif 20 X 500 ml467530</v>
      </c>
      <c r="B214" t="s">
        <v>10033</v>
      </c>
      <c r="C214" t="s">
        <v>12117</v>
      </c>
      <c r="D214" t="s">
        <v>14596</v>
      </c>
      <c r="E214" t="s">
        <v>284</v>
      </c>
      <c r="F214">
        <v>20</v>
      </c>
      <c r="G214">
        <v>1</v>
      </c>
      <c r="H214">
        <v>1</v>
      </c>
      <c r="I214">
        <v>20</v>
      </c>
      <c r="J214" s="3">
        <v>46753</v>
      </c>
      <c r="K214" s="6">
        <v>0</v>
      </c>
    </row>
    <row r="215" spans="1:11">
      <c r="A215" t="str">
        <f t="shared" si="3"/>
        <v>Basfoliar Combi Stipp 20 X 500 ml469970</v>
      </c>
      <c r="B215" t="s">
        <v>10034</v>
      </c>
      <c r="C215" t="s">
        <v>12118</v>
      </c>
      <c r="D215" t="s">
        <v>14597</v>
      </c>
      <c r="E215" t="s">
        <v>285</v>
      </c>
      <c r="F215">
        <v>20</v>
      </c>
      <c r="G215">
        <v>1</v>
      </c>
      <c r="H215">
        <v>1</v>
      </c>
      <c r="I215">
        <v>20</v>
      </c>
      <c r="J215" s="3">
        <v>46997</v>
      </c>
      <c r="K215" s="6">
        <v>0</v>
      </c>
    </row>
    <row r="216" spans="1:11">
      <c r="A216" t="str">
        <f t="shared" si="3"/>
        <v>Basfoliar Combi Stipp 20 X 500 ml472390</v>
      </c>
      <c r="B216" t="s">
        <v>10035</v>
      </c>
      <c r="C216" t="s">
        <v>12119</v>
      </c>
      <c r="D216" t="s">
        <v>14598</v>
      </c>
      <c r="E216" t="s">
        <v>285</v>
      </c>
      <c r="F216">
        <v>20</v>
      </c>
      <c r="G216">
        <v>1</v>
      </c>
      <c r="H216">
        <v>1</v>
      </c>
      <c r="I216">
        <v>20</v>
      </c>
      <c r="J216" s="3">
        <v>47239</v>
      </c>
      <c r="K216" s="6">
        <v>0</v>
      </c>
    </row>
    <row r="217" spans="1:11">
      <c r="A217" t="str">
        <f t="shared" si="3"/>
        <v>Basfoliar Klep Premium 20 X 500 ml467530</v>
      </c>
      <c r="B217" t="s">
        <v>10036</v>
      </c>
      <c r="C217" t="s">
        <v>12120</v>
      </c>
      <c r="D217" t="s">
        <v>14599</v>
      </c>
      <c r="E217" t="s">
        <v>286</v>
      </c>
      <c r="F217">
        <v>20</v>
      </c>
      <c r="G217">
        <v>1</v>
      </c>
      <c r="H217">
        <v>1</v>
      </c>
      <c r="I217">
        <v>20</v>
      </c>
      <c r="J217" s="3">
        <v>46753</v>
      </c>
      <c r="K217" s="6">
        <v>0</v>
      </c>
    </row>
    <row r="218" spans="1:11">
      <c r="A218" t="str">
        <f t="shared" si="3"/>
        <v>Basgent 55 SC 100 X 50 ml470580</v>
      </c>
      <c r="B218" t="s">
        <v>10037</v>
      </c>
      <c r="C218" t="s">
        <v>12121</v>
      </c>
      <c r="D218" t="s">
        <v>14600</v>
      </c>
      <c r="E218" t="s">
        <v>288</v>
      </c>
      <c r="F218">
        <v>100</v>
      </c>
      <c r="G218">
        <v>1</v>
      </c>
      <c r="H218">
        <v>1</v>
      </c>
      <c r="I218">
        <v>100</v>
      </c>
      <c r="J218" s="3">
        <v>47058</v>
      </c>
      <c r="K218" s="6">
        <v>0</v>
      </c>
    </row>
    <row r="219" spans="1:11">
      <c r="A219" t="str">
        <f t="shared" si="3"/>
        <v>Basgent 55 SC 20 X 500 ml469970</v>
      </c>
      <c r="B219" t="s">
        <v>10038</v>
      </c>
      <c r="C219" t="s">
        <v>12122</v>
      </c>
      <c r="D219" t="s">
        <v>14601</v>
      </c>
      <c r="E219" t="s">
        <v>291</v>
      </c>
      <c r="F219">
        <v>20</v>
      </c>
      <c r="G219">
        <v>1</v>
      </c>
      <c r="H219">
        <v>1</v>
      </c>
      <c r="I219">
        <v>20</v>
      </c>
      <c r="J219" s="3">
        <v>46997</v>
      </c>
      <c r="K219" s="6">
        <v>0</v>
      </c>
    </row>
    <row r="220" spans="1:11">
      <c r="A220" t="str">
        <f t="shared" si="3"/>
        <v>Basgent 55 SC 50 X 100 ml470580</v>
      </c>
      <c r="B220" t="s">
        <v>10039</v>
      </c>
      <c r="C220" t="s">
        <v>12123</v>
      </c>
      <c r="D220" t="s">
        <v>14602</v>
      </c>
      <c r="E220" t="s">
        <v>293</v>
      </c>
      <c r="F220">
        <v>50</v>
      </c>
      <c r="G220">
        <v>1</v>
      </c>
      <c r="H220">
        <v>1</v>
      </c>
      <c r="I220">
        <v>50</v>
      </c>
      <c r="J220" s="3">
        <v>47058</v>
      </c>
      <c r="K220" s="6">
        <v>0</v>
      </c>
    </row>
    <row r="221" spans="1:11">
      <c r="A221" t="str">
        <f t="shared" si="3"/>
        <v>Basgent 55 SC 50 X 250 ml469970</v>
      </c>
      <c r="B221" t="s">
        <v>10040</v>
      </c>
      <c r="C221" t="s">
        <v>12124</v>
      </c>
      <c r="D221" t="s">
        <v>14603</v>
      </c>
      <c r="E221" t="s">
        <v>295</v>
      </c>
      <c r="F221">
        <v>50</v>
      </c>
      <c r="G221">
        <v>1</v>
      </c>
      <c r="H221">
        <v>1</v>
      </c>
      <c r="I221">
        <v>50</v>
      </c>
      <c r="J221" s="3">
        <v>46997</v>
      </c>
      <c r="K221" s="6">
        <v>0</v>
      </c>
    </row>
    <row r="222" spans="1:11">
      <c r="A222" t="str">
        <f t="shared" si="3"/>
        <v>Basgent 55 SC 50 X 250 ml470880</v>
      </c>
      <c r="B222" t="s">
        <v>10041</v>
      </c>
      <c r="C222" t="s">
        <v>12125</v>
      </c>
      <c r="D222" t="s">
        <v>14604</v>
      </c>
      <c r="E222" t="s">
        <v>295</v>
      </c>
      <c r="F222">
        <v>50</v>
      </c>
      <c r="G222">
        <v>1</v>
      </c>
      <c r="H222">
        <v>1</v>
      </c>
      <c r="I222">
        <v>50</v>
      </c>
      <c r="J222" s="3">
        <v>47088</v>
      </c>
      <c r="K222" s="6">
        <v>0</v>
      </c>
    </row>
    <row r="223" spans="1:11">
      <c r="A223" t="str">
        <f t="shared" si="3"/>
        <v>Basrata 150 SL 20 X 1 ltr470580</v>
      </c>
      <c r="B223" t="s">
        <v>10042</v>
      </c>
      <c r="C223" t="s">
        <v>12126</v>
      </c>
      <c r="D223" t="s">
        <v>14605</v>
      </c>
      <c r="E223" t="s">
        <v>298</v>
      </c>
      <c r="F223">
        <v>20</v>
      </c>
      <c r="G223">
        <v>1</v>
      </c>
      <c r="H223">
        <v>1</v>
      </c>
      <c r="I223">
        <v>20</v>
      </c>
      <c r="J223" s="3">
        <v>47058</v>
      </c>
      <c r="K223" s="6">
        <v>0</v>
      </c>
    </row>
    <row r="224" spans="1:11">
      <c r="A224" t="str">
        <f t="shared" si="3"/>
        <v>Basrata 150 SL 20 X 1 ltr472390</v>
      </c>
      <c r="B224" t="s">
        <v>10043</v>
      </c>
      <c r="C224" t="s">
        <v>12127</v>
      </c>
      <c r="D224" t="s">
        <v>14606</v>
      </c>
      <c r="E224" t="s">
        <v>298</v>
      </c>
      <c r="F224">
        <v>20</v>
      </c>
      <c r="G224">
        <v>1</v>
      </c>
      <c r="H224">
        <v>1</v>
      </c>
      <c r="I224">
        <v>20</v>
      </c>
      <c r="J224" s="3">
        <v>47239</v>
      </c>
      <c r="K224" s="6">
        <v>0</v>
      </c>
    </row>
    <row r="225" spans="1:11">
      <c r="A225" t="str">
        <f t="shared" si="3"/>
        <v>Basrata 150 SL 20 X 1 ltr472700</v>
      </c>
      <c r="B225" t="s">
        <v>10044</v>
      </c>
      <c r="C225" t="s">
        <v>12128</v>
      </c>
      <c r="D225" t="s">
        <v>14607</v>
      </c>
      <c r="E225" t="s">
        <v>298</v>
      </c>
      <c r="F225">
        <v>20</v>
      </c>
      <c r="G225">
        <v>1</v>
      </c>
      <c r="H225">
        <v>1</v>
      </c>
      <c r="I225">
        <v>20</v>
      </c>
      <c r="J225" s="3">
        <v>47270</v>
      </c>
      <c r="K225" s="6">
        <v>0</v>
      </c>
    </row>
    <row r="226" spans="1:11">
      <c r="A226" t="str">
        <f t="shared" si="3"/>
        <v>Basrata 150 SL 20 X 500 ml470580</v>
      </c>
      <c r="B226" t="s">
        <v>10045</v>
      </c>
      <c r="C226" t="s">
        <v>12129</v>
      </c>
      <c r="D226" t="s">
        <v>14608</v>
      </c>
      <c r="E226" t="s">
        <v>301</v>
      </c>
      <c r="F226">
        <v>20</v>
      </c>
      <c r="G226">
        <v>1</v>
      </c>
      <c r="H226">
        <v>1</v>
      </c>
      <c r="I226">
        <v>20</v>
      </c>
      <c r="J226" s="3">
        <v>47058</v>
      </c>
      <c r="K226" s="6">
        <v>0</v>
      </c>
    </row>
    <row r="227" spans="1:11">
      <c r="A227" t="str">
        <f t="shared" si="3"/>
        <v>Basrata 150 SL 50 X 250 ml470580</v>
      </c>
      <c r="B227" t="s">
        <v>10046</v>
      </c>
      <c r="C227" t="s">
        <v>12130</v>
      </c>
      <c r="D227" t="s">
        <v>14609</v>
      </c>
      <c r="E227" t="s">
        <v>303</v>
      </c>
      <c r="F227">
        <v>50</v>
      </c>
      <c r="G227">
        <v>1</v>
      </c>
      <c r="H227">
        <v>1</v>
      </c>
      <c r="I227">
        <v>50</v>
      </c>
      <c r="J227" s="3">
        <v>47058</v>
      </c>
      <c r="K227" s="6">
        <v>0</v>
      </c>
    </row>
    <row r="228" spans="1:11">
      <c r="A228" t="str">
        <f t="shared" si="3"/>
        <v>Bastnate 200 SL 12 X 1 ltr463270</v>
      </c>
      <c r="B228" t="s">
        <v>10047</v>
      </c>
      <c r="C228" t="s">
        <v>12131</v>
      </c>
      <c r="D228" t="s">
        <v>14610</v>
      </c>
      <c r="E228" t="s">
        <v>305</v>
      </c>
      <c r="F228">
        <v>12</v>
      </c>
      <c r="G228">
        <v>1</v>
      </c>
      <c r="H228">
        <v>1</v>
      </c>
      <c r="I228">
        <v>12</v>
      </c>
      <c r="J228" s="3">
        <v>46327</v>
      </c>
      <c r="K228" s="6">
        <v>0</v>
      </c>
    </row>
    <row r="229" spans="1:11">
      <c r="A229" t="str">
        <f t="shared" si="3"/>
        <v>Battery 12V1, 3AH/20HR1/1/10000</v>
      </c>
      <c r="B229" t="s">
        <v>10048</v>
      </c>
      <c r="C229" t="s">
        <v>12132</v>
      </c>
      <c r="D229" t="s">
        <v>14611</v>
      </c>
      <c r="E229" t="s">
        <v>307</v>
      </c>
      <c r="F229">
        <v>1</v>
      </c>
      <c r="G229">
        <v>1</v>
      </c>
      <c r="H229">
        <v>1</v>
      </c>
      <c r="I229">
        <v>1</v>
      </c>
      <c r="J229" s="3" t="s">
        <v>2222</v>
      </c>
      <c r="K229" s="6">
        <v>0</v>
      </c>
    </row>
    <row r="230" spans="1:11">
      <c r="A230" t="str">
        <f t="shared" si="3"/>
        <v>Baut Bersayap/Kipas1/1/10000</v>
      </c>
      <c r="B230" t="s">
        <v>10049</v>
      </c>
      <c r="C230" t="s">
        <v>12133</v>
      </c>
      <c r="D230" t="s">
        <v>14612</v>
      </c>
      <c r="E230" t="s">
        <v>308</v>
      </c>
      <c r="F230">
        <v>1</v>
      </c>
      <c r="G230">
        <v>1</v>
      </c>
      <c r="H230">
        <v>1</v>
      </c>
      <c r="I230">
        <v>1</v>
      </c>
      <c r="J230" s="3" t="s">
        <v>2222</v>
      </c>
      <c r="K230" s="6">
        <v>0</v>
      </c>
    </row>
    <row r="231" spans="1:11">
      <c r="A231" t="str">
        <f t="shared" si="3"/>
        <v>Baut Bintang 17 Lt1/1/10000</v>
      </c>
      <c r="B231" t="s">
        <v>10050</v>
      </c>
      <c r="C231" t="s">
        <v>12134</v>
      </c>
      <c r="D231" t="s">
        <v>14613</v>
      </c>
      <c r="E231" t="s">
        <v>309</v>
      </c>
      <c r="F231">
        <v>1</v>
      </c>
      <c r="G231">
        <v>1</v>
      </c>
      <c r="H231">
        <v>1</v>
      </c>
      <c r="I231">
        <v>1</v>
      </c>
      <c r="J231" s="3" t="s">
        <v>2222</v>
      </c>
      <c r="K231" s="6">
        <v>0</v>
      </c>
    </row>
    <row r="232" spans="1:11">
      <c r="A232" t="str">
        <f t="shared" si="3"/>
        <v>Baut Kupu-Kupu1/1/10000</v>
      </c>
      <c r="B232" t="s">
        <v>10051</v>
      </c>
      <c r="C232" t="s">
        <v>12135</v>
      </c>
      <c r="D232" t="s">
        <v>14614</v>
      </c>
      <c r="E232" t="s">
        <v>310</v>
      </c>
      <c r="F232">
        <v>1</v>
      </c>
      <c r="G232">
        <v>1</v>
      </c>
      <c r="H232">
        <v>1</v>
      </c>
      <c r="I232">
        <v>1</v>
      </c>
      <c r="J232" s="3" t="s">
        <v>2222</v>
      </c>
      <c r="K232" s="6">
        <v>0</v>
      </c>
    </row>
    <row r="233" spans="1:11">
      <c r="A233" t="str">
        <f t="shared" si="3"/>
        <v>Baycarb 500 EC 20 X 500 ml457780</v>
      </c>
      <c r="B233" t="s">
        <v>10052</v>
      </c>
      <c r="C233" t="s">
        <v>12136</v>
      </c>
      <c r="D233" t="s">
        <v>14615</v>
      </c>
      <c r="E233" t="s">
        <v>315</v>
      </c>
      <c r="F233">
        <v>20</v>
      </c>
      <c r="G233">
        <v>1</v>
      </c>
      <c r="H233">
        <v>1</v>
      </c>
      <c r="I233">
        <v>20</v>
      </c>
      <c r="J233" s="3">
        <v>45778</v>
      </c>
      <c r="K233" s="6">
        <v>0</v>
      </c>
    </row>
    <row r="234" spans="1:11">
      <c r="A234" t="str">
        <f t="shared" si="3"/>
        <v>Baycarb 500 EC 20 X 500 ml458090</v>
      </c>
      <c r="B234" t="s">
        <v>10053</v>
      </c>
      <c r="C234" t="s">
        <v>12137</v>
      </c>
      <c r="D234" t="s">
        <v>14616</v>
      </c>
      <c r="E234" t="s">
        <v>315</v>
      </c>
      <c r="F234">
        <v>20</v>
      </c>
      <c r="G234">
        <v>1</v>
      </c>
      <c r="H234">
        <v>1</v>
      </c>
      <c r="I234">
        <v>20</v>
      </c>
      <c r="J234" s="3">
        <v>45809</v>
      </c>
      <c r="K234" s="6">
        <v>0</v>
      </c>
    </row>
    <row r="235" spans="1:11">
      <c r="A235" t="str">
        <f t="shared" si="3"/>
        <v>Bayfolan 40 X 250 ml457780</v>
      </c>
      <c r="B235" t="s">
        <v>10054</v>
      </c>
      <c r="C235" t="s">
        <v>12138</v>
      </c>
      <c r="D235" t="s">
        <v>14617</v>
      </c>
      <c r="E235" t="s">
        <v>319</v>
      </c>
      <c r="F235">
        <v>40</v>
      </c>
      <c r="G235">
        <v>1</v>
      </c>
      <c r="H235">
        <v>1</v>
      </c>
      <c r="I235">
        <v>40</v>
      </c>
      <c r="J235" s="3">
        <v>45778</v>
      </c>
      <c r="K235" s="6">
        <v>0</v>
      </c>
    </row>
    <row r="236" spans="1:11">
      <c r="A236" t="str">
        <f t="shared" si="3"/>
        <v>Been Toxcer 40 X 250 ml468740</v>
      </c>
      <c r="B236" t="s">
        <v>10055</v>
      </c>
      <c r="C236" t="s">
        <v>12139</v>
      </c>
      <c r="D236" t="s">
        <v>14618</v>
      </c>
      <c r="E236" t="s">
        <v>321</v>
      </c>
      <c r="F236">
        <v>40</v>
      </c>
      <c r="G236">
        <v>1</v>
      </c>
      <c r="H236">
        <v>1</v>
      </c>
      <c r="I236">
        <v>40</v>
      </c>
      <c r="J236" s="3">
        <v>46874</v>
      </c>
      <c r="K236" s="6">
        <v>0</v>
      </c>
    </row>
    <row r="237" spans="1:11">
      <c r="A237" t="str">
        <f t="shared" si="3"/>
        <v>Beensae EM9 Tambak 20 X 1 ltr469970</v>
      </c>
      <c r="B237" t="s">
        <v>10056</v>
      </c>
      <c r="C237" t="s">
        <v>12140</v>
      </c>
      <c r="D237" t="s">
        <v>14619</v>
      </c>
      <c r="E237" t="s">
        <v>322</v>
      </c>
      <c r="F237">
        <v>20</v>
      </c>
      <c r="G237">
        <v>1</v>
      </c>
      <c r="H237">
        <v>1</v>
      </c>
      <c r="I237">
        <v>20</v>
      </c>
      <c r="J237" s="3">
        <v>46997</v>
      </c>
      <c r="K237" s="6">
        <v>0</v>
      </c>
    </row>
    <row r="238" spans="1:11">
      <c r="A238" t="str">
        <f t="shared" si="3"/>
        <v>Beensae EM9 Tani 20 X 1 ltr469050</v>
      </c>
      <c r="B238" t="s">
        <v>10057</v>
      </c>
      <c r="C238" t="s">
        <v>12141</v>
      </c>
      <c r="D238" t="s">
        <v>14620</v>
      </c>
      <c r="E238" t="s">
        <v>323</v>
      </c>
      <c r="F238">
        <v>20</v>
      </c>
      <c r="G238">
        <v>1</v>
      </c>
      <c r="H238">
        <v>1</v>
      </c>
      <c r="I238">
        <v>20</v>
      </c>
      <c r="J238" s="3">
        <v>46905</v>
      </c>
      <c r="K238" s="6">
        <v>0</v>
      </c>
    </row>
    <row r="239" spans="1:11">
      <c r="A239" t="str">
        <f t="shared" si="3"/>
        <v>Beensae EM9 Tani 20 X 1 ltr469970</v>
      </c>
      <c r="B239" t="s">
        <v>10058</v>
      </c>
      <c r="C239" t="s">
        <v>12142</v>
      </c>
      <c r="D239" t="s">
        <v>14621</v>
      </c>
      <c r="E239" t="s">
        <v>323</v>
      </c>
      <c r="F239">
        <v>20</v>
      </c>
      <c r="G239">
        <v>1</v>
      </c>
      <c r="H239">
        <v>1</v>
      </c>
      <c r="I239">
        <v>20</v>
      </c>
      <c r="J239" s="3">
        <v>46997</v>
      </c>
      <c r="K239" s="6">
        <v>0</v>
      </c>
    </row>
    <row r="240" spans="1:11">
      <c r="A240" t="str">
        <f t="shared" si="3"/>
        <v>Beensae KCL Cair 20 X 1 ltr472090</v>
      </c>
      <c r="B240" t="s">
        <v>10059</v>
      </c>
      <c r="C240" t="s">
        <v>12143</v>
      </c>
      <c r="D240" t="s">
        <v>14622</v>
      </c>
      <c r="E240" t="s">
        <v>324</v>
      </c>
      <c r="F240">
        <v>20</v>
      </c>
      <c r="G240">
        <v>1</v>
      </c>
      <c r="H240">
        <v>1</v>
      </c>
      <c r="I240">
        <v>20</v>
      </c>
      <c r="J240" s="3">
        <v>47209</v>
      </c>
      <c r="K240" s="6">
        <v>0</v>
      </c>
    </row>
    <row r="241" spans="1:11">
      <c r="A241" t="str">
        <f t="shared" si="3"/>
        <v>Beensae Khatrol 20 X 20 X 10 ml469050</v>
      </c>
      <c r="B241" t="s">
        <v>10060</v>
      </c>
      <c r="C241" t="s">
        <v>12144</v>
      </c>
      <c r="D241" t="s">
        <v>14623</v>
      </c>
      <c r="E241" t="s">
        <v>325</v>
      </c>
      <c r="F241">
        <v>20</v>
      </c>
      <c r="G241">
        <v>20</v>
      </c>
      <c r="H241">
        <v>1</v>
      </c>
      <c r="I241">
        <v>400</v>
      </c>
      <c r="J241" s="3">
        <v>46905</v>
      </c>
      <c r="K241" s="6">
        <v>0</v>
      </c>
    </row>
    <row r="242" spans="1:11">
      <c r="A242" t="str">
        <f t="shared" si="3"/>
        <v>Beka Biang Kompos 25 X 250 ml442560</v>
      </c>
      <c r="B242" t="s">
        <v>10061</v>
      </c>
      <c r="C242" t="s">
        <v>12145</v>
      </c>
      <c r="D242" t="s">
        <v>14624</v>
      </c>
      <c r="E242" t="s">
        <v>326</v>
      </c>
      <c r="F242">
        <v>25</v>
      </c>
      <c r="G242">
        <v>1</v>
      </c>
      <c r="H242">
        <v>1</v>
      </c>
      <c r="I242">
        <v>25</v>
      </c>
      <c r="J242" s="3">
        <v>44256</v>
      </c>
      <c r="K242" s="6">
        <v>0</v>
      </c>
    </row>
    <row r="243" spans="1:11">
      <c r="A243" t="str">
        <f t="shared" si="3"/>
        <v>Bellator 265 SC 20 X 100 ml459310</v>
      </c>
      <c r="B243" t="s">
        <v>10062</v>
      </c>
      <c r="C243" t="s">
        <v>12146</v>
      </c>
      <c r="D243" t="s">
        <v>14625</v>
      </c>
      <c r="E243" t="s">
        <v>328</v>
      </c>
      <c r="F243">
        <v>20</v>
      </c>
      <c r="G243">
        <v>1</v>
      </c>
      <c r="H243">
        <v>1</v>
      </c>
      <c r="I243">
        <v>20</v>
      </c>
      <c r="J243" s="3">
        <v>45931</v>
      </c>
      <c r="K243" s="6">
        <v>0</v>
      </c>
    </row>
    <row r="244" spans="1:11">
      <c r="A244" t="str">
        <f t="shared" si="3"/>
        <v>Belt Yamaha1/1/10000</v>
      </c>
      <c r="B244" t="s">
        <v>10063</v>
      </c>
      <c r="C244" t="s">
        <v>12147</v>
      </c>
      <c r="D244" t="s">
        <v>14626</v>
      </c>
      <c r="E244" t="s">
        <v>329</v>
      </c>
      <c r="F244">
        <v>1</v>
      </c>
      <c r="G244">
        <v>1</v>
      </c>
      <c r="H244">
        <v>1</v>
      </c>
      <c r="I244">
        <v>1</v>
      </c>
      <c r="J244" s="3" t="s">
        <v>2222</v>
      </c>
      <c r="K244" s="6">
        <v>0</v>
      </c>
    </row>
    <row r="245" spans="1:11">
      <c r="A245" t="str">
        <f t="shared" si="3"/>
        <v>Benang Pe mlg1/1/10000</v>
      </c>
      <c r="B245" t="s">
        <v>10064</v>
      </c>
      <c r="C245" t="s">
        <v>12148</v>
      </c>
      <c r="D245" t="s">
        <v>14627</v>
      </c>
      <c r="E245" t="s">
        <v>330</v>
      </c>
      <c r="F245">
        <v>1</v>
      </c>
      <c r="G245">
        <v>1</v>
      </c>
      <c r="H245">
        <v>1</v>
      </c>
      <c r="I245">
        <v>1</v>
      </c>
      <c r="J245" s="3" t="s">
        <v>2222</v>
      </c>
      <c r="K245" s="6">
        <v>0</v>
      </c>
    </row>
    <row r="246" spans="1:11">
      <c r="A246" t="str">
        <f t="shared" si="3"/>
        <v>Bencore 250 EC 20 X 200 ml469660</v>
      </c>
      <c r="B246" t="s">
        <v>10065</v>
      </c>
      <c r="C246" t="s">
        <v>12149</v>
      </c>
      <c r="D246" t="s">
        <v>14628</v>
      </c>
      <c r="E246" t="s">
        <v>331</v>
      </c>
      <c r="F246">
        <v>20</v>
      </c>
      <c r="G246">
        <v>1</v>
      </c>
      <c r="H246">
        <v>1</v>
      </c>
      <c r="I246">
        <v>20</v>
      </c>
      <c r="J246" s="3">
        <v>46966</v>
      </c>
      <c r="K246" s="6">
        <v>0</v>
      </c>
    </row>
    <row r="247" spans="1:11">
      <c r="A247" t="str">
        <f t="shared" si="3"/>
        <v>Bencore 250 EC 20 X 400 ml465080</v>
      </c>
      <c r="B247" t="s">
        <v>10066</v>
      </c>
      <c r="C247" t="s">
        <v>12150</v>
      </c>
      <c r="D247" t="s">
        <v>14629</v>
      </c>
      <c r="E247" t="s">
        <v>332</v>
      </c>
      <c r="F247">
        <v>20</v>
      </c>
      <c r="G247">
        <v>1</v>
      </c>
      <c r="H247">
        <v>1</v>
      </c>
      <c r="I247">
        <v>20</v>
      </c>
      <c r="J247" s="3">
        <v>46508</v>
      </c>
      <c r="K247" s="6">
        <v>0</v>
      </c>
    </row>
    <row r="248" spans="1:11">
      <c r="A248" t="str">
        <f t="shared" si="3"/>
        <v>Bentpipe No. 451/1/10000</v>
      </c>
      <c r="B248" t="s">
        <v>10067</v>
      </c>
      <c r="C248" t="s">
        <v>12151</v>
      </c>
      <c r="D248" t="s">
        <v>14630</v>
      </c>
      <c r="E248" t="s">
        <v>333</v>
      </c>
      <c r="F248">
        <v>1</v>
      </c>
      <c r="G248">
        <v>1</v>
      </c>
      <c r="H248">
        <v>1</v>
      </c>
      <c r="I248">
        <v>1</v>
      </c>
      <c r="J248" s="3" t="s">
        <v>2222</v>
      </c>
      <c r="K248" s="6">
        <v>0</v>
      </c>
    </row>
    <row r="249" spans="1:11">
      <c r="A249" t="str">
        <f t="shared" si="3"/>
        <v>Bernas 250 EC 50 X 100 ml (M2U)462040</v>
      </c>
      <c r="B249" t="s">
        <v>10068</v>
      </c>
      <c r="C249" t="s">
        <v>12152</v>
      </c>
      <c r="D249" t="s">
        <v>14631</v>
      </c>
      <c r="E249" t="s">
        <v>334</v>
      </c>
      <c r="F249">
        <v>50</v>
      </c>
      <c r="G249">
        <v>1</v>
      </c>
      <c r="H249">
        <v>1</v>
      </c>
      <c r="I249">
        <v>50</v>
      </c>
      <c r="J249" s="3">
        <v>46204</v>
      </c>
      <c r="K249" s="6">
        <v>0</v>
      </c>
    </row>
    <row r="250" spans="1:11">
      <c r="A250" t="str">
        <f t="shared" si="3"/>
        <v>Bernas 250 EC 50 X 250 ml (M2U)459920</v>
      </c>
      <c r="B250" t="s">
        <v>10069</v>
      </c>
      <c r="C250" t="s">
        <v>12153</v>
      </c>
      <c r="D250" t="s">
        <v>14632</v>
      </c>
      <c r="E250" t="s">
        <v>335</v>
      </c>
      <c r="F250">
        <v>50</v>
      </c>
      <c r="G250">
        <v>1</v>
      </c>
      <c r="H250">
        <v>1</v>
      </c>
      <c r="I250">
        <v>50</v>
      </c>
      <c r="J250" s="3">
        <v>45992</v>
      </c>
      <c r="K250" s="6">
        <v>0</v>
      </c>
    </row>
    <row r="251" spans="1:11">
      <c r="A251" t="str">
        <f t="shared" si="3"/>
        <v>Bernas 250 EC 50 X 250 ml (M2U)460540</v>
      </c>
      <c r="B251" t="s">
        <v>10070</v>
      </c>
      <c r="C251" t="s">
        <v>12154</v>
      </c>
      <c r="D251" t="s">
        <v>14633</v>
      </c>
      <c r="E251" t="s">
        <v>335</v>
      </c>
      <c r="F251">
        <v>50</v>
      </c>
      <c r="G251">
        <v>1</v>
      </c>
      <c r="H251">
        <v>1</v>
      </c>
      <c r="I251">
        <v>50</v>
      </c>
      <c r="J251" s="3">
        <v>46054</v>
      </c>
      <c r="K251" s="6">
        <v>0</v>
      </c>
    </row>
    <row r="252" spans="1:11">
      <c r="A252" t="str">
        <f t="shared" si="3"/>
        <v>Best Up 480 SL 20 X 1 ltr456890</v>
      </c>
      <c r="B252" t="s">
        <v>10071</v>
      </c>
      <c r="C252" t="s">
        <v>12155</v>
      </c>
      <c r="D252" t="s">
        <v>14634</v>
      </c>
      <c r="E252" t="s">
        <v>336</v>
      </c>
      <c r="F252">
        <v>20</v>
      </c>
      <c r="G252">
        <v>1</v>
      </c>
      <c r="H252">
        <v>1</v>
      </c>
      <c r="I252">
        <v>20</v>
      </c>
      <c r="J252" s="3">
        <v>45689</v>
      </c>
      <c r="K252" s="6">
        <v>0</v>
      </c>
    </row>
    <row r="253" spans="1:11">
      <c r="A253" t="str">
        <f t="shared" si="3"/>
        <v>Better One 40 X 200 ml470880</v>
      </c>
      <c r="B253" t="s">
        <v>10072</v>
      </c>
      <c r="C253" t="s">
        <v>12156</v>
      </c>
      <c r="D253" t="s">
        <v>14635</v>
      </c>
      <c r="E253" t="s">
        <v>337</v>
      </c>
      <c r="F253">
        <v>40</v>
      </c>
      <c r="G253">
        <v>1</v>
      </c>
      <c r="H253">
        <v>1</v>
      </c>
      <c r="I253">
        <v>40</v>
      </c>
      <c r="J253" s="3">
        <v>47088</v>
      </c>
      <c r="K253" s="6">
        <v>0</v>
      </c>
    </row>
    <row r="254" spans="1:11">
      <c r="A254" t="str">
        <f t="shared" si="3"/>
        <v>Biggrow 20 WP 6 X 50 X 5 gr474530</v>
      </c>
      <c r="B254" t="s">
        <v>10073</v>
      </c>
      <c r="C254" t="s">
        <v>12157</v>
      </c>
      <c r="D254" t="s">
        <v>14636</v>
      </c>
      <c r="E254" t="s">
        <v>338</v>
      </c>
      <c r="F254">
        <v>6</v>
      </c>
      <c r="G254">
        <v>50</v>
      </c>
      <c r="H254">
        <v>1</v>
      </c>
      <c r="I254">
        <v>300</v>
      </c>
      <c r="J254" s="3">
        <v>47453</v>
      </c>
      <c r="K254" s="6">
        <v>0</v>
      </c>
    </row>
    <row r="255" spans="1:11">
      <c r="A255" t="str">
        <f t="shared" si="3"/>
        <v>Biggrow Forte 6 X 200 X 1 gr474530</v>
      </c>
      <c r="B255" t="s">
        <v>10074</v>
      </c>
      <c r="C255" t="s">
        <v>12158</v>
      </c>
      <c r="D255" t="s">
        <v>14637</v>
      </c>
      <c r="E255" t="s">
        <v>339</v>
      </c>
      <c r="F255">
        <v>6</v>
      </c>
      <c r="G255">
        <v>200</v>
      </c>
      <c r="H255">
        <v>1</v>
      </c>
      <c r="I255">
        <v>1200</v>
      </c>
      <c r="J255" s="3">
        <v>47453</v>
      </c>
      <c r="K255" s="6">
        <v>0</v>
      </c>
    </row>
    <row r="256" spans="1:11">
      <c r="A256" t="str">
        <f t="shared" si="3"/>
        <v>Bigxone 135 SL 20 X 1 ltr470880</v>
      </c>
      <c r="B256" t="s">
        <v>10075</v>
      </c>
      <c r="C256" t="s">
        <v>12159</v>
      </c>
      <c r="D256" t="s">
        <v>14638</v>
      </c>
      <c r="E256" t="s">
        <v>340</v>
      </c>
      <c r="F256">
        <v>20</v>
      </c>
      <c r="G256">
        <v>1</v>
      </c>
      <c r="H256">
        <v>1</v>
      </c>
      <c r="I256">
        <v>20</v>
      </c>
      <c r="J256" s="3">
        <v>47088</v>
      </c>
      <c r="K256" s="6">
        <v>0</v>
      </c>
    </row>
    <row r="257" spans="1:11">
      <c r="A257" t="str">
        <f t="shared" si="3"/>
        <v>Biochem Padi/ Tikus 30 X 500 ml456270</v>
      </c>
      <c r="B257" t="s">
        <v>10076</v>
      </c>
      <c r="C257" t="s">
        <v>12160</v>
      </c>
      <c r="D257" t="s">
        <v>14639</v>
      </c>
      <c r="E257" t="s">
        <v>341</v>
      </c>
      <c r="F257">
        <v>30</v>
      </c>
      <c r="G257">
        <v>1</v>
      </c>
      <c r="H257">
        <v>1</v>
      </c>
      <c r="I257">
        <v>30</v>
      </c>
      <c r="J257" s="3">
        <v>45627</v>
      </c>
      <c r="K257" s="6">
        <v>0</v>
      </c>
    </row>
    <row r="258" spans="1:11">
      <c r="A258" t="str">
        <f t="shared" si="3"/>
        <v>Biochem Umum 20 X 1 ltr456270</v>
      </c>
      <c r="B258" t="s">
        <v>10077</v>
      </c>
      <c r="C258" t="s">
        <v>12161</v>
      </c>
      <c r="D258" t="s">
        <v>14640</v>
      </c>
      <c r="E258" t="s">
        <v>342</v>
      </c>
      <c r="F258">
        <v>20</v>
      </c>
      <c r="G258">
        <v>1</v>
      </c>
      <c r="H258">
        <v>1</v>
      </c>
      <c r="I258">
        <v>20</v>
      </c>
      <c r="J258" s="3">
        <v>45627</v>
      </c>
      <c r="K258" s="6">
        <v>0</v>
      </c>
    </row>
    <row r="259" spans="1:11">
      <c r="A259" t="str">
        <f t="shared" ref="A259:A322" si="4">E259&amp;J259&amp;K259</f>
        <v>Biochem Umum 30 X 500 ml456270</v>
      </c>
      <c r="B259" t="s">
        <v>10078</v>
      </c>
      <c r="C259" t="s">
        <v>12162</v>
      </c>
      <c r="D259" t="s">
        <v>14641</v>
      </c>
      <c r="E259" t="s">
        <v>343</v>
      </c>
      <c r="F259">
        <v>30</v>
      </c>
      <c r="G259">
        <v>1</v>
      </c>
      <c r="H259">
        <v>1</v>
      </c>
      <c r="I259">
        <v>30</v>
      </c>
      <c r="J259" s="3">
        <v>45627</v>
      </c>
      <c r="K259" s="6">
        <v>0</v>
      </c>
    </row>
    <row r="260" spans="1:11">
      <c r="A260" t="str">
        <f t="shared" si="4"/>
        <v>Bion M 1/48 WP 20 X 500 gr457780</v>
      </c>
      <c r="B260" t="s">
        <v>10079</v>
      </c>
      <c r="C260" t="s">
        <v>12163</v>
      </c>
      <c r="D260" t="s">
        <v>14642</v>
      </c>
      <c r="E260" t="s">
        <v>344</v>
      </c>
      <c r="F260">
        <v>20</v>
      </c>
      <c r="G260">
        <v>1</v>
      </c>
      <c r="H260">
        <v>1</v>
      </c>
      <c r="I260">
        <v>20</v>
      </c>
      <c r="J260" s="3">
        <v>45778</v>
      </c>
      <c r="K260" s="6">
        <v>0</v>
      </c>
    </row>
    <row r="261" spans="1:11">
      <c r="A261" t="str">
        <f t="shared" si="4"/>
        <v>Bion M 1/48 WP 20 X 500 gr459310</v>
      </c>
      <c r="B261" t="s">
        <v>10080</v>
      </c>
      <c r="C261" t="s">
        <v>12164</v>
      </c>
      <c r="D261" t="s">
        <v>14643</v>
      </c>
      <c r="E261" t="s">
        <v>344</v>
      </c>
      <c r="F261">
        <v>20</v>
      </c>
      <c r="G261">
        <v>1</v>
      </c>
      <c r="H261">
        <v>1</v>
      </c>
      <c r="I261">
        <v>20</v>
      </c>
      <c r="J261" s="3">
        <v>45931</v>
      </c>
      <c r="K261" s="6">
        <v>0</v>
      </c>
    </row>
    <row r="262" spans="1:11">
      <c r="A262" t="str">
        <f t="shared" si="4"/>
        <v>Bionik 400 EC 20 X 500 ml471190</v>
      </c>
      <c r="B262" t="s">
        <v>10081</v>
      </c>
      <c r="C262" t="s">
        <v>12165</v>
      </c>
      <c r="D262" t="s">
        <v>14644</v>
      </c>
      <c r="E262" t="s">
        <v>351</v>
      </c>
      <c r="F262">
        <v>20</v>
      </c>
      <c r="G262">
        <v>1</v>
      </c>
      <c r="H262">
        <v>1</v>
      </c>
      <c r="I262">
        <v>20</v>
      </c>
      <c r="J262" s="3">
        <v>47119</v>
      </c>
      <c r="K262" s="6">
        <v>0</v>
      </c>
    </row>
    <row r="263" spans="1:11">
      <c r="A263" t="str">
        <f t="shared" si="4"/>
        <v>Bionik 400 EC 20 X 500 ml472090</v>
      </c>
      <c r="B263" t="s">
        <v>10082</v>
      </c>
      <c r="C263" t="s">
        <v>12166</v>
      </c>
      <c r="D263" t="s">
        <v>14645</v>
      </c>
      <c r="E263" t="s">
        <v>351</v>
      </c>
      <c r="F263">
        <v>20</v>
      </c>
      <c r="G263">
        <v>1</v>
      </c>
      <c r="H263">
        <v>1</v>
      </c>
      <c r="I263">
        <v>20</v>
      </c>
      <c r="J263" s="3">
        <v>47209</v>
      </c>
      <c r="K263" s="6">
        <v>0</v>
      </c>
    </row>
    <row r="264" spans="1:11">
      <c r="A264" t="str">
        <f t="shared" si="4"/>
        <v>Bionik 400 EC 50 X 100 ml472090</v>
      </c>
      <c r="B264" t="s">
        <v>10083</v>
      </c>
      <c r="C264" t="s">
        <v>12167</v>
      </c>
      <c r="D264" t="s">
        <v>14646</v>
      </c>
      <c r="E264" t="s">
        <v>352</v>
      </c>
      <c r="F264">
        <v>50</v>
      </c>
      <c r="G264">
        <v>1</v>
      </c>
      <c r="H264">
        <v>1</v>
      </c>
      <c r="I264">
        <v>50</v>
      </c>
      <c r="J264" s="3">
        <v>47209</v>
      </c>
      <c r="K264" s="6">
        <v>0</v>
      </c>
    </row>
    <row r="265" spans="1:11">
      <c r="A265" t="str">
        <f t="shared" si="4"/>
        <v>Bionik 400 EC 50 X 100 ml472390</v>
      </c>
      <c r="B265" t="s">
        <v>10084</v>
      </c>
      <c r="C265" t="s">
        <v>12168</v>
      </c>
      <c r="D265" t="s">
        <v>14647</v>
      </c>
      <c r="E265" t="s">
        <v>352</v>
      </c>
      <c r="F265">
        <v>50</v>
      </c>
      <c r="G265">
        <v>1</v>
      </c>
      <c r="H265">
        <v>1</v>
      </c>
      <c r="I265">
        <v>50</v>
      </c>
      <c r="J265" s="3">
        <v>47239</v>
      </c>
      <c r="K265" s="6">
        <v>0</v>
      </c>
    </row>
    <row r="266" spans="1:11">
      <c r="A266" t="str">
        <f t="shared" si="4"/>
        <v>Bionta BSA 100 ml (S)1/1/10000</v>
      </c>
      <c r="B266" t="s">
        <v>10085</v>
      </c>
      <c r="C266" t="s">
        <v>12169</v>
      </c>
      <c r="D266" t="s">
        <v>14648</v>
      </c>
      <c r="E266" t="s">
        <v>353</v>
      </c>
      <c r="F266">
        <v>1</v>
      </c>
      <c r="G266">
        <v>1</v>
      </c>
      <c r="H266">
        <v>1</v>
      </c>
      <c r="I266">
        <v>1</v>
      </c>
      <c r="J266" s="3" t="s">
        <v>2222</v>
      </c>
      <c r="K266" s="6">
        <v>0</v>
      </c>
    </row>
    <row r="267" spans="1:11">
      <c r="A267" t="str">
        <f t="shared" si="4"/>
        <v>Bionta45 250 ml (Sample)455970</v>
      </c>
      <c r="B267" t="s">
        <v>10086</v>
      </c>
      <c r="C267" t="s">
        <v>12170</v>
      </c>
      <c r="D267" t="s">
        <v>14649</v>
      </c>
      <c r="E267" t="s">
        <v>354</v>
      </c>
      <c r="F267">
        <v>1</v>
      </c>
      <c r="G267">
        <v>1</v>
      </c>
      <c r="H267">
        <v>1</v>
      </c>
      <c r="I267">
        <v>1</v>
      </c>
      <c r="J267" s="3">
        <v>45597</v>
      </c>
      <c r="K267" s="6">
        <v>0</v>
      </c>
    </row>
    <row r="268" spans="1:11">
      <c r="A268" t="str">
        <f t="shared" si="4"/>
        <v>Biosoft 20 X 1 ltr463570</v>
      </c>
      <c r="B268" t="s">
        <v>10087</v>
      </c>
      <c r="C268" t="s">
        <v>12171</v>
      </c>
      <c r="D268" t="s">
        <v>14650</v>
      </c>
      <c r="E268" t="s">
        <v>355</v>
      </c>
      <c r="F268">
        <v>20</v>
      </c>
      <c r="G268">
        <v>1</v>
      </c>
      <c r="H268">
        <v>1</v>
      </c>
      <c r="I268">
        <v>20</v>
      </c>
      <c r="J268" s="3">
        <v>46357</v>
      </c>
      <c r="K268" s="6">
        <v>0</v>
      </c>
    </row>
    <row r="269" spans="1:11">
      <c r="A269" t="str">
        <f t="shared" si="4"/>
        <v>Biosoft 20 X 500 ml463570</v>
      </c>
      <c r="B269" t="s">
        <v>10088</v>
      </c>
      <c r="C269" t="s">
        <v>12172</v>
      </c>
      <c r="D269" t="s">
        <v>14651</v>
      </c>
      <c r="E269" t="s">
        <v>356</v>
      </c>
      <c r="F269">
        <v>20</v>
      </c>
      <c r="G269">
        <v>1</v>
      </c>
      <c r="H269">
        <v>1</v>
      </c>
      <c r="I269">
        <v>20</v>
      </c>
      <c r="J269" s="3">
        <v>46357</v>
      </c>
      <c r="K269" s="6">
        <v>0</v>
      </c>
    </row>
    <row r="270" spans="1:11">
      <c r="A270" t="str">
        <f t="shared" si="4"/>
        <v>Biosoft 50 X 100 ml455970</v>
      </c>
      <c r="B270" t="s">
        <v>10089</v>
      </c>
      <c r="C270" t="s">
        <v>12173</v>
      </c>
      <c r="D270" t="s">
        <v>14652</v>
      </c>
      <c r="E270" t="s">
        <v>357</v>
      </c>
      <c r="F270">
        <v>50</v>
      </c>
      <c r="G270">
        <v>1</v>
      </c>
      <c r="H270">
        <v>1</v>
      </c>
      <c r="I270">
        <v>50</v>
      </c>
      <c r="J270" s="3">
        <v>45597</v>
      </c>
      <c r="K270" s="6">
        <v>0</v>
      </c>
    </row>
    <row r="271" spans="1:11">
      <c r="A271" t="str">
        <f t="shared" si="4"/>
        <v>Blacer Booster Buah 25.79 L 24 X 500 ml456270</v>
      </c>
      <c r="B271" t="s">
        <v>10090</v>
      </c>
      <c r="C271" t="s">
        <v>12174</v>
      </c>
      <c r="D271" t="s">
        <v>14653</v>
      </c>
      <c r="E271" t="s">
        <v>358</v>
      </c>
      <c r="F271">
        <v>24</v>
      </c>
      <c r="G271">
        <v>1</v>
      </c>
      <c r="H271">
        <v>1</v>
      </c>
      <c r="I271">
        <v>24</v>
      </c>
      <c r="J271" s="3">
        <v>45627</v>
      </c>
      <c r="K271" s="6">
        <v>0</v>
      </c>
    </row>
    <row r="272" spans="1:11">
      <c r="A272" t="str">
        <f t="shared" si="4"/>
        <v>Blacer Booster Daun 16.85 L 24 X 500 ml456270</v>
      </c>
      <c r="B272" t="s">
        <v>10091</v>
      </c>
      <c r="C272" t="s">
        <v>12175</v>
      </c>
      <c r="D272" t="s">
        <v>14654</v>
      </c>
      <c r="E272" t="s">
        <v>360</v>
      </c>
      <c r="F272">
        <v>24</v>
      </c>
      <c r="G272">
        <v>1</v>
      </c>
      <c r="H272">
        <v>1</v>
      </c>
      <c r="I272">
        <v>24</v>
      </c>
      <c r="J272" s="3">
        <v>45627</v>
      </c>
      <c r="K272" s="6">
        <v>0</v>
      </c>
    </row>
    <row r="273" spans="1:11">
      <c r="A273" t="str">
        <f t="shared" si="4"/>
        <v>Black Rubber Tube1/1/10000</v>
      </c>
      <c r="B273" t="s">
        <v>10092</v>
      </c>
      <c r="C273" t="s">
        <v>12176</v>
      </c>
      <c r="D273" t="s">
        <v>14655</v>
      </c>
      <c r="E273" t="s">
        <v>361</v>
      </c>
      <c r="F273">
        <v>1</v>
      </c>
      <c r="G273">
        <v>1</v>
      </c>
      <c r="H273">
        <v>1</v>
      </c>
      <c r="I273">
        <v>1</v>
      </c>
      <c r="J273" s="3" t="s">
        <v>2222</v>
      </c>
      <c r="K273" s="6">
        <v>0</v>
      </c>
    </row>
    <row r="274" spans="1:11">
      <c r="A274" t="str">
        <f t="shared" si="4"/>
        <v>Blast 200 SC 20 X 500 ml468740</v>
      </c>
      <c r="B274" t="s">
        <v>10093</v>
      </c>
      <c r="C274" t="s">
        <v>12177</v>
      </c>
      <c r="D274" t="s">
        <v>14656</v>
      </c>
      <c r="E274" t="s">
        <v>362</v>
      </c>
      <c r="F274">
        <v>20</v>
      </c>
      <c r="G274">
        <v>1</v>
      </c>
      <c r="H274">
        <v>1</v>
      </c>
      <c r="I274">
        <v>20</v>
      </c>
      <c r="J274" s="3">
        <v>46874</v>
      </c>
      <c r="K274" s="6">
        <v>0</v>
      </c>
    </row>
    <row r="275" spans="1:11">
      <c r="A275" t="str">
        <f t="shared" si="4"/>
        <v>Blast 200 SC 48 X 100 ml461740</v>
      </c>
      <c r="B275" t="s">
        <v>10094</v>
      </c>
      <c r="C275" t="s">
        <v>12178</v>
      </c>
      <c r="D275" t="s">
        <v>14657</v>
      </c>
      <c r="E275" t="s">
        <v>365</v>
      </c>
      <c r="F275">
        <v>48</v>
      </c>
      <c r="G275">
        <v>1</v>
      </c>
      <c r="H275">
        <v>1</v>
      </c>
      <c r="I275">
        <v>48</v>
      </c>
      <c r="J275" s="3">
        <v>46174</v>
      </c>
      <c r="K275" s="6">
        <v>0</v>
      </c>
    </row>
    <row r="276" spans="1:11">
      <c r="A276" t="str">
        <f t="shared" si="4"/>
        <v>Blast 200 SC 48 X 100 ml468440</v>
      </c>
      <c r="B276" t="s">
        <v>10095</v>
      </c>
      <c r="C276" t="s">
        <v>12179</v>
      </c>
      <c r="D276" t="s">
        <v>14658</v>
      </c>
      <c r="E276" t="s">
        <v>365</v>
      </c>
      <c r="F276">
        <v>48</v>
      </c>
      <c r="G276">
        <v>1</v>
      </c>
      <c r="H276">
        <v>1</v>
      </c>
      <c r="I276">
        <v>48</v>
      </c>
      <c r="J276" s="3">
        <v>46844</v>
      </c>
      <c r="K276" s="6">
        <v>0</v>
      </c>
    </row>
    <row r="277" spans="1:11">
      <c r="A277" t="str">
        <f t="shared" si="4"/>
        <v>Bluezeb 80 WP 20 X 1 kg463270</v>
      </c>
      <c r="B277" t="s">
        <v>10096</v>
      </c>
      <c r="C277" t="s">
        <v>12180</v>
      </c>
      <c r="D277" t="s">
        <v>14659</v>
      </c>
      <c r="E277" t="s">
        <v>368</v>
      </c>
      <c r="F277">
        <v>20</v>
      </c>
      <c r="G277">
        <v>1</v>
      </c>
      <c r="H277">
        <v>1</v>
      </c>
      <c r="I277">
        <v>20</v>
      </c>
      <c r="J277" s="3">
        <v>46327</v>
      </c>
      <c r="K277" s="6">
        <v>0</v>
      </c>
    </row>
    <row r="278" spans="1:11">
      <c r="A278" t="str">
        <f t="shared" si="4"/>
        <v>BM Flythrin 100 EC 20 X 500 ml465080</v>
      </c>
      <c r="B278" t="s">
        <v>10097</v>
      </c>
      <c r="C278" t="s">
        <v>12181</v>
      </c>
      <c r="D278" t="s">
        <v>14660</v>
      </c>
      <c r="E278" t="s">
        <v>373</v>
      </c>
      <c r="F278">
        <v>20</v>
      </c>
      <c r="G278">
        <v>1</v>
      </c>
      <c r="H278">
        <v>1</v>
      </c>
      <c r="I278">
        <v>20</v>
      </c>
      <c r="J278" s="3">
        <v>46508</v>
      </c>
      <c r="K278" s="6">
        <v>0</v>
      </c>
    </row>
    <row r="279" spans="1:11">
      <c r="A279" t="str">
        <f t="shared" si="4"/>
        <v>BM Flythrin 100 EC 20 X 500 ml466000</v>
      </c>
      <c r="B279" t="s">
        <v>10098</v>
      </c>
      <c r="C279" t="s">
        <v>12182</v>
      </c>
      <c r="D279" t="s">
        <v>14661</v>
      </c>
      <c r="E279" t="s">
        <v>373</v>
      </c>
      <c r="F279">
        <v>20</v>
      </c>
      <c r="G279">
        <v>1</v>
      </c>
      <c r="H279">
        <v>1</v>
      </c>
      <c r="I279">
        <v>20</v>
      </c>
      <c r="J279" s="3">
        <v>46600</v>
      </c>
      <c r="K279" s="6">
        <v>0</v>
      </c>
    </row>
    <row r="280" spans="1:11">
      <c r="A280" t="str">
        <f t="shared" si="4"/>
        <v>BM Flythrin 100 EC 20 X 500 ml471190</v>
      </c>
      <c r="B280" t="s">
        <v>10099</v>
      </c>
      <c r="C280" t="s">
        <v>12183</v>
      </c>
      <c r="D280" t="s">
        <v>14662</v>
      </c>
      <c r="E280" t="s">
        <v>373</v>
      </c>
      <c r="F280">
        <v>20</v>
      </c>
      <c r="G280">
        <v>1</v>
      </c>
      <c r="H280">
        <v>1</v>
      </c>
      <c r="I280">
        <v>20</v>
      </c>
      <c r="J280" s="3">
        <v>47119</v>
      </c>
      <c r="K280" s="6">
        <v>0</v>
      </c>
    </row>
    <row r="281" spans="1:11">
      <c r="A281" t="str">
        <f t="shared" si="4"/>
        <v>BM Lamda 50 EC 20 X 500 ml471190</v>
      </c>
      <c r="B281" t="s">
        <v>10100</v>
      </c>
      <c r="C281" t="s">
        <v>12184</v>
      </c>
      <c r="D281" t="s">
        <v>14663</v>
      </c>
      <c r="E281" t="s">
        <v>377</v>
      </c>
      <c r="F281">
        <v>20</v>
      </c>
      <c r="G281">
        <v>1</v>
      </c>
      <c r="H281">
        <v>1</v>
      </c>
      <c r="I281">
        <v>20</v>
      </c>
      <c r="J281" s="3">
        <v>47119</v>
      </c>
      <c r="K281" s="6">
        <v>0</v>
      </c>
    </row>
    <row r="282" spans="1:11">
      <c r="A282" t="str">
        <f t="shared" si="4"/>
        <v>BM Lamda 50 EC 20 X 500 ml472390</v>
      </c>
      <c r="B282" t="s">
        <v>10101</v>
      </c>
      <c r="C282" t="s">
        <v>12185</v>
      </c>
      <c r="D282" t="s">
        <v>14664</v>
      </c>
      <c r="E282" t="s">
        <v>377</v>
      </c>
      <c r="F282">
        <v>20</v>
      </c>
      <c r="G282">
        <v>1</v>
      </c>
      <c r="H282">
        <v>1</v>
      </c>
      <c r="I282">
        <v>20</v>
      </c>
      <c r="J282" s="3">
        <v>47239</v>
      </c>
      <c r="K282" s="6">
        <v>0</v>
      </c>
    </row>
    <row r="283" spans="1:11">
      <c r="A283" t="str">
        <f t="shared" si="4"/>
        <v>BM Promax 75 SP 100 X 100 gr472390</v>
      </c>
      <c r="B283" t="s">
        <v>10102</v>
      </c>
      <c r="C283" t="s">
        <v>12186</v>
      </c>
      <c r="D283" t="s">
        <v>14665</v>
      </c>
      <c r="E283" t="s">
        <v>378</v>
      </c>
      <c r="F283">
        <v>100</v>
      </c>
      <c r="G283">
        <v>1</v>
      </c>
      <c r="H283">
        <v>1</v>
      </c>
      <c r="I283">
        <v>100</v>
      </c>
      <c r="J283" s="3">
        <v>47239</v>
      </c>
      <c r="K283" s="6">
        <v>0</v>
      </c>
    </row>
    <row r="284" spans="1:11">
      <c r="A284" t="str">
        <f t="shared" si="4"/>
        <v>BM Promax 75 SP 20 X 500 gr472390</v>
      </c>
      <c r="B284" t="s">
        <v>10103</v>
      </c>
      <c r="C284" t="s">
        <v>12187</v>
      </c>
      <c r="D284" t="s">
        <v>14666</v>
      </c>
      <c r="E284" t="s">
        <v>380</v>
      </c>
      <c r="F284">
        <v>20</v>
      </c>
      <c r="G284">
        <v>1</v>
      </c>
      <c r="H284">
        <v>1</v>
      </c>
      <c r="I284">
        <v>20</v>
      </c>
      <c r="J284" s="3">
        <v>47239</v>
      </c>
      <c r="K284" s="6">
        <v>0</v>
      </c>
    </row>
    <row r="285" spans="1:11">
      <c r="A285" t="str">
        <f t="shared" si="4"/>
        <v>BM Zebco 80 WP 20 X 1 kg467840</v>
      </c>
      <c r="B285" t="s">
        <v>10104</v>
      </c>
      <c r="C285" t="s">
        <v>12188</v>
      </c>
      <c r="D285" t="s">
        <v>14667</v>
      </c>
      <c r="E285" t="s">
        <v>381</v>
      </c>
      <c r="F285">
        <v>20</v>
      </c>
      <c r="G285">
        <v>1</v>
      </c>
      <c r="H285">
        <v>1</v>
      </c>
      <c r="I285">
        <v>20</v>
      </c>
      <c r="J285" s="3">
        <v>46784</v>
      </c>
      <c r="K285" s="6">
        <v>0</v>
      </c>
    </row>
    <row r="286" spans="1:11">
      <c r="A286" t="str">
        <f t="shared" si="4"/>
        <v>Body YT 5L1/1/10000</v>
      </c>
      <c r="B286" t="s">
        <v>10105</v>
      </c>
      <c r="C286" t="s">
        <v>12189</v>
      </c>
      <c r="D286" t="s">
        <v>14668</v>
      </c>
      <c r="E286" t="s">
        <v>383</v>
      </c>
      <c r="F286">
        <v>1</v>
      </c>
      <c r="G286">
        <v>1</v>
      </c>
      <c r="H286">
        <v>1</v>
      </c>
      <c r="I286">
        <v>1</v>
      </c>
      <c r="J286" s="3" t="s">
        <v>2222</v>
      </c>
      <c r="K286" s="6">
        <v>0</v>
      </c>
    </row>
    <row r="287" spans="1:11">
      <c r="A287" t="str">
        <f t="shared" si="4"/>
        <v>Boral 480 SC 48 X 100 ml459010</v>
      </c>
      <c r="B287" t="s">
        <v>10106</v>
      </c>
      <c r="C287" t="s">
        <v>12190</v>
      </c>
      <c r="D287" t="s">
        <v>14669</v>
      </c>
      <c r="E287" t="s">
        <v>384</v>
      </c>
      <c r="F287">
        <v>48</v>
      </c>
      <c r="G287">
        <v>1</v>
      </c>
      <c r="H287">
        <v>1</v>
      </c>
      <c r="I287">
        <v>48</v>
      </c>
      <c r="J287" s="3">
        <v>45901</v>
      </c>
      <c r="K287" s="6">
        <v>0</v>
      </c>
    </row>
    <row r="288" spans="1:11">
      <c r="A288" t="str">
        <f t="shared" si="4"/>
        <v>Boron 6 X 200 X 1 gr465690</v>
      </c>
      <c r="B288" t="s">
        <v>10107</v>
      </c>
      <c r="C288" t="s">
        <v>12191</v>
      </c>
      <c r="D288" t="s">
        <v>14670</v>
      </c>
      <c r="E288" t="s">
        <v>386</v>
      </c>
      <c r="F288">
        <v>6</v>
      </c>
      <c r="G288">
        <v>200</v>
      </c>
      <c r="H288">
        <v>1</v>
      </c>
      <c r="I288">
        <v>1200</v>
      </c>
      <c r="J288" s="3">
        <v>46569</v>
      </c>
      <c r="K288" s="6">
        <v>0</v>
      </c>
    </row>
    <row r="289" spans="1:11">
      <c r="A289" t="str">
        <f t="shared" si="4"/>
        <v>Boron 6 X 200 X 1 gr1/1/10000</v>
      </c>
      <c r="B289" t="s">
        <v>10108</v>
      </c>
      <c r="C289" t="s">
        <v>12192</v>
      </c>
      <c r="D289" t="s">
        <v>14671</v>
      </c>
      <c r="E289" t="s">
        <v>386</v>
      </c>
      <c r="F289">
        <v>6</v>
      </c>
      <c r="G289">
        <v>200</v>
      </c>
      <c r="H289">
        <v>1</v>
      </c>
      <c r="I289">
        <v>1200</v>
      </c>
      <c r="J289" s="3" t="s">
        <v>2222</v>
      </c>
      <c r="K289" s="6">
        <v>0</v>
      </c>
    </row>
    <row r="290" spans="1:11">
      <c r="A290" t="str">
        <f t="shared" si="4"/>
        <v>Botol EM-4 Pertanian (LK) Sample1/1/10000</v>
      </c>
      <c r="B290" t="s">
        <v>10109</v>
      </c>
      <c r="C290" t="s">
        <v>12193</v>
      </c>
      <c r="D290" t="s">
        <v>14672</v>
      </c>
      <c r="E290" t="s">
        <v>387</v>
      </c>
      <c r="F290">
        <v>1</v>
      </c>
      <c r="G290">
        <v>1</v>
      </c>
      <c r="H290">
        <v>1</v>
      </c>
      <c r="I290">
        <v>1</v>
      </c>
      <c r="J290" s="3" t="s">
        <v>2222</v>
      </c>
      <c r="K290" s="6">
        <v>0</v>
      </c>
    </row>
    <row r="291" spans="1:11">
      <c r="A291" t="str">
        <f t="shared" si="4"/>
        <v>Botol EM-4 Tambak (LM) Sample1/1/10000</v>
      </c>
      <c r="B291" t="s">
        <v>10110</v>
      </c>
      <c r="C291" t="s">
        <v>12194</v>
      </c>
      <c r="D291" t="s">
        <v>14673</v>
      </c>
      <c r="E291" t="s">
        <v>388</v>
      </c>
      <c r="F291">
        <v>1</v>
      </c>
      <c r="G291">
        <v>1</v>
      </c>
      <c r="H291">
        <v>1</v>
      </c>
      <c r="I291">
        <v>1</v>
      </c>
      <c r="J291" s="3" t="s">
        <v>2222</v>
      </c>
      <c r="K291" s="6">
        <v>0</v>
      </c>
    </row>
    <row r="292" spans="1:11">
      <c r="A292" t="str">
        <f t="shared" si="4"/>
        <v>Botol EM-4 Ternak (LC) Sample1/1/10000</v>
      </c>
      <c r="B292" t="s">
        <v>10111</v>
      </c>
      <c r="C292" t="s">
        <v>12195</v>
      </c>
      <c r="D292" t="s">
        <v>14674</v>
      </c>
      <c r="E292" t="s">
        <v>389</v>
      </c>
      <c r="F292">
        <v>1</v>
      </c>
      <c r="G292">
        <v>1</v>
      </c>
      <c r="H292">
        <v>1</v>
      </c>
      <c r="I292">
        <v>1</v>
      </c>
      <c r="J292" s="3" t="s">
        <v>2222</v>
      </c>
      <c r="K292" s="6">
        <v>0</v>
      </c>
    </row>
    <row r="293" spans="1:11">
      <c r="A293" t="str">
        <f t="shared" si="4"/>
        <v>Botol EM-4 Toilet Sample1/1/10000</v>
      </c>
      <c r="B293" t="s">
        <v>10112</v>
      </c>
      <c r="C293" t="s">
        <v>12196</v>
      </c>
      <c r="D293" t="s">
        <v>14675</v>
      </c>
      <c r="E293" t="s">
        <v>390</v>
      </c>
      <c r="F293">
        <v>1</v>
      </c>
      <c r="G293">
        <v>1</v>
      </c>
      <c r="H293">
        <v>1</v>
      </c>
      <c r="I293">
        <v>1</v>
      </c>
      <c r="J293" s="3" t="s">
        <v>2222</v>
      </c>
      <c r="K293" s="6">
        <v>0</v>
      </c>
    </row>
    <row r="294" spans="1:11">
      <c r="A294" t="str">
        <f t="shared" si="4"/>
        <v>Braphon 488 SL 50 X 100 ml469970</v>
      </c>
      <c r="B294" t="s">
        <v>10113</v>
      </c>
      <c r="C294" t="s">
        <v>12197</v>
      </c>
      <c r="D294" t="s">
        <v>14676</v>
      </c>
      <c r="E294" t="s">
        <v>391</v>
      </c>
      <c r="F294">
        <v>50</v>
      </c>
      <c r="G294">
        <v>1</v>
      </c>
      <c r="H294">
        <v>1</v>
      </c>
      <c r="I294">
        <v>50</v>
      </c>
      <c r="J294" s="3">
        <v>46997</v>
      </c>
      <c r="K294" s="6">
        <v>0</v>
      </c>
    </row>
    <row r="295" spans="1:11">
      <c r="A295" t="str">
        <f t="shared" si="4"/>
        <v>Brasso 250 EC 20 X 250 ml461130</v>
      </c>
      <c r="B295" t="s">
        <v>10114</v>
      </c>
      <c r="C295" t="s">
        <v>12198</v>
      </c>
      <c r="D295" t="s">
        <v>14677</v>
      </c>
      <c r="E295" t="s">
        <v>393</v>
      </c>
      <c r="F295">
        <v>20</v>
      </c>
      <c r="G295">
        <v>1</v>
      </c>
      <c r="H295">
        <v>1</v>
      </c>
      <c r="I295">
        <v>20</v>
      </c>
      <c r="J295" s="3">
        <v>46113</v>
      </c>
      <c r="K295" s="6">
        <v>0</v>
      </c>
    </row>
    <row r="296" spans="1:11">
      <c r="A296" t="str">
        <f t="shared" si="4"/>
        <v>Brasso 250 EC 20 X 250 ml459620</v>
      </c>
      <c r="B296" t="s">
        <v>10115</v>
      </c>
      <c r="C296" t="s">
        <v>12199</v>
      </c>
      <c r="D296" t="s">
        <v>14678</v>
      </c>
      <c r="E296" t="s">
        <v>393</v>
      </c>
      <c r="F296">
        <v>20</v>
      </c>
      <c r="G296">
        <v>1</v>
      </c>
      <c r="H296">
        <v>1</v>
      </c>
      <c r="I296">
        <v>20</v>
      </c>
      <c r="J296" s="3">
        <v>45962</v>
      </c>
      <c r="K296" s="6">
        <v>0</v>
      </c>
    </row>
    <row r="297" spans="1:11">
      <c r="A297" t="str">
        <f t="shared" si="4"/>
        <v>Brasso 250 EC 20 X 400 ml466000</v>
      </c>
      <c r="B297" t="s">
        <v>10116</v>
      </c>
      <c r="C297" t="s">
        <v>12200</v>
      </c>
      <c r="D297" t="s">
        <v>14679</v>
      </c>
      <c r="E297" t="s">
        <v>394</v>
      </c>
      <c r="F297">
        <v>20</v>
      </c>
      <c r="G297">
        <v>1</v>
      </c>
      <c r="H297">
        <v>1</v>
      </c>
      <c r="I297">
        <v>20</v>
      </c>
      <c r="J297" s="3">
        <v>46600</v>
      </c>
      <c r="K297" s="6">
        <v>0</v>
      </c>
    </row>
    <row r="298" spans="1:11">
      <c r="A298" t="str">
        <f t="shared" si="4"/>
        <v>Brasso 250 EC 20 X 400 ml467840</v>
      </c>
      <c r="B298" t="s">
        <v>10117</v>
      </c>
      <c r="C298" t="s">
        <v>12201</v>
      </c>
      <c r="D298" t="s">
        <v>14680</v>
      </c>
      <c r="E298" t="s">
        <v>394</v>
      </c>
      <c r="F298">
        <v>20</v>
      </c>
      <c r="G298">
        <v>1</v>
      </c>
      <c r="H298">
        <v>1</v>
      </c>
      <c r="I298">
        <v>20</v>
      </c>
      <c r="J298" s="3">
        <v>46784</v>
      </c>
      <c r="K298" s="6">
        <v>0</v>
      </c>
    </row>
    <row r="299" spans="1:11">
      <c r="A299" t="str">
        <f t="shared" si="4"/>
        <v>Brasso 250 EC 20 X 400 ml468130</v>
      </c>
      <c r="B299" t="s">
        <v>10118</v>
      </c>
      <c r="C299" t="s">
        <v>12202</v>
      </c>
      <c r="D299" t="s">
        <v>14681</v>
      </c>
      <c r="E299" t="s">
        <v>394</v>
      </c>
      <c r="F299">
        <v>20</v>
      </c>
      <c r="G299">
        <v>1</v>
      </c>
      <c r="H299">
        <v>1</v>
      </c>
      <c r="I299">
        <v>20</v>
      </c>
      <c r="J299" s="3">
        <v>46813</v>
      </c>
      <c r="K299" s="6">
        <v>0</v>
      </c>
    </row>
    <row r="300" spans="1:11">
      <c r="A300" t="str">
        <f t="shared" si="4"/>
        <v>Brasso 250 EC 50 X 80 ml459310</v>
      </c>
      <c r="B300" t="s">
        <v>10119</v>
      </c>
      <c r="C300" t="s">
        <v>12203</v>
      </c>
      <c r="D300" t="s">
        <v>14682</v>
      </c>
      <c r="E300" t="s">
        <v>395</v>
      </c>
      <c r="F300">
        <v>50</v>
      </c>
      <c r="G300">
        <v>1</v>
      </c>
      <c r="H300">
        <v>1</v>
      </c>
      <c r="I300">
        <v>50</v>
      </c>
      <c r="J300" s="3">
        <v>45931</v>
      </c>
      <c r="K300" s="6">
        <v>0</v>
      </c>
    </row>
    <row r="301" spans="1:11">
      <c r="A301" t="str">
        <f t="shared" si="4"/>
        <v>Brasso 250 EC 50 X 80 ml460540</v>
      </c>
      <c r="B301" t="s">
        <v>10120</v>
      </c>
      <c r="C301" t="s">
        <v>12204</v>
      </c>
      <c r="D301" t="s">
        <v>14683</v>
      </c>
      <c r="E301" t="s">
        <v>395</v>
      </c>
      <c r="F301">
        <v>50</v>
      </c>
      <c r="G301">
        <v>1</v>
      </c>
      <c r="H301">
        <v>1</v>
      </c>
      <c r="I301">
        <v>50</v>
      </c>
      <c r="J301" s="3">
        <v>46054</v>
      </c>
      <c r="K301" s="6">
        <v>0</v>
      </c>
    </row>
    <row r="302" spans="1:11">
      <c r="A302" t="str">
        <f t="shared" si="4"/>
        <v>Bravoxone 276 SL 20 ltr (Label Kuda)470580</v>
      </c>
      <c r="B302" t="s">
        <v>10121</v>
      </c>
      <c r="C302" t="s">
        <v>12205</v>
      </c>
      <c r="D302" t="s">
        <v>14684</v>
      </c>
      <c r="E302" t="s">
        <v>396</v>
      </c>
      <c r="F302">
        <v>1</v>
      </c>
      <c r="G302">
        <v>1</v>
      </c>
      <c r="H302">
        <v>1</v>
      </c>
      <c r="I302">
        <v>1</v>
      </c>
      <c r="J302" s="3">
        <v>47058</v>
      </c>
      <c r="K302" s="6">
        <v>0</v>
      </c>
    </row>
    <row r="303" spans="1:11">
      <c r="A303" t="str">
        <f t="shared" si="4"/>
        <v>Bravoxone 276 SL 20 X 1 ltr (Label Kuda)470270</v>
      </c>
      <c r="B303" t="s">
        <v>10122</v>
      </c>
      <c r="C303" t="s">
        <v>12206</v>
      </c>
      <c r="D303" t="s">
        <v>14685</v>
      </c>
      <c r="E303" t="s">
        <v>397</v>
      </c>
      <c r="F303">
        <v>20</v>
      </c>
      <c r="G303">
        <v>1</v>
      </c>
      <c r="H303">
        <v>1</v>
      </c>
      <c r="I303">
        <v>20</v>
      </c>
      <c r="J303" s="3">
        <v>47027</v>
      </c>
      <c r="K303" s="6">
        <v>0</v>
      </c>
    </row>
    <row r="304" spans="1:11">
      <c r="A304" t="str">
        <f t="shared" si="4"/>
        <v>Bravoxone 276 SL 20 X 1 ltr (Label Kuda)470580</v>
      </c>
      <c r="B304" t="s">
        <v>10123</v>
      </c>
      <c r="C304" t="s">
        <v>12207</v>
      </c>
      <c r="D304" t="s">
        <v>14686</v>
      </c>
      <c r="E304" t="s">
        <v>397</v>
      </c>
      <c r="F304">
        <v>20</v>
      </c>
      <c r="G304">
        <v>1</v>
      </c>
      <c r="H304">
        <v>1</v>
      </c>
      <c r="I304">
        <v>20</v>
      </c>
      <c r="J304" s="3">
        <v>47058</v>
      </c>
      <c r="K304" s="6">
        <v>0</v>
      </c>
    </row>
    <row r="305" spans="1:11">
      <c r="A305" t="str">
        <f t="shared" si="4"/>
        <v>Bravoxone 276 SL 4 X 5 ltr (Label Kuda)470270</v>
      </c>
      <c r="B305" t="s">
        <v>10124</v>
      </c>
      <c r="C305" t="s">
        <v>12208</v>
      </c>
      <c r="D305" t="s">
        <v>14687</v>
      </c>
      <c r="E305" t="s">
        <v>398</v>
      </c>
      <c r="F305">
        <v>4</v>
      </c>
      <c r="G305">
        <v>1</v>
      </c>
      <c r="H305">
        <v>1</v>
      </c>
      <c r="I305">
        <v>4</v>
      </c>
      <c r="J305" s="3">
        <v>47027</v>
      </c>
      <c r="K305" s="6">
        <v>0</v>
      </c>
    </row>
    <row r="306" spans="1:11">
      <c r="A306" t="str">
        <f t="shared" si="4"/>
        <v>Brosur Armeira/Vishaka443870</v>
      </c>
      <c r="B306" t="s">
        <v>10125</v>
      </c>
      <c r="C306" t="s">
        <v>12209</v>
      </c>
      <c r="D306" t="s">
        <v>14688</v>
      </c>
      <c r="E306" t="s">
        <v>399</v>
      </c>
      <c r="F306">
        <v>1</v>
      </c>
      <c r="G306">
        <v>1</v>
      </c>
      <c r="H306">
        <v>1</v>
      </c>
      <c r="I306">
        <v>1</v>
      </c>
      <c r="J306" s="3">
        <v>44387</v>
      </c>
      <c r="K306" s="6">
        <v>0</v>
      </c>
    </row>
    <row r="307" spans="1:11">
      <c r="A307" t="str">
        <f t="shared" si="4"/>
        <v>Brosur Associate1/1/10000</v>
      </c>
      <c r="B307" t="s">
        <v>10126</v>
      </c>
      <c r="C307" t="s">
        <v>12210</v>
      </c>
      <c r="D307" t="s">
        <v>14689</v>
      </c>
      <c r="E307" t="s">
        <v>400</v>
      </c>
      <c r="F307">
        <v>1</v>
      </c>
      <c r="G307">
        <v>1</v>
      </c>
      <c r="H307">
        <v>1</v>
      </c>
      <c r="I307">
        <v>1</v>
      </c>
      <c r="J307" s="3" t="s">
        <v>2222</v>
      </c>
      <c r="K307" s="6">
        <v>0</v>
      </c>
    </row>
    <row r="308" spans="1:11">
      <c r="A308" t="str">
        <f t="shared" si="4"/>
        <v>Brosur Desanto/Piraklo1/1/10000</v>
      </c>
      <c r="B308" t="s">
        <v>10127</v>
      </c>
      <c r="C308" t="s">
        <v>12211</v>
      </c>
      <c r="D308" t="s">
        <v>14690</v>
      </c>
      <c r="E308" t="s">
        <v>401</v>
      </c>
      <c r="F308">
        <v>1</v>
      </c>
      <c r="G308">
        <v>1</v>
      </c>
      <c r="H308">
        <v>1</v>
      </c>
      <c r="I308">
        <v>1</v>
      </c>
      <c r="J308" s="3" t="s">
        <v>2222</v>
      </c>
      <c r="K308" s="6">
        <v>0</v>
      </c>
    </row>
    <row r="309" spans="1:11">
      <c r="A309" t="str">
        <f t="shared" si="4"/>
        <v>Brosur Elazaro/Castora1/1/10000</v>
      </c>
      <c r="B309" t="s">
        <v>10128</v>
      </c>
      <c r="C309" t="s">
        <v>12212</v>
      </c>
      <c r="D309" t="s">
        <v>14691</v>
      </c>
      <c r="E309" t="s">
        <v>402</v>
      </c>
      <c r="F309">
        <v>1</v>
      </c>
      <c r="G309">
        <v>1</v>
      </c>
      <c r="H309">
        <v>1</v>
      </c>
      <c r="I309">
        <v>1</v>
      </c>
      <c r="J309" s="3" t="s">
        <v>2222</v>
      </c>
      <c r="K309" s="6">
        <v>0</v>
      </c>
    </row>
    <row r="310" spans="1:11">
      <c r="A310" t="str">
        <f t="shared" si="4"/>
        <v>Brosur RPSM1/1/10000</v>
      </c>
      <c r="B310" t="s">
        <v>10129</v>
      </c>
      <c r="C310" t="s">
        <v>12213</v>
      </c>
      <c r="D310" t="s">
        <v>14692</v>
      </c>
      <c r="E310" t="s">
        <v>403</v>
      </c>
      <c r="F310">
        <v>1</v>
      </c>
      <c r="G310">
        <v>1</v>
      </c>
      <c r="H310">
        <v>1</v>
      </c>
      <c r="I310">
        <v>1</v>
      </c>
      <c r="J310" s="3" t="s">
        <v>2222</v>
      </c>
      <c r="K310" s="6">
        <v>0</v>
      </c>
    </row>
    <row r="311" spans="1:11">
      <c r="A311" t="str">
        <f t="shared" si="4"/>
        <v>Buku Agenda1/1/10000</v>
      </c>
      <c r="B311" t="s">
        <v>10130</v>
      </c>
      <c r="C311" t="s">
        <v>12214</v>
      </c>
      <c r="D311" t="s">
        <v>14693</v>
      </c>
      <c r="E311" t="s">
        <v>404</v>
      </c>
      <c r="F311">
        <v>1</v>
      </c>
      <c r="G311">
        <v>1</v>
      </c>
      <c r="H311">
        <v>1</v>
      </c>
      <c r="I311">
        <v>1</v>
      </c>
      <c r="J311" s="3" t="s">
        <v>2222</v>
      </c>
      <c r="K311" s="6">
        <v>0</v>
      </c>
    </row>
    <row r="312" spans="1:11">
      <c r="A312" t="str">
        <f t="shared" si="4"/>
        <v>Buku Agenda FMC1/1/10000</v>
      </c>
      <c r="B312" t="s">
        <v>10131</v>
      </c>
      <c r="C312" t="s">
        <v>12215</v>
      </c>
      <c r="D312" t="s">
        <v>14694</v>
      </c>
      <c r="E312" t="s">
        <v>405</v>
      </c>
      <c r="F312">
        <v>1</v>
      </c>
      <c r="G312">
        <v>1</v>
      </c>
      <c r="H312">
        <v>1</v>
      </c>
      <c r="I312">
        <v>1</v>
      </c>
      <c r="J312" s="3" t="s">
        <v>2222</v>
      </c>
      <c r="K312" s="6">
        <v>0</v>
      </c>
    </row>
    <row r="313" spans="1:11">
      <c r="A313" t="str">
        <f t="shared" si="4"/>
        <v>Buku Agenda Java Karlos1/1/10000</v>
      </c>
      <c r="B313" t="s">
        <v>10132</v>
      </c>
      <c r="C313" t="s">
        <v>12216</v>
      </c>
      <c r="D313" t="s">
        <v>14695</v>
      </c>
      <c r="E313" t="s">
        <v>406</v>
      </c>
      <c r="F313">
        <v>1</v>
      </c>
      <c r="G313">
        <v>1</v>
      </c>
      <c r="H313">
        <v>1</v>
      </c>
      <c r="I313">
        <v>1</v>
      </c>
      <c r="J313" s="3" t="s">
        <v>2222</v>
      </c>
      <c r="K313" s="6">
        <v>0</v>
      </c>
    </row>
    <row r="314" spans="1:11">
      <c r="A314" t="str">
        <f t="shared" si="4"/>
        <v>Buku Saku MIA1/1/10000</v>
      </c>
      <c r="B314" t="s">
        <v>10133</v>
      </c>
      <c r="C314" t="s">
        <v>12217</v>
      </c>
      <c r="D314" t="s">
        <v>14696</v>
      </c>
      <c r="E314" t="s">
        <v>407</v>
      </c>
      <c r="F314">
        <v>1</v>
      </c>
      <c r="G314">
        <v>1</v>
      </c>
      <c r="H314">
        <v>1</v>
      </c>
      <c r="I314">
        <v>1</v>
      </c>
      <c r="J314" s="3" t="s">
        <v>2222</v>
      </c>
      <c r="K314" s="6">
        <v>0</v>
      </c>
    </row>
    <row r="315" spans="1:11">
      <c r="A315" t="str">
        <f t="shared" si="4"/>
        <v>Buku Tulis Cymax1/1/10000</v>
      </c>
      <c r="B315" t="s">
        <v>10134</v>
      </c>
      <c r="C315" t="s">
        <v>12218</v>
      </c>
      <c r="D315" t="s">
        <v>14697</v>
      </c>
      <c r="E315" t="s">
        <v>408</v>
      </c>
      <c r="F315">
        <v>1</v>
      </c>
      <c r="G315">
        <v>1</v>
      </c>
      <c r="H315">
        <v>1</v>
      </c>
      <c r="I315">
        <v>1</v>
      </c>
      <c r="J315" s="3" t="s">
        <v>2222</v>
      </c>
      <c r="K315" s="6">
        <v>0</v>
      </c>
    </row>
    <row r="316" spans="1:11">
      <c r="A316" t="str">
        <f t="shared" si="4"/>
        <v>Buniken 60/10 WP 20 X 100 gr467220</v>
      </c>
      <c r="B316" t="s">
        <v>10135</v>
      </c>
      <c r="C316" t="s">
        <v>12219</v>
      </c>
      <c r="D316" t="s">
        <v>14698</v>
      </c>
      <c r="E316" t="s">
        <v>410</v>
      </c>
      <c r="F316">
        <v>20</v>
      </c>
      <c r="G316">
        <v>1</v>
      </c>
      <c r="H316">
        <v>1</v>
      </c>
      <c r="I316">
        <v>20</v>
      </c>
      <c r="J316" s="3">
        <v>46722</v>
      </c>
      <c r="K316" s="6">
        <v>0</v>
      </c>
    </row>
    <row r="317" spans="1:11">
      <c r="A317" t="str">
        <f t="shared" si="4"/>
        <v>Buniken 60/10 WP 20 X 100 gr466920</v>
      </c>
      <c r="B317" t="s">
        <v>10136</v>
      </c>
      <c r="C317" t="s">
        <v>12220</v>
      </c>
      <c r="D317" t="s">
        <v>14699</v>
      </c>
      <c r="E317" t="s">
        <v>410</v>
      </c>
      <c r="F317">
        <v>20</v>
      </c>
      <c r="G317">
        <v>1</v>
      </c>
      <c r="H317">
        <v>1</v>
      </c>
      <c r="I317">
        <v>20</v>
      </c>
      <c r="J317" s="3">
        <v>46692</v>
      </c>
      <c r="K317" s="6">
        <v>0</v>
      </c>
    </row>
    <row r="318" spans="1:11">
      <c r="A318" t="str">
        <f t="shared" si="4"/>
        <v>Busi Star Metal1/1/10000</v>
      </c>
      <c r="B318" t="s">
        <v>10137</v>
      </c>
      <c r="C318" t="s">
        <v>12221</v>
      </c>
      <c r="D318" t="s">
        <v>14700</v>
      </c>
      <c r="E318" t="s">
        <v>411</v>
      </c>
      <c r="F318">
        <v>1</v>
      </c>
      <c r="G318">
        <v>1</v>
      </c>
      <c r="H318">
        <v>1</v>
      </c>
      <c r="I318">
        <v>1</v>
      </c>
      <c r="J318" s="3" t="s">
        <v>2222</v>
      </c>
      <c r="K318" s="6">
        <v>0</v>
      </c>
    </row>
    <row r="319" spans="1:11">
      <c r="A319" t="str">
        <f t="shared" si="4"/>
        <v>Cabrio 250 EC 24 X 250 ml458700</v>
      </c>
      <c r="B319" t="s">
        <v>10138</v>
      </c>
      <c r="C319" t="s">
        <v>12222</v>
      </c>
      <c r="D319" t="s">
        <v>14701</v>
      </c>
      <c r="E319" t="s">
        <v>427</v>
      </c>
      <c r="F319">
        <v>24</v>
      </c>
      <c r="G319">
        <v>1</v>
      </c>
      <c r="H319">
        <v>1</v>
      </c>
      <c r="I319">
        <v>24</v>
      </c>
      <c r="J319" s="3">
        <v>45870</v>
      </c>
      <c r="K319" s="6">
        <v>0</v>
      </c>
    </row>
    <row r="320" spans="1:11">
      <c r="A320" t="str">
        <f t="shared" si="4"/>
        <v>Cabrio 250 EC 24 X 250 ml460820</v>
      </c>
      <c r="B320" t="s">
        <v>10139</v>
      </c>
      <c r="C320" t="s">
        <v>12223</v>
      </c>
      <c r="D320" t="s">
        <v>14702</v>
      </c>
      <c r="E320" t="s">
        <v>427</v>
      </c>
      <c r="F320">
        <v>24</v>
      </c>
      <c r="G320">
        <v>1</v>
      </c>
      <c r="H320">
        <v>1</v>
      </c>
      <c r="I320">
        <v>24</v>
      </c>
      <c r="J320" s="3">
        <v>46082</v>
      </c>
      <c r="K320" s="6">
        <v>0</v>
      </c>
    </row>
    <row r="321" spans="1:11">
      <c r="A321" t="str">
        <f t="shared" si="4"/>
        <v>Cabrio 250 EC 48 X 100 ml460230</v>
      </c>
      <c r="B321" t="s">
        <v>10140</v>
      </c>
      <c r="C321" t="s">
        <v>12224</v>
      </c>
      <c r="D321" t="s">
        <v>14703</v>
      </c>
      <c r="E321" t="s">
        <v>434</v>
      </c>
      <c r="F321">
        <v>48</v>
      </c>
      <c r="G321">
        <v>1</v>
      </c>
      <c r="H321">
        <v>1</v>
      </c>
      <c r="I321">
        <v>48</v>
      </c>
      <c r="J321" s="3">
        <v>46023</v>
      </c>
      <c r="K321" s="6">
        <v>0</v>
      </c>
    </row>
    <row r="322" spans="1:11">
      <c r="A322" t="str">
        <f t="shared" si="4"/>
        <v>Cabrio 250 EC 48 X 100 ml460820</v>
      </c>
      <c r="B322" t="s">
        <v>10141</v>
      </c>
      <c r="C322" t="s">
        <v>12225</v>
      </c>
      <c r="D322" t="s">
        <v>14704</v>
      </c>
      <c r="E322" t="s">
        <v>434</v>
      </c>
      <c r="F322">
        <v>48</v>
      </c>
      <c r="G322">
        <v>1</v>
      </c>
      <c r="H322">
        <v>1</v>
      </c>
      <c r="I322">
        <v>48</v>
      </c>
      <c r="J322" s="3">
        <v>46082</v>
      </c>
      <c r="K322" s="6">
        <v>0</v>
      </c>
    </row>
    <row r="323" spans="1:11">
      <c r="A323" t="str">
        <f t="shared" ref="A323:A386" si="5">E323&amp;J323&amp;K323</f>
        <v>Calaris 550 SC 10 X 1 ltr458700</v>
      </c>
      <c r="B323" t="s">
        <v>10142</v>
      </c>
      <c r="C323" t="s">
        <v>12226</v>
      </c>
      <c r="D323" t="s">
        <v>14705</v>
      </c>
      <c r="E323" t="s">
        <v>437</v>
      </c>
      <c r="F323">
        <v>10</v>
      </c>
      <c r="G323">
        <v>1</v>
      </c>
      <c r="H323">
        <v>1</v>
      </c>
      <c r="I323">
        <v>10</v>
      </c>
      <c r="J323" s="3">
        <v>45870</v>
      </c>
      <c r="K323" s="6">
        <v>0</v>
      </c>
    </row>
    <row r="324" spans="1:11">
      <c r="A324" t="str">
        <f t="shared" si="5"/>
        <v>Calaris 550 SC 10 X 1 ltr459010</v>
      </c>
      <c r="B324" t="s">
        <v>10143</v>
      </c>
      <c r="C324" t="s">
        <v>12227</v>
      </c>
      <c r="D324" t="s">
        <v>14706</v>
      </c>
      <c r="E324" t="s">
        <v>437</v>
      </c>
      <c r="F324">
        <v>10</v>
      </c>
      <c r="G324">
        <v>1</v>
      </c>
      <c r="H324">
        <v>1</v>
      </c>
      <c r="I324">
        <v>10</v>
      </c>
      <c r="J324" s="3">
        <v>45901</v>
      </c>
      <c r="K324" s="6">
        <v>0</v>
      </c>
    </row>
    <row r="325" spans="1:11">
      <c r="A325" t="str">
        <f t="shared" si="5"/>
        <v>Calaris 550 SC 20 X 250 ml459010</v>
      </c>
      <c r="B325" t="s">
        <v>10144</v>
      </c>
      <c r="C325" t="s">
        <v>12228</v>
      </c>
      <c r="D325" t="s">
        <v>14707</v>
      </c>
      <c r="E325" t="s">
        <v>440</v>
      </c>
      <c r="F325">
        <v>20</v>
      </c>
      <c r="G325">
        <v>1</v>
      </c>
      <c r="H325">
        <v>1</v>
      </c>
      <c r="I325">
        <v>20</v>
      </c>
      <c r="J325" s="3">
        <v>45901</v>
      </c>
      <c r="K325" s="6">
        <v>0</v>
      </c>
    </row>
    <row r="326" spans="1:11">
      <c r="A326" t="str">
        <f t="shared" si="5"/>
        <v>Calaris 550 SC 20 X 250 ml460540</v>
      </c>
      <c r="B326" t="s">
        <v>10145</v>
      </c>
      <c r="C326" t="s">
        <v>12229</v>
      </c>
      <c r="D326" t="s">
        <v>14708</v>
      </c>
      <c r="E326" t="s">
        <v>440</v>
      </c>
      <c r="F326">
        <v>20</v>
      </c>
      <c r="G326">
        <v>1</v>
      </c>
      <c r="H326">
        <v>1</v>
      </c>
      <c r="I326">
        <v>20</v>
      </c>
      <c r="J326" s="3">
        <v>46054</v>
      </c>
      <c r="K326" s="6">
        <v>0</v>
      </c>
    </row>
    <row r="327" spans="1:11">
      <c r="A327" t="str">
        <f t="shared" si="5"/>
        <v>Calaris 550 SC 20 X 500 ml459010</v>
      </c>
      <c r="B327" t="s">
        <v>10146</v>
      </c>
      <c r="C327" t="s">
        <v>12230</v>
      </c>
      <c r="D327" t="s">
        <v>14709</v>
      </c>
      <c r="E327" t="s">
        <v>448</v>
      </c>
      <c r="F327">
        <v>20</v>
      </c>
      <c r="G327">
        <v>1</v>
      </c>
      <c r="H327">
        <v>1</v>
      </c>
      <c r="I327">
        <v>20</v>
      </c>
      <c r="J327" s="3">
        <v>45901</v>
      </c>
      <c r="K327" s="6">
        <v>0</v>
      </c>
    </row>
    <row r="328" spans="1:11">
      <c r="A328" t="str">
        <f t="shared" si="5"/>
        <v>Calaris 550 SC 20 X 500 ml460540</v>
      </c>
      <c r="B328" t="s">
        <v>10147</v>
      </c>
      <c r="C328" t="s">
        <v>12231</v>
      </c>
      <c r="D328" t="s">
        <v>14710</v>
      </c>
      <c r="E328" t="s">
        <v>448</v>
      </c>
      <c r="F328">
        <v>20</v>
      </c>
      <c r="G328">
        <v>1</v>
      </c>
      <c r="H328">
        <v>1</v>
      </c>
      <c r="I328">
        <v>20</v>
      </c>
      <c r="J328" s="3">
        <v>46054</v>
      </c>
      <c r="K328" s="6">
        <v>0</v>
      </c>
    </row>
    <row r="329" spans="1:11">
      <c r="A329" t="str">
        <f t="shared" si="5"/>
        <v>Calaris 550 SC 20 X 500 ml460820</v>
      </c>
      <c r="B329" t="s">
        <v>10148</v>
      </c>
      <c r="C329" t="s">
        <v>12232</v>
      </c>
      <c r="D329" t="s">
        <v>14711</v>
      </c>
      <c r="E329" t="s">
        <v>448</v>
      </c>
      <c r="F329">
        <v>20</v>
      </c>
      <c r="G329">
        <v>1</v>
      </c>
      <c r="H329">
        <v>1</v>
      </c>
      <c r="I329">
        <v>20</v>
      </c>
      <c r="J329" s="3">
        <v>46082</v>
      </c>
      <c r="K329" s="6">
        <v>0</v>
      </c>
    </row>
    <row r="330" spans="1:11">
      <c r="A330" t="str">
        <f t="shared" si="5"/>
        <v>Calcium 99 20 X 1 kg471780</v>
      </c>
      <c r="B330" t="s">
        <v>10149</v>
      </c>
      <c r="C330" t="s">
        <v>12233</v>
      </c>
      <c r="D330" t="s">
        <v>14712</v>
      </c>
      <c r="E330" t="s">
        <v>464</v>
      </c>
      <c r="F330">
        <v>20</v>
      </c>
      <c r="G330">
        <v>1</v>
      </c>
      <c r="H330">
        <v>1</v>
      </c>
      <c r="I330">
        <v>20</v>
      </c>
      <c r="J330" s="3">
        <v>47178</v>
      </c>
      <c r="K330" s="6">
        <v>0</v>
      </c>
    </row>
    <row r="331" spans="1:11">
      <c r="A331" t="str">
        <f t="shared" si="5"/>
        <v>Calcium 99 20 X 1 kg472700</v>
      </c>
      <c r="B331" t="s">
        <v>10150</v>
      </c>
      <c r="C331" t="s">
        <v>12234</v>
      </c>
      <c r="D331" t="s">
        <v>14713</v>
      </c>
      <c r="E331" t="s">
        <v>464</v>
      </c>
      <c r="F331">
        <v>20</v>
      </c>
      <c r="G331">
        <v>1</v>
      </c>
      <c r="H331">
        <v>1</v>
      </c>
      <c r="I331">
        <v>20</v>
      </c>
      <c r="J331" s="3">
        <v>47270</v>
      </c>
      <c r="K331" s="6">
        <v>0</v>
      </c>
    </row>
    <row r="332" spans="1:11">
      <c r="A332" t="str">
        <f t="shared" si="5"/>
        <v>Calcium 99 20 X 1 kg472390</v>
      </c>
      <c r="B332" t="s">
        <v>10151</v>
      </c>
      <c r="C332" t="s">
        <v>12235</v>
      </c>
      <c r="D332" t="s">
        <v>14714</v>
      </c>
      <c r="E332" t="s">
        <v>464</v>
      </c>
      <c r="F332">
        <v>20</v>
      </c>
      <c r="G332">
        <v>1</v>
      </c>
      <c r="H332">
        <v>1</v>
      </c>
      <c r="I332">
        <v>20</v>
      </c>
      <c r="J332" s="3">
        <v>47239</v>
      </c>
      <c r="K332" s="6">
        <v>0</v>
      </c>
    </row>
    <row r="333" spans="1:11">
      <c r="A333" t="str">
        <f t="shared" si="5"/>
        <v>Calcium D-Diana 20 X 1 kg468440</v>
      </c>
      <c r="B333" t="s">
        <v>10152</v>
      </c>
      <c r="C333" t="s">
        <v>12236</v>
      </c>
      <c r="D333" t="s">
        <v>14715</v>
      </c>
      <c r="E333" t="s">
        <v>465</v>
      </c>
      <c r="F333">
        <v>20</v>
      </c>
      <c r="G333">
        <v>1</v>
      </c>
      <c r="H333">
        <v>1</v>
      </c>
      <c r="I333">
        <v>20</v>
      </c>
      <c r="J333" s="3">
        <v>46844</v>
      </c>
      <c r="K333" s="6">
        <v>0</v>
      </c>
    </row>
    <row r="334" spans="1:11">
      <c r="A334" t="str">
        <f t="shared" si="5"/>
        <v>Calcium D-Diana 20 X 1 kg472390</v>
      </c>
      <c r="B334" t="s">
        <v>10153</v>
      </c>
      <c r="C334" t="s">
        <v>12237</v>
      </c>
      <c r="D334" t="s">
        <v>14716</v>
      </c>
      <c r="E334" t="s">
        <v>465</v>
      </c>
      <c r="F334">
        <v>20</v>
      </c>
      <c r="G334">
        <v>1</v>
      </c>
      <c r="H334">
        <v>1</v>
      </c>
      <c r="I334">
        <v>20</v>
      </c>
      <c r="J334" s="3">
        <v>47239</v>
      </c>
      <c r="K334" s="6">
        <v>0</v>
      </c>
    </row>
    <row r="335" spans="1:11">
      <c r="A335" t="str">
        <f t="shared" si="5"/>
        <v>Calgary 480 SL 20 ltr464190</v>
      </c>
      <c r="B335" t="s">
        <v>10154</v>
      </c>
      <c r="C335" t="s">
        <v>12238</v>
      </c>
      <c r="D335" t="s">
        <v>14717</v>
      </c>
      <c r="E335" t="s">
        <v>466</v>
      </c>
      <c r="F335">
        <v>1</v>
      </c>
      <c r="G335">
        <v>1</v>
      </c>
      <c r="H335">
        <v>1</v>
      </c>
      <c r="I335">
        <v>1</v>
      </c>
      <c r="J335" s="3">
        <v>46419</v>
      </c>
      <c r="K335" s="6">
        <v>0</v>
      </c>
    </row>
    <row r="336" spans="1:11">
      <c r="A336" t="str">
        <f t="shared" si="5"/>
        <v>Calgary 480 SL 20 X 1 ltr459620</v>
      </c>
      <c r="B336" t="s">
        <v>10155</v>
      </c>
      <c r="C336" t="s">
        <v>12239</v>
      </c>
      <c r="D336" t="s">
        <v>14718</v>
      </c>
      <c r="E336" t="s">
        <v>468</v>
      </c>
      <c r="F336">
        <v>20</v>
      </c>
      <c r="G336">
        <v>1</v>
      </c>
      <c r="H336">
        <v>1</v>
      </c>
      <c r="I336">
        <v>20</v>
      </c>
      <c r="J336" s="3">
        <v>45962</v>
      </c>
      <c r="K336" s="6">
        <v>0</v>
      </c>
    </row>
    <row r="337" spans="1:11">
      <c r="A337" t="str">
        <f t="shared" si="5"/>
        <v>Calgary 480 SL 20 X 1 ltr464190</v>
      </c>
      <c r="B337" t="s">
        <v>10156</v>
      </c>
      <c r="C337" t="s">
        <v>12240</v>
      </c>
      <c r="D337" t="s">
        <v>14719</v>
      </c>
      <c r="E337" t="s">
        <v>468</v>
      </c>
      <c r="F337">
        <v>20</v>
      </c>
      <c r="G337">
        <v>1</v>
      </c>
      <c r="H337">
        <v>1</v>
      </c>
      <c r="I337">
        <v>20</v>
      </c>
      <c r="J337" s="3">
        <v>46419</v>
      </c>
      <c r="K337" s="6">
        <v>0</v>
      </c>
    </row>
    <row r="338" spans="1:11">
      <c r="A338" t="str">
        <f t="shared" si="5"/>
        <v>Calgary 480 SL 4 X 5 ltr457480</v>
      </c>
      <c r="B338" t="s">
        <v>10157</v>
      </c>
      <c r="C338" t="s">
        <v>12241</v>
      </c>
      <c r="D338" t="s">
        <v>14720</v>
      </c>
      <c r="E338" t="s">
        <v>469</v>
      </c>
      <c r="F338">
        <v>4</v>
      </c>
      <c r="G338">
        <v>1</v>
      </c>
      <c r="H338">
        <v>1</v>
      </c>
      <c r="I338">
        <v>4</v>
      </c>
      <c r="J338" s="3">
        <v>45748</v>
      </c>
      <c r="K338" s="6">
        <v>0</v>
      </c>
    </row>
    <row r="339" spans="1:11">
      <c r="A339" t="str">
        <f t="shared" si="5"/>
        <v>Caliwa 80 WP 20 X 0.9 kg470580</v>
      </c>
      <c r="B339" t="s">
        <v>10158</v>
      </c>
      <c r="C339" t="s">
        <v>12242</v>
      </c>
      <c r="D339" t="s">
        <v>14721</v>
      </c>
      <c r="E339" t="s">
        <v>470</v>
      </c>
      <c r="F339">
        <v>20</v>
      </c>
      <c r="G339">
        <v>1</v>
      </c>
      <c r="H339">
        <v>1</v>
      </c>
      <c r="I339">
        <v>20</v>
      </c>
      <c r="J339" s="3">
        <v>47058</v>
      </c>
      <c r="K339" s="6">
        <v>0</v>
      </c>
    </row>
    <row r="340" spans="1:11">
      <c r="A340" t="str">
        <f t="shared" si="5"/>
        <v>Caliwa 80 WP 20 X 0.9 kg469660</v>
      </c>
      <c r="B340" t="s">
        <v>10159</v>
      </c>
      <c r="C340" t="s">
        <v>12243</v>
      </c>
      <c r="D340" t="s">
        <v>14722</v>
      </c>
      <c r="E340" t="s">
        <v>470</v>
      </c>
      <c r="F340">
        <v>20</v>
      </c>
      <c r="G340">
        <v>1</v>
      </c>
      <c r="H340">
        <v>1</v>
      </c>
      <c r="I340">
        <v>20</v>
      </c>
      <c r="J340" s="3">
        <v>46966</v>
      </c>
      <c r="K340" s="6">
        <v>0</v>
      </c>
    </row>
    <row r="341" spans="1:11">
      <c r="A341" t="str">
        <f t="shared" si="5"/>
        <v>Camix Gold 200 SL 20 ltr471780</v>
      </c>
      <c r="B341" t="s">
        <v>10160</v>
      </c>
      <c r="C341" t="s">
        <v>12244</v>
      </c>
      <c r="D341" t="s">
        <v>14723</v>
      </c>
      <c r="E341" t="s">
        <v>471</v>
      </c>
      <c r="F341">
        <v>1</v>
      </c>
      <c r="G341">
        <v>1</v>
      </c>
      <c r="H341">
        <v>1</v>
      </c>
      <c r="I341">
        <v>1</v>
      </c>
      <c r="J341" s="3">
        <v>47178</v>
      </c>
      <c r="K341" s="6">
        <v>0</v>
      </c>
    </row>
    <row r="342" spans="1:11">
      <c r="A342" t="str">
        <f t="shared" si="5"/>
        <v>Camix Gold 200 SL 20 X 1 ltr471780</v>
      </c>
      <c r="B342" t="s">
        <v>10161</v>
      </c>
      <c r="C342" t="s">
        <v>12245</v>
      </c>
      <c r="D342" t="s">
        <v>14724</v>
      </c>
      <c r="E342" t="s">
        <v>473</v>
      </c>
      <c r="F342">
        <v>20</v>
      </c>
      <c r="G342">
        <v>1</v>
      </c>
      <c r="H342">
        <v>1</v>
      </c>
      <c r="I342">
        <v>20</v>
      </c>
      <c r="J342" s="3">
        <v>47178</v>
      </c>
      <c r="K342" s="6">
        <v>0</v>
      </c>
    </row>
    <row r="343" spans="1:11">
      <c r="A343" t="str">
        <f t="shared" si="5"/>
        <v>Camix Gold 200 SL 4 X 5 ltr471190</v>
      </c>
      <c r="B343" t="s">
        <v>10162</v>
      </c>
      <c r="C343" t="s">
        <v>12246</v>
      </c>
      <c r="D343" t="s">
        <v>14725</v>
      </c>
      <c r="E343" t="s">
        <v>474</v>
      </c>
      <c r="F343">
        <v>4</v>
      </c>
      <c r="G343">
        <v>1</v>
      </c>
      <c r="H343">
        <v>1</v>
      </c>
      <c r="I343">
        <v>4</v>
      </c>
      <c r="J343" s="3">
        <v>47119</v>
      </c>
      <c r="K343" s="6">
        <v>0</v>
      </c>
    </row>
    <row r="344" spans="1:11">
      <c r="A344" t="str">
        <f t="shared" si="5"/>
        <v>Castora 40 SP 10 X 10 X 100 gr465690</v>
      </c>
      <c r="B344" t="s">
        <v>10163</v>
      </c>
      <c r="C344" t="s">
        <v>12247</v>
      </c>
      <c r="D344" t="s">
        <v>14726</v>
      </c>
      <c r="E344" t="s">
        <v>476</v>
      </c>
      <c r="F344">
        <v>10</v>
      </c>
      <c r="G344">
        <v>10</v>
      </c>
      <c r="H344">
        <v>1</v>
      </c>
      <c r="I344">
        <v>100</v>
      </c>
      <c r="J344" s="3">
        <v>46569</v>
      </c>
      <c r="K344" s="6">
        <v>0</v>
      </c>
    </row>
    <row r="345" spans="1:11">
      <c r="A345" t="str">
        <f t="shared" si="5"/>
        <v>Castora 40 SP 24 X 400 gr466000</v>
      </c>
      <c r="B345" t="s">
        <v>10164</v>
      </c>
      <c r="C345" t="s">
        <v>12248</v>
      </c>
      <c r="D345" t="s">
        <v>14727</v>
      </c>
      <c r="E345" t="s">
        <v>477</v>
      </c>
      <c r="F345">
        <v>24</v>
      </c>
      <c r="G345">
        <v>1</v>
      </c>
      <c r="H345">
        <v>1</v>
      </c>
      <c r="I345">
        <v>24</v>
      </c>
      <c r="J345" s="3">
        <v>46600</v>
      </c>
      <c r="K345" s="6">
        <v>0</v>
      </c>
    </row>
    <row r="346" spans="1:11">
      <c r="A346" t="str">
        <f t="shared" si="5"/>
        <v>Castora 40 SP 8 X 50 X 15 gr466000</v>
      </c>
      <c r="B346" t="s">
        <v>10165</v>
      </c>
      <c r="C346" t="s">
        <v>12249</v>
      </c>
      <c r="D346" t="s">
        <v>14728</v>
      </c>
      <c r="E346" t="s">
        <v>478</v>
      </c>
      <c r="F346">
        <v>8</v>
      </c>
      <c r="G346">
        <v>50</v>
      </c>
      <c r="H346">
        <v>1</v>
      </c>
      <c r="I346">
        <v>400</v>
      </c>
      <c r="J346" s="3">
        <v>46600</v>
      </c>
      <c r="K346" s="6">
        <v>0</v>
      </c>
    </row>
    <row r="347" spans="1:11">
      <c r="A347" t="str">
        <f t="shared" si="5"/>
        <v>Ceba 125 EC 20 X 200 ml467220</v>
      </c>
      <c r="B347" t="s">
        <v>10166</v>
      </c>
      <c r="C347" t="s">
        <v>12250</v>
      </c>
      <c r="D347" t="s">
        <v>14729</v>
      </c>
      <c r="E347" t="s">
        <v>481</v>
      </c>
      <c r="F347">
        <v>20</v>
      </c>
      <c r="G347">
        <v>1</v>
      </c>
      <c r="H347">
        <v>1</v>
      </c>
      <c r="I347">
        <v>20</v>
      </c>
      <c r="J347" s="3">
        <v>46722</v>
      </c>
      <c r="K347" s="6">
        <v>0</v>
      </c>
    </row>
    <row r="348" spans="1:11">
      <c r="A348" t="str">
        <f t="shared" si="5"/>
        <v>Ceba 125 EC 20 X 400 ml463570</v>
      </c>
      <c r="B348" t="s">
        <v>10167</v>
      </c>
      <c r="C348" t="s">
        <v>12251</v>
      </c>
      <c r="D348" t="s">
        <v>14730</v>
      </c>
      <c r="E348" t="s">
        <v>482</v>
      </c>
      <c r="F348">
        <v>20</v>
      </c>
      <c r="G348">
        <v>1</v>
      </c>
      <c r="H348">
        <v>1</v>
      </c>
      <c r="I348">
        <v>20</v>
      </c>
      <c r="J348" s="3">
        <v>46357</v>
      </c>
      <c r="K348" s="6">
        <v>0</v>
      </c>
    </row>
    <row r="349" spans="1:11">
      <c r="A349" t="str">
        <f t="shared" si="5"/>
        <v>Ceba 125 EC 20 X 400 ml462960</v>
      </c>
      <c r="B349" t="s">
        <v>10168</v>
      </c>
      <c r="C349" t="s">
        <v>12252</v>
      </c>
      <c r="D349" t="s">
        <v>14731</v>
      </c>
      <c r="E349" t="s">
        <v>482</v>
      </c>
      <c r="F349">
        <v>20</v>
      </c>
      <c r="G349">
        <v>1</v>
      </c>
      <c r="H349">
        <v>1</v>
      </c>
      <c r="I349">
        <v>20</v>
      </c>
      <c r="J349" s="3">
        <v>46296</v>
      </c>
      <c r="K349" s="6">
        <v>0</v>
      </c>
    </row>
    <row r="350" spans="1:11">
      <c r="A350" t="str">
        <f t="shared" si="5"/>
        <v>Ceba 125 EC 20 X 400 ml464190</v>
      </c>
      <c r="B350" t="s">
        <v>10169</v>
      </c>
      <c r="C350" t="s">
        <v>12253</v>
      </c>
      <c r="D350" t="s">
        <v>14732</v>
      </c>
      <c r="E350" t="s">
        <v>482</v>
      </c>
      <c r="F350">
        <v>20</v>
      </c>
      <c r="G350">
        <v>1</v>
      </c>
      <c r="H350">
        <v>1</v>
      </c>
      <c r="I350">
        <v>20</v>
      </c>
      <c r="J350" s="3">
        <v>46419</v>
      </c>
      <c r="K350" s="6">
        <v>0</v>
      </c>
    </row>
    <row r="351" spans="1:11">
      <c r="A351" t="str">
        <f t="shared" si="5"/>
        <v>Ceba 125 EC 50 X 100 ml464470</v>
      </c>
      <c r="B351" t="s">
        <v>10170</v>
      </c>
      <c r="C351" t="s">
        <v>12254</v>
      </c>
      <c r="D351" t="s">
        <v>14733</v>
      </c>
      <c r="E351" t="s">
        <v>483</v>
      </c>
      <c r="F351">
        <v>50</v>
      </c>
      <c r="G351">
        <v>1</v>
      </c>
      <c r="H351">
        <v>1</v>
      </c>
      <c r="I351">
        <v>50</v>
      </c>
      <c r="J351" s="3">
        <v>46447</v>
      </c>
      <c r="K351" s="6">
        <v>0</v>
      </c>
    </row>
    <row r="352" spans="1:11">
      <c r="A352" t="str">
        <f t="shared" si="5"/>
        <v>Ceba 125 EC 50 X 100 ml464190</v>
      </c>
      <c r="B352" t="s">
        <v>10171</v>
      </c>
      <c r="C352" t="s">
        <v>12255</v>
      </c>
      <c r="D352" t="s">
        <v>14734</v>
      </c>
      <c r="E352" t="s">
        <v>483</v>
      </c>
      <c r="F352">
        <v>50</v>
      </c>
      <c r="G352">
        <v>1</v>
      </c>
      <c r="H352">
        <v>1</v>
      </c>
      <c r="I352">
        <v>50</v>
      </c>
      <c r="J352" s="3">
        <v>46419</v>
      </c>
      <c r="K352" s="6">
        <v>0</v>
      </c>
    </row>
    <row r="353" spans="1:11">
      <c r="A353" t="str">
        <f t="shared" si="5"/>
        <v>Celana Furadan1/1/10000</v>
      </c>
      <c r="B353" t="s">
        <v>10172</v>
      </c>
      <c r="C353" t="s">
        <v>12256</v>
      </c>
      <c r="D353" t="s">
        <v>14735</v>
      </c>
      <c r="E353" t="s">
        <v>484</v>
      </c>
      <c r="F353">
        <v>1</v>
      </c>
      <c r="G353">
        <v>1</v>
      </c>
      <c r="H353">
        <v>1</v>
      </c>
      <c r="I353">
        <v>1</v>
      </c>
      <c r="J353" s="3" t="s">
        <v>2222</v>
      </c>
      <c r="K353" s="6">
        <v>0</v>
      </c>
    </row>
    <row r="354" spans="1:11">
      <c r="A354" t="str">
        <f t="shared" si="5"/>
        <v>Celana Prevathon1/1/10000</v>
      </c>
      <c r="B354" t="s">
        <v>10173</v>
      </c>
      <c r="C354" t="s">
        <v>12257</v>
      </c>
      <c r="D354" t="s">
        <v>14736</v>
      </c>
      <c r="E354" t="s">
        <v>485</v>
      </c>
      <c r="F354">
        <v>1</v>
      </c>
      <c r="G354">
        <v>1</v>
      </c>
      <c r="H354">
        <v>1</v>
      </c>
      <c r="I354">
        <v>1</v>
      </c>
      <c r="J354" s="3" t="s">
        <v>2222</v>
      </c>
      <c r="K354" s="6">
        <v>0</v>
      </c>
    </row>
    <row r="355" spans="1:11">
      <c r="A355" t="str">
        <f t="shared" si="5"/>
        <v>Celquat 276 SL 10 X 1 ltr461740</v>
      </c>
      <c r="B355" t="s">
        <v>10174</v>
      </c>
      <c r="C355" t="s">
        <v>12258</v>
      </c>
      <c r="D355" t="s">
        <v>14737</v>
      </c>
      <c r="E355" t="s">
        <v>486</v>
      </c>
      <c r="F355">
        <v>10</v>
      </c>
      <c r="G355">
        <v>1</v>
      </c>
      <c r="H355">
        <v>1</v>
      </c>
      <c r="I355">
        <v>10</v>
      </c>
      <c r="J355" s="3">
        <v>46174</v>
      </c>
      <c r="K355" s="6">
        <v>0</v>
      </c>
    </row>
    <row r="356" spans="1:11">
      <c r="A356" t="str">
        <f t="shared" si="5"/>
        <v>Celquat 276 SL 10 X 1 ltr462040</v>
      </c>
      <c r="B356" t="s">
        <v>10175</v>
      </c>
      <c r="C356" t="s">
        <v>12259</v>
      </c>
      <c r="D356" t="s">
        <v>14738</v>
      </c>
      <c r="E356" t="s">
        <v>486</v>
      </c>
      <c r="F356">
        <v>10</v>
      </c>
      <c r="G356">
        <v>1</v>
      </c>
      <c r="H356">
        <v>1</v>
      </c>
      <c r="I356">
        <v>10</v>
      </c>
      <c r="J356" s="3">
        <v>46204</v>
      </c>
      <c r="K356" s="6">
        <v>0</v>
      </c>
    </row>
    <row r="357" spans="1:11">
      <c r="A357" t="str">
        <f t="shared" si="5"/>
        <v>Celquat 276 SL 4 X 5 ltr469350</v>
      </c>
      <c r="B357" t="s">
        <v>10176</v>
      </c>
      <c r="C357" t="s">
        <v>12260</v>
      </c>
      <c r="D357" t="s">
        <v>14739</v>
      </c>
      <c r="E357" t="s">
        <v>487</v>
      </c>
      <c r="F357">
        <v>4</v>
      </c>
      <c r="G357">
        <v>1</v>
      </c>
      <c r="H357">
        <v>1</v>
      </c>
      <c r="I357">
        <v>4</v>
      </c>
      <c r="J357" s="3">
        <v>46935</v>
      </c>
      <c r="K357" s="6">
        <v>0</v>
      </c>
    </row>
    <row r="358" spans="1:11">
      <c r="A358" t="str">
        <f t="shared" si="5"/>
        <v>Centaxone 135 SL 20 X 1 ltr464470</v>
      </c>
      <c r="B358" t="s">
        <v>10177</v>
      </c>
      <c r="C358" t="s">
        <v>12261</v>
      </c>
      <c r="D358" t="s">
        <v>14740</v>
      </c>
      <c r="E358" t="s">
        <v>488</v>
      </c>
      <c r="F358">
        <v>20</v>
      </c>
      <c r="G358">
        <v>1</v>
      </c>
      <c r="H358">
        <v>1</v>
      </c>
      <c r="I358">
        <v>20</v>
      </c>
      <c r="J358" s="3">
        <v>46447</v>
      </c>
      <c r="K358" s="6">
        <v>0</v>
      </c>
    </row>
    <row r="359" spans="1:11">
      <c r="A359" t="str">
        <f t="shared" si="5"/>
        <v>Centaxone 135 SL 20 X 1 ltr467530</v>
      </c>
      <c r="B359" t="s">
        <v>10178</v>
      </c>
      <c r="C359" t="s">
        <v>12262</v>
      </c>
      <c r="D359" t="s">
        <v>14741</v>
      </c>
      <c r="E359" t="s">
        <v>488</v>
      </c>
      <c r="F359">
        <v>20</v>
      </c>
      <c r="G359">
        <v>1</v>
      </c>
      <c r="H359">
        <v>1</v>
      </c>
      <c r="I359">
        <v>20</v>
      </c>
      <c r="J359" s="3">
        <v>46753</v>
      </c>
      <c r="K359" s="6">
        <v>0</v>
      </c>
    </row>
    <row r="360" spans="1:11">
      <c r="A360" t="str">
        <f t="shared" si="5"/>
        <v>Champion 77 WP 10 X 1 kg472090</v>
      </c>
      <c r="B360" t="s">
        <v>10179</v>
      </c>
      <c r="C360" t="s">
        <v>12263</v>
      </c>
      <c r="D360" t="s">
        <v>14742</v>
      </c>
      <c r="E360" t="s">
        <v>489</v>
      </c>
      <c r="F360">
        <v>10</v>
      </c>
      <c r="G360">
        <v>1</v>
      </c>
      <c r="H360">
        <v>1</v>
      </c>
      <c r="I360">
        <v>10</v>
      </c>
      <c r="J360" s="3">
        <v>47209</v>
      </c>
      <c r="K360" s="6">
        <v>0</v>
      </c>
    </row>
    <row r="361" spans="1:11">
      <c r="A361" t="str">
        <f t="shared" si="5"/>
        <v>Charger1/1/10000</v>
      </c>
      <c r="B361" t="s">
        <v>10180</v>
      </c>
      <c r="C361" t="s">
        <v>12264</v>
      </c>
      <c r="D361" t="s">
        <v>14743</v>
      </c>
      <c r="E361" t="s">
        <v>490</v>
      </c>
      <c r="F361">
        <v>1</v>
      </c>
      <c r="G361">
        <v>1</v>
      </c>
      <c r="H361">
        <v>1</v>
      </c>
      <c r="I361">
        <v>1</v>
      </c>
      <c r="J361" s="3" t="s">
        <v>2222</v>
      </c>
      <c r="K361" s="6">
        <v>0</v>
      </c>
    </row>
    <row r="362" spans="1:11">
      <c r="A362" t="str">
        <f t="shared" si="5"/>
        <v>Charger Tangki Excel 16 ltr1/1/10000</v>
      </c>
      <c r="B362" t="s">
        <v>10181</v>
      </c>
      <c r="C362" t="s">
        <v>12265</v>
      </c>
      <c r="D362" t="s">
        <v>14744</v>
      </c>
      <c r="E362" t="s">
        <v>491</v>
      </c>
      <c r="F362">
        <v>1</v>
      </c>
      <c r="G362">
        <v>1</v>
      </c>
      <c r="H362">
        <v>1</v>
      </c>
      <c r="I362">
        <v>1</v>
      </c>
      <c r="J362" s="3" t="s">
        <v>2222</v>
      </c>
      <c r="K362" s="6">
        <v>0</v>
      </c>
    </row>
    <row r="363" spans="1:11">
      <c r="A363" t="str">
        <f t="shared" si="5"/>
        <v>Chief 480 SL 4 X 5 ltr471780</v>
      </c>
      <c r="B363" t="s">
        <v>10182</v>
      </c>
      <c r="C363" t="s">
        <v>12266</v>
      </c>
      <c r="D363" t="s">
        <v>14745</v>
      </c>
      <c r="E363" t="s">
        <v>492</v>
      </c>
      <c r="F363">
        <v>4</v>
      </c>
      <c r="G363">
        <v>1</v>
      </c>
      <c r="H363">
        <v>1</v>
      </c>
      <c r="I363">
        <v>4</v>
      </c>
      <c r="J363" s="3">
        <v>47178</v>
      </c>
      <c r="K363" s="6">
        <v>0</v>
      </c>
    </row>
    <row r="364" spans="1:11">
      <c r="A364" t="str">
        <f t="shared" si="5"/>
        <v>Cobra 15 EC 20 X 1 ltr456580</v>
      </c>
      <c r="B364" t="s">
        <v>10183</v>
      </c>
      <c r="C364" t="s">
        <v>12267</v>
      </c>
      <c r="D364" t="s">
        <v>14746</v>
      </c>
      <c r="E364" t="s">
        <v>494</v>
      </c>
      <c r="F364">
        <v>20</v>
      </c>
      <c r="G364">
        <v>1</v>
      </c>
      <c r="H364">
        <v>1</v>
      </c>
      <c r="I364">
        <v>20</v>
      </c>
      <c r="J364" s="3">
        <v>45658</v>
      </c>
      <c r="K364" s="6">
        <v>0</v>
      </c>
    </row>
    <row r="365" spans="1:11">
      <c r="A365" t="str">
        <f t="shared" si="5"/>
        <v>Cobra 15 EC 20 X 1 ltr458700</v>
      </c>
      <c r="B365" t="s">
        <v>10184</v>
      </c>
      <c r="C365" t="s">
        <v>12268</v>
      </c>
      <c r="D365" t="s">
        <v>14747</v>
      </c>
      <c r="E365" t="s">
        <v>494</v>
      </c>
      <c r="F365">
        <v>20</v>
      </c>
      <c r="G365">
        <v>1</v>
      </c>
      <c r="H365">
        <v>1</v>
      </c>
      <c r="I365">
        <v>20</v>
      </c>
      <c r="J365" s="3">
        <v>45870</v>
      </c>
      <c r="K365" s="6">
        <v>0</v>
      </c>
    </row>
    <row r="366" spans="1:11">
      <c r="A366" t="str">
        <f t="shared" si="5"/>
        <v>Cobra 15 EC 20 X 200 ml456580</v>
      </c>
      <c r="B366" t="s">
        <v>10185</v>
      </c>
      <c r="C366" t="s">
        <v>12269</v>
      </c>
      <c r="D366" t="s">
        <v>14748</v>
      </c>
      <c r="E366" t="s">
        <v>496</v>
      </c>
      <c r="F366">
        <v>20</v>
      </c>
      <c r="G366">
        <v>1</v>
      </c>
      <c r="H366">
        <v>1</v>
      </c>
      <c r="I366">
        <v>20</v>
      </c>
      <c r="J366" s="3">
        <v>45658</v>
      </c>
      <c r="K366" s="6">
        <v>0</v>
      </c>
    </row>
    <row r="367" spans="1:11">
      <c r="A367" t="str">
        <f t="shared" si="5"/>
        <v>Cobra 15 EC 20 X 500 ml464470</v>
      </c>
      <c r="B367" t="s">
        <v>10186</v>
      </c>
      <c r="C367" t="s">
        <v>12270</v>
      </c>
      <c r="D367" t="s">
        <v>14749</v>
      </c>
      <c r="E367" t="s">
        <v>497</v>
      </c>
      <c r="F367">
        <v>20</v>
      </c>
      <c r="G367">
        <v>1</v>
      </c>
      <c r="H367">
        <v>1</v>
      </c>
      <c r="I367">
        <v>20</v>
      </c>
      <c r="J367" s="3">
        <v>46447</v>
      </c>
      <c r="K367" s="6">
        <v>0</v>
      </c>
    </row>
    <row r="368" spans="1:11">
      <c r="A368" t="str">
        <f t="shared" si="5"/>
        <v>Cobra 15 EC 50 X 50 ml ( Sampel )1/1/10000</v>
      </c>
      <c r="B368" t="s">
        <v>10187</v>
      </c>
      <c r="C368" t="s">
        <v>12271</v>
      </c>
      <c r="D368" t="s">
        <v>14750</v>
      </c>
      <c r="E368" t="s">
        <v>498</v>
      </c>
      <c r="F368">
        <v>50</v>
      </c>
      <c r="G368">
        <v>1</v>
      </c>
      <c r="H368">
        <v>1</v>
      </c>
      <c r="I368">
        <v>50</v>
      </c>
      <c r="J368" s="3" t="s">
        <v>2222</v>
      </c>
      <c r="K368" s="6">
        <v>0</v>
      </c>
    </row>
    <row r="369" spans="1:11">
      <c r="A369" t="str">
        <f t="shared" si="5"/>
        <v>Confidor 200 SL 100 X 60 ml465690</v>
      </c>
      <c r="B369" t="s">
        <v>10188</v>
      </c>
      <c r="C369" t="s">
        <v>12272</v>
      </c>
      <c r="D369" t="s">
        <v>14751</v>
      </c>
      <c r="E369" t="s">
        <v>499</v>
      </c>
      <c r="F369">
        <v>100</v>
      </c>
      <c r="G369">
        <v>1</v>
      </c>
      <c r="H369">
        <v>1</v>
      </c>
      <c r="I369">
        <v>100</v>
      </c>
      <c r="J369" s="3">
        <v>46569</v>
      </c>
      <c r="K369" s="6">
        <v>0</v>
      </c>
    </row>
    <row r="370" spans="1:11">
      <c r="A370" t="str">
        <f t="shared" si="5"/>
        <v>Confidor 200 SL 100 X 60 ml466920</v>
      </c>
      <c r="B370" t="s">
        <v>10189</v>
      </c>
      <c r="C370" t="s">
        <v>12273</v>
      </c>
      <c r="D370" t="s">
        <v>14752</v>
      </c>
      <c r="E370" t="s">
        <v>499</v>
      </c>
      <c r="F370">
        <v>100</v>
      </c>
      <c r="G370">
        <v>1</v>
      </c>
      <c r="H370">
        <v>1</v>
      </c>
      <c r="I370">
        <v>100</v>
      </c>
      <c r="J370" s="3">
        <v>46692</v>
      </c>
      <c r="K370" s="6">
        <v>0</v>
      </c>
    </row>
    <row r="371" spans="1:11">
      <c r="A371" t="str">
        <f t="shared" si="5"/>
        <v>Confidor 200 SL 100 X 60 ml466610</v>
      </c>
      <c r="B371" t="s">
        <v>10190</v>
      </c>
      <c r="C371" t="s">
        <v>12274</v>
      </c>
      <c r="D371" t="s">
        <v>14753</v>
      </c>
      <c r="E371" t="s">
        <v>499</v>
      </c>
      <c r="F371">
        <v>100</v>
      </c>
      <c r="G371">
        <v>1</v>
      </c>
      <c r="H371">
        <v>1</v>
      </c>
      <c r="I371">
        <v>100</v>
      </c>
      <c r="J371" s="3">
        <v>46661</v>
      </c>
      <c r="K371" s="6">
        <v>0</v>
      </c>
    </row>
    <row r="372" spans="1:11">
      <c r="A372" t="str">
        <f t="shared" si="5"/>
        <v>Confidor Extra 350 SC 100 X 100 ml459620</v>
      </c>
      <c r="B372" t="s">
        <v>10191</v>
      </c>
      <c r="C372" t="s">
        <v>12275</v>
      </c>
      <c r="D372" t="s">
        <v>14754</v>
      </c>
      <c r="E372" t="s">
        <v>503</v>
      </c>
      <c r="F372">
        <v>100</v>
      </c>
      <c r="G372">
        <v>1</v>
      </c>
      <c r="H372">
        <v>1</v>
      </c>
      <c r="I372">
        <v>100</v>
      </c>
      <c r="J372" s="3">
        <v>45962</v>
      </c>
      <c r="K372" s="6">
        <v>0</v>
      </c>
    </row>
    <row r="373" spans="1:11">
      <c r="A373" t="str">
        <f t="shared" si="5"/>
        <v>Contac Nil 75 WP 16 X 500 gr466610</v>
      </c>
      <c r="B373" t="s">
        <v>10192</v>
      </c>
      <c r="C373" t="s">
        <v>12276</v>
      </c>
      <c r="D373" t="s">
        <v>14755</v>
      </c>
      <c r="E373" t="s">
        <v>505</v>
      </c>
      <c r="F373">
        <v>16</v>
      </c>
      <c r="G373">
        <v>1</v>
      </c>
      <c r="H373">
        <v>1</v>
      </c>
      <c r="I373">
        <v>16</v>
      </c>
      <c r="J373" s="3">
        <v>46661</v>
      </c>
      <c r="K373" s="6">
        <v>0</v>
      </c>
    </row>
    <row r="374" spans="1:11">
      <c r="A374" t="str">
        <f t="shared" si="5"/>
        <v>Corida 50 SC 20 X 500 ml470580</v>
      </c>
      <c r="B374" t="s">
        <v>10193</v>
      </c>
      <c r="C374" t="s">
        <v>12277</v>
      </c>
      <c r="D374" t="s">
        <v>14756</v>
      </c>
      <c r="E374" t="s">
        <v>507</v>
      </c>
      <c r="F374">
        <v>20</v>
      </c>
      <c r="G374">
        <v>1</v>
      </c>
      <c r="H374">
        <v>1</v>
      </c>
      <c r="I374">
        <v>20</v>
      </c>
      <c r="J374" s="3">
        <v>47058</v>
      </c>
      <c r="K374" s="6">
        <v>0</v>
      </c>
    </row>
    <row r="375" spans="1:11">
      <c r="A375" t="str">
        <f t="shared" si="5"/>
        <v>Corida 50 SC 20 X 500 ml470880</v>
      </c>
      <c r="B375" t="s">
        <v>10194</v>
      </c>
      <c r="C375" t="s">
        <v>12278</v>
      </c>
      <c r="D375" t="s">
        <v>14757</v>
      </c>
      <c r="E375" t="s">
        <v>507</v>
      </c>
      <c r="F375">
        <v>20</v>
      </c>
      <c r="G375">
        <v>1</v>
      </c>
      <c r="H375">
        <v>1</v>
      </c>
      <c r="I375">
        <v>20</v>
      </c>
      <c r="J375" s="3">
        <v>47088</v>
      </c>
      <c r="K375" s="6">
        <v>0</v>
      </c>
    </row>
    <row r="376" spans="1:11">
      <c r="A376" t="str">
        <f t="shared" si="5"/>
        <v>Corida 50 SC 40 X 250 ml471190</v>
      </c>
      <c r="B376" t="s">
        <v>10195</v>
      </c>
      <c r="C376" t="s">
        <v>12279</v>
      </c>
      <c r="D376" t="s">
        <v>14758</v>
      </c>
      <c r="E376" t="s">
        <v>508</v>
      </c>
      <c r="F376">
        <v>40</v>
      </c>
      <c r="G376">
        <v>1</v>
      </c>
      <c r="H376">
        <v>1</v>
      </c>
      <c r="I376">
        <v>40</v>
      </c>
      <c r="J376" s="3">
        <v>47119</v>
      </c>
      <c r="K376" s="6">
        <v>0</v>
      </c>
    </row>
    <row r="377" spans="1:11">
      <c r="A377" t="str">
        <f t="shared" si="5"/>
        <v>Corida 50 SC 40 X 250 ml470580</v>
      </c>
      <c r="B377" t="s">
        <v>10196</v>
      </c>
      <c r="C377" t="s">
        <v>12280</v>
      </c>
      <c r="D377" t="s">
        <v>14759</v>
      </c>
      <c r="E377" t="s">
        <v>508</v>
      </c>
      <c r="F377">
        <v>40</v>
      </c>
      <c r="G377">
        <v>1</v>
      </c>
      <c r="H377">
        <v>1</v>
      </c>
      <c r="I377">
        <v>40</v>
      </c>
      <c r="J377" s="3">
        <v>47058</v>
      </c>
      <c r="K377" s="6">
        <v>0</v>
      </c>
    </row>
    <row r="378" spans="1:11">
      <c r="A378" t="str">
        <f t="shared" si="5"/>
        <v>Corida 50 SC 40 X 250 ml470880</v>
      </c>
      <c r="B378" t="s">
        <v>10197</v>
      </c>
      <c r="C378" t="s">
        <v>12281</v>
      </c>
      <c r="D378" t="s">
        <v>14760</v>
      </c>
      <c r="E378" t="s">
        <v>508</v>
      </c>
      <c r="F378">
        <v>40</v>
      </c>
      <c r="G378">
        <v>1</v>
      </c>
      <c r="H378">
        <v>1</v>
      </c>
      <c r="I378">
        <v>40</v>
      </c>
      <c r="J378" s="3">
        <v>47088</v>
      </c>
      <c r="K378" s="6">
        <v>0</v>
      </c>
    </row>
    <row r="379" spans="1:11">
      <c r="A379" t="str">
        <f t="shared" si="5"/>
        <v>Council Complete SC 300 50 X 100 ml457480</v>
      </c>
      <c r="B379" t="s">
        <v>10198</v>
      </c>
      <c r="C379" t="s">
        <v>12282</v>
      </c>
      <c r="D379" t="s">
        <v>14761</v>
      </c>
      <c r="E379" t="s">
        <v>509</v>
      </c>
      <c r="F379">
        <v>50</v>
      </c>
      <c r="G379">
        <v>1</v>
      </c>
      <c r="H379">
        <v>1</v>
      </c>
      <c r="I379">
        <v>50</v>
      </c>
      <c r="J379" s="3">
        <v>45748</v>
      </c>
      <c r="K379" s="6">
        <v>0</v>
      </c>
    </row>
    <row r="380" spans="1:11">
      <c r="A380" t="str">
        <f t="shared" si="5"/>
        <v>Council Complete SC 300 50 X 50 ml456270</v>
      </c>
      <c r="B380" t="s">
        <v>10199</v>
      </c>
      <c r="C380" t="s">
        <v>12283</v>
      </c>
      <c r="D380" t="s">
        <v>14762</v>
      </c>
      <c r="E380" t="s">
        <v>511</v>
      </c>
      <c r="F380">
        <v>50</v>
      </c>
      <c r="G380">
        <v>1</v>
      </c>
      <c r="H380">
        <v>1</v>
      </c>
      <c r="I380">
        <v>50</v>
      </c>
      <c r="J380" s="3">
        <v>45627</v>
      </c>
      <c r="K380" s="6">
        <v>0</v>
      </c>
    </row>
    <row r="381" spans="1:11">
      <c r="A381" t="str">
        <f t="shared" si="5"/>
        <v>Cowin 550 EC 25 X 400 ml466000</v>
      </c>
      <c r="B381" t="s">
        <v>10200</v>
      </c>
      <c r="C381" t="s">
        <v>12284</v>
      </c>
      <c r="D381" t="s">
        <v>14763</v>
      </c>
      <c r="E381" t="s">
        <v>513</v>
      </c>
      <c r="F381">
        <v>25</v>
      </c>
      <c r="G381">
        <v>1</v>
      </c>
      <c r="H381">
        <v>1</v>
      </c>
      <c r="I381">
        <v>25</v>
      </c>
      <c r="J381" s="3">
        <v>46600</v>
      </c>
      <c r="K381" s="6">
        <v>0</v>
      </c>
    </row>
    <row r="382" spans="1:11">
      <c r="A382" t="str">
        <f t="shared" si="5"/>
        <v>Coyote 400/40 SE 20 X 500 ml463570</v>
      </c>
      <c r="B382" t="s">
        <v>10201</v>
      </c>
      <c r="C382" t="s">
        <v>12285</v>
      </c>
      <c r="D382" t="s">
        <v>14764</v>
      </c>
      <c r="E382" t="s">
        <v>515</v>
      </c>
      <c r="F382">
        <v>20</v>
      </c>
      <c r="G382">
        <v>1</v>
      </c>
      <c r="H382">
        <v>1</v>
      </c>
      <c r="I382">
        <v>20</v>
      </c>
      <c r="J382" s="3">
        <v>46357</v>
      </c>
      <c r="K382" s="6">
        <v>0</v>
      </c>
    </row>
    <row r="383" spans="1:11">
      <c r="A383" t="str">
        <f t="shared" si="5"/>
        <v>Coyote 400/40 SE 40 X 250 ml464190</v>
      </c>
      <c r="B383" t="s">
        <v>10202</v>
      </c>
      <c r="C383" t="s">
        <v>12286</v>
      </c>
      <c r="D383" t="s">
        <v>14765</v>
      </c>
      <c r="E383" t="s">
        <v>517</v>
      </c>
      <c r="F383">
        <v>40</v>
      </c>
      <c r="G383">
        <v>1</v>
      </c>
      <c r="H383">
        <v>1</v>
      </c>
      <c r="I383">
        <v>40</v>
      </c>
      <c r="J383" s="3">
        <v>46419</v>
      </c>
      <c r="K383" s="6">
        <v>0</v>
      </c>
    </row>
    <row r="384" spans="1:11">
      <c r="A384" t="str">
        <f t="shared" si="5"/>
        <v>Curacron 500 EC 20 X 500 ml456890</v>
      </c>
      <c r="B384" t="s">
        <v>10203</v>
      </c>
      <c r="C384" t="s">
        <v>12287</v>
      </c>
      <c r="D384" t="s">
        <v>14766</v>
      </c>
      <c r="E384" t="s">
        <v>519</v>
      </c>
      <c r="F384">
        <v>20</v>
      </c>
      <c r="G384">
        <v>1</v>
      </c>
      <c r="H384">
        <v>1</v>
      </c>
      <c r="I384">
        <v>20</v>
      </c>
      <c r="J384" s="3">
        <v>45689</v>
      </c>
      <c r="K384" s="6">
        <v>0</v>
      </c>
    </row>
    <row r="385" spans="1:11">
      <c r="A385" t="str">
        <f t="shared" si="5"/>
        <v>Curacron 500 EC 20 X 500 ml457480</v>
      </c>
      <c r="B385" t="s">
        <v>10204</v>
      </c>
      <c r="C385" t="s">
        <v>12288</v>
      </c>
      <c r="D385" t="s">
        <v>14767</v>
      </c>
      <c r="E385" t="s">
        <v>519</v>
      </c>
      <c r="F385">
        <v>20</v>
      </c>
      <c r="G385">
        <v>1</v>
      </c>
      <c r="H385">
        <v>1</v>
      </c>
      <c r="I385">
        <v>20</v>
      </c>
      <c r="J385" s="3">
        <v>45748</v>
      </c>
      <c r="K385" s="6">
        <v>0</v>
      </c>
    </row>
    <row r="386" spans="1:11">
      <c r="A386" t="str">
        <f t="shared" si="5"/>
        <v>Curacron 500 EC 40 X 250 ml456890</v>
      </c>
      <c r="B386" t="s">
        <v>10205</v>
      </c>
      <c r="C386" t="s">
        <v>12289</v>
      </c>
      <c r="D386" t="s">
        <v>14768</v>
      </c>
      <c r="E386" t="s">
        <v>522</v>
      </c>
      <c r="F386">
        <v>40</v>
      </c>
      <c r="G386">
        <v>1</v>
      </c>
      <c r="H386">
        <v>1</v>
      </c>
      <c r="I386">
        <v>40</v>
      </c>
      <c r="J386" s="3">
        <v>45689</v>
      </c>
      <c r="K386" s="6">
        <v>0</v>
      </c>
    </row>
    <row r="387" spans="1:11">
      <c r="A387" t="str">
        <f t="shared" ref="A387:A450" si="6">E387&amp;J387&amp;K387</f>
        <v>Curaterr 3 GR 10 X 2 kg463880</v>
      </c>
      <c r="B387" t="s">
        <v>10206</v>
      </c>
      <c r="C387" t="s">
        <v>12290</v>
      </c>
      <c r="D387" t="s">
        <v>14769</v>
      </c>
      <c r="E387" t="s">
        <v>526</v>
      </c>
      <c r="F387">
        <v>10</v>
      </c>
      <c r="G387">
        <v>1</v>
      </c>
      <c r="H387">
        <v>1</v>
      </c>
      <c r="I387">
        <v>10</v>
      </c>
      <c r="J387" s="3">
        <v>46388</v>
      </c>
      <c r="K387" s="6">
        <v>0</v>
      </c>
    </row>
    <row r="388" spans="1:11">
      <c r="A388" t="str">
        <f t="shared" si="6"/>
        <v>Cymbush 50 EC 40 X 250 ml460230</v>
      </c>
      <c r="B388" t="s">
        <v>10207</v>
      </c>
      <c r="C388" t="s">
        <v>12291</v>
      </c>
      <c r="D388" t="s">
        <v>14770</v>
      </c>
      <c r="E388" t="s">
        <v>527</v>
      </c>
      <c r="F388">
        <v>40</v>
      </c>
      <c r="G388">
        <v>1</v>
      </c>
      <c r="H388">
        <v>1</v>
      </c>
      <c r="I388">
        <v>40</v>
      </c>
      <c r="J388" s="3">
        <v>46023</v>
      </c>
      <c r="K388" s="6">
        <v>0</v>
      </c>
    </row>
    <row r="389" spans="1:11">
      <c r="A389" t="str">
        <f t="shared" si="6"/>
        <v>Cymbush 50 EC 40 X 250 ml458090</v>
      </c>
      <c r="B389" t="s">
        <v>10208</v>
      </c>
      <c r="C389" t="s">
        <v>12292</v>
      </c>
      <c r="D389" t="s">
        <v>14771</v>
      </c>
      <c r="E389" t="s">
        <v>527</v>
      </c>
      <c r="F389">
        <v>40</v>
      </c>
      <c r="G389">
        <v>1</v>
      </c>
      <c r="H389">
        <v>1</v>
      </c>
      <c r="I389">
        <v>40</v>
      </c>
      <c r="J389" s="3">
        <v>45809</v>
      </c>
      <c r="K389" s="6">
        <v>0</v>
      </c>
    </row>
    <row r="390" spans="1:11">
      <c r="A390" t="str">
        <f t="shared" si="6"/>
        <v>Cymoxan 15 WP 40 X 250 gr461130</v>
      </c>
      <c r="B390" t="s">
        <v>10209</v>
      </c>
      <c r="C390" t="s">
        <v>12293</v>
      </c>
      <c r="D390" t="s">
        <v>14772</v>
      </c>
      <c r="E390" t="s">
        <v>530</v>
      </c>
      <c r="F390">
        <v>40</v>
      </c>
      <c r="G390">
        <v>1</v>
      </c>
      <c r="H390">
        <v>1</v>
      </c>
      <c r="I390">
        <v>40</v>
      </c>
      <c r="J390" s="3">
        <v>46113</v>
      </c>
      <c r="K390" s="6">
        <v>0</v>
      </c>
    </row>
    <row r="391" spans="1:11">
      <c r="A391" t="str">
        <f t="shared" si="6"/>
        <v>Cymoxan 15 WP 40 X 250 gr470270</v>
      </c>
      <c r="B391" t="s">
        <v>10210</v>
      </c>
      <c r="C391" t="s">
        <v>12294</v>
      </c>
      <c r="D391" t="s">
        <v>14773</v>
      </c>
      <c r="E391" t="s">
        <v>530</v>
      </c>
      <c r="F391">
        <v>40</v>
      </c>
      <c r="G391">
        <v>1</v>
      </c>
      <c r="H391">
        <v>1</v>
      </c>
      <c r="I391">
        <v>40</v>
      </c>
      <c r="J391" s="3">
        <v>47027</v>
      </c>
      <c r="K391" s="6">
        <v>0</v>
      </c>
    </row>
    <row r="392" spans="1:11">
      <c r="A392" t="str">
        <f t="shared" si="6"/>
        <v>Cymoxan 15 WP 40 X 250 gr470880</v>
      </c>
      <c r="B392" t="s">
        <v>10211</v>
      </c>
      <c r="C392" t="s">
        <v>12295</v>
      </c>
      <c r="D392" t="s">
        <v>14774</v>
      </c>
      <c r="E392" t="s">
        <v>530</v>
      </c>
      <c r="F392">
        <v>40</v>
      </c>
      <c r="G392">
        <v>1</v>
      </c>
      <c r="H392">
        <v>1</v>
      </c>
      <c r="I392">
        <v>40</v>
      </c>
      <c r="J392" s="3">
        <v>47088</v>
      </c>
      <c r="K392" s="6">
        <v>0</v>
      </c>
    </row>
    <row r="393" spans="1:11">
      <c r="A393" t="str">
        <f t="shared" si="6"/>
        <v>Cypertop 200 EW 20 X 1 ltr1/1/10000</v>
      </c>
      <c r="B393" t="s">
        <v>10212</v>
      </c>
      <c r="C393" t="s">
        <v>12296</v>
      </c>
      <c r="D393" t="s">
        <v>14775</v>
      </c>
      <c r="E393" t="s">
        <v>534</v>
      </c>
      <c r="F393">
        <v>20</v>
      </c>
      <c r="G393">
        <v>1</v>
      </c>
      <c r="H393">
        <v>1</v>
      </c>
      <c r="I393">
        <v>20</v>
      </c>
      <c r="J393" s="3" t="s">
        <v>2222</v>
      </c>
      <c r="K393" s="6">
        <v>0</v>
      </c>
    </row>
    <row r="394" spans="1:11">
      <c r="A394" t="str">
        <f t="shared" si="6"/>
        <v>Damazeb 80 WP Blue 20 X 800 gr454740</v>
      </c>
      <c r="B394" t="s">
        <v>10213</v>
      </c>
      <c r="C394" t="s">
        <v>12297</v>
      </c>
      <c r="D394" t="s">
        <v>14776</v>
      </c>
      <c r="E394" t="s">
        <v>535</v>
      </c>
      <c r="F394">
        <v>20</v>
      </c>
      <c r="G394">
        <v>1</v>
      </c>
      <c r="H394">
        <v>1</v>
      </c>
      <c r="I394">
        <v>20</v>
      </c>
      <c r="J394" s="3">
        <v>45474</v>
      </c>
      <c r="K394" s="6">
        <v>0</v>
      </c>
    </row>
    <row r="395" spans="1:11">
      <c r="A395" t="str">
        <f t="shared" si="6"/>
        <v>Damex 18 EC 10 X 1 ltr454740</v>
      </c>
      <c r="B395" t="s">
        <v>10214</v>
      </c>
      <c r="C395" t="s">
        <v>12298</v>
      </c>
      <c r="D395" t="s">
        <v>14777</v>
      </c>
      <c r="E395" t="s">
        <v>536</v>
      </c>
      <c r="F395">
        <v>10</v>
      </c>
      <c r="G395">
        <v>1</v>
      </c>
      <c r="H395">
        <v>1</v>
      </c>
      <c r="I395">
        <v>10</v>
      </c>
      <c r="J395" s="3">
        <v>45474</v>
      </c>
      <c r="K395" s="6">
        <v>0</v>
      </c>
    </row>
    <row r="396" spans="1:11">
      <c r="A396" t="str">
        <f t="shared" si="6"/>
        <v>Damex 18 EC 10 X 1 ltr456890</v>
      </c>
      <c r="B396" t="s">
        <v>10215</v>
      </c>
      <c r="C396" t="s">
        <v>12299</v>
      </c>
      <c r="D396" t="s">
        <v>14778</v>
      </c>
      <c r="E396" t="s">
        <v>536</v>
      </c>
      <c r="F396">
        <v>10</v>
      </c>
      <c r="G396">
        <v>1</v>
      </c>
      <c r="H396">
        <v>1</v>
      </c>
      <c r="I396">
        <v>10</v>
      </c>
      <c r="J396" s="3">
        <v>45689</v>
      </c>
      <c r="K396" s="6">
        <v>0</v>
      </c>
    </row>
    <row r="397" spans="1:11">
      <c r="A397" t="str">
        <f t="shared" si="6"/>
        <v>Damex 18 EC 30 X 500 ml459310</v>
      </c>
      <c r="B397" t="s">
        <v>10216</v>
      </c>
      <c r="C397" t="s">
        <v>12300</v>
      </c>
      <c r="D397" t="s">
        <v>14779</v>
      </c>
      <c r="E397" t="s">
        <v>537</v>
      </c>
      <c r="F397">
        <v>30</v>
      </c>
      <c r="G397">
        <v>1</v>
      </c>
      <c r="H397">
        <v>1</v>
      </c>
      <c r="I397">
        <v>30</v>
      </c>
      <c r="J397" s="3">
        <v>45931</v>
      </c>
      <c r="K397" s="6">
        <v>0</v>
      </c>
    </row>
    <row r="398" spans="1:11">
      <c r="A398" t="str">
        <f t="shared" si="6"/>
        <v>Damex 18 EC 30 X 500 ml456270</v>
      </c>
      <c r="B398" t="s">
        <v>10217</v>
      </c>
      <c r="C398" t="s">
        <v>12301</v>
      </c>
      <c r="D398" t="s">
        <v>14780</v>
      </c>
      <c r="E398" t="s">
        <v>537</v>
      </c>
      <c r="F398">
        <v>30</v>
      </c>
      <c r="G398">
        <v>1</v>
      </c>
      <c r="H398">
        <v>1</v>
      </c>
      <c r="I398">
        <v>30</v>
      </c>
      <c r="J398" s="3">
        <v>45627</v>
      </c>
      <c r="K398" s="6">
        <v>0</v>
      </c>
    </row>
    <row r="399" spans="1:11">
      <c r="A399" t="str">
        <f t="shared" si="6"/>
        <v>Damex 18 EC 30 X 500 ml459620</v>
      </c>
      <c r="B399" t="s">
        <v>10218</v>
      </c>
      <c r="C399" t="s">
        <v>12302</v>
      </c>
      <c r="D399" t="s">
        <v>14781</v>
      </c>
      <c r="E399" t="s">
        <v>537</v>
      </c>
      <c r="F399">
        <v>30</v>
      </c>
      <c r="G399">
        <v>1</v>
      </c>
      <c r="H399">
        <v>1</v>
      </c>
      <c r="I399">
        <v>30</v>
      </c>
      <c r="J399" s="3">
        <v>45962</v>
      </c>
      <c r="K399" s="6">
        <v>0</v>
      </c>
    </row>
    <row r="400" spans="1:11">
      <c r="A400" t="str">
        <f t="shared" si="6"/>
        <v>Danaxone 135 SL 20 ltr471190</v>
      </c>
      <c r="B400" t="s">
        <v>10219</v>
      </c>
      <c r="C400" t="s">
        <v>12303</v>
      </c>
      <c r="D400" t="s">
        <v>14782</v>
      </c>
      <c r="E400" t="s">
        <v>538</v>
      </c>
      <c r="F400">
        <v>1</v>
      </c>
      <c r="G400">
        <v>1</v>
      </c>
      <c r="H400">
        <v>1</v>
      </c>
      <c r="I400">
        <v>1</v>
      </c>
      <c r="J400" s="3">
        <v>47119</v>
      </c>
      <c r="K400" s="6">
        <v>0</v>
      </c>
    </row>
    <row r="401" spans="1:11">
      <c r="A401" t="str">
        <f t="shared" si="6"/>
        <v>Danaxone 135 SL 20 X 1 ltr471190</v>
      </c>
      <c r="B401" t="s">
        <v>10220</v>
      </c>
      <c r="C401" t="s">
        <v>12304</v>
      </c>
      <c r="D401" t="s">
        <v>14783</v>
      </c>
      <c r="E401" t="s">
        <v>540</v>
      </c>
      <c r="F401">
        <v>20</v>
      </c>
      <c r="G401">
        <v>1</v>
      </c>
      <c r="H401">
        <v>1</v>
      </c>
      <c r="I401">
        <v>20</v>
      </c>
      <c r="J401" s="3">
        <v>47119</v>
      </c>
      <c r="K401" s="6">
        <v>0</v>
      </c>
    </row>
    <row r="402" spans="1:11">
      <c r="A402" t="str">
        <f t="shared" si="6"/>
        <v>Danaxone 135 SL 4 X 5 ltr470880</v>
      </c>
      <c r="B402" t="s">
        <v>10221</v>
      </c>
      <c r="C402" t="s">
        <v>12305</v>
      </c>
      <c r="D402" t="s">
        <v>14784</v>
      </c>
      <c r="E402" t="s">
        <v>542</v>
      </c>
      <c r="F402">
        <v>4</v>
      </c>
      <c r="G402">
        <v>1</v>
      </c>
      <c r="H402">
        <v>1</v>
      </c>
      <c r="I402">
        <v>4</v>
      </c>
      <c r="J402" s="3">
        <v>47088</v>
      </c>
      <c r="K402" s="6">
        <v>0</v>
      </c>
    </row>
    <row r="403" spans="1:11">
      <c r="A403" t="str">
        <f t="shared" si="6"/>
        <v>Decis 2.5 EC 100 X 100 ml468440</v>
      </c>
      <c r="B403" t="s">
        <v>10222</v>
      </c>
      <c r="C403" t="s">
        <v>12306</v>
      </c>
      <c r="D403" t="s">
        <v>14785</v>
      </c>
      <c r="E403" t="s">
        <v>544</v>
      </c>
      <c r="F403">
        <v>100</v>
      </c>
      <c r="G403">
        <v>1</v>
      </c>
      <c r="H403">
        <v>1</v>
      </c>
      <c r="I403">
        <v>100</v>
      </c>
      <c r="J403" s="3">
        <v>46844</v>
      </c>
      <c r="K403" s="6">
        <v>0</v>
      </c>
    </row>
    <row r="404" spans="1:11">
      <c r="A404" t="str">
        <f t="shared" si="6"/>
        <v>Decis 2.5 EC 100 X 50 ml468740</v>
      </c>
      <c r="B404" t="s">
        <v>10223</v>
      </c>
      <c r="C404" t="s">
        <v>12307</v>
      </c>
      <c r="D404" t="s">
        <v>14786</v>
      </c>
      <c r="E404" t="s">
        <v>547</v>
      </c>
      <c r="F404">
        <v>100</v>
      </c>
      <c r="G404">
        <v>1</v>
      </c>
      <c r="H404">
        <v>1</v>
      </c>
      <c r="I404">
        <v>100</v>
      </c>
      <c r="J404" s="3">
        <v>46874</v>
      </c>
      <c r="K404" s="6">
        <v>0</v>
      </c>
    </row>
    <row r="405" spans="1:11">
      <c r="A405" t="str">
        <f t="shared" si="6"/>
        <v>Decis 2.5 EC 20 X 500 ml467530</v>
      </c>
      <c r="B405" t="s">
        <v>10224</v>
      </c>
      <c r="C405" t="s">
        <v>12308</v>
      </c>
      <c r="D405" t="s">
        <v>14787</v>
      </c>
      <c r="E405" t="s">
        <v>551</v>
      </c>
      <c r="F405">
        <v>20</v>
      </c>
      <c r="G405">
        <v>1</v>
      </c>
      <c r="H405">
        <v>1</v>
      </c>
      <c r="I405">
        <v>20</v>
      </c>
      <c r="J405" s="3">
        <v>46753</v>
      </c>
      <c r="K405" s="6">
        <v>0</v>
      </c>
    </row>
    <row r="406" spans="1:11">
      <c r="A406" t="str">
        <f t="shared" si="6"/>
        <v>Decis 2.5 EC 40 X 250 ml467840</v>
      </c>
      <c r="B406" t="s">
        <v>10225</v>
      </c>
      <c r="C406" t="s">
        <v>12309</v>
      </c>
      <c r="D406" t="s">
        <v>14788</v>
      </c>
      <c r="E406" t="s">
        <v>554</v>
      </c>
      <c r="F406">
        <v>40</v>
      </c>
      <c r="G406">
        <v>1</v>
      </c>
      <c r="H406">
        <v>1</v>
      </c>
      <c r="I406">
        <v>40</v>
      </c>
      <c r="J406" s="3">
        <v>46784</v>
      </c>
      <c r="K406" s="6">
        <v>0</v>
      </c>
    </row>
    <row r="407" spans="1:11">
      <c r="A407" t="str">
        <f t="shared" si="6"/>
        <v>Decis 2.5 EC 40 X 250 ml468440</v>
      </c>
      <c r="B407" t="s">
        <v>10226</v>
      </c>
      <c r="C407" t="s">
        <v>12310</v>
      </c>
      <c r="D407" t="s">
        <v>14789</v>
      </c>
      <c r="E407" t="s">
        <v>554</v>
      </c>
      <c r="F407">
        <v>40</v>
      </c>
      <c r="G407">
        <v>1</v>
      </c>
      <c r="H407">
        <v>1</v>
      </c>
      <c r="I407">
        <v>40</v>
      </c>
      <c r="J407" s="3">
        <v>46844</v>
      </c>
      <c r="K407" s="6">
        <v>0</v>
      </c>
    </row>
    <row r="408" spans="1:11">
      <c r="A408" t="str">
        <f t="shared" si="6"/>
        <v>Dekamon 22,43 L 50 X 100 ml462960</v>
      </c>
      <c r="B408" t="s">
        <v>10227</v>
      </c>
      <c r="C408" t="s">
        <v>12311</v>
      </c>
      <c r="D408" t="s">
        <v>14790</v>
      </c>
      <c r="E408" t="s">
        <v>558</v>
      </c>
      <c r="F408">
        <v>50</v>
      </c>
      <c r="G408">
        <v>1</v>
      </c>
      <c r="H408">
        <v>1</v>
      </c>
      <c r="I408">
        <v>50</v>
      </c>
      <c r="J408" s="3">
        <v>46296</v>
      </c>
      <c r="K408" s="6">
        <v>0</v>
      </c>
    </row>
    <row r="409" spans="1:11">
      <c r="A409" t="str">
        <f t="shared" si="6"/>
        <v>Dekamon 22.43 L 12 X 1 ltr461740</v>
      </c>
      <c r="B409" t="s">
        <v>10228</v>
      </c>
      <c r="C409" t="s">
        <v>12312</v>
      </c>
      <c r="D409" t="s">
        <v>14791</v>
      </c>
      <c r="E409" t="s">
        <v>561</v>
      </c>
      <c r="F409">
        <v>12</v>
      </c>
      <c r="G409">
        <v>1</v>
      </c>
      <c r="H409">
        <v>1</v>
      </c>
      <c r="I409">
        <v>12</v>
      </c>
      <c r="J409" s="3">
        <v>46174</v>
      </c>
      <c r="K409" s="6">
        <v>0</v>
      </c>
    </row>
    <row r="410" spans="1:11">
      <c r="A410" t="str">
        <f t="shared" si="6"/>
        <v>Dekapirim 400 SC 20 X 500 ml460540</v>
      </c>
      <c r="B410" t="s">
        <v>10229</v>
      </c>
      <c r="C410" t="s">
        <v>12313</v>
      </c>
      <c r="D410" t="s">
        <v>14792</v>
      </c>
      <c r="E410" t="s">
        <v>563</v>
      </c>
      <c r="F410">
        <v>20</v>
      </c>
      <c r="G410">
        <v>1</v>
      </c>
      <c r="H410">
        <v>1</v>
      </c>
      <c r="I410">
        <v>20</v>
      </c>
      <c r="J410" s="3">
        <v>46054</v>
      </c>
      <c r="K410" s="6">
        <v>0</v>
      </c>
    </row>
    <row r="411" spans="1:11">
      <c r="A411" t="str">
        <f t="shared" si="6"/>
        <v>Dekapirim 400 SC 20 X 500 ml461740</v>
      </c>
      <c r="B411" t="s">
        <v>10230</v>
      </c>
      <c r="C411" t="s">
        <v>12314</v>
      </c>
      <c r="D411" t="s">
        <v>14793</v>
      </c>
      <c r="E411" t="s">
        <v>563</v>
      </c>
      <c r="F411">
        <v>20</v>
      </c>
      <c r="G411">
        <v>1</v>
      </c>
      <c r="H411">
        <v>1</v>
      </c>
      <c r="I411">
        <v>20</v>
      </c>
      <c r="J411" s="3">
        <v>46174</v>
      </c>
      <c r="K411" s="6">
        <v>0</v>
      </c>
    </row>
    <row r="412" spans="1:11">
      <c r="A412" t="str">
        <f t="shared" si="6"/>
        <v>Dekapirim 400 SC 50 X 100 ml464190</v>
      </c>
      <c r="B412" t="s">
        <v>10231</v>
      </c>
      <c r="C412" t="s">
        <v>12315</v>
      </c>
      <c r="D412" t="s">
        <v>14794</v>
      </c>
      <c r="E412" t="s">
        <v>566</v>
      </c>
      <c r="F412">
        <v>50</v>
      </c>
      <c r="G412">
        <v>1</v>
      </c>
      <c r="H412">
        <v>1</v>
      </c>
      <c r="I412">
        <v>50</v>
      </c>
      <c r="J412" s="3">
        <v>46419</v>
      </c>
      <c r="K412" s="6">
        <v>0</v>
      </c>
    </row>
    <row r="413" spans="1:11">
      <c r="A413" t="str">
        <f t="shared" si="6"/>
        <v>Dektin 30 WG 12 X 500 gr456270</v>
      </c>
      <c r="B413" t="s">
        <v>10232</v>
      </c>
      <c r="C413" t="s">
        <v>12316</v>
      </c>
      <c r="D413" t="s">
        <v>14795</v>
      </c>
      <c r="E413" t="s">
        <v>568</v>
      </c>
      <c r="F413">
        <v>12</v>
      </c>
      <c r="G413">
        <v>1</v>
      </c>
      <c r="H413">
        <v>1</v>
      </c>
      <c r="I413">
        <v>12</v>
      </c>
      <c r="J413" s="3">
        <v>45627</v>
      </c>
      <c r="K413" s="6">
        <v>0</v>
      </c>
    </row>
    <row r="414" spans="1:11">
      <c r="A414" t="str">
        <f t="shared" si="6"/>
        <v>Dektin 30 WG 20 X 200 gr455660</v>
      </c>
      <c r="B414" t="s">
        <v>10233</v>
      </c>
      <c r="C414" t="s">
        <v>12317</v>
      </c>
      <c r="D414" t="s">
        <v>14796</v>
      </c>
      <c r="E414" t="s">
        <v>570</v>
      </c>
      <c r="F414">
        <v>20</v>
      </c>
      <c r="G414">
        <v>1</v>
      </c>
      <c r="H414">
        <v>1</v>
      </c>
      <c r="I414">
        <v>20</v>
      </c>
      <c r="J414" s="3">
        <v>45566</v>
      </c>
      <c r="K414" s="6">
        <v>0</v>
      </c>
    </row>
    <row r="415" spans="1:11">
      <c r="A415" t="str">
        <f t="shared" si="6"/>
        <v>Dektin 30 WG 20 X 200 gr462350</v>
      </c>
      <c r="B415" t="s">
        <v>10234</v>
      </c>
      <c r="C415" t="s">
        <v>12318</v>
      </c>
      <c r="D415" t="s">
        <v>14797</v>
      </c>
      <c r="E415" t="s">
        <v>570</v>
      </c>
      <c r="F415">
        <v>20</v>
      </c>
      <c r="G415">
        <v>1</v>
      </c>
      <c r="H415">
        <v>1</v>
      </c>
      <c r="I415">
        <v>20</v>
      </c>
      <c r="J415" s="3">
        <v>46235</v>
      </c>
      <c r="K415" s="6">
        <v>0</v>
      </c>
    </row>
    <row r="416" spans="1:11">
      <c r="A416" t="str">
        <f t="shared" si="6"/>
        <v>Dektin 30 WG 50 X 50 gr462350</v>
      </c>
      <c r="B416" t="s">
        <v>10235</v>
      </c>
      <c r="C416" t="s">
        <v>12319</v>
      </c>
      <c r="D416" t="s">
        <v>14798</v>
      </c>
      <c r="E416" t="s">
        <v>573</v>
      </c>
      <c r="F416">
        <v>50</v>
      </c>
      <c r="G416">
        <v>1</v>
      </c>
      <c r="H416">
        <v>1</v>
      </c>
      <c r="I416">
        <v>50</v>
      </c>
      <c r="J416" s="3">
        <v>46235</v>
      </c>
      <c r="K416" s="6">
        <v>0</v>
      </c>
    </row>
    <row r="417" spans="1:11">
      <c r="A417" t="str">
        <f t="shared" si="6"/>
        <v>Dektin 30 WG 50 X 50 gr465390</v>
      </c>
      <c r="B417" t="s">
        <v>10236</v>
      </c>
      <c r="C417" t="s">
        <v>12320</v>
      </c>
      <c r="D417" t="s">
        <v>14799</v>
      </c>
      <c r="E417" t="s">
        <v>573</v>
      </c>
      <c r="F417">
        <v>50</v>
      </c>
      <c r="G417">
        <v>1</v>
      </c>
      <c r="H417">
        <v>1</v>
      </c>
      <c r="I417">
        <v>50</v>
      </c>
      <c r="J417" s="3">
        <v>46539</v>
      </c>
      <c r="K417" s="6">
        <v>0</v>
      </c>
    </row>
    <row r="418" spans="1:11">
      <c r="A418" t="str">
        <f t="shared" si="6"/>
        <v>Dellacid 525 EC 20 x 1 ltr466000</v>
      </c>
      <c r="B418" t="s">
        <v>10237</v>
      </c>
      <c r="C418" t="s">
        <v>12321</v>
      </c>
      <c r="D418" t="s">
        <v>14800</v>
      </c>
      <c r="E418" t="s">
        <v>576</v>
      </c>
      <c r="F418">
        <v>20</v>
      </c>
      <c r="G418">
        <v>1</v>
      </c>
      <c r="H418">
        <v>1</v>
      </c>
      <c r="I418">
        <v>20</v>
      </c>
      <c r="J418" s="3">
        <v>46600</v>
      </c>
      <c r="K418" s="6">
        <v>0</v>
      </c>
    </row>
    <row r="419" spans="1:11">
      <c r="A419" t="str">
        <f t="shared" si="6"/>
        <v>Dellacid 525 EC 25 X 500 ml461740</v>
      </c>
      <c r="B419" t="s">
        <v>10238</v>
      </c>
      <c r="C419" t="s">
        <v>12322</v>
      </c>
      <c r="D419" t="s">
        <v>14801</v>
      </c>
      <c r="E419" t="s">
        <v>577</v>
      </c>
      <c r="F419">
        <v>25</v>
      </c>
      <c r="G419">
        <v>1</v>
      </c>
      <c r="H419">
        <v>1</v>
      </c>
      <c r="I419">
        <v>25</v>
      </c>
      <c r="J419" s="3">
        <v>46174</v>
      </c>
      <c r="K419" s="6">
        <v>0</v>
      </c>
    </row>
    <row r="420" spans="1:11">
      <c r="A420" t="str">
        <f t="shared" si="6"/>
        <v>Dellacid 525 EC 25 X 500 ml467840</v>
      </c>
      <c r="B420" t="s">
        <v>10239</v>
      </c>
      <c r="C420" t="s">
        <v>12323</v>
      </c>
      <c r="D420" t="s">
        <v>14802</v>
      </c>
      <c r="E420" t="s">
        <v>577</v>
      </c>
      <c r="F420">
        <v>25</v>
      </c>
      <c r="G420">
        <v>1</v>
      </c>
      <c r="H420">
        <v>1</v>
      </c>
      <c r="I420">
        <v>25</v>
      </c>
      <c r="J420" s="3">
        <v>46784</v>
      </c>
      <c r="K420" s="6">
        <v>0</v>
      </c>
    </row>
    <row r="421" spans="1:11">
      <c r="A421" t="str">
        <f t="shared" si="6"/>
        <v>Dellacid 525 EC 40 x 200 ml461740</v>
      </c>
      <c r="B421" t="s">
        <v>10240</v>
      </c>
      <c r="C421" t="s">
        <v>12324</v>
      </c>
      <c r="D421" t="s">
        <v>14803</v>
      </c>
      <c r="E421" t="s">
        <v>578</v>
      </c>
      <c r="F421">
        <v>40</v>
      </c>
      <c r="G421">
        <v>1</v>
      </c>
      <c r="H421">
        <v>1</v>
      </c>
      <c r="I421">
        <v>40</v>
      </c>
      <c r="J421" s="3">
        <v>46174</v>
      </c>
      <c r="K421" s="6">
        <v>0</v>
      </c>
    </row>
    <row r="422" spans="1:11">
      <c r="A422" t="str">
        <f t="shared" si="6"/>
        <v>Demoflag Armeira1/1/10000</v>
      </c>
      <c r="B422" t="s">
        <v>10241</v>
      </c>
      <c r="C422" t="s">
        <v>12325</v>
      </c>
      <c r="D422" t="s">
        <v>14804</v>
      </c>
      <c r="E422" t="s">
        <v>579</v>
      </c>
      <c r="F422">
        <v>1</v>
      </c>
      <c r="G422">
        <v>1</v>
      </c>
      <c r="H422">
        <v>1</v>
      </c>
      <c r="I422">
        <v>1</v>
      </c>
      <c r="J422" s="3" t="s">
        <v>2222</v>
      </c>
      <c r="K422" s="6">
        <v>0</v>
      </c>
    </row>
    <row r="423" spans="1:11">
      <c r="A423" t="str">
        <f t="shared" si="6"/>
        <v>Demoflag Castora1/1/10000</v>
      </c>
      <c r="B423" t="s">
        <v>10242</v>
      </c>
      <c r="C423" t="s">
        <v>12326</v>
      </c>
      <c r="D423" t="s">
        <v>14805</v>
      </c>
      <c r="E423" t="s">
        <v>580</v>
      </c>
      <c r="F423">
        <v>1</v>
      </c>
      <c r="G423">
        <v>1</v>
      </c>
      <c r="H423">
        <v>1</v>
      </c>
      <c r="I423">
        <v>1</v>
      </c>
      <c r="J423" s="3" t="s">
        <v>2222</v>
      </c>
      <c r="K423" s="6">
        <v>0</v>
      </c>
    </row>
    <row r="424" spans="1:11">
      <c r="A424" t="str">
        <f t="shared" si="6"/>
        <v>Demoflag Desanto1/1/10000</v>
      </c>
      <c r="B424" t="s">
        <v>10243</v>
      </c>
      <c r="C424" t="s">
        <v>12327</v>
      </c>
      <c r="D424" t="s">
        <v>14806</v>
      </c>
      <c r="E424" t="s">
        <v>581</v>
      </c>
      <c r="F424">
        <v>1</v>
      </c>
      <c r="G424">
        <v>1</v>
      </c>
      <c r="H424">
        <v>1</v>
      </c>
      <c r="I424">
        <v>1</v>
      </c>
      <c r="J424" s="3" t="s">
        <v>2222</v>
      </c>
      <c r="K424" s="6">
        <v>0</v>
      </c>
    </row>
    <row r="425" spans="1:11">
      <c r="A425" t="str">
        <f t="shared" si="6"/>
        <v>Demoflag Elazaro1/1/10000</v>
      </c>
      <c r="B425" t="s">
        <v>10244</v>
      </c>
      <c r="C425" t="s">
        <v>12328</v>
      </c>
      <c r="D425" t="s">
        <v>14807</v>
      </c>
      <c r="E425" t="s">
        <v>582</v>
      </c>
      <c r="F425">
        <v>1</v>
      </c>
      <c r="G425">
        <v>1</v>
      </c>
      <c r="H425">
        <v>1</v>
      </c>
      <c r="I425">
        <v>1</v>
      </c>
      <c r="J425" s="3" t="s">
        <v>2222</v>
      </c>
      <c r="K425" s="6">
        <v>0</v>
      </c>
    </row>
    <row r="426" spans="1:11">
      <c r="A426" t="str">
        <f t="shared" si="6"/>
        <v>Demoflag Gardara1/1/10000</v>
      </c>
      <c r="B426" t="s">
        <v>10245</v>
      </c>
      <c r="C426" t="s">
        <v>12329</v>
      </c>
      <c r="D426" t="s">
        <v>14808</v>
      </c>
      <c r="E426" t="s">
        <v>583</v>
      </c>
      <c r="F426">
        <v>1</v>
      </c>
      <c r="G426">
        <v>1</v>
      </c>
      <c r="H426">
        <v>1</v>
      </c>
      <c r="I426">
        <v>1</v>
      </c>
      <c r="J426" s="3" t="s">
        <v>2222</v>
      </c>
      <c r="K426" s="6">
        <v>0</v>
      </c>
    </row>
    <row r="427" spans="1:11">
      <c r="A427" t="str">
        <f t="shared" si="6"/>
        <v>Demoflag Piraklo1/1/10000</v>
      </c>
      <c r="B427" t="s">
        <v>10246</v>
      </c>
      <c r="C427" t="s">
        <v>12330</v>
      </c>
      <c r="D427" t="s">
        <v>14809</v>
      </c>
      <c r="E427" t="s">
        <v>584</v>
      </c>
      <c r="F427">
        <v>1</v>
      </c>
      <c r="G427">
        <v>1</v>
      </c>
      <c r="H427">
        <v>1</v>
      </c>
      <c r="I427">
        <v>1</v>
      </c>
      <c r="J427" s="3" t="s">
        <v>2222</v>
      </c>
      <c r="K427" s="6">
        <v>0</v>
      </c>
    </row>
    <row r="428" spans="1:11">
      <c r="A428" t="str">
        <f t="shared" si="6"/>
        <v>Demoflag Vishaka1/1/10000</v>
      </c>
      <c r="B428" t="s">
        <v>10247</v>
      </c>
      <c r="C428" t="s">
        <v>12331</v>
      </c>
      <c r="D428" t="s">
        <v>14810</v>
      </c>
      <c r="E428" t="s">
        <v>585</v>
      </c>
      <c r="F428">
        <v>1</v>
      </c>
      <c r="G428">
        <v>1</v>
      </c>
      <c r="H428">
        <v>1</v>
      </c>
      <c r="I428">
        <v>1</v>
      </c>
      <c r="J428" s="3" t="s">
        <v>2222</v>
      </c>
      <c r="K428" s="6">
        <v>0</v>
      </c>
    </row>
    <row r="429" spans="1:11">
      <c r="A429" t="str">
        <f t="shared" si="6"/>
        <v>Desanto 200 SL 100 X 100 ml456580</v>
      </c>
      <c r="B429" t="s">
        <v>10248</v>
      </c>
      <c r="C429" t="s">
        <v>12332</v>
      </c>
      <c r="D429" t="s">
        <v>14811</v>
      </c>
      <c r="E429" t="s">
        <v>586</v>
      </c>
      <c r="F429">
        <v>100</v>
      </c>
      <c r="G429">
        <v>1</v>
      </c>
      <c r="H429">
        <v>1</v>
      </c>
      <c r="I429">
        <v>100</v>
      </c>
      <c r="J429" s="3">
        <v>45658</v>
      </c>
      <c r="K429" s="6">
        <v>0</v>
      </c>
    </row>
    <row r="430" spans="1:11">
      <c r="A430" t="str">
        <f t="shared" si="6"/>
        <v>Desanto 200 SL 40 X 250 ml469350</v>
      </c>
      <c r="B430" t="s">
        <v>10249</v>
      </c>
      <c r="C430" t="s">
        <v>12333</v>
      </c>
      <c r="D430" t="s">
        <v>14812</v>
      </c>
      <c r="E430" t="s">
        <v>588</v>
      </c>
      <c r="F430">
        <v>40</v>
      </c>
      <c r="G430">
        <v>1</v>
      </c>
      <c r="H430">
        <v>1</v>
      </c>
      <c r="I430">
        <v>40</v>
      </c>
      <c r="J430" s="3">
        <v>46935</v>
      </c>
      <c r="K430" s="6">
        <v>0</v>
      </c>
    </row>
    <row r="431" spans="1:11">
      <c r="A431" t="str">
        <f t="shared" si="6"/>
        <v>Desanto 200 SL 40 X 250 ml1/1/10000</v>
      </c>
      <c r="B431" t="s">
        <v>10250</v>
      </c>
      <c r="C431" t="s">
        <v>12334</v>
      </c>
      <c r="D431" t="s">
        <v>14813</v>
      </c>
      <c r="E431" t="s">
        <v>588</v>
      </c>
      <c r="F431">
        <v>40</v>
      </c>
      <c r="G431">
        <v>1</v>
      </c>
      <c r="H431">
        <v>1</v>
      </c>
      <c r="I431">
        <v>40</v>
      </c>
      <c r="J431" s="3" t="s">
        <v>2222</v>
      </c>
      <c r="K431" s="6">
        <v>0</v>
      </c>
    </row>
    <row r="432" spans="1:11">
      <c r="A432" t="str">
        <f t="shared" si="6"/>
        <v>Desanto 200 SL 40 X 250 ml458090</v>
      </c>
      <c r="B432" t="s">
        <v>10251</v>
      </c>
      <c r="C432" t="s">
        <v>12335</v>
      </c>
      <c r="D432" t="s">
        <v>14814</v>
      </c>
      <c r="E432" t="s">
        <v>588</v>
      </c>
      <c r="F432">
        <v>40</v>
      </c>
      <c r="G432">
        <v>1</v>
      </c>
      <c r="H432">
        <v>1</v>
      </c>
      <c r="I432">
        <v>40</v>
      </c>
      <c r="J432" s="3">
        <v>45809</v>
      </c>
      <c r="K432" s="6">
        <v>0</v>
      </c>
    </row>
    <row r="433" spans="1:11">
      <c r="A433" t="str">
        <f t="shared" si="6"/>
        <v>Dewa Dewi 15 X 1 ltr472390</v>
      </c>
      <c r="B433" t="s">
        <v>10252</v>
      </c>
      <c r="C433" t="s">
        <v>12336</v>
      </c>
      <c r="D433" t="s">
        <v>14815</v>
      </c>
      <c r="E433" t="s">
        <v>590</v>
      </c>
      <c r="F433">
        <v>15</v>
      </c>
      <c r="G433">
        <v>1</v>
      </c>
      <c r="H433">
        <v>1</v>
      </c>
      <c r="I433">
        <v>15</v>
      </c>
      <c r="J433" s="3">
        <v>47239</v>
      </c>
      <c r="K433" s="6">
        <v>0</v>
      </c>
    </row>
    <row r="434" spans="1:11">
      <c r="A434" t="str">
        <f t="shared" si="6"/>
        <v>Dewa Dewi 20 X 500 ml467530</v>
      </c>
      <c r="B434" t="s">
        <v>10253</v>
      </c>
      <c r="C434" t="s">
        <v>12337</v>
      </c>
      <c r="D434" t="s">
        <v>14816</v>
      </c>
      <c r="E434" t="s">
        <v>591</v>
      </c>
      <c r="F434">
        <v>20</v>
      </c>
      <c r="G434">
        <v>1</v>
      </c>
      <c r="H434">
        <v>1</v>
      </c>
      <c r="I434">
        <v>20</v>
      </c>
      <c r="J434" s="3">
        <v>46753</v>
      </c>
      <c r="K434" s="6">
        <v>0</v>
      </c>
    </row>
    <row r="435" spans="1:11">
      <c r="A435" t="str">
        <f t="shared" si="6"/>
        <v>Dewa Dewi 20 X 500 ml471780</v>
      </c>
      <c r="B435" t="s">
        <v>10254</v>
      </c>
      <c r="C435" t="s">
        <v>12338</v>
      </c>
      <c r="D435" t="s">
        <v>14817</v>
      </c>
      <c r="E435" t="s">
        <v>591</v>
      </c>
      <c r="F435">
        <v>20</v>
      </c>
      <c r="G435">
        <v>1</v>
      </c>
      <c r="H435">
        <v>1</v>
      </c>
      <c r="I435">
        <v>20</v>
      </c>
      <c r="J435" s="3">
        <v>47178</v>
      </c>
      <c r="K435" s="6">
        <v>0</v>
      </c>
    </row>
    <row r="436" spans="1:11">
      <c r="A436" t="str">
        <f t="shared" si="6"/>
        <v>Dewa Dewi 250 ml452000</v>
      </c>
      <c r="B436" t="s">
        <v>10255</v>
      </c>
      <c r="C436" t="s">
        <v>12339</v>
      </c>
      <c r="D436" t="s">
        <v>14818</v>
      </c>
      <c r="E436" t="s">
        <v>592</v>
      </c>
      <c r="F436">
        <v>1</v>
      </c>
      <c r="G436">
        <v>1</v>
      </c>
      <c r="H436">
        <v>1</v>
      </c>
      <c r="I436">
        <v>1</v>
      </c>
      <c r="J436" s="3">
        <v>45200</v>
      </c>
      <c r="K436" s="6">
        <v>0</v>
      </c>
    </row>
    <row r="437" spans="1:11">
      <c r="A437" t="str">
        <f t="shared" si="6"/>
        <v>Dinamo Basata Electrik1/1/10000</v>
      </c>
      <c r="B437" t="s">
        <v>10256</v>
      </c>
      <c r="C437" t="s">
        <v>12340</v>
      </c>
      <c r="D437" t="s">
        <v>14819</v>
      </c>
      <c r="E437" t="s">
        <v>594</v>
      </c>
      <c r="F437">
        <v>1</v>
      </c>
      <c r="G437">
        <v>1</v>
      </c>
      <c r="H437">
        <v>1</v>
      </c>
      <c r="I437">
        <v>1</v>
      </c>
      <c r="J437" s="3" t="s">
        <v>2222</v>
      </c>
      <c r="K437" s="6">
        <v>0</v>
      </c>
    </row>
    <row r="438" spans="1:11">
      <c r="A438" t="str">
        <f t="shared" si="6"/>
        <v>Dinamo Sprayer Elektrik 5L 12V 1.3A1/1/10000</v>
      </c>
      <c r="B438" t="s">
        <v>10257</v>
      </c>
      <c r="C438" t="s">
        <v>12341</v>
      </c>
      <c r="D438" t="s">
        <v>14820</v>
      </c>
      <c r="E438" t="s">
        <v>595</v>
      </c>
      <c r="F438">
        <v>1</v>
      </c>
      <c r="G438">
        <v>1</v>
      </c>
      <c r="H438">
        <v>1</v>
      </c>
      <c r="I438">
        <v>1</v>
      </c>
      <c r="J438" s="3" t="s">
        <v>2222</v>
      </c>
      <c r="K438" s="6">
        <v>0</v>
      </c>
    </row>
    <row r="439" spans="1:11">
      <c r="A439" t="str">
        <f t="shared" si="6"/>
        <v>Dinamo Yama Power 16 ltr1/1/10000</v>
      </c>
      <c r="B439" t="s">
        <v>10258</v>
      </c>
      <c r="C439" t="s">
        <v>12342</v>
      </c>
      <c r="D439" t="s">
        <v>14821</v>
      </c>
      <c r="E439" t="s">
        <v>596</v>
      </c>
      <c r="F439">
        <v>1</v>
      </c>
      <c r="G439">
        <v>1</v>
      </c>
      <c r="H439">
        <v>1</v>
      </c>
      <c r="I439">
        <v>1</v>
      </c>
      <c r="J439" s="3" t="s">
        <v>2222</v>
      </c>
      <c r="K439" s="6">
        <v>0</v>
      </c>
    </row>
    <row r="440" spans="1:11">
      <c r="A440" t="str">
        <f t="shared" si="6"/>
        <v>Dinamo Yoto Elektrik 16 ltr1/1/10000</v>
      </c>
      <c r="B440" t="s">
        <v>10259</v>
      </c>
      <c r="C440" t="s">
        <v>12343</v>
      </c>
      <c r="D440" t="s">
        <v>14822</v>
      </c>
      <c r="E440" t="s">
        <v>597</v>
      </c>
      <c r="F440">
        <v>1</v>
      </c>
      <c r="G440">
        <v>1</v>
      </c>
      <c r="H440">
        <v>1</v>
      </c>
      <c r="I440">
        <v>1</v>
      </c>
      <c r="J440" s="3" t="s">
        <v>2222</v>
      </c>
      <c r="K440" s="6">
        <v>0</v>
      </c>
    </row>
    <row r="441" spans="1:11">
      <c r="A441" t="str">
        <f t="shared" si="6"/>
        <v>Dinda Booster 40 X 500 gr468740</v>
      </c>
      <c r="B441" t="s">
        <v>10260</v>
      </c>
      <c r="C441" t="s">
        <v>12344</v>
      </c>
      <c r="D441" t="s">
        <v>14823</v>
      </c>
      <c r="E441" t="s">
        <v>598</v>
      </c>
      <c r="F441">
        <v>40</v>
      </c>
      <c r="G441">
        <v>1</v>
      </c>
      <c r="H441">
        <v>1</v>
      </c>
      <c r="I441">
        <v>40</v>
      </c>
      <c r="J441" s="3">
        <v>46874</v>
      </c>
      <c r="K441" s="6">
        <v>0</v>
      </c>
    </row>
    <row r="442" spans="1:11">
      <c r="A442" t="str">
        <f t="shared" si="6"/>
        <v>Dispenser Berdiri (Bawah)1/1/10000</v>
      </c>
      <c r="B442" t="s">
        <v>10261</v>
      </c>
      <c r="C442" t="s">
        <v>12345</v>
      </c>
      <c r="D442" t="s">
        <v>14824</v>
      </c>
      <c r="E442" t="s">
        <v>599</v>
      </c>
      <c r="F442">
        <v>1</v>
      </c>
      <c r="G442">
        <v>1</v>
      </c>
      <c r="H442">
        <v>1</v>
      </c>
      <c r="I442">
        <v>1</v>
      </c>
      <c r="J442" s="3" t="s">
        <v>2222</v>
      </c>
      <c r="K442" s="6">
        <v>0</v>
      </c>
    </row>
    <row r="443" spans="1:11">
      <c r="A443" t="str">
        <f t="shared" si="6"/>
        <v>DK Duopro 490 EC 40 X 250 ml456890</v>
      </c>
      <c r="B443" t="s">
        <v>10262</v>
      </c>
      <c r="C443" t="s">
        <v>12346</v>
      </c>
      <c r="D443" t="s">
        <v>14825</v>
      </c>
      <c r="E443" t="s">
        <v>600</v>
      </c>
      <c r="F443">
        <v>40</v>
      </c>
      <c r="G443">
        <v>1</v>
      </c>
      <c r="H443">
        <v>1</v>
      </c>
      <c r="I443">
        <v>40</v>
      </c>
      <c r="J443" s="3">
        <v>45689</v>
      </c>
      <c r="K443" s="6">
        <v>0</v>
      </c>
    </row>
    <row r="444" spans="1:11">
      <c r="A444" t="str">
        <f t="shared" si="6"/>
        <v>DK Duopro 490 EC 40 X 250 ml467530</v>
      </c>
      <c r="B444" t="s">
        <v>10263</v>
      </c>
      <c r="C444" t="s">
        <v>12347</v>
      </c>
      <c r="D444" t="s">
        <v>14826</v>
      </c>
      <c r="E444" t="s">
        <v>600</v>
      </c>
      <c r="F444">
        <v>40</v>
      </c>
      <c r="G444">
        <v>1</v>
      </c>
      <c r="H444">
        <v>1</v>
      </c>
      <c r="I444">
        <v>40</v>
      </c>
      <c r="J444" s="3">
        <v>46753</v>
      </c>
      <c r="K444" s="6">
        <v>0</v>
      </c>
    </row>
    <row r="445" spans="1:11">
      <c r="A445" t="str">
        <f t="shared" si="6"/>
        <v>DK Fenzo 120 SC 20 X 500 ml469970</v>
      </c>
      <c r="B445" t="s">
        <v>10264</v>
      </c>
      <c r="C445" t="s">
        <v>12348</v>
      </c>
      <c r="D445" t="s">
        <v>14827</v>
      </c>
      <c r="E445" t="s">
        <v>602</v>
      </c>
      <c r="F445">
        <v>20</v>
      </c>
      <c r="G445">
        <v>1</v>
      </c>
      <c r="H445">
        <v>1</v>
      </c>
      <c r="I445">
        <v>20</v>
      </c>
      <c r="J445" s="3">
        <v>46997</v>
      </c>
      <c r="K445" s="6">
        <v>0</v>
      </c>
    </row>
    <row r="446" spans="1:11">
      <c r="A446" t="str">
        <f t="shared" si="6"/>
        <v>DK Fenzo 120 SC 20 X 500 ml471500</v>
      </c>
      <c r="B446" t="s">
        <v>10265</v>
      </c>
      <c r="C446" t="s">
        <v>12349</v>
      </c>
      <c r="D446" t="s">
        <v>14828</v>
      </c>
      <c r="E446" t="s">
        <v>602</v>
      </c>
      <c r="F446">
        <v>20</v>
      </c>
      <c r="G446">
        <v>1</v>
      </c>
      <c r="H446">
        <v>1</v>
      </c>
      <c r="I446">
        <v>20</v>
      </c>
      <c r="J446" s="3">
        <v>47150</v>
      </c>
      <c r="K446" s="6">
        <v>0</v>
      </c>
    </row>
    <row r="447" spans="1:11">
      <c r="A447" t="str">
        <f t="shared" si="6"/>
        <v>DK Fenzo 120 SC 40 X 250 ml470880</v>
      </c>
      <c r="B447" t="s">
        <v>10266</v>
      </c>
      <c r="C447" t="s">
        <v>12350</v>
      </c>
      <c r="D447" t="s">
        <v>14829</v>
      </c>
      <c r="E447" t="s">
        <v>604</v>
      </c>
      <c r="F447">
        <v>40</v>
      </c>
      <c r="G447">
        <v>1</v>
      </c>
      <c r="H447">
        <v>1</v>
      </c>
      <c r="I447">
        <v>40</v>
      </c>
      <c r="J447" s="3">
        <v>47088</v>
      </c>
      <c r="K447" s="6">
        <v>0</v>
      </c>
    </row>
    <row r="448" spans="1:11">
      <c r="A448" t="str">
        <f t="shared" si="6"/>
        <v>DK Fenzo 120 SC 50 X 100 ml471500</v>
      </c>
      <c r="B448" t="s">
        <v>10267</v>
      </c>
      <c r="C448" t="s">
        <v>12351</v>
      </c>
      <c r="D448" t="s">
        <v>14830</v>
      </c>
      <c r="E448" t="s">
        <v>605</v>
      </c>
      <c r="F448">
        <v>50</v>
      </c>
      <c r="G448">
        <v>1</v>
      </c>
      <c r="H448">
        <v>1</v>
      </c>
      <c r="I448">
        <v>50</v>
      </c>
      <c r="J448" s="3">
        <v>47150</v>
      </c>
      <c r="K448" s="6">
        <v>0</v>
      </c>
    </row>
    <row r="449" spans="1:11">
      <c r="A449" t="str">
        <f t="shared" si="6"/>
        <v>Done 200 EC 4 X 25 X 100 ml (S)1/1/10000</v>
      </c>
      <c r="B449" t="s">
        <v>10268</v>
      </c>
      <c r="C449" t="s">
        <v>12352</v>
      </c>
      <c r="D449" t="s">
        <v>14831</v>
      </c>
      <c r="E449" t="s">
        <v>607</v>
      </c>
      <c r="F449">
        <v>4</v>
      </c>
      <c r="G449">
        <v>25</v>
      </c>
      <c r="H449">
        <v>1</v>
      </c>
      <c r="I449">
        <v>100</v>
      </c>
      <c r="J449" s="3" t="s">
        <v>2222</v>
      </c>
      <c r="K449" s="6">
        <v>0</v>
      </c>
    </row>
    <row r="450" spans="1:11">
      <c r="A450" t="str">
        <f t="shared" si="6"/>
        <v>Donkey 40 WP 100 X 100 gr (sampel)454740</v>
      </c>
      <c r="B450" t="s">
        <v>10269</v>
      </c>
      <c r="C450" t="s">
        <v>12353</v>
      </c>
      <c r="D450" t="s">
        <v>14832</v>
      </c>
      <c r="E450" t="s">
        <v>608</v>
      </c>
      <c r="F450">
        <v>100</v>
      </c>
      <c r="G450">
        <v>1</v>
      </c>
      <c r="H450">
        <v>1</v>
      </c>
      <c r="I450">
        <v>100</v>
      </c>
      <c r="J450" s="3">
        <v>45474</v>
      </c>
      <c r="K450" s="6">
        <v>0</v>
      </c>
    </row>
    <row r="451" spans="1:11">
      <c r="A451" t="str">
        <f t="shared" ref="A451:A514" si="7">E451&amp;J451&amp;K451</f>
        <v>Double Nozzle Yamaha1/1/10000</v>
      </c>
      <c r="B451" t="s">
        <v>10270</v>
      </c>
      <c r="C451" t="s">
        <v>12354</v>
      </c>
      <c r="D451" t="s">
        <v>14833</v>
      </c>
      <c r="E451" t="s">
        <v>609</v>
      </c>
      <c r="F451">
        <v>1</v>
      </c>
      <c r="G451">
        <v>1</v>
      </c>
      <c r="H451">
        <v>1</v>
      </c>
      <c r="I451">
        <v>1</v>
      </c>
      <c r="J451" s="3" t="s">
        <v>2222</v>
      </c>
      <c r="K451" s="6">
        <v>0</v>
      </c>
    </row>
    <row r="452" spans="1:11">
      <c r="A452" t="str">
        <f t="shared" si="7"/>
        <v>Durus 70 WG 20 X 100 gr460230</v>
      </c>
      <c r="B452" t="s">
        <v>10271</v>
      </c>
      <c r="C452" t="s">
        <v>12355</v>
      </c>
      <c r="D452" t="s">
        <v>14834</v>
      </c>
      <c r="E452" t="s">
        <v>610</v>
      </c>
      <c r="F452">
        <v>20</v>
      </c>
      <c r="G452">
        <v>1</v>
      </c>
      <c r="H452">
        <v>1</v>
      </c>
      <c r="I452">
        <v>20</v>
      </c>
      <c r="J452" s="3">
        <v>46023</v>
      </c>
      <c r="K452" s="6">
        <v>0</v>
      </c>
    </row>
    <row r="453" spans="1:11">
      <c r="A453" t="str">
        <f t="shared" si="7"/>
        <v>Durus 70 WG 80 X 25 gr460230</v>
      </c>
      <c r="B453" t="s">
        <v>10272</v>
      </c>
      <c r="C453" t="s">
        <v>12356</v>
      </c>
      <c r="D453" t="s">
        <v>14835</v>
      </c>
      <c r="E453" t="s">
        <v>611</v>
      </c>
      <c r="F453">
        <v>80</v>
      </c>
      <c r="G453">
        <v>1</v>
      </c>
      <c r="H453">
        <v>1</v>
      </c>
      <c r="I453">
        <v>80</v>
      </c>
      <c r="J453" s="3">
        <v>46023</v>
      </c>
      <c r="K453" s="6">
        <v>0</v>
      </c>
    </row>
    <row r="454" spans="1:11">
      <c r="A454" t="str">
        <f t="shared" si="7"/>
        <v>Edo 25 WG 100 X 100 gr469050</v>
      </c>
      <c r="B454" t="s">
        <v>10273</v>
      </c>
      <c r="C454" t="s">
        <v>12357</v>
      </c>
      <c r="D454" t="s">
        <v>14836</v>
      </c>
      <c r="E454" t="s">
        <v>612</v>
      </c>
      <c r="F454">
        <v>100</v>
      </c>
      <c r="G454">
        <v>1</v>
      </c>
      <c r="H454">
        <v>1</v>
      </c>
      <c r="I454">
        <v>100</v>
      </c>
      <c r="J454" s="3">
        <v>46905</v>
      </c>
      <c r="K454" s="6">
        <v>0</v>
      </c>
    </row>
    <row r="455" spans="1:11">
      <c r="A455" t="str">
        <f t="shared" si="7"/>
        <v>Elazaro 17/8 WG 10 X 20 X 10 gr466610</v>
      </c>
      <c r="B455" t="s">
        <v>10274</v>
      </c>
      <c r="C455" t="s">
        <v>12358</v>
      </c>
      <c r="D455" t="s">
        <v>14837</v>
      </c>
      <c r="E455" t="s">
        <v>613</v>
      </c>
      <c r="F455">
        <v>10</v>
      </c>
      <c r="G455">
        <v>20</v>
      </c>
      <c r="H455">
        <v>1</v>
      </c>
      <c r="I455">
        <v>200</v>
      </c>
      <c r="J455" s="3">
        <v>46661</v>
      </c>
      <c r="K455" s="6">
        <v>0</v>
      </c>
    </row>
    <row r="456" spans="1:11">
      <c r="A456" t="str">
        <f t="shared" si="7"/>
        <v>Elazaro 17/8 WG 10 X 20 X 50 gr466920</v>
      </c>
      <c r="B456" t="s">
        <v>10275</v>
      </c>
      <c r="C456" t="s">
        <v>12359</v>
      </c>
      <c r="D456" t="s">
        <v>14838</v>
      </c>
      <c r="E456" t="s">
        <v>614</v>
      </c>
      <c r="F456">
        <v>10</v>
      </c>
      <c r="G456">
        <v>20</v>
      </c>
      <c r="H456">
        <v>1</v>
      </c>
      <c r="I456">
        <v>200</v>
      </c>
      <c r="J456" s="3">
        <v>46692</v>
      </c>
      <c r="K456" s="6">
        <v>0</v>
      </c>
    </row>
    <row r="457" spans="1:11">
      <c r="A457" t="str">
        <f t="shared" si="7"/>
        <v>Elazaro 17/8 WG 10 X 20 X 50 gr469350</v>
      </c>
      <c r="B457" t="s">
        <v>10276</v>
      </c>
      <c r="C457" t="s">
        <v>12360</v>
      </c>
      <c r="D457" t="s">
        <v>14839</v>
      </c>
      <c r="E457" t="s">
        <v>614</v>
      </c>
      <c r="F457">
        <v>10</v>
      </c>
      <c r="G457">
        <v>20</v>
      </c>
      <c r="H457">
        <v>1</v>
      </c>
      <c r="I457">
        <v>200</v>
      </c>
      <c r="J457" s="3">
        <v>46935</v>
      </c>
      <c r="K457" s="6">
        <v>0</v>
      </c>
    </row>
    <row r="458" spans="1:11">
      <c r="A458" t="str">
        <f t="shared" si="7"/>
        <v>EM-4 Pertanian (LK) 15 X 1 ltr460820</v>
      </c>
      <c r="B458" t="s">
        <v>10277</v>
      </c>
      <c r="C458" t="s">
        <v>12361</v>
      </c>
      <c r="D458" t="s">
        <v>14840</v>
      </c>
      <c r="E458" t="s">
        <v>616</v>
      </c>
      <c r="F458">
        <v>15</v>
      </c>
      <c r="G458">
        <v>1</v>
      </c>
      <c r="H458">
        <v>1</v>
      </c>
      <c r="I458">
        <v>15</v>
      </c>
      <c r="J458" s="3">
        <v>46082</v>
      </c>
      <c r="K458" s="6">
        <v>0</v>
      </c>
    </row>
    <row r="459" spans="1:11">
      <c r="A459" t="str">
        <f t="shared" si="7"/>
        <v>EM-4 Pertanian (LK) 15 X 1 ltr461130</v>
      </c>
      <c r="B459" t="s">
        <v>10278</v>
      </c>
      <c r="C459" t="s">
        <v>12362</v>
      </c>
      <c r="D459" t="s">
        <v>14841</v>
      </c>
      <c r="E459" t="s">
        <v>616</v>
      </c>
      <c r="F459">
        <v>15</v>
      </c>
      <c r="G459">
        <v>1</v>
      </c>
      <c r="H459">
        <v>1</v>
      </c>
      <c r="I459">
        <v>15</v>
      </c>
      <c r="J459" s="3">
        <v>46113</v>
      </c>
      <c r="K459" s="6">
        <v>0</v>
      </c>
    </row>
    <row r="460" spans="1:11">
      <c r="A460" t="str">
        <f t="shared" si="7"/>
        <v>EM-4 Tambak (LM) 15 X 1 ltr460820</v>
      </c>
      <c r="B460" t="s">
        <v>10279</v>
      </c>
      <c r="C460" t="s">
        <v>12363</v>
      </c>
      <c r="D460" t="s">
        <v>14842</v>
      </c>
      <c r="E460" t="s">
        <v>617</v>
      </c>
      <c r="F460">
        <v>15</v>
      </c>
      <c r="G460">
        <v>1</v>
      </c>
      <c r="H460">
        <v>1</v>
      </c>
      <c r="I460">
        <v>15</v>
      </c>
      <c r="J460" s="3">
        <v>46082</v>
      </c>
      <c r="K460" s="6">
        <v>0</v>
      </c>
    </row>
    <row r="461" spans="1:11">
      <c r="A461" t="str">
        <f t="shared" si="7"/>
        <v>EM-4 Ternak (LC) 15 X 1 ltr460820</v>
      </c>
      <c r="B461" t="s">
        <v>10280</v>
      </c>
      <c r="C461" t="s">
        <v>12364</v>
      </c>
      <c r="D461" t="s">
        <v>14843</v>
      </c>
      <c r="E461" t="s">
        <v>618</v>
      </c>
      <c r="F461">
        <v>15</v>
      </c>
      <c r="G461">
        <v>1</v>
      </c>
      <c r="H461">
        <v>1</v>
      </c>
      <c r="I461">
        <v>15</v>
      </c>
      <c r="J461" s="3">
        <v>46082</v>
      </c>
      <c r="K461" s="6">
        <v>0</v>
      </c>
    </row>
    <row r="462" spans="1:11">
      <c r="A462" t="str">
        <f t="shared" si="7"/>
        <v>EM-4 Ternak (LC) 15 X 1 ltr461130</v>
      </c>
      <c r="B462" t="s">
        <v>10281</v>
      </c>
      <c r="C462" t="s">
        <v>12365</v>
      </c>
      <c r="D462" t="s">
        <v>14844</v>
      </c>
      <c r="E462" t="s">
        <v>618</v>
      </c>
      <c r="F462">
        <v>15</v>
      </c>
      <c r="G462">
        <v>1</v>
      </c>
      <c r="H462">
        <v>1</v>
      </c>
      <c r="I462">
        <v>15</v>
      </c>
      <c r="J462" s="3">
        <v>46113</v>
      </c>
      <c r="K462" s="6">
        <v>0</v>
      </c>
    </row>
    <row r="463" spans="1:11">
      <c r="A463" t="str">
        <f t="shared" si="7"/>
        <v>Emacel 30 EC 10 X 1 ltr458090</v>
      </c>
      <c r="B463" t="s">
        <v>10282</v>
      </c>
      <c r="C463" t="s">
        <v>12366</v>
      </c>
      <c r="D463" t="s">
        <v>14845</v>
      </c>
      <c r="E463" t="s">
        <v>619</v>
      </c>
      <c r="F463">
        <v>10</v>
      </c>
      <c r="G463">
        <v>1</v>
      </c>
      <c r="H463">
        <v>1</v>
      </c>
      <c r="I463">
        <v>10</v>
      </c>
      <c r="J463" s="3">
        <v>45809</v>
      </c>
      <c r="K463" s="6">
        <v>0</v>
      </c>
    </row>
    <row r="464" spans="1:11">
      <c r="A464" t="str">
        <f t="shared" si="7"/>
        <v>Emacel 30 EC 10 X 1 ltr462350</v>
      </c>
      <c r="B464" t="s">
        <v>10283</v>
      </c>
      <c r="C464" t="s">
        <v>12367</v>
      </c>
      <c r="D464" t="s">
        <v>14846</v>
      </c>
      <c r="E464" t="s">
        <v>619</v>
      </c>
      <c r="F464">
        <v>10</v>
      </c>
      <c r="G464">
        <v>1</v>
      </c>
      <c r="H464">
        <v>1</v>
      </c>
      <c r="I464">
        <v>10</v>
      </c>
      <c r="J464" s="3">
        <v>46235</v>
      </c>
      <c r="K464" s="6">
        <v>0</v>
      </c>
    </row>
    <row r="465" spans="1:11">
      <c r="A465" t="str">
        <f t="shared" si="7"/>
        <v>Emacel 30 EC 20 X 500 ml461430</v>
      </c>
      <c r="B465" t="s">
        <v>10284</v>
      </c>
      <c r="C465" t="s">
        <v>12368</v>
      </c>
      <c r="D465" t="s">
        <v>14847</v>
      </c>
      <c r="E465" t="s">
        <v>620</v>
      </c>
      <c r="F465">
        <v>20</v>
      </c>
      <c r="G465">
        <v>1</v>
      </c>
      <c r="H465">
        <v>1</v>
      </c>
      <c r="I465">
        <v>20</v>
      </c>
      <c r="J465" s="3">
        <v>46143</v>
      </c>
      <c r="K465" s="6">
        <v>0</v>
      </c>
    </row>
    <row r="466" spans="1:11">
      <c r="A466" t="str">
        <f t="shared" si="7"/>
        <v>Emacel 30 EC 40 X 250 ml462350</v>
      </c>
      <c r="B466" t="s">
        <v>10285</v>
      </c>
      <c r="C466" t="s">
        <v>12369</v>
      </c>
      <c r="D466" t="s">
        <v>14848</v>
      </c>
      <c r="E466" t="s">
        <v>621</v>
      </c>
      <c r="F466">
        <v>40</v>
      </c>
      <c r="G466">
        <v>1</v>
      </c>
      <c r="H466">
        <v>1</v>
      </c>
      <c r="I466">
        <v>40</v>
      </c>
      <c r="J466" s="3">
        <v>46235</v>
      </c>
      <c r="K466" s="6">
        <v>0</v>
      </c>
    </row>
    <row r="467" spans="1:11">
      <c r="A467" t="str">
        <f t="shared" si="7"/>
        <v>Emacel 30 EC 50 X 100 ml462660</v>
      </c>
      <c r="B467" t="s">
        <v>10286</v>
      </c>
      <c r="C467" t="s">
        <v>12370</v>
      </c>
      <c r="D467" t="s">
        <v>14849</v>
      </c>
      <c r="E467" t="s">
        <v>622</v>
      </c>
      <c r="F467">
        <v>50</v>
      </c>
      <c r="G467">
        <v>1</v>
      </c>
      <c r="H467">
        <v>1</v>
      </c>
      <c r="I467">
        <v>50</v>
      </c>
      <c r="J467" s="3">
        <v>46266</v>
      </c>
      <c r="K467" s="6">
        <v>0</v>
      </c>
    </row>
    <row r="468" spans="1:11">
      <c r="A468" t="str">
        <f t="shared" si="7"/>
        <v>Emaplus 50 EC 20 X 1 ltr455360</v>
      </c>
      <c r="B468" t="s">
        <v>10287</v>
      </c>
      <c r="C468" t="s">
        <v>12371</v>
      </c>
      <c r="D468" t="s">
        <v>14850</v>
      </c>
      <c r="E468" t="s">
        <v>623</v>
      </c>
      <c r="F468">
        <v>20</v>
      </c>
      <c r="G468">
        <v>1</v>
      </c>
      <c r="H468">
        <v>1</v>
      </c>
      <c r="I468">
        <v>20</v>
      </c>
      <c r="J468" s="3">
        <v>45536</v>
      </c>
      <c r="K468" s="6">
        <v>0</v>
      </c>
    </row>
    <row r="469" spans="1:11">
      <c r="A469" t="str">
        <f t="shared" si="7"/>
        <v>Emaplus 50 EC 20 X 400 ml458700</v>
      </c>
      <c r="B469" t="s">
        <v>10288</v>
      </c>
      <c r="C469" t="s">
        <v>12372</v>
      </c>
      <c r="D469" t="s">
        <v>14851</v>
      </c>
      <c r="E469" t="s">
        <v>624</v>
      </c>
      <c r="F469">
        <v>20</v>
      </c>
      <c r="G469">
        <v>1</v>
      </c>
      <c r="H469">
        <v>1</v>
      </c>
      <c r="I469">
        <v>20</v>
      </c>
      <c r="J469" s="3">
        <v>45870</v>
      </c>
      <c r="K469" s="6">
        <v>0</v>
      </c>
    </row>
    <row r="470" spans="1:11">
      <c r="A470" t="str">
        <f t="shared" si="7"/>
        <v>Emaplus 50 EC 20 X 400 ml459010</v>
      </c>
      <c r="B470" t="s">
        <v>10289</v>
      </c>
      <c r="C470" t="s">
        <v>12373</v>
      </c>
      <c r="D470" t="s">
        <v>14852</v>
      </c>
      <c r="E470" t="s">
        <v>624</v>
      </c>
      <c r="F470">
        <v>20</v>
      </c>
      <c r="G470">
        <v>1</v>
      </c>
      <c r="H470">
        <v>1</v>
      </c>
      <c r="I470">
        <v>20</v>
      </c>
      <c r="J470" s="3">
        <v>45901</v>
      </c>
      <c r="K470" s="6">
        <v>0</v>
      </c>
    </row>
    <row r="471" spans="1:11">
      <c r="A471" t="str">
        <f t="shared" si="7"/>
        <v>Emaplus 50 EC 30 X 200 ml + ergostim457170</v>
      </c>
      <c r="B471" t="s">
        <v>10290</v>
      </c>
      <c r="C471" t="s">
        <v>12374</v>
      </c>
      <c r="D471" t="s">
        <v>14853</v>
      </c>
      <c r="E471" t="s">
        <v>625</v>
      </c>
      <c r="F471">
        <v>30</v>
      </c>
      <c r="G471">
        <v>1</v>
      </c>
      <c r="H471">
        <v>1</v>
      </c>
      <c r="I471">
        <v>30</v>
      </c>
      <c r="J471" s="3">
        <v>45717</v>
      </c>
      <c r="K471" s="6">
        <v>0</v>
      </c>
    </row>
    <row r="472" spans="1:11">
      <c r="A472" t="str">
        <f t="shared" si="7"/>
        <v>Emaplus 50 EC 40 X 200 ml463270</v>
      </c>
      <c r="B472" t="s">
        <v>10291</v>
      </c>
      <c r="C472" t="s">
        <v>12375</v>
      </c>
      <c r="D472" t="s">
        <v>14854</v>
      </c>
      <c r="E472" t="s">
        <v>626</v>
      </c>
      <c r="F472">
        <v>40</v>
      </c>
      <c r="G472">
        <v>1</v>
      </c>
      <c r="H472">
        <v>1</v>
      </c>
      <c r="I472">
        <v>40</v>
      </c>
      <c r="J472" s="3">
        <v>46327</v>
      </c>
      <c r="K472" s="6">
        <v>0</v>
      </c>
    </row>
    <row r="473" spans="1:11">
      <c r="A473" t="str">
        <f t="shared" si="7"/>
        <v>Emaplus 50 EC 50 X 50 ml1/1/10000</v>
      </c>
      <c r="B473" t="s">
        <v>10292</v>
      </c>
      <c r="C473" t="s">
        <v>12376</v>
      </c>
      <c r="D473" t="s">
        <v>14855</v>
      </c>
      <c r="E473" t="s">
        <v>627</v>
      </c>
      <c r="F473">
        <v>50</v>
      </c>
      <c r="G473">
        <v>1</v>
      </c>
      <c r="H473">
        <v>1</v>
      </c>
      <c r="I473">
        <v>50</v>
      </c>
      <c r="J473" s="3" t="s">
        <v>2222</v>
      </c>
      <c r="K473" s="6">
        <v>0</v>
      </c>
    </row>
    <row r="474" spans="1:11">
      <c r="A474" t="str">
        <f t="shared" si="7"/>
        <v>Emaplus 50 EC 50 X 80 ml463880</v>
      </c>
      <c r="B474" t="s">
        <v>10293</v>
      </c>
      <c r="C474" t="s">
        <v>12377</v>
      </c>
      <c r="D474" t="s">
        <v>14856</v>
      </c>
      <c r="E474" t="s">
        <v>628</v>
      </c>
      <c r="F474">
        <v>50</v>
      </c>
      <c r="G474">
        <v>1</v>
      </c>
      <c r="H474">
        <v>1</v>
      </c>
      <c r="I474">
        <v>50</v>
      </c>
      <c r="J474" s="3">
        <v>46388</v>
      </c>
      <c r="K474" s="6">
        <v>0</v>
      </c>
    </row>
    <row r="475" spans="1:11">
      <c r="A475" t="str">
        <f t="shared" si="7"/>
        <v>Emapro 20/160 OD 20 X 250 ml462350</v>
      </c>
      <c r="B475" t="s">
        <v>10294</v>
      </c>
      <c r="C475" t="s">
        <v>12378</v>
      </c>
      <c r="D475" t="s">
        <v>14857</v>
      </c>
      <c r="E475" t="s">
        <v>629</v>
      </c>
      <c r="F475">
        <v>20</v>
      </c>
      <c r="G475">
        <v>1</v>
      </c>
      <c r="H475">
        <v>1</v>
      </c>
      <c r="I475">
        <v>20</v>
      </c>
      <c r="J475" s="3">
        <v>46235</v>
      </c>
      <c r="K475" s="6">
        <v>0</v>
      </c>
    </row>
    <row r="476" spans="1:11">
      <c r="A476" t="str">
        <f t="shared" si="7"/>
        <v>Emapro 20/160 OD 20 X 250 ml463570</v>
      </c>
      <c r="B476" t="s">
        <v>10295</v>
      </c>
      <c r="C476" t="s">
        <v>12379</v>
      </c>
      <c r="D476" t="s">
        <v>14858</v>
      </c>
      <c r="E476" t="s">
        <v>629</v>
      </c>
      <c r="F476">
        <v>20</v>
      </c>
      <c r="G476">
        <v>1</v>
      </c>
      <c r="H476">
        <v>1</v>
      </c>
      <c r="I476">
        <v>20</v>
      </c>
      <c r="J476" s="3">
        <v>46357</v>
      </c>
      <c r="K476" s="6">
        <v>0</v>
      </c>
    </row>
    <row r="477" spans="1:11">
      <c r="A477" t="str">
        <f t="shared" si="7"/>
        <v>Emapro 20/160 OD 20 X 250 ml461130</v>
      </c>
      <c r="B477" t="s">
        <v>10296</v>
      </c>
      <c r="C477" t="s">
        <v>12380</v>
      </c>
      <c r="D477" t="s">
        <v>14859</v>
      </c>
      <c r="E477" t="s">
        <v>629</v>
      </c>
      <c r="F477">
        <v>20</v>
      </c>
      <c r="G477">
        <v>1</v>
      </c>
      <c r="H477">
        <v>1</v>
      </c>
      <c r="I477">
        <v>20</v>
      </c>
      <c r="J477" s="3">
        <v>46113</v>
      </c>
      <c r="K477" s="6">
        <v>0</v>
      </c>
    </row>
    <row r="478" spans="1:11">
      <c r="A478" t="str">
        <f t="shared" si="7"/>
        <v>Emapro 20/160 OD 20 X 250 ml461740</v>
      </c>
      <c r="B478" t="s">
        <v>10297</v>
      </c>
      <c r="C478" t="s">
        <v>12381</v>
      </c>
      <c r="D478" t="s">
        <v>14860</v>
      </c>
      <c r="E478" t="s">
        <v>629</v>
      </c>
      <c r="F478">
        <v>20</v>
      </c>
      <c r="G478">
        <v>1</v>
      </c>
      <c r="H478">
        <v>1</v>
      </c>
      <c r="I478">
        <v>20</v>
      </c>
      <c r="J478" s="3">
        <v>46174</v>
      </c>
      <c r="K478" s="6">
        <v>0</v>
      </c>
    </row>
    <row r="479" spans="1:11">
      <c r="A479" t="str">
        <f t="shared" si="7"/>
        <v>Emapro 20/160 OD 20 X 250 ml460820</v>
      </c>
      <c r="B479" t="s">
        <v>10298</v>
      </c>
      <c r="C479" t="s">
        <v>12382</v>
      </c>
      <c r="D479" t="s">
        <v>14861</v>
      </c>
      <c r="E479" t="s">
        <v>629</v>
      </c>
      <c r="F479">
        <v>20</v>
      </c>
      <c r="G479">
        <v>1</v>
      </c>
      <c r="H479">
        <v>1</v>
      </c>
      <c r="I479">
        <v>20</v>
      </c>
      <c r="J479" s="3">
        <v>46082</v>
      </c>
      <c r="K479" s="6">
        <v>0</v>
      </c>
    </row>
    <row r="480" spans="1:11">
      <c r="A480" t="str">
        <f t="shared" si="7"/>
        <v>Emapro 20/160 OD 20 X 250 ml462040</v>
      </c>
      <c r="B480" t="s">
        <v>10299</v>
      </c>
      <c r="C480" t="s">
        <v>12383</v>
      </c>
      <c r="D480" t="s">
        <v>14862</v>
      </c>
      <c r="E480" t="s">
        <v>629</v>
      </c>
      <c r="F480">
        <v>20</v>
      </c>
      <c r="G480">
        <v>1</v>
      </c>
      <c r="H480">
        <v>1</v>
      </c>
      <c r="I480">
        <v>20</v>
      </c>
      <c r="J480" s="3">
        <v>46204</v>
      </c>
      <c r="K480" s="6">
        <v>0</v>
      </c>
    </row>
    <row r="481" spans="1:11">
      <c r="A481" t="str">
        <f t="shared" si="7"/>
        <v>Ember Regent1/1/10000</v>
      </c>
      <c r="B481" t="s">
        <v>10300</v>
      </c>
      <c r="C481" t="s">
        <v>12384</v>
      </c>
      <c r="D481" t="s">
        <v>14863</v>
      </c>
      <c r="E481" t="s">
        <v>630</v>
      </c>
      <c r="F481">
        <v>1</v>
      </c>
      <c r="G481">
        <v>1</v>
      </c>
      <c r="H481">
        <v>1</v>
      </c>
      <c r="I481">
        <v>1</v>
      </c>
      <c r="J481" s="3" t="s">
        <v>2222</v>
      </c>
      <c r="K481" s="6">
        <v>0</v>
      </c>
    </row>
    <row r="482" spans="1:11">
      <c r="A482" t="str">
        <f t="shared" si="7"/>
        <v>Emclopir 300/20 EC 20 X 250 ml458700</v>
      </c>
      <c r="B482" t="s">
        <v>10301</v>
      </c>
      <c r="C482" t="s">
        <v>12385</v>
      </c>
      <c r="D482" t="s">
        <v>14864</v>
      </c>
      <c r="E482" t="s">
        <v>631</v>
      </c>
      <c r="F482">
        <v>20</v>
      </c>
      <c r="G482">
        <v>1</v>
      </c>
      <c r="H482">
        <v>1</v>
      </c>
      <c r="I482">
        <v>20</v>
      </c>
      <c r="J482" s="3">
        <v>45870</v>
      </c>
      <c r="K482" s="6">
        <v>0</v>
      </c>
    </row>
    <row r="483" spans="1:11">
      <c r="A483" t="str">
        <f t="shared" si="7"/>
        <v>Emclopir 300/20 EC 20 X 250 ml462040</v>
      </c>
      <c r="B483" t="s">
        <v>10302</v>
      </c>
      <c r="C483" t="s">
        <v>12386</v>
      </c>
      <c r="D483" t="s">
        <v>14865</v>
      </c>
      <c r="E483" t="s">
        <v>631</v>
      </c>
      <c r="F483">
        <v>20</v>
      </c>
      <c r="G483">
        <v>1</v>
      </c>
      <c r="H483">
        <v>1</v>
      </c>
      <c r="I483">
        <v>20</v>
      </c>
      <c r="J483" s="3">
        <v>46204</v>
      </c>
      <c r="K483" s="6">
        <v>0</v>
      </c>
    </row>
    <row r="484" spans="1:11">
      <c r="A484" t="str">
        <f t="shared" si="7"/>
        <v>Emclopir 300/20 EC 50 X 100 ml459620</v>
      </c>
      <c r="B484" t="s">
        <v>10303</v>
      </c>
      <c r="C484" t="s">
        <v>12387</v>
      </c>
      <c r="D484" t="s">
        <v>14866</v>
      </c>
      <c r="E484" t="s">
        <v>632</v>
      </c>
      <c r="F484">
        <v>50</v>
      </c>
      <c r="G484">
        <v>1</v>
      </c>
      <c r="H484">
        <v>1</v>
      </c>
      <c r="I484">
        <v>50</v>
      </c>
      <c r="J484" s="3">
        <v>45962</v>
      </c>
      <c r="K484" s="6">
        <v>0</v>
      </c>
    </row>
    <row r="485" spans="1:11">
      <c r="A485" t="str">
        <f t="shared" si="7"/>
        <v>Empower 1 ltr436780</v>
      </c>
      <c r="B485" t="s">
        <v>10304</v>
      </c>
      <c r="C485" t="s">
        <v>12388</v>
      </c>
      <c r="D485" t="s">
        <v>14867</v>
      </c>
      <c r="E485" t="s">
        <v>634</v>
      </c>
      <c r="F485">
        <v>1</v>
      </c>
      <c r="G485">
        <v>1</v>
      </c>
      <c r="H485">
        <v>1</v>
      </c>
      <c r="I485">
        <v>1</v>
      </c>
      <c r="J485" s="3">
        <v>43678</v>
      </c>
      <c r="K485" s="6">
        <v>0</v>
      </c>
    </row>
    <row r="486" spans="1:11">
      <c r="A486" t="str">
        <f t="shared" si="7"/>
        <v>Ethrel 480 SL 100 X 100 ml465390</v>
      </c>
      <c r="B486" t="s">
        <v>10305</v>
      </c>
      <c r="C486" t="s">
        <v>12389</v>
      </c>
      <c r="D486" t="s">
        <v>14868</v>
      </c>
      <c r="E486" t="s">
        <v>635</v>
      </c>
      <c r="F486">
        <v>100</v>
      </c>
      <c r="G486">
        <v>1</v>
      </c>
      <c r="H486">
        <v>1</v>
      </c>
      <c r="I486">
        <v>100</v>
      </c>
      <c r="J486" s="3">
        <v>46539</v>
      </c>
      <c r="K486" s="6">
        <v>0</v>
      </c>
    </row>
    <row r="487" spans="1:11">
      <c r="A487" t="str">
        <f t="shared" si="7"/>
        <v>Ethrel 480 SL 100 X 100 ml465690</v>
      </c>
      <c r="B487" t="s">
        <v>10306</v>
      </c>
      <c r="C487" t="s">
        <v>12390</v>
      </c>
      <c r="D487" t="s">
        <v>14869</v>
      </c>
      <c r="E487" t="s">
        <v>635</v>
      </c>
      <c r="F487">
        <v>100</v>
      </c>
      <c r="G487">
        <v>1</v>
      </c>
      <c r="H487">
        <v>1</v>
      </c>
      <c r="I487">
        <v>100</v>
      </c>
      <c r="J487" s="3">
        <v>46569</v>
      </c>
      <c r="K487" s="6">
        <v>0</v>
      </c>
    </row>
    <row r="488" spans="1:11">
      <c r="A488" t="str">
        <f t="shared" si="7"/>
        <v>Extra One 680 SC 10 X 1 ltr469970</v>
      </c>
      <c r="B488" t="s">
        <v>10307</v>
      </c>
      <c r="C488" t="s">
        <v>12391</v>
      </c>
      <c r="D488" t="s">
        <v>14870</v>
      </c>
      <c r="E488" t="s">
        <v>639</v>
      </c>
      <c r="F488">
        <v>10</v>
      </c>
      <c r="G488">
        <v>1</v>
      </c>
      <c r="H488">
        <v>1</v>
      </c>
      <c r="I488">
        <v>10</v>
      </c>
      <c r="J488" s="3">
        <v>46997</v>
      </c>
      <c r="K488" s="6">
        <v>0</v>
      </c>
    </row>
    <row r="489" spans="1:11">
      <c r="A489" t="str">
        <f t="shared" si="7"/>
        <v>Fan Nozzle1/1/10000</v>
      </c>
      <c r="B489" t="s">
        <v>10308</v>
      </c>
      <c r="C489" t="s">
        <v>12392</v>
      </c>
      <c r="D489" t="s">
        <v>14871</v>
      </c>
      <c r="E489" t="s">
        <v>640</v>
      </c>
      <c r="F489">
        <v>1</v>
      </c>
      <c r="G489">
        <v>1</v>
      </c>
      <c r="H489">
        <v>1</v>
      </c>
      <c r="I489">
        <v>1</v>
      </c>
      <c r="J489" s="3" t="s">
        <v>2222</v>
      </c>
      <c r="K489" s="6">
        <v>0</v>
      </c>
    </row>
    <row r="490" spans="1:11">
      <c r="A490" t="str">
        <f t="shared" si="7"/>
        <v>Fastick 400 SL 12 X 1 ltr466000</v>
      </c>
      <c r="B490" t="s">
        <v>10309</v>
      </c>
      <c r="C490" t="s">
        <v>12393</v>
      </c>
      <c r="D490" t="s">
        <v>14872</v>
      </c>
      <c r="E490" t="s">
        <v>641</v>
      </c>
      <c r="F490">
        <v>12</v>
      </c>
      <c r="G490">
        <v>1</v>
      </c>
      <c r="H490">
        <v>1</v>
      </c>
      <c r="I490">
        <v>12</v>
      </c>
      <c r="J490" s="3">
        <v>46600</v>
      </c>
      <c r="K490" s="6">
        <v>0</v>
      </c>
    </row>
    <row r="491" spans="1:11">
      <c r="A491" t="str">
        <f t="shared" si="7"/>
        <v>Fastick 400 SL 12 X 1 ltr468440</v>
      </c>
      <c r="B491" t="s">
        <v>10310</v>
      </c>
      <c r="C491" t="s">
        <v>12394</v>
      </c>
      <c r="D491" t="s">
        <v>14873</v>
      </c>
      <c r="E491" t="s">
        <v>641</v>
      </c>
      <c r="F491">
        <v>12</v>
      </c>
      <c r="G491">
        <v>1</v>
      </c>
      <c r="H491">
        <v>1</v>
      </c>
      <c r="I491">
        <v>12</v>
      </c>
      <c r="J491" s="3">
        <v>46844</v>
      </c>
      <c r="K491" s="6">
        <v>0</v>
      </c>
    </row>
    <row r="492" spans="1:11">
      <c r="A492" t="str">
        <f t="shared" si="7"/>
        <v>Fastick 400 SL 12 X 1 ltr469660</v>
      </c>
      <c r="B492" t="s">
        <v>10311</v>
      </c>
      <c r="C492" t="s">
        <v>12395</v>
      </c>
      <c r="D492" t="s">
        <v>14874</v>
      </c>
      <c r="E492" t="s">
        <v>641</v>
      </c>
      <c r="F492">
        <v>12</v>
      </c>
      <c r="G492">
        <v>1</v>
      </c>
      <c r="H492">
        <v>1</v>
      </c>
      <c r="I492">
        <v>12</v>
      </c>
      <c r="J492" s="3">
        <v>46966</v>
      </c>
      <c r="K492" s="6">
        <v>0</v>
      </c>
    </row>
    <row r="493" spans="1:11">
      <c r="A493" t="str">
        <f t="shared" si="7"/>
        <v>Fastquat 276 SL 20 X 1 ltr458390</v>
      </c>
      <c r="B493" t="s">
        <v>10312</v>
      </c>
      <c r="C493" t="s">
        <v>12396</v>
      </c>
      <c r="D493" t="s">
        <v>14875</v>
      </c>
      <c r="E493" t="s">
        <v>642</v>
      </c>
      <c r="F493">
        <v>20</v>
      </c>
      <c r="G493">
        <v>1</v>
      </c>
      <c r="H493">
        <v>1</v>
      </c>
      <c r="I493">
        <v>20</v>
      </c>
      <c r="J493" s="3">
        <v>45839</v>
      </c>
      <c r="K493" s="6">
        <v>0</v>
      </c>
    </row>
    <row r="494" spans="1:11">
      <c r="A494" t="str">
        <f t="shared" si="7"/>
        <v>Fenprozole 500 EC 48 X 240 ml466000</v>
      </c>
      <c r="B494" t="s">
        <v>10313</v>
      </c>
      <c r="C494" t="s">
        <v>12397</v>
      </c>
      <c r="D494" t="s">
        <v>14876</v>
      </c>
      <c r="E494" t="s">
        <v>643</v>
      </c>
      <c r="F494">
        <v>48</v>
      </c>
      <c r="G494">
        <v>1</v>
      </c>
      <c r="H494">
        <v>1</v>
      </c>
      <c r="I494">
        <v>48</v>
      </c>
      <c r="J494" s="3">
        <v>46600</v>
      </c>
      <c r="K494" s="6">
        <v>0</v>
      </c>
    </row>
    <row r="495" spans="1:11">
      <c r="A495" t="str">
        <f t="shared" si="7"/>
        <v>Fenticide 200 EC 20 X 500 ml463880</v>
      </c>
      <c r="B495" t="s">
        <v>10314</v>
      </c>
      <c r="C495" t="s">
        <v>12398</v>
      </c>
      <c r="D495" t="s">
        <v>14877</v>
      </c>
      <c r="E495" t="s">
        <v>645</v>
      </c>
      <c r="F495">
        <v>20</v>
      </c>
      <c r="G495">
        <v>1</v>
      </c>
      <c r="H495">
        <v>1</v>
      </c>
      <c r="I495">
        <v>20</v>
      </c>
      <c r="J495" s="3">
        <v>46388</v>
      </c>
      <c r="K495" s="6">
        <v>0</v>
      </c>
    </row>
    <row r="496" spans="1:11">
      <c r="A496" t="str">
        <f t="shared" si="7"/>
        <v>Fentolin 200 EC 20 X 200 ml459010</v>
      </c>
      <c r="B496" t="s">
        <v>10315</v>
      </c>
      <c r="C496" t="s">
        <v>12399</v>
      </c>
      <c r="D496" t="s">
        <v>14878</v>
      </c>
      <c r="E496" t="s">
        <v>647</v>
      </c>
      <c r="F496">
        <v>20</v>
      </c>
      <c r="G496">
        <v>1</v>
      </c>
      <c r="H496">
        <v>1</v>
      </c>
      <c r="I496">
        <v>20</v>
      </c>
      <c r="J496" s="3">
        <v>45901</v>
      </c>
      <c r="K496" s="6">
        <v>0</v>
      </c>
    </row>
    <row r="497" spans="1:11">
      <c r="A497" t="str">
        <f t="shared" si="7"/>
        <v>Fentolin 200 EC 20 X 500 ml468740</v>
      </c>
      <c r="B497" t="s">
        <v>10316</v>
      </c>
      <c r="C497" t="s">
        <v>12400</v>
      </c>
      <c r="D497" t="s">
        <v>14879</v>
      </c>
      <c r="E497" t="s">
        <v>648</v>
      </c>
      <c r="F497">
        <v>20</v>
      </c>
      <c r="G497">
        <v>1</v>
      </c>
      <c r="H497">
        <v>1</v>
      </c>
      <c r="I497">
        <v>20</v>
      </c>
      <c r="J497" s="3">
        <v>46874</v>
      </c>
      <c r="K497" s="6">
        <v>0</v>
      </c>
    </row>
    <row r="498" spans="1:11">
      <c r="A498" t="str">
        <f t="shared" si="7"/>
        <v>Fenval 200 EC 15 X 1 ltr468740</v>
      </c>
      <c r="B498" t="s">
        <v>10317</v>
      </c>
      <c r="C498" t="s">
        <v>12401</v>
      </c>
      <c r="D498" t="s">
        <v>14880</v>
      </c>
      <c r="E498" t="s">
        <v>649</v>
      </c>
      <c r="F498">
        <v>15</v>
      </c>
      <c r="G498">
        <v>1</v>
      </c>
      <c r="H498">
        <v>1</v>
      </c>
      <c r="I498">
        <v>15</v>
      </c>
      <c r="J498" s="3">
        <v>46874</v>
      </c>
      <c r="K498" s="6">
        <v>0</v>
      </c>
    </row>
    <row r="499" spans="1:11">
      <c r="A499" t="str">
        <f t="shared" si="7"/>
        <v>Fenval 200 EC 15 X 1 ltr469970</v>
      </c>
      <c r="B499" t="s">
        <v>10318</v>
      </c>
      <c r="C499" t="s">
        <v>12402</v>
      </c>
      <c r="D499" t="s">
        <v>14881</v>
      </c>
      <c r="E499" t="s">
        <v>649</v>
      </c>
      <c r="F499">
        <v>15</v>
      </c>
      <c r="G499">
        <v>1</v>
      </c>
      <c r="H499">
        <v>1</v>
      </c>
      <c r="I499">
        <v>15</v>
      </c>
      <c r="J499" s="3">
        <v>46997</v>
      </c>
      <c r="K499" s="6">
        <v>0</v>
      </c>
    </row>
    <row r="500" spans="1:11">
      <c r="A500" t="str">
        <f t="shared" si="7"/>
        <v>Fenval 200 EC 15 X 1 ltr470880</v>
      </c>
      <c r="B500" t="s">
        <v>10319</v>
      </c>
      <c r="C500" t="s">
        <v>12403</v>
      </c>
      <c r="D500" t="s">
        <v>14882</v>
      </c>
      <c r="E500" t="s">
        <v>649</v>
      </c>
      <c r="F500">
        <v>15</v>
      </c>
      <c r="G500">
        <v>1</v>
      </c>
      <c r="H500">
        <v>1</v>
      </c>
      <c r="I500">
        <v>15</v>
      </c>
      <c r="J500" s="3">
        <v>47088</v>
      </c>
      <c r="K500" s="6">
        <v>0</v>
      </c>
    </row>
    <row r="501" spans="1:11">
      <c r="A501" t="str">
        <f t="shared" si="7"/>
        <v>Fenval 200 EC 20 X 250 ml461740</v>
      </c>
      <c r="B501" t="s">
        <v>10320</v>
      </c>
      <c r="C501" t="s">
        <v>12404</v>
      </c>
      <c r="D501" t="s">
        <v>14883</v>
      </c>
      <c r="E501" t="s">
        <v>650</v>
      </c>
      <c r="F501">
        <v>20</v>
      </c>
      <c r="G501">
        <v>1</v>
      </c>
      <c r="H501">
        <v>1</v>
      </c>
      <c r="I501">
        <v>20</v>
      </c>
      <c r="J501" s="3">
        <v>46174</v>
      </c>
      <c r="K501" s="6">
        <v>0</v>
      </c>
    </row>
    <row r="502" spans="1:11">
      <c r="A502" t="str">
        <f t="shared" si="7"/>
        <v>Fenval 200 EC 20 X 250 ml469970</v>
      </c>
      <c r="B502" t="s">
        <v>10321</v>
      </c>
      <c r="C502" t="s">
        <v>12405</v>
      </c>
      <c r="D502" t="s">
        <v>14884</v>
      </c>
      <c r="E502" t="s">
        <v>650</v>
      </c>
      <c r="F502">
        <v>20</v>
      </c>
      <c r="G502">
        <v>1</v>
      </c>
      <c r="H502">
        <v>1</v>
      </c>
      <c r="I502">
        <v>20</v>
      </c>
      <c r="J502" s="3">
        <v>46997</v>
      </c>
      <c r="K502" s="6">
        <v>0</v>
      </c>
    </row>
    <row r="503" spans="1:11">
      <c r="A503" t="str">
        <f t="shared" si="7"/>
        <v>Fenval 200 EC 20 X 250 ml470880</v>
      </c>
      <c r="B503" t="s">
        <v>10322</v>
      </c>
      <c r="C503" t="s">
        <v>12406</v>
      </c>
      <c r="D503" t="s">
        <v>14885</v>
      </c>
      <c r="E503" t="s">
        <v>650</v>
      </c>
      <c r="F503">
        <v>20</v>
      </c>
      <c r="G503">
        <v>1</v>
      </c>
      <c r="H503">
        <v>1</v>
      </c>
      <c r="I503">
        <v>20</v>
      </c>
      <c r="J503" s="3">
        <v>47088</v>
      </c>
      <c r="K503" s="6">
        <v>0</v>
      </c>
    </row>
    <row r="504" spans="1:11">
      <c r="A504" t="str">
        <f t="shared" si="7"/>
        <v>Fenval 200 EC 20 X 500 ml470880</v>
      </c>
      <c r="B504" t="s">
        <v>10323</v>
      </c>
      <c r="C504" t="s">
        <v>12407</v>
      </c>
      <c r="D504" t="s">
        <v>14886</v>
      </c>
      <c r="E504" t="s">
        <v>651</v>
      </c>
      <c r="F504">
        <v>20</v>
      </c>
      <c r="G504">
        <v>1</v>
      </c>
      <c r="H504">
        <v>1</v>
      </c>
      <c r="I504">
        <v>20</v>
      </c>
      <c r="J504" s="3">
        <v>47088</v>
      </c>
      <c r="K504" s="6">
        <v>0</v>
      </c>
    </row>
    <row r="505" spans="1:11">
      <c r="A505" t="str">
        <f t="shared" si="7"/>
        <v>Fenval 200 EC 50 X 100 ml465390</v>
      </c>
      <c r="B505" t="s">
        <v>10324</v>
      </c>
      <c r="C505" t="s">
        <v>12408</v>
      </c>
      <c r="D505" t="s">
        <v>14887</v>
      </c>
      <c r="E505" t="s">
        <v>652</v>
      </c>
      <c r="F505">
        <v>50</v>
      </c>
      <c r="G505">
        <v>1</v>
      </c>
      <c r="H505">
        <v>1</v>
      </c>
      <c r="I505">
        <v>50</v>
      </c>
      <c r="J505" s="3">
        <v>46539</v>
      </c>
      <c r="K505" s="6">
        <v>0</v>
      </c>
    </row>
    <row r="506" spans="1:11">
      <c r="A506" t="str">
        <f t="shared" si="7"/>
        <v>Fenval 200 EC 50 X 100 ml471500</v>
      </c>
      <c r="B506" t="s">
        <v>10325</v>
      </c>
      <c r="C506" t="s">
        <v>12409</v>
      </c>
      <c r="D506" t="s">
        <v>14888</v>
      </c>
      <c r="E506" t="s">
        <v>652</v>
      </c>
      <c r="F506">
        <v>50</v>
      </c>
      <c r="G506">
        <v>1</v>
      </c>
      <c r="H506">
        <v>1</v>
      </c>
      <c r="I506">
        <v>50</v>
      </c>
      <c r="J506" s="3">
        <v>47150</v>
      </c>
      <c r="K506" s="6">
        <v>0</v>
      </c>
    </row>
    <row r="507" spans="1:11">
      <c r="A507" t="str">
        <f t="shared" si="7"/>
        <v>Fenval 200 EC 50 X 100 ml470880</v>
      </c>
      <c r="B507" t="s">
        <v>10326</v>
      </c>
      <c r="C507" t="s">
        <v>12410</v>
      </c>
      <c r="D507" t="s">
        <v>14889</v>
      </c>
      <c r="E507" t="s">
        <v>652</v>
      </c>
      <c r="F507">
        <v>50</v>
      </c>
      <c r="G507">
        <v>1</v>
      </c>
      <c r="H507">
        <v>1</v>
      </c>
      <c r="I507">
        <v>50</v>
      </c>
      <c r="J507" s="3">
        <v>47088</v>
      </c>
      <c r="K507" s="6">
        <v>0</v>
      </c>
    </row>
    <row r="508" spans="1:11">
      <c r="A508" t="str">
        <f t="shared" si="7"/>
        <v>Ferancher 100 EC 40 X 200 ml467530</v>
      </c>
      <c r="B508" t="s">
        <v>10327</v>
      </c>
      <c r="C508" t="s">
        <v>12411</v>
      </c>
      <c r="D508" t="s">
        <v>14890</v>
      </c>
      <c r="E508" t="s">
        <v>653</v>
      </c>
      <c r="F508">
        <v>40</v>
      </c>
      <c r="G508">
        <v>1</v>
      </c>
      <c r="H508">
        <v>1</v>
      </c>
      <c r="I508">
        <v>40</v>
      </c>
      <c r="J508" s="3">
        <v>46753</v>
      </c>
      <c r="K508" s="6">
        <v>0</v>
      </c>
    </row>
    <row r="509" spans="1:11">
      <c r="A509" t="str">
        <f t="shared" si="7"/>
        <v>Fetrilon Combi 1 12 X 40 X 25 gr469660</v>
      </c>
      <c r="B509" t="s">
        <v>10328</v>
      </c>
      <c r="C509" t="s">
        <v>12412</v>
      </c>
      <c r="D509" t="s">
        <v>14891</v>
      </c>
      <c r="E509" t="s">
        <v>655</v>
      </c>
      <c r="F509">
        <v>12</v>
      </c>
      <c r="G509">
        <v>40</v>
      </c>
      <c r="H509">
        <v>1</v>
      </c>
      <c r="I509">
        <v>480</v>
      </c>
      <c r="J509" s="3">
        <v>46966</v>
      </c>
      <c r="K509" s="6">
        <v>0</v>
      </c>
    </row>
    <row r="510" spans="1:11">
      <c r="A510" t="str">
        <f t="shared" si="7"/>
        <v>Filia 525 SE 100 X 50 ml456890</v>
      </c>
      <c r="B510" t="s">
        <v>10329</v>
      </c>
      <c r="C510" t="s">
        <v>12413</v>
      </c>
      <c r="D510" t="s">
        <v>14892</v>
      </c>
      <c r="E510" t="s">
        <v>656</v>
      </c>
      <c r="F510">
        <v>100</v>
      </c>
      <c r="G510">
        <v>1</v>
      </c>
      <c r="H510">
        <v>1</v>
      </c>
      <c r="I510">
        <v>100</v>
      </c>
      <c r="J510" s="3">
        <v>45689</v>
      </c>
      <c r="K510" s="6">
        <v>0</v>
      </c>
    </row>
    <row r="511" spans="1:11">
      <c r="A511" t="str">
        <f t="shared" si="7"/>
        <v>Filia 525 SE 100 X 50 ml460540</v>
      </c>
      <c r="B511" t="s">
        <v>10330</v>
      </c>
      <c r="C511" t="s">
        <v>12414</v>
      </c>
      <c r="D511" t="s">
        <v>14893</v>
      </c>
      <c r="E511" t="s">
        <v>656</v>
      </c>
      <c r="F511">
        <v>100</v>
      </c>
      <c r="G511">
        <v>1</v>
      </c>
      <c r="H511">
        <v>1</v>
      </c>
      <c r="I511">
        <v>100</v>
      </c>
      <c r="J511" s="3">
        <v>46054</v>
      </c>
      <c r="K511" s="6">
        <v>0</v>
      </c>
    </row>
    <row r="512" spans="1:11">
      <c r="A512" t="str">
        <f t="shared" si="7"/>
        <v>Filia 525 SE 20 X 250 ml463270</v>
      </c>
      <c r="B512" t="s">
        <v>10331</v>
      </c>
      <c r="C512" t="s">
        <v>12415</v>
      </c>
      <c r="D512" t="s">
        <v>14894</v>
      </c>
      <c r="E512" t="s">
        <v>660</v>
      </c>
      <c r="F512">
        <v>20</v>
      </c>
      <c r="G512">
        <v>1</v>
      </c>
      <c r="H512">
        <v>1</v>
      </c>
      <c r="I512">
        <v>20</v>
      </c>
      <c r="J512" s="3">
        <v>46327</v>
      </c>
      <c r="K512" s="6">
        <v>0</v>
      </c>
    </row>
    <row r="513" spans="1:11">
      <c r="A513" t="str">
        <f t="shared" si="7"/>
        <v>Filia 525 SE 20 X 250 ml465080</v>
      </c>
      <c r="B513" t="s">
        <v>10332</v>
      </c>
      <c r="C513" t="s">
        <v>12416</v>
      </c>
      <c r="D513" t="s">
        <v>14895</v>
      </c>
      <c r="E513" t="s">
        <v>660</v>
      </c>
      <c r="F513">
        <v>20</v>
      </c>
      <c r="G513">
        <v>1</v>
      </c>
      <c r="H513">
        <v>1</v>
      </c>
      <c r="I513">
        <v>20</v>
      </c>
      <c r="J513" s="3">
        <v>46508</v>
      </c>
      <c r="K513" s="6">
        <v>0</v>
      </c>
    </row>
    <row r="514" spans="1:11">
      <c r="A514" t="str">
        <f t="shared" si="7"/>
        <v>Filia 525 SE 20 X 250 ml464470</v>
      </c>
      <c r="B514" t="s">
        <v>10333</v>
      </c>
      <c r="C514" t="s">
        <v>12417</v>
      </c>
      <c r="D514" t="s">
        <v>14896</v>
      </c>
      <c r="E514" t="s">
        <v>660</v>
      </c>
      <c r="F514">
        <v>20</v>
      </c>
      <c r="G514">
        <v>1</v>
      </c>
      <c r="H514">
        <v>1</v>
      </c>
      <c r="I514">
        <v>20</v>
      </c>
      <c r="J514" s="3">
        <v>46447</v>
      </c>
      <c r="K514" s="6">
        <v>0</v>
      </c>
    </row>
    <row r="515" spans="1:11">
      <c r="A515" t="str">
        <f t="shared" ref="A515:A578" si="8">E515&amp;J515&amp;K515</f>
        <v>Flash 40 X 100 ml460540</v>
      </c>
      <c r="B515" t="s">
        <v>10334</v>
      </c>
      <c r="C515" t="s">
        <v>12418</v>
      </c>
      <c r="D515" t="s">
        <v>14897</v>
      </c>
      <c r="E515" t="s">
        <v>665</v>
      </c>
      <c r="F515">
        <v>40</v>
      </c>
      <c r="G515">
        <v>1</v>
      </c>
      <c r="H515">
        <v>1</v>
      </c>
      <c r="I515">
        <v>40</v>
      </c>
      <c r="J515" s="3">
        <v>46054</v>
      </c>
      <c r="K515" s="6">
        <v>0</v>
      </c>
    </row>
    <row r="516" spans="1:11">
      <c r="A516" t="str">
        <f t="shared" si="8"/>
        <v>Flash 40 X 100 ml460230</v>
      </c>
      <c r="B516" t="s">
        <v>10335</v>
      </c>
      <c r="C516" t="s">
        <v>12419</v>
      </c>
      <c r="D516" t="s">
        <v>14898</v>
      </c>
      <c r="E516" t="s">
        <v>665</v>
      </c>
      <c r="F516">
        <v>40</v>
      </c>
      <c r="G516">
        <v>1</v>
      </c>
      <c r="H516">
        <v>1</v>
      </c>
      <c r="I516">
        <v>40</v>
      </c>
      <c r="J516" s="3">
        <v>46023</v>
      </c>
      <c r="K516" s="6">
        <v>0</v>
      </c>
    </row>
    <row r="517" spans="1:11">
      <c r="A517" t="str">
        <f t="shared" si="8"/>
        <v>Folirfos 400 SL 15 X 1 ltr470580</v>
      </c>
      <c r="B517" t="s">
        <v>10336</v>
      </c>
      <c r="C517" t="s">
        <v>12420</v>
      </c>
      <c r="D517" t="s">
        <v>14899</v>
      </c>
      <c r="E517" t="s">
        <v>666</v>
      </c>
      <c r="F517">
        <v>15</v>
      </c>
      <c r="G517">
        <v>1</v>
      </c>
      <c r="H517">
        <v>1</v>
      </c>
      <c r="I517">
        <v>15</v>
      </c>
      <c r="J517" s="3">
        <v>47058</v>
      </c>
      <c r="K517" s="6">
        <v>0</v>
      </c>
    </row>
    <row r="518" spans="1:11">
      <c r="A518" t="str">
        <f t="shared" si="8"/>
        <v>Folirfos 400 SL 20 X 500 ml468440</v>
      </c>
      <c r="B518" t="s">
        <v>10337</v>
      </c>
      <c r="C518" t="s">
        <v>12421</v>
      </c>
      <c r="D518" t="s">
        <v>14900</v>
      </c>
      <c r="E518" t="s">
        <v>667</v>
      </c>
      <c r="F518">
        <v>20</v>
      </c>
      <c r="G518">
        <v>1</v>
      </c>
      <c r="H518">
        <v>1</v>
      </c>
      <c r="I518">
        <v>20</v>
      </c>
      <c r="J518" s="3">
        <v>46844</v>
      </c>
      <c r="K518" s="6">
        <v>0</v>
      </c>
    </row>
    <row r="519" spans="1:11">
      <c r="A519" t="str">
        <f t="shared" si="8"/>
        <v>Folirfos 400 SL 20 X 500 ml469350</v>
      </c>
      <c r="B519" t="s">
        <v>10338</v>
      </c>
      <c r="C519" t="s">
        <v>12422</v>
      </c>
      <c r="D519" t="s">
        <v>14901</v>
      </c>
      <c r="E519" t="s">
        <v>667</v>
      </c>
      <c r="F519">
        <v>20</v>
      </c>
      <c r="G519">
        <v>1</v>
      </c>
      <c r="H519">
        <v>1</v>
      </c>
      <c r="I519">
        <v>20</v>
      </c>
      <c r="J519" s="3">
        <v>46935</v>
      </c>
      <c r="K519" s="6">
        <v>0</v>
      </c>
    </row>
    <row r="520" spans="1:11">
      <c r="A520" t="str">
        <f t="shared" si="8"/>
        <v>Folirfos 400 SL 4 X 5 ltr458700</v>
      </c>
      <c r="B520" t="s">
        <v>10339</v>
      </c>
      <c r="C520" t="s">
        <v>12423</v>
      </c>
      <c r="D520" t="s">
        <v>14902</v>
      </c>
      <c r="E520" t="s">
        <v>668</v>
      </c>
      <c r="F520">
        <v>4</v>
      </c>
      <c r="G520">
        <v>1</v>
      </c>
      <c r="H520">
        <v>1</v>
      </c>
      <c r="I520">
        <v>4</v>
      </c>
      <c r="J520" s="3">
        <v>45870</v>
      </c>
      <c r="K520" s="6">
        <v>0</v>
      </c>
    </row>
    <row r="521" spans="1:11">
      <c r="A521" t="str">
        <f t="shared" si="8"/>
        <v>Format 360/120 SL 20 X 1 ltr470580</v>
      </c>
      <c r="B521" t="s">
        <v>10340</v>
      </c>
      <c r="C521" t="s">
        <v>12424</v>
      </c>
      <c r="D521" t="s">
        <v>14903</v>
      </c>
      <c r="E521" t="s">
        <v>669</v>
      </c>
      <c r="F521">
        <v>20</v>
      </c>
      <c r="G521">
        <v>1</v>
      </c>
      <c r="H521">
        <v>1</v>
      </c>
      <c r="I521">
        <v>20</v>
      </c>
      <c r="J521" s="3">
        <v>47058</v>
      </c>
      <c r="K521" s="6">
        <v>0</v>
      </c>
    </row>
    <row r="522" spans="1:11">
      <c r="A522" t="str">
        <f t="shared" si="8"/>
        <v>Forsil 20 X 250 ml467840</v>
      </c>
      <c r="B522" t="s">
        <v>10341</v>
      </c>
      <c r="C522" t="s">
        <v>12425</v>
      </c>
      <c r="D522" t="s">
        <v>14904</v>
      </c>
      <c r="E522" t="s">
        <v>670</v>
      </c>
      <c r="F522">
        <v>20</v>
      </c>
      <c r="G522">
        <v>1</v>
      </c>
      <c r="H522">
        <v>1</v>
      </c>
      <c r="I522">
        <v>20</v>
      </c>
      <c r="J522" s="3">
        <v>46784</v>
      </c>
      <c r="K522" s="6">
        <v>0</v>
      </c>
    </row>
    <row r="523" spans="1:11">
      <c r="A523" t="str">
        <f t="shared" si="8"/>
        <v>Forsil 20 X 500 ml469970</v>
      </c>
      <c r="B523" t="s">
        <v>10342</v>
      </c>
      <c r="C523" t="s">
        <v>12426</v>
      </c>
      <c r="D523" t="s">
        <v>14905</v>
      </c>
      <c r="E523" t="s">
        <v>671</v>
      </c>
      <c r="F523">
        <v>20</v>
      </c>
      <c r="G523">
        <v>1</v>
      </c>
      <c r="H523">
        <v>1</v>
      </c>
      <c r="I523">
        <v>20</v>
      </c>
      <c r="J523" s="3">
        <v>46997</v>
      </c>
      <c r="K523" s="6">
        <v>0</v>
      </c>
    </row>
    <row r="524" spans="1:11">
      <c r="A524" t="str">
        <f t="shared" si="8"/>
        <v>Forsil 20 X 500 ml470580</v>
      </c>
      <c r="B524" t="s">
        <v>10343</v>
      </c>
      <c r="C524" t="s">
        <v>12427</v>
      </c>
      <c r="D524" t="s">
        <v>14906</v>
      </c>
      <c r="E524" t="s">
        <v>671</v>
      </c>
      <c r="F524">
        <v>20</v>
      </c>
      <c r="G524">
        <v>1</v>
      </c>
      <c r="H524">
        <v>1</v>
      </c>
      <c r="I524">
        <v>20</v>
      </c>
      <c r="J524" s="3">
        <v>47058</v>
      </c>
      <c r="K524" s="6">
        <v>0</v>
      </c>
    </row>
    <row r="525" spans="1:11">
      <c r="A525" t="str">
        <f t="shared" si="8"/>
        <v>Fortune 250 ml451700</v>
      </c>
      <c r="B525" t="s">
        <v>10344</v>
      </c>
      <c r="C525" t="s">
        <v>12428</v>
      </c>
      <c r="D525" t="s">
        <v>14907</v>
      </c>
      <c r="E525" t="s">
        <v>672</v>
      </c>
      <c r="F525">
        <v>1</v>
      </c>
      <c r="G525">
        <v>1</v>
      </c>
      <c r="H525">
        <v>1</v>
      </c>
      <c r="I525">
        <v>1</v>
      </c>
      <c r="J525" s="3">
        <v>45170</v>
      </c>
      <c r="K525" s="6">
        <v>0</v>
      </c>
    </row>
    <row r="526" spans="1:11">
      <c r="A526" t="str">
        <f t="shared" si="8"/>
        <v>Fungidex 40 WP 50 X 500 gr468130</v>
      </c>
      <c r="B526" t="s">
        <v>10345</v>
      </c>
      <c r="C526" t="s">
        <v>12429</v>
      </c>
      <c r="D526" t="s">
        <v>14908</v>
      </c>
      <c r="E526" t="s">
        <v>674</v>
      </c>
      <c r="F526">
        <v>50</v>
      </c>
      <c r="G526">
        <v>1</v>
      </c>
      <c r="H526">
        <v>1</v>
      </c>
      <c r="I526">
        <v>50</v>
      </c>
      <c r="J526" s="3">
        <v>46813</v>
      </c>
      <c r="K526" s="6">
        <v>0</v>
      </c>
    </row>
    <row r="527" spans="1:11">
      <c r="A527" t="str">
        <f t="shared" si="8"/>
        <v>GA Bunga Buah 20 X 500 ml462350</v>
      </c>
      <c r="B527" t="s">
        <v>10346</v>
      </c>
      <c r="C527" t="s">
        <v>12430</v>
      </c>
      <c r="D527" t="s">
        <v>14909</v>
      </c>
      <c r="E527" t="s">
        <v>675</v>
      </c>
      <c r="F527">
        <v>20</v>
      </c>
      <c r="G527">
        <v>1</v>
      </c>
      <c r="H527">
        <v>1</v>
      </c>
      <c r="I527">
        <v>20</v>
      </c>
      <c r="J527" s="3">
        <v>46235</v>
      </c>
      <c r="K527" s="6">
        <v>0</v>
      </c>
    </row>
    <row r="528" spans="1:11">
      <c r="A528" t="str">
        <f t="shared" si="8"/>
        <v>GA Cabe 20 X 500 ml459010</v>
      </c>
      <c r="B528" t="s">
        <v>10347</v>
      </c>
      <c r="C528" t="s">
        <v>12431</v>
      </c>
      <c r="D528" t="s">
        <v>14910</v>
      </c>
      <c r="E528" t="s">
        <v>676</v>
      </c>
      <c r="F528">
        <v>20</v>
      </c>
      <c r="G528">
        <v>1</v>
      </c>
      <c r="H528">
        <v>1</v>
      </c>
      <c r="I528">
        <v>20</v>
      </c>
      <c r="J528" s="3">
        <v>45901</v>
      </c>
      <c r="K528" s="6">
        <v>0</v>
      </c>
    </row>
    <row r="529" spans="1:11">
      <c r="A529" t="str">
        <f t="shared" si="8"/>
        <v>GA Jagung 20 X 500 ml460540</v>
      </c>
      <c r="B529" t="s">
        <v>10348</v>
      </c>
      <c r="C529" t="s">
        <v>12432</v>
      </c>
      <c r="D529" t="s">
        <v>14911</v>
      </c>
      <c r="E529" t="s">
        <v>677</v>
      </c>
      <c r="F529">
        <v>20</v>
      </c>
      <c r="G529">
        <v>1</v>
      </c>
      <c r="H529">
        <v>1</v>
      </c>
      <c r="I529">
        <v>20</v>
      </c>
      <c r="J529" s="3">
        <v>46054</v>
      </c>
      <c r="K529" s="6">
        <v>0</v>
      </c>
    </row>
    <row r="530" spans="1:11">
      <c r="A530" t="str">
        <f t="shared" si="8"/>
        <v>GA Jagung 20 X 500 ml (Sample)462040</v>
      </c>
      <c r="B530" t="s">
        <v>10349</v>
      </c>
      <c r="C530" t="s">
        <v>12433</v>
      </c>
      <c r="D530" t="s">
        <v>14912</v>
      </c>
      <c r="E530" t="s">
        <v>678</v>
      </c>
      <c r="F530">
        <v>20</v>
      </c>
      <c r="G530">
        <v>1</v>
      </c>
      <c r="H530">
        <v>1</v>
      </c>
      <c r="I530">
        <v>20</v>
      </c>
      <c r="J530" s="3">
        <v>46204</v>
      </c>
      <c r="K530" s="6">
        <v>0</v>
      </c>
    </row>
    <row r="531" spans="1:11">
      <c r="A531" t="str">
        <f t="shared" si="8"/>
        <v>GA Jeruk 20 X 500 ml462960</v>
      </c>
      <c r="B531" t="s">
        <v>10350</v>
      </c>
      <c r="C531" t="s">
        <v>12434</v>
      </c>
      <c r="D531" t="s">
        <v>14913</v>
      </c>
      <c r="E531" t="s">
        <v>679</v>
      </c>
      <c r="F531">
        <v>20</v>
      </c>
      <c r="G531">
        <v>1</v>
      </c>
      <c r="H531">
        <v>1</v>
      </c>
      <c r="I531">
        <v>20</v>
      </c>
      <c r="J531" s="3">
        <v>46296</v>
      </c>
      <c r="K531" s="6">
        <v>0</v>
      </c>
    </row>
    <row r="532" spans="1:11">
      <c r="A532" t="str">
        <f t="shared" si="8"/>
        <v>GA Jeruk 20 X 500 ml461430</v>
      </c>
      <c r="B532" t="s">
        <v>10351</v>
      </c>
      <c r="C532" t="s">
        <v>12435</v>
      </c>
      <c r="D532" t="s">
        <v>14914</v>
      </c>
      <c r="E532" t="s">
        <v>679</v>
      </c>
      <c r="F532">
        <v>20</v>
      </c>
      <c r="G532">
        <v>1</v>
      </c>
      <c r="H532">
        <v>1</v>
      </c>
      <c r="I532">
        <v>20</v>
      </c>
      <c r="J532" s="3">
        <v>46143</v>
      </c>
      <c r="K532" s="6">
        <v>0</v>
      </c>
    </row>
    <row r="533" spans="1:11">
      <c r="A533" t="str">
        <f t="shared" si="8"/>
        <v>GA Padi 20 X 500 ml461430</v>
      </c>
      <c r="B533" t="s">
        <v>10352</v>
      </c>
      <c r="C533" t="s">
        <v>12436</v>
      </c>
      <c r="D533" t="s">
        <v>14915</v>
      </c>
      <c r="E533" t="s">
        <v>680</v>
      </c>
      <c r="F533">
        <v>20</v>
      </c>
      <c r="G533">
        <v>1</v>
      </c>
      <c r="H533">
        <v>1</v>
      </c>
      <c r="I533">
        <v>20</v>
      </c>
      <c r="J533" s="3">
        <v>46143</v>
      </c>
      <c r="K533" s="6">
        <v>0</v>
      </c>
    </row>
    <row r="534" spans="1:11">
      <c r="A534" t="str">
        <f t="shared" si="8"/>
        <v>GA Padi 20 X 500 ml459920</v>
      </c>
      <c r="B534" t="s">
        <v>10353</v>
      </c>
      <c r="C534" t="s">
        <v>12437</v>
      </c>
      <c r="D534" t="s">
        <v>14916</v>
      </c>
      <c r="E534" t="s">
        <v>680</v>
      </c>
      <c r="F534">
        <v>20</v>
      </c>
      <c r="G534">
        <v>1</v>
      </c>
      <c r="H534">
        <v>1</v>
      </c>
      <c r="I534">
        <v>20</v>
      </c>
      <c r="J534" s="3">
        <v>45992</v>
      </c>
      <c r="K534" s="6">
        <v>0</v>
      </c>
    </row>
    <row r="535" spans="1:11">
      <c r="A535" t="str">
        <f t="shared" si="8"/>
        <v>Ga Plus 20TB 35 X 10 X 5 gr468130</v>
      </c>
      <c r="B535" t="s">
        <v>10354</v>
      </c>
      <c r="C535" t="s">
        <v>12438</v>
      </c>
      <c r="D535" t="s">
        <v>14917</v>
      </c>
      <c r="E535" t="s">
        <v>681</v>
      </c>
      <c r="F535">
        <v>35</v>
      </c>
      <c r="G535">
        <v>10</v>
      </c>
      <c r="H535">
        <v>1</v>
      </c>
      <c r="I535">
        <v>350</v>
      </c>
      <c r="J535" s="3">
        <v>46813</v>
      </c>
      <c r="K535" s="6">
        <v>0</v>
      </c>
    </row>
    <row r="536" spans="1:11">
      <c r="A536" t="str">
        <f t="shared" si="8"/>
        <v>GA Recovery 20 X 500 ml467220</v>
      </c>
      <c r="B536" t="s">
        <v>10355</v>
      </c>
      <c r="C536" t="s">
        <v>12439</v>
      </c>
      <c r="D536" t="s">
        <v>14918</v>
      </c>
      <c r="E536" t="s">
        <v>683</v>
      </c>
      <c r="F536">
        <v>20</v>
      </c>
      <c r="G536">
        <v>1</v>
      </c>
      <c r="H536">
        <v>1</v>
      </c>
      <c r="I536">
        <v>20</v>
      </c>
      <c r="J536" s="3">
        <v>46722</v>
      </c>
      <c r="K536" s="6">
        <v>0</v>
      </c>
    </row>
    <row r="537" spans="1:11">
      <c r="A537" t="str">
        <f t="shared" si="8"/>
        <v>GA Sayur Daun 20 X 500 ml459620</v>
      </c>
      <c r="B537" t="s">
        <v>10356</v>
      </c>
      <c r="C537" t="s">
        <v>12440</v>
      </c>
      <c r="D537" t="s">
        <v>14919</v>
      </c>
      <c r="E537" t="s">
        <v>684</v>
      </c>
      <c r="F537">
        <v>20</v>
      </c>
      <c r="G537">
        <v>1</v>
      </c>
      <c r="H537">
        <v>1</v>
      </c>
      <c r="I537">
        <v>20</v>
      </c>
      <c r="J537" s="3">
        <v>45962</v>
      </c>
      <c r="K537" s="6">
        <v>0</v>
      </c>
    </row>
    <row r="538" spans="1:11">
      <c r="A538" t="str">
        <f t="shared" si="8"/>
        <v>GA Sayur Daun 20 X 500 ml462350</v>
      </c>
      <c r="B538" t="s">
        <v>10357</v>
      </c>
      <c r="C538" t="s">
        <v>12441</v>
      </c>
      <c r="D538" t="s">
        <v>14920</v>
      </c>
      <c r="E538" t="s">
        <v>684</v>
      </c>
      <c r="F538">
        <v>20</v>
      </c>
      <c r="G538">
        <v>1</v>
      </c>
      <c r="H538">
        <v>1</v>
      </c>
      <c r="I538">
        <v>20</v>
      </c>
      <c r="J538" s="3">
        <v>46235</v>
      </c>
      <c r="K538" s="6">
        <v>0</v>
      </c>
    </row>
    <row r="539" spans="1:11">
      <c r="A539" t="str">
        <f t="shared" si="8"/>
        <v>Gallery 403 SL 10 X 1 ltr + SG.02 100 gr461430</v>
      </c>
      <c r="B539" t="s">
        <v>10358</v>
      </c>
      <c r="C539" t="s">
        <v>12442</v>
      </c>
      <c r="D539" t="s">
        <v>14921</v>
      </c>
      <c r="E539" t="s">
        <v>685</v>
      </c>
      <c r="F539">
        <v>10</v>
      </c>
      <c r="G539">
        <v>1</v>
      </c>
      <c r="H539">
        <v>1</v>
      </c>
      <c r="I539">
        <v>10</v>
      </c>
      <c r="J539" s="3">
        <v>46143</v>
      </c>
      <c r="K539" s="6">
        <v>0</v>
      </c>
    </row>
    <row r="540" spans="1:11">
      <c r="A540" t="str">
        <f t="shared" si="8"/>
        <v>Gallery 403 SL 10 X 1 ltr + SG.02 100 gr462350</v>
      </c>
      <c r="B540" t="s">
        <v>10359</v>
      </c>
      <c r="C540" t="s">
        <v>12443</v>
      </c>
      <c r="D540" t="s">
        <v>14922</v>
      </c>
      <c r="E540" t="s">
        <v>685</v>
      </c>
      <c r="F540">
        <v>10</v>
      </c>
      <c r="G540">
        <v>1</v>
      </c>
      <c r="H540">
        <v>1</v>
      </c>
      <c r="I540">
        <v>10</v>
      </c>
      <c r="J540" s="3">
        <v>46235</v>
      </c>
      <c r="K540" s="6">
        <v>0</v>
      </c>
    </row>
    <row r="541" spans="1:11">
      <c r="A541" t="str">
        <f t="shared" si="8"/>
        <v>Gallery 403 SL 30 X 500 ml + SG.02 100 gr (M2U)462960</v>
      </c>
      <c r="B541" t="s">
        <v>10360</v>
      </c>
      <c r="C541" t="s">
        <v>12444</v>
      </c>
      <c r="D541" t="s">
        <v>14923</v>
      </c>
      <c r="E541" t="s">
        <v>686</v>
      </c>
      <c r="F541">
        <v>30</v>
      </c>
      <c r="G541">
        <v>1</v>
      </c>
      <c r="H541">
        <v>1</v>
      </c>
      <c r="I541">
        <v>30</v>
      </c>
      <c r="J541" s="3">
        <v>46296</v>
      </c>
      <c r="K541" s="6">
        <v>0</v>
      </c>
    </row>
    <row r="542" spans="1:11">
      <c r="A542" t="str">
        <f t="shared" si="8"/>
        <v>Gallery 403 SL 50 X 200 ml (M2U)462660</v>
      </c>
      <c r="B542" t="s">
        <v>10361</v>
      </c>
      <c r="C542" t="s">
        <v>12445</v>
      </c>
      <c r="D542" t="s">
        <v>14924</v>
      </c>
      <c r="E542" t="s">
        <v>687</v>
      </c>
      <c r="F542">
        <v>50</v>
      </c>
      <c r="G542">
        <v>1</v>
      </c>
      <c r="H542">
        <v>1</v>
      </c>
      <c r="I542">
        <v>50</v>
      </c>
      <c r="J542" s="3">
        <v>46266</v>
      </c>
      <c r="K542" s="6">
        <v>0</v>
      </c>
    </row>
    <row r="543" spans="1:11">
      <c r="A543" t="str">
        <f t="shared" si="8"/>
        <v>Gallery 403 SL 50 X 200 ml (M2U)464190</v>
      </c>
      <c r="B543" t="s">
        <v>10362</v>
      </c>
      <c r="C543" t="s">
        <v>12446</v>
      </c>
      <c r="D543" t="s">
        <v>14925</v>
      </c>
      <c r="E543" t="s">
        <v>687</v>
      </c>
      <c r="F543">
        <v>50</v>
      </c>
      <c r="G543">
        <v>1</v>
      </c>
      <c r="H543">
        <v>1</v>
      </c>
      <c r="I543">
        <v>50</v>
      </c>
      <c r="J543" s="3">
        <v>46419</v>
      </c>
      <c r="K543" s="6">
        <v>0</v>
      </c>
    </row>
    <row r="544" spans="1:11">
      <c r="A544" t="str">
        <f t="shared" si="8"/>
        <v>Gamectin 30 EC 100 X 100 ml462960</v>
      </c>
      <c r="B544" t="s">
        <v>10363</v>
      </c>
      <c r="C544" t="s">
        <v>12447</v>
      </c>
      <c r="D544" t="s">
        <v>14926</v>
      </c>
      <c r="E544" t="s">
        <v>688</v>
      </c>
      <c r="F544">
        <v>100</v>
      </c>
      <c r="G544">
        <v>1</v>
      </c>
      <c r="H544">
        <v>1</v>
      </c>
      <c r="I544">
        <v>100</v>
      </c>
      <c r="J544" s="3">
        <v>46296</v>
      </c>
      <c r="K544" s="6">
        <v>0</v>
      </c>
    </row>
    <row r="545" spans="1:11">
      <c r="A545" t="str">
        <f t="shared" si="8"/>
        <v>Gamectin 30 EC 20 X 500 ml462960</v>
      </c>
      <c r="B545" t="s">
        <v>10364</v>
      </c>
      <c r="C545" t="s">
        <v>12448</v>
      </c>
      <c r="D545" t="s">
        <v>14927</v>
      </c>
      <c r="E545" t="s">
        <v>690</v>
      </c>
      <c r="F545">
        <v>20</v>
      </c>
      <c r="G545">
        <v>1</v>
      </c>
      <c r="H545">
        <v>1</v>
      </c>
      <c r="I545">
        <v>20</v>
      </c>
      <c r="J545" s="3">
        <v>46296</v>
      </c>
      <c r="K545" s="6">
        <v>0</v>
      </c>
    </row>
    <row r="546" spans="1:11">
      <c r="A546" t="str">
        <f t="shared" si="8"/>
        <v>Gamectin 30 EC 20 X 500 ml469050</v>
      </c>
      <c r="B546" t="s">
        <v>10365</v>
      </c>
      <c r="C546" t="s">
        <v>12449</v>
      </c>
      <c r="D546" t="s">
        <v>14928</v>
      </c>
      <c r="E546" t="s">
        <v>690</v>
      </c>
      <c r="F546">
        <v>20</v>
      </c>
      <c r="G546">
        <v>1</v>
      </c>
      <c r="H546">
        <v>1</v>
      </c>
      <c r="I546">
        <v>20</v>
      </c>
      <c r="J546" s="3">
        <v>46905</v>
      </c>
      <c r="K546" s="6">
        <v>0</v>
      </c>
    </row>
    <row r="547" spans="1:11">
      <c r="A547" t="str">
        <f t="shared" si="8"/>
        <v>Gamectin 30 EC 40 X 250 ml470270</v>
      </c>
      <c r="B547" t="s">
        <v>10366</v>
      </c>
      <c r="C547" t="s">
        <v>12450</v>
      </c>
      <c r="D547" t="s">
        <v>14929</v>
      </c>
      <c r="E547" t="s">
        <v>693</v>
      </c>
      <c r="F547">
        <v>40</v>
      </c>
      <c r="G547">
        <v>1</v>
      </c>
      <c r="H547">
        <v>1</v>
      </c>
      <c r="I547">
        <v>40</v>
      </c>
      <c r="J547" s="3">
        <v>47027</v>
      </c>
      <c r="K547" s="6">
        <v>0</v>
      </c>
    </row>
    <row r="548" spans="1:11">
      <c r="A548" t="str">
        <f t="shared" si="8"/>
        <v>Gandasil B/K 144 X 100 gr462350</v>
      </c>
      <c r="B548" t="s">
        <v>10367</v>
      </c>
      <c r="C548" t="s">
        <v>12451</v>
      </c>
      <c r="D548" t="s">
        <v>14930</v>
      </c>
      <c r="E548" t="s">
        <v>695</v>
      </c>
      <c r="F548">
        <v>144</v>
      </c>
      <c r="G548">
        <v>1</v>
      </c>
      <c r="H548">
        <v>1</v>
      </c>
      <c r="I548">
        <v>144</v>
      </c>
      <c r="J548" s="3">
        <v>46235</v>
      </c>
      <c r="K548" s="6">
        <v>0</v>
      </c>
    </row>
    <row r="549" spans="1:11">
      <c r="A549" t="str">
        <f t="shared" si="8"/>
        <v>Gandasil B/K 144 X 100 gr463880</v>
      </c>
      <c r="B549" t="s">
        <v>10368</v>
      </c>
      <c r="C549" t="s">
        <v>12452</v>
      </c>
      <c r="D549" t="s">
        <v>14931</v>
      </c>
      <c r="E549" t="s">
        <v>695</v>
      </c>
      <c r="F549">
        <v>144</v>
      </c>
      <c r="G549">
        <v>1</v>
      </c>
      <c r="H549">
        <v>1</v>
      </c>
      <c r="I549">
        <v>144</v>
      </c>
      <c r="J549" s="3">
        <v>46388</v>
      </c>
      <c r="K549" s="6">
        <v>0</v>
      </c>
    </row>
    <row r="550" spans="1:11">
      <c r="A550" t="str">
        <f t="shared" si="8"/>
        <v>Gandasil B/K 144 X 100 gr462960</v>
      </c>
      <c r="B550" t="s">
        <v>10369</v>
      </c>
      <c r="C550" t="s">
        <v>12453</v>
      </c>
      <c r="D550" t="s">
        <v>14932</v>
      </c>
      <c r="E550" t="s">
        <v>695</v>
      </c>
      <c r="F550">
        <v>144</v>
      </c>
      <c r="G550">
        <v>1</v>
      </c>
      <c r="H550">
        <v>1</v>
      </c>
      <c r="I550">
        <v>144</v>
      </c>
      <c r="J550" s="3">
        <v>46296</v>
      </c>
      <c r="K550" s="6">
        <v>0</v>
      </c>
    </row>
    <row r="551" spans="1:11">
      <c r="A551" t="str">
        <f t="shared" si="8"/>
        <v>Gandasil B/K 24 X 500 gr464780</v>
      </c>
      <c r="B551" t="s">
        <v>10370</v>
      </c>
      <c r="C551" t="s">
        <v>12454</v>
      </c>
      <c r="D551" t="s">
        <v>14933</v>
      </c>
      <c r="E551" t="s">
        <v>705</v>
      </c>
      <c r="F551">
        <v>24</v>
      </c>
      <c r="G551">
        <v>1</v>
      </c>
      <c r="H551">
        <v>1</v>
      </c>
      <c r="I551">
        <v>24</v>
      </c>
      <c r="J551" s="3">
        <v>46478</v>
      </c>
      <c r="K551" s="6">
        <v>0</v>
      </c>
    </row>
    <row r="552" spans="1:11">
      <c r="A552" t="str">
        <f t="shared" si="8"/>
        <v>Gandasil D/H 144 X 100 gr463270</v>
      </c>
      <c r="B552" t="s">
        <v>10371</v>
      </c>
      <c r="C552" t="s">
        <v>12455</v>
      </c>
      <c r="D552" t="s">
        <v>14934</v>
      </c>
      <c r="E552" t="s">
        <v>709</v>
      </c>
      <c r="F552">
        <v>144</v>
      </c>
      <c r="G552">
        <v>1</v>
      </c>
      <c r="H552">
        <v>1</v>
      </c>
      <c r="I552">
        <v>144</v>
      </c>
      <c r="J552" s="3">
        <v>46327</v>
      </c>
      <c r="K552" s="6">
        <v>0</v>
      </c>
    </row>
    <row r="553" spans="1:11">
      <c r="A553" t="str">
        <f t="shared" si="8"/>
        <v>Gandasil D/H 144 X 100 gr462660</v>
      </c>
      <c r="B553" t="s">
        <v>10372</v>
      </c>
      <c r="C553" t="s">
        <v>12456</v>
      </c>
      <c r="D553" t="s">
        <v>14935</v>
      </c>
      <c r="E553" t="s">
        <v>709</v>
      </c>
      <c r="F553">
        <v>144</v>
      </c>
      <c r="G553">
        <v>1</v>
      </c>
      <c r="H553">
        <v>1</v>
      </c>
      <c r="I553">
        <v>144</v>
      </c>
      <c r="J553" s="3">
        <v>46266</v>
      </c>
      <c r="K553" s="6">
        <v>0</v>
      </c>
    </row>
    <row r="554" spans="1:11">
      <c r="A554" t="str">
        <f t="shared" si="8"/>
        <v>Gandasil D/H 144 X 100 gr462960</v>
      </c>
      <c r="B554" t="s">
        <v>10373</v>
      </c>
      <c r="C554" t="s">
        <v>12457</v>
      </c>
      <c r="D554" t="s">
        <v>14936</v>
      </c>
      <c r="E554" t="s">
        <v>709</v>
      </c>
      <c r="F554">
        <v>144</v>
      </c>
      <c r="G554">
        <v>1</v>
      </c>
      <c r="H554">
        <v>1</v>
      </c>
      <c r="I554">
        <v>144</v>
      </c>
      <c r="J554" s="3">
        <v>46296</v>
      </c>
      <c r="K554" s="6">
        <v>0</v>
      </c>
    </row>
    <row r="555" spans="1:11">
      <c r="A555" t="str">
        <f t="shared" si="8"/>
        <v>Gandasil D/H 144 X 100 gr461740</v>
      </c>
      <c r="B555" t="s">
        <v>10374</v>
      </c>
      <c r="C555" t="s">
        <v>12458</v>
      </c>
      <c r="D555" t="s">
        <v>14937</v>
      </c>
      <c r="E555" t="s">
        <v>709</v>
      </c>
      <c r="F555">
        <v>144</v>
      </c>
      <c r="G555">
        <v>1</v>
      </c>
      <c r="H555">
        <v>1</v>
      </c>
      <c r="I555">
        <v>144</v>
      </c>
      <c r="J555" s="3">
        <v>46174</v>
      </c>
      <c r="K555" s="6">
        <v>0</v>
      </c>
    </row>
    <row r="556" spans="1:11">
      <c r="A556" t="str">
        <f t="shared" si="8"/>
        <v>Gandasil D/H 144 X 100 gr463570</v>
      </c>
      <c r="B556" t="s">
        <v>10375</v>
      </c>
      <c r="C556" t="s">
        <v>12459</v>
      </c>
      <c r="D556" t="s">
        <v>14938</v>
      </c>
      <c r="E556" t="s">
        <v>709</v>
      </c>
      <c r="F556">
        <v>144</v>
      </c>
      <c r="G556">
        <v>1</v>
      </c>
      <c r="H556">
        <v>1</v>
      </c>
      <c r="I556">
        <v>144</v>
      </c>
      <c r="J556" s="3">
        <v>46357</v>
      </c>
      <c r="K556" s="6">
        <v>0</v>
      </c>
    </row>
    <row r="557" spans="1:11">
      <c r="A557" t="str">
        <f t="shared" si="8"/>
        <v>Gandasil D/H 144 X 100 gr461130</v>
      </c>
      <c r="B557" t="s">
        <v>10376</v>
      </c>
      <c r="C557" t="s">
        <v>12460</v>
      </c>
      <c r="D557" t="s">
        <v>14939</v>
      </c>
      <c r="E557" t="s">
        <v>709</v>
      </c>
      <c r="F557">
        <v>144</v>
      </c>
      <c r="G557">
        <v>1</v>
      </c>
      <c r="H557">
        <v>1</v>
      </c>
      <c r="I557">
        <v>144</v>
      </c>
      <c r="J557" s="3">
        <v>46113</v>
      </c>
      <c r="K557" s="6">
        <v>0</v>
      </c>
    </row>
    <row r="558" spans="1:11">
      <c r="A558" t="str">
        <f t="shared" si="8"/>
        <v>Gandasil D/H 24 X 500 gr464190</v>
      </c>
      <c r="B558" t="s">
        <v>10377</v>
      </c>
      <c r="C558" t="s">
        <v>12461</v>
      </c>
      <c r="D558" t="s">
        <v>14940</v>
      </c>
      <c r="E558" t="s">
        <v>726</v>
      </c>
      <c r="F558">
        <v>24</v>
      </c>
      <c r="G558">
        <v>1</v>
      </c>
      <c r="H558">
        <v>1</v>
      </c>
      <c r="I558">
        <v>24</v>
      </c>
      <c r="J558" s="3">
        <v>46419</v>
      </c>
      <c r="K558" s="6">
        <v>0</v>
      </c>
    </row>
    <row r="559" spans="1:11">
      <c r="A559" t="str">
        <f t="shared" si="8"/>
        <v>Gandasil D/H 24 X 500 gr465080</v>
      </c>
      <c r="B559" t="s">
        <v>10378</v>
      </c>
      <c r="C559" t="s">
        <v>12462</v>
      </c>
      <c r="D559" t="s">
        <v>14941</v>
      </c>
      <c r="E559" t="s">
        <v>726</v>
      </c>
      <c r="F559">
        <v>24</v>
      </c>
      <c r="G559">
        <v>1</v>
      </c>
      <c r="H559">
        <v>1</v>
      </c>
      <c r="I559">
        <v>24</v>
      </c>
      <c r="J559" s="3">
        <v>46508</v>
      </c>
      <c r="K559" s="6">
        <v>0</v>
      </c>
    </row>
    <row r="560" spans="1:11">
      <c r="A560" t="str">
        <f t="shared" si="8"/>
        <v>Ganero 250 EC 34 X 250 ml455970</v>
      </c>
      <c r="B560" t="s">
        <v>10379</v>
      </c>
      <c r="C560" t="s">
        <v>12463</v>
      </c>
      <c r="D560" t="s">
        <v>14942</v>
      </c>
      <c r="E560" t="s">
        <v>730</v>
      </c>
      <c r="F560">
        <v>34</v>
      </c>
      <c r="G560">
        <v>1</v>
      </c>
      <c r="H560">
        <v>1</v>
      </c>
      <c r="I560">
        <v>34</v>
      </c>
      <c r="J560" s="3">
        <v>45597</v>
      </c>
      <c r="K560" s="6">
        <v>0</v>
      </c>
    </row>
    <row r="561" spans="1:11">
      <c r="A561" t="str">
        <f t="shared" si="8"/>
        <v>Ganero 250 EC 40 X 100 ml470880</v>
      </c>
      <c r="B561" t="s">
        <v>10380</v>
      </c>
      <c r="C561" t="s">
        <v>12464</v>
      </c>
      <c r="D561" t="s">
        <v>14943</v>
      </c>
      <c r="E561" t="s">
        <v>731</v>
      </c>
      <c r="F561">
        <v>40</v>
      </c>
      <c r="G561">
        <v>1</v>
      </c>
      <c r="H561">
        <v>1</v>
      </c>
      <c r="I561">
        <v>40</v>
      </c>
      <c r="J561" s="3">
        <v>47088</v>
      </c>
      <c r="K561" s="6">
        <v>0</v>
      </c>
    </row>
    <row r="562" spans="1:11">
      <c r="A562" t="str">
        <f t="shared" si="8"/>
        <v>Ganero 250 EC 40 X 250 ml466920</v>
      </c>
      <c r="B562" t="s">
        <v>10381</v>
      </c>
      <c r="C562" t="s">
        <v>12465</v>
      </c>
      <c r="D562" t="s">
        <v>14944</v>
      </c>
      <c r="E562" t="s">
        <v>732</v>
      </c>
      <c r="F562">
        <v>40</v>
      </c>
      <c r="G562">
        <v>1</v>
      </c>
      <c r="H562">
        <v>1</v>
      </c>
      <c r="I562">
        <v>40</v>
      </c>
      <c r="J562" s="3">
        <v>46692</v>
      </c>
      <c r="K562" s="6">
        <v>0</v>
      </c>
    </row>
    <row r="563" spans="1:11">
      <c r="A563" t="str">
        <f t="shared" si="8"/>
        <v>Gardara 10 SP 100 X 100 gr461130</v>
      </c>
      <c r="B563" t="s">
        <v>10382</v>
      </c>
      <c r="C563" t="s">
        <v>12466</v>
      </c>
      <c r="D563" t="s">
        <v>14945</v>
      </c>
      <c r="E563" t="s">
        <v>733</v>
      </c>
      <c r="F563">
        <v>100</v>
      </c>
      <c r="G563">
        <v>1</v>
      </c>
      <c r="H563">
        <v>1</v>
      </c>
      <c r="I563">
        <v>100</v>
      </c>
      <c r="J563" s="3">
        <v>46113</v>
      </c>
      <c r="K563" s="6">
        <v>0</v>
      </c>
    </row>
    <row r="564" spans="1:11">
      <c r="A564" t="str">
        <f t="shared" si="8"/>
        <v>Gelas Agricon1/1/10000</v>
      </c>
      <c r="B564" t="s">
        <v>10383</v>
      </c>
      <c r="C564" t="s">
        <v>12467</v>
      </c>
      <c r="D564" t="s">
        <v>14946</v>
      </c>
      <c r="E564" t="s">
        <v>734</v>
      </c>
      <c r="F564">
        <v>1</v>
      </c>
      <c r="G564">
        <v>1</v>
      </c>
      <c r="H564">
        <v>1</v>
      </c>
      <c r="I564">
        <v>1</v>
      </c>
      <c r="J564" s="3" t="s">
        <v>2222</v>
      </c>
      <c r="K564" s="6">
        <v>0</v>
      </c>
    </row>
    <row r="565" spans="1:11">
      <c r="A565" t="str">
        <f t="shared" si="8"/>
        <v>Gelas Marshall1/1/10000</v>
      </c>
      <c r="B565" t="s">
        <v>10384</v>
      </c>
      <c r="C565" t="s">
        <v>12468</v>
      </c>
      <c r="D565" t="s">
        <v>14947</v>
      </c>
      <c r="E565" t="s">
        <v>735</v>
      </c>
      <c r="F565">
        <v>1</v>
      </c>
      <c r="G565">
        <v>1</v>
      </c>
      <c r="H565">
        <v>1</v>
      </c>
      <c r="I565">
        <v>1</v>
      </c>
      <c r="J565" s="3" t="s">
        <v>2222</v>
      </c>
      <c r="K565" s="6">
        <v>0</v>
      </c>
    </row>
    <row r="566" spans="1:11">
      <c r="A566" t="str">
        <f t="shared" si="8"/>
        <v>Gelas Polos HS-91/1/10000</v>
      </c>
      <c r="B566" t="s">
        <v>10385</v>
      </c>
      <c r="C566" t="s">
        <v>12469</v>
      </c>
      <c r="D566" t="s">
        <v>14948</v>
      </c>
      <c r="E566" t="s">
        <v>736</v>
      </c>
      <c r="F566">
        <v>1</v>
      </c>
      <c r="G566">
        <v>1</v>
      </c>
      <c r="H566">
        <v>1</v>
      </c>
      <c r="I566">
        <v>1</v>
      </c>
      <c r="J566" s="3" t="s">
        <v>2222</v>
      </c>
      <c r="K566" s="6">
        <v>0</v>
      </c>
    </row>
    <row r="567" spans="1:11">
      <c r="A567" t="str">
        <f t="shared" si="8"/>
        <v>Gelas Wine1/1/10000</v>
      </c>
      <c r="B567" t="s">
        <v>10386</v>
      </c>
      <c r="C567" t="s">
        <v>12470</v>
      </c>
      <c r="D567" t="s">
        <v>14949</v>
      </c>
      <c r="E567" t="s">
        <v>737</v>
      </c>
      <c r="F567">
        <v>1</v>
      </c>
      <c r="G567">
        <v>1</v>
      </c>
      <c r="H567">
        <v>1</v>
      </c>
      <c r="I567">
        <v>1</v>
      </c>
      <c r="J567" s="3" t="s">
        <v>2222</v>
      </c>
      <c r="K567" s="6">
        <v>0</v>
      </c>
    </row>
    <row r="568" spans="1:11">
      <c r="A568" t="str">
        <f t="shared" si="8"/>
        <v>Gemilang 110 EC 16 X 1 ltr465390</v>
      </c>
      <c r="B568" t="s">
        <v>10387</v>
      </c>
      <c r="C568" t="s">
        <v>12471</v>
      </c>
      <c r="D568" t="s">
        <v>14950</v>
      </c>
      <c r="E568" t="s">
        <v>738</v>
      </c>
      <c r="F568">
        <v>16</v>
      </c>
      <c r="G568">
        <v>1</v>
      </c>
      <c r="H568">
        <v>1</v>
      </c>
      <c r="I568">
        <v>16</v>
      </c>
      <c r="J568" s="3">
        <v>46539</v>
      </c>
      <c r="K568" s="6">
        <v>0</v>
      </c>
    </row>
    <row r="569" spans="1:11">
      <c r="A569" t="str">
        <f t="shared" si="8"/>
        <v>Gemilang 110 EC 16 X 1 ltr469660</v>
      </c>
      <c r="B569" t="s">
        <v>10388</v>
      </c>
      <c r="C569" t="s">
        <v>12472</v>
      </c>
      <c r="D569" t="s">
        <v>14951</v>
      </c>
      <c r="E569" t="s">
        <v>738</v>
      </c>
      <c r="F569">
        <v>16</v>
      </c>
      <c r="G569">
        <v>1</v>
      </c>
      <c r="H569">
        <v>1</v>
      </c>
      <c r="I569">
        <v>16</v>
      </c>
      <c r="J569" s="3">
        <v>46966</v>
      </c>
      <c r="K569" s="6">
        <v>0</v>
      </c>
    </row>
    <row r="570" spans="1:11">
      <c r="A570" t="str">
        <f t="shared" si="8"/>
        <v>Genitop 138 SL 20 ltr469660</v>
      </c>
      <c r="B570" t="s">
        <v>10389</v>
      </c>
      <c r="C570" t="s">
        <v>12473</v>
      </c>
      <c r="D570" t="s">
        <v>14952</v>
      </c>
      <c r="E570" t="s">
        <v>739</v>
      </c>
      <c r="F570">
        <v>1</v>
      </c>
      <c r="G570">
        <v>1</v>
      </c>
      <c r="H570">
        <v>1</v>
      </c>
      <c r="I570">
        <v>1</v>
      </c>
      <c r="J570" s="3">
        <v>46966</v>
      </c>
      <c r="K570" s="6">
        <v>0</v>
      </c>
    </row>
    <row r="571" spans="1:11">
      <c r="A571" t="str">
        <f t="shared" si="8"/>
        <v>Genitop 138 SL 20 X 1 ltr464470</v>
      </c>
      <c r="B571" t="s">
        <v>10390</v>
      </c>
      <c r="C571" t="s">
        <v>12474</v>
      </c>
      <c r="D571" t="s">
        <v>14953</v>
      </c>
      <c r="E571" t="s">
        <v>740</v>
      </c>
      <c r="F571">
        <v>20</v>
      </c>
      <c r="G571">
        <v>1</v>
      </c>
      <c r="H571">
        <v>1</v>
      </c>
      <c r="I571">
        <v>20</v>
      </c>
      <c r="J571" s="3">
        <v>46447</v>
      </c>
      <c r="K571" s="6">
        <v>0</v>
      </c>
    </row>
    <row r="572" spans="1:11">
      <c r="A572" t="str">
        <f t="shared" si="8"/>
        <v>Genitop 138 SL 20 X 1 ltr469660</v>
      </c>
      <c r="B572" t="s">
        <v>10391</v>
      </c>
      <c r="C572" t="s">
        <v>12475</v>
      </c>
      <c r="D572" t="s">
        <v>14954</v>
      </c>
      <c r="E572" t="s">
        <v>740</v>
      </c>
      <c r="F572">
        <v>20</v>
      </c>
      <c r="G572">
        <v>1</v>
      </c>
      <c r="H572">
        <v>1</v>
      </c>
      <c r="I572">
        <v>20</v>
      </c>
      <c r="J572" s="3">
        <v>46966</v>
      </c>
      <c r="K572" s="6">
        <v>0</v>
      </c>
    </row>
    <row r="573" spans="1:11">
      <c r="A573" t="str">
        <f t="shared" si="8"/>
        <v>Genitop 138 SL 20 X 1 ltr469350</v>
      </c>
      <c r="B573" t="s">
        <v>10392</v>
      </c>
      <c r="C573" t="s">
        <v>12476</v>
      </c>
      <c r="D573" t="s">
        <v>14955</v>
      </c>
      <c r="E573" t="s">
        <v>740</v>
      </c>
      <c r="F573">
        <v>20</v>
      </c>
      <c r="G573">
        <v>1</v>
      </c>
      <c r="H573">
        <v>1</v>
      </c>
      <c r="I573">
        <v>20</v>
      </c>
      <c r="J573" s="3">
        <v>46935</v>
      </c>
      <c r="K573" s="6">
        <v>0</v>
      </c>
    </row>
    <row r="574" spans="1:11">
      <c r="A574" t="str">
        <f t="shared" si="8"/>
        <v>Genitop 138 SL 20 X 1 ltr467220</v>
      </c>
      <c r="B574" t="s">
        <v>10393</v>
      </c>
      <c r="C574" t="s">
        <v>12477</v>
      </c>
      <c r="D574" t="s">
        <v>14956</v>
      </c>
      <c r="E574" t="s">
        <v>740</v>
      </c>
      <c r="F574">
        <v>20</v>
      </c>
      <c r="G574">
        <v>1</v>
      </c>
      <c r="H574">
        <v>1</v>
      </c>
      <c r="I574">
        <v>20</v>
      </c>
      <c r="J574" s="3">
        <v>46722</v>
      </c>
      <c r="K574" s="6">
        <v>0</v>
      </c>
    </row>
    <row r="575" spans="1:11">
      <c r="A575" t="str">
        <f t="shared" si="8"/>
        <v>Genitop 138 SL 4 X 5 ltr460540</v>
      </c>
      <c r="B575" t="s">
        <v>10394</v>
      </c>
      <c r="C575" t="s">
        <v>12478</v>
      </c>
      <c r="D575" t="s">
        <v>14957</v>
      </c>
      <c r="E575" t="s">
        <v>741</v>
      </c>
      <c r="F575">
        <v>4</v>
      </c>
      <c r="G575">
        <v>1</v>
      </c>
      <c r="H575">
        <v>1</v>
      </c>
      <c r="I575">
        <v>4</v>
      </c>
      <c r="J575" s="3">
        <v>46054</v>
      </c>
      <c r="K575" s="6">
        <v>0</v>
      </c>
    </row>
    <row r="576" spans="1:11">
      <c r="A576" t="str">
        <f t="shared" si="8"/>
        <v>Genitop 138 SL 4 X 5 ltr466610</v>
      </c>
      <c r="B576" t="s">
        <v>10395</v>
      </c>
      <c r="C576" t="s">
        <v>12479</v>
      </c>
      <c r="D576" t="s">
        <v>14958</v>
      </c>
      <c r="E576" t="s">
        <v>741</v>
      </c>
      <c r="F576">
        <v>4</v>
      </c>
      <c r="G576">
        <v>1</v>
      </c>
      <c r="H576">
        <v>1</v>
      </c>
      <c r="I576">
        <v>4</v>
      </c>
      <c r="J576" s="3">
        <v>46661</v>
      </c>
      <c r="K576" s="6">
        <v>0</v>
      </c>
    </row>
    <row r="577" spans="1:11">
      <c r="A577" t="str">
        <f t="shared" si="8"/>
        <v>Genitop 138 SL 4 X 5 ltr469660</v>
      </c>
      <c r="B577" t="s">
        <v>10396</v>
      </c>
      <c r="C577" t="s">
        <v>12480</v>
      </c>
      <c r="D577" t="s">
        <v>14959</v>
      </c>
      <c r="E577" t="s">
        <v>741</v>
      </c>
      <c r="F577">
        <v>4</v>
      </c>
      <c r="G577">
        <v>1</v>
      </c>
      <c r="H577">
        <v>1</v>
      </c>
      <c r="I577">
        <v>4</v>
      </c>
      <c r="J577" s="3">
        <v>46966</v>
      </c>
      <c r="K577" s="6">
        <v>0</v>
      </c>
    </row>
    <row r="578" spans="1:11">
      <c r="A578" t="str">
        <f t="shared" si="8"/>
        <v>GG Akar 10 X 10 X 15 ml (M2U)460230</v>
      </c>
      <c r="B578" t="s">
        <v>10397</v>
      </c>
      <c r="C578" t="s">
        <v>12481</v>
      </c>
      <c r="D578" t="s">
        <v>14960</v>
      </c>
      <c r="E578" t="s">
        <v>742</v>
      </c>
      <c r="F578">
        <v>10</v>
      </c>
      <c r="G578">
        <v>10</v>
      </c>
      <c r="H578">
        <v>1</v>
      </c>
      <c r="I578">
        <v>100</v>
      </c>
      <c r="J578" s="3">
        <v>46023</v>
      </c>
      <c r="K578" s="6">
        <v>0</v>
      </c>
    </row>
    <row r="579" spans="1:11">
      <c r="A579" t="str">
        <f t="shared" ref="A579:A642" si="9">E579&amp;J579&amp;K579</f>
        <v>GG Akar 10 X 10 X 5 ml (M2U)461430</v>
      </c>
      <c r="B579" t="s">
        <v>10398</v>
      </c>
      <c r="C579" t="s">
        <v>12482</v>
      </c>
      <c r="D579" t="s">
        <v>14961</v>
      </c>
      <c r="E579" t="s">
        <v>743</v>
      </c>
      <c r="F579">
        <v>10</v>
      </c>
      <c r="G579">
        <v>10</v>
      </c>
      <c r="H579">
        <v>1</v>
      </c>
      <c r="I579">
        <v>100</v>
      </c>
      <c r="J579" s="3">
        <v>46143</v>
      </c>
      <c r="K579" s="6">
        <v>0</v>
      </c>
    </row>
    <row r="580" spans="1:11">
      <c r="A580" t="str">
        <f t="shared" si="9"/>
        <v>GG Akar 50 X 100 ml (M2U)463270</v>
      </c>
      <c r="B580" t="s">
        <v>10399</v>
      </c>
      <c r="C580" t="s">
        <v>12483</v>
      </c>
      <c r="D580" t="s">
        <v>14962</v>
      </c>
      <c r="E580" t="s">
        <v>744</v>
      </c>
      <c r="F580">
        <v>50</v>
      </c>
      <c r="G580">
        <v>1</v>
      </c>
      <c r="H580">
        <v>1</v>
      </c>
      <c r="I580">
        <v>50</v>
      </c>
      <c r="J580" s="3">
        <v>46327</v>
      </c>
      <c r="K580" s="6">
        <v>0</v>
      </c>
    </row>
    <row r="581" spans="1:11">
      <c r="A581" t="str">
        <f t="shared" si="9"/>
        <v>GG Akar 50 X 100 ml (M2U)462350</v>
      </c>
      <c r="B581" t="s">
        <v>10400</v>
      </c>
      <c r="C581" t="s">
        <v>12484</v>
      </c>
      <c r="D581" t="s">
        <v>14963</v>
      </c>
      <c r="E581" t="s">
        <v>744</v>
      </c>
      <c r="F581">
        <v>50</v>
      </c>
      <c r="G581">
        <v>1</v>
      </c>
      <c r="H581">
        <v>1</v>
      </c>
      <c r="I581">
        <v>50</v>
      </c>
      <c r="J581" s="3">
        <v>46235</v>
      </c>
      <c r="K581" s="6">
        <v>0</v>
      </c>
    </row>
    <row r="582" spans="1:11">
      <c r="A582" t="str">
        <f t="shared" si="9"/>
        <v>GG Akar 50 X 100 ml (M2U)459620</v>
      </c>
      <c r="B582" t="s">
        <v>10401</v>
      </c>
      <c r="C582" t="s">
        <v>12485</v>
      </c>
      <c r="D582" t="s">
        <v>14964</v>
      </c>
      <c r="E582" t="s">
        <v>744</v>
      </c>
      <c r="F582">
        <v>50</v>
      </c>
      <c r="G582">
        <v>1</v>
      </c>
      <c r="H582">
        <v>1</v>
      </c>
      <c r="I582">
        <v>50</v>
      </c>
      <c r="J582" s="3">
        <v>45962</v>
      </c>
      <c r="K582" s="6">
        <v>0</v>
      </c>
    </row>
    <row r="583" spans="1:11">
      <c r="A583" t="str">
        <f t="shared" si="9"/>
        <v>GG Akar 70 X 15 ml (M2U)465080</v>
      </c>
      <c r="B583" t="s">
        <v>10402</v>
      </c>
      <c r="C583" t="s">
        <v>12486</v>
      </c>
      <c r="D583" t="s">
        <v>14965</v>
      </c>
      <c r="E583" t="s">
        <v>745</v>
      </c>
      <c r="F583">
        <v>70</v>
      </c>
      <c r="G583">
        <v>1</v>
      </c>
      <c r="H583">
        <v>1</v>
      </c>
      <c r="I583">
        <v>70</v>
      </c>
      <c r="J583" s="3">
        <v>46508</v>
      </c>
      <c r="K583" s="6">
        <v>0</v>
      </c>
    </row>
    <row r="584" spans="1:11">
      <c r="A584" t="str">
        <f t="shared" si="9"/>
        <v>GG Akar 80 X 5 ml (M2U)462960</v>
      </c>
      <c r="B584" t="s">
        <v>10403</v>
      </c>
      <c r="C584" t="s">
        <v>12487</v>
      </c>
      <c r="D584" t="s">
        <v>14966</v>
      </c>
      <c r="E584" t="s">
        <v>746</v>
      </c>
      <c r="F584">
        <v>80</v>
      </c>
      <c r="G584">
        <v>1</v>
      </c>
      <c r="H584">
        <v>1</v>
      </c>
      <c r="I584">
        <v>80</v>
      </c>
      <c r="J584" s="3">
        <v>46296</v>
      </c>
      <c r="K584" s="6">
        <v>0</v>
      </c>
    </row>
    <row r="585" spans="1:11">
      <c r="A585" t="str">
        <f t="shared" si="9"/>
        <v>GG Amino 30 X 500 ml (M2U)462660</v>
      </c>
      <c r="B585" t="s">
        <v>10404</v>
      </c>
      <c r="C585" t="s">
        <v>12488</v>
      </c>
      <c r="D585" t="s">
        <v>14967</v>
      </c>
      <c r="E585" t="s">
        <v>747</v>
      </c>
      <c r="F585">
        <v>30</v>
      </c>
      <c r="G585">
        <v>1</v>
      </c>
      <c r="H585">
        <v>1</v>
      </c>
      <c r="I585">
        <v>30</v>
      </c>
      <c r="J585" s="3">
        <v>46266</v>
      </c>
      <c r="K585" s="6">
        <v>0</v>
      </c>
    </row>
    <row r="586" spans="1:11">
      <c r="A586" t="str">
        <f t="shared" si="9"/>
        <v>GG Bunga 10 X 10 X 15 ml (M2U)460230</v>
      </c>
      <c r="B586" t="s">
        <v>10405</v>
      </c>
      <c r="C586" t="s">
        <v>12489</v>
      </c>
      <c r="D586" t="s">
        <v>14968</v>
      </c>
      <c r="E586" t="s">
        <v>748</v>
      </c>
      <c r="F586">
        <v>10</v>
      </c>
      <c r="G586">
        <v>10</v>
      </c>
      <c r="H586">
        <v>1</v>
      </c>
      <c r="I586">
        <v>100</v>
      </c>
      <c r="J586" s="3">
        <v>46023</v>
      </c>
      <c r="K586" s="6">
        <v>0</v>
      </c>
    </row>
    <row r="587" spans="1:11">
      <c r="A587" t="str">
        <f t="shared" si="9"/>
        <v>GG Bunga 10 X 10 X 15 ml (M2U)461130</v>
      </c>
      <c r="B587" t="s">
        <v>10406</v>
      </c>
      <c r="C587" t="s">
        <v>12490</v>
      </c>
      <c r="D587" t="s">
        <v>14969</v>
      </c>
      <c r="E587" t="s">
        <v>748</v>
      </c>
      <c r="F587">
        <v>10</v>
      </c>
      <c r="G587">
        <v>10</v>
      </c>
      <c r="H587">
        <v>1</v>
      </c>
      <c r="I587">
        <v>100</v>
      </c>
      <c r="J587" s="3">
        <v>46113</v>
      </c>
      <c r="K587" s="6">
        <v>0</v>
      </c>
    </row>
    <row r="588" spans="1:11">
      <c r="A588" t="str">
        <f t="shared" si="9"/>
        <v>GG Bunga 50 X 100 ml463880</v>
      </c>
      <c r="B588" t="s">
        <v>10407</v>
      </c>
      <c r="C588" t="s">
        <v>12491</v>
      </c>
      <c r="D588" t="s">
        <v>14970</v>
      </c>
      <c r="E588" t="s">
        <v>749</v>
      </c>
      <c r="F588">
        <v>50</v>
      </c>
      <c r="G588">
        <v>1</v>
      </c>
      <c r="H588">
        <v>1</v>
      </c>
      <c r="I588">
        <v>50</v>
      </c>
      <c r="J588" s="3">
        <v>46388</v>
      </c>
      <c r="K588" s="6">
        <v>0</v>
      </c>
    </row>
    <row r="589" spans="1:11">
      <c r="A589" t="str">
        <f t="shared" si="9"/>
        <v>GG Cuaca 50 X 100 ml (M2U)459920</v>
      </c>
      <c r="B589" t="s">
        <v>10408</v>
      </c>
      <c r="C589" t="s">
        <v>12492</v>
      </c>
      <c r="D589" t="s">
        <v>14971</v>
      </c>
      <c r="E589" t="s">
        <v>750</v>
      </c>
      <c r="F589">
        <v>50</v>
      </c>
      <c r="G589">
        <v>1</v>
      </c>
      <c r="H589">
        <v>1</v>
      </c>
      <c r="I589">
        <v>50</v>
      </c>
      <c r="J589" s="3">
        <v>45992</v>
      </c>
      <c r="K589" s="6">
        <v>0</v>
      </c>
    </row>
    <row r="590" spans="1:11">
      <c r="A590" t="str">
        <f t="shared" si="9"/>
        <v>GG Daun 50 X 100 ml (M2U)464190</v>
      </c>
      <c r="B590" t="s">
        <v>10409</v>
      </c>
      <c r="C590" t="s">
        <v>12493</v>
      </c>
      <c r="D590" t="s">
        <v>14972</v>
      </c>
      <c r="E590" t="s">
        <v>751</v>
      </c>
      <c r="F590">
        <v>50</v>
      </c>
      <c r="G590">
        <v>1</v>
      </c>
      <c r="H590">
        <v>1</v>
      </c>
      <c r="I590">
        <v>50</v>
      </c>
      <c r="J590" s="3">
        <v>46419</v>
      </c>
      <c r="K590" s="6">
        <v>0</v>
      </c>
    </row>
    <row r="591" spans="1:11">
      <c r="A591" t="str">
        <f t="shared" si="9"/>
        <v>Gibas 240 SL 20 ltr471190</v>
      </c>
      <c r="B591" t="s">
        <v>10410</v>
      </c>
      <c r="C591" t="s">
        <v>12494</v>
      </c>
      <c r="D591" t="s">
        <v>14973</v>
      </c>
      <c r="E591" t="s">
        <v>752</v>
      </c>
      <c r="F591">
        <v>1</v>
      </c>
      <c r="G591">
        <v>1</v>
      </c>
      <c r="H591">
        <v>1</v>
      </c>
      <c r="I591">
        <v>1</v>
      </c>
      <c r="J591" s="3">
        <v>47119</v>
      </c>
      <c r="K591" s="6">
        <v>0</v>
      </c>
    </row>
    <row r="592" spans="1:11">
      <c r="A592" t="str">
        <f t="shared" si="9"/>
        <v>Gibas 240 SL 20 ltr471500</v>
      </c>
      <c r="B592" t="s">
        <v>10411</v>
      </c>
      <c r="C592" t="s">
        <v>12495</v>
      </c>
      <c r="D592" t="s">
        <v>14974</v>
      </c>
      <c r="E592" t="s">
        <v>752</v>
      </c>
      <c r="F592">
        <v>1</v>
      </c>
      <c r="G592">
        <v>1</v>
      </c>
      <c r="H592">
        <v>1</v>
      </c>
      <c r="I592">
        <v>1</v>
      </c>
      <c r="J592" s="3">
        <v>47150</v>
      </c>
      <c r="K592" s="6">
        <v>0</v>
      </c>
    </row>
    <row r="593" spans="1:11">
      <c r="A593" t="str">
        <f t="shared" si="9"/>
        <v>Gibas 240 SL 20 X 1 ltr467220</v>
      </c>
      <c r="B593" t="s">
        <v>10412</v>
      </c>
      <c r="C593" t="s">
        <v>12496</v>
      </c>
      <c r="D593" t="s">
        <v>14975</v>
      </c>
      <c r="E593" t="s">
        <v>753</v>
      </c>
      <c r="F593">
        <v>20</v>
      </c>
      <c r="G593">
        <v>1</v>
      </c>
      <c r="H593">
        <v>1</v>
      </c>
      <c r="I593">
        <v>20</v>
      </c>
      <c r="J593" s="3">
        <v>46722</v>
      </c>
      <c r="K593" s="6">
        <v>0</v>
      </c>
    </row>
    <row r="594" spans="1:11">
      <c r="A594" t="str">
        <f t="shared" si="9"/>
        <v>Gibas 240 SL 20 X 1 ltr467530</v>
      </c>
      <c r="B594" t="s">
        <v>10413</v>
      </c>
      <c r="C594" t="s">
        <v>12497</v>
      </c>
      <c r="D594" t="s">
        <v>14976</v>
      </c>
      <c r="E594" t="s">
        <v>753</v>
      </c>
      <c r="F594">
        <v>20</v>
      </c>
      <c r="G594">
        <v>1</v>
      </c>
      <c r="H594">
        <v>1</v>
      </c>
      <c r="I594">
        <v>20</v>
      </c>
      <c r="J594" s="3">
        <v>46753</v>
      </c>
      <c r="K594" s="6">
        <v>0</v>
      </c>
    </row>
    <row r="595" spans="1:11">
      <c r="A595" t="str">
        <f t="shared" si="9"/>
        <v>Gibas 240 SL 20 X 1 ltr469970</v>
      </c>
      <c r="B595" t="s">
        <v>10414</v>
      </c>
      <c r="C595" t="s">
        <v>12498</v>
      </c>
      <c r="D595" t="s">
        <v>14977</v>
      </c>
      <c r="E595" t="s">
        <v>753</v>
      </c>
      <c r="F595">
        <v>20</v>
      </c>
      <c r="G595">
        <v>1</v>
      </c>
      <c r="H595">
        <v>1</v>
      </c>
      <c r="I595">
        <v>20</v>
      </c>
      <c r="J595" s="3">
        <v>46997</v>
      </c>
      <c r="K595" s="6">
        <v>0</v>
      </c>
    </row>
    <row r="596" spans="1:11">
      <c r="A596" t="str">
        <f t="shared" si="9"/>
        <v>Gibgro 10 SP 25 X 40 X 1 gr470880</v>
      </c>
      <c r="B596" t="s">
        <v>10415</v>
      </c>
      <c r="C596" t="s">
        <v>12499</v>
      </c>
      <c r="D596" t="s">
        <v>14978</v>
      </c>
      <c r="E596" t="s">
        <v>754</v>
      </c>
      <c r="F596">
        <v>25</v>
      </c>
      <c r="G596">
        <v>40</v>
      </c>
      <c r="H596">
        <v>1</v>
      </c>
      <c r="I596">
        <v>1000</v>
      </c>
      <c r="J596" s="3">
        <v>47088</v>
      </c>
      <c r="K596" s="6">
        <v>0</v>
      </c>
    </row>
    <row r="597" spans="1:11">
      <c r="A597" t="str">
        <f t="shared" si="9"/>
        <v>Gibgro 10 SP 25 X 40 X 1 gr472390</v>
      </c>
      <c r="B597" t="s">
        <v>10416</v>
      </c>
      <c r="C597" t="s">
        <v>12500</v>
      </c>
      <c r="D597" t="s">
        <v>14979</v>
      </c>
      <c r="E597" t="s">
        <v>754</v>
      </c>
      <c r="F597">
        <v>25</v>
      </c>
      <c r="G597">
        <v>40</v>
      </c>
      <c r="H597">
        <v>1</v>
      </c>
      <c r="I597">
        <v>1000</v>
      </c>
      <c r="J597" s="3">
        <v>47239</v>
      </c>
      <c r="K597" s="6">
        <v>0</v>
      </c>
    </row>
    <row r="598" spans="1:11">
      <c r="A598" t="str">
        <f t="shared" si="9"/>
        <v>Gibgro 10 SP 25 X 40 X 1 gr472700</v>
      </c>
      <c r="B598" t="s">
        <v>10417</v>
      </c>
      <c r="C598" t="s">
        <v>12501</v>
      </c>
      <c r="D598" t="s">
        <v>14980</v>
      </c>
      <c r="E598" t="s">
        <v>754</v>
      </c>
      <c r="F598">
        <v>25</v>
      </c>
      <c r="G598">
        <v>40</v>
      </c>
      <c r="H598">
        <v>1</v>
      </c>
      <c r="I598">
        <v>1000</v>
      </c>
      <c r="J598" s="3">
        <v>47270</v>
      </c>
      <c r="K598" s="6">
        <v>0</v>
      </c>
    </row>
    <row r="599" spans="1:11">
      <c r="A599" t="str">
        <f t="shared" si="9"/>
        <v>Gibgro 20 T 25 X 10 X 5 gr472390</v>
      </c>
      <c r="B599" t="s">
        <v>10418</v>
      </c>
      <c r="C599" t="s">
        <v>12502</v>
      </c>
      <c r="D599" t="s">
        <v>14981</v>
      </c>
      <c r="E599" t="s">
        <v>755</v>
      </c>
      <c r="F599">
        <v>25</v>
      </c>
      <c r="G599">
        <v>10</v>
      </c>
      <c r="H599">
        <v>1</v>
      </c>
      <c r="I599">
        <v>250</v>
      </c>
      <c r="J599" s="3">
        <v>47239</v>
      </c>
      <c r="K599" s="6">
        <v>0</v>
      </c>
    </row>
    <row r="600" spans="1:11">
      <c r="A600" t="str">
        <f t="shared" si="9"/>
        <v>Gibgro 20 T 25 X 10 X 5 gr472700</v>
      </c>
      <c r="B600" t="s">
        <v>10419</v>
      </c>
      <c r="C600" t="s">
        <v>12503</v>
      </c>
      <c r="D600" t="s">
        <v>14982</v>
      </c>
      <c r="E600" t="s">
        <v>755</v>
      </c>
      <c r="F600">
        <v>25</v>
      </c>
      <c r="G600">
        <v>10</v>
      </c>
      <c r="H600">
        <v>1</v>
      </c>
      <c r="I600">
        <v>250</v>
      </c>
      <c r="J600" s="3">
        <v>47270</v>
      </c>
      <c r="K600" s="6">
        <v>0</v>
      </c>
    </row>
    <row r="601" spans="1:11">
      <c r="A601" t="str">
        <f t="shared" si="9"/>
        <v>Gibraz 20/125 OD 100 X 80 ml469970</v>
      </c>
      <c r="B601" t="s">
        <v>10420</v>
      </c>
      <c r="C601" t="s">
        <v>12504</v>
      </c>
      <c r="D601" t="s">
        <v>14983</v>
      </c>
      <c r="E601" t="s">
        <v>756</v>
      </c>
      <c r="F601">
        <v>100</v>
      </c>
      <c r="G601">
        <v>1</v>
      </c>
      <c r="H601">
        <v>1</v>
      </c>
      <c r="I601">
        <v>100</v>
      </c>
      <c r="J601" s="3">
        <v>46997</v>
      </c>
      <c r="K601" s="6">
        <v>0</v>
      </c>
    </row>
    <row r="602" spans="1:11">
      <c r="A602" t="str">
        <f t="shared" si="9"/>
        <v>Gibraz 20/125 OD 25 X 400 ml469970</v>
      </c>
      <c r="B602" t="s">
        <v>10421</v>
      </c>
      <c r="C602" t="s">
        <v>12505</v>
      </c>
      <c r="D602" t="s">
        <v>14984</v>
      </c>
      <c r="E602" t="s">
        <v>758</v>
      </c>
      <c r="F602">
        <v>25</v>
      </c>
      <c r="G602">
        <v>1</v>
      </c>
      <c r="H602">
        <v>1</v>
      </c>
      <c r="I602">
        <v>25</v>
      </c>
      <c r="J602" s="3">
        <v>46997</v>
      </c>
      <c r="K602" s="6">
        <v>0</v>
      </c>
    </row>
    <row r="603" spans="1:11">
      <c r="A603" t="str">
        <f t="shared" si="9"/>
        <v>Gibraz 20/125 OD 50 X 200 ml469970</v>
      </c>
      <c r="B603" t="s">
        <v>10422</v>
      </c>
      <c r="C603" t="s">
        <v>12506</v>
      </c>
      <c r="D603" t="s">
        <v>14985</v>
      </c>
      <c r="E603" t="s">
        <v>759</v>
      </c>
      <c r="F603">
        <v>50</v>
      </c>
      <c r="G603">
        <v>1</v>
      </c>
      <c r="H603">
        <v>1</v>
      </c>
      <c r="I603">
        <v>50</v>
      </c>
      <c r="J603" s="3">
        <v>46997</v>
      </c>
      <c r="K603" s="6">
        <v>0</v>
      </c>
    </row>
    <row r="604" spans="1:11">
      <c r="A604" t="str">
        <f t="shared" si="9"/>
        <v>Glifasco 530 SL 20 X 1 ltr472700</v>
      </c>
      <c r="B604" t="s">
        <v>10423</v>
      </c>
      <c r="C604" t="s">
        <v>12507</v>
      </c>
      <c r="D604" t="s">
        <v>14986</v>
      </c>
      <c r="E604" t="s">
        <v>760</v>
      </c>
      <c r="F604">
        <v>20</v>
      </c>
      <c r="G604">
        <v>1</v>
      </c>
      <c r="H604">
        <v>1</v>
      </c>
      <c r="I604">
        <v>20</v>
      </c>
      <c r="J604" s="3">
        <v>47270</v>
      </c>
      <c r="K604" s="6">
        <v>0</v>
      </c>
    </row>
    <row r="605" spans="1:11">
      <c r="A605" t="str">
        <f t="shared" si="9"/>
        <v>Glove 240 EC 20 X 500 ml463880</v>
      </c>
      <c r="B605" t="s">
        <v>10424</v>
      </c>
      <c r="C605" t="s">
        <v>12508</v>
      </c>
      <c r="D605" t="s">
        <v>14987</v>
      </c>
      <c r="E605" t="s">
        <v>762</v>
      </c>
      <c r="F605">
        <v>20</v>
      </c>
      <c r="G605">
        <v>1</v>
      </c>
      <c r="H605">
        <v>1</v>
      </c>
      <c r="I605">
        <v>20</v>
      </c>
      <c r="J605" s="3">
        <v>46388</v>
      </c>
      <c r="K605" s="6">
        <v>0</v>
      </c>
    </row>
    <row r="606" spans="1:11">
      <c r="A606" t="str">
        <f t="shared" si="9"/>
        <v>Glove 240 EC 40 X 250 ml463880</v>
      </c>
      <c r="B606" t="s">
        <v>10425</v>
      </c>
      <c r="C606" t="s">
        <v>12509</v>
      </c>
      <c r="D606" t="s">
        <v>14988</v>
      </c>
      <c r="E606" t="s">
        <v>763</v>
      </c>
      <c r="F606">
        <v>40</v>
      </c>
      <c r="G606">
        <v>1</v>
      </c>
      <c r="H606">
        <v>1</v>
      </c>
      <c r="I606">
        <v>40</v>
      </c>
      <c r="J606" s="3">
        <v>46388</v>
      </c>
      <c r="K606" s="6">
        <v>0</v>
      </c>
    </row>
    <row r="607" spans="1:11">
      <c r="A607" t="str">
        <f t="shared" si="9"/>
        <v>Glove 240 EC 50 X 100 ml467840</v>
      </c>
      <c r="B607" t="s">
        <v>10426</v>
      </c>
      <c r="C607" t="s">
        <v>12510</v>
      </c>
      <c r="D607" t="s">
        <v>14989</v>
      </c>
      <c r="E607" t="s">
        <v>764</v>
      </c>
      <c r="F607">
        <v>50</v>
      </c>
      <c r="G607">
        <v>1</v>
      </c>
      <c r="H607">
        <v>1</v>
      </c>
      <c r="I607">
        <v>50</v>
      </c>
      <c r="J607" s="3">
        <v>46784</v>
      </c>
      <c r="K607" s="6">
        <v>0</v>
      </c>
    </row>
    <row r="608" spans="1:11">
      <c r="A608" t="str">
        <f t="shared" si="9"/>
        <v>Glove 240 EC 50 X 100 ml470270</v>
      </c>
      <c r="B608" t="s">
        <v>10427</v>
      </c>
      <c r="C608" t="s">
        <v>12511</v>
      </c>
      <c r="D608" t="s">
        <v>14990</v>
      </c>
      <c r="E608" t="s">
        <v>764</v>
      </c>
      <c r="F608">
        <v>50</v>
      </c>
      <c r="G608">
        <v>1</v>
      </c>
      <c r="H608">
        <v>1</v>
      </c>
      <c r="I608">
        <v>50</v>
      </c>
      <c r="J608" s="3">
        <v>47027</v>
      </c>
      <c r="K608" s="6">
        <v>0</v>
      </c>
    </row>
    <row r="609" spans="1:11">
      <c r="A609" t="str">
        <f t="shared" si="9"/>
        <v>Glykill 480 SL 20 X 1 ltr467220</v>
      </c>
      <c r="B609" t="s">
        <v>10428</v>
      </c>
      <c r="C609" t="s">
        <v>12512</v>
      </c>
      <c r="D609" t="s">
        <v>14991</v>
      </c>
      <c r="E609" t="s">
        <v>765</v>
      </c>
      <c r="F609">
        <v>20</v>
      </c>
      <c r="G609">
        <v>1</v>
      </c>
      <c r="H609">
        <v>1</v>
      </c>
      <c r="I609">
        <v>20</v>
      </c>
      <c r="J609" s="3">
        <v>46722</v>
      </c>
      <c r="K609" s="6">
        <v>0</v>
      </c>
    </row>
    <row r="610" spans="1:11">
      <c r="A610" t="str">
        <f t="shared" si="9"/>
        <v>Goal 240 EC 50 X 100 ml471500</v>
      </c>
      <c r="B610" t="s">
        <v>10429</v>
      </c>
      <c r="C610" t="s">
        <v>12513</v>
      </c>
      <c r="D610" t="s">
        <v>14992</v>
      </c>
      <c r="E610" t="s">
        <v>766</v>
      </c>
      <c r="F610">
        <v>50</v>
      </c>
      <c r="G610">
        <v>1</v>
      </c>
      <c r="H610">
        <v>1</v>
      </c>
      <c r="I610">
        <v>50</v>
      </c>
      <c r="J610" s="3">
        <v>47150</v>
      </c>
      <c r="K610" s="6">
        <v>0</v>
      </c>
    </row>
    <row r="611" spans="1:11">
      <c r="A611" t="str">
        <f t="shared" si="9"/>
        <v>Gold Star 250 EC 40 X 250 ml471190</v>
      </c>
      <c r="B611" t="s">
        <v>10430</v>
      </c>
      <c r="C611" t="s">
        <v>12514</v>
      </c>
      <c r="D611" t="s">
        <v>14993</v>
      </c>
      <c r="E611" t="s">
        <v>767</v>
      </c>
      <c r="F611">
        <v>40</v>
      </c>
      <c r="G611">
        <v>1</v>
      </c>
      <c r="H611">
        <v>1</v>
      </c>
      <c r="I611">
        <v>40</v>
      </c>
      <c r="J611" s="3">
        <v>47119</v>
      </c>
      <c r="K611" s="6">
        <v>0</v>
      </c>
    </row>
    <row r="612" spans="1:11">
      <c r="A612" t="str">
        <f t="shared" si="9"/>
        <v>Gold Stick 20 X 1 ltr463570</v>
      </c>
      <c r="B612" t="s">
        <v>10431</v>
      </c>
      <c r="C612" t="s">
        <v>12515</v>
      </c>
      <c r="D612" t="s">
        <v>14994</v>
      </c>
      <c r="E612" t="s">
        <v>768</v>
      </c>
      <c r="F612">
        <v>20</v>
      </c>
      <c r="G612">
        <v>1</v>
      </c>
      <c r="H612">
        <v>1</v>
      </c>
      <c r="I612">
        <v>20</v>
      </c>
      <c r="J612" s="3">
        <v>46357</v>
      </c>
      <c r="K612" s="6">
        <v>0</v>
      </c>
    </row>
    <row r="613" spans="1:11">
      <c r="A613" t="str">
        <f t="shared" si="9"/>
        <v>Gold Stick 30 X 500 ml463570</v>
      </c>
      <c r="B613" t="s">
        <v>10432</v>
      </c>
      <c r="C613" t="s">
        <v>12516</v>
      </c>
      <c r="D613" t="s">
        <v>14995</v>
      </c>
      <c r="E613" t="s">
        <v>769</v>
      </c>
      <c r="F613">
        <v>30</v>
      </c>
      <c r="G613">
        <v>1</v>
      </c>
      <c r="H613">
        <v>1</v>
      </c>
      <c r="I613">
        <v>30</v>
      </c>
      <c r="J613" s="3">
        <v>46357</v>
      </c>
      <c r="K613" s="6">
        <v>0</v>
      </c>
    </row>
    <row r="614" spans="1:11">
      <c r="A614" t="str">
        <f t="shared" si="9"/>
        <v>Golden Star 100/300 SL 20 X 1 ltr467220</v>
      </c>
      <c r="B614" t="s">
        <v>10433</v>
      </c>
      <c r="C614" t="s">
        <v>12517</v>
      </c>
      <c r="D614" t="s">
        <v>14996</v>
      </c>
      <c r="E614" t="s">
        <v>770</v>
      </c>
      <c r="F614">
        <v>20</v>
      </c>
      <c r="G614">
        <v>1</v>
      </c>
      <c r="H614">
        <v>1</v>
      </c>
      <c r="I614">
        <v>20</v>
      </c>
      <c r="J614" s="3">
        <v>46722</v>
      </c>
      <c r="K614" s="6">
        <v>0</v>
      </c>
    </row>
    <row r="615" spans="1:11">
      <c r="A615" t="str">
        <f t="shared" si="9"/>
        <v>Granat 25 EC 80 Ml1/1/10000</v>
      </c>
      <c r="B615" t="s">
        <v>10434</v>
      </c>
      <c r="C615" t="s">
        <v>12518</v>
      </c>
      <c r="D615" t="s">
        <v>14997</v>
      </c>
      <c r="E615" t="s">
        <v>771</v>
      </c>
      <c r="F615">
        <v>1</v>
      </c>
      <c r="G615">
        <v>1</v>
      </c>
      <c r="H615">
        <v>1</v>
      </c>
      <c r="I615">
        <v>1</v>
      </c>
      <c r="J615" s="3" t="s">
        <v>2222</v>
      </c>
      <c r="K615" s="6">
        <v>0</v>
      </c>
    </row>
    <row r="616" spans="1:11">
      <c r="A616" t="str">
        <f t="shared" si="9"/>
        <v>Grandally 25 WP 25 gr1/1/10000</v>
      </c>
      <c r="B616" t="s">
        <v>10435</v>
      </c>
      <c r="C616" t="s">
        <v>12519</v>
      </c>
      <c r="D616" t="s">
        <v>14998</v>
      </c>
      <c r="E616" t="s">
        <v>772</v>
      </c>
      <c r="F616">
        <v>1</v>
      </c>
      <c r="G616">
        <v>1</v>
      </c>
      <c r="H616">
        <v>1</v>
      </c>
      <c r="I616">
        <v>1</v>
      </c>
      <c r="J616" s="3" t="s">
        <v>2222</v>
      </c>
      <c r="K616" s="6">
        <v>0</v>
      </c>
    </row>
    <row r="617" spans="1:11">
      <c r="A617" t="str">
        <f t="shared" si="9"/>
        <v>Grandally 25 WP 5 gr1/1/10000</v>
      </c>
      <c r="B617" t="s">
        <v>10436</v>
      </c>
      <c r="C617" t="s">
        <v>12520</v>
      </c>
      <c r="D617" t="s">
        <v>14999</v>
      </c>
      <c r="E617" t="s">
        <v>773</v>
      </c>
      <c r="F617">
        <v>1</v>
      </c>
      <c r="G617">
        <v>1</v>
      </c>
      <c r="H617">
        <v>1</v>
      </c>
      <c r="I617">
        <v>1</v>
      </c>
      <c r="J617" s="3" t="s">
        <v>2222</v>
      </c>
      <c r="K617" s="6">
        <v>0</v>
      </c>
    </row>
    <row r="618" spans="1:11">
      <c r="A618" t="str">
        <f t="shared" si="9"/>
        <v>Grasso 480 SL 20 ltr466310</v>
      </c>
      <c r="B618" t="s">
        <v>10437</v>
      </c>
      <c r="C618" t="s">
        <v>12521</v>
      </c>
      <c r="D618" t="s">
        <v>15000</v>
      </c>
      <c r="E618" t="s">
        <v>774</v>
      </c>
      <c r="F618">
        <v>1</v>
      </c>
      <c r="G618">
        <v>1</v>
      </c>
      <c r="H618">
        <v>1</v>
      </c>
      <c r="I618">
        <v>1</v>
      </c>
      <c r="J618" s="3">
        <v>46631</v>
      </c>
      <c r="K618" s="6">
        <v>0</v>
      </c>
    </row>
    <row r="619" spans="1:11">
      <c r="A619" t="str">
        <f t="shared" si="9"/>
        <v>Grasso 480 SL 20 X 1 ltr466610</v>
      </c>
      <c r="B619" t="s">
        <v>10438</v>
      </c>
      <c r="C619" t="s">
        <v>12522</v>
      </c>
      <c r="D619" t="s">
        <v>15001</v>
      </c>
      <c r="E619" t="s">
        <v>775</v>
      </c>
      <c r="F619">
        <v>20</v>
      </c>
      <c r="G619">
        <v>1</v>
      </c>
      <c r="H619">
        <v>1</v>
      </c>
      <c r="I619">
        <v>20</v>
      </c>
      <c r="J619" s="3">
        <v>46661</v>
      </c>
      <c r="K619" s="6">
        <v>0</v>
      </c>
    </row>
    <row r="620" spans="1:11">
      <c r="A620" t="str">
        <f t="shared" si="9"/>
        <v>Grasso 480 SL 20 X 1 ltr468740</v>
      </c>
      <c r="B620" t="s">
        <v>10439</v>
      </c>
      <c r="C620" t="s">
        <v>12523</v>
      </c>
      <c r="D620" t="s">
        <v>15002</v>
      </c>
      <c r="E620" t="s">
        <v>775</v>
      </c>
      <c r="F620">
        <v>20</v>
      </c>
      <c r="G620">
        <v>1</v>
      </c>
      <c r="H620">
        <v>1</v>
      </c>
      <c r="I620">
        <v>20</v>
      </c>
      <c r="J620" s="3">
        <v>46874</v>
      </c>
      <c r="K620" s="6">
        <v>0</v>
      </c>
    </row>
    <row r="621" spans="1:11">
      <c r="A621" t="str">
        <f t="shared" si="9"/>
        <v>Grasso 480 SL 20 X 1 ltr469970</v>
      </c>
      <c r="B621" t="s">
        <v>10440</v>
      </c>
      <c r="C621" t="s">
        <v>12524</v>
      </c>
      <c r="D621" t="s">
        <v>15003</v>
      </c>
      <c r="E621" t="s">
        <v>775</v>
      </c>
      <c r="F621">
        <v>20</v>
      </c>
      <c r="G621">
        <v>1</v>
      </c>
      <c r="H621">
        <v>1</v>
      </c>
      <c r="I621">
        <v>20</v>
      </c>
      <c r="J621" s="3">
        <v>46997</v>
      </c>
      <c r="K621" s="6">
        <v>0</v>
      </c>
    </row>
    <row r="622" spans="1:11">
      <c r="A622" t="str">
        <f t="shared" si="9"/>
        <v>Grasso 480 SL 20 X 1 ltr469660</v>
      </c>
      <c r="B622" t="s">
        <v>10441</v>
      </c>
      <c r="C622" t="s">
        <v>12525</v>
      </c>
      <c r="D622" t="s">
        <v>15004</v>
      </c>
      <c r="E622" t="s">
        <v>775</v>
      </c>
      <c r="F622">
        <v>20</v>
      </c>
      <c r="G622">
        <v>1</v>
      </c>
      <c r="H622">
        <v>1</v>
      </c>
      <c r="I622">
        <v>20</v>
      </c>
      <c r="J622" s="3">
        <v>46966</v>
      </c>
      <c r="K622" s="6">
        <v>0</v>
      </c>
    </row>
    <row r="623" spans="1:11">
      <c r="A623" t="str">
        <f t="shared" si="9"/>
        <v>Grasso 480 SL 4 X 5 ltr466610</v>
      </c>
      <c r="B623" t="s">
        <v>10442</v>
      </c>
      <c r="C623" t="s">
        <v>12526</v>
      </c>
      <c r="D623" t="s">
        <v>15005</v>
      </c>
      <c r="E623" t="s">
        <v>776</v>
      </c>
      <c r="F623">
        <v>4</v>
      </c>
      <c r="G623">
        <v>1</v>
      </c>
      <c r="H623">
        <v>1</v>
      </c>
      <c r="I623">
        <v>4</v>
      </c>
      <c r="J623" s="3">
        <v>46661</v>
      </c>
      <c r="K623" s="6">
        <v>0</v>
      </c>
    </row>
    <row r="624" spans="1:11">
      <c r="A624" t="str">
        <f t="shared" si="9"/>
        <v>Greentop 20 X 1 ltr468740</v>
      </c>
      <c r="B624" t="s">
        <v>10443</v>
      </c>
      <c r="C624" t="s">
        <v>12527</v>
      </c>
      <c r="D624" t="s">
        <v>15006</v>
      </c>
      <c r="E624" t="s">
        <v>777</v>
      </c>
      <c r="F624">
        <v>20</v>
      </c>
      <c r="G624">
        <v>1</v>
      </c>
      <c r="H624">
        <v>1</v>
      </c>
      <c r="I624">
        <v>20</v>
      </c>
      <c r="J624" s="3">
        <v>46874</v>
      </c>
      <c r="K624" s="6">
        <v>0</v>
      </c>
    </row>
    <row r="625" spans="1:11">
      <c r="A625" t="str">
        <f t="shared" si="9"/>
        <v>Greentop 20 X 1 ltr469350</v>
      </c>
      <c r="B625" t="s">
        <v>10444</v>
      </c>
      <c r="C625" t="s">
        <v>12528</v>
      </c>
      <c r="D625" t="s">
        <v>15007</v>
      </c>
      <c r="E625" t="s">
        <v>777</v>
      </c>
      <c r="F625">
        <v>20</v>
      </c>
      <c r="G625">
        <v>1</v>
      </c>
      <c r="H625">
        <v>1</v>
      </c>
      <c r="I625">
        <v>20</v>
      </c>
      <c r="J625" s="3">
        <v>46935</v>
      </c>
      <c r="K625" s="6">
        <v>0</v>
      </c>
    </row>
    <row r="626" spans="1:11">
      <c r="A626" t="str">
        <f t="shared" si="9"/>
        <v>Greentop 6 X 5 ltr469050</v>
      </c>
      <c r="B626" t="s">
        <v>10445</v>
      </c>
      <c r="C626" t="s">
        <v>12529</v>
      </c>
      <c r="D626" t="s">
        <v>15008</v>
      </c>
      <c r="E626" t="s">
        <v>778</v>
      </c>
      <c r="F626">
        <v>6</v>
      </c>
      <c r="G626">
        <v>1</v>
      </c>
      <c r="H626">
        <v>1</v>
      </c>
      <c r="I626">
        <v>6</v>
      </c>
      <c r="J626" s="3">
        <v>46905</v>
      </c>
      <c r="K626" s="6">
        <v>0</v>
      </c>
    </row>
    <row r="627" spans="1:11">
      <c r="A627" t="str">
        <f t="shared" si="9"/>
        <v>Gunting Gland 7" Lady Pruner 05-219 12 X 1 pcs1/1/10000</v>
      </c>
      <c r="B627" t="s">
        <v>10446</v>
      </c>
      <c r="C627" t="s">
        <v>12530</v>
      </c>
      <c r="D627" t="s">
        <v>15009</v>
      </c>
      <c r="E627" t="s">
        <v>779</v>
      </c>
      <c r="F627">
        <v>12</v>
      </c>
      <c r="G627">
        <v>1</v>
      </c>
      <c r="H627">
        <v>1</v>
      </c>
      <c r="I627">
        <v>12</v>
      </c>
      <c r="J627" s="3" t="s">
        <v>2222</v>
      </c>
      <c r="K627" s="6">
        <v>0</v>
      </c>
    </row>
    <row r="628" spans="1:11">
      <c r="A628" t="str">
        <f t="shared" si="9"/>
        <v>Gunting Gland 8" Bypass Pruner ,05-203 10 X 10 X 1 pcs1/1/10000</v>
      </c>
      <c r="B628" t="s">
        <v>10447</v>
      </c>
      <c r="C628" t="s">
        <v>12531</v>
      </c>
      <c r="D628" t="s">
        <v>15010</v>
      </c>
      <c r="E628" t="s">
        <v>780</v>
      </c>
      <c r="F628">
        <v>10</v>
      </c>
      <c r="G628">
        <v>10</v>
      </c>
      <c r="H628">
        <v>1</v>
      </c>
      <c r="I628">
        <v>100</v>
      </c>
      <c r="J628" s="3" t="s">
        <v>2222</v>
      </c>
      <c r="K628" s="6">
        <v>0</v>
      </c>
    </row>
    <row r="629" spans="1:11">
      <c r="A629" t="str">
        <f t="shared" si="9"/>
        <v>GW Magicgro G6 12 X 1 ltr467220</v>
      </c>
      <c r="B629" t="s">
        <v>10448</v>
      </c>
      <c r="C629" t="s">
        <v>12532</v>
      </c>
      <c r="D629" t="s">
        <v>15011</v>
      </c>
      <c r="E629" t="s">
        <v>781</v>
      </c>
      <c r="F629">
        <v>12</v>
      </c>
      <c r="G629">
        <v>1</v>
      </c>
      <c r="H629">
        <v>1</v>
      </c>
      <c r="I629">
        <v>12</v>
      </c>
      <c r="J629" s="3">
        <v>46722</v>
      </c>
      <c r="K629" s="6">
        <v>0</v>
      </c>
    </row>
    <row r="630" spans="1:11">
      <c r="A630" t="str">
        <f t="shared" si="9"/>
        <v>GW Magicgro G6 48 X 248 ml1/1/10000</v>
      </c>
      <c r="B630" t="s">
        <v>10449</v>
      </c>
      <c r="C630" t="s">
        <v>12533</v>
      </c>
      <c r="D630" t="s">
        <v>15012</v>
      </c>
      <c r="E630" t="s">
        <v>783</v>
      </c>
      <c r="F630">
        <v>48</v>
      </c>
      <c r="G630">
        <v>1</v>
      </c>
      <c r="H630">
        <v>1</v>
      </c>
      <c r="I630">
        <v>48</v>
      </c>
      <c r="J630" s="3" t="s">
        <v>2222</v>
      </c>
      <c r="K630" s="6">
        <v>0</v>
      </c>
    </row>
    <row r="631" spans="1:11">
      <c r="A631" t="str">
        <f t="shared" si="9"/>
        <v>GW Sanilan 12 X 998 ml1/1/10000</v>
      </c>
      <c r="B631" t="s">
        <v>10450</v>
      </c>
      <c r="C631" t="s">
        <v>12534</v>
      </c>
      <c r="D631" t="s">
        <v>15013</v>
      </c>
      <c r="E631" t="s">
        <v>784</v>
      </c>
      <c r="F631">
        <v>12</v>
      </c>
      <c r="G631">
        <v>1</v>
      </c>
      <c r="H631">
        <v>1</v>
      </c>
      <c r="I631">
        <v>12</v>
      </c>
      <c r="J631" s="3" t="s">
        <v>2222</v>
      </c>
      <c r="K631" s="6">
        <v>0</v>
      </c>
    </row>
    <row r="632" spans="1:11">
      <c r="A632" t="str">
        <f t="shared" si="9"/>
        <v>GW Vit B1+B6 100 X 100 ml1/1/10000</v>
      </c>
      <c r="B632" t="s">
        <v>10451</v>
      </c>
      <c r="C632" t="s">
        <v>12535</v>
      </c>
      <c r="D632" t="s">
        <v>15014</v>
      </c>
      <c r="E632" t="s">
        <v>785</v>
      </c>
      <c r="F632">
        <v>100</v>
      </c>
      <c r="G632">
        <v>1</v>
      </c>
      <c r="H632">
        <v>1</v>
      </c>
      <c r="I632">
        <v>100</v>
      </c>
      <c r="J632" s="3" t="s">
        <v>2222</v>
      </c>
      <c r="K632" s="6">
        <v>0</v>
      </c>
    </row>
    <row r="633" spans="1:11">
      <c r="A633" t="str">
        <f t="shared" si="9"/>
        <v>GW Vit B1+B6 12 X 1 ltr469970</v>
      </c>
      <c r="B633" t="s">
        <v>10452</v>
      </c>
      <c r="C633" t="s">
        <v>12536</v>
      </c>
      <c r="D633" t="s">
        <v>15015</v>
      </c>
      <c r="E633" t="s">
        <v>786</v>
      </c>
      <c r="F633">
        <v>12</v>
      </c>
      <c r="G633">
        <v>1</v>
      </c>
      <c r="H633">
        <v>1</v>
      </c>
      <c r="I633">
        <v>12</v>
      </c>
      <c r="J633" s="3">
        <v>46997</v>
      </c>
      <c r="K633" s="6">
        <v>0</v>
      </c>
    </row>
    <row r="634" spans="1:11">
      <c r="A634" t="str">
        <f t="shared" si="9"/>
        <v>GW Vit B1+B6 12 X 1 ltr471780</v>
      </c>
      <c r="B634" t="s">
        <v>10453</v>
      </c>
      <c r="C634" t="s">
        <v>12537</v>
      </c>
      <c r="D634" t="s">
        <v>15016</v>
      </c>
      <c r="E634" t="s">
        <v>786</v>
      </c>
      <c r="F634">
        <v>12</v>
      </c>
      <c r="G634">
        <v>1</v>
      </c>
      <c r="H634">
        <v>1</v>
      </c>
      <c r="I634">
        <v>12</v>
      </c>
      <c r="J634" s="3">
        <v>47178</v>
      </c>
      <c r="K634" s="6">
        <v>0</v>
      </c>
    </row>
    <row r="635" spans="1:11">
      <c r="A635" t="str">
        <f t="shared" si="9"/>
        <v>GW Vit B1+B6 24 X 500 ml469970</v>
      </c>
      <c r="B635" t="s">
        <v>10454</v>
      </c>
      <c r="C635" t="s">
        <v>12538</v>
      </c>
      <c r="D635" t="s">
        <v>15017</v>
      </c>
      <c r="E635" t="s">
        <v>789</v>
      </c>
      <c r="F635">
        <v>24</v>
      </c>
      <c r="G635">
        <v>1</v>
      </c>
      <c r="H635">
        <v>1</v>
      </c>
      <c r="I635">
        <v>24</v>
      </c>
      <c r="J635" s="3">
        <v>46997</v>
      </c>
      <c r="K635" s="6">
        <v>0</v>
      </c>
    </row>
    <row r="636" spans="1:11">
      <c r="A636" t="str">
        <f t="shared" si="9"/>
        <v>GW Vit B1+B6 24 X 500 ml468130</v>
      </c>
      <c r="B636" t="s">
        <v>10455</v>
      </c>
      <c r="C636" t="s">
        <v>12539</v>
      </c>
      <c r="D636" t="s">
        <v>15018</v>
      </c>
      <c r="E636" t="s">
        <v>789</v>
      </c>
      <c r="F636">
        <v>24</v>
      </c>
      <c r="G636">
        <v>1</v>
      </c>
      <c r="H636">
        <v>1</v>
      </c>
      <c r="I636">
        <v>24</v>
      </c>
      <c r="J636" s="3">
        <v>46813</v>
      </c>
      <c r="K636" s="6">
        <v>0</v>
      </c>
    </row>
    <row r="637" spans="1:11">
      <c r="A637" t="str">
        <f t="shared" si="9"/>
        <v>GW Vit B1+B6 50 X 250 ml472700</v>
      </c>
      <c r="B637" t="s">
        <v>10456</v>
      </c>
      <c r="C637" t="s">
        <v>12540</v>
      </c>
      <c r="D637" t="s">
        <v>15019</v>
      </c>
      <c r="E637" t="s">
        <v>792</v>
      </c>
      <c r="F637">
        <v>50</v>
      </c>
      <c r="G637">
        <v>1</v>
      </c>
      <c r="H637">
        <v>1</v>
      </c>
      <c r="I637">
        <v>50</v>
      </c>
      <c r="J637" s="3">
        <v>47270</v>
      </c>
      <c r="K637" s="6">
        <v>0</v>
      </c>
    </row>
    <row r="638" spans="1:11">
      <c r="A638" t="str">
        <f t="shared" si="9"/>
        <v>Handstarter Star Metal1/1/10000</v>
      </c>
      <c r="B638" t="s">
        <v>10457</v>
      </c>
      <c r="C638" t="s">
        <v>12541</v>
      </c>
      <c r="D638" t="s">
        <v>15020</v>
      </c>
      <c r="E638" t="s">
        <v>794</v>
      </c>
      <c r="F638">
        <v>1</v>
      </c>
      <c r="G638">
        <v>1</v>
      </c>
      <c r="H638">
        <v>1</v>
      </c>
      <c r="I638">
        <v>1</v>
      </c>
      <c r="J638" s="3" t="s">
        <v>2222</v>
      </c>
      <c r="K638" s="6">
        <v>0</v>
      </c>
    </row>
    <row r="639" spans="1:11">
      <c r="A639" t="str">
        <f t="shared" si="9"/>
        <v>Handuk BASF1/1/10000</v>
      </c>
      <c r="B639" t="s">
        <v>10458</v>
      </c>
      <c r="C639" t="s">
        <v>12542</v>
      </c>
      <c r="D639" t="s">
        <v>15021</v>
      </c>
      <c r="E639" t="s">
        <v>795</v>
      </c>
      <c r="F639">
        <v>1</v>
      </c>
      <c r="G639">
        <v>1</v>
      </c>
      <c r="H639">
        <v>1</v>
      </c>
      <c r="I639">
        <v>1</v>
      </c>
      <c r="J639" s="3" t="s">
        <v>2222</v>
      </c>
      <c r="K639" s="6">
        <v>0</v>
      </c>
    </row>
    <row r="640" spans="1:11">
      <c r="A640" t="str">
        <f t="shared" si="9"/>
        <v>Hara Garuda 20 X 1 kg472390</v>
      </c>
      <c r="B640" t="s">
        <v>10459</v>
      </c>
      <c r="C640" t="s">
        <v>12543</v>
      </c>
      <c r="D640" t="s">
        <v>15022</v>
      </c>
      <c r="E640" t="s">
        <v>796</v>
      </c>
      <c r="F640">
        <v>20</v>
      </c>
      <c r="G640">
        <v>1</v>
      </c>
      <c r="H640">
        <v>1</v>
      </c>
      <c r="I640">
        <v>20</v>
      </c>
      <c r="J640" s="3">
        <v>47239</v>
      </c>
      <c r="K640" s="6">
        <v>0</v>
      </c>
    </row>
    <row r="641" spans="1:11">
      <c r="A641" t="str">
        <f t="shared" si="9"/>
        <v>Herole 240 SC 48 X 250 ml465690</v>
      </c>
      <c r="B641" t="s">
        <v>10460</v>
      </c>
      <c r="C641" t="s">
        <v>12544</v>
      </c>
      <c r="D641" t="s">
        <v>15023</v>
      </c>
      <c r="E641" t="s">
        <v>797</v>
      </c>
      <c r="F641">
        <v>48</v>
      </c>
      <c r="G641">
        <v>1</v>
      </c>
      <c r="H641">
        <v>1</v>
      </c>
      <c r="I641">
        <v>48</v>
      </c>
      <c r="J641" s="3">
        <v>46569</v>
      </c>
      <c r="K641" s="6">
        <v>0</v>
      </c>
    </row>
    <row r="642" spans="1:11">
      <c r="A642" t="str">
        <f t="shared" si="9"/>
        <v>Herole 240 SC 48 X 250 ml466000</v>
      </c>
      <c r="B642" t="s">
        <v>10461</v>
      </c>
      <c r="C642" t="s">
        <v>12545</v>
      </c>
      <c r="D642" t="s">
        <v>15024</v>
      </c>
      <c r="E642" t="s">
        <v>797</v>
      </c>
      <c r="F642">
        <v>48</v>
      </c>
      <c r="G642">
        <v>1</v>
      </c>
      <c r="H642">
        <v>1</v>
      </c>
      <c r="I642">
        <v>48</v>
      </c>
      <c r="J642" s="3">
        <v>46600</v>
      </c>
      <c r="K642" s="6">
        <v>0</v>
      </c>
    </row>
    <row r="643" spans="1:11">
      <c r="A643" t="str">
        <f t="shared" ref="A643:A706" si="10">E643&amp;J643&amp;K643</f>
        <v>Herozeb 80 WP 10 X 1 kg455050</v>
      </c>
      <c r="B643" t="s">
        <v>10462</v>
      </c>
      <c r="C643" t="s">
        <v>12546</v>
      </c>
      <c r="D643" t="s">
        <v>15025</v>
      </c>
      <c r="E643" t="s">
        <v>800</v>
      </c>
      <c r="F643">
        <v>10</v>
      </c>
      <c r="G643">
        <v>1</v>
      </c>
      <c r="H643">
        <v>1</v>
      </c>
      <c r="I643">
        <v>10</v>
      </c>
      <c r="J643" s="3">
        <v>45505</v>
      </c>
      <c r="K643" s="6">
        <v>0</v>
      </c>
    </row>
    <row r="644" spans="1:11">
      <c r="A644" t="str">
        <f t="shared" si="10"/>
        <v>Hexacar 100 SC 100 X 100 ml471500</v>
      </c>
      <c r="B644" t="s">
        <v>10463</v>
      </c>
      <c r="C644" t="s">
        <v>12547</v>
      </c>
      <c r="D644" t="s">
        <v>15026</v>
      </c>
      <c r="E644" t="s">
        <v>802</v>
      </c>
      <c r="F644">
        <v>100</v>
      </c>
      <c r="G644">
        <v>1</v>
      </c>
      <c r="H644">
        <v>1</v>
      </c>
      <c r="I644">
        <v>100</v>
      </c>
      <c r="J644" s="3">
        <v>47150</v>
      </c>
      <c r="K644" s="6">
        <v>0</v>
      </c>
    </row>
    <row r="645" spans="1:11">
      <c r="A645" t="str">
        <f t="shared" si="10"/>
        <v>Hexacar 100 SC 100 X 100 ml463270</v>
      </c>
      <c r="B645" t="s">
        <v>10464</v>
      </c>
      <c r="C645" t="s">
        <v>12548</v>
      </c>
      <c r="D645" t="s">
        <v>15027</v>
      </c>
      <c r="E645" t="s">
        <v>802</v>
      </c>
      <c r="F645">
        <v>100</v>
      </c>
      <c r="G645">
        <v>1</v>
      </c>
      <c r="H645">
        <v>1</v>
      </c>
      <c r="I645">
        <v>100</v>
      </c>
      <c r="J645" s="3">
        <v>46327</v>
      </c>
      <c r="K645" s="6">
        <v>0</v>
      </c>
    </row>
    <row r="646" spans="1:11">
      <c r="A646" t="str">
        <f t="shared" si="10"/>
        <v>Hexacar 100 SC 20 X 1 ltr467220</v>
      </c>
      <c r="B646" t="s">
        <v>10465</v>
      </c>
      <c r="C646" t="s">
        <v>12549</v>
      </c>
      <c r="D646" t="s">
        <v>15028</v>
      </c>
      <c r="E646" t="s">
        <v>803</v>
      </c>
      <c r="F646">
        <v>20</v>
      </c>
      <c r="G646">
        <v>1</v>
      </c>
      <c r="H646">
        <v>1</v>
      </c>
      <c r="I646">
        <v>20</v>
      </c>
      <c r="J646" s="3">
        <v>46722</v>
      </c>
      <c r="K646" s="6">
        <v>0</v>
      </c>
    </row>
    <row r="647" spans="1:11">
      <c r="A647" t="str">
        <f t="shared" si="10"/>
        <v>Hexacar 100 SC 20 X 1 ltr468740</v>
      </c>
      <c r="B647" t="s">
        <v>10466</v>
      </c>
      <c r="C647" t="s">
        <v>12550</v>
      </c>
      <c r="D647" t="s">
        <v>15029</v>
      </c>
      <c r="E647" t="s">
        <v>803</v>
      </c>
      <c r="F647">
        <v>20</v>
      </c>
      <c r="G647">
        <v>1</v>
      </c>
      <c r="H647">
        <v>1</v>
      </c>
      <c r="I647">
        <v>20</v>
      </c>
      <c r="J647" s="3">
        <v>46874</v>
      </c>
      <c r="K647" s="6">
        <v>0</v>
      </c>
    </row>
    <row r="648" spans="1:11">
      <c r="A648" t="str">
        <f t="shared" si="10"/>
        <v>Hexacar 100 SC 20 X 1 ltr471780</v>
      </c>
      <c r="B648" t="s">
        <v>10467</v>
      </c>
      <c r="C648" t="s">
        <v>12551</v>
      </c>
      <c r="D648" t="s">
        <v>15030</v>
      </c>
      <c r="E648" t="s">
        <v>803</v>
      </c>
      <c r="F648">
        <v>20</v>
      </c>
      <c r="G648">
        <v>1</v>
      </c>
      <c r="H648">
        <v>1</v>
      </c>
      <c r="I648">
        <v>20</v>
      </c>
      <c r="J648" s="3">
        <v>47178</v>
      </c>
      <c r="K648" s="6">
        <v>0</v>
      </c>
    </row>
    <row r="649" spans="1:11">
      <c r="A649" t="str">
        <f t="shared" si="10"/>
        <v>Hexacar 100 SC 25 X 500 ml470580</v>
      </c>
      <c r="B649" t="s">
        <v>10468</v>
      </c>
      <c r="C649" t="s">
        <v>12552</v>
      </c>
      <c r="D649" t="s">
        <v>15031</v>
      </c>
      <c r="E649" t="s">
        <v>804</v>
      </c>
      <c r="F649">
        <v>25</v>
      </c>
      <c r="G649">
        <v>1</v>
      </c>
      <c r="H649">
        <v>1</v>
      </c>
      <c r="I649">
        <v>25</v>
      </c>
      <c r="J649" s="3">
        <v>47058</v>
      </c>
      <c r="K649" s="6">
        <v>0</v>
      </c>
    </row>
    <row r="650" spans="1:11">
      <c r="A650" t="str">
        <f t="shared" si="10"/>
        <v>Hexacar 100 SC 40 X 250 ml468440</v>
      </c>
      <c r="B650" t="s">
        <v>10469</v>
      </c>
      <c r="C650" t="s">
        <v>12553</v>
      </c>
      <c r="D650" t="s">
        <v>15032</v>
      </c>
      <c r="E650" t="s">
        <v>805</v>
      </c>
      <c r="F650">
        <v>40</v>
      </c>
      <c r="G650">
        <v>1</v>
      </c>
      <c r="H650">
        <v>1</v>
      </c>
      <c r="I650">
        <v>40</v>
      </c>
      <c r="J650" s="3">
        <v>46844</v>
      </c>
      <c r="K650" s="6">
        <v>0</v>
      </c>
    </row>
    <row r="651" spans="1:11">
      <c r="A651" t="str">
        <f t="shared" si="10"/>
        <v>Hexacar 100 SC 40 X 250 ml471780</v>
      </c>
      <c r="B651" t="s">
        <v>10470</v>
      </c>
      <c r="C651" t="s">
        <v>12554</v>
      </c>
      <c r="D651" t="s">
        <v>15033</v>
      </c>
      <c r="E651" t="s">
        <v>805</v>
      </c>
      <c r="F651">
        <v>40</v>
      </c>
      <c r="G651">
        <v>1</v>
      </c>
      <c r="H651">
        <v>1</v>
      </c>
      <c r="I651">
        <v>40</v>
      </c>
      <c r="J651" s="3">
        <v>47178</v>
      </c>
      <c r="K651" s="6">
        <v>0</v>
      </c>
    </row>
    <row r="652" spans="1:11">
      <c r="A652" t="str">
        <f t="shared" si="10"/>
        <v>Hexacar 100 SC 40 X 250 ml470270</v>
      </c>
      <c r="B652" t="s">
        <v>10471</v>
      </c>
      <c r="C652" t="s">
        <v>12555</v>
      </c>
      <c r="D652" t="s">
        <v>15034</v>
      </c>
      <c r="E652" t="s">
        <v>805</v>
      </c>
      <c r="F652">
        <v>40</v>
      </c>
      <c r="G652">
        <v>1</v>
      </c>
      <c r="H652">
        <v>1</v>
      </c>
      <c r="I652">
        <v>40</v>
      </c>
      <c r="J652" s="3">
        <v>47027</v>
      </c>
      <c r="K652" s="6">
        <v>0</v>
      </c>
    </row>
    <row r="653" spans="1:11">
      <c r="A653" t="str">
        <f t="shared" si="10"/>
        <v>Hexacar 100 SC 40 X 250 ml471500</v>
      </c>
      <c r="B653" t="s">
        <v>10472</v>
      </c>
      <c r="C653" t="s">
        <v>12556</v>
      </c>
      <c r="D653" t="s">
        <v>15035</v>
      </c>
      <c r="E653" t="s">
        <v>805</v>
      </c>
      <c r="F653">
        <v>40</v>
      </c>
      <c r="G653">
        <v>1</v>
      </c>
      <c r="H653">
        <v>1</v>
      </c>
      <c r="I653">
        <v>40</v>
      </c>
      <c r="J653" s="3">
        <v>47150</v>
      </c>
      <c r="K653" s="6">
        <v>0</v>
      </c>
    </row>
    <row r="654" spans="1:11">
      <c r="A654" t="str">
        <f t="shared" si="10"/>
        <v>Hexagold 75 WP 25 X 400 gr467220</v>
      </c>
      <c r="B654" t="s">
        <v>10473</v>
      </c>
      <c r="C654" t="s">
        <v>12557</v>
      </c>
      <c r="D654" t="s">
        <v>15036</v>
      </c>
      <c r="E654" t="s">
        <v>806</v>
      </c>
      <c r="F654">
        <v>25</v>
      </c>
      <c r="G654">
        <v>1</v>
      </c>
      <c r="H654">
        <v>1</v>
      </c>
      <c r="I654">
        <v>25</v>
      </c>
      <c r="J654" s="3">
        <v>46722</v>
      </c>
      <c r="K654" s="6">
        <v>0</v>
      </c>
    </row>
    <row r="655" spans="1:11">
      <c r="A655" t="str">
        <f t="shared" si="10"/>
        <v>Hexagold 75 WP 25 X 400 gr467530</v>
      </c>
      <c r="B655" t="s">
        <v>10474</v>
      </c>
      <c r="C655" t="s">
        <v>12558</v>
      </c>
      <c r="D655" t="s">
        <v>15037</v>
      </c>
      <c r="E655" t="s">
        <v>806</v>
      </c>
      <c r="F655">
        <v>25</v>
      </c>
      <c r="G655">
        <v>1</v>
      </c>
      <c r="H655">
        <v>1</v>
      </c>
      <c r="I655">
        <v>25</v>
      </c>
      <c r="J655" s="3">
        <v>46753</v>
      </c>
      <c r="K655" s="6">
        <v>0</v>
      </c>
    </row>
    <row r="656" spans="1:11">
      <c r="A656" t="str">
        <f t="shared" si="10"/>
        <v>Hexagold 75 WP 50 X 100 gr466920</v>
      </c>
      <c r="B656" t="s">
        <v>10475</v>
      </c>
      <c r="C656" t="s">
        <v>12559</v>
      </c>
      <c r="D656" t="s">
        <v>15038</v>
      </c>
      <c r="E656" t="s">
        <v>807</v>
      </c>
      <c r="F656">
        <v>50</v>
      </c>
      <c r="G656">
        <v>1</v>
      </c>
      <c r="H656">
        <v>1</v>
      </c>
      <c r="I656">
        <v>50</v>
      </c>
      <c r="J656" s="3">
        <v>46692</v>
      </c>
      <c r="K656" s="6">
        <v>0</v>
      </c>
    </row>
    <row r="657" spans="1:11">
      <c r="A657" t="str">
        <f t="shared" si="10"/>
        <v>Hidrofur 3 G 10 X 2 kg460820</v>
      </c>
      <c r="B657" t="s">
        <v>10476</v>
      </c>
      <c r="C657" t="s">
        <v>12560</v>
      </c>
      <c r="D657" t="s">
        <v>15039</v>
      </c>
      <c r="E657" t="s">
        <v>808</v>
      </c>
      <c r="F657">
        <v>10</v>
      </c>
      <c r="G657">
        <v>1</v>
      </c>
      <c r="H657">
        <v>1</v>
      </c>
      <c r="I657">
        <v>10</v>
      </c>
      <c r="J657" s="3">
        <v>46082</v>
      </c>
      <c r="K657" s="6">
        <v>0</v>
      </c>
    </row>
    <row r="658" spans="1:11">
      <c r="A658" t="str">
        <f t="shared" si="10"/>
        <v>Hidrofur 3 G 10 X 2 kg468130</v>
      </c>
      <c r="B658" t="s">
        <v>10477</v>
      </c>
      <c r="C658" t="s">
        <v>12561</v>
      </c>
      <c r="D658" t="s">
        <v>15040</v>
      </c>
      <c r="E658" t="s">
        <v>808</v>
      </c>
      <c r="F658">
        <v>10</v>
      </c>
      <c r="G658">
        <v>1</v>
      </c>
      <c r="H658">
        <v>1</v>
      </c>
      <c r="I658">
        <v>10</v>
      </c>
      <c r="J658" s="3">
        <v>46813</v>
      </c>
      <c r="K658" s="6">
        <v>0</v>
      </c>
    </row>
    <row r="659" spans="1:11">
      <c r="A659" t="str">
        <f t="shared" si="10"/>
        <v>Hijau 250 ml452000</v>
      </c>
      <c r="B659" t="s">
        <v>10478</v>
      </c>
      <c r="C659" t="s">
        <v>12562</v>
      </c>
      <c r="D659" t="s">
        <v>15041</v>
      </c>
      <c r="E659" t="s">
        <v>809</v>
      </c>
      <c r="F659">
        <v>1</v>
      </c>
      <c r="G659">
        <v>1</v>
      </c>
      <c r="H659">
        <v>1</v>
      </c>
      <c r="I659">
        <v>1</v>
      </c>
      <c r="J659" s="3">
        <v>45200</v>
      </c>
      <c r="K659" s="6">
        <v>0</v>
      </c>
    </row>
    <row r="660" spans="1:11">
      <c r="A660" t="str">
        <f t="shared" si="10"/>
        <v>HiPro Series 13-7-10 Powder 250 gr (Sample)1/1/10000</v>
      </c>
      <c r="B660" t="s">
        <v>10479</v>
      </c>
      <c r="C660" t="s">
        <v>12563</v>
      </c>
      <c r="D660" t="s">
        <v>15042</v>
      </c>
      <c r="E660" t="s">
        <v>810</v>
      </c>
      <c r="F660">
        <v>1</v>
      </c>
      <c r="G660">
        <v>1</v>
      </c>
      <c r="H660">
        <v>1</v>
      </c>
      <c r="I660">
        <v>1</v>
      </c>
      <c r="J660" s="3" t="s">
        <v>2222</v>
      </c>
      <c r="K660" s="6">
        <v>0</v>
      </c>
    </row>
    <row r="661" spans="1:11">
      <c r="A661" t="str">
        <f t="shared" si="10"/>
        <v>HiPro Series 13-7-10 Powder 40 X 250 gr460230</v>
      </c>
      <c r="B661" t="s">
        <v>10480</v>
      </c>
      <c r="C661" t="s">
        <v>12564</v>
      </c>
      <c r="D661" t="s">
        <v>15043</v>
      </c>
      <c r="E661" t="s">
        <v>811</v>
      </c>
      <c r="F661">
        <v>40</v>
      </c>
      <c r="G661">
        <v>1</v>
      </c>
      <c r="H661">
        <v>1</v>
      </c>
      <c r="I661">
        <v>40</v>
      </c>
      <c r="J661" s="3">
        <v>46023</v>
      </c>
      <c r="K661" s="6">
        <v>0</v>
      </c>
    </row>
    <row r="662" spans="1:11">
      <c r="A662" t="str">
        <f t="shared" si="10"/>
        <v>Hokky 30 EC 16 X 1 ltr470580</v>
      </c>
      <c r="B662" t="s">
        <v>10481</v>
      </c>
      <c r="C662" t="s">
        <v>12565</v>
      </c>
      <c r="D662" t="s">
        <v>15044</v>
      </c>
      <c r="E662" t="s">
        <v>812</v>
      </c>
      <c r="F662">
        <v>16</v>
      </c>
      <c r="G662">
        <v>1</v>
      </c>
      <c r="H662">
        <v>1</v>
      </c>
      <c r="I662">
        <v>16</v>
      </c>
      <c r="J662" s="3">
        <v>47058</v>
      </c>
      <c r="K662" s="6">
        <v>0</v>
      </c>
    </row>
    <row r="663" spans="1:11">
      <c r="A663" t="str">
        <f t="shared" si="10"/>
        <v>Hokky 30 EC 16 X 1 ltr471780</v>
      </c>
      <c r="B663" t="s">
        <v>10482</v>
      </c>
      <c r="C663" t="s">
        <v>12566</v>
      </c>
      <c r="D663" t="s">
        <v>15045</v>
      </c>
      <c r="E663" t="s">
        <v>812</v>
      </c>
      <c r="F663">
        <v>16</v>
      </c>
      <c r="G663">
        <v>1</v>
      </c>
      <c r="H663">
        <v>1</v>
      </c>
      <c r="I663">
        <v>16</v>
      </c>
      <c r="J663" s="3">
        <v>47178</v>
      </c>
      <c r="K663" s="6">
        <v>0</v>
      </c>
    </row>
    <row r="664" spans="1:11">
      <c r="A664" t="str">
        <f t="shared" si="10"/>
        <v>Hokky 30 EC 20 X 400 ml468740</v>
      </c>
      <c r="B664" t="s">
        <v>10483</v>
      </c>
      <c r="C664" t="s">
        <v>12567</v>
      </c>
      <c r="D664" t="s">
        <v>15046</v>
      </c>
      <c r="E664" t="s">
        <v>813</v>
      </c>
      <c r="F664">
        <v>20</v>
      </c>
      <c r="G664">
        <v>1</v>
      </c>
      <c r="H664">
        <v>1</v>
      </c>
      <c r="I664">
        <v>20</v>
      </c>
      <c r="J664" s="3">
        <v>46874</v>
      </c>
      <c r="K664" s="6">
        <v>0</v>
      </c>
    </row>
    <row r="665" spans="1:11">
      <c r="A665" t="str">
        <f t="shared" si="10"/>
        <v>Hokky 30 EC 20 X 400 ml469660</v>
      </c>
      <c r="B665" t="s">
        <v>10484</v>
      </c>
      <c r="C665" t="s">
        <v>12568</v>
      </c>
      <c r="D665" t="s">
        <v>15047</v>
      </c>
      <c r="E665" t="s">
        <v>813</v>
      </c>
      <c r="F665">
        <v>20</v>
      </c>
      <c r="G665">
        <v>1</v>
      </c>
      <c r="H665">
        <v>1</v>
      </c>
      <c r="I665">
        <v>20</v>
      </c>
      <c r="J665" s="3">
        <v>46966</v>
      </c>
      <c r="K665" s="6">
        <v>0</v>
      </c>
    </row>
    <row r="666" spans="1:11">
      <c r="A666" t="str">
        <f t="shared" si="10"/>
        <v>Hotshot 200 EC 15 X 1 ltr466610</v>
      </c>
      <c r="B666" t="s">
        <v>10485</v>
      </c>
      <c r="C666" t="s">
        <v>12569</v>
      </c>
      <c r="D666" t="s">
        <v>15048</v>
      </c>
      <c r="E666" t="s">
        <v>814</v>
      </c>
      <c r="F666">
        <v>15</v>
      </c>
      <c r="G666">
        <v>1</v>
      </c>
      <c r="H666">
        <v>1</v>
      </c>
      <c r="I666">
        <v>15</v>
      </c>
      <c r="J666" s="3">
        <v>46661</v>
      </c>
      <c r="K666" s="6">
        <v>0</v>
      </c>
    </row>
    <row r="667" spans="1:11">
      <c r="A667" t="str">
        <f t="shared" si="10"/>
        <v>Hotshot 200 EC 20 X 500 ml456580</v>
      </c>
      <c r="B667" t="s">
        <v>10486</v>
      </c>
      <c r="C667" t="s">
        <v>12570</v>
      </c>
      <c r="D667" t="s">
        <v>15049</v>
      </c>
      <c r="E667" t="s">
        <v>816</v>
      </c>
      <c r="F667">
        <v>20</v>
      </c>
      <c r="G667">
        <v>1</v>
      </c>
      <c r="H667">
        <v>1</v>
      </c>
      <c r="I667">
        <v>20</v>
      </c>
      <c r="J667" s="3">
        <v>45658</v>
      </c>
      <c r="K667" s="6">
        <v>0</v>
      </c>
    </row>
    <row r="668" spans="1:11">
      <c r="A668" t="str">
        <f t="shared" si="10"/>
        <v>Hotshot 200 EC 20 X 500 ml463880</v>
      </c>
      <c r="B668" t="s">
        <v>10487</v>
      </c>
      <c r="C668" t="s">
        <v>12571</v>
      </c>
      <c r="D668" t="s">
        <v>15050</v>
      </c>
      <c r="E668" t="s">
        <v>816</v>
      </c>
      <c r="F668">
        <v>20</v>
      </c>
      <c r="G668">
        <v>1</v>
      </c>
      <c r="H668">
        <v>1</v>
      </c>
      <c r="I668">
        <v>20</v>
      </c>
      <c r="J668" s="3">
        <v>46388</v>
      </c>
      <c r="K668" s="6">
        <v>0</v>
      </c>
    </row>
    <row r="669" spans="1:11">
      <c r="A669" t="str">
        <f t="shared" si="10"/>
        <v>Huang Mi F8 Note 3/16GB1/1/10000</v>
      </c>
      <c r="B669" t="s">
        <v>10488</v>
      </c>
      <c r="C669" t="s">
        <v>12572</v>
      </c>
      <c r="D669" t="s">
        <v>15051</v>
      </c>
      <c r="E669" t="s">
        <v>818</v>
      </c>
      <c r="F669">
        <v>1</v>
      </c>
      <c r="G669">
        <v>1</v>
      </c>
      <c r="H669">
        <v>1</v>
      </c>
      <c r="I669">
        <v>1</v>
      </c>
      <c r="J669" s="3" t="s">
        <v>2222</v>
      </c>
      <c r="K669" s="6">
        <v>0</v>
      </c>
    </row>
    <row r="670" spans="1:11">
      <c r="A670" t="str">
        <f t="shared" si="10"/>
        <v>Ijokabe 12 X 25 X 20 ml466920</v>
      </c>
      <c r="B670" t="s">
        <v>10489</v>
      </c>
      <c r="C670" t="s">
        <v>12573</v>
      </c>
      <c r="D670" t="s">
        <v>15052</v>
      </c>
      <c r="E670" t="s">
        <v>819</v>
      </c>
      <c r="F670">
        <v>12</v>
      </c>
      <c r="G670">
        <v>25</v>
      </c>
      <c r="H670">
        <v>1</v>
      </c>
      <c r="I670">
        <v>300</v>
      </c>
      <c r="J670" s="3">
        <v>46692</v>
      </c>
      <c r="K670" s="6">
        <v>0</v>
      </c>
    </row>
    <row r="671" spans="1:11">
      <c r="A671" t="str">
        <f t="shared" si="10"/>
        <v>Impetus 10-6-25 + MgO + B2O3 50 kg471190</v>
      </c>
      <c r="B671" t="s">
        <v>10490</v>
      </c>
      <c r="C671" t="s">
        <v>12574</v>
      </c>
      <c r="D671" t="s">
        <v>15053</v>
      </c>
      <c r="E671" t="s">
        <v>821</v>
      </c>
      <c r="F671">
        <v>1</v>
      </c>
      <c r="G671">
        <v>1</v>
      </c>
      <c r="H671">
        <v>1</v>
      </c>
      <c r="I671">
        <v>1</v>
      </c>
      <c r="J671" s="3">
        <v>47119</v>
      </c>
      <c r="K671" s="6">
        <v>0</v>
      </c>
    </row>
    <row r="672" spans="1:11">
      <c r="A672" t="str">
        <f t="shared" si="10"/>
        <v>Imuno 20 x 250 ml1/1/10000</v>
      </c>
      <c r="B672" t="s">
        <v>10491</v>
      </c>
      <c r="C672" t="s">
        <v>12575</v>
      </c>
      <c r="D672" t="s">
        <v>15054</v>
      </c>
      <c r="E672" t="s">
        <v>822</v>
      </c>
      <c r="F672">
        <v>1</v>
      </c>
      <c r="G672">
        <v>1</v>
      </c>
      <c r="H672">
        <v>1</v>
      </c>
      <c r="I672">
        <v>1</v>
      </c>
      <c r="J672" s="3" t="s">
        <v>2222</v>
      </c>
      <c r="K672" s="6">
        <v>0</v>
      </c>
    </row>
    <row r="673" spans="1:11">
      <c r="A673" t="str">
        <f t="shared" si="10"/>
        <v>Indoban 250 EC 20 X 250 ml469050</v>
      </c>
      <c r="B673" t="s">
        <v>10492</v>
      </c>
      <c r="C673" t="s">
        <v>12576</v>
      </c>
      <c r="D673" t="s">
        <v>15055</v>
      </c>
      <c r="E673" t="s">
        <v>823</v>
      </c>
      <c r="F673">
        <v>20</v>
      </c>
      <c r="G673">
        <v>1</v>
      </c>
      <c r="H673">
        <v>1</v>
      </c>
      <c r="I673">
        <v>20</v>
      </c>
      <c r="J673" s="3">
        <v>46905</v>
      </c>
      <c r="K673" s="6">
        <v>0</v>
      </c>
    </row>
    <row r="674" spans="1:11">
      <c r="A674" t="str">
        <f t="shared" si="10"/>
        <v>Infinito 687.5 SC 24 X 250 ml461740</v>
      </c>
      <c r="B674" t="s">
        <v>10493</v>
      </c>
      <c r="C674" t="s">
        <v>12577</v>
      </c>
      <c r="D674" t="s">
        <v>15056</v>
      </c>
      <c r="E674" t="s">
        <v>824</v>
      </c>
      <c r="F674">
        <v>24</v>
      </c>
      <c r="G674">
        <v>1</v>
      </c>
      <c r="H674">
        <v>1</v>
      </c>
      <c r="I674">
        <v>24</v>
      </c>
      <c r="J674" s="3">
        <v>46174</v>
      </c>
      <c r="K674" s="6">
        <v>0</v>
      </c>
    </row>
    <row r="675" spans="1:11">
      <c r="A675" t="str">
        <f t="shared" si="10"/>
        <v>Insure Max 510 FS 100 X 25 ml464780</v>
      </c>
      <c r="B675" t="s">
        <v>10494</v>
      </c>
      <c r="C675" t="s">
        <v>12578</v>
      </c>
      <c r="D675" t="s">
        <v>15057</v>
      </c>
      <c r="E675" t="s">
        <v>825</v>
      </c>
      <c r="F675">
        <v>100</v>
      </c>
      <c r="G675">
        <v>1</v>
      </c>
      <c r="H675">
        <v>1</v>
      </c>
      <c r="I675">
        <v>100</v>
      </c>
      <c r="J675" s="3">
        <v>46478</v>
      </c>
      <c r="K675" s="6">
        <v>0</v>
      </c>
    </row>
    <row r="676" spans="1:11">
      <c r="A676" t="str">
        <f t="shared" si="10"/>
        <v>Insure Max 510 FS 100 X 25 ml464470</v>
      </c>
      <c r="B676" t="s">
        <v>10495</v>
      </c>
      <c r="C676" t="s">
        <v>12579</v>
      </c>
      <c r="D676" t="s">
        <v>15058</v>
      </c>
      <c r="E676" t="s">
        <v>825</v>
      </c>
      <c r="F676">
        <v>100</v>
      </c>
      <c r="G676">
        <v>1</v>
      </c>
      <c r="H676">
        <v>1</v>
      </c>
      <c r="I676">
        <v>100</v>
      </c>
      <c r="J676" s="3">
        <v>46447</v>
      </c>
      <c r="K676" s="6">
        <v>0</v>
      </c>
    </row>
    <row r="677" spans="1:11">
      <c r="A677" t="str">
        <f t="shared" si="10"/>
        <v>Insure Max 510 FS 100 X 25 ml464190</v>
      </c>
      <c r="B677" t="s">
        <v>10496</v>
      </c>
      <c r="C677" t="s">
        <v>12580</v>
      </c>
      <c r="D677" t="s">
        <v>15059</v>
      </c>
      <c r="E677" t="s">
        <v>825</v>
      </c>
      <c r="F677">
        <v>100</v>
      </c>
      <c r="G677">
        <v>1</v>
      </c>
      <c r="H677">
        <v>1</v>
      </c>
      <c r="I677">
        <v>100</v>
      </c>
      <c r="J677" s="3">
        <v>46419</v>
      </c>
      <c r="K677" s="6">
        <v>0</v>
      </c>
    </row>
    <row r="678" spans="1:11">
      <c r="A678" t="str">
        <f t="shared" si="10"/>
        <v>Inter Spreading 50 X 20 X 5 gr1/1/10000</v>
      </c>
      <c r="B678" t="s">
        <v>10497</v>
      </c>
      <c r="C678" t="s">
        <v>12581</v>
      </c>
      <c r="D678" t="s">
        <v>15060</v>
      </c>
      <c r="E678" t="s">
        <v>833</v>
      </c>
      <c r="F678">
        <v>50</v>
      </c>
      <c r="G678">
        <v>20</v>
      </c>
      <c r="H678">
        <v>1</v>
      </c>
      <c r="I678">
        <v>1000</v>
      </c>
      <c r="J678" s="3" t="s">
        <v>2222</v>
      </c>
      <c r="K678" s="6">
        <v>0</v>
      </c>
    </row>
    <row r="679" spans="1:11">
      <c r="A679" t="str">
        <f t="shared" si="10"/>
        <v>Intergan 550 SC 20 X 500 ml466610</v>
      </c>
      <c r="B679" t="s">
        <v>10498</v>
      </c>
      <c r="C679" t="s">
        <v>12582</v>
      </c>
      <c r="D679" t="s">
        <v>15061</v>
      </c>
      <c r="E679" t="s">
        <v>834</v>
      </c>
      <c r="F679">
        <v>20</v>
      </c>
      <c r="G679">
        <v>1</v>
      </c>
      <c r="H679">
        <v>1</v>
      </c>
      <c r="I679">
        <v>20</v>
      </c>
      <c r="J679" s="3">
        <v>46661</v>
      </c>
      <c r="K679" s="6">
        <v>0</v>
      </c>
    </row>
    <row r="680" spans="1:11">
      <c r="A680" t="str">
        <f t="shared" si="10"/>
        <v>Intergan 550 SC 20 X 500 ml464780</v>
      </c>
      <c r="B680" t="s">
        <v>10499</v>
      </c>
      <c r="C680" t="s">
        <v>12583</v>
      </c>
      <c r="D680" t="s">
        <v>15062</v>
      </c>
      <c r="E680" t="s">
        <v>834</v>
      </c>
      <c r="F680">
        <v>20</v>
      </c>
      <c r="G680">
        <v>1</v>
      </c>
      <c r="H680">
        <v>1</v>
      </c>
      <c r="I680">
        <v>20</v>
      </c>
      <c r="J680" s="3">
        <v>46478</v>
      </c>
      <c r="K680" s="6">
        <v>0</v>
      </c>
    </row>
    <row r="681" spans="1:11">
      <c r="A681" t="str">
        <f t="shared" si="10"/>
        <v>Isi Staples Alat Pengikat Tanaman Yoto 10 X 1 pack1/1/10000</v>
      </c>
      <c r="B681" t="s">
        <v>10500</v>
      </c>
      <c r="C681" t="s">
        <v>12584</v>
      </c>
      <c r="D681" t="s">
        <v>15063</v>
      </c>
      <c r="E681" t="s">
        <v>835</v>
      </c>
      <c r="F681">
        <v>10</v>
      </c>
      <c r="G681">
        <v>1</v>
      </c>
      <c r="H681">
        <v>1</v>
      </c>
      <c r="I681">
        <v>10</v>
      </c>
      <c r="J681" s="3" t="s">
        <v>2222</v>
      </c>
      <c r="K681" s="6">
        <v>0</v>
      </c>
    </row>
    <row r="682" spans="1:11">
      <c r="A682" t="str">
        <f t="shared" si="10"/>
        <v>Jaket Bactocyn1/1/10000</v>
      </c>
      <c r="B682" t="s">
        <v>10501</v>
      </c>
      <c r="C682" t="s">
        <v>12585</v>
      </c>
      <c r="D682" t="s">
        <v>15064</v>
      </c>
      <c r="E682" t="s">
        <v>1026</v>
      </c>
      <c r="F682">
        <v>1</v>
      </c>
      <c r="G682">
        <v>1</v>
      </c>
      <c r="H682">
        <v>1</v>
      </c>
      <c r="I682">
        <v>1</v>
      </c>
      <c r="J682" s="3" t="s">
        <v>2222</v>
      </c>
      <c r="K682" s="6">
        <v>0</v>
      </c>
    </row>
    <row r="683" spans="1:11">
      <c r="A683" t="str">
        <f t="shared" si="10"/>
        <v>Jaket Java Karlos1/1/10000</v>
      </c>
      <c r="B683" t="s">
        <v>10502</v>
      </c>
      <c r="C683" t="s">
        <v>12586</v>
      </c>
      <c r="D683" t="s">
        <v>15065</v>
      </c>
      <c r="E683" t="s">
        <v>1027</v>
      </c>
      <c r="F683">
        <v>1</v>
      </c>
      <c r="G683">
        <v>1</v>
      </c>
      <c r="H683">
        <v>1</v>
      </c>
      <c r="I683">
        <v>1</v>
      </c>
      <c r="J683" s="3" t="s">
        <v>2222</v>
      </c>
      <c r="K683" s="6">
        <v>0</v>
      </c>
    </row>
    <row r="684" spans="1:11">
      <c r="A684" t="str">
        <f t="shared" si="10"/>
        <v>Jaket JJM ( Sortie )1/1/10000</v>
      </c>
      <c r="B684" t="s">
        <v>10503</v>
      </c>
      <c r="C684" t="s">
        <v>12587</v>
      </c>
      <c r="D684" t="s">
        <v>15066</v>
      </c>
      <c r="E684" t="s">
        <v>1028</v>
      </c>
      <c r="F684">
        <v>1</v>
      </c>
      <c r="G684">
        <v>1</v>
      </c>
      <c r="H684">
        <v>1</v>
      </c>
      <c r="I684">
        <v>1</v>
      </c>
      <c r="J684" s="3" t="s">
        <v>2222</v>
      </c>
      <c r="K684" s="6">
        <v>0</v>
      </c>
    </row>
    <row r="685" spans="1:11">
      <c r="A685" t="str">
        <f t="shared" si="10"/>
        <v>Jaket Shadow1/1/10000</v>
      </c>
      <c r="B685" t="s">
        <v>10504</v>
      </c>
      <c r="C685" t="s">
        <v>12588</v>
      </c>
      <c r="D685" t="s">
        <v>15067</v>
      </c>
      <c r="E685" t="s">
        <v>1029</v>
      </c>
      <c r="F685">
        <v>1</v>
      </c>
      <c r="G685">
        <v>1</v>
      </c>
      <c r="H685">
        <v>1</v>
      </c>
      <c r="I685">
        <v>1</v>
      </c>
      <c r="J685" s="3" t="s">
        <v>2222</v>
      </c>
      <c r="K685" s="6">
        <v>0</v>
      </c>
    </row>
    <row r="686" spans="1:11">
      <c r="A686" t="str">
        <f t="shared" si="10"/>
        <v>Jaket Syngenta ( Cruiser )1/1/10000</v>
      </c>
      <c r="B686" t="s">
        <v>10505</v>
      </c>
      <c r="C686" t="s">
        <v>12589</v>
      </c>
      <c r="D686" t="s">
        <v>15068</v>
      </c>
      <c r="E686" t="s">
        <v>1030</v>
      </c>
      <c r="F686">
        <v>1</v>
      </c>
      <c r="G686">
        <v>1</v>
      </c>
      <c r="H686">
        <v>1</v>
      </c>
      <c r="I686">
        <v>1</v>
      </c>
      <c r="J686" s="3" t="s">
        <v>2222</v>
      </c>
      <c r="K686" s="6">
        <v>0</v>
      </c>
    </row>
    <row r="687" spans="1:11">
      <c r="A687" t="str">
        <f t="shared" si="10"/>
        <v>Jam Dinding Bactocyn1/1/10000</v>
      </c>
      <c r="B687" t="s">
        <v>10506</v>
      </c>
      <c r="C687" t="s">
        <v>12590</v>
      </c>
      <c r="D687" t="s">
        <v>15069</v>
      </c>
      <c r="E687" t="s">
        <v>1031</v>
      </c>
      <c r="F687">
        <v>1</v>
      </c>
      <c r="G687">
        <v>1</v>
      </c>
      <c r="H687">
        <v>1</v>
      </c>
      <c r="I687">
        <v>1</v>
      </c>
      <c r="J687" s="3" t="s">
        <v>2222</v>
      </c>
      <c r="K687" s="6">
        <v>0</v>
      </c>
    </row>
    <row r="688" spans="1:11">
      <c r="A688" t="str">
        <f t="shared" si="10"/>
        <v>Jam Dinding Mirado MQ 8505 SL1/1/10000</v>
      </c>
      <c r="B688" t="s">
        <v>10507</v>
      </c>
      <c r="C688" t="s">
        <v>12591</v>
      </c>
      <c r="D688" t="s">
        <v>15070</v>
      </c>
      <c r="E688" t="s">
        <v>1032</v>
      </c>
      <c r="F688">
        <v>1</v>
      </c>
      <c r="G688">
        <v>1</v>
      </c>
      <c r="H688">
        <v>1</v>
      </c>
      <c r="I688">
        <v>1</v>
      </c>
      <c r="J688" s="3" t="s">
        <v>2222</v>
      </c>
      <c r="K688" s="6">
        <v>0</v>
      </c>
    </row>
    <row r="689" spans="1:11">
      <c r="A689" t="str">
        <f t="shared" si="10"/>
        <v>Jam Dinding Mirado MQ 8867 SL1/1/10000</v>
      </c>
      <c r="B689" t="s">
        <v>10508</v>
      </c>
      <c r="C689" t="s">
        <v>12592</v>
      </c>
      <c r="D689" t="s">
        <v>15071</v>
      </c>
      <c r="E689" t="s">
        <v>1033</v>
      </c>
      <c r="F689">
        <v>1</v>
      </c>
      <c r="G689">
        <v>1</v>
      </c>
      <c r="H689">
        <v>1</v>
      </c>
      <c r="I689">
        <v>1</v>
      </c>
      <c r="J689" s="3" t="s">
        <v>2222</v>
      </c>
      <c r="K689" s="6">
        <v>0</v>
      </c>
    </row>
    <row r="690" spans="1:11">
      <c r="A690" t="str">
        <f t="shared" si="10"/>
        <v>Jam Dinding Mirado MQ 8877 SL1/1/10000</v>
      </c>
      <c r="B690" t="s">
        <v>10509</v>
      </c>
      <c r="C690" t="s">
        <v>12593</v>
      </c>
      <c r="D690" t="s">
        <v>15072</v>
      </c>
      <c r="E690" t="s">
        <v>1034</v>
      </c>
      <c r="F690">
        <v>1</v>
      </c>
      <c r="G690">
        <v>1</v>
      </c>
      <c r="H690">
        <v>1</v>
      </c>
      <c r="I690">
        <v>1</v>
      </c>
      <c r="J690" s="3" t="s">
        <v>2222</v>
      </c>
      <c r="K690" s="6">
        <v>0</v>
      </c>
    </row>
    <row r="691" spans="1:11">
      <c r="A691" t="str">
        <f t="shared" si="10"/>
        <v>Jam Dinding Syngenta1/1/10000</v>
      </c>
      <c r="B691" t="s">
        <v>10510</v>
      </c>
      <c r="C691" t="s">
        <v>12594</v>
      </c>
      <c r="D691" t="s">
        <v>15073</v>
      </c>
      <c r="E691" t="s">
        <v>1035</v>
      </c>
      <c r="F691">
        <v>1</v>
      </c>
      <c r="G691">
        <v>1</v>
      </c>
      <c r="H691">
        <v>1</v>
      </c>
      <c r="I691">
        <v>1</v>
      </c>
      <c r="J691" s="3" t="s">
        <v>2222</v>
      </c>
      <c r="K691" s="6">
        <v>0</v>
      </c>
    </row>
    <row r="692" spans="1:11">
      <c r="A692" t="str">
        <f t="shared" si="10"/>
        <v>Japra 400 SE 30 X 500 ml (M2U)+2 pcs Borer462960</v>
      </c>
      <c r="B692" t="s">
        <v>10511</v>
      </c>
      <c r="C692" t="s">
        <v>12595</v>
      </c>
      <c r="D692" t="s">
        <v>15074</v>
      </c>
      <c r="E692" t="s">
        <v>1036</v>
      </c>
      <c r="F692">
        <v>30</v>
      </c>
      <c r="G692">
        <v>1</v>
      </c>
      <c r="H692">
        <v>1</v>
      </c>
      <c r="I692">
        <v>30</v>
      </c>
      <c r="J692" s="3">
        <v>46296</v>
      </c>
      <c r="K692" s="6">
        <v>0</v>
      </c>
    </row>
    <row r="693" spans="1:11">
      <c r="A693" t="str">
        <f t="shared" si="10"/>
        <v>Japra 400 SE 30 X 500 ml (M2U)+2 pcs Borer462350</v>
      </c>
      <c r="B693" t="s">
        <v>10512</v>
      </c>
      <c r="C693" t="s">
        <v>12596</v>
      </c>
      <c r="D693" t="s">
        <v>15075</v>
      </c>
      <c r="E693" t="s">
        <v>1036</v>
      </c>
      <c r="F693">
        <v>30</v>
      </c>
      <c r="G693">
        <v>1</v>
      </c>
      <c r="H693">
        <v>1</v>
      </c>
      <c r="I693">
        <v>30</v>
      </c>
      <c r="J693" s="3">
        <v>46235</v>
      </c>
      <c r="K693" s="6">
        <v>0</v>
      </c>
    </row>
    <row r="694" spans="1:11">
      <c r="A694" t="str">
        <f t="shared" si="10"/>
        <v>Japra 400 SE 50 X 250 ml (M2U)+1 pcs Borer462040</v>
      </c>
      <c r="B694" t="s">
        <v>10513</v>
      </c>
      <c r="C694" t="s">
        <v>12597</v>
      </c>
      <c r="D694" t="s">
        <v>15076</v>
      </c>
      <c r="E694" t="s">
        <v>1037</v>
      </c>
      <c r="F694">
        <v>50</v>
      </c>
      <c r="G694">
        <v>1</v>
      </c>
      <c r="H694">
        <v>1</v>
      </c>
      <c r="I694">
        <v>50</v>
      </c>
      <c r="J694" s="3">
        <v>46204</v>
      </c>
      <c r="K694" s="6">
        <v>0</v>
      </c>
    </row>
    <row r="695" spans="1:11">
      <c r="A695" t="str">
        <f t="shared" si="10"/>
        <v>Japra 400 SE 50 X 250 ml (M2U)+1 pcs Borer462660</v>
      </c>
      <c r="B695" t="s">
        <v>10514</v>
      </c>
      <c r="C695" t="s">
        <v>12598</v>
      </c>
      <c r="D695" t="s">
        <v>15077</v>
      </c>
      <c r="E695" t="s">
        <v>1037</v>
      </c>
      <c r="F695">
        <v>50</v>
      </c>
      <c r="G695">
        <v>1</v>
      </c>
      <c r="H695">
        <v>1</v>
      </c>
      <c r="I695">
        <v>50</v>
      </c>
      <c r="J695" s="3">
        <v>46266</v>
      </c>
      <c r="K695" s="6">
        <v>0</v>
      </c>
    </row>
    <row r="696" spans="1:11">
      <c r="A696" t="str">
        <f t="shared" si="10"/>
        <v>Jet Stik Sprayer1/1/10000</v>
      </c>
      <c r="B696" t="s">
        <v>10515</v>
      </c>
      <c r="C696" t="s">
        <v>12599</v>
      </c>
      <c r="D696" t="s">
        <v>15078</v>
      </c>
      <c r="E696" t="s">
        <v>1038</v>
      </c>
      <c r="F696">
        <v>1</v>
      </c>
      <c r="G696">
        <v>1</v>
      </c>
      <c r="H696">
        <v>1</v>
      </c>
      <c r="I696">
        <v>1</v>
      </c>
      <c r="J696" s="3" t="s">
        <v>2222</v>
      </c>
      <c r="K696" s="6">
        <v>0</v>
      </c>
    </row>
    <row r="697" spans="1:11">
      <c r="A697" t="str">
        <f t="shared" si="10"/>
        <v>Kaliandra 482 EC 10 X 1 ltr (AGM)467530</v>
      </c>
      <c r="B697" t="s">
        <v>10516</v>
      </c>
      <c r="C697" t="s">
        <v>12600</v>
      </c>
      <c r="D697" t="s">
        <v>15079</v>
      </c>
      <c r="E697" t="s">
        <v>1039</v>
      </c>
      <c r="F697">
        <v>10</v>
      </c>
      <c r="G697">
        <v>1</v>
      </c>
      <c r="H697">
        <v>1</v>
      </c>
      <c r="I697">
        <v>10</v>
      </c>
      <c r="J697" s="3">
        <v>46753</v>
      </c>
      <c r="K697" s="6">
        <v>0</v>
      </c>
    </row>
    <row r="698" spans="1:11">
      <c r="A698" t="str">
        <f t="shared" si="10"/>
        <v>Kaliandra 482 EC 10 X 1 ltr (AGM)471500</v>
      </c>
      <c r="B698" t="s">
        <v>10517</v>
      </c>
      <c r="C698" t="s">
        <v>12601</v>
      </c>
      <c r="D698" t="s">
        <v>15080</v>
      </c>
      <c r="E698" t="s">
        <v>1039</v>
      </c>
      <c r="F698">
        <v>10</v>
      </c>
      <c r="G698">
        <v>1</v>
      </c>
      <c r="H698">
        <v>1</v>
      </c>
      <c r="I698">
        <v>10</v>
      </c>
      <c r="J698" s="3">
        <v>47150</v>
      </c>
      <c r="K698" s="6">
        <v>0</v>
      </c>
    </row>
    <row r="699" spans="1:11">
      <c r="A699" t="str">
        <f t="shared" si="10"/>
        <v>Kaliandra 482 EC 10 X 1 ltr (AGM)471780</v>
      </c>
      <c r="B699" t="s">
        <v>10518</v>
      </c>
      <c r="C699" t="s">
        <v>12602</v>
      </c>
      <c r="D699" t="s">
        <v>15081</v>
      </c>
      <c r="E699" t="s">
        <v>1039</v>
      </c>
      <c r="F699">
        <v>10</v>
      </c>
      <c r="G699">
        <v>1</v>
      </c>
      <c r="H699">
        <v>1</v>
      </c>
      <c r="I699">
        <v>10</v>
      </c>
      <c r="J699" s="3">
        <v>47178</v>
      </c>
      <c r="K699" s="6">
        <v>0</v>
      </c>
    </row>
    <row r="700" spans="1:11">
      <c r="A700" t="str">
        <f t="shared" si="10"/>
        <v>Kaliandra 482 EC 20 X 400 ml (AGM)471500</v>
      </c>
      <c r="B700" t="s">
        <v>10519</v>
      </c>
      <c r="C700" t="s">
        <v>12603</v>
      </c>
      <c r="D700" t="s">
        <v>15082</v>
      </c>
      <c r="E700" t="s">
        <v>1043</v>
      </c>
      <c r="F700">
        <v>20</v>
      </c>
      <c r="G700">
        <v>1</v>
      </c>
      <c r="H700">
        <v>1</v>
      </c>
      <c r="I700">
        <v>20</v>
      </c>
      <c r="J700" s="3">
        <v>47150</v>
      </c>
      <c r="K700" s="6">
        <v>0</v>
      </c>
    </row>
    <row r="701" spans="1:11">
      <c r="A701" t="str">
        <f t="shared" si="10"/>
        <v>Kaliandra 482 EC 40 X 200 ml (AGM)469970</v>
      </c>
      <c r="B701" t="s">
        <v>10520</v>
      </c>
      <c r="C701" t="s">
        <v>12604</v>
      </c>
      <c r="D701" t="s">
        <v>15083</v>
      </c>
      <c r="E701" t="s">
        <v>1045</v>
      </c>
      <c r="F701">
        <v>40</v>
      </c>
      <c r="G701">
        <v>1</v>
      </c>
      <c r="H701">
        <v>1</v>
      </c>
      <c r="I701">
        <v>40</v>
      </c>
      <c r="J701" s="3">
        <v>46997</v>
      </c>
      <c r="K701" s="6">
        <v>0</v>
      </c>
    </row>
    <row r="702" spans="1:11">
      <c r="A702" t="str">
        <f t="shared" si="10"/>
        <v>Kaliandra 482 EC 40 X 200 ml (AGM)472390</v>
      </c>
      <c r="B702" t="s">
        <v>10521</v>
      </c>
      <c r="C702" t="s">
        <v>12605</v>
      </c>
      <c r="D702" t="s">
        <v>15084</v>
      </c>
      <c r="E702" t="s">
        <v>1045</v>
      </c>
      <c r="F702">
        <v>40</v>
      </c>
      <c r="G702">
        <v>1</v>
      </c>
      <c r="H702">
        <v>1</v>
      </c>
      <c r="I702">
        <v>40</v>
      </c>
      <c r="J702" s="3">
        <v>47239</v>
      </c>
      <c r="K702" s="6">
        <v>0</v>
      </c>
    </row>
    <row r="703" spans="1:11">
      <c r="A703" t="str">
        <f t="shared" si="10"/>
        <v>Kaliandra 482 EC 50 X 80 ml (AGM)472390</v>
      </c>
      <c r="B703" t="s">
        <v>10522</v>
      </c>
      <c r="C703" t="s">
        <v>12606</v>
      </c>
      <c r="D703" t="s">
        <v>15085</v>
      </c>
      <c r="E703" t="s">
        <v>1048</v>
      </c>
      <c r="F703">
        <v>50</v>
      </c>
      <c r="G703">
        <v>1</v>
      </c>
      <c r="H703">
        <v>1</v>
      </c>
      <c r="I703">
        <v>50</v>
      </c>
      <c r="J703" s="3">
        <v>47239</v>
      </c>
      <c r="K703" s="6">
        <v>0</v>
      </c>
    </row>
    <row r="704" spans="1:11">
      <c r="A704" t="str">
        <f t="shared" si="10"/>
        <v>Kamem1/1/10000</v>
      </c>
      <c r="B704" t="s">
        <v>10523</v>
      </c>
      <c r="C704" t="s">
        <v>12607</v>
      </c>
      <c r="D704" t="s">
        <v>15086</v>
      </c>
      <c r="E704" t="s">
        <v>1050</v>
      </c>
      <c r="F704">
        <v>1</v>
      </c>
      <c r="G704">
        <v>1</v>
      </c>
      <c r="H704">
        <v>1</v>
      </c>
      <c r="I704">
        <v>1</v>
      </c>
      <c r="J704" s="3" t="s">
        <v>2222</v>
      </c>
      <c r="K704" s="6">
        <v>0</v>
      </c>
    </row>
    <row r="705" spans="1:11">
      <c r="A705" t="str">
        <f t="shared" si="10"/>
        <v>Kantong Plastik Bening Besar (Sample)1/1/10000</v>
      </c>
      <c r="B705" t="s">
        <v>10524</v>
      </c>
      <c r="C705" t="s">
        <v>12608</v>
      </c>
      <c r="D705" t="s">
        <v>15087</v>
      </c>
      <c r="E705" t="s">
        <v>1055</v>
      </c>
      <c r="F705">
        <v>1</v>
      </c>
      <c r="G705">
        <v>1</v>
      </c>
      <c r="H705">
        <v>1</v>
      </c>
      <c r="I705">
        <v>1</v>
      </c>
      <c r="J705" s="3" t="s">
        <v>2222</v>
      </c>
      <c r="K705" s="6">
        <v>0</v>
      </c>
    </row>
    <row r="706" spans="1:11">
      <c r="A706" t="str">
        <f t="shared" si="10"/>
        <v>Kantong Plastik Bening Kecil (Sample)1/1/10000</v>
      </c>
      <c r="B706" t="s">
        <v>10525</v>
      </c>
      <c r="C706" t="s">
        <v>12609</v>
      </c>
      <c r="D706" t="s">
        <v>15088</v>
      </c>
      <c r="E706" t="s">
        <v>1056</v>
      </c>
      <c r="F706">
        <v>1</v>
      </c>
      <c r="G706">
        <v>1</v>
      </c>
      <c r="H706">
        <v>1</v>
      </c>
      <c r="I706">
        <v>1</v>
      </c>
      <c r="J706" s="3" t="s">
        <v>2222</v>
      </c>
      <c r="K706" s="6">
        <v>0</v>
      </c>
    </row>
    <row r="707" spans="1:11">
      <c r="A707" t="str">
        <f t="shared" ref="A707:A770" si="11">E707&amp;J707&amp;K707</f>
        <v>Kantong Plastik Hitam Besar (Sample)1/1/10000</v>
      </c>
      <c r="B707" t="s">
        <v>10526</v>
      </c>
      <c r="C707" t="s">
        <v>12610</v>
      </c>
      <c r="D707" t="s">
        <v>15089</v>
      </c>
      <c r="E707" t="s">
        <v>1057</v>
      </c>
      <c r="F707">
        <v>1</v>
      </c>
      <c r="G707">
        <v>1</v>
      </c>
      <c r="H707">
        <v>1</v>
      </c>
      <c r="I707">
        <v>1</v>
      </c>
      <c r="J707" s="3" t="s">
        <v>2222</v>
      </c>
      <c r="K707" s="6">
        <v>0</v>
      </c>
    </row>
    <row r="708" spans="1:11">
      <c r="A708" t="str">
        <f t="shared" si="11"/>
        <v>Kantong Plastik Hitam Kecil (Sample)1/1/10000</v>
      </c>
      <c r="B708" t="s">
        <v>10527</v>
      </c>
      <c r="C708" t="s">
        <v>12611</v>
      </c>
      <c r="D708" t="s">
        <v>15090</v>
      </c>
      <c r="E708" t="s">
        <v>1058</v>
      </c>
      <c r="F708">
        <v>1</v>
      </c>
      <c r="G708">
        <v>1</v>
      </c>
      <c r="H708">
        <v>1</v>
      </c>
      <c r="I708">
        <v>1</v>
      </c>
      <c r="J708" s="3" t="s">
        <v>2222</v>
      </c>
      <c r="K708" s="6">
        <v>0</v>
      </c>
    </row>
    <row r="709" spans="1:11">
      <c r="A709" t="str">
        <f t="shared" si="11"/>
        <v>Kantong Plastik Hitam Sedang (Sample)1/1/10000</v>
      </c>
      <c r="B709" t="s">
        <v>10528</v>
      </c>
      <c r="C709" t="s">
        <v>12612</v>
      </c>
      <c r="D709" t="s">
        <v>15091</v>
      </c>
      <c r="E709" t="s">
        <v>1059</v>
      </c>
      <c r="F709">
        <v>1</v>
      </c>
      <c r="G709">
        <v>1</v>
      </c>
      <c r="H709">
        <v>1</v>
      </c>
      <c r="I709">
        <v>1</v>
      </c>
      <c r="J709" s="3" t="s">
        <v>2222</v>
      </c>
      <c r="K709" s="6">
        <v>0</v>
      </c>
    </row>
    <row r="710" spans="1:11">
      <c r="A710" t="str">
        <f t="shared" si="11"/>
        <v>Kantong Plastik Kuning Besar (Sample)1/1/10000</v>
      </c>
      <c r="B710" t="s">
        <v>10529</v>
      </c>
      <c r="C710" t="s">
        <v>12613</v>
      </c>
      <c r="D710" t="s">
        <v>15092</v>
      </c>
      <c r="E710" t="s">
        <v>1060</v>
      </c>
      <c r="F710">
        <v>1</v>
      </c>
      <c r="G710">
        <v>1</v>
      </c>
      <c r="H710">
        <v>1</v>
      </c>
      <c r="I710">
        <v>1</v>
      </c>
      <c r="J710" s="3" t="s">
        <v>2222</v>
      </c>
      <c r="K710" s="6">
        <v>0</v>
      </c>
    </row>
    <row r="711" spans="1:11">
      <c r="A711" t="str">
        <f t="shared" si="11"/>
        <v>Kaos Amiboost1/1/10000</v>
      </c>
      <c r="B711" t="s">
        <v>10530</v>
      </c>
      <c r="C711" t="s">
        <v>12614</v>
      </c>
      <c r="D711" t="s">
        <v>15093</v>
      </c>
      <c r="E711" t="s">
        <v>1061</v>
      </c>
      <c r="F711">
        <v>1</v>
      </c>
      <c r="G711">
        <v>1</v>
      </c>
      <c r="H711">
        <v>1</v>
      </c>
      <c r="I711">
        <v>1</v>
      </c>
      <c r="J711" s="3" t="s">
        <v>2222</v>
      </c>
      <c r="K711" s="6">
        <v>0</v>
      </c>
    </row>
    <row r="712" spans="1:11">
      <c r="A712" t="str">
        <f t="shared" si="11"/>
        <v>Kaos Arma1/1/10000</v>
      </c>
      <c r="B712" t="s">
        <v>10531</v>
      </c>
      <c r="C712" t="s">
        <v>12615</v>
      </c>
      <c r="D712" t="s">
        <v>15094</v>
      </c>
      <c r="E712" t="s">
        <v>1062</v>
      </c>
      <c r="F712">
        <v>1</v>
      </c>
      <c r="G712">
        <v>1</v>
      </c>
      <c r="H712">
        <v>1</v>
      </c>
      <c r="I712">
        <v>1</v>
      </c>
      <c r="J712" s="3" t="s">
        <v>2222</v>
      </c>
      <c r="K712" s="6">
        <v>0</v>
      </c>
    </row>
    <row r="713" spans="1:11">
      <c r="A713" t="str">
        <f t="shared" si="11"/>
        <v>Kaos Asetor1/1/10000</v>
      </c>
      <c r="B713" t="s">
        <v>10532</v>
      </c>
      <c r="C713" t="s">
        <v>12616</v>
      </c>
      <c r="D713" t="s">
        <v>15095</v>
      </c>
      <c r="E713" t="s">
        <v>1063</v>
      </c>
      <c r="F713">
        <v>1</v>
      </c>
      <c r="G713">
        <v>1</v>
      </c>
      <c r="H713">
        <v>1</v>
      </c>
      <c r="I713">
        <v>1</v>
      </c>
      <c r="J713" s="3" t="s">
        <v>2222</v>
      </c>
      <c r="K713" s="6">
        <v>0</v>
      </c>
    </row>
    <row r="714" spans="1:11">
      <c r="A714" t="str">
        <f t="shared" si="11"/>
        <v>Kaos Atonik1/1/10000</v>
      </c>
      <c r="B714" t="s">
        <v>10533</v>
      </c>
      <c r="C714" t="s">
        <v>12617</v>
      </c>
      <c r="D714" t="s">
        <v>15096</v>
      </c>
      <c r="E714" t="s">
        <v>1064</v>
      </c>
      <c r="F714">
        <v>1</v>
      </c>
      <c r="G714">
        <v>1</v>
      </c>
      <c r="H714">
        <v>1</v>
      </c>
      <c r="I714">
        <v>1</v>
      </c>
      <c r="J714" s="3" t="s">
        <v>2222</v>
      </c>
      <c r="K714" s="6">
        <v>0</v>
      </c>
    </row>
    <row r="715" spans="1:11">
      <c r="A715" t="str">
        <f t="shared" si="11"/>
        <v>Kaos Bactocyn Putih/New1/1/10000</v>
      </c>
      <c r="B715" t="s">
        <v>10534</v>
      </c>
      <c r="C715" t="s">
        <v>12618</v>
      </c>
      <c r="D715" t="s">
        <v>15097</v>
      </c>
      <c r="E715" t="s">
        <v>1065</v>
      </c>
      <c r="F715">
        <v>1</v>
      </c>
      <c r="G715">
        <v>1</v>
      </c>
      <c r="H715">
        <v>1</v>
      </c>
      <c r="I715">
        <v>1</v>
      </c>
      <c r="J715" s="3" t="s">
        <v>2222</v>
      </c>
      <c r="K715" s="6">
        <v>0</v>
      </c>
    </row>
    <row r="716" spans="1:11">
      <c r="A716" t="str">
        <f t="shared" si="11"/>
        <v>Kaos Bamex1/1/10000</v>
      </c>
      <c r="B716" t="s">
        <v>10535</v>
      </c>
      <c r="C716" t="s">
        <v>12619</v>
      </c>
      <c r="D716" t="s">
        <v>15098</v>
      </c>
      <c r="E716" t="s">
        <v>1066</v>
      </c>
      <c r="F716">
        <v>1</v>
      </c>
      <c r="G716">
        <v>1</v>
      </c>
      <c r="H716">
        <v>1</v>
      </c>
      <c r="I716">
        <v>1</v>
      </c>
      <c r="J716" s="3" t="s">
        <v>2222</v>
      </c>
      <c r="K716" s="6">
        <v>0</v>
      </c>
    </row>
    <row r="717" spans="1:11">
      <c r="A717" t="str">
        <f t="shared" si="11"/>
        <v>Kaos Bayer1/1/10000</v>
      </c>
      <c r="B717" t="s">
        <v>10536</v>
      </c>
      <c r="C717" t="s">
        <v>12620</v>
      </c>
      <c r="D717" t="s">
        <v>15099</v>
      </c>
      <c r="E717" t="s">
        <v>1067</v>
      </c>
      <c r="F717">
        <v>1</v>
      </c>
      <c r="G717">
        <v>1</v>
      </c>
      <c r="H717">
        <v>1</v>
      </c>
      <c r="I717">
        <v>1</v>
      </c>
      <c r="J717" s="3" t="s">
        <v>2222</v>
      </c>
      <c r="K717" s="6">
        <v>0</v>
      </c>
    </row>
    <row r="718" spans="1:11">
      <c r="A718" t="str">
        <f t="shared" si="11"/>
        <v>Kaos Bencore442150</v>
      </c>
      <c r="B718" t="s">
        <v>10537</v>
      </c>
      <c r="C718" t="s">
        <v>12621</v>
      </c>
      <c r="D718" t="s">
        <v>15100</v>
      </c>
      <c r="E718" t="s">
        <v>1068</v>
      </c>
      <c r="F718">
        <v>1</v>
      </c>
      <c r="G718">
        <v>1</v>
      </c>
      <c r="H718">
        <v>1</v>
      </c>
      <c r="I718">
        <v>1</v>
      </c>
      <c r="J718" s="3">
        <v>44215</v>
      </c>
      <c r="K718" s="6">
        <v>0</v>
      </c>
    </row>
    <row r="719" spans="1:11">
      <c r="A719" t="str">
        <f t="shared" si="11"/>
        <v>Kaos Bionik1/1/10000</v>
      </c>
      <c r="B719" t="s">
        <v>10538</v>
      </c>
      <c r="C719" t="s">
        <v>12622</v>
      </c>
      <c r="D719" t="s">
        <v>15101</v>
      </c>
      <c r="E719" t="s">
        <v>1069</v>
      </c>
      <c r="F719">
        <v>1</v>
      </c>
      <c r="G719">
        <v>1</v>
      </c>
      <c r="H719">
        <v>1</v>
      </c>
      <c r="I719">
        <v>1</v>
      </c>
      <c r="J719" s="3" t="s">
        <v>2222</v>
      </c>
      <c r="K719" s="6">
        <v>0</v>
      </c>
    </row>
    <row r="720" spans="1:11">
      <c r="A720" t="str">
        <f t="shared" si="11"/>
        <v>Kaos Bisi 99/791/1/10000</v>
      </c>
      <c r="B720" t="s">
        <v>10539</v>
      </c>
      <c r="C720" t="s">
        <v>12623</v>
      </c>
      <c r="D720" t="s">
        <v>15102</v>
      </c>
      <c r="E720" t="s">
        <v>1070</v>
      </c>
      <c r="F720">
        <v>1</v>
      </c>
      <c r="G720">
        <v>1</v>
      </c>
      <c r="H720">
        <v>1</v>
      </c>
      <c r="I720">
        <v>1</v>
      </c>
      <c r="J720" s="3" t="s">
        <v>2222</v>
      </c>
      <c r="K720" s="6">
        <v>0</v>
      </c>
    </row>
    <row r="721" spans="1:11">
      <c r="A721" t="str">
        <f t="shared" si="11"/>
        <v>Kaos Bravoxone1/1/10000</v>
      </c>
      <c r="B721" t="s">
        <v>10540</v>
      </c>
      <c r="C721" t="s">
        <v>12624</v>
      </c>
      <c r="D721" t="s">
        <v>15103</v>
      </c>
      <c r="E721" t="s">
        <v>1071</v>
      </c>
      <c r="F721">
        <v>1</v>
      </c>
      <c r="G721">
        <v>1</v>
      </c>
      <c r="H721">
        <v>1</v>
      </c>
      <c r="I721">
        <v>1</v>
      </c>
      <c r="J721" s="3" t="s">
        <v>2222</v>
      </c>
      <c r="K721" s="6">
        <v>0</v>
      </c>
    </row>
    <row r="722" spans="1:11">
      <c r="A722" t="str">
        <f t="shared" si="11"/>
        <v>Kaos Cielo1/1/10000</v>
      </c>
      <c r="B722" t="s">
        <v>10541</v>
      </c>
      <c r="C722" t="s">
        <v>12625</v>
      </c>
      <c r="D722" t="s">
        <v>15104</v>
      </c>
      <c r="E722" t="s">
        <v>1072</v>
      </c>
      <c r="F722">
        <v>1</v>
      </c>
      <c r="G722">
        <v>1</v>
      </c>
      <c r="H722">
        <v>1</v>
      </c>
      <c r="I722">
        <v>1</v>
      </c>
      <c r="J722" s="3" t="s">
        <v>2222</v>
      </c>
      <c r="K722" s="6">
        <v>0</v>
      </c>
    </row>
    <row r="723" spans="1:11">
      <c r="A723" t="str">
        <f t="shared" si="11"/>
        <v>Kaos Cotton Combed Java Karlos1/1/10000</v>
      </c>
      <c r="B723" t="s">
        <v>10542</v>
      </c>
      <c r="C723" t="s">
        <v>12626</v>
      </c>
      <c r="D723" t="s">
        <v>15105</v>
      </c>
      <c r="E723" t="s">
        <v>1073</v>
      </c>
      <c r="F723">
        <v>1</v>
      </c>
      <c r="G723">
        <v>1</v>
      </c>
      <c r="H723">
        <v>1</v>
      </c>
      <c r="I723">
        <v>1</v>
      </c>
      <c r="J723" s="3" t="s">
        <v>2222</v>
      </c>
      <c r="K723" s="6">
        <v>0</v>
      </c>
    </row>
    <row r="724" spans="1:11">
      <c r="A724" t="str">
        <f t="shared" si="11"/>
        <v>Kaos dan Tas Boron &amp; Zinc1/1/10000</v>
      </c>
      <c r="B724" t="s">
        <v>10543</v>
      </c>
      <c r="C724" t="s">
        <v>12627</v>
      </c>
      <c r="D724" t="s">
        <v>15106</v>
      </c>
      <c r="E724" t="s">
        <v>1074</v>
      </c>
      <c r="F724">
        <v>1</v>
      </c>
      <c r="G724">
        <v>1</v>
      </c>
      <c r="H724">
        <v>1</v>
      </c>
      <c r="I724">
        <v>1</v>
      </c>
      <c r="J724" s="3" t="s">
        <v>2222</v>
      </c>
      <c r="K724" s="6">
        <v>0</v>
      </c>
    </row>
    <row r="725" spans="1:11">
      <c r="A725" t="str">
        <f t="shared" si="11"/>
        <v>Kaos Dekalb1/1/10000</v>
      </c>
      <c r="B725" t="s">
        <v>10544</v>
      </c>
      <c r="C725" t="s">
        <v>12628</v>
      </c>
      <c r="D725" t="s">
        <v>15107</v>
      </c>
      <c r="E725" t="s">
        <v>1075</v>
      </c>
      <c r="F725">
        <v>1</v>
      </c>
      <c r="G725">
        <v>1</v>
      </c>
      <c r="H725">
        <v>1</v>
      </c>
      <c r="I725">
        <v>1</v>
      </c>
      <c r="J725" s="3" t="s">
        <v>2222</v>
      </c>
      <c r="K725" s="6">
        <v>0</v>
      </c>
    </row>
    <row r="726" spans="1:11">
      <c r="A726" t="str">
        <f t="shared" si="11"/>
        <v>Kaos Dekalb ( T Shirt Anak )1/1/10000</v>
      </c>
      <c r="B726" t="s">
        <v>10545</v>
      </c>
      <c r="C726" t="s">
        <v>12629</v>
      </c>
      <c r="D726" t="s">
        <v>15108</v>
      </c>
      <c r="E726" t="s">
        <v>1076</v>
      </c>
      <c r="F726">
        <v>1</v>
      </c>
      <c r="G726">
        <v>1</v>
      </c>
      <c r="H726">
        <v>1</v>
      </c>
      <c r="I726">
        <v>1</v>
      </c>
      <c r="J726" s="3" t="s">
        <v>2222</v>
      </c>
      <c r="K726" s="6">
        <v>0</v>
      </c>
    </row>
    <row r="727" spans="1:11">
      <c r="A727" t="str">
        <f t="shared" si="11"/>
        <v>Kaos Demolish1/1/10000</v>
      </c>
      <c r="B727" t="s">
        <v>10546</v>
      </c>
      <c r="C727" t="s">
        <v>12630</v>
      </c>
      <c r="D727" t="s">
        <v>15109</v>
      </c>
      <c r="E727" t="s">
        <v>1077</v>
      </c>
      <c r="F727">
        <v>1</v>
      </c>
      <c r="G727">
        <v>1</v>
      </c>
      <c r="H727">
        <v>1</v>
      </c>
      <c r="I727">
        <v>1</v>
      </c>
      <c r="J727" s="3" t="s">
        <v>2222</v>
      </c>
      <c r="K727" s="6">
        <v>0</v>
      </c>
    </row>
    <row r="728" spans="1:11">
      <c r="A728" t="str">
        <f t="shared" si="11"/>
        <v>Kaos Dilan1/1/10000</v>
      </c>
      <c r="B728" t="s">
        <v>10547</v>
      </c>
      <c r="C728" t="s">
        <v>12631</v>
      </c>
      <c r="D728" t="s">
        <v>15110</v>
      </c>
      <c r="E728" t="s">
        <v>1078</v>
      </c>
      <c r="F728">
        <v>1</v>
      </c>
      <c r="G728">
        <v>1</v>
      </c>
      <c r="H728">
        <v>1</v>
      </c>
      <c r="I728">
        <v>1</v>
      </c>
      <c r="J728" s="3" t="s">
        <v>2222</v>
      </c>
      <c r="K728" s="6">
        <v>0</v>
      </c>
    </row>
    <row r="729" spans="1:11">
      <c r="A729" t="str">
        <f t="shared" si="11"/>
        <v>Kaos Dupont1/1/10000</v>
      </c>
      <c r="B729" t="s">
        <v>10548</v>
      </c>
      <c r="C729" t="s">
        <v>12632</v>
      </c>
      <c r="D729" t="s">
        <v>15111</v>
      </c>
      <c r="E729" t="s">
        <v>1079</v>
      </c>
      <c r="F729">
        <v>1</v>
      </c>
      <c r="G729">
        <v>1</v>
      </c>
      <c r="H729">
        <v>1</v>
      </c>
      <c r="I729">
        <v>1</v>
      </c>
      <c r="J729" s="3" t="s">
        <v>2222</v>
      </c>
      <c r="K729" s="6">
        <v>0</v>
      </c>
    </row>
    <row r="730" spans="1:11">
      <c r="A730" t="str">
        <f t="shared" si="11"/>
        <v>Kaos EM-41/1/10000</v>
      </c>
      <c r="B730" t="s">
        <v>10549</v>
      </c>
      <c r="C730" t="s">
        <v>12633</v>
      </c>
      <c r="D730" t="s">
        <v>15112</v>
      </c>
      <c r="E730" t="s">
        <v>1080</v>
      </c>
      <c r="F730">
        <v>1</v>
      </c>
      <c r="G730">
        <v>1</v>
      </c>
      <c r="H730">
        <v>1</v>
      </c>
      <c r="I730">
        <v>1</v>
      </c>
      <c r="J730" s="3" t="s">
        <v>2222</v>
      </c>
      <c r="K730" s="6">
        <v>0</v>
      </c>
    </row>
    <row r="731" spans="1:11">
      <c r="A731" t="str">
        <f t="shared" si="11"/>
        <v>Kaos Evencio1/1/10000</v>
      </c>
      <c r="B731" t="s">
        <v>10550</v>
      </c>
      <c r="C731" t="s">
        <v>12634</v>
      </c>
      <c r="D731" t="s">
        <v>15113</v>
      </c>
      <c r="E731" t="s">
        <v>1081</v>
      </c>
      <c r="F731">
        <v>1</v>
      </c>
      <c r="G731">
        <v>1</v>
      </c>
      <c r="H731">
        <v>1</v>
      </c>
      <c r="I731">
        <v>1</v>
      </c>
      <c r="J731" s="3" t="s">
        <v>2222</v>
      </c>
      <c r="K731" s="6">
        <v>0</v>
      </c>
    </row>
    <row r="732" spans="1:11">
      <c r="A732" t="str">
        <f t="shared" si="11"/>
        <v>Kaos Excel1/1/10000</v>
      </c>
      <c r="B732" t="s">
        <v>10551</v>
      </c>
      <c r="C732" t="s">
        <v>12635</v>
      </c>
      <c r="D732" t="s">
        <v>15114</v>
      </c>
      <c r="E732" t="s">
        <v>1082</v>
      </c>
      <c r="F732">
        <v>1</v>
      </c>
      <c r="G732">
        <v>1</v>
      </c>
      <c r="H732">
        <v>1</v>
      </c>
      <c r="I732">
        <v>1</v>
      </c>
      <c r="J732" s="3" t="s">
        <v>2222</v>
      </c>
      <c r="K732" s="6">
        <v>0</v>
      </c>
    </row>
    <row r="733" spans="1:11">
      <c r="A733" t="str">
        <f t="shared" si="11"/>
        <v>Kaos Extra One1/1/10000</v>
      </c>
      <c r="B733" t="s">
        <v>10552</v>
      </c>
      <c r="C733" t="s">
        <v>12636</v>
      </c>
      <c r="D733" t="s">
        <v>15115</v>
      </c>
      <c r="E733" t="s">
        <v>1083</v>
      </c>
      <c r="F733">
        <v>1</v>
      </c>
      <c r="G733">
        <v>1</v>
      </c>
      <c r="H733">
        <v>1</v>
      </c>
      <c r="I733">
        <v>1</v>
      </c>
      <c r="J733" s="3" t="s">
        <v>2222</v>
      </c>
      <c r="K733" s="6">
        <v>0</v>
      </c>
    </row>
    <row r="734" spans="1:11">
      <c r="A734" t="str">
        <f t="shared" si="11"/>
        <v>Kaos Fitokarb1/1/10000</v>
      </c>
      <c r="B734" t="s">
        <v>10553</v>
      </c>
      <c r="C734" t="s">
        <v>12637</v>
      </c>
      <c r="D734" t="s">
        <v>15116</v>
      </c>
      <c r="E734" t="s">
        <v>1084</v>
      </c>
      <c r="F734">
        <v>1</v>
      </c>
      <c r="G734">
        <v>1</v>
      </c>
      <c r="H734">
        <v>1</v>
      </c>
      <c r="I734">
        <v>1</v>
      </c>
      <c r="J734" s="3" t="s">
        <v>2222</v>
      </c>
      <c r="K734" s="6">
        <v>0</v>
      </c>
    </row>
    <row r="735" spans="1:11">
      <c r="A735" t="str">
        <f t="shared" si="11"/>
        <v>Kaos Gamectin1/1/10000</v>
      </c>
      <c r="B735" t="s">
        <v>10554</v>
      </c>
      <c r="C735" t="s">
        <v>12638</v>
      </c>
      <c r="D735" t="s">
        <v>15117</v>
      </c>
      <c r="E735" t="s">
        <v>1085</v>
      </c>
      <c r="F735">
        <v>1</v>
      </c>
      <c r="G735">
        <v>1</v>
      </c>
      <c r="H735">
        <v>1</v>
      </c>
      <c r="I735">
        <v>1</v>
      </c>
      <c r="J735" s="3" t="s">
        <v>2222</v>
      </c>
      <c r="K735" s="6">
        <v>0</v>
      </c>
    </row>
    <row r="736" spans="1:11">
      <c r="A736" t="str">
        <f t="shared" si="11"/>
        <v>Kaos Gibraz1/1/10000</v>
      </c>
      <c r="B736" t="s">
        <v>10555</v>
      </c>
      <c r="C736" t="s">
        <v>12639</v>
      </c>
      <c r="D736" t="s">
        <v>15118</v>
      </c>
      <c r="E736" t="s">
        <v>1086</v>
      </c>
      <c r="F736">
        <v>1</v>
      </c>
      <c r="G736">
        <v>1</v>
      </c>
      <c r="H736">
        <v>1</v>
      </c>
      <c r="I736">
        <v>1</v>
      </c>
      <c r="J736" s="3" t="s">
        <v>2222</v>
      </c>
      <c r="K736" s="6">
        <v>0</v>
      </c>
    </row>
    <row r="737" spans="1:11">
      <c r="A737" t="str">
        <f t="shared" si="11"/>
        <v>Kaos Hyget Panjang Super Java1/1/10000</v>
      </c>
      <c r="B737" t="s">
        <v>10556</v>
      </c>
      <c r="C737" t="s">
        <v>12640</v>
      </c>
      <c r="D737" t="s">
        <v>15119</v>
      </c>
      <c r="E737" t="s">
        <v>1087</v>
      </c>
      <c r="F737">
        <v>1</v>
      </c>
      <c r="G737">
        <v>1</v>
      </c>
      <c r="H737">
        <v>1</v>
      </c>
      <c r="I737">
        <v>1</v>
      </c>
      <c r="J737" s="3" t="s">
        <v>2222</v>
      </c>
      <c r="K737" s="6">
        <v>0</v>
      </c>
    </row>
    <row r="738" spans="1:11">
      <c r="A738" t="str">
        <f t="shared" si="11"/>
        <v>Kaos Intergan1/1/10000</v>
      </c>
      <c r="B738" t="s">
        <v>10557</v>
      </c>
      <c r="C738" t="s">
        <v>12641</v>
      </c>
      <c r="D738" t="s">
        <v>15120</v>
      </c>
      <c r="E738" t="s">
        <v>1088</v>
      </c>
      <c r="F738">
        <v>1</v>
      </c>
      <c r="G738">
        <v>1</v>
      </c>
      <c r="H738">
        <v>1</v>
      </c>
      <c r="I738">
        <v>1</v>
      </c>
      <c r="J738" s="3" t="s">
        <v>2222</v>
      </c>
      <c r="K738" s="6">
        <v>0</v>
      </c>
    </row>
    <row r="739" spans="1:11">
      <c r="A739" t="str">
        <f t="shared" si="11"/>
        <v>Kaos Jagung ADV 1321/1/10000</v>
      </c>
      <c r="B739" t="s">
        <v>10558</v>
      </c>
      <c r="C739" t="s">
        <v>12642</v>
      </c>
      <c r="D739" t="s">
        <v>15121</v>
      </c>
      <c r="E739" t="s">
        <v>1089</v>
      </c>
      <c r="F739">
        <v>1</v>
      </c>
      <c r="G739">
        <v>1</v>
      </c>
      <c r="H739">
        <v>1</v>
      </c>
      <c r="I739">
        <v>1</v>
      </c>
      <c r="J739" s="3" t="s">
        <v>2222</v>
      </c>
      <c r="K739" s="6">
        <v>0</v>
      </c>
    </row>
    <row r="740" spans="1:11">
      <c r="A740" t="str">
        <f t="shared" si="11"/>
        <v>Kaos Jagung Janger1/1/10000</v>
      </c>
      <c r="B740" t="s">
        <v>10559</v>
      </c>
      <c r="C740" t="s">
        <v>12643</v>
      </c>
      <c r="D740" t="s">
        <v>15122</v>
      </c>
      <c r="E740" t="s">
        <v>1090</v>
      </c>
      <c r="F740">
        <v>1</v>
      </c>
      <c r="G740">
        <v>1</v>
      </c>
      <c r="H740">
        <v>1</v>
      </c>
      <c r="I740">
        <v>1</v>
      </c>
      <c r="J740" s="3" t="s">
        <v>2222</v>
      </c>
      <c r="K740" s="6">
        <v>0</v>
      </c>
    </row>
    <row r="741" spans="1:11">
      <c r="A741" t="str">
        <f t="shared" si="11"/>
        <v>Kaos Jagung Manis Golden Boy1/1/10000</v>
      </c>
      <c r="B741" t="s">
        <v>10560</v>
      </c>
      <c r="C741" t="s">
        <v>12644</v>
      </c>
      <c r="D741" t="s">
        <v>15123</v>
      </c>
      <c r="E741" t="s">
        <v>1091</v>
      </c>
      <c r="F741">
        <v>1</v>
      </c>
      <c r="G741">
        <v>1</v>
      </c>
      <c r="H741">
        <v>1</v>
      </c>
      <c r="I741">
        <v>1</v>
      </c>
      <c r="J741" s="3" t="s">
        <v>2222</v>
      </c>
      <c r="K741" s="6">
        <v>0</v>
      </c>
    </row>
    <row r="742" spans="1:11">
      <c r="A742" t="str">
        <f t="shared" si="11"/>
        <v>Kaos Jagung Manis Madu1/1/10000</v>
      </c>
      <c r="B742" t="s">
        <v>10561</v>
      </c>
      <c r="C742" t="s">
        <v>12645</v>
      </c>
      <c r="D742" t="s">
        <v>15124</v>
      </c>
      <c r="E742" t="s">
        <v>1092</v>
      </c>
      <c r="F742">
        <v>1</v>
      </c>
      <c r="G742">
        <v>1</v>
      </c>
      <c r="H742">
        <v>1</v>
      </c>
      <c r="I742">
        <v>1</v>
      </c>
      <c r="J742" s="3" t="s">
        <v>2222</v>
      </c>
      <c r="K742" s="6">
        <v>0</v>
      </c>
    </row>
    <row r="743" spans="1:11">
      <c r="A743" t="str">
        <f t="shared" si="11"/>
        <v>Kaos Jagung Pertiwi1/1/10000</v>
      </c>
      <c r="B743" t="s">
        <v>10562</v>
      </c>
      <c r="C743" t="s">
        <v>12646</v>
      </c>
      <c r="D743" t="s">
        <v>15125</v>
      </c>
      <c r="E743" t="s">
        <v>1093</v>
      </c>
      <c r="F743">
        <v>1</v>
      </c>
      <c r="G743">
        <v>1</v>
      </c>
      <c r="H743">
        <v>1</v>
      </c>
      <c r="I743">
        <v>1</v>
      </c>
      <c r="J743" s="3" t="s">
        <v>2222</v>
      </c>
      <c r="K743" s="6">
        <v>0</v>
      </c>
    </row>
    <row r="744" spans="1:11">
      <c r="A744" t="str">
        <f t="shared" si="11"/>
        <v>Kaos Java Karlos1/1/10000</v>
      </c>
      <c r="B744" t="s">
        <v>10563</v>
      </c>
      <c r="C744" t="s">
        <v>12647</v>
      </c>
      <c r="D744" t="s">
        <v>15126</v>
      </c>
      <c r="E744" t="s">
        <v>1094</v>
      </c>
      <c r="F744">
        <v>1</v>
      </c>
      <c r="G744">
        <v>1</v>
      </c>
      <c r="H744">
        <v>1</v>
      </c>
      <c r="I744">
        <v>1</v>
      </c>
      <c r="J744" s="3" t="s">
        <v>2222</v>
      </c>
      <c r="K744" s="6">
        <v>0</v>
      </c>
    </row>
    <row r="745" spans="1:11">
      <c r="A745" t="str">
        <f t="shared" si="11"/>
        <v>Kaos Karisma1/1/10000</v>
      </c>
      <c r="B745" t="s">
        <v>10564</v>
      </c>
      <c r="C745" t="s">
        <v>12648</v>
      </c>
      <c r="D745" t="s">
        <v>15127</v>
      </c>
      <c r="E745" t="s">
        <v>1095</v>
      </c>
      <c r="F745">
        <v>1</v>
      </c>
      <c r="G745">
        <v>1</v>
      </c>
      <c r="H745">
        <v>1</v>
      </c>
      <c r="I745">
        <v>1</v>
      </c>
      <c r="J745" s="3" t="s">
        <v>2222</v>
      </c>
      <c r="K745" s="6">
        <v>0</v>
      </c>
    </row>
    <row r="746" spans="1:11">
      <c r="A746" t="str">
        <f t="shared" si="11"/>
        <v>Kaos Karisma Setia1/1/10000</v>
      </c>
      <c r="B746" t="s">
        <v>10565</v>
      </c>
      <c r="C746" t="s">
        <v>12649</v>
      </c>
      <c r="D746" t="s">
        <v>15128</v>
      </c>
      <c r="E746" t="s">
        <v>1096</v>
      </c>
      <c r="F746">
        <v>1</v>
      </c>
      <c r="G746">
        <v>1</v>
      </c>
      <c r="H746">
        <v>1</v>
      </c>
      <c r="I746">
        <v>1</v>
      </c>
      <c r="J746" s="3" t="s">
        <v>2222</v>
      </c>
      <c r="K746" s="6">
        <v>0</v>
      </c>
    </row>
    <row r="747" spans="1:11">
      <c r="A747" t="str">
        <f t="shared" si="11"/>
        <v>Kaos Kenso1/1/10000</v>
      </c>
      <c r="B747" t="s">
        <v>10566</v>
      </c>
      <c r="C747" t="s">
        <v>12650</v>
      </c>
      <c r="D747" t="s">
        <v>15129</v>
      </c>
      <c r="E747" t="s">
        <v>1097</v>
      </c>
      <c r="F747">
        <v>1</v>
      </c>
      <c r="G747">
        <v>1</v>
      </c>
      <c r="H747">
        <v>1</v>
      </c>
      <c r="I747">
        <v>1</v>
      </c>
      <c r="J747" s="3" t="s">
        <v>2222</v>
      </c>
      <c r="K747" s="6">
        <v>0</v>
      </c>
    </row>
    <row r="748" spans="1:11">
      <c r="A748" t="str">
        <f t="shared" si="11"/>
        <v>Kaos Kertopaten1/1/10000</v>
      </c>
      <c r="B748" t="s">
        <v>10567</v>
      </c>
      <c r="C748" t="s">
        <v>12651</v>
      </c>
      <c r="D748" t="s">
        <v>15130</v>
      </c>
      <c r="E748" t="s">
        <v>1098</v>
      </c>
      <c r="F748">
        <v>1</v>
      </c>
      <c r="G748">
        <v>1</v>
      </c>
      <c r="H748">
        <v>1</v>
      </c>
      <c r="I748">
        <v>1</v>
      </c>
      <c r="J748" s="3" t="s">
        <v>2222</v>
      </c>
      <c r="K748" s="6">
        <v>0</v>
      </c>
    </row>
    <row r="749" spans="1:11">
      <c r="A749" t="str">
        <f t="shared" si="11"/>
        <v>Kaos Klerat1/1/10000</v>
      </c>
      <c r="B749" t="s">
        <v>10568</v>
      </c>
      <c r="C749" t="s">
        <v>12652</v>
      </c>
      <c r="D749" t="s">
        <v>15131</v>
      </c>
      <c r="E749" t="s">
        <v>1099</v>
      </c>
      <c r="F749">
        <v>1</v>
      </c>
      <c r="G749">
        <v>1</v>
      </c>
      <c r="H749">
        <v>1</v>
      </c>
      <c r="I749">
        <v>1</v>
      </c>
      <c r="J749" s="3" t="s">
        <v>2222</v>
      </c>
      <c r="K749" s="6">
        <v>0</v>
      </c>
    </row>
    <row r="750" spans="1:11">
      <c r="A750" t="str">
        <f t="shared" si="11"/>
        <v>Kaos Kloper Symbisect1/1/10000</v>
      </c>
      <c r="B750" t="s">
        <v>10569</v>
      </c>
      <c r="C750" t="s">
        <v>12653</v>
      </c>
      <c r="D750" t="s">
        <v>15132</v>
      </c>
      <c r="E750" t="s">
        <v>1100</v>
      </c>
      <c r="F750">
        <v>1</v>
      </c>
      <c r="G750">
        <v>1</v>
      </c>
      <c r="H750">
        <v>1</v>
      </c>
      <c r="I750">
        <v>1</v>
      </c>
      <c r="J750" s="3" t="s">
        <v>2222</v>
      </c>
      <c r="K750" s="6">
        <v>0</v>
      </c>
    </row>
    <row r="751" spans="1:11">
      <c r="A751" t="str">
        <f t="shared" si="11"/>
        <v>Kaos Kubis Sharira1/1/10000</v>
      </c>
      <c r="B751" t="s">
        <v>10570</v>
      </c>
      <c r="C751" t="s">
        <v>12654</v>
      </c>
      <c r="D751" t="s">
        <v>15133</v>
      </c>
      <c r="E751" t="s">
        <v>1101</v>
      </c>
      <c r="F751">
        <v>1</v>
      </c>
      <c r="G751">
        <v>1</v>
      </c>
      <c r="H751">
        <v>1</v>
      </c>
      <c r="I751">
        <v>1</v>
      </c>
      <c r="J751" s="3" t="s">
        <v>2222</v>
      </c>
      <c r="K751" s="6">
        <v>0</v>
      </c>
    </row>
    <row r="752" spans="1:11">
      <c r="A752" t="str">
        <f t="shared" si="11"/>
        <v>Kaos Lengan Panjang Bisi 771/1/10000</v>
      </c>
      <c r="B752" t="s">
        <v>10571</v>
      </c>
      <c r="C752" t="s">
        <v>12655</v>
      </c>
      <c r="D752" t="s">
        <v>15134</v>
      </c>
      <c r="E752" t="s">
        <v>1102</v>
      </c>
      <c r="F752">
        <v>1</v>
      </c>
      <c r="G752">
        <v>1</v>
      </c>
      <c r="H752">
        <v>1</v>
      </c>
      <c r="I752">
        <v>1</v>
      </c>
      <c r="J752" s="3" t="s">
        <v>2222</v>
      </c>
      <c r="K752" s="6">
        <v>0</v>
      </c>
    </row>
    <row r="753" spans="1:11">
      <c r="A753" t="str">
        <f t="shared" si="11"/>
        <v>Kaos Lengan Panjang Bisi 9591/1/10000</v>
      </c>
      <c r="B753" t="s">
        <v>10572</v>
      </c>
      <c r="C753" t="s">
        <v>12656</v>
      </c>
      <c r="D753" t="s">
        <v>15135</v>
      </c>
      <c r="E753" t="s">
        <v>1103</v>
      </c>
      <c r="F753">
        <v>1</v>
      </c>
      <c r="G753">
        <v>1</v>
      </c>
      <c r="H753">
        <v>1</v>
      </c>
      <c r="I753">
        <v>1</v>
      </c>
      <c r="J753" s="3" t="s">
        <v>2222</v>
      </c>
      <c r="K753" s="6">
        <v>0</v>
      </c>
    </row>
    <row r="754" spans="1:11">
      <c r="A754" t="str">
        <f t="shared" si="11"/>
        <v>Kaos Lengan Panjang Macerio1/1/10000</v>
      </c>
      <c r="B754" t="s">
        <v>10573</v>
      </c>
      <c r="C754" t="s">
        <v>12657</v>
      </c>
      <c r="D754" t="s">
        <v>15136</v>
      </c>
      <c r="E754" t="s">
        <v>1104</v>
      </c>
      <c r="F754">
        <v>1</v>
      </c>
      <c r="G754">
        <v>1</v>
      </c>
      <c r="H754">
        <v>1</v>
      </c>
      <c r="I754">
        <v>1</v>
      </c>
      <c r="J754" s="3" t="s">
        <v>2222</v>
      </c>
      <c r="K754" s="6">
        <v>0</v>
      </c>
    </row>
    <row r="755" spans="1:11">
      <c r="A755" t="str">
        <f t="shared" si="11"/>
        <v>Kaos Lengan Panjang Pinamec1/1/10000</v>
      </c>
      <c r="B755" t="s">
        <v>10574</v>
      </c>
      <c r="C755" t="s">
        <v>12658</v>
      </c>
      <c r="D755" t="s">
        <v>15137</v>
      </c>
      <c r="E755" t="s">
        <v>1105</v>
      </c>
      <c r="F755">
        <v>1</v>
      </c>
      <c r="G755">
        <v>1</v>
      </c>
      <c r="H755">
        <v>1</v>
      </c>
      <c r="I755">
        <v>1</v>
      </c>
      <c r="J755" s="3" t="s">
        <v>2222</v>
      </c>
      <c r="K755" s="6">
        <v>0</v>
      </c>
    </row>
    <row r="756" spans="1:11">
      <c r="A756" t="str">
        <f t="shared" si="11"/>
        <v>Kaos Lengan Panjang Q2351/1/10000</v>
      </c>
      <c r="B756" t="s">
        <v>10575</v>
      </c>
      <c r="C756" t="s">
        <v>12659</v>
      </c>
      <c r="D756" t="s">
        <v>15138</v>
      </c>
      <c r="E756" t="s">
        <v>1106</v>
      </c>
      <c r="F756">
        <v>1</v>
      </c>
      <c r="G756">
        <v>1</v>
      </c>
      <c r="H756">
        <v>1</v>
      </c>
      <c r="I756">
        <v>1</v>
      </c>
      <c r="J756" s="3" t="s">
        <v>2222</v>
      </c>
      <c r="K756" s="6">
        <v>0</v>
      </c>
    </row>
    <row r="757" spans="1:11">
      <c r="A757" t="str">
        <f t="shared" si="11"/>
        <v>Kaos Lengan Pendek Dekalb1/1/10000</v>
      </c>
      <c r="B757" t="s">
        <v>10576</v>
      </c>
      <c r="C757" t="s">
        <v>12660</v>
      </c>
      <c r="D757" t="s">
        <v>15139</v>
      </c>
      <c r="E757" t="s">
        <v>1107</v>
      </c>
      <c r="F757">
        <v>1</v>
      </c>
      <c r="G757">
        <v>1</v>
      </c>
      <c r="H757">
        <v>1</v>
      </c>
      <c r="I757">
        <v>1</v>
      </c>
      <c r="J757" s="3" t="s">
        <v>2222</v>
      </c>
      <c r="K757" s="6">
        <v>0</v>
      </c>
    </row>
    <row r="758" spans="1:11">
      <c r="A758" t="str">
        <f t="shared" si="11"/>
        <v>Kaos Melon Golden Qiu1/1/10000</v>
      </c>
      <c r="B758" t="s">
        <v>10577</v>
      </c>
      <c r="C758" t="s">
        <v>12661</v>
      </c>
      <c r="D758" t="s">
        <v>15140</v>
      </c>
      <c r="E758" t="s">
        <v>1108</v>
      </c>
      <c r="F758">
        <v>1</v>
      </c>
      <c r="G758">
        <v>1</v>
      </c>
      <c r="H758">
        <v>1</v>
      </c>
      <c r="I758">
        <v>1</v>
      </c>
      <c r="J758" s="3" t="s">
        <v>2222</v>
      </c>
      <c r="K758" s="6">
        <v>0</v>
      </c>
    </row>
    <row r="759" spans="1:11">
      <c r="A759" t="str">
        <f t="shared" si="11"/>
        <v>Kaos Melon Hibrida1/1/10000</v>
      </c>
      <c r="B759" t="s">
        <v>10578</v>
      </c>
      <c r="C759" t="s">
        <v>12662</v>
      </c>
      <c r="D759" t="s">
        <v>15141</v>
      </c>
      <c r="E759" t="s">
        <v>1109</v>
      </c>
      <c r="F759">
        <v>1</v>
      </c>
      <c r="G759">
        <v>1</v>
      </c>
      <c r="H759">
        <v>1</v>
      </c>
      <c r="I759">
        <v>1</v>
      </c>
      <c r="J759" s="3" t="s">
        <v>2222</v>
      </c>
      <c r="K759" s="6">
        <v>0</v>
      </c>
    </row>
    <row r="760" spans="1:11">
      <c r="A760" t="str">
        <f t="shared" si="11"/>
        <v>Kaos Melon Lucky1/1/10000</v>
      </c>
      <c r="B760" t="s">
        <v>10579</v>
      </c>
      <c r="C760" t="s">
        <v>12663</v>
      </c>
      <c r="D760" t="s">
        <v>15142</v>
      </c>
      <c r="E760" t="s">
        <v>1110</v>
      </c>
      <c r="F760">
        <v>1</v>
      </c>
      <c r="G760">
        <v>1</v>
      </c>
      <c r="H760">
        <v>1</v>
      </c>
      <c r="I760">
        <v>1</v>
      </c>
      <c r="J760" s="3" t="s">
        <v>2222</v>
      </c>
      <c r="K760" s="6">
        <v>0</v>
      </c>
    </row>
    <row r="761" spans="1:11">
      <c r="A761" t="str">
        <f t="shared" si="11"/>
        <v>Kaos Metazeb1/1/10000</v>
      </c>
      <c r="B761" t="s">
        <v>10580</v>
      </c>
      <c r="C761" t="s">
        <v>12664</v>
      </c>
      <c r="D761" t="s">
        <v>15143</v>
      </c>
      <c r="E761" t="s">
        <v>1111</v>
      </c>
      <c r="F761">
        <v>1</v>
      </c>
      <c r="G761">
        <v>1</v>
      </c>
      <c r="H761">
        <v>1</v>
      </c>
      <c r="I761">
        <v>1</v>
      </c>
      <c r="J761" s="3" t="s">
        <v>2222</v>
      </c>
      <c r="K761" s="6">
        <v>0</v>
      </c>
    </row>
    <row r="762" spans="1:11">
      <c r="A762" t="str">
        <f t="shared" si="11"/>
        <v>Kaos Mexdone443590</v>
      </c>
      <c r="B762" t="s">
        <v>10581</v>
      </c>
      <c r="C762" t="s">
        <v>12665</v>
      </c>
      <c r="D762" t="s">
        <v>15144</v>
      </c>
      <c r="E762" t="s">
        <v>1112</v>
      </c>
      <c r="F762">
        <v>1</v>
      </c>
      <c r="G762">
        <v>1</v>
      </c>
      <c r="H762">
        <v>1</v>
      </c>
      <c r="I762">
        <v>1</v>
      </c>
      <c r="J762" s="3">
        <v>44359</v>
      </c>
      <c r="K762" s="6">
        <v>0</v>
      </c>
    </row>
    <row r="763" spans="1:11">
      <c r="A763" t="str">
        <f t="shared" si="11"/>
        <v>Kaos Mexican1/1/10000</v>
      </c>
      <c r="B763" t="s">
        <v>10582</v>
      </c>
      <c r="C763" t="s">
        <v>12666</v>
      </c>
      <c r="D763" t="s">
        <v>15145</v>
      </c>
      <c r="E763" t="s">
        <v>1113</v>
      </c>
      <c r="F763">
        <v>1</v>
      </c>
      <c r="G763">
        <v>1</v>
      </c>
      <c r="H763">
        <v>1</v>
      </c>
      <c r="I763">
        <v>1</v>
      </c>
      <c r="J763" s="3" t="s">
        <v>2222</v>
      </c>
      <c r="K763" s="6">
        <v>0</v>
      </c>
    </row>
    <row r="764" spans="1:11">
      <c r="A764" t="str">
        <f t="shared" si="11"/>
        <v>Kaos MIA Kerah1/1/10000</v>
      </c>
      <c r="B764" t="s">
        <v>10583</v>
      </c>
      <c r="C764" t="s">
        <v>12667</v>
      </c>
      <c r="D764" t="s">
        <v>15146</v>
      </c>
      <c r="E764" t="s">
        <v>1114</v>
      </c>
      <c r="F764">
        <v>1</v>
      </c>
      <c r="G764">
        <v>1</v>
      </c>
      <c r="H764">
        <v>1</v>
      </c>
      <c r="I764">
        <v>1</v>
      </c>
      <c r="J764" s="3" t="s">
        <v>2222</v>
      </c>
      <c r="K764" s="6">
        <v>0</v>
      </c>
    </row>
    <row r="765" spans="1:11">
      <c r="A765" t="str">
        <f t="shared" si="11"/>
        <v>Kaos MIA Kerah Elazaro1/1/10000</v>
      </c>
      <c r="B765" t="s">
        <v>10584</v>
      </c>
      <c r="C765" t="s">
        <v>12668</v>
      </c>
      <c r="D765" t="s">
        <v>15147</v>
      </c>
      <c r="E765" t="s">
        <v>1115</v>
      </c>
      <c r="F765">
        <v>1</v>
      </c>
      <c r="G765">
        <v>1</v>
      </c>
      <c r="H765">
        <v>1</v>
      </c>
      <c r="I765">
        <v>1</v>
      </c>
      <c r="J765" s="3" t="s">
        <v>2222</v>
      </c>
      <c r="K765" s="6">
        <v>0</v>
      </c>
    </row>
    <row r="766" spans="1:11">
      <c r="A766" t="str">
        <f t="shared" si="11"/>
        <v>Kaos MIA Trio Dahsyat1/1/10000</v>
      </c>
      <c r="B766" t="s">
        <v>10585</v>
      </c>
      <c r="C766" t="s">
        <v>12669</v>
      </c>
      <c r="D766" t="s">
        <v>15148</v>
      </c>
      <c r="E766" t="s">
        <v>1116</v>
      </c>
      <c r="F766">
        <v>1</v>
      </c>
      <c r="G766">
        <v>1</v>
      </c>
      <c r="H766">
        <v>1</v>
      </c>
      <c r="I766">
        <v>1</v>
      </c>
      <c r="J766" s="3" t="s">
        <v>2222</v>
      </c>
      <c r="K766" s="6">
        <v>0</v>
      </c>
    </row>
    <row r="767" spans="1:11">
      <c r="A767" t="str">
        <f t="shared" si="11"/>
        <v>Kaos MKD Neocron1/1/10000</v>
      </c>
      <c r="B767" t="s">
        <v>10586</v>
      </c>
      <c r="C767" t="s">
        <v>12670</v>
      </c>
      <c r="D767" t="s">
        <v>15149</v>
      </c>
      <c r="E767" t="s">
        <v>1117</v>
      </c>
      <c r="F767">
        <v>1</v>
      </c>
      <c r="G767">
        <v>1</v>
      </c>
      <c r="H767">
        <v>1</v>
      </c>
      <c r="I767">
        <v>1</v>
      </c>
      <c r="J767" s="3" t="s">
        <v>2222</v>
      </c>
      <c r="K767" s="6">
        <v>0</v>
      </c>
    </row>
    <row r="768" spans="1:11">
      <c r="A768" t="str">
        <f t="shared" si="11"/>
        <v>Kaos Mulsa Hanoman1/1/10000</v>
      </c>
      <c r="B768" t="s">
        <v>10587</v>
      </c>
      <c r="C768" t="s">
        <v>12671</v>
      </c>
      <c r="D768" t="s">
        <v>15150</v>
      </c>
      <c r="E768" t="s">
        <v>1118</v>
      </c>
      <c r="F768">
        <v>1</v>
      </c>
      <c r="G768">
        <v>1</v>
      </c>
      <c r="H768">
        <v>1</v>
      </c>
      <c r="I768">
        <v>1</v>
      </c>
      <c r="J768" s="3" t="s">
        <v>2222</v>
      </c>
      <c r="K768" s="6">
        <v>0</v>
      </c>
    </row>
    <row r="769" spans="1:11">
      <c r="A769" t="str">
        <f t="shared" si="11"/>
        <v>Kaos Mulsa Kuda1/1/10000</v>
      </c>
      <c r="B769" t="s">
        <v>10588</v>
      </c>
      <c r="C769" t="s">
        <v>12672</v>
      </c>
      <c r="D769" t="s">
        <v>15151</v>
      </c>
      <c r="E769" t="s">
        <v>1119</v>
      </c>
      <c r="F769">
        <v>1</v>
      </c>
      <c r="G769">
        <v>1</v>
      </c>
      <c r="H769">
        <v>1</v>
      </c>
      <c r="I769">
        <v>1</v>
      </c>
      <c r="J769" s="3" t="s">
        <v>2222</v>
      </c>
      <c r="K769" s="6">
        <v>0</v>
      </c>
    </row>
    <row r="770" spans="1:11">
      <c r="A770" t="str">
        <f t="shared" si="11"/>
        <v>Kaos Mulsa Ori Gajah1/1/10000</v>
      </c>
      <c r="B770" t="s">
        <v>10589</v>
      </c>
      <c r="C770" t="s">
        <v>12673</v>
      </c>
      <c r="D770" t="s">
        <v>15152</v>
      </c>
      <c r="E770" t="s">
        <v>1120</v>
      </c>
      <c r="F770">
        <v>1</v>
      </c>
      <c r="G770">
        <v>1</v>
      </c>
      <c r="H770">
        <v>1</v>
      </c>
      <c r="I770">
        <v>1</v>
      </c>
      <c r="J770" s="3" t="s">
        <v>2222</v>
      </c>
      <c r="K770" s="6">
        <v>0</v>
      </c>
    </row>
    <row r="771" spans="1:11">
      <c r="A771" t="str">
        <f t="shared" ref="A771:A834" si="12">E771&amp;J771&amp;K771</f>
        <v>Kaos Mulsa Petani Sejati1/1/10000</v>
      </c>
      <c r="B771" t="s">
        <v>10590</v>
      </c>
      <c r="C771" t="s">
        <v>12674</v>
      </c>
      <c r="D771" t="s">
        <v>15153</v>
      </c>
      <c r="E771" t="s">
        <v>1121</v>
      </c>
      <c r="F771">
        <v>1</v>
      </c>
      <c r="G771">
        <v>1</v>
      </c>
      <c r="H771">
        <v>1</v>
      </c>
      <c r="I771">
        <v>1</v>
      </c>
      <c r="J771" s="3" t="s">
        <v>2222</v>
      </c>
      <c r="K771" s="6">
        <v>0</v>
      </c>
    </row>
    <row r="772" spans="1:11">
      <c r="A772" t="str">
        <f t="shared" si="12"/>
        <v>Kaos Mulsa Universal1/1/10000</v>
      </c>
      <c r="B772" t="s">
        <v>10591</v>
      </c>
      <c r="C772" t="s">
        <v>12675</v>
      </c>
      <c r="D772" t="s">
        <v>15154</v>
      </c>
      <c r="E772" t="s">
        <v>1122</v>
      </c>
      <c r="F772">
        <v>1</v>
      </c>
      <c r="G772">
        <v>1</v>
      </c>
      <c r="H772">
        <v>1</v>
      </c>
      <c r="I772">
        <v>1</v>
      </c>
      <c r="J772" s="3" t="s">
        <v>2222</v>
      </c>
      <c r="K772" s="6">
        <v>0</v>
      </c>
    </row>
    <row r="773" spans="1:11">
      <c r="A773" t="str">
        <f t="shared" si="12"/>
        <v>Kaos Mupsone1/1/10000</v>
      </c>
      <c r="B773" t="s">
        <v>10592</v>
      </c>
      <c r="C773" t="s">
        <v>12676</v>
      </c>
      <c r="D773" t="s">
        <v>15155</v>
      </c>
      <c r="E773" t="s">
        <v>1123</v>
      </c>
      <c r="F773">
        <v>1</v>
      </c>
      <c r="G773">
        <v>1</v>
      </c>
      <c r="H773">
        <v>1</v>
      </c>
      <c r="I773">
        <v>1</v>
      </c>
      <c r="J773" s="3" t="s">
        <v>2222</v>
      </c>
      <c r="K773" s="6">
        <v>0</v>
      </c>
    </row>
    <row r="774" spans="1:11">
      <c r="A774" t="str">
        <f t="shared" si="12"/>
        <v>Kaos Mutual1/1/10000</v>
      </c>
      <c r="B774" t="s">
        <v>10593</v>
      </c>
      <c r="C774" t="s">
        <v>12677</v>
      </c>
      <c r="D774" t="s">
        <v>15156</v>
      </c>
      <c r="E774" t="s">
        <v>1124</v>
      </c>
      <c r="F774">
        <v>1</v>
      </c>
      <c r="G774">
        <v>1</v>
      </c>
      <c r="H774">
        <v>1</v>
      </c>
      <c r="I774">
        <v>1</v>
      </c>
      <c r="J774" s="3" t="s">
        <v>2222</v>
      </c>
      <c r="K774" s="6">
        <v>0</v>
      </c>
    </row>
    <row r="775" spans="1:11">
      <c r="A775" t="str">
        <f t="shared" si="12"/>
        <v>Kaos Novatec1/1/10000</v>
      </c>
      <c r="B775" t="s">
        <v>10594</v>
      </c>
      <c r="C775" t="s">
        <v>12678</v>
      </c>
      <c r="D775" t="s">
        <v>15157</v>
      </c>
      <c r="E775" t="s">
        <v>1125</v>
      </c>
      <c r="F775">
        <v>1</v>
      </c>
      <c r="G775">
        <v>1</v>
      </c>
      <c r="H775">
        <v>1</v>
      </c>
      <c r="I775">
        <v>1</v>
      </c>
      <c r="J775" s="3" t="s">
        <v>2222</v>
      </c>
      <c r="K775" s="6">
        <v>0</v>
      </c>
    </row>
    <row r="776" spans="1:11">
      <c r="A776" t="str">
        <f t="shared" si="12"/>
        <v>Kaos Orca1/1/10000</v>
      </c>
      <c r="B776" t="s">
        <v>10595</v>
      </c>
      <c r="C776" t="s">
        <v>12679</v>
      </c>
      <c r="D776" t="s">
        <v>15158</v>
      </c>
      <c r="E776" t="s">
        <v>1126</v>
      </c>
      <c r="F776">
        <v>1</v>
      </c>
      <c r="G776">
        <v>1</v>
      </c>
      <c r="H776">
        <v>1</v>
      </c>
      <c r="I776">
        <v>1</v>
      </c>
      <c r="J776" s="3" t="s">
        <v>2222</v>
      </c>
      <c r="K776" s="6">
        <v>0</v>
      </c>
    </row>
    <row r="777" spans="1:11">
      <c r="A777" t="str">
        <f t="shared" si="12"/>
        <v>Kaos Petani Sejati1/1/10000</v>
      </c>
      <c r="B777" t="s">
        <v>10596</v>
      </c>
      <c r="C777" t="s">
        <v>12680</v>
      </c>
      <c r="D777" t="s">
        <v>15159</v>
      </c>
      <c r="E777" t="s">
        <v>1127</v>
      </c>
      <c r="F777">
        <v>1</v>
      </c>
      <c r="G777">
        <v>1</v>
      </c>
      <c r="H777">
        <v>1</v>
      </c>
      <c r="I777">
        <v>1</v>
      </c>
      <c r="J777" s="3" t="s">
        <v>2222</v>
      </c>
      <c r="K777" s="6">
        <v>0</v>
      </c>
    </row>
    <row r="778" spans="1:11">
      <c r="A778" t="str">
        <f t="shared" si="12"/>
        <v>Kaos Phoscormit1/1/10000</v>
      </c>
      <c r="B778" t="s">
        <v>10597</v>
      </c>
      <c r="C778" t="s">
        <v>12681</v>
      </c>
      <c r="D778" t="s">
        <v>15160</v>
      </c>
      <c r="E778" t="s">
        <v>1128</v>
      </c>
      <c r="F778">
        <v>1</v>
      </c>
      <c r="G778">
        <v>1</v>
      </c>
      <c r="H778">
        <v>1</v>
      </c>
      <c r="I778">
        <v>1</v>
      </c>
      <c r="J778" s="3" t="s">
        <v>2222</v>
      </c>
      <c r="K778" s="6">
        <v>0</v>
      </c>
    </row>
    <row r="779" spans="1:11">
      <c r="A779" t="str">
        <f t="shared" si="12"/>
        <v>Kaos Phosgrow1/1/10000</v>
      </c>
      <c r="B779" t="s">
        <v>10598</v>
      </c>
      <c r="C779" t="s">
        <v>12682</v>
      </c>
      <c r="D779" t="s">
        <v>15161</v>
      </c>
      <c r="E779" t="s">
        <v>1129</v>
      </c>
      <c r="F779">
        <v>1</v>
      </c>
      <c r="G779">
        <v>1</v>
      </c>
      <c r="H779">
        <v>1</v>
      </c>
      <c r="I779">
        <v>1</v>
      </c>
      <c r="J779" s="3" t="s">
        <v>2222</v>
      </c>
      <c r="K779" s="6">
        <v>0</v>
      </c>
    </row>
    <row r="780" spans="1:11">
      <c r="A780" t="str">
        <f t="shared" si="12"/>
        <v>Kaos Ponco Ceba1/1/10000</v>
      </c>
      <c r="B780" t="s">
        <v>10599</v>
      </c>
      <c r="C780" t="s">
        <v>12683</v>
      </c>
      <c r="D780" t="s">
        <v>15162</v>
      </c>
      <c r="E780" t="s">
        <v>1130</v>
      </c>
      <c r="F780">
        <v>1</v>
      </c>
      <c r="G780">
        <v>1</v>
      </c>
      <c r="H780">
        <v>1</v>
      </c>
      <c r="I780">
        <v>1</v>
      </c>
      <c r="J780" s="3" t="s">
        <v>2222</v>
      </c>
      <c r="K780" s="6">
        <v>0</v>
      </c>
    </row>
    <row r="781" spans="1:11">
      <c r="A781" t="str">
        <f t="shared" si="12"/>
        <v>Kaos Prima-Zeb1/1/10000</v>
      </c>
      <c r="B781" t="s">
        <v>10600</v>
      </c>
      <c r="C781" t="s">
        <v>12684</v>
      </c>
      <c r="D781" t="s">
        <v>15163</v>
      </c>
      <c r="E781" t="s">
        <v>1131</v>
      </c>
      <c r="F781">
        <v>1</v>
      </c>
      <c r="G781">
        <v>1</v>
      </c>
      <c r="H781">
        <v>1</v>
      </c>
      <c r="I781">
        <v>1</v>
      </c>
      <c r="J781" s="3" t="s">
        <v>2222</v>
      </c>
      <c r="K781" s="6">
        <v>0</v>
      </c>
    </row>
    <row r="782" spans="1:11">
      <c r="A782" t="str">
        <f t="shared" si="12"/>
        <v>Kaos Pupuk Hayati1/1/10000</v>
      </c>
      <c r="B782" t="s">
        <v>10601</v>
      </c>
      <c r="C782" t="s">
        <v>12685</v>
      </c>
      <c r="D782" t="s">
        <v>15164</v>
      </c>
      <c r="E782" t="s">
        <v>1132</v>
      </c>
      <c r="F782">
        <v>1</v>
      </c>
      <c r="G782">
        <v>1</v>
      </c>
      <c r="H782">
        <v>1</v>
      </c>
      <c r="I782">
        <v>1</v>
      </c>
      <c r="J782" s="3" t="s">
        <v>2222</v>
      </c>
      <c r="K782" s="6">
        <v>0</v>
      </c>
    </row>
    <row r="783" spans="1:11">
      <c r="A783" t="str">
        <f t="shared" si="12"/>
        <v>Kaos Qiu Asri1/1/10000</v>
      </c>
      <c r="B783" t="s">
        <v>10602</v>
      </c>
      <c r="C783" t="s">
        <v>12686</v>
      </c>
      <c r="D783" t="s">
        <v>15165</v>
      </c>
      <c r="E783" t="s">
        <v>1133</v>
      </c>
      <c r="F783">
        <v>1</v>
      </c>
      <c r="G783">
        <v>1</v>
      </c>
      <c r="H783">
        <v>1</v>
      </c>
      <c r="I783">
        <v>1</v>
      </c>
      <c r="J783" s="3" t="s">
        <v>2222</v>
      </c>
      <c r="K783" s="6">
        <v>0</v>
      </c>
    </row>
    <row r="784" spans="1:11">
      <c r="A784" t="str">
        <f t="shared" si="12"/>
        <v>Kaos Qiu Asri Hijau1/1/10000</v>
      </c>
      <c r="B784" t="s">
        <v>10603</v>
      </c>
      <c r="C784" t="s">
        <v>12687</v>
      </c>
      <c r="D784" t="s">
        <v>15166</v>
      </c>
      <c r="E784" t="s">
        <v>1134</v>
      </c>
      <c r="F784">
        <v>1</v>
      </c>
      <c r="G784">
        <v>1</v>
      </c>
      <c r="H784">
        <v>1</v>
      </c>
      <c r="I784">
        <v>1</v>
      </c>
      <c r="J784" s="3" t="s">
        <v>2222</v>
      </c>
      <c r="K784" s="6">
        <v>0</v>
      </c>
    </row>
    <row r="785" spans="1:11">
      <c r="A785" t="str">
        <f t="shared" si="12"/>
        <v>Kaos Qiuvita1/1/10000</v>
      </c>
      <c r="B785" t="s">
        <v>10604</v>
      </c>
      <c r="C785" t="s">
        <v>12688</v>
      </c>
      <c r="D785" t="s">
        <v>15167</v>
      </c>
      <c r="E785" t="s">
        <v>1135</v>
      </c>
      <c r="F785">
        <v>1</v>
      </c>
      <c r="G785">
        <v>1</v>
      </c>
      <c r="H785">
        <v>1</v>
      </c>
      <c r="I785">
        <v>1</v>
      </c>
      <c r="J785" s="3" t="s">
        <v>2222</v>
      </c>
      <c r="K785" s="6">
        <v>0</v>
      </c>
    </row>
    <row r="786" spans="1:11">
      <c r="A786" t="str">
        <f t="shared" si="12"/>
        <v>Kaos Saber1/1/10000</v>
      </c>
      <c r="B786" t="s">
        <v>10605</v>
      </c>
      <c r="C786" t="s">
        <v>12689</v>
      </c>
      <c r="D786" t="s">
        <v>15168</v>
      </c>
      <c r="E786" t="s">
        <v>1136</v>
      </c>
      <c r="F786">
        <v>1</v>
      </c>
      <c r="G786">
        <v>1</v>
      </c>
      <c r="H786">
        <v>1</v>
      </c>
      <c r="I786">
        <v>1</v>
      </c>
      <c r="J786" s="3" t="s">
        <v>2222</v>
      </c>
      <c r="K786" s="6">
        <v>0</v>
      </c>
    </row>
    <row r="787" spans="1:11">
      <c r="A787" t="str">
        <f t="shared" si="12"/>
        <v>Kaos Saprodap1/1/10000</v>
      </c>
      <c r="B787" t="s">
        <v>10606</v>
      </c>
      <c r="C787" t="s">
        <v>12690</v>
      </c>
      <c r="D787" t="s">
        <v>15169</v>
      </c>
      <c r="E787" t="s">
        <v>1137</v>
      </c>
      <c r="F787">
        <v>1</v>
      </c>
      <c r="G787">
        <v>1</v>
      </c>
      <c r="H787">
        <v>1</v>
      </c>
      <c r="I787">
        <v>1</v>
      </c>
      <c r="J787" s="3" t="s">
        <v>2222</v>
      </c>
      <c r="K787" s="6">
        <v>0</v>
      </c>
    </row>
    <row r="788" spans="1:11">
      <c r="A788" t="str">
        <f t="shared" si="12"/>
        <v>Kaos Saprotan1/1/10000</v>
      </c>
      <c r="B788" t="s">
        <v>10607</v>
      </c>
      <c r="C788" t="s">
        <v>12691</v>
      </c>
      <c r="D788" t="s">
        <v>15170</v>
      </c>
      <c r="E788" t="s">
        <v>1138</v>
      </c>
      <c r="F788">
        <v>1</v>
      </c>
      <c r="G788">
        <v>1</v>
      </c>
      <c r="H788">
        <v>1</v>
      </c>
      <c r="I788">
        <v>1</v>
      </c>
      <c r="J788" s="3" t="s">
        <v>2222</v>
      </c>
      <c r="K788" s="6">
        <v>0</v>
      </c>
    </row>
    <row r="789" spans="1:11">
      <c r="A789" t="str">
        <f t="shared" si="12"/>
        <v>Kaos Sari Kresna D31/1/10000</v>
      </c>
      <c r="B789" t="s">
        <v>10608</v>
      </c>
      <c r="C789" t="s">
        <v>12692</v>
      </c>
      <c r="D789" t="s">
        <v>15171</v>
      </c>
      <c r="E789" t="s">
        <v>1139</v>
      </c>
      <c r="F789">
        <v>1</v>
      </c>
      <c r="G789">
        <v>1</v>
      </c>
      <c r="H789">
        <v>1</v>
      </c>
      <c r="I789">
        <v>1</v>
      </c>
      <c r="J789" s="3" t="s">
        <v>2222</v>
      </c>
      <c r="K789" s="6">
        <v>0</v>
      </c>
    </row>
    <row r="790" spans="1:11">
      <c r="A790" t="str">
        <f t="shared" si="12"/>
        <v>Kaos Savity1/1/10000</v>
      </c>
      <c r="B790" t="s">
        <v>10609</v>
      </c>
      <c r="C790" t="s">
        <v>12693</v>
      </c>
      <c r="D790" t="s">
        <v>15172</v>
      </c>
      <c r="E790" t="s">
        <v>1140</v>
      </c>
      <c r="F790">
        <v>1</v>
      </c>
      <c r="G790">
        <v>1</v>
      </c>
      <c r="H790">
        <v>1</v>
      </c>
      <c r="I790">
        <v>1</v>
      </c>
      <c r="J790" s="3" t="s">
        <v>2222</v>
      </c>
      <c r="K790" s="6">
        <v>0</v>
      </c>
    </row>
    <row r="791" spans="1:11">
      <c r="A791" t="str">
        <f t="shared" si="12"/>
        <v>Kaos Seminis1/1/10000</v>
      </c>
      <c r="B791" t="s">
        <v>10610</v>
      </c>
      <c r="C791" t="s">
        <v>12694</v>
      </c>
      <c r="D791" t="s">
        <v>15173</v>
      </c>
      <c r="E791" t="s">
        <v>1141</v>
      </c>
      <c r="F791">
        <v>1</v>
      </c>
      <c r="G791">
        <v>1</v>
      </c>
      <c r="H791">
        <v>1</v>
      </c>
      <c r="I791">
        <v>1</v>
      </c>
      <c r="J791" s="3" t="s">
        <v>2222</v>
      </c>
      <c r="K791" s="6">
        <v>0</v>
      </c>
    </row>
    <row r="792" spans="1:11">
      <c r="A792" t="str">
        <f t="shared" si="12"/>
        <v>Kaos Sinasen 300 SC1/1/10000</v>
      </c>
      <c r="B792" t="s">
        <v>10611</v>
      </c>
      <c r="C792" t="s">
        <v>12695</v>
      </c>
      <c r="D792" t="s">
        <v>15174</v>
      </c>
      <c r="E792" t="s">
        <v>1142</v>
      </c>
      <c r="F792">
        <v>1</v>
      </c>
      <c r="G792">
        <v>1</v>
      </c>
      <c r="H792">
        <v>1</v>
      </c>
      <c r="I792">
        <v>1</v>
      </c>
      <c r="J792" s="3" t="s">
        <v>2222</v>
      </c>
      <c r="K792" s="6">
        <v>0</v>
      </c>
    </row>
    <row r="793" spans="1:11">
      <c r="A793" t="str">
        <f t="shared" si="12"/>
        <v>Kaos Sofia1/1/10000</v>
      </c>
      <c r="B793" t="s">
        <v>10612</v>
      </c>
      <c r="C793" t="s">
        <v>12696</v>
      </c>
      <c r="D793" t="s">
        <v>15175</v>
      </c>
      <c r="E793" t="s">
        <v>1143</v>
      </c>
      <c r="F793">
        <v>1</v>
      </c>
      <c r="G793">
        <v>1</v>
      </c>
      <c r="H793">
        <v>1</v>
      </c>
      <c r="I793">
        <v>1</v>
      </c>
      <c r="J793" s="3" t="s">
        <v>2222</v>
      </c>
      <c r="K793" s="6">
        <v>0</v>
      </c>
    </row>
    <row r="794" spans="1:11">
      <c r="A794" t="str">
        <f t="shared" si="12"/>
        <v>Kaos Syngenta1/1/10000</v>
      </c>
      <c r="B794" t="s">
        <v>10613</v>
      </c>
      <c r="C794" t="s">
        <v>12697</v>
      </c>
      <c r="D794" t="s">
        <v>15176</v>
      </c>
      <c r="E794" t="s">
        <v>1144</v>
      </c>
      <c r="F794">
        <v>1</v>
      </c>
      <c r="G794">
        <v>1</v>
      </c>
      <c r="H794">
        <v>1</v>
      </c>
      <c r="I794">
        <v>1</v>
      </c>
      <c r="J794" s="3" t="s">
        <v>2222</v>
      </c>
      <c r="K794" s="6">
        <v>0</v>
      </c>
    </row>
    <row r="795" spans="1:11">
      <c r="A795" t="str">
        <f t="shared" si="12"/>
        <v>Kaos THM Crespo1/1/10000</v>
      </c>
      <c r="B795" t="s">
        <v>10614</v>
      </c>
      <c r="C795" t="s">
        <v>12698</v>
      </c>
      <c r="D795" t="s">
        <v>15177</v>
      </c>
      <c r="E795" t="s">
        <v>1145</v>
      </c>
      <c r="F795">
        <v>1</v>
      </c>
      <c r="G795">
        <v>1</v>
      </c>
      <c r="H795">
        <v>1</v>
      </c>
      <c r="I795">
        <v>1</v>
      </c>
      <c r="J795" s="3" t="s">
        <v>2222</v>
      </c>
      <c r="K795" s="6">
        <v>0</v>
      </c>
    </row>
    <row r="796" spans="1:11">
      <c r="A796" t="str">
        <f t="shared" si="12"/>
        <v>Kaos Toxafin1/1/10000</v>
      </c>
      <c r="B796" t="s">
        <v>10615</v>
      </c>
      <c r="C796" t="s">
        <v>12699</v>
      </c>
      <c r="D796" t="s">
        <v>15178</v>
      </c>
      <c r="E796" t="s">
        <v>1146</v>
      </c>
      <c r="F796">
        <v>1</v>
      </c>
      <c r="G796">
        <v>1</v>
      </c>
      <c r="H796">
        <v>1</v>
      </c>
      <c r="I796">
        <v>1</v>
      </c>
      <c r="J796" s="3" t="s">
        <v>2222</v>
      </c>
      <c r="K796" s="6">
        <v>0</v>
      </c>
    </row>
    <row r="797" spans="1:11">
      <c r="A797" t="str">
        <f t="shared" si="12"/>
        <v>Kaos Tumagon1/1/10000</v>
      </c>
      <c r="B797" t="s">
        <v>10616</v>
      </c>
      <c r="C797" t="s">
        <v>12700</v>
      </c>
      <c r="D797" t="s">
        <v>15179</v>
      </c>
      <c r="E797" t="s">
        <v>1147</v>
      </c>
      <c r="F797">
        <v>1</v>
      </c>
      <c r="G797">
        <v>1</v>
      </c>
      <c r="H797">
        <v>1</v>
      </c>
      <c r="I797">
        <v>1</v>
      </c>
      <c r="J797" s="3" t="s">
        <v>2222</v>
      </c>
      <c r="K797" s="6">
        <v>0</v>
      </c>
    </row>
    <row r="798" spans="1:11">
      <c r="A798" t="str">
        <f t="shared" si="12"/>
        <v>Kaos UPL1/1/10000</v>
      </c>
      <c r="B798" t="s">
        <v>10617</v>
      </c>
      <c r="C798" t="s">
        <v>12701</v>
      </c>
      <c r="D798" t="s">
        <v>15180</v>
      </c>
      <c r="E798" t="s">
        <v>1148</v>
      </c>
      <c r="F798">
        <v>1</v>
      </c>
      <c r="G798">
        <v>1</v>
      </c>
      <c r="H798">
        <v>1</v>
      </c>
      <c r="I798">
        <v>1</v>
      </c>
      <c r="J798" s="3" t="s">
        <v>2222</v>
      </c>
      <c r="K798" s="6">
        <v>0</v>
      </c>
    </row>
    <row r="799" spans="1:11">
      <c r="A799" t="str">
        <f t="shared" si="12"/>
        <v>Karbasin 500 EC 20 X 500 ml458700</v>
      </c>
      <c r="B799" t="s">
        <v>10618</v>
      </c>
      <c r="C799" t="s">
        <v>12702</v>
      </c>
      <c r="D799" t="s">
        <v>15181</v>
      </c>
      <c r="E799" t="s">
        <v>1149</v>
      </c>
      <c r="F799">
        <v>20</v>
      </c>
      <c r="G799">
        <v>1</v>
      </c>
      <c r="H799">
        <v>1</v>
      </c>
      <c r="I799">
        <v>20</v>
      </c>
      <c r="J799" s="3">
        <v>45870</v>
      </c>
      <c r="K799" s="6">
        <v>0</v>
      </c>
    </row>
    <row r="800" spans="1:11">
      <c r="A800" t="str">
        <f t="shared" si="12"/>
        <v>Karburator Star Metal1/1/10000</v>
      </c>
      <c r="B800" t="s">
        <v>10619</v>
      </c>
      <c r="C800" t="s">
        <v>12703</v>
      </c>
      <c r="D800" t="s">
        <v>15182</v>
      </c>
      <c r="E800" t="s">
        <v>1151</v>
      </c>
      <c r="F800">
        <v>1</v>
      </c>
      <c r="G800">
        <v>1</v>
      </c>
      <c r="H800">
        <v>1</v>
      </c>
      <c r="I800">
        <v>1</v>
      </c>
      <c r="J800" s="3" t="s">
        <v>2222</v>
      </c>
      <c r="K800" s="6">
        <v>0</v>
      </c>
    </row>
    <row r="801" spans="1:11">
      <c r="A801" t="str">
        <f t="shared" si="12"/>
        <v>Karet Piston YT 5L1/1/10000</v>
      </c>
      <c r="B801" t="s">
        <v>10620</v>
      </c>
      <c r="C801" t="s">
        <v>12704</v>
      </c>
      <c r="D801" t="s">
        <v>15183</v>
      </c>
      <c r="E801" t="s">
        <v>1152</v>
      </c>
      <c r="F801">
        <v>1</v>
      </c>
      <c r="G801">
        <v>1</v>
      </c>
      <c r="H801">
        <v>1</v>
      </c>
      <c r="I801">
        <v>1</v>
      </c>
      <c r="J801" s="3" t="s">
        <v>2222</v>
      </c>
      <c r="K801" s="6">
        <v>0</v>
      </c>
    </row>
    <row r="802" spans="1:11">
      <c r="A802" t="str">
        <f t="shared" si="12"/>
        <v>Karimazu 590 EC 20 X 400 ml (Label Baru)469660</v>
      </c>
      <c r="B802" t="s">
        <v>10621</v>
      </c>
      <c r="C802" t="s">
        <v>12705</v>
      </c>
      <c r="D802" t="s">
        <v>15184</v>
      </c>
      <c r="E802" t="s">
        <v>1153</v>
      </c>
      <c r="F802">
        <v>20</v>
      </c>
      <c r="G802">
        <v>1</v>
      </c>
      <c r="H802">
        <v>1</v>
      </c>
      <c r="I802">
        <v>20</v>
      </c>
      <c r="J802" s="3">
        <v>46966</v>
      </c>
      <c r="K802" s="6">
        <v>0</v>
      </c>
    </row>
    <row r="803" spans="1:11">
      <c r="A803" t="str">
        <f t="shared" si="12"/>
        <v>Karimazu 590 EC 20 X 800 ml469350</v>
      </c>
      <c r="B803" t="s">
        <v>10622</v>
      </c>
      <c r="C803" t="s">
        <v>12706</v>
      </c>
      <c r="D803" t="s">
        <v>15185</v>
      </c>
      <c r="E803" t="s">
        <v>1155</v>
      </c>
      <c r="F803">
        <v>20</v>
      </c>
      <c r="G803">
        <v>1</v>
      </c>
      <c r="H803">
        <v>1</v>
      </c>
      <c r="I803">
        <v>20</v>
      </c>
      <c r="J803" s="3">
        <v>46935</v>
      </c>
      <c r="K803" s="6">
        <v>0</v>
      </c>
    </row>
    <row r="804" spans="1:11">
      <c r="A804" t="str">
        <f t="shared" si="12"/>
        <v>Karimazu 590 EC 40 X 200 ml469350</v>
      </c>
      <c r="B804" t="s">
        <v>10623</v>
      </c>
      <c r="C804" t="s">
        <v>12707</v>
      </c>
      <c r="D804" t="s">
        <v>15186</v>
      </c>
      <c r="E804" t="s">
        <v>1156</v>
      </c>
      <c r="F804">
        <v>40</v>
      </c>
      <c r="G804">
        <v>1</v>
      </c>
      <c r="H804">
        <v>1</v>
      </c>
      <c r="I804">
        <v>40</v>
      </c>
      <c r="J804" s="3">
        <v>46935</v>
      </c>
      <c r="K804" s="6">
        <v>0</v>
      </c>
    </row>
    <row r="805" spans="1:11">
      <c r="A805" t="str">
        <f t="shared" si="12"/>
        <v>Karung OPP Lami 10 kg Qiu Seed1/1/10000</v>
      </c>
      <c r="B805" t="s">
        <v>10624</v>
      </c>
      <c r="C805" t="s">
        <v>12708</v>
      </c>
      <c r="D805" t="s">
        <v>15187</v>
      </c>
      <c r="E805" t="s">
        <v>1158</v>
      </c>
      <c r="F805">
        <v>1</v>
      </c>
      <c r="G805">
        <v>1</v>
      </c>
      <c r="H805">
        <v>1</v>
      </c>
      <c r="I805">
        <v>1</v>
      </c>
      <c r="J805" s="3" t="s">
        <v>2222</v>
      </c>
      <c r="K805" s="6">
        <v>0</v>
      </c>
    </row>
    <row r="806" spans="1:11">
      <c r="A806" t="str">
        <f t="shared" si="12"/>
        <v>Katup Pelepas Angin YT 5L1/1/10000</v>
      </c>
      <c r="B806" t="s">
        <v>10625</v>
      </c>
      <c r="C806" t="s">
        <v>12709</v>
      </c>
      <c r="D806" t="s">
        <v>15188</v>
      </c>
      <c r="E806" t="s">
        <v>1159</v>
      </c>
      <c r="F806">
        <v>1</v>
      </c>
      <c r="G806">
        <v>1</v>
      </c>
      <c r="H806">
        <v>1</v>
      </c>
      <c r="I806">
        <v>1</v>
      </c>
      <c r="J806" s="3" t="s">
        <v>2222</v>
      </c>
      <c r="K806" s="6">
        <v>0</v>
      </c>
    </row>
    <row r="807" spans="1:11">
      <c r="A807" t="str">
        <f t="shared" si="12"/>
        <v>Kelpak 11/0.031 SL 20 X 500 ml461740</v>
      </c>
      <c r="B807" t="s">
        <v>10626</v>
      </c>
      <c r="C807" t="s">
        <v>12710</v>
      </c>
      <c r="D807" t="s">
        <v>15189</v>
      </c>
      <c r="E807" t="s">
        <v>1160</v>
      </c>
      <c r="F807">
        <v>20</v>
      </c>
      <c r="G807">
        <v>1</v>
      </c>
      <c r="H807">
        <v>1</v>
      </c>
      <c r="I807">
        <v>20</v>
      </c>
      <c r="J807" s="3">
        <v>46174</v>
      </c>
      <c r="K807" s="6">
        <v>0</v>
      </c>
    </row>
    <row r="808" spans="1:11">
      <c r="A808" t="str">
        <f t="shared" si="12"/>
        <v>Kelpak 11/0.031 SL 40 X 250 ml461740</v>
      </c>
      <c r="B808" t="s">
        <v>10627</v>
      </c>
      <c r="C808" t="s">
        <v>12711</v>
      </c>
      <c r="D808" t="s">
        <v>15190</v>
      </c>
      <c r="E808" t="s">
        <v>1161</v>
      </c>
      <c r="F808">
        <v>40</v>
      </c>
      <c r="G808">
        <v>1</v>
      </c>
      <c r="H808">
        <v>1</v>
      </c>
      <c r="I808">
        <v>40</v>
      </c>
      <c r="J808" s="3">
        <v>46174</v>
      </c>
      <c r="K808" s="6">
        <v>0</v>
      </c>
    </row>
    <row r="809" spans="1:11">
      <c r="A809" t="str">
        <f t="shared" si="12"/>
        <v>Kelpak 11/0.031 SL 50 X 100 ml461740</v>
      </c>
      <c r="B809" t="s">
        <v>10628</v>
      </c>
      <c r="C809" t="s">
        <v>12712</v>
      </c>
      <c r="D809" t="s">
        <v>15191</v>
      </c>
      <c r="E809" t="s">
        <v>1162</v>
      </c>
      <c r="F809">
        <v>50</v>
      </c>
      <c r="G809">
        <v>1</v>
      </c>
      <c r="H809">
        <v>1</v>
      </c>
      <c r="I809">
        <v>50</v>
      </c>
      <c r="J809" s="3">
        <v>46174</v>
      </c>
      <c r="K809" s="6">
        <v>0</v>
      </c>
    </row>
    <row r="810" spans="1:11">
      <c r="A810" t="str">
        <f t="shared" si="12"/>
        <v>Kemeja MIA1/1/10000</v>
      </c>
      <c r="B810" t="s">
        <v>10629</v>
      </c>
      <c r="C810" t="s">
        <v>12713</v>
      </c>
      <c r="D810" t="s">
        <v>15192</v>
      </c>
      <c r="E810" t="s">
        <v>1163</v>
      </c>
      <c r="F810">
        <v>1</v>
      </c>
      <c r="G810">
        <v>1</v>
      </c>
      <c r="H810">
        <v>1</v>
      </c>
      <c r="I810">
        <v>1</v>
      </c>
      <c r="J810" s="3" t="s">
        <v>2222</v>
      </c>
      <c r="K810" s="6">
        <v>0</v>
      </c>
    </row>
    <row r="811" spans="1:11">
      <c r="A811" t="str">
        <f t="shared" si="12"/>
        <v>Kencis 55 EW 20 X 1 ltr471780</v>
      </c>
      <c r="B811" t="s">
        <v>10630</v>
      </c>
      <c r="C811" t="s">
        <v>12714</v>
      </c>
      <c r="D811" t="s">
        <v>15193</v>
      </c>
      <c r="E811" t="s">
        <v>1164</v>
      </c>
      <c r="F811">
        <v>20</v>
      </c>
      <c r="G811">
        <v>1</v>
      </c>
      <c r="H811">
        <v>1</v>
      </c>
      <c r="I811">
        <v>20</v>
      </c>
      <c r="J811" s="3">
        <v>47178</v>
      </c>
      <c r="K811" s="6">
        <v>0</v>
      </c>
    </row>
    <row r="812" spans="1:11">
      <c r="A812" t="str">
        <f t="shared" si="12"/>
        <v>Kencis 55 EW 20 X 1 ltr472390</v>
      </c>
      <c r="B812" t="s">
        <v>10631</v>
      </c>
      <c r="C812" t="s">
        <v>12715</v>
      </c>
      <c r="D812" t="s">
        <v>15194</v>
      </c>
      <c r="E812" t="s">
        <v>1164</v>
      </c>
      <c r="F812">
        <v>20</v>
      </c>
      <c r="G812">
        <v>1</v>
      </c>
      <c r="H812">
        <v>1</v>
      </c>
      <c r="I812">
        <v>20</v>
      </c>
      <c r="J812" s="3">
        <v>47239</v>
      </c>
      <c r="K812" s="6">
        <v>0</v>
      </c>
    </row>
    <row r="813" spans="1:11">
      <c r="A813" t="str">
        <f t="shared" si="12"/>
        <v>Kencis 55 EW 24 X 500 ml466310</v>
      </c>
      <c r="B813" t="s">
        <v>10632</v>
      </c>
      <c r="C813" t="s">
        <v>12716</v>
      </c>
      <c r="D813" t="s">
        <v>15195</v>
      </c>
      <c r="E813" t="s">
        <v>1165</v>
      </c>
      <c r="F813">
        <v>24</v>
      </c>
      <c r="G813">
        <v>1</v>
      </c>
      <c r="H813">
        <v>1</v>
      </c>
      <c r="I813">
        <v>24</v>
      </c>
      <c r="J813" s="3">
        <v>46631</v>
      </c>
      <c r="K813" s="6">
        <v>0</v>
      </c>
    </row>
    <row r="814" spans="1:11">
      <c r="A814" t="str">
        <f t="shared" si="12"/>
        <v>Kenmectin 39 EC 48 X 250 ml457170</v>
      </c>
      <c r="B814" t="s">
        <v>10633</v>
      </c>
      <c r="C814" t="s">
        <v>12717</v>
      </c>
      <c r="D814" t="s">
        <v>15196</v>
      </c>
      <c r="E814" t="s">
        <v>1166</v>
      </c>
      <c r="F814">
        <v>48</v>
      </c>
      <c r="G814">
        <v>1</v>
      </c>
      <c r="H814">
        <v>1</v>
      </c>
      <c r="I814">
        <v>48</v>
      </c>
      <c r="J814" s="3">
        <v>45717</v>
      </c>
      <c r="K814" s="6">
        <v>0</v>
      </c>
    </row>
    <row r="815" spans="1:11">
      <c r="A815" t="str">
        <f t="shared" si="12"/>
        <v>Kenmectin 39 EC 48 X 250 ml459010</v>
      </c>
      <c r="B815" t="s">
        <v>10634</v>
      </c>
      <c r="C815" t="s">
        <v>12718</v>
      </c>
      <c r="D815" t="s">
        <v>15197</v>
      </c>
      <c r="E815" t="s">
        <v>1166</v>
      </c>
      <c r="F815">
        <v>48</v>
      </c>
      <c r="G815">
        <v>1</v>
      </c>
      <c r="H815">
        <v>1</v>
      </c>
      <c r="I815">
        <v>48</v>
      </c>
      <c r="J815" s="3">
        <v>45901</v>
      </c>
      <c r="K815" s="6">
        <v>0</v>
      </c>
    </row>
    <row r="816" spans="1:11">
      <c r="A816" t="str">
        <f t="shared" si="12"/>
        <v>Ken-Mida 12/50 EC 100 X 100 ml463270</v>
      </c>
      <c r="B816" t="s">
        <v>10635</v>
      </c>
      <c r="C816" t="s">
        <v>12719</v>
      </c>
      <c r="D816" t="s">
        <v>15198</v>
      </c>
      <c r="E816" t="s">
        <v>1167</v>
      </c>
      <c r="F816">
        <v>100</v>
      </c>
      <c r="G816">
        <v>1</v>
      </c>
      <c r="H816">
        <v>1</v>
      </c>
      <c r="I816">
        <v>100</v>
      </c>
      <c r="J816" s="3">
        <v>46327</v>
      </c>
      <c r="K816" s="6">
        <v>0</v>
      </c>
    </row>
    <row r="817" spans="1:11">
      <c r="A817" t="str">
        <f t="shared" si="12"/>
        <v>Ken-Mida 12/50 EC 100 X 100 ml465690</v>
      </c>
      <c r="B817" t="s">
        <v>10636</v>
      </c>
      <c r="C817" t="s">
        <v>12720</v>
      </c>
      <c r="D817" t="s">
        <v>15199</v>
      </c>
      <c r="E817" t="s">
        <v>1167</v>
      </c>
      <c r="F817">
        <v>100</v>
      </c>
      <c r="G817">
        <v>1</v>
      </c>
      <c r="H817">
        <v>1</v>
      </c>
      <c r="I817">
        <v>100</v>
      </c>
      <c r="J817" s="3">
        <v>46569</v>
      </c>
      <c r="K817" s="6">
        <v>0</v>
      </c>
    </row>
    <row r="818" spans="1:11">
      <c r="A818" t="str">
        <f t="shared" si="12"/>
        <v>Ken-Mida 12/50 EC 24 X 500 ml462040</v>
      </c>
      <c r="B818" t="s">
        <v>10637</v>
      </c>
      <c r="C818" t="s">
        <v>12721</v>
      </c>
      <c r="D818" t="s">
        <v>15200</v>
      </c>
      <c r="E818" t="s">
        <v>1168</v>
      </c>
      <c r="F818">
        <v>24</v>
      </c>
      <c r="G818">
        <v>1</v>
      </c>
      <c r="H818">
        <v>1</v>
      </c>
      <c r="I818">
        <v>24</v>
      </c>
      <c r="J818" s="3">
        <v>46204</v>
      </c>
      <c r="K818" s="6">
        <v>0</v>
      </c>
    </row>
    <row r="819" spans="1:11">
      <c r="A819" t="str">
        <f t="shared" si="12"/>
        <v>Ken-Mida 12/50 EC 48 X 250 ml463270</v>
      </c>
      <c r="B819" t="s">
        <v>10638</v>
      </c>
      <c r="C819" t="s">
        <v>12722</v>
      </c>
      <c r="D819" t="s">
        <v>15201</v>
      </c>
      <c r="E819" t="s">
        <v>1169</v>
      </c>
      <c r="F819">
        <v>48</v>
      </c>
      <c r="G819">
        <v>1</v>
      </c>
      <c r="H819">
        <v>1</v>
      </c>
      <c r="I819">
        <v>48</v>
      </c>
      <c r="J819" s="3">
        <v>46327</v>
      </c>
      <c r="K819" s="6">
        <v>0</v>
      </c>
    </row>
    <row r="820" spans="1:11">
      <c r="A820" t="str">
        <f t="shared" si="12"/>
        <v>Ken-Mida 12/50 EC 48 X 250 ml463880</v>
      </c>
      <c r="B820" t="s">
        <v>10639</v>
      </c>
      <c r="C820" t="s">
        <v>12723</v>
      </c>
      <c r="D820" t="s">
        <v>15202</v>
      </c>
      <c r="E820" t="s">
        <v>1169</v>
      </c>
      <c r="F820">
        <v>48</v>
      </c>
      <c r="G820">
        <v>1</v>
      </c>
      <c r="H820">
        <v>1</v>
      </c>
      <c r="I820">
        <v>48</v>
      </c>
      <c r="J820" s="3">
        <v>46388</v>
      </c>
      <c r="K820" s="6">
        <v>0</v>
      </c>
    </row>
    <row r="821" spans="1:11">
      <c r="A821" t="str">
        <f t="shared" si="12"/>
        <v>Kick Off 36 EC 20 X 1 ltr456270</v>
      </c>
      <c r="B821" t="s">
        <v>10640</v>
      </c>
      <c r="C821" t="s">
        <v>12724</v>
      </c>
      <c r="D821" t="s">
        <v>15203</v>
      </c>
      <c r="E821" t="s">
        <v>1170</v>
      </c>
      <c r="F821">
        <v>20</v>
      </c>
      <c r="G821">
        <v>1</v>
      </c>
      <c r="H821">
        <v>1</v>
      </c>
      <c r="I821">
        <v>20</v>
      </c>
      <c r="J821" s="3">
        <v>45627</v>
      </c>
      <c r="K821" s="6">
        <v>0</v>
      </c>
    </row>
    <row r="822" spans="1:11">
      <c r="A822" t="str">
        <f t="shared" si="12"/>
        <v>Kick Off 36 EC 48 X 100 ml452310</v>
      </c>
      <c r="B822" t="s">
        <v>10641</v>
      </c>
      <c r="C822" t="s">
        <v>12725</v>
      </c>
      <c r="D822" t="s">
        <v>15204</v>
      </c>
      <c r="E822" t="s">
        <v>1172</v>
      </c>
      <c r="F822">
        <v>48</v>
      </c>
      <c r="G822">
        <v>1</v>
      </c>
      <c r="H822">
        <v>1</v>
      </c>
      <c r="I822">
        <v>48</v>
      </c>
      <c r="J822" s="3">
        <v>45231</v>
      </c>
      <c r="K822" s="6">
        <v>0</v>
      </c>
    </row>
    <row r="823" spans="1:11">
      <c r="A823" t="str">
        <f t="shared" si="12"/>
        <v>Kick Off 36 EC 48 X 100 ml455360</v>
      </c>
      <c r="B823" t="s">
        <v>10642</v>
      </c>
      <c r="C823" t="s">
        <v>12726</v>
      </c>
      <c r="D823" t="s">
        <v>15205</v>
      </c>
      <c r="E823" t="s">
        <v>1172</v>
      </c>
      <c r="F823">
        <v>48</v>
      </c>
      <c r="G823">
        <v>1</v>
      </c>
      <c r="H823">
        <v>1</v>
      </c>
      <c r="I823">
        <v>48</v>
      </c>
      <c r="J823" s="3">
        <v>45536</v>
      </c>
      <c r="K823" s="6">
        <v>0</v>
      </c>
    </row>
    <row r="824" spans="1:11">
      <c r="A824" t="str">
        <f t="shared" si="12"/>
        <v>Kilau 36 WP 6 X 50 X 25 gr455050</v>
      </c>
      <c r="B824" t="s">
        <v>10643</v>
      </c>
      <c r="C824" t="s">
        <v>12727</v>
      </c>
      <c r="D824" t="s">
        <v>15206</v>
      </c>
      <c r="E824" t="s">
        <v>1175</v>
      </c>
      <c r="F824">
        <v>6</v>
      </c>
      <c r="G824">
        <v>50</v>
      </c>
      <c r="H824">
        <v>1</v>
      </c>
      <c r="I824">
        <v>300</v>
      </c>
      <c r="J824" s="3">
        <v>45505</v>
      </c>
      <c r="K824" s="6">
        <v>0</v>
      </c>
    </row>
    <row r="825" spans="1:11">
      <c r="A825" t="str">
        <f t="shared" si="12"/>
        <v>Kingdom 550 SC 20 ltr469970</v>
      </c>
      <c r="B825" t="s">
        <v>10644</v>
      </c>
      <c r="C825" t="s">
        <v>12728</v>
      </c>
      <c r="D825" t="s">
        <v>15207</v>
      </c>
      <c r="E825" t="s">
        <v>1176</v>
      </c>
      <c r="F825">
        <v>1</v>
      </c>
      <c r="G825">
        <v>1</v>
      </c>
      <c r="H825">
        <v>1</v>
      </c>
      <c r="I825">
        <v>1</v>
      </c>
      <c r="J825" s="3">
        <v>46997</v>
      </c>
      <c r="K825" s="6">
        <v>0</v>
      </c>
    </row>
    <row r="826" spans="1:11">
      <c r="A826" t="str">
        <f t="shared" si="12"/>
        <v>Kingdom 550 SC 20 X 1 ltr466610</v>
      </c>
      <c r="B826" t="s">
        <v>10645</v>
      </c>
      <c r="C826" t="s">
        <v>12729</v>
      </c>
      <c r="D826" t="s">
        <v>15208</v>
      </c>
      <c r="E826" t="s">
        <v>1177</v>
      </c>
      <c r="F826">
        <v>20</v>
      </c>
      <c r="G826">
        <v>1</v>
      </c>
      <c r="H826">
        <v>1</v>
      </c>
      <c r="I826">
        <v>20</v>
      </c>
      <c r="J826" s="3">
        <v>46661</v>
      </c>
      <c r="K826" s="6">
        <v>0</v>
      </c>
    </row>
    <row r="827" spans="1:11">
      <c r="A827" t="str">
        <f t="shared" si="12"/>
        <v>Kingdom 550 SC 20 X 1 ltr469970</v>
      </c>
      <c r="B827" t="s">
        <v>10646</v>
      </c>
      <c r="C827" t="s">
        <v>12730</v>
      </c>
      <c r="D827" t="s">
        <v>15209</v>
      </c>
      <c r="E827" t="s">
        <v>1177</v>
      </c>
      <c r="F827">
        <v>20</v>
      </c>
      <c r="G827">
        <v>1</v>
      </c>
      <c r="H827">
        <v>1</v>
      </c>
      <c r="I827">
        <v>20</v>
      </c>
      <c r="J827" s="3">
        <v>46997</v>
      </c>
      <c r="K827" s="6">
        <v>0</v>
      </c>
    </row>
    <row r="828" spans="1:11">
      <c r="A828" t="str">
        <f t="shared" si="12"/>
        <v>Kingdom 550 SC 4 X 5 ltr466310</v>
      </c>
      <c r="B828" t="s">
        <v>10647</v>
      </c>
      <c r="C828" t="s">
        <v>12731</v>
      </c>
      <c r="D828" t="s">
        <v>15210</v>
      </c>
      <c r="E828" t="s">
        <v>1178</v>
      </c>
      <c r="F828">
        <v>4</v>
      </c>
      <c r="G828">
        <v>1</v>
      </c>
      <c r="H828">
        <v>1</v>
      </c>
      <c r="I828">
        <v>4</v>
      </c>
      <c r="J828" s="3">
        <v>46631</v>
      </c>
      <c r="K828" s="6">
        <v>0</v>
      </c>
    </row>
    <row r="829" spans="1:11">
      <c r="A829" t="str">
        <f t="shared" si="12"/>
        <v>Kingdom 550 SC 4 X 5 ltr466610</v>
      </c>
      <c r="B829" t="s">
        <v>10648</v>
      </c>
      <c r="C829" t="s">
        <v>12732</v>
      </c>
      <c r="D829" t="s">
        <v>15211</v>
      </c>
      <c r="E829" t="s">
        <v>1178</v>
      </c>
      <c r="F829">
        <v>4</v>
      </c>
      <c r="G829">
        <v>1</v>
      </c>
      <c r="H829">
        <v>1</v>
      </c>
      <c r="I829">
        <v>4</v>
      </c>
      <c r="J829" s="3">
        <v>46661</v>
      </c>
      <c r="K829" s="6">
        <v>0</v>
      </c>
    </row>
    <row r="830" spans="1:11">
      <c r="A830" t="str">
        <f t="shared" si="12"/>
        <v>Klep Kulit 14 ltr Star Metal1/1/10000</v>
      </c>
      <c r="B830" t="s">
        <v>10649</v>
      </c>
      <c r="C830" t="s">
        <v>12733</v>
      </c>
      <c r="D830" t="s">
        <v>15212</v>
      </c>
      <c r="E830" t="s">
        <v>1179</v>
      </c>
      <c r="F830">
        <v>1</v>
      </c>
      <c r="G830">
        <v>1</v>
      </c>
      <c r="H830">
        <v>1</v>
      </c>
      <c r="I830">
        <v>1</v>
      </c>
      <c r="J830" s="3" t="s">
        <v>2222</v>
      </c>
      <c r="K830" s="6">
        <v>0</v>
      </c>
    </row>
    <row r="831" spans="1:11">
      <c r="A831" t="str">
        <f t="shared" si="12"/>
        <v>Klep Kulit 17 ltr Star Metal1/1/10000</v>
      </c>
      <c r="B831" t="s">
        <v>10650</v>
      </c>
      <c r="C831" t="s">
        <v>12734</v>
      </c>
      <c r="D831" t="s">
        <v>15213</v>
      </c>
      <c r="E831" t="s">
        <v>1180</v>
      </c>
      <c r="F831">
        <v>1</v>
      </c>
      <c r="G831">
        <v>1</v>
      </c>
      <c r="H831">
        <v>1</v>
      </c>
      <c r="I831">
        <v>1</v>
      </c>
      <c r="J831" s="3" t="s">
        <v>2222</v>
      </c>
      <c r="K831" s="6">
        <v>0</v>
      </c>
    </row>
    <row r="832" spans="1:11">
      <c r="A832" t="str">
        <f t="shared" si="12"/>
        <v>Kloper 500 SL 12 X 1 ltr466000</v>
      </c>
      <c r="B832" t="s">
        <v>10651</v>
      </c>
      <c r="C832" t="s">
        <v>12735</v>
      </c>
      <c r="D832" t="s">
        <v>15214</v>
      </c>
      <c r="E832" t="s">
        <v>1181</v>
      </c>
      <c r="F832">
        <v>12</v>
      </c>
      <c r="G832">
        <v>1</v>
      </c>
      <c r="H832">
        <v>1</v>
      </c>
      <c r="I832">
        <v>12</v>
      </c>
      <c r="J832" s="3">
        <v>46600</v>
      </c>
      <c r="K832" s="6">
        <v>0</v>
      </c>
    </row>
    <row r="833" spans="1:11">
      <c r="A833" t="str">
        <f t="shared" si="12"/>
        <v>Kloper 500 SL 20 X 500 ml466920</v>
      </c>
      <c r="B833" t="s">
        <v>10652</v>
      </c>
      <c r="C833" t="s">
        <v>12736</v>
      </c>
      <c r="D833" t="s">
        <v>15215</v>
      </c>
      <c r="E833" t="s">
        <v>1184</v>
      </c>
      <c r="F833">
        <v>20</v>
      </c>
      <c r="G833">
        <v>1</v>
      </c>
      <c r="H833">
        <v>1</v>
      </c>
      <c r="I833">
        <v>20</v>
      </c>
      <c r="J833" s="3">
        <v>46692</v>
      </c>
      <c r="K833" s="6">
        <v>0</v>
      </c>
    </row>
    <row r="834" spans="1:11">
      <c r="A834" t="str">
        <f t="shared" si="12"/>
        <v>Kloper 500 SL 40 X 250 ml468130</v>
      </c>
      <c r="B834" t="s">
        <v>10653</v>
      </c>
      <c r="C834" t="s">
        <v>12737</v>
      </c>
      <c r="D834" t="s">
        <v>15216</v>
      </c>
      <c r="E834" t="s">
        <v>1185</v>
      </c>
      <c r="F834">
        <v>40</v>
      </c>
      <c r="G834">
        <v>1</v>
      </c>
      <c r="H834">
        <v>1</v>
      </c>
      <c r="I834">
        <v>40</v>
      </c>
      <c r="J834" s="3">
        <v>46813</v>
      </c>
      <c r="K834" s="6">
        <v>0</v>
      </c>
    </row>
    <row r="835" spans="1:11">
      <c r="A835" t="str">
        <f t="shared" ref="A835:A898" si="13">E835&amp;J835&amp;K835</f>
        <v>KNO3 Merah P Tani 15 X 2 kg465080</v>
      </c>
      <c r="B835" t="s">
        <v>10654</v>
      </c>
      <c r="C835" t="s">
        <v>12738</v>
      </c>
      <c r="D835" t="s">
        <v>15217</v>
      </c>
      <c r="E835" t="s">
        <v>1187</v>
      </c>
      <c r="F835">
        <v>15</v>
      </c>
      <c r="G835">
        <v>1</v>
      </c>
      <c r="H835">
        <v>1</v>
      </c>
      <c r="I835">
        <v>15</v>
      </c>
      <c r="J835" s="3">
        <v>46508</v>
      </c>
      <c r="K835" s="6">
        <v>0</v>
      </c>
    </row>
    <row r="836" spans="1:11">
      <c r="A836" t="str">
        <f t="shared" si="13"/>
        <v>KNO3 Putih P Tani 15 X 2 kg463880</v>
      </c>
      <c r="B836" t="s">
        <v>10655</v>
      </c>
      <c r="C836" t="s">
        <v>12739</v>
      </c>
      <c r="D836" t="s">
        <v>15218</v>
      </c>
      <c r="E836" t="s">
        <v>1188</v>
      </c>
      <c r="F836">
        <v>15</v>
      </c>
      <c r="G836">
        <v>1</v>
      </c>
      <c r="H836">
        <v>1</v>
      </c>
      <c r="I836">
        <v>15</v>
      </c>
      <c r="J836" s="3">
        <v>46388</v>
      </c>
      <c r="K836" s="6">
        <v>0</v>
      </c>
    </row>
    <row r="837" spans="1:11">
      <c r="A837" t="str">
        <f t="shared" si="13"/>
        <v>Knocker 20 X 400 ml456580</v>
      </c>
      <c r="B837" t="s">
        <v>10656</v>
      </c>
      <c r="C837" t="s">
        <v>12740</v>
      </c>
      <c r="D837" t="s">
        <v>15219</v>
      </c>
      <c r="E837" t="s">
        <v>1189</v>
      </c>
      <c r="F837">
        <v>20</v>
      </c>
      <c r="G837">
        <v>1</v>
      </c>
      <c r="H837">
        <v>1</v>
      </c>
      <c r="I837">
        <v>20</v>
      </c>
      <c r="J837" s="3">
        <v>45658</v>
      </c>
      <c r="K837" s="6">
        <v>0</v>
      </c>
    </row>
    <row r="838" spans="1:11">
      <c r="A838" t="str">
        <f t="shared" si="13"/>
        <v>Knocker 30 X 200 ml + ergostim461130</v>
      </c>
      <c r="B838" t="s">
        <v>10657</v>
      </c>
      <c r="C838" t="s">
        <v>12741</v>
      </c>
      <c r="D838" t="s">
        <v>15220</v>
      </c>
      <c r="E838" t="s">
        <v>1190</v>
      </c>
      <c r="F838">
        <v>30</v>
      </c>
      <c r="G838">
        <v>1</v>
      </c>
      <c r="H838">
        <v>1</v>
      </c>
      <c r="I838">
        <v>30</v>
      </c>
      <c r="J838" s="3">
        <v>46113</v>
      </c>
      <c r="K838" s="6">
        <v>0</v>
      </c>
    </row>
    <row r="839" spans="1:11">
      <c r="A839" t="str">
        <f t="shared" si="13"/>
        <v>Knocker 40 X 200 ml468440</v>
      </c>
      <c r="B839" t="s">
        <v>10658</v>
      </c>
      <c r="C839" t="s">
        <v>12742</v>
      </c>
      <c r="D839" t="s">
        <v>15221</v>
      </c>
      <c r="E839" t="s">
        <v>1191</v>
      </c>
      <c r="F839">
        <v>40</v>
      </c>
      <c r="G839">
        <v>1</v>
      </c>
      <c r="H839">
        <v>1</v>
      </c>
      <c r="I839">
        <v>40</v>
      </c>
      <c r="J839" s="3">
        <v>46844</v>
      </c>
      <c r="K839" s="6">
        <v>0</v>
      </c>
    </row>
    <row r="840" spans="1:11">
      <c r="A840" t="str">
        <f t="shared" si="13"/>
        <v>Knocker 50 X 80 ml454130</v>
      </c>
      <c r="B840" t="s">
        <v>10659</v>
      </c>
      <c r="C840" t="s">
        <v>12743</v>
      </c>
      <c r="D840" t="s">
        <v>15222</v>
      </c>
      <c r="E840" t="s">
        <v>1192</v>
      </c>
      <c r="F840">
        <v>50</v>
      </c>
      <c r="G840">
        <v>1</v>
      </c>
      <c r="H840">
        <v>1</v>
      </c>
      <c r="I840">
        <v>50</v>
      </c>
      <c r="J840" s="3">
        <v>45413</v>
      </c>
      <c r="K840" s="6">
        <v>0</v>
      </c>
    </row>
    <row r="841" spans="1:11">
      <c r="A841" t="str">
        <f t="shared" si="13"/>
        <v>Knocker 50 X 80 ml461430</v>
      </c>
      <c r="B841" t="s">
        <v>10660</v>
      </c>
      <c r="C841" t="s">
        <v>12744</v>
      </c>
      <c r="D841" t="s">
        <v>15223</v>
      </c>
      <c r="E841" t="s">
        <v>1192</v>
      </c>
      <c r="F841">
        <v>50</v>
      </c>
      <c r="G841">
        <v>1</v>
      </c>
      <c r="H841">
        <v>1</v>
      </c>
      <c r="I841">
        <v>50</v>
      </c>
      <c r="J841" s="3">
        <v>46143</v>
      </c>
      <c r="K841" s="6">
        <v>0</v>
      </c>
    </row>
    <row r="842" spans="1:11">
      <c r="A842" t="str">
        <f t="shared" si="13"/>
        <v>Kompor Gas Maspion1/1/10000</v>
      </c>
      <c r="B842" t="s">
        <v>10661</v>
      </c>
      <c r="C842" t="s">
        <v>12745</v>
      </c>
      <c r="D842" t="s">
        <v>15224</v>
      </c>
      <c r="E842" t="s">
        <v>1193</v>
      </c>
      <c r="F842">
        <v>1</v>
      </c>
      <c r="G842">
        <v>1</v>
      </c>
      <c r="H842">
        <v>1</v>
      </c>
      <c r="I842">
        <v>1</v>
      </c>
      <c r="J842" s="3" t="s">
        <v>2222</v>
      </c>
      <c r="K842" s="6">
        <v>0</v>
      </c>
    </row>
    <row r="843" spans="1:11">
      <c r="A843" t="str">
        <f t="shared" si="13"/>
        <v>Konektor Nosel Tutup1/1/10000</v>
      </c>
      <c r="B843" t="s">
        <v>10662</v>
      </c>
      <c r="C843" t="s">
        <v>12746</v>
      </c>
      <c r="D843" t="s">
        <v>15225</v>
      </c>
      <c r="E843" t="s">
        <v>1194</v>
      </c>
      <c r="F843">
        <v>1</v>
      </c>
      <c r="G843">
        <v>1</v>
      </c>
      <c r="H843">
        <v>1</v>
      </c>
      <c r="I843">
        <v>1</v>
      </c>
      <c r="J843" s="3" t="s">
        <v>2222</v>
      </c>
      <c r="K843" s="6">
        <v>0</v>
      </c>
    </row>
    <row r="844" spans="1:11">
      <c r="A844" t="str">
        <f t="shared" si="13"/>
        <v>Konsep 50 EC 100 X 100 ml467840</v>
      </c>
      <c r="B844" t="s">
        <v>10663</v>
      </c>
      <c r="C844" t="s">
        <v>12747</v>
      </c>
      <c r="D844" t="s">
        <v>15226</v>
      </c>
      <c r="E844" t="s">
        <v>1195</v>
      </c>
      <c r="F844">
        <v>100</v>
      </c>
      <c r="G844">
        <v>1</v>
      </c>
      <c r="H844">
        <v>1</v>
      </c>
      <c r="I844">
        <v>100</v>
      </c>
      <c r="J844" s="3">
        <v>46784</v>
      </c>
      <c r="K844" s="6">
        <v>0</v>
      </c>
    </row>
    <row r="845" spans="1:11">
      <c r="A845" t="str">
        <f t="shared" si="13"/>
        <v>Konsep 50 EC 20 X 1 ltr462040</v>
      </c>
      <c r="B845" t="s">
        <v>10664</v>
      </c>
      <c r="C845" t="s">
        <v>12748</v>
      </c>
      <c r="D845" t="s">
        <v>15227</v>
      </c>
      <c r="E845" t="s">
        <v>1196</v>
      </c>
      <c r="F845">
        <v>20</v>
      </c>
      <c r="G845">
        <v>1</v>
      </c>
      <c r="H845">
        <v>1</v>
      </c>
      <c r="I845">
        <v>20</v>
      </c>
      <c r="J845" s="3">
        <v>46204</v>
      </c>
      <c r="K845" s="6">
        <v>0</v>
      </c>
    </row>
    <row r="846" spans="1:11">
      <c r="A846" t="str">
        <f t="shared" si="13"/>
        <v>Konsep 50 EC 20 X 1 ltr469350</v>
      </c>
      <c r="B846" t="s">
        <v>10665</v>
      </c>
      <c r="C846" t="s">
        <v>12749</v>
      </c>
      <c r="D846" t="s">
        <v>15228</v>
      </c>
      <c r="E846" t="s">
        <v>1196</v>
      </c>
      <c r="F846">
        <v>20</v>
      </c>
      <c r="G846">
        <v>1</v>
      </c>
      <c r="H846">
        <v>1</v>
      </c>
      <c r="I846">
        <v>20</v>
      </c>
      <c r="J846" s="3">
        <v>46935</v>
      </c>
      <c r="K846" s="6">
        <v>0</v>
      </c>
    </row>
    <row r="847" spans="1:11">
      <c r="A847" t="str">
        <f t="shared" si="13"/>
        <v>Konsep 50 EC 25 X 500 ml466610</v>
      </c>
      <c r="B847" t="s">
        <v>10666</v>
      </c>
      <c r="C847" t="s">
        <v>12750</v>
      </c>
      <c r="D847" t="s">
        <v>15229</v>
      </c>
      <c r="E847" t="s">
        <v>1197</v>
      </c>
      <c r="F847">
        <v>25</v>
      </c>
      <c r="G847">
        <v>1</v>
      </c>
      <c r="H847">
        <v>1</v>
      </c>
      <c r="I847">
        <v>25</v>
      </c>
      <c r="J847" s="3">
        <v>46661</v>
      </c>
      <c r="K847" s="6">
        <v>0</v>
      </c>
    </row>
    <row r="848" spans="1:11">
      <c r="A848" t="str">
        <f t="shared" si="13"/>
        <v>Konsep 50 EC 25 X 500 ml468740</v>
      </c>
      <c r="B848" t="s">
        <v>10667</v>
      </c>
      <c r="C848" t="s">
        <v>12751</v>
      </c>
      <c r="D848" t="s">
        <v>15230</v>
      </c>
      <c r="E848" t="s">
        <v>1197</v>
      </c>
      <c r="F848">
        <v>25</v>
      </c>
      <c r="G848">
        <v>1</v>
      </c>
      <c r="H848">
        <v>1</v>
      </c>
      <c r="I848">
        <v>25</v>
      </c>
      <c r="J848" s="3">
        <v>46874</v>
      </c>
      <c r="K848" s="6">
        <v>0</v>
      </c>
    </row>
    <row r="849" spans="1:11">
      <c r="A849" t="str">
        <f t="shared" si="13"/>
        <v>Konsep 50 EC 40 X 250 ml465080</v>
      </c>
      <c r="B849" t="s">
        <v>10668</v>
      </c>
      <c r="C849" t="s">
        <v>12752</v>
      </c>
      <c r="D849" t="s">
        <v>15231</v>
      </c>
      <c r="E849" t="s">
        <v>1198</v>
      </c>
      <c r="F849">
        <v>40</v>
      </c>
      <c r="G849">
        <v>1</v>
      </c>
      <c r="H849">
        <v>1</v>
      </c>
      <c r="I849">
        <v>40</v>
      </c>
      <c r="J849" s="3">
        <v>46508</v>
      </c>
      <c r="K849" s="6">
        <v>0</v>
      </c>
    </row>
    <row r="850" spans="1:11">
      <c r="A850" t="str">
        <f t="shared" si="13"/>
        <v>Konsep 50 EC 40 X 250 ml466610</v>
      </c>
      <c r="B850" t="s">
        <v>10669</v>
      </c>
      <c r="C850" t="s">
        <v>12753</v>
      </c>
      <c r="D850" t="s">
        <v>15232</v>
      </c>
      <c r="E850" t="s">
        <v>1198</v>
      </c>
      <c r="F850">
        <v>40</v>
      </c>
      <c r="G850">
        <v>1</v>
      </c>
      <c r="H850">
        <v>1</v>
      </c>
      <c r="I850">
        <v>40</v>
      </c>
      <c r="J850" s="3">
        <v>46661</v>
      </c>
      <c r="K850" s="6">
        <v>0</v>
      </c>
    </row>
    <row r="851" spans="1:11">
      <c r="A851" t="str">
        <f t="shared" si="13"/>
        <v>Korek Api Gesek Banteng1/1/10000</v>
      </c>
      <c r="B851" t="s">
        <v>10670</v>
      </c>
      <c r="C851" t="s">
        <v>12754</v>
      </c>
      <c r="D851" t="s">
        <v>15233</v>
      </c>
      <c r="E851" t="s">
        <v>1199</v>
      </c>
      <c r="F851">
        <v>1</v>
      </c>
      <c r="G851">
        <v>1</v>
      </c>
      <c r="H851">
        <v>1</v>
      </c>
      <c r="I851">
        <v>1</v>
      </c>
      <c r="J851" s="3" t="s">
        <v>2222</v>
      </c>
      <c r="K851" s="6">
        <v>0</v>
      </c>
    </row>
    <row r="852" spans="1:11">
      <c r="A852" t="str">
        <f t="shared" si="13"/>
        <v>Kran Pencet Star Metal1/1/10000</v>
      </c>
      <c r="B852" t="s">
        <v>10671</v>
      </c>
      <c r="C852" t="s">
        <v>12755</v>
      </c>
      <c r="D852" t="s">
        <v>15234</v>
      </c>
      <c r="E852" t="s">
        <v>1200</v>
      </c>
      <c r="F852">
        <v>1</v>
      </c>
      <c r="G852">
        <v>1</v>
      </c>
      <c r="H852">
        <v>1</v>
      </c>
      <c r="I852">
        <v>1</v>
      </c>
      <c r="J852" s="3" t="s">
        <v>2222</v>
      </c>
      <c r="K852" s="6">
        <v>0</v>
      </c>
    </row>
    <row r="853" spans="1:11">
      <c r="A853" t="str">
        <f t="shared" si="13"/>
        <v>Kran YT 4L, 5L, 7L &amp; 9L1/1/10000</v>
      </c>
      <c r="B853" t="s">
        <v>10672</v>
      </c>
      <c r="C853" t="s">
        <v>12756</v>
      </c>
      <c r="D853" t="s">
        <v>15235</v>
      </c>
      <c r="E853" t="s">
        <v>1201</v>
      </c>
      <c r="F853">
        <v>1</v>
      </c>
      <c r="G853">
        <v>1</v>
      </c>
      <c r="H853">
        <v>1</v>
      </c>
      <c r="I853">
        <v>1</v>
      </c>
      <c r="J853" s="3" t="s">
        <v>2222</v>
      </c>
      <c r="K853" s="6">
        <v>0</v>
      </c>
    </row>
    <row r="854" spans="1:11">
      <c r="A854" t="str">
        <f t="shared" si="13"/>
        <v>Kresek Hitam Kecil (Sample)1/1/10000</v>
      </c>
      <c r="B854" t="s">
        <v>10673</v>
      </c>
      <c r="C854" t="s">
        <v>12757</v>
      </c>
      <c r="D854" t="s">
        <v>15236</v>
      </c>
      <c r="E854" t="s">
        <v>1202</v>
      </c>
      <c r="F854">
        <v>1</v>
      </c>
      <c r="G854">
        <v>1</v>
      </c>
      <c r="H854">
        <v>1</v>
      </c>
      <c r="I854">
        <v>1</v>
      </c>
      <c r="J854" s="3" t="s">
        <v>2222</v>
      </c>
      <c r="K854" s="6">
        <v>0</v>
      </c>
    </row>
    <row r="855" spans="1:11">
      <c r="A855" t="str">
        <f t="shared" si="13"/>
        <v>Kresek Merah Kecil (Sample)1/1/10000</v>
      </c>
      <c r="B855" t="s">
        <v>10674</v>
      </c>
      <c r="C855" t="s">
        <v>12758</v>
      </c>
      <c r="D855" t="s">
        <v>15237</v>
      </c>
      <c r="E855" t="s">
        <v>1203</v>
      </c>
      <c r="F855">
        <v>1</v>
      </c>
      <c r="G855">
        <v>1</v>
      </c>
      <c r="H855">
        <v>1</v>
      </c>
      <c r="I855">
        <v>1</v>
      </c>
      <c r="J855" s="3" t="s">
        <v>2222</v>
      </c>
      <c r="K855" s="6">
        <v>0</v>
      </c>
    </row>
    <row r="856" spans="1:11">
      <c r="A856" t="str">
        <f t="shared" si="13"/>
        <v>Kresnadan 3G 10 X 2 kg469350</v>
      </c>
      <c r="B856" t="s">
        <v>10675</v>
      </c>
      <c r="C856" t="s">
        <v>12759</v>
      </c>
      <c r="D856" t="s">
        <v>15238</v>
      </c>
      <c r="E856" t="s">
        <v>1204</v>
      </c>
      <c r="F856">
        <v>10</v>
      </c>
      <c r="G856">
        <v>1</v>
      </c>
      <c r="H856">
        <v>1</v>
      </c>
      <c r="I856">
        <v>10</v>
      </c>
      <c r="J856" s="3">
        <v>46935</v>
      </c>
      <c r="K856" s="6">
        <v>0</v>
      </c>
    </row>
    <row r="857" spans="1:11">
      <c r="A857" t="str">
        <f t="shared" si="13"/>
        <v>Kresnadan 3G 10 X 2 kg471500</v>
      </c>
      <c r="B857" t="s">
        <v>10676</v>
      </c>
      <c r="C857" t="s">
        <v>12760</v>
      </c>
      <c r="D857" t="s">
        <v>15239</v>
      </c>
      <c r="E857" t="s">
        <v>1204</v>
      </c>
      <c r="F857">
        <v>10</v>
      </c>
      <c r="G857">
        <v>1</v>
      </c>
      <c r="H857">
        <v>1</v>
      </c>
      <c r="I857">
        <v>10</v>
      </c>
      <c r="J857" s="3">
        <v>47150</v>
      </c>
      <c r="K857" s="6">
        <v>0</v>
      </c>
    </row>
    <row r="858" spans="1:11">
      <c r="A858" t="str">
        <f t="shared" si="13"/>
        <v>Kresnakum 0.005 20 X 1 kg467220</v>
      </c>
      <c r="B858" t="s">
        <v>10677</v>
      </c>
      <c r="C858" t="s">
        <v>12761</v>
      </c>
      <c r="D858" t="s">
        <v>15240</v>
      </c>
      <c r="E858" t="s">
        <v>1205</v>
      </c>
      <c r="F858">
        <v>20</v>
      </c>
      <c r="G858">
        <v>1</v>
      </c>
      <c r="H858">
        <v>1</v>
      </c>
      <c r="I858">
        <v>20</v>
      </c>
      <c r="J858" s="3">
        <v>46722</v>
      </c>
      <c r="K858" s="6">
        <v>0</v>
      </c>
    </row>
    <row r="859" spans="1:11">
      <c r="A859" t="str">
        <f t="shared" si="13"/>
        <v>Kresnakum 0.005 20 X 1 kg466610</v>
      </c>
      <c r="B859" t="s">
        <v>10678</v>
      </c>
      <c r="C859" t="s">
        <v>12762</v>
      </c>
      <c r="D859" t="s">
        <v>15241</v>
      </c>
      <c r="E859" t="s">
        <v>1205</v>
      </c>
      <c r="F859">
        <v>20</v>
      </c>
      <c r="G859">
        <v>1</v>
      </c>
      <c r="H859">
        <v>1</v>
      </c>
      <c r="I859">
        <v>20</v>
      </c>
      <c r="J859" s="3">
        <v>46661</v>
      </c>
      <c r="K859" s="6">
        <v>0</v>
      </c>
    </row>
    <row r="860" spans="1:11">
      <c r="A860" t="str">
        <f t="shared" si="13"/>
        <v>Kresnakum 0.005 20 X 1 kg467530</v>
      </c>
      <c r="B860" t="s">
        <v>10679</v>
      </c>
      <c r="C860" t="s">
        <v>12763</v>
      </c>
      <c r="D860" t="s">
        <v>15242</v>
      </c>
      <c r="E860" t="s">
        <v>1205</v>
      </c>
      <c r="F860">
        <v>20</v>
      </c>
      <c r="G860">
        <v>1</v>
      </c>
      <c r="H860">
        <v>1</v>
      </c>
      <c r="I860">
        <v>20</v>
      </c>
      <c r="J860" s="3">
        <v>46753</v>
      </c>
      <c r="K860" s="6">
        <v>0</v>
      </c>
    </row>
    <row r="861" spans="1:11">
      <c r="A861" t="str">
        <f t="shared" si="13"/>
        <v>Kresnatop 500 SC 20 ltr470270</v>
      </c>
      <c r="B861" t="s">
        <v>10680</v>
      </c>
      <c r="C861" t="s">
        <v>12764</v>
      </c>
      <c r="D861" t="s">
        <v>15243</v>
      </c>
      <c r="E861" t="s">
        <v>1206</v>
      </c>
      <c r="F861">
        <v>1</v>
      </c>
      <c r="G861">
        <v>1</v>
      </c>
      <c r="H861">
        <v>1</v>
      </c>
      <c r="I861">
        <v>1</v>
      </c>
      <c r="J861" s="3">
        <v>47027</v>
      </c>
      <c r="K861" s="6">
        <v>0</v>
      </c>
    </row>
    <row r="862" spans="1:11">
      <c r="A862" t="str">
        <f t="shared" si="13"/>
        <v>Kresnatop 500 SC 20 X 1 ltr470880</v>
      </c>
      <c r="B862" t="s">
        <v>10681</v>
      </c>
      <c r="C862" t="s">
        <v>12765</v>
      </c>
      <c r="D862" t="s">
        <v>15244</v>
      </c>
      <c r="E862" t="s">
        <v>1207</v>
      </c>
      <c r="F862">
        <v>20</v>
      </c>
      <c r="G862">
        <v>1</v>
      </c>
      <c r="H862">
        <v>1</v>
      </c>
      <c r="I862">
        <v>20</v>
      </c>
      <c r="J862" s="3">
        <v>47088</v>
      </c>
      <c r="K862" s="6">
        <v>0</v>
      </c>
    </row>
    <row r="863" spans="1:11">
      <c r="A863" t="str">
        <f t="shared" si="13"/>
        <v>Kresnatop 500 SC 20 X 1 ltr471190</v>
      </c>
      <c r="B863" t="s">
        <v>10682</v>
      </c>
      <c r="C863" t="s">
        <v>12766</v>
      </c>
      <c r="D863" t="s">
        <v>15245</v>
      </c>
      <c r="E863" t="s">
        <v>1207</v>
      </c>
      <c r="F863">
        <v>20</v>
      </c>
      <c r="G863">
        <v>1</v>
      </c>
      <c r="H863">
        <v>1</v>
      </c>
      <c r="I863">
        <v>20</v>
      </c>
      <c r="J863" s="3">
        <v>47119</v>
      </c>
      <c r="K863" s="6">
        <v>0</v>
      </c>
    </row>
    <row r="864" spans="1:11">
      <c r="A864" t="str">
        <f t="shared" si="13"/>
        <v>Kresnatop 500 SC 20 X 1 ltr471780</v>
      </c>
      <c r="B864" t="s">
        <v>10683</v>
      </c>
      <c r="C864" t="s">
        <v>12767</v>
      </c>
      <c r="D864" t="s">
        <v>15246</v>
      </c>
      <c r="E864" t="s">
        <v>1207</v>
      </c>
      <c r="F864">
        <v>20</v>
      </c>
      <c r="G864">
        <v>1</v>
      </c>
      <c r="H864">
        <v>1</v>
      </c>
      <c r="I864">
        <v>20</v>
      </c>
      <c r="J864" s="3">
        <v>47178</v>
      </c>
      <c r="K864" s="6">
        <v>0</v>
      </c>
    </row>
    <row r="865" spans="1:11">
      <c r="A865" t="str">
        <f t="shared" si="13"/>
        <v>Kresnatop 500 SC 20 X 1 ltr472090</v>
      </c>
      <c r="B865" t="s">
        <v>10684</v>
      </c>
      <c r="C865" t="s">
        <v>12768</v>
      </c>
      <c r="D865" t="s">
        <v>15247</v>
      </c>
      <c r="E865" t="s">
        <v>1207</v>
      </c>
      <c r="F865">
        <v>20</v>
      </c>
      <c r="G865">
        <v>1</v>
      </c>
      <c r="H865">
        <v>1</v>
      </c>
      <c r="I865">
        <v>20</v>
      </c>
      <c r="J865" s="3">
        <v>47209</v>
      </c>
      <c r="K865" s="6">
        <v>0</v>
      </c>
    </row>
    <row r="866" spans="1:11">
      <c r="A866" t="str">
        <f t="shared" si="13"/>
        <v>Kresnatop 500 SC 4 X 5 ltr470880</v>
      </c>
      <c r="B866" t="s">
        <v>10685</v>
      </c>
      <c r="C866" t="s">
        <v>12769</v>
      </c>
      <c r="D866" t="s">
        <v>15248</v>
      </c>
      <c r="E866" t="s">
        <v>1208</v>
      </c>
      <c r="F866">
        <v>4</v>
      </c>
      <c r="G866">
        <v>1</v>
      </c>
      <c r="H866">
        <v>1</v>
      </c>
      <c r="I866">
        <v>4</v>
      </c>
      <c r="J866" s="3">
        <v>47088</v>
      </c>
      <c r="K866" s="6">
        <v>0</v>
      </c>
    </row>
    <row r="867" spans="1:11">
      <c r="A867" t="str">
        <f t="shared" si="13"/>
        <v>KS Pak Tani + Boron 25 kg1/1/10000</v>
      </c>
      <c r="B867" t="s">
        <v>10686</v>
      </c>
      <c r="C867" t="s">
        <v>12770</v>
      </c>
      <c r="D867" t="s">
        <v>15249</v>
      </c>
      <c r="E867" t="s">
        <v>1209</v>
      </c>
      <c r="F867">
        <v>1</v>
      </c>
      <c r="G867">
        <v>1</v>
      </c>
      <c r="H867">
        <v>1</v>
      </c>
      <c r="I867">
        <v>1</v>
      </c>
      <c r="J867" s="3" t="s">
        <v>2222</v>
      </c>
      <c r="K867" s="6">
        <v>0</v>
      </c>
    </row>
    <row r="868" spans="1:11">
      <c r="A868" t="str">
        <f t="shared" si="13"/>
        <v>Kulkas Mini Sanken 1 Pintu1/1/10000</v>
      </c>
      <c r="B868" t="s">
        <v>10687</v>
      </c>
      <c r="C868" t="s">
        <v>12771</v>
      </c>
      <c r="D868" t="s">
        <v>15250</v>
      </c>
      <c r="E868" t="s">
        <v>1218</v>
      </c>
      <c r="F868">
        <v>1</v>
      </c>
      <c r="G868">
        <v>1</v>
      </c>
      <c r="H868">
        <v>1</v>
      </c>
      <c r="I868">
        <v>1</v>
      </c>
      <c r="J868" s="3" t="s">
        <v>2222</v>
      </c>
      <c r="K868" s="6">
        <v>0</v>
      </c>
    </row>
    <row r="869" spans="1:11">
      <c r="A869" t="str">
        <f t="shared" si="13"/>
        <v>Kunci Inggris set1/1/10000</v>
      </c>
      <c r="B869" t="s">
        <v>10688</v>
      </c>
      <c r="C869" t="s">
        <v>12772</v>
      </c>
      <c r="D869" t="s">
        <v>15251</v>
      </c>
      <c r="E869" t="s">
        <v>1219</v>
      </c>
      <c r="F869">
        <v>1</v>
      </c>
      <c r="G869">
        <v>1</v>
      </c>
      <c r="H869">
        <v>1</v>
      </c>
      <c r="I869">
        <v>1</v>
      </c>
      <c r="J869" s="3" t="s">
        <v>2222</v>
      </c>
      <c r="K869" s="6">
        <v>0</v>
      </c>
    </row>
    <row r="870" spans="1:11">
      <c r="A870" t="str">
        <f t="shared" si="13"/>
        <v>Kuproxat 345 F 20 X 500 ml469970</v>
      </c>
      <c r="B870" t="s">
        <v>10689</v>
      </c>
      <c r="C870" t="s">
        <v>12773</v>
      </c>
      <c r="D870" t="s">
        <v>15252</v>
      </c>
      <c r="E870" t="s">
        <v>1220</v>
      </c>
      <c r="F870">
        <v>20</v>
      </c>
      <c r="G870">
        <v>1</v>
      </c>
      <c r="H870">
        <v>1</v>
      </c>
      <c r="I870">
        <v>20</v>
      </c>
      <c r="J870" s="3">
        <v>46997</v>
      </c>
      <c r="K870" s="6">
        <v>0</v>
      </c>
    </row>
    <row r="871" spans="1:11">
      <c r="A871" t="str">
        <f t="shared" si="13"/>
        <v>Kuproxat 345 F 20 X 500 ml470580</v>
      </c>
      <c r="B871" t="s">
        <v>10690</v>
      </c>
      <c r="C871" t="s">
        <v>12774</v>
      </c>
      <c r="D871" t="s">
        <v>15253</v>
      </c>
      <c r="E871" t="s">
        <v>1220</v>
      </c>
      <c r="F871">
        <v>20</v>
      </c>
      <c r="G871">
        <v>1</v>
      </c>
      <c r="H871">
        <v>1</v>
      </c>
      <c r="I871">
        <v>20</v>
      </c>
      <c r="J871" s="3">
        <v>47058</v>
      </c>
      <c r="K871" s="6">
        <v>0</v>
      </c>
    </row>
    <row r="872" spans="1:11">
      <c r="A872" t="str">
        <f t="shared" si="13"/>
        <v>Kuproxat 345 F 40 X 200 ml468440</v>
      </c>
      <c r="B872" t="s">
        <v>10691</v>
      </c>
      <c r="C872" t="s">
        <v>12775</v>
      </c>
      <c r="D872" t="s">
        <v>15254</v>
      </c>
      <c r="E872" t="s">
        <v>1221</v>
      </c>
      <c r="F872">
        <v>40</v>
      </c>
      <c r="G872">
        <v>1</v>
      </c>
      <c r="H872">
        <v>1</v>
      </c>
      <c r="I872">
        <v>40</v>
      </c>
      <c r="J872" s="3">
        <v>46844</v>
      </c>
      <c r="K872" s="6">
        <v>0</v>
      </c>
    </row>
    <row r="873" spans="1:11">
      <c r="A873" t="str">
        <f t="shared" si="13"/>
        <v>Kuproxat 345 F 40 X 200 ml469050</v>
      </c>
      <c r="B873" t="s">
        <v>10692</v>
      </c>
      <c r="C873" t="s">
        <v>12776</v>
      </c>
      <c r="D873" t="s">
        <v>15255</v>
      </c>
      <c r="E873" t="s">
        <v>1221</v>
      </c>
      <c r="F873">
        <v>40</v>
      </c>
      <c r="G873">
        <v>1</v>
      </c>
      <c r="H873">
        <v>1</v>
      </c>
      <c r="I873">
        <v>40</v>
      </c>
      <c r="J873" s="3">
        <v>46905</v>
      </c>
      <c r="K873" s="6">
        <v>0</v>
      </c>
    </row>
    <row r="874" spans="1:11">
      <c r="A874" t="str">
        <f t="shared" si="13"/>
        <v>Kuproxat 345 F 40 X 200 ml468740</v>
      </c>
      <c r="B874" t="s">
        <v>10693</v>
      </c>
      <c r="C874" t="s">
        <v>12777</v>
      </c>
      <c r="D874" t="s">
        <v>15256</v>
      </c>
      <c r="E874" t="s">
        <v>1221</v>
      </c>
      <c r="F874">
        <v>40</v>
      </c>
      <c r="G874">
        <v>1</v>
      </c>
      <c r="H874">
        <v>1</v>
      </c>
      <c r="I874">
        <v>40</v>
      </c>
      <c r="J874" s="3">
        <v>46874</v>
      </c>
      <c r="K874" s="6">
        <v>0</v>
      </c>
    </row>
    <row r="875" spans="1:11">
      <c r="A875" t="str">
        <f t="shared" si="13"/>
        <v>Laba Hidroponik 130 gr1/1/10000</v>
      </c>
      <c r="B875" t="s">
        <v>10694</v>
      </c>
      <c r="C875" t="s">
        <v>12778</v>
      </c>
      <c r="D875" t="s">
        <v>15257</v>
      </c>
      <c r="E875" t="s">
        <v>1222</v>
      </c>
      <c r="F875">
        <v>1</v>
      </c>
      <c r="G875">
        <v>1</v>
      </c>
      <c r="H875">
        <v>1</v>
      </c>
      <c r="I875">
        <v>1</v>
      </c>
      <c r="J875" s="3" t="s">
        <v>2222</v>
      </c>
      <c r="K875" s="6">
        <v>0</v>
      </c>
    </row>
    <row r="876" spans="1:11">
      <c r="A876" t="str">
        <f t="shared" si="13"/>
        <v>Laba Hidroponik 142 gr1/1/10000</v>
      </c>
      <c r="B876" t="s">
        <v>10695</v>
      </c>
      <c r="C876" t="s">
        <v>12779</v>
      </c>
      <c r="D876" t="s">
        <v>15258</v>
      </c>
      <c r="E876" t="s">
        <v>1223</v>
      </c>
      <c r="F876">
        <v>1</v>
      </c>
      <c r="G876">
        <v>1</v>
      </c>
      <c r="H876">
        <v>1</v>
      </c>
      <c r="I876">
        <v>1</v>
      </c>
      <c r="J876" s="3" t="s">
        <v>2222</v>
      </c>
      <c r="K876" s="6">
        <v>0</v>
      </c>
    </row>
    <row r="877" spans="1:11">
      <c r="A877" t="str">
        <f t="shared" si="13"/>
        <v>Lancer Gold 55 WG 100 X 100 gr458700</v>
      </c>
      <c r="B877" t="s">
        <v>10696</v>
      </c>
      <c r="C877" t="s">
        <v>12780</v>
      </c>
      <c r="D877" t="s">
        <v>15259</v>
      </c>
      <c r="E877" t="s">
        <v>1224</v>
      </c>
      <c r="F877">
        <v>100</v>
      </c>
      <c r="G877">
        <v>1</v>
      </c>
      <c r="H877">
        <v>1</v>
      </c>
      <c r="I877">
        <v>100</v>
      </c>
      <c r="J877" s="3">
        <v>45870</v>
      </c>
      <c r="K877" s="6">
        <v>0</v>
      </c>
    </row>
    <row r="878" spans="1:11">
      <c r="A878" t="str">
        <f t="shared" si="13"/>
        <v>Lancer Gold 55 WG 20 X 500 gr458700</v>
      </c>
      <c r="B878" t="s">
        <v>10697</v>
      </c>
      <c r="C878" t="s">
        <v>12781</v>
      </c>
      <c r="D878" t="s">
        <v>15260</v>
      </c>
      <c r="E878" t="s">
        <v>1226</v>
      </c>
      <c r="F878">
        <v>20</v>
      </c>
      <c r="G878">
        <v>1</v>
      </c>
      <c r="H878">
        <v>1</v>
      </c>
      <c r="I878">
        <v>20</v>
      </c>
      <c r="J878" s="3">
        <v>45870</v>
      </c>
      <c r="K878" s="6">
        <v>0</v>
      </c>
    </row>
    <row r="879" spans="1:11">
      <c r="A879" t="str">
        <f t="shared" si="13"/>
        <v>Lancer Gold 55 WG 40 X 250 gr458390</v>
      </c>
      <c r="B879" t="s">
        <v>10698</v>
      </c>
      <c r="C879" t="s">
        <v>12782</v>
      </c>
      <c r="D879" t="s">
        <v>15261</v>
      </c>
      <c r="E879" t="s">
        <v>1228</v>
      </c>
      <c r="F879">
        <v>40</v>
      </c>
      <c r="G879">
        <v>1</v>
      </c>
      <c r="H879">
        <v>1</v>
      </c>
      <c r="I879">
        <v>40</v>
      </c>
      <c r="J879" s="3">
        <v>45839</v>
      </c>
      <c r="K879" s="6">
        <v>0</v>
      </c>
    </row>
    <row r="880" spans="1:11">
      <c r="A880" t="str">
        <f t="shared" si="13"/>
        <v>Laptop Lenovo1/1/10000</v>
      </c>
      <c r="B880" t="s">
        <v>10699</v>
      </c>
      <c r="C880" t="s">
        <v>12783</v>
      </c>
      <c r="D880" t="s">
        <v>15262</v>
      </c>
      <c r="E880" t="s">
        <v>1230</v>
      </c>
      <c r="F880">
        <v>1</v>
      </c>
      <c r="G880">
        <v>1</v>
      </c>
      <c r="H880">
        <v>1</v>
      </c>
      <c r="I880">
        <v>1</v>
      </c>
      <c r="J880" s="3" t="s">
        <v>2222</v>
      </c>
      <c r="K880" s="6">
        <v>0</v>
      </c>
    </row>
    <row r="881" spans="1:11">
      <c r="A881" t="str">
        <f t="shared" si="13"/>
        <v>Larviron 100/20 ZC 20 X 500 ml456270</v>
      </c>
      <c r="B881" t="s">
        <v>10700</v>
      </c>
      <c r="C881" t="s">
        <v>12784</v>
      </c>
      <c r="D881" t="s">
        <v>15263</v>
      </c>
      <c r="E881" t="s">
        <v>1231</v>
      </c>
      <c r="F881">
        <v>20</v>
      </c>
      <c r="G881">
        <v>1</v>
      </c>
      <c r="H881">
        <v>1</v>
      </c>
      <c r="I881">
        <v>20</v>
      </c>
      <c r="J881" s="3">
        <v>45627</v>
      </c>
      <c r="K881" s="6">
        <v>0</v>
      </c>
    </row>
    <row r="882" spans="1:11">
      <c r="A882" t="str">
        <f t="shared" si="13"/>
        <v>Larviron 100/20 ZC 40 X 250 ml460540</v>
      </c>
      <c r="B882" t="s">
        <v>10701</v>
      </c>
      <c r="C882" t="s">
        <v>12785</v>
      </c>
      <c r="D882" t="s">
        <v>15264</v>
      </c>
      <c r="E882" t="s">
        <v>1233</v>
      </c>
      <c r="F882">
        <v>40</v>
      </c>
      <c r="G882">
        <v>1</v>
      </c>
      <c r="H882">
        <v>1</v>
      </c>
      <c r="I882">
        <v>40</v>
      </c>
      <c r="J882" s="3">
        <v>46054</v>
      </c>
      <c r="K882" s="6">
        <v>0</v>
      </c>
    </row>
    <row r="883" spans="1:11">
      <c r="A883" t="str">
        <f t="shared" si="13"/>
        <v>Lem Ajaib 50 X 100 ml464470</v>
      </c>
      <c r="B883" t="s">
        <v>10702</v>
      </c>
      <c r="C883" t="s">
        <v>12786</v>
      </c>
      <c r="D883" t="s">
        <v>15265</v>
      </c>
      <c r="E883" t="s">
        <v>1235</v>
      </c>
      <c r="F883">
        <v>50</v>
      </c>
      <c r="G883">
        <v>1</v>
      </c>
      <c r="H883">
        <v>1</v>
      </c>
      <c r="I883">
        <v>50</v>
      </c>
      <c r="J883" s="3">
        <v>46447</v>
      </c>
      <c r="K883" s="6">
        <v>0</v>
      </c>
    </row>
    <row r="884" spans="1:11">
      <c r="A884" t="str">
        <f t="shared" si="13"/>
        <v>Lem Ajaib 50 X 100 ml464780</v>
      </c>
      <c r="B884" t="s">
        <v>10703</v>
      </c>
      <c r="C884" t="s">
        <v>12787</v>
      </c>
      <c r="D884" t="s">
        <v>15266</v>
      </c>
      <c r="E884" t="s">
        <v>1235</v>
      </c>
      <c r="F884">
        <v>50</v>
      </c>
      <c r="G884">
        <v>1</v>
      </c>
      <c r="H884">
        <v>1</v>
      </c>
      <c r="I884">
        <v>50</v>
      </c>
      <c r="J884" s="3">
        <v>46478</v>
      </c>
      <c r="K884" s="6">
        <v>0</v>
      </c>
    </row>
    <row r="885" spans="1:11">
      <c r="A885" t="str">
        <f t="shared" si="13"/>
        <v>Lem Ajaib 50 X 100 ml465080</v>
      </c>
      <c r="B885" t="s">
        <v>10704</v>
      </c>
      <c r="C885" t="s">
        <v>12788</v>
      </c>
      <c r="D885" t="s">
        <v>15267</v>
      </c>
      <c r="E885" t="s">
        <v>1235</v>
      </c>
      <c r="F885">
        <v>50</v>
      </c>
      <c r="G885">
        <v>1</v>
      </c>
      <c r="H885">
        <v>1</v>
      </c>
      <c r="I885">
        <v>50</v>
      </c>
      <c r="J885" s="3">
        <v>46508</v>
      </c>
      <c r="K885" s="6">
        <v>0</v>
      </c>
    </row>
    <row r="886" spans="1:11">
      <c r="A886" t="str">
        <f t="shared" si="13"/>
        <v>Lem Ajaib 50 X 50 ml462660</v>
      </c>
      <c r="B886" t="s">
        <v>10705</v>
      </c>
      <c r="C886" t="s">
        <v>12789</v>
      </c>
      <c r="D886" t="s">
        <v>15268</v>
      </c>
      <c r="E886" t="s">
        <v>1236</v>
      </c>
      <c r="F886">
        <v>50</v>
      </c>
      <c r="G886">
        <v>1</v>
      </c>
      <c r="H886">
        <v>1</v>
      </c>
      <c r="I886">
        <v>50</v>
      </c>
      <c r="J886" s="3">
        <v>46266</v>
      </c>
      <c r="K886" s="6">
        <v>0</v>
      </c>
    </row>
    <row r="887" spans="1:11">
      <c r="A887" t="str">
        <f t="shared" si="13"/>
        <v>Lem Ajaib 50 X 50 ml464190</v>
      </c>
      <c r="B887" t="s">
        <v>10706</v>
      </c>
      <c r="C887" t="s">
        <v>12790</v>
      </c>
      <c r="D887" t="s">
        <v>15269</v>
      </c>
      <c r="E887" t="s">
        <v>1236</v>
      </c>
      <c r="F887">
        <v>50</v>
      </c>
      <c r="G887">
        <v>1</v>
      </c>
      <c r="H887">
        <v>1</v>
      </c>
      <c r="I887">
        <v>50</v>
      </c>
      <c r="J887" s="3">
        <v>46419</v>
      </c>
      <c r="K887" s="6">
        <v>0</v>
      </c>
    </row>
    <row r="888" spans="1:11">
      <c r="A888" t="str">
        <f t="shared" si="13"/>
        <v>Lem Ajaib 50 X 50 ml465390</v>
      </c>
      <c r="B888" t="s">
        <v>10707</v>
      </c>
      <c r="C888" t="s">
        <v>12791</v>
      </c>
      <c r="D888" t="s">
        <v>15270</v>
      </c>
      <c r="E888" t="s">
        <v>1236</v>
      </c>
      <c r="F888">
        <v>50</v>
      </c>
      <c r="G888">
        <v>1</v>
      </c>
      <c r="H888">
        <v>1</v>
      </c>
      <c r="I888">
        <v>50</v>
      </c>
      <c r="J888" s="3">
        <v>46539</v>
      </c>
      <c r="K888" s="6">
        <v>0</v>
      </c>
    </row>
    <row r="889" spans="1:11">
      <c r="A889" t="str">
        <f t="shared" si="13"/>
        <v>Lem Ajaib 50 X 50 ml465080</v>
      </c>
      <c r="B889" t="s">
        <v>10708</v>
      </c>
      <c r="C889" t="s">
        <v>12792</v>
      </c>
      <c r="D889" t="s">
        <v>15271</v>
      </c>
      <c r="E889" t="s">
        <v>1236</v>
      </c>
      <c r="F889">
        <v>50</v>
      </c>
      <c r="G889">
        <v>1</v>
      </c>
      <c r="H889">
        <v>1</v>
      </c>
      <c r="I889">
        <v>50</v>
      </c>
      <c r="J889" s="3">
        <v>46508</v>
      </c>
      <c r="K889" s="6">
        <v>0</v>
      </c>
    </row>
    <row r="890" spans="1:11">
      <c r="A890" t="str">
        <f t="shared" si="13"/>
        <v>Licron 500 EC 20 X 400 ml469350</v>
      </c>
      <c r="B890" t="s">
        <v>10709</v>
      </c>
      <c r="C890" t="s">
        <v>12793</v>
      </c>
      <c r="D890" t="s">
        <v>15272</v>
      </c>
      <c r="E890" t="s">
        <v>1237</v>
      </c>
      <c r="F890">
        <v>20</v>
      </c>
      <c r="G890">
        <v>1</v>
      </c>
      <c r="H890">
        <v>1</v>
      </c>
      <c r="I890">
        <v>20</v>
      </c>
      <c r="J890" s="3">
        <v>46935</v>
      </c>
      <c r="K890" s="6">
        <v>0</v>
      </c>
    </row>
    <row r="891" spans="1:11">
      <c r="A891" t="str">
        <f t="shared" si="13"/>
        <v>Liding 240 SC 48 X 200 ml458700</v>
      </c>
      <c r="B891" t="s">
        <v>10710</v>
      </c>
      <c r="C891" t="s">
        <v>12794</v>
      </c>
      <c r="D891" t="s">
        <v>15273</v>
      </c>
      <c r="E891" t="s">
        <v>1238</v>
      </c>
      <c r="F891">
        <v>48</v>
      </c>
      <c r="G891">
        <v>1</v>
      </c>
      <c r="H891">
        <v>1</v>
      </c>
      <c r="I891">
        <v>48</v>
      </c>
      <c r="J891" s="3">
        <v>45870</v>
      </c>
      <c r="K891" s="6">
        <v>0</v>
      </c>
    </row>
    <row r="892" spans="1:11">
      <c r="A892" t="str">
        <f t="shared" si="13"/>
        <v>Liding 240 SC 48 X 200 ml466000</v>
      </c>
      <c r="B892" t="s">
        <v>10711</v>
      </c>
      <c r="C892" t="s">
        <v>12795</v>
      </c>
      <c r="D892" t="s">
        <v>15274</v>
      </c>
      <c r="E892" t="s">
        <v>1238</v>
      </c>
      <c r="F892">
        <v>48</v>
      </c>
      <c r="G892">
        <v>1</v>
      </c>
      <c r="H892">
        <v>1</v>
      </c>
      <c r="I892">
        <v>48</v>
      </c>
      <c r="J892" s="3">
        <v>46600</v>
      </c>
      <c r="K892" s="6">
        <v>0</v>
      </c>
    </row>
    <row r="893" spans="1:11">
      <c r="A893" t="str">
        <f t="shared" si="13"/>
        <v>Liding 240 SC 64 X 90 ml467220</v>
      </c>
      <c r="B893" t="s">
        <v>10712</v>
      </c>
      <c r="C893" t="s">
        <v>12796</v>
      </c>
      <c r="D893" t="s">
        <v>15275</v>
      </c>
      <c r="E893" t="s">
        <v>1241</v>
      </c>
      <c r="F893">
        <v>64</v>
      </c>
      <c r="G893">
        <v>1</v>
      </c>
      <c r="H893">
        <v>1</v>
      </c>
      <c r="I893">
        <v>64</v>
      </c>
      <c r="J893" s="3">
        <v>46722</v>
      </c>
      <c r="K893" s="6">
        <v>0</v>
      </c>
    </row>
    <row r="894" spans="1:11">
      <c r="A894" t="str">
        <f t="shared" si="13"/>
        <v>Logamate 440 EC 20 X 500 ml468130</v>
      </c>
      <c r="B894" t="s">
        <v>10713</v>
      </c>
      <c r="C894" t="s">
        <v>12797</v>
      </c>
      <c r="D894" t="s">
        <v>15276</v>
      </c>
      <c r="E894" t="s">
        <v>1243</v>
      </c>
      <c r="F894">
        <v>20</v>
      </c>
      <c r="G894">
        <v>1</v>
      </c>
      <c r="H894">
        <v>1</v>
      </c>
      <c r="I894">
        <v>20</v>
      </c>
      <c r="J894" s="3">
        <v>46813</v>
      </c>
      <c r="K894" s="6">
        <v>0</v>
      </c>
    </row>
    <row r="895" spans="1:11">
      <c r="A895" t="str">
        <f t="shared" si="13"/>
        <v>Logamate 440 EC 20 X 500 ml471500</v>
      </c>
      <c r="B895" t="s">
        <v>10714</v>
      </c>
      <c r="C895" t="s">
        <v>12798</v>
      </c>
      <c r="D895" t="s">
        <v>15277</v>
      </c>
      <c r="E895" t="s">
        <v>1243</v>
      </c>
      <c r="F895">
        <v>20</v>
      </c>
      <c r="G895">
        <v>1</v>
      </c>
      <c r="H895">
        <v>1</v>
      </c>
      <c r="I895">
        <v>20</v>
      </c>
      <c r="J895" s="3">
        <v>47150</v>
      </c>
      <c r="K895" s="6">
        <v>0</v>
      </c>
    </row>
    <row r="896" spans="1:11">
      <c r="A896" t="str">
        <f t="shared" si="13"/>
        <v>Logamate 440 EC 20 X 500 ml470880</v>
      </c>
      <c r="B896" t="s">
        <v>10715</v>
      </c>
      <c r="C896" t="s">
        <v>12799</v>
      </c>
      <c r="D896" t="s">
        <v>15278</v>
      </c>
      <c r="E896" t="s">
        <v>1243</v>
      </c>
      <c r="F896">
        <v>20</v>
      </c>
      <c r="G896">
        <v>1</v>
      </c>
      <c r="H896">
        <v>1</v>
      </c>
      <c r="I896">
        <v>20</v>
      </c>
      <c r="J896" s="3">
        <v>47088</v>
      </c>
      <c r="K896" s="6">
        <v>0</v>
      </c>
    </row>
    <row r="897" spans="1:11">
      <c r="A897" t="str">
        <f t="shared" si="13"/>
        <v>Logamate 440 EC 40 x 250 ml470880</v>
      </c>
      <c r="B897" t="s">
        <v>10716</v>
      </c>
      <c r="C897" t="s">
        <v>12800</v>
      </c>
      <c r="D897" t="s">
        <v>15279</v>
      </c>
      <c r="E897" t="s">
        <v>1244</v>
      </c>
      <c r="F897">
        <v>40</v>
      </c>
      <c r="G897">
        <v>1</v>
      </c>
      <c r="H897">
        <v>1</v>
      </c>
      <c r="I897">
        <v>40</v>
      </c>
      <c r="J897" s="3">
        <v>47088</v>
      </c>
      <c r="K897" s="6">
        <v>0</v>
      </c>
    </row>
    <row r="898" spans="1:11">
      <c r="A898" t="str">
        <f t="shared" si="13"/>
        <v>Logamate 440 EC 40 x 250 ml471780</v>
      </c>
      <c r="B898" t="s">
        <v>10717</v>
      </c>
      <c r="C898" t="s">
        <v>12801</v>
      </c>
      <c r="D898" t="s">
        <v>15280</v>
      </c>
      <c r="E898" t="s">
        <v>1244</v>
      </c>
      <c r="F898">
        <v>40</v>
      </c>
      <c r="G898">
        <v>1</v>
      </c>
      <c r="H898">
        <v>1</v>
      </c>
      <c r="I898">
        <v>40</v>
      </c>
      <c r="J898" s="3">
        <v>47178</v>
      </c>
      <c r="K898" s="6">
        <v>0</v>
      </c>
    </row>
    <row r="899" spans="1:11">
      <c r="A899" t="str">
        <f t="shared" ref="A899:A962" si="14">E899&amp;J899&amp;K899</f>
        <v>Logamate 440 EC 50 x 100 ml471190</v>
      </c>
      <c r="B899" t="s">
        <v>10718</v>
      </c>
      <c r="C899" t="s">
        <v>12802</v>
      </c>
      <c r="D899" t="s">
        <v>15281</v>
      </c>
      <c r="E899" t="s">
        <v>1245</v>
      </c>
      <c r="F899">
        <v>50</v>
      </c>
      <c r="G899">
        <v>1</v>
      </c>
      <c r="H899">
        <v>1</v>
      </c>
      <c r="I899">
        <v>50</v>
      </c>
      <c r="J899" s="3">
        <v>47119</v>
      </c>
      <c r="K899" s="6">
        <v>0</v>
      </c>
    </row>
    <row r="900" spans="1:11">
      <c r="A900" t="str">
        <f t="shared" si="14"/>
        <v>Logamate 440 EC 50 x 100 ml471500</v>
      </c>
      <c r="B900" t="s">
        <v>10719</v>
      </c>
      <c r="C900" t="s">
        <v>12803</v>
      </c>
      <c r="D900" t="s">
        <v>15282</v>
      </c>
      <c r="E900" t="s">
        <v>1245</v>
      </c>
      <c r="F900">
        <v>50</v>
      </c>
      <c r="G900">
        <v>1</v>
      </c>
      <c r="H900">
        <v>1</v>
      </c>
      <c r="I900">
        <v>50</v>
      </c>
      <c r="J900" s="3">
        <v>47150</v>
      </c>
      <c r="K900" s="6">
        <v>0</v>
      </c>
    </row>
    <row r="901" spans="1:11">
      <c r="A901" t="str">
        <f t="shared" si="14"/>
        <v>Losmine 50 EC 40 X 250 ml457480</v>
      </c>
      <c r="B901" t="s">
        <v>10720</v>
      </c>
      <c r="C901" t="s">
        <v>12804</v>
      </c>
      <c r="D901" t="s">
        <v>15283</v>
      </c>
      <c r="E901" t="s">
        <v>1246</v>
      </c>
      <c r="F901">
        <v>40</v>
      </c>
      <c r="G901">
        <v>1</v>
      </c>
      <c r="H901">
        <v>1</v>
      </c>
      <c r="I901">
        <v>40</v>
      </c>
      <c r="J901" s="3">
        <v>45748</v>
      </c>
      <c r="K901" s="6">
        <v>0</v>
      </c>
    </row>
    <row r="902" spans="1:11">
      <c r="A902" t="str">
        <f t="shared" si="14"/>
        <v>Losmine 50 EC 50 X 100 ml457480</v>
      </c>
      <c r="B902" t="s">
        <v>10721</v>
      </c>
      <c r="C902" t="s">
        <v>12805</v>
      </c>
      <c r="D902" t="s">
        <v>15284</v>
      </c>
      <c r="E902" t="s">
        <v>1247</v>
      </c>
      <c r="F902">
        <v>50</v>
      </c>
      <c r="G902">
        <v>1</v>
      </c>
      <c r="H902">
        <v>1</v>
      </c>
      <c r="I902">
        <v>50</v>
      </c>
      <c r="J902" s="3">
        <v>45748</v>
      </c>
      <c r="K902" s="6">
        <v>0</v>
      </c>
    </row>
    <row r="903" spans="1:11">
      <c r="A903" t="str">
        <f t="shared" si="14"/>
        <v>Loyant 25 EC 20 X 500 ml460230</v>
      </c>
      <c r="B903" t="s">
        <v>10722</v>
      </c>
      <c r="C903" t="s">
        <v>12806</v>
      </c>
      <c r="D903" t="s">
        <v>15285</v>
      </c>
      <c r="E903" t="s">
        <v>1248</v>
      </c>
      <c r="F903">
        <v>20</v>
      </c>
      <c r="G903">
        <v>1</v>
      </c>
      <c r="H903">
        <v>1</v>
      </c>
      <c r="I903">
        <v>20</v>
      </c>
      <c r="J903" s="3">
        <v>46023</v>
      </c>
      <c r="K903" s="6">
        <v>0</v>
      </c>
    </row>
    <row r="904" spans="1:11">
      <c r="A904" t="str">
        <f t="shared" si="14"/>
        <v>Loyant 25 EC 20 X 500 ml462960</v>
      </c>
      <c r="B904" t="s">
        <v>10723</v>
      </c>
      <c r="C904" t="s">
        <v>12807</v>
      </c>
      <c r="D904" t="s">
        <v>15286</v>
      </c>
      <c r="E904" t="s">
        <v>1248</v>
      </c>
      <c r="F904">
        <v>20</v>
      </c>
      <c r="G904">
        <v>1</v>
      </c>
      <c r="H904">
        <v>1</v>
      </c>
      <c r="I904">
        <v>20</v>
      </c>
      <c r="J904" s="3">
        <v>46296</v>
      </c>
      <c r="K904" s="6">
        <v>0</v>
      </c>
    </row>
    <row r="905" spans="1:11">
      <c r="A905" t="str">
        <f t="shared" si="14"/>
        <v>Ludes 50 EC 30 X 250 ml459620</v>
      </c>
      <c r="B905" t="s">
        <v>10724</v>
      </c>
      <c r="C905" t="s">
        <v>12808</v>
      </c>
      <c r="D905" t="s">
        <v>15287</v>
      </c>
      <c r="E905" t="s">
        <v>1251</v>
      </c>
      <c r="F905">
        <v>30</v>
      </c>
      <c r="G905">
        <v>1</v>
      </c>
      <c r="H905">
        <v>1</v>
      </c>
      <c r="I905">
        <v>30</v>
      </c>
      <c r="J905" s="3">
        <v>45962</v>
      </c>
      <c r="K905" s="6">
        <v>0</v>
      </c>
    </row>
    <row r="906" spans="1:11">
      <c r="A906" t="str">
        <f t="shared" si="14"/>
        <v>Ludes 50 EC 30 X 250 ml462960</v>
      </c>
      <c r="B906" t="s">
        <v>10725</v>
      </c>
      <c r="C906" t="s">
        <v>12809</v>
      </c>
      <c r="D906" t="s">
        <v>15288</v>
      </c>
      <c r="E906" t="s">
        <v>1251</v>
      </c>
      <c r="F906">
        <v>30</v>
      </c>
      <c r="G906">
        <v>1</v>
      </c>
      <c r="H906">
        <v>1</v>
      </c>
      <c r="I906">
        <v>30</v>
      </c>
      <c r="J906" s="3">
        <v>46296</v>
      </c>
      <c r="K906" s="6">
        <v>0</v>
      </c>
    </row>
    <row r="907" spans="1:11">
      <c r="A907" t="str">
        <f t="shared" si="14"/>
        <v>Ludes 50 EC 50 X 100 ml458700</v>
      </c>
      <c r="B907" t="s">
        <v>10726</v>
      </c>
      <c r="C907" t="s">
        <v>12810</v>
      </c>
      <c r="D907" t="s">
        <v>15289</v>
      </c>
      <c r="E907" t="s">
        <v>1252</v>
      </c>
      <c r="F907">
        <v>50</v>
      </c>
      <c r="G907">
        <v>1</v>
      </c>
      <c r="H907">
        <v>1</v>
      </c>
      <c r="I907">
        <v>50</v>
      </c>
      <c r="J907" s="3">
        <v>45870</v>
      </c>
      <c r="K907" s="6">
        <v>0</v>
      </c>
    </row>
    <row r="908" spans="1:11">
      <c r="A908" t="str">
        <f t="shared" si="14"/>
        <v>Ludes 50 EC 50 X 100 ml462960</v>
      </c>
      <c r="B908" t="s">
        <v>10727</v>
      </c>
      <c r="C908" t="s">
        <v>12811</v>
      </c>
      <c r="D908" t="s">
        <v>15290</v>
      </c>
      <c r="E908" t="s">
        <v>1252</v>
      </c>
      <c r="F908">
        <v>50</v>
      </c>
      <c r="G908">
        <v>1</v>
      </c>
      <c r="H908">
        <v>1</v>
      </c>
      <c r="I908">
        <v>50</v>
      </c>
      <c r="J908" s="3">
        <v>46296</v>
      </c>
      <c r="K908" s="6">
        <v>0</v>
      </c>
    </row>
    <row r="909" spans="1:11">
      <c r="A909" t="str">
        <f t="shared" si="14"/>
        <v>Ludes 50 EC 50 X 100 ml459010</v>
      </c>
      <c r="B909" t="s">
        <v>10728</v>
      </c>
      <c r="C909" t="s">
        <v>12812</v>
      </c>
      <c r="D909" t="s">
        <v>15291</v>
      </c>
      <c r="E909" t="s">
        <v>1252</v>
      </c>
      <c r="F909">
        <v>50</v>
      </c>
      <c r="G909">
        <v>1</v>
      </c>
      <c r="H909">
        <v>1</v>
      </c>
      <c r="I909">
        <v>50</v>
      </c>
      <c r="J909" s="3">
        <v>45901</v>
      </c>
      <c r="K909" s="6">
        <v>0</v>
      </c>
    </row>
    <row r="910" spans="1:11">
      <c r="A910" t="str">
        <f t="shared" si="14"/>
        <v>Ludes 50 EC 50 X 100 ml459620</v>
      </c>
      <c r="B910" t="s">
        <v>10729</v>
      </c>
      <c r="C910" t="s">
        <v>12813</v>
      </c>
      <c r="D910" t="s">
        <v>15292</v>
      </c>
      <c r="E910" t="s">
        <v>1252</v>
      </c>
      <c r="F910">
        <v>50</v>
      </c>
      <c r="G910">
        <v>1</v>
      </c>
      <c r="H910">
        <v>1</v>
      </c>
      <c r="I910">
        <v>50</v>
      </c>
      <c r="J910" s="3">
        <v>45962</v>
      </c>
      <c r="K910" s="6">
        <v>0</v>
      </c>
    </row>
    <row r="911" spans="1:11">
      <c r="A911" t="str">
        <f t="shared" si="14"/>
        <v>Macerio 52 WP 20 X 500 gr470880</v>
      </c>
      <c r="B911" t="s">
        <v>10730</v>
      </c>
      <c r="C911" t="s">
        <v>12814</v>
      </c>
      <c r="D911" t="s">
        <v>15293</v>
      </c>
      <c r="E911" t="s">
        <v>1253</v>
      </c>
      <c r="F911">
        <v>20</v>
      </c>
      <c r="G911">
        <v>1</v>
      </c>
      <c r="H911">
        <v>1</v>
      </c>
      <c r="I911">
        <v>20</v>
      </c>
      <c r="J911" s="3">
        <v>47088</v>
      </c>
      <c r="K911" s="6">
        <v>0</v>
      </c>
    </row>
    <row r="912" spans="1:11">
      <c r="A912" t="str">
        <f t="shared" si="14"/>
        <v>Macerio 52 WP 20 X 500 gr470270</v>
      </c>
      <c r="B912" t="s">
        <v>10731</v>
      </c>
      <c r="C912" t="s">
        <v>12815</v>
      </c>
      <c r="D912" t="s">
        <v>15294</v>
      </c>
      <c r="E912" t="s">
        <v>1253</v>
      </c>
      <c r="F912">
        <v>20</v>
      </c>
      <c r="G912">
        <v>1</v>
      </c>
      <c r="H912">
        <v>1</v>
      </c>
      <c r="I912">
        <v>20</v>
      </c>
      <c r="J912" s="3">
        <v>47027</v>
      </c>
      <c r="K912" s="6">
        <v>0</v>
      </c>
    </row>
    <row r="913" spans="1:11">
      <c r="A913" t="str">
        <f t="shared" si="14"/>
        <v>Maestro 200 EC 10 X 1 ltr471780</v>
      </c>
      <c r="B913" t="s">
        <v>10732</v>
      </c>
      <c r="C913" t="s">
        <v>12816</v>
      </c>
      <c r="D913" t="s">
        <v>15295</v>
      </c>
      <c r="E913" t="s">
        <v>1256</v>
      </c>
      <c r="F913">
        <v>10</v>
      </c>
      <c r="G913">
        <v>1</v>
      </c>
      <c r="H913">
        <v>1</v>
      </c>
      <c r="I913">
        <v>10</v>
      </c>
      <c r="J913" s="3">
        <v>47178</v>
      </c>
      <c r="K913" s="6">
        <v>0</v>
      </c>
    </row>
    <row r="914" spans="1:11">
      <c r="A914" t="str">
        <f t="shared" si="14"/>
        <v>Maestro 200 EC 20 X 500 ml471190</v>
      </c>
      <c r="B914" t="s">
        <v>10733</v>
      </c>
      <c r="C914" t="s">
        <v>12817</v>
      </c>
      <c r="D914" t="s">
        <v>15296</v>
      </c>
      <c r="E914" t="s">
        <v>1257</v>
      </c>
      <c r="F914">
        <v>20</v>
      </c>
      <c r="G914">
        <v>1</v>
      </c>
      <c r="H914">
        <v>1</v>
      </c>
      <c r="I914">
        <v>20</v>
      </c>
      <c r="J914" s="3">
        <v>47119</v>
      </c>
      <c r="K914" s="6">
        <v>0</v>
      </c>
    </row>
    <row r="915" spans="1:11">
      <c r="A915" t="str">
        <f t="shared" si="14"/>
        <v>Maestro 200 EC 20 X 500 ml471780</v>
      </c>
      <c r="B915" t="s">
        <v>10734</v>
      </c>
      <c r="C915" t="s">
        <v>12818</v>
      </c>
      <c r="D915" t="s">
        <v>15297</v>
      </c>
      <c r="E915" t="s">
        <v>1257</v>
      </c>
      <c r="F915">
        <v>20</v>
      </c>
      <c r="G915">
        <v>1</v>
      </c>
      <c r="H915">
        <v>1</v>
      </c>
      <c r="I915">
        <v>20</v>
      </c>
      <c r="J915" s="3">
        <v>47178</v>
      </c>
      <c r="K915" s="6">
        <v>0</v>
      </c>
    </row>
    <row r="916" spans="1:11">
      <c r="A916" t="str">
        <f t="shared" si="14"/>
        <v>Magicxone 138 SL 20 ltr471190</v>
      </c>
      <c r="B916" t="s">
        <v>10735</v>
      </c>
      <c r="C916" t="s">
        <v>12819</v>
      </c>
      <c r="D916" t="s">
        <v>15298</v>
      </c>
      <c r="E916" t="s">
        <v>1258</v>
      </c>
      <c r="F916">
        <v>1</v>
      </c>
      <c r="G916">
        <v>1</v>
      </c>
      <c r="H916">
        <v>1</v>
      </c>
      <c r="I916">
        <v>1</v>
      </c>
      <c r="J916" s="3">
        <v>47119</v>
      </c>
      <c r="K916" s="6">
        <v>0</v>
      </c>
    </row>
    <row r="917" spans="1:11">
      <c r="A917" t="str">
        <f t="shared" si="14"/>
        <v>Magicxone 138 SL 20 ltr472390</v>
      </c>
      <c r="B917" t="s">
        <v>10736</v>
      </c>
      <c r="C917" t="s">
        <v>12820</v>
      </c>
      <c r="D917" t="s">
        <v>15299</v>
      </c>
      <c r="E917" t="s">
        <v>1258</v>
      </c>
      <c r="F917">
        <v>1</v>
      </c>
      <c r="G917">
        <v>1</v>
      </c>
      <c r="H917">
        <v>1</v>
      </c>
      <c r="I917">
        <v>1</v>
      </c>
      <c r="J917" s="3">
        <v>47239</v>
      </c>
      <c r="K917" s="6">
        <v>0</v>
      </c>
    </row>
    <row r="918" spans="1:11">
      <c r="A918" t="str">
        <f t="shared" si="14"/>
        <v>Magicxone 138 SL 20 X 1 ltr471190</v>
      </c>
      <c r="B918" t="s">
        <v>10737</v>
      </c>
      <c r="C918" t="s">
        <v>12821</v>
      </c>
      <c r="D918" t="s">
        <v>15300</v>
      </c>
      <c r="E918" t="s">
        <v>1259</v>
      </c>
      <c r="F918">
        <v>20</v>
      </c>
      <c r="G918">
        <v>1</v>
      </c>
      <c r="H918">
        <v>1</v>
      </c>
      <c r="I918">
        <v>20</v>
      </c>
      <c r="J918" s="3">
        <v>47119</v>
      </c>
      <c r="K918" s="6">
        <v>0</v>
      </c>
    </row>
    <row r="919" spans="1:11">
      <c r="A919" t="str">
        <f t="shared" si="14"/>
        <v>Magicxone 138 SL 20 X 1 ltr471500</v>
      </c>
      <c r="B919" t="s">
        <v>10738</v>
      </c>
      <c r="C919" t="s">
        <v>12822</v>
      </c>
      <c r="D919" t="s">
        <v>15301</v>
      </c>
      <c r="E919" t="s">
        <v>1259</v>
      </c>
      <c r="F919">
        <v>20</v>
      </c>
      <c r="G919">
        <v>1</v>
      </c>
      <c r="H919">
        <v>1</v>
      </c>
      <c r="I919">
        <v>20</v>
      </c>
      <c r="J919" s="3">
        <v>47150</v>
      </c>
      <c r="K919" s="6">
        <v>0</v>
      </c>
    </row>
    <row r="920" spans="1:11">
      <c r="A920" t="str">
        <f t="shared" si="14"/>
        <v>Magicxone 138 SL 20 X 1 ltr472390</v>
      </c>
      <c r="B920" t="s">
        <v>10739</v>
      </c>
      <c r="C920" t="s">
        <v>12823</v>
      </c>
      <c r="D920" t="s">
        <v>15302</v>
      </c>
      <c r="E920" t="s">
        <v>1259</v>
      </c>
      <c r="F920">
        <v>20</v>
      </c>
      <c r="G920">
        <v>1</v>
      </c>
      <c r="H920">
        <v>1</v>
      </c>
      <c r="I920">
        <v>20</v>
      </c>
      <c r="J920" s="3">
        <v>47239</v>
      </c>
      <c r="K920" s="6">
        <v>0</v>
      </c>
    </row>
    <row r="921" spans="1:11">
      <c r="A921" t="str">
        <f t="shared" si="14"/>
        <v>Magicxone 138 SL 4 X 5 ltr470270</v>
      </c>
      <c r="B921" t="s">
        <v>10740</v>
      </c>
      <c r="C921" t="s">
        <v>12824</v>
      </c>
      <c r="D921" t="s">
        <v>15303</v>
      </c>
      <c r="E921" t="s">
        <v>1260</v>
      </c>
      <c r="F921">
        <v>4</v>
      </c>
      <c r="G921">
        <v>1</v>
      </c>
      <c r="H921">
        <v>1</v>
      </c>
      <c r="I921">
        <v>4</v>
      </c>
      <c r="J921" s="3">
        <v>47027</v>
      </c>
      <c r="K921" s="6">
        <v>0</v>
      </c>
    </row>
    <row r="922" spans="1:11">
      <c r="A922" t="str">
        <f t="shared" si="14"/>
        <v>Magicxone 138 SL 4 X 5 ltr470880</v>
      </c>
      <c r="B922" t="s">
        <v>10741</v>
      </c>
      <c r="C922" t="s">
        <v>12825</v>
      </c>
      <c r="D922" t="s">
        <v>15304</v>
      </c>
      <c r="E922" t="s">
        <v>1260</v>
      </c>
      <c r="F922">
        <v>4</v>
      </c>
      <c r="G922">
        <v>1</v>
      </c>
      <c r="H922">
        <v>1</v>
      </c>
      <c r="I922">
        <v>4</v>
      </c>
      <c r="J922" s="3">
        <v>47088</v>
      </c>
      <c r="K922" s="6">
        <v>0</v>
      </c>
    </row>
    <row r="923" spans="1:11">
      <c r="A923" t="str">
        <f t="shared" si="14"/>
        <v>Magicxone 138 SL 4 X 5 ltr472390</v>
      </c>
      <c r="B923" t="s">
        <v>10742</v>
      </c>
      <c r="C923" t="s">
        <v>12826</v>
      </c>
      <c r="D923" t="s">
        <v>15305</v>
      </c>
      <c r="E923" t="s">
        <v>1260</v>
      </c>
      <c r="F923">
        <v>4</v>
      </c>
      <c r="G923">
        <v>1</v>
      </c>
      <c r="H923">
        <v>1</v>
      </c>
      <c r="I923">
        <v>4</v>
      </c>
      <c r="J923" s="3">
        <v>47239</v>
      </c>
      <c r="K923" s="6">
        <v>0</v>
      </c>
    </row>
    <row r="924" spans="1:11">
      <c r="A924" t="str">
        <f t="shared" si="14"/>
        <v>Maklostar 30 X 500 gr469050</v>
      </c>
      <c r="B924" t="s">
        <v>10743</v>
      </c>
      <c r="C924" t="s">
        <v>12827</v>
      </c>
      <c r="D924" t="s">
        <v>15306</v>
      </c>
      <c r="E924" t="s">
        <v>1261</v>
      </c>
      <c r="F924">
        <v>30</v>
      </c>
      <c r="G924">
        <v>1</v>
      </c>
      <c r="H924">
        <v>1</v>
      </c>
      <c r="I924">
        <v>30</v>
      </c>
      <c r="J924" s="3">
        <v>46905</v>
      </c>
      <c r="K924" s="6">
        <v>0</v>
      </c>
    </row>
    <row r="925" spans="1:11">
      <c r="A925" t="str">
        <f t="shared" si="14"/>
        <v>Malabar 480 SL 20 ltr469660</v>
      </c>
      <c r="B925" t="s">
        <v>10744</v>
      </c>
      <c r="C925" t="s">
        <v>12828</v>
      </c>
      <c r="D925" t="s">
        <v>15307</v>
      </c>
      <c r="E925" t="s">
        <v>1262</v>
      </c>
      <c r="F925">
        <v>1</v>
      </c>
      <c r="G925">
        <v>1</v>
      </c>
      <c r="H925">
        <v>1</v>
      </c>
      <c r="I925">
        <v>1</v>
      </c>
      <c r="J925" s="3">
        <v>46966</v>
      </c>
      <c r="K925" s="6">
        <v>0</v>
      </c>
    </row>
    <row r="926" spans="1:11">
      <c r="A926" t="str">
        <f t="shared" si="14"/>
        <v>Mamigro 12-9-6 20 X 1 ltr470270</v>
      </c>
      <c r="B926" t="s">
        <v>10745</v>
      </c>
      <c r="C926" t="s">
        <v>12829</v>
      </c>
      <c r="D926" t="s">
        <v>15308</v>
      </c>
      <c r="E926" t="s">
        <v>1263</v>
      </c>
      <c r="F926">
        <v>20</v>
      </c>
      <c r="G926">
        <v>1</v>
      </c>
      <c r="H926">
        <v>1</v>
      </c>
      <c r="I926">
        <v>20</v>
      </c>
      <c r="J926" s="3">
        <v>47027</v>
      </c>
      <c r="K926" s="6">
        <v>0</v>
      </c>
    </row>
    <row r="927" spans="1:11">
      <c r="A927" t="str">
        <f t="shared" si="14"/>
        <v>Mamigro 12-9-6 20 X 1 ltr470880</v>
      </c>
      <c r="B927" t="s">
        <v>10746</v>
      </c>
      <c r="C927" t="s">
        <v>12830</v>
      </c>
      <c r="D927" t="s">
        <v>15309</v>
      </c>
      <c r="E927" t="s">
        <v>1263</v>
      </c>
      <c r="F927">
        <v>20</v>
      </c>
      <c r="G927">
        <v>1</v>
      </c>
      <c r="H927">
        <v>1</v>
      </c>
      <c r="I927">
        <v>20</v>
      </c>
      <c r="J927" s="3">
        <v>47088</v>
      </c>
      <c r="K927" s="6">
        <v>0</v>
      </c>
    </row>
    <row r="928" spans="1:11">
      <c r="A928" t="str">
        <f t="shared" si="14"/>
        <v>Mamigro 12-9-6 20 X 500 ml470880</v>
      </c>
      <c r="B928" t="s">
        <v>10747</v>
      </c>
      <c r="C928" t="s">
        <v>12831</v>
      </c>
      <c r="D928" t="s">
        <v>15310</v>
      </c>
      <c r="E928" t="s">
        <v>1267</v>
      </c>
      <c r="F928">
        <v>20</v>
      </c>
      <c r="G928">
        <v>1</v>
      </c>
      <c r="H928">
        <v>1</v>
      </c>
      <c r="I928">
        <v>20</v>
      </c>
      <c r="J928" s="3">
        <v>47088</v>
      </c>
      <c r="K928" s="6">
        <v>0</v>
      </c>
    </row>
    <row r="929" spans="1:11">
      <c r="A929" t="str">
        <f t="shared" si="14"/>
        <v>Mamigro 12-9-6 20 X 500 ml470580</v>
      </c>
      <c r="B929" t="s">
        <v>10748</v>
      </c>
      <c r="C929" t="s">
        <v>12832</v>
      </c>
      <c r="D929" t="s">
        <v>15311</v>
      </c>
      <c r="E929" t="s">
        <v>1267</v>
      </c>
      <c r="F929">
        <v>20</v>
      </c>
      <c r="G929">
        <v>1</v>
      </c>
      <c r="H929">
        <v>1</v>
      </c>
      <c r="I929">
        <v>20</v>
      </c>
      <c r="J929" s="3">
        <v>47058</v>
      </c>
      <c r="K929" s="6">
        <v>0</v>
      </c>
    </row>
    <row r="930" spans="1:11">
      <c r="A930" t="str">
        <f t="shared" si="14"/>
        <v>Mamigro 12-9-6 20 X 500 ml467530</v>
      </c>
      <c r="B930" t="s">
        <v>10749</v>
      </c>
      <c r="C930" t="s">
        <v>12833</v>
      </c>
      <c r="D930" t="s">
        <v>15312</v>
      </c>
      <c r="E930" t="s">
        <v>1267</v>
      </c>
      <c r="F930">
        <v>20</v>
      </c>
      <c r="G930">
        <v>1</v>
      </c>
      <c r="H930">
        <v>1</v>
      </c>
      <c r="I930">
        <v>20</v>
      </c>
      <c r="J930" s="3">
        <v>46753</v>
      </c>
      <c r="K930" s="6">
        <v>0</v>
      </c>
    </row>
    <row r="931" spans="1:11">
      <c r="A931" t="str">
        <f t="shared" si="14"/>
        <v>Mandoxone 276 SL 20 ltr471190</v>
      </c>
      <c r="B931" t="s">
        <v>10750</v>
      </c>
      <c r="C931" t="s">
        <v>12834</v>
      </c>
      <c r="D931" t="s">
        <v>15313</v>
      </c>
      <c r="E931" t="s">
        <v>1270</v>
      </c>
      <c r="F931">
        <v>1</v>
      </c>
      <c r="G931">
        <v>1</v>
      </c>
      <c r="H931">
        <v>1</v>
      </c>
      <c r="I931">
        <v>1</v>
      </c>
      <c r="J931" s="3">
        <v>47119</v>
      </c>
      <c r="K931" s="6">
        <v>0</v>
      </c>
    </row>
    <row r="932" spans="1:11">
      <c r="A932" t="str">
        <f t="shared" si="14"/>
        <v>Mandoxone 276 SL 20 ltr474530</v>
      </c>
      <c r="B932" t="s">
        <v>10751</v>
      </c>
      <c r="C932" t="s">
        <v>12835</v>
      </c>
      <c r="D932" t="s">
        <v>15314</v>
      </c>
      <c r="E932" t="s">
        <v>1270</v>
      </c>
      <c r="F932">
        <v>1</v>
      </c>
      <c r="G932">
        <v>1</v>
      </c>
      <c r="H932">
        <v>1</v>
      </c>
      <c r="I932">
        <v>1</v>
      </c>
      <c r="J932" s="3">
        <v>47453</v>
      </c>
      <c r="K932" s="6">
        <v>0</v>
      </c>
    </row>
    <row r="933" spans="1:11">
      <c r="A933" t="str">
        <f t="shared" si="14"/>
        <v>Mandoxone 276 SL 20 ltr469660</v>
      </c>
      <c r="B933" t="s">
        <v>10752</v>
      </c>
      <c r="C933" t="s">
        <v>12836</v>
      </c>
      <c r="D933" t="s">
        <v>15315</v>
      </c>
      <c r="E933" t="s">
        <v>1270</v>
      </c>
      <c r="F933">
        <v>1</v>
      </c>
      <c r="G933">
        <v>1</v>
      </c>
      <c r="H933">
        <v>1</v>
      </c>
      <c r="I933">
        <v>1</v>
      </c>
      <c r="J933" s="3">
        <v>46966</v>
      </c>
      <c r="K933" s="6">
        <v>0</v>
      </c>
    </row>
    <row r="934" spans="1:11">
      <c r="A934" t="str">
        <f t="shared" si="14"/>
        <v>Mandoxone 276 SL 20 X 1 ltr466310</v>
      </c>
      <c r="B934" t="s">
        <v>10753</v>
      </c>
      <c r="C934" t="s">
        <v>12837</v>
      </c>
      <c r="D934" t="s">
        <v>15316</v>
      </c>
      <c r="E934" t="s">
        <v>1271</v>
      </c>
      <c r="F934">
        <v>20</v>
      </c>
      <c r="G934">
        <v>1</v>
      </c>
      <c r="H934">
        <v>1</v>
      </c>
      <c r="I934">
        <v>20</v>
      </c>
      <c r="J934" s="3">
        <v>46631</v>
      </c>
      <c r="K934" s="6">
        <v>0</v>
      </c>
    </row>
    <row r="935" spans="1:11">
      <c r="A935" t="str">
        <f t="shared" si="14"/>
        <v>Mandoxone 276 SL 20 X 1 ltr469660</v>
      </c>
      <c r="B935" t="s">
        <v>10754</v>
      </c>
      <c r="C935" t="s">
        <v>12838</v>
      </c>
      <c r="D935" t="s">
        <v>15317</v>
      </c>
      <c r="E935" t="s">
        <v>1271</v>
      </c>
      <c r="F935">
        <v>20</v>
      </c>
      <c r="G935">
        <v>1</v>
      </c>
      <c r="H935">
        <v>1</v>
      </c>
      <c r="I935">
        <v>20</v>
      </c>
      <c r="J935" s="3">
        <v>46966</v>
      </c>
      <c r="K935" s="6">
        <v>0</v>
      </c>
    </row>
    <row r="936" spans="1:11">
      <c r="A936" t="str">
        <f t="shared" si="14"/>
        <v>Mandoxone 276 SL 20 X 1 ltr469970</v>
      </c>
      <c r="B936" t="s">
        <v>10755</v>
      </c>
      <c r="C936" t="s">
        <v>12839</v>
      </c>
      <c r="D936" t="s">
        <v>15318</v>
      </c>
      <c r="E936" t="s">
        <v>1271</v>
      </c>
      <c r="F936">
        <v>20</v>
      </c>
      <c r="G936">
        <v>1</v>
      </c>
      <c r="H936">
        <v>1</v>
      </c>
      <c r="I936">
        <v>20</v>
      </c>
      <c r="J936" s="3">
        <v>46997</v>
      </c>
      <c r="K936" s="6">
        <v>0</v>
      </c>
    </row>
    <row r="937" spans="1:11">
      <c r="A937" t="str">
        <f t="shared" si="14"/>
        <v>Mandoxone 276 SL 20 X 1 ltr470580</v>
      </c>
      <c r="B937" t="s">
        <v>10756</v>
      </c>
      <c r="C937" t="s">
        <v>12840</v>
      </c>
      <c r="D937" t="s">
        <v>15319</v>
      </c>
      <c r="E937" t="s">
        <v>1271</v>
      </c>
      <c r="F937">
        <v>20</v>
      </c>
      <c r="G937">
        <v>1</v>
      </c>
      <c r="H937">
        <v>1</v>
      </c>
      <c r="I937">
        <v>20</v>
      </c>
      <c r="J937" s="3">
        <v>47058</v>
      </c>
      <c r="K937" s="6">
        <v>0</v>
      </c>
    </row>
    <row r="938" spans="1:11">
      <c r="A938" t="str">
        <f t="shared" si="14"/>
        <v>Mandoxone 276 SL 4 X 5 ltr469660</v>
      </c>
      <c r="B938" t="s">
        <v>10757</v>
      </c>
      <c r="C938" t="s">
        <v>12841</v>
      </c>
      <c r="D938" t="s">
        <v>15320</v>
      </c>
      <c r="E938" t="s">
        <v>1272</v>
      </c>
      <c r="F938">
        <v>4</v>
      </c>
      <c r="G938">
        <v>1</v>
      </c>
      <c r="H938">
        <v>1</v>
      </c>
      <c r="I938">
        <v>4</v>
      </c>
      <c r="J938" s="3">
        <v>46966</v>
      </c>
      <c r="K938" s="6">
        <v>0</v>
      </c>
    </row>
    <row r="939" spans="1:11">
      <c r="A939" t="str">
        <f t="shared" si="14"/>
        <v>Mandoxone 276 SL 4 X 5 ltr470580</v>
      </c>
      <c r="B939" t="s">
        <v>10758</v>
      </c>
      <c r="C939" t="s">
        <v>12842</v>
      </c>
      <c r="D939" t="s">
        <v>15321</v>
      </c>
      <c r="E939" t="s">
        <v>1272</v>
      </c>
      <c r="F939">
        <v>4</v>
      </c>
      <c r="G939">
        <v>1</v>
      </c>
      <c r="H939">
        <v>1</v>
      </c>
      <c r="I939">
        <v>4</v>
      </c>
      <c r="J939" s="3">
        <v>47058</v>
      </c>
      <c r="K939" s="6">
        <v>0</v>
      </c>
    </row>
    <row r="940" spans="1:11">
      <c r="A940" t="str">
        <f t="shared" si="14"/>
        <v>Mangkok ART.FSY 178-B1/1/10000</v>
      </c>
      <c r="B940" t="s">
        <v>10759</v>
      </c>
      <c r="C940" t="s">
        <v>12843</v>
      </c>
      <c r="D940" t="s">
        <v>15322</v>
      </c>
      <c r="E940" t="s">
        <v>1273</v>
      </c>
      <c r="F940">
        <v>1</v>
      </c>
      <c r="G940">
        <v>1</v>
      </c>
      <c r="H940">
        <v>1</v>
      </c>
      <c r="I940">
        <v>1</v>
      </c>
      <c r="J940" s="3" t="s">
        <v>2222</v>
      </c>
      <c r="K940" s="6">
        <v>0</v>
      </c>
    </row>
    <row r="941" spans="1:11">
      <c r="A941" t="str">
        <f t="shared" si="14"/>
        <v>Manohara 20 X 1 kg472390</v>
      </c>
      <c r="B941" t="s">
        <v>10760</v>
      </c>
      <c r="C941" t="s">
        <v>12844</v>
      </c>
      <c r="D941" t="s">
        <v>15323</v>
      </c>
      <c r="E941" t="s">
        <v>1274</v>
      </c>
      <c r="F941">
        <v>20</v>
      </c>
      <c r="G941">
        <v>1</v>
      </c>
      <c r="H941">
        <v>1</v>
      </c>
      <c r="I941">
        <v>20</v>
      </c>
      <c r="J941" s="3">
        <v>47239</v>
      </c>
      <c r="K941" s="6">
        <v>0</v>
      </c>
    </row>
    <row r="942" spans="1:11">
      <c r="A942" t="str">
        <f t="shared" si="14"/>
        <v>Manohara 20 X 1 kg472700</v>
      </c>
      <c r="B942" t="s">
        <v>10761</v>
      </c>
      <c r="C942" t="s">
        <v>12845</v>
      </c>
      <c r="D942" t="s">
        <v>15324</v>
      </c>
      <c r="E942" t="s">
        <v>1274</v>
      </c>
      <c r="F942">
        <v>20</v>
      </c>
      <c r="G942">
        <v>1</v>
      </c>
      <c r="H942">
        <v>1</v>
      </c>
      <c r="I942">
        <v>20</v>
      </c>
      <c r="J942" s="3">
        <v>47270</v>
      </c>
      <c r="K942" s="6">
        <v>0</v>
      </c>
    </row>
    <row r="943" spans="1:11">
      <c r="A943" t="str">
        <f t="shared" si="14"/>
        <v>Manohara 250 gr1/1/10000</v>
      </c>
      <c r="B943" t="s">
        <v>10762</v>
      </c>
      <c r="C943" t="s">
        <v>12846</v>
      </c>
      <c r="D943" t="s">
        <v>15325</v>
      </c>
      <c r="E943" t="s">
        <v>1275</v>
      </c>
      <c r="F943">
        <v>1</v>
      </c>
      <c r="G943">
        <v>1</v>
      </c>
      <c r="H943">
        <v>1</v>
      </c>
      <c r="I943">
        <v>1</v>
      </c>
      <c r="J943" s="3" t="s">
        <v>2222</v>
      </c>
      <c r="K943" s="6">
        <v>0</v>
      </c>
    </row>
    <row r="944" spans="1:11">
      <c r="A944" t="str">
        <f t="shared" si="14"/>
        <v>Manohara PPC 15 X 1 ltr467220</v>
      </c>
      <c r="B944" t="s">
        <v>10763</v>
      </c>
      <c r="C944" t="s">
        <v>12847</v>
      </c>
      <c r="D944" t="s">
        <v>15326</v>
      </c>
      <c r="E944" t="s">
        <v>1276</v>
      </c>
      <c r="F944">
        <v>15</v>
      </c>
      <c r="G944">
        <v>1</v>
      </c>
      <c r="H944">
        <v>1</v>
      </c>
      <c r="I944">
        <v>15</v>
      </c>
      <c r="J944" s="3">
        <v>46722</v>
      </c>
      <c r="K944" s="6">
        <v>0</v>
      </c>
    </row>
    <row r="945" spans="1:11">
      <c r="A945" t="str">
        <f t="shared" si="14"/>
        <v>Manohara PPC 15 X 1 ltr470580</v>
      </c>
      <c r="B945" t="s">
        <v>10764</v>
      </c>
      <c r="C945" t="s">
        <v>12848</v>
      </c>
      <c r="D945" t="s">
        <v>15327</v>
      </c>
      <c r="E945" t="s">
        <v>1276</v>
      </c>
      <c r="F945">
        <v>15</v>
      </c>
      <c r="G945">
        <v>1</v>
      </c>
      <c r="H945">
        <v>1</v>
      </c>
      <c r="I945">
        <v>15</v>
      </c>
      <c r="J945" s="3">
        <v>47058</v>
      </c>
      <c r="K945" s="6">
        <v>0</v>
      </c>
    </row>
    <row r="946" spans="1:11">
      <c r="A946" t="str">
        <f t="shared" si="14"/>
        <v>Manzate 82 WP 10 X 1 kg462660</v>
      </c>
      <c r="B946" t="s">
        <v>10765</v>
      </c>
      <c r="C946" t="s">
        <v>12849</v>
      </c>
      <c r="D946" t="s">
        <v>15328</v>
      </c>
      <c r="E946" t="s">
        <v>1277</v>
      </c>
      <c r="F946">
        <v>10</v>
      </c>
      <c r="G946">
        <v>1</v>
      </c>
      <c r="H946">
        <v>1</v>
      </c>
      <c r="I946">
        <v>10</v>
      </c>
      <c r="J946" s="3">
        <v>46266</v>
      </c>
      <c r="K946" s="6">
        <v>0</v>
      </c>
    </row>
    <row r="947" spans="1:11">
      <c r="A947" t="str">
        <f t="shared" si="14"/>
        <v>Manzate 82 WP 20 X 500 gr461130</v>
      </c>
      <c r="B947" t="s">
        <v>10766</v>
      </c>
      <c r="C947" t="s">
        <v>12850</v>
      </c>
      <c r="D947" t="s">
        <v>15329</v>
      </c>
      <c r="E947" t="s">
        <v>1280</v>
      </c>
      <c r="F947">
        <v>20</v>
      </c>
      <c r="G947">
        <v>1</v>
      </c>
      <c r="H947">
        <v>1</v>
      </c>
      <c r="I947">
        <v>20</v>
      </c>
      <c r="J947" s="3">
        <v>46113</v>
      </c>
      <c r="K947" s="6">
        <v>0</v>
      </c>
    </row>
    <row r="948" spans="1:11">
      <c r="A948" t="str">
        <f t="shared" si="14"/>
        <v>Marshal 200 EC 100 X 100 ml455970</v>
      </c>
      <c r="B948" t="s">
        <v>10767</v>
      </c>
      <c r="C948" t="s">
        <v>12851</v>
      </c>
      <c r="D948" t="s">
        <v>15330</v>
      </c>
      <c r="E948" t="s">
        <v>1282</v>
      </c>
      <c r="F948">
        <v>100</v>
      </c>
      <c r="G948">
        <v>1</v>
      </c>
      <c r="H948">
        <v>1</v>
      </c>
      <c r="I948">
        <v>100</v>
      </c>
      <c r="J948" s="3">
        <v>45597</v>
      </c>
      <c r="K948" s="6">
        <v>0</v>
      </c>
    </row>
    <row r="949" spans="1:11">
      <c r="A949" t="str">
        <f t="shared" si="14"/>
        <v>Marshal 200 EC 20 X 1 ltr461430</v>
      </c>
      <c r="B949" t="s">
        <v>10768</v>
      </c>
      <c r="C949" t="s">
        <v>12852</v>
      </c>
      <c r="D949" t="s">
        <v>15331</v>
      </c>
      <c r="E949" t="s">
        <v>1283</v>
      </c>
      <c r="F949">
        <v>20</v>
      </c>
      <c r="G949">
        <v>1</v>
      </c>
      <c r="H949">
        <v>1</v>
      </c>
      <c r="I949">
        <v>20</v>
      </c>
      <c r="J949" s="3">
        <v>46143</v>
      </c>
      <c r="K949" s="6">
        <v>0</v>
      </c>
    </row>
    <row r="950" spans="1:11">
      <c r="A950" t="str">
        <f t="shared" si="14"/>
        <v>Marshal 200 EC 24 X 500 ml460230</v>
      </c>
      <c r="B950" t="s">
        <v>10769</v>
      </c>
      <c r="C950" t="s">
        <v>12853</v>
      </c>
      <c r="D950" t="s">
        <v>15332</v>
      </c>
      <c r="E950" t="s">
        <v>1284</v>
      </c>
      <c r="F950">
        <v>24</v>
      </c>
      <c r="G950">
        <v>1</v>
      </c>
      <c r="H950">
        <v>1</v>
      </c>
      <c r="I950">
        <v>24</v>
      </c>
      <c r="J950" s="3">
        <v>46023</v>
      </c>
      <c r="K950" s="6">
        <v>0</v>
      </c>
    </row>
    <row r="951" spans="1:11">
      <c r="A951" t="str">
        <f t="shared" si="14"/>
        <v>Marshal 200 EC 24 X 500 ml460540</v>
      </c>
      <c r="B951" t="s">
        <v>10770</v>
      </c>
      <c r="C951" t="s">
        <v>12854</v>
      </c>
      <c r="D951" t="s">
        <v>15333</v>
      </c>
      <c r="E951" t="s">
        <v>1284</v>
      </c>
      <c r="F951">
        <v>24</v>
      </c>
      <c r="G951">
        <v>1</v>
      </c>
      <c r="H951">
        <v>1</v>
      </c>
      <c r="I951">
        <v>24</v>
      </c>
      <c r="J951" s="3">
        <v>46054</v>
      </c>
      <c r="K951" s="6">
        <v>0</v>
      </c>
    </row>
    <row r="952" spans="1:11">
      <c r="A952" t="str">
        <f t="shared" si="14"/>
        <v>Marshal 200 EC 24 X 500 ml460820</v>
      </c>
      <c r="B952" t="s">
        <v>10771</v>
      </c>
      <c r="C952" t="s">
        <v>12855</v>
      </c>
      <c r="D952" t="s">
        <v>15334</v>
      </c>
      <c r="E952" t="s">
        <v>1284</v>
      </c>
      <c r="F952">
        <v>24</v>
      </c>
      <c r="G952">
        <v>1</v>
      </c>
      <c r="H952">
        <v>1</v>
      </c>
      <c r="I952">
        <v>24</v>
      </c>
      <c r="J952" s="3">
        <v>46082</v>
      </c>
      <c r="K952" s="6">
        <v>0</v>
      </c>
    </row>
    <row r="953" spans="1:11">
      <c r="A953" t="str">
        <f t="shared" si="14"/>
        <v>Marshal 200 SC 24 X 500 ml461130</v>
      </c>
      <c r="B953" t="s">
        <v>10772</v>
      </c>
      <c r="C953" t="s">
        <v>12856</v>
      </c>
      <c r="D953" t="s">
        <v>15335</v>
      </c>
      <c r="E953" t="s">
        <v>1285</v>
      </c>
      <c r="F953">
        <v>24</v>
      </c>
      <c r="G953">
        <v>1</v>
      </c>
      <c r="H953">
        <v>1</v>
      </c>
      <c r="I953">
        <v>24</v>
      </c>
      <c r="J953" s="3">
        <v>46113</v>
      </c>
      <c r="K953" s="6">
        <v>0</v>
      </c>
    </row>
    <row r="954" spans="1:11">
      <c r="A954" t="str">
        <f t="shared" si="14"/>
        <v>Marshal 25 DS 5 X 40 X 25 gr461130</v>
      </c>
      <c r="B954" t="s">
        <v>10773</v>
      </c>
      <c r="C954" t="s">
        <v>12857</v>
      </c>
      <c r="D954" t="s">
        <v>15336</v>
      </c>
      <c r="E954" t="s">
        <v>1286</v>
      </c>
      <c r="F954">
        <v>5</v>
      </c>
      <c r="G954">
        <v>40</v>
      </c>
      <c r="H954">
        <v>1</v>
      </c>
      <c r="I954">
        <v>200</v>
      </c>
      <c r="J954" s="3">
        <v>46113</v>
      </c>
      <c r="K954" s="6">
        <v>0</v>
      </c>
    </row>
    <row r="955" spans="1:11">
      <c r="A955" t="str">
        <f t="shared" si="14"/>
        <v>Marshal 25 DS 5 X 40 X 25 gr461430</v>
      </c>
      <c r="B955" t="s">
        <v>10774</v>
      </c>
      <c r="C955" t="s">
        <v>12858</v>
      </c>
      <c r="D955" t="s">
        <v>15337</v>
      </c>
      <c r="E955" t="s">
        <v>1286</v>
      </c>
      <c r="F955">
        <v>5</v>
      </c>
      <c r="G955">
        <v>40</v>
      </c>
      <c r="H955">
        <v>1</v>
      </c>
      <c r="I955">
        <v>200</v>
      </c>
      <c r="J955" s="3">
        <v>46143</v>
      </c>
      <c r="K955" s="6">
        <v>0</v>
      </c>
    </row>
    <row r="956" spans="1:11">
      <c r="A956" t="str">
        <f t="shared" si="14"/>
        <v>Marshal 25 DS 50 X 100 gr455970</v>
      </c>
      <c r="B956" t="s">
        <v>10775</v>
      </c>
      <c r="C956" t="s">
        <v>12859</v>
      </c>
      <c r="D956" t="s">
        <v>15338</v>
      </c>
      <c r="E956" t="s">
        <v>1287</v>
      </c>
      <c r="F956">
        <v>50</v>
      </c>
      <c r="G956">
        <v>1</v>
      </c>
      <c r="H956">
        <v>1</v>
      </c>
      <c r="I956">
        <v>50</v>
      </c>
      <c r="J956" s="3">
        <v>45597</v>
      </c>
      <c r="K956" s="6">
        <v>0</v>
      </c>
    </row>
    <row r="957" spans="1:11">
      <c r="A957" t="str">
        <f t="shared" si="14"/>
        <v>Martyl 480 SL 12 X 1 ltr467840</v>
      </c>
      <c r="B957" t="s">
        <v>10776</v>
      </c>
      <c r="C957" t="s">
        <v>12860</v>
      </c>
      <c r="D957" t="s">
        <v>15339</v>
      </c>
      <c r="E957" t="s">
        <v>1288</v>
      </c>
      <c r="F957">
        <v>12</v>
      </c>
      <c r="G957">
        <v>1</v>
      </c>
      <c r="H957">
        <v>1</v>
      </c>
      <c r="I957">
        <v>12</v>
      </c>
      <c r="J957" s="3">
        <v>46784</v>
      </c>
      <c r="K957" s="6">
        <v>0</v>
      </c>
    </row>
    <row r="958" spans="1:11">
      <c r="A958" t="str">
        <f t="shared" si="14"/>
        <v>Martyl 480 SL 12 X 1 ltr468130</v>
      </c>
      <c r="B958" t="s">
        <v>10777</v>
      </c>
      <c r="C958" t="s">
        <v>12861</v>
      </c>
      <c r="D958" t="s">
        <v>15340</v>
      </c>
      <c r="E958" t="s">
        <v>1288</v>
      </c>
      <c r="F958">
        <v>12</v>
      </c>
      <c r="G958">
        <v>1</v>
      </c>
      <c r="H958">
        <v>1</v>
      </c>
      <c r="I958">
        <v>12</v>
      </c>
      <c r="J958" s="3">
        <v>46813</v>
      </c>
      <c r="K958" s="6">
        <v>0</v>
      </c>
    </row>
    <row r="959" spans="1:11">
      <c r="A959" t="str">
        <f t="shared" si="14"/>
        <v>Mastercall Biru 20 X 1 kg469050</v>
      </c>
      <c r="B959" t="s">
        <v>10778</v>
      </c>
      <c r="C959" t="s">
        <v>12862</v>
      </c>
      <c r="D959" t="s">
        <v>15341</v>
      </c>
      <c r="E959" t="s">
        <v>1291</v>
      </c>
      <c r="F959">
        <v>20</v>
      </c>
      <c r="G959">
        <v>1</v>
      </c>
      <c r="H959">
        <v>1</v>
      </c>
      <c r="I959">
        <v>20</v>
      </c>
      <c r="J959" s="3">
        <v>46905</v>
      </c>
      <c r="K959" s="6">
        <v>0</v>
      </c>
    </row>
    <row r="960" spans="1:11">
      <c r="A960" t="str">
        <f t="shared" si="14"/>
        <v>Matador 25 EC 100 X 50 ml460230</v>
      </c>
      <c r="B960" t="s">
        <v>10779</v>
      </c>
      <c r="C960" t="s">
        <v>12863</v>
      </c>
      <c r="D960" t="s">
        <v>15342</v>
      </c>
      <c r="E960" t="s">
        <v>1292</v>
      </c>
      <c r="F960">
        <v>100</v>
      </c>
      <c r="G960">
        <v>1</v>
      </c>
      <c r="H960">
        <v>1</v>
      </c>
      <c r="I960">
        <v>100</v>
      </c>
      <c r="J960" s="3">
        <v>46023</v>
      </c>
      <c r="K960" s="6">
        <v>0</v>
      </c>
    </row>
    <row r="961" spans="1:11">
      <c r="A961" t="str">
        <f t="shared" si="14"/>
        <v>Matador 25 EC 100 X 80 ml459920</v>
      </c>
      <c r="B961" t="s">
        <v>10780</v>
      </c>
      <c r="C961" t="s">
        <v>12864</v>
      </c>
      <c r="D961" t="s">
        <v>15343</v>
      </c>
      <c r="E961" t="s">
        <v>1296</v>
      </c>
      <c r="F961">
        <v>100</v>
      </c>
      <c r="G961">
        <v>1</v>
      </c>
      <c r="H961">
        <v>1</v>
      </c>
      <c r="I961">
        <v>100</v>
      </c>
      <c r="J961" s="3">
        <v>45992</v>
      </c>
      <c r="K961" s="6">
        <v>0</v>
      </c>
    </row>
    <row r="962" spans="1:11">
      <c r="A962" t="str">
        <f t="shared" si="14"/>
        <v>Matador 25 EC 100 X 80 ml460230</v>
      </c>
      <c r="B962" t="s">
        <v>10781</v>
      </c>
      <c r="C962" t="s">
        <v>12865</v>
      </c>
      <c r="D962" t="s">
        <v>15344</v>
      </c>
      <c r="E962" t="s">
        <v>1296</v>
      </c>
      <c r="F962">
        <v>100</v>
      </c>
      <c r="G962">
        <v>1</v>
      </c>
      <c r="H962">
        <v>1</v>
      </c>
      <c r="I962">
        <v>100</v>
      </c>
      <c r="J962" s="3">
        <v>46023</v>
      </c>
      <c r="K962" s="6">
        <v>0</v>
      </c>
    </row>
    <row r="963" spans="1:11">
      <c r="A963" t="str">
        <f t="shared" ref="A963:A1026" si="15">E963&amp;J963&amp;K963</f>
        <v>Matador 25 EC 40 X 250 ml459920</v>
      </c>
      <c r="B963" t="s">
        <v>10782</v>
      </c>
      <c r="C963" t="s">
        <v>12866</v>
      </c>
      <c r="D963" t="s">
        <v>15345</v>
      </c>
      <c r="E963" t="s">
        <v>1299</v>
      </c>
      <c r="F963">
        <v>40</v>
      </c>
      <c r="G963">
        <v>1</v>
      </c>
      <c r="H963">
        <v>1</v>
      </c>
      <c r="I963">
        <v>40</v>
      </c>
      <c r="J963" s="3">
        <v>45992</v>
      </c>
      <c r="K963" s="6">
        <v>0</v>
      </c>
    </row>
    <row r="964" spans="1:11">
      <c r="A964" t="str">
        <f t="shared" si="15"/>
        <v>Matador 25 EC 40 X 250 ml460230</v>
      </c>
      <c r="B964" t="s">
        <v>10783</v>
      </c>
      <c r="C964" t="s">
        <v>12867</v>
      </c>
      <c r="D964" t="s">
        <v>15346</v>
      </c>
      <c r="E964" t="s">
        <v>1299</v>
      </c>
      <c r="F964">
        <v>40</v>
      </c>
      <c r="G964">
        <v>1</v>
      </c>
      <c r="H964">
        <v>1</v>
      </c>
      <c r="I964">
        <v>40</v>
      </c>
      <c r="J964" s="3">
        <v>46023</v>
      </c>
      <c r="K964" s="6">
        <v>0</v>
      </c>
    </row>
    <row r="965" spans="1:11">
      <c r="A965" t="str">
        <f t="shared" si="15"/>
        <v>Match 50 EC 50 X 100 ml462040</v>
      </c>
      <c r="B965" t="s">
        <v>10784</v>
      </c>
      <c r="C965" t="s">
        <v>12868</v>
      </c>
      <c r="D965" t="s">
        <v>15347</v>
      </c>
      <c r="E965" t="s">
        <v>1304</v>
      </c>
      <c r="F965">
        <v>50</v>
      </c>
      <c r="G965">
        <v>1</v>
      </c>
      <c r="H965">
        <v>1</v>
      </c>
      <c r="I965">
        <v>50</v>
      </c>
      <c r="J965" s="3">
        <v>46204</v>
      </c>
      <c r="K965" s="6">
        <v>0</v>
      </c>
    </row>
    <row r="966" spans="1:11">
      <c r="A966" t="str">
        <f t="shared" si="15"/>
        <v>Match 50 EC 50 X 100 ml459010</v>
      </c>
      <c r="B966" t="s">
        <v>10785</v>
      </c>
      <c r="C966" t="s">
        <v>12869</v>
      </c>
      <c r="D966" t="s">
        <v>15348</v>
      </c>
      <c r="E966" t="s">
        <v>1304</v>
      </c>
      <c r="F966">
        <v>50</v>
      </c>
      <c r="G966">
        <v>1</v>
      </c>
      <c r="H966">
        <v>1</v>
      </c>
      <c r="I966">
        <v>50</v>
      </c>
      <c r="J966" s="3">
        <v>45901</v>
      </c>
      <c r="K966" s="6">
        <v>0</v>
      </c>
    </row>
    <row r="967" spans="1:11">
      <c r="A967" t="str">
        <f t="shared" si="15"/>
        <v>Megaxone 135 SL 20 ltr471190</v>
      </c>
      <c r="B967" t="s">
        <v>10786</v>
      </c>
      <c r="C967" t="s">
        <v>12870</v>
      </c>
      <c r="D967" t="s">
        <v>15349</v>
      </c>
      <c r="E967" t="s">
        <v>1307</v>
      </c>
      <c r="F967">
        <v>1</v>
      </c>
      <c r="G967">
        <v>1</v>
      </c>
      <c r="H967">
        <v>1</v>
      </c>
      <c r="I967">
        <v>1</v>
      </c>
      <c r="J967" s="3">
        <v>47119</v>
      </c>
      <c r="K967" s="6">
        <v>0</v>
      </c>
    </row>
    <row r="968" spans="1:11">
      <c r="A968" t="str">
        <f t="shared" si="15"/>
        <v>Megaxone 135 SL 20 X 1 ltr472700</v>
      </c>
      <c r="B968" t="s">
        <v>10787</v>
      </c>
      <c r="C968" t="s">
        <v>12871</v>
      </c>
      <c r="D968" t="s">
        <v>15350</v>
      </c>
      <c r="E968" t="s">
        <v>1308</v>
      </c>
      <c r="F968">
        <v>20</v>
      </c>
      <c r="G968">
        <v>1</v>
      </c>
      <c r="H968">
        <v>1</v>
      </c>
      <c r="I968">
        <v>20</v>
      </c>
      <c r="J968" s="3">
        <v>47270</v>
      </c>
      <c r="K968" s="6">
        <v>0</v>
      </c>
    </row>
    <row r="969" spans="1:11">
      <c r="A969" t="str">
        <f t="shared" si="15"/>
        <v>Megaxone 135 SL 4 X 5 ltr471190</v>
      </c>
      <c r="B969" t="s">
        <v>10788</v>
      </c>
      <c r="C969" t="s">
        <v>12872</v>
      </c>
      <c r="D969" t="s">
        <v>15351</v>
      </c>
      <c r="E969" t="s">
        <v>1309</v>
      </c>
      <c r="F969">
        <v>4</v>
      </c>
      <c r="G969">
        <v>1</v>
      </c>
      <c r="H969">
        <v>1</v>
      </c>
      <c r="I969">
        <v>4</v>
      </c>
      <c r="J969" s="3">
        <v>47119</v>
      </c>
      <c r="K969" s="6">
        <v>0</v>
      </c>
    </row>
    <row r="970" spans="1:11">
      <c r="A970" t="str">
        <f t="shared" si="15"/>
        <v>Megaxone 135 SL 4 X 5 ltr472390</v>
      </c>
      <c r="B970" t="s">
        <v>10789</v>
      </c>
      <c r="C970" t="s">
        <v>12873</v>
      </c>
      <c r="D970" t="s">
        <v>15352</v>
      </c>
      <c r="E970" t="s">
        <v>1309</v>
      </c>
      <c r="F970">
        <v>4</v>
      </c>
      <c r="G970">
        <v>1</v>
      </c>
      <c r="H970">
        <v>1</v>
      </c>
      <c r="I970">
        <v>4</v>
      </c>
      <c r="J970" s="3">
        <v>47239</v>
      </c>
      <c r="K970" s="6">
        <v>0</v>
      </c>
    </row>
    <row r="971" spans="1:11">
      <c r="A971" t="str">
        <f t="shared" si="15"/>
        <v>Megazeb 80 WP 20 X 1 kg471780</v>
      </c>
      <c r="B971" t="s">
        <v>10790</v>
      </c>
      <c r="C971" t="s">
        <v>12874</v>
      </c>
      <c r="D971" t="s">
        <v>15353</v>
      </c>
      <c r="E971" t="s">
        <v>1310</v>
      </c>
      <c r="F971">
        <v>20</v>
      </c>
      <c r="G971">
        <v>1</v>
      </c>
      <c r="H971">
        <v>1</v>
      </c>
      <c r="I971">
        <v>20</v>
      </c>
      <c r="J971" s="3">
        <v>47178</v>
      </c>
      <c r="K971" s="6">
        <v>0</v>
      </c>
    </row>
    <row r="972" spans="1:11">
      <c r="A972" t="str">
        <f t="shared" si="15"/>
        <v>Megazeb 80 WP 20 X 1 kg469970</v>
      </c>
      <c r="B972" t="s">
        <v>10791</v>
      </c>
      <c r="C972" t="s">
        <v>12875</v>
      </c>
      <c r="D972" t="s">
        <v>15354</v>
      </c>
      <c r="E972" t="s">
        <v>1310</v>
      </c>
      <c r="F972">
        <v>20</v>
      </c>
      <c r="G972">
        <v>1</v>
      </c>
      <c r="H972">
        <v>1</v>
      </c>
      <c r="I972">
        <v>20</v>
      </c>
      <c r="J972" s="3">
        <v>46997</v>
      </c>
      <c r="K972" s="6">
        <v>0</v>
      </c>
    </row>
    <row r="973" spans="1:11">
      <c r="A973" t="str">
        <f t="shared" si="15"/>
        <v>Megazeb 80 WP 20 X 1 kg469660</v>
      </c>
      <c r="B973" t="s">
        <v>10792</v>
      </c>
      <c r="C973" t="s">
        <v>12876</v>
      </c>
      <c r="D973" t="s">
        <v>15355</v>
      </c>
      <c r="E973" t="s">
        <v>1310</v>
      </c>
      <c r="F973">
        <v>20</v>
      </c>
      <c r="G973">
        <v>1</v>
      </c>
      <c r="H973">
        <v>1</v>
      </c>
      <c r="I973">
        <v>20</v>
      </c>
      <c r="J973" s="3">
        <v>46966</v>
      </c>
      <c r="K973" s="6">
        <v>0</v>
      </c>
    </row>
    <row r="974" spans="1:11">
      <c r="A974" t="str">
        <f t="shared" si="15"/>
        <v>Melyra 200/200 SC 24 X 250 ml459920</v>
      </c>
      <c r="B974" t="s">
        <v>10793</v>
      </c>
      <c r="C974" t="s">
        <v>12877</v>
      </c>
      <c r="D974" t="s">
        <v>15356</v>
      </c>
      <c r="E974" t="s">
        <v>1313</v>
      </c>
      <c r="F974">
        <v>24</v>
      </c>
      <c r="G974">
        <v>1</v>
      </c>
      <c r="H974">
        <v>1</v>
      </c>
      <c r="I974">
        <v>24</v>
      </c>
      <c r="J974" s="3">
        <v>45992</v>
      </c>
      <c r="K974" s="6">
        <v>0</v>
      </c>
    </row>
    <row r="975" spans="1:11">
      <c r="A975" t="str">
        <f t="shared" si="15"/>
        <v>Metachlor 650 EC 100 X 100 ml471500</v>
      </c>
      <c r="B975" t="s">
        <v>10794</v>
      </c>
      <c r="C975" t="s">
        <v>12878</v>
      </c>
      <c r="D975" t="s">
        <v>15357</v>
      </c>
      <c r="E975" t="s">
        <v>1315</v>
      </c>
      <c r="F975">
        <v>100</v>
      </c>
      <c r="G975">
        <v>1</v>
      </c>
      <c r="H975">
        <v>1</v>
      </c>
      <c r="I975">
        <v>100</v>
      </c>
      <c r="J975" s="3">
        <v>47150</v>
      </c>
      <c r="K975" s="6">
        <v>0</v>
      </c>
    </row>
    <row r="976" spans="1:11">
      <c r="A976" t="str">
        <f t="shared" si="15"/>
        <v>Metachlor 650 EC 20 X 800 ml469660</v>
      </c>
      <c r="B976" t="s">
        <v>10795</v>
      </c>
      <c r="C976" t="s">
        <v>12879</v>
      </c>
      <c r="D976" t="s">
        <v>15358</v>
      </c>
      <c r="E976" t="s">
        <v>1316</v>
      </c>
      <c r="F976">
        <v>20</v>
      </c>
      <c r="G976">
        <v>1</v>
      </c>
      <c r="H976">
        <v>1</v>
      </c>
      <c r="I976">
        <v>20</v>
      </c>
      <c r="J976" s="3">
        <v>46966</v>
      </c>
      <c r="K976" s="6">
        <v>0</v>
      </c>
    </row>
    <row r="977" spans="1:11">
      <c r="A977" t="str">
        <f t="shared" si="15"/>
        <v>Metachlor 650 EC 25 X 400 ml472090</v>
      </c>
      <c r="B977" t="s">
        <v>10796</v>
      </c>
      <c r="C977" t="s">
        <v>12880</v>
      </c>
      <c r="D977" t="s">
        <v>15359</v>
      </c>
      <c r="E977" t="s">
        <v>1317</v>
      </c>
      <c r="F977">
        <v>25</v>
      </c>
      <c r="G977">
        <v>1</v>
      </c>
      <c r="H977">
        <v>1</v>
      </c>
      <c r="I977">
        <v>25</v>
      </c>
      <c r="J977" s="3">
        <v>47209</v>
      </c>
      <c r="K977" s="6">
        <v>0</v>
      </c>
    </row>
    <row r="978" spans="1:11">
      <c r="A978" t="str">
        <f t="shared" si="15"/>
        <v>Metachlor 650 EC 50 ml (S)1/1/10000</v>
      </c>
      <c r="B978" t="s">
        <v>10797</v>
      </c>
      <c r="C978" t="s">
        <v>12881</v>
      </c>
      <c r="D978" t="s">
        <v>15360</v>
      </c>
      <c r="E978" t="s">
        <v>1318</v>
      </c>
      <c r="F978">
        <v>1</v>
      </c>
      <c r="G978">
        <v>1</v>
      </c>
      <c r="H978">
        <v>1</v>
      </c>
      <c r="I978">
        <v>1</v>
      </c>
      <c r="J978" s="3" t="s">
        <v>2222</v>
      </c>
      <c r="K978" s="6">
        <v>0</v>
      </c>
    </row>
    <row r="979" spans="1:11">
      <c r="A979" t="str">
        <f t="shared" si="15"/>
        <v>Metalik 15 X 500 ml471190</v>
      </c>
      <c r="B979" t="s">
        <v>10798</v>
      </c>
      <c r="C979" t="s">
        <v>12882</v>
      </c>
      <c r="D979" t="s">
        <v>15361</v>
      </c>
      <c r="E979" t="s">
        <v>1319</v>
      </c>
      <c r="F979">
        <v>15</v>
      </c>
      <c r="G979">
        <v>1</v>
      </c>
      <c r="H979">
        <v>1</v>
      </c>
      <c r="I979">
        <v>15</v>
      </c>
      <c r="J979" s="3">
        <v>47119</v>
      </c>
      <c r="K979" s="6">
        <v>0</v>
      </c>
    </row>
    <row r="980" spans="1:11">
      <c r="A980" t="str">
        <f t="shared" si="15"/>
        <v>Metalik 15 X 500 ml471780</v>
      </c>
      <c r="B980" t="s">
        <v>10799</v>
      </c>
      <c r="C980" t="s">
        <v>12883</v>
      </c>
      <c r="D980" t="s">
        <v>15362</v>
      </c>
      <c r="E980" t="s">
        <v>1319</v>
      </c>
      <c r="F980">
        <v>15</v>
      </c>
      <c r="G980">
        <v>1</v>
      </c>
      <c r="H980">
        <v>1</v>
      </c>
      <c r="I980">
        <v>15</v>
      </c>
      <c r="J980" s="3">
        <v>47178</v>
      </c>
      <c r="K980" s="6">
        <v>0</v>
      </c>
    </row>
    <row r="981" spans="1:11">
      <c r="A981" t="str">
        <f t="shared" si="15"/>
        <v>Metalik 25 X 100 ml462350</v>
      </c>
      <c r="B981" t="s">
        <v>10800</v>
      </c>
      <c r="C981" t="s">
        <v>12884</v>
      </c>
      <c r="D981" t="s">
        <v>15363</v>
      </c>
      <c r="E981" t="s">
        <v>1320</v>
      </c>
      <c r="F981">
        <v>25</v>
      </c>
      <c r="G981">
        <v>1</v>
      </c>
      <c r="H981">
        <v>1</v>
      </c>
      <c r="I981">
        <v>25</v>
      </c>
      <c r="J981" s="3">
        <v>46235</v>
      </c>
      <c r="K981" s="6">
        <v>0</v>
      </c>
    </row>
    <row r="982" spans="1:11">
      <c r="A982" t="str">
        <f t="shared" si="15"/>
        <v>Metindo 25 WP 10 X 10 X 100 gr470270</v>
      </c>
      <c r="B982" t="s">
        <v>10801</v>
      </c>
      <c r="C982" t="s">
        <v>12885</v>
      </c>
      <c r="D982" t="s">
        <v>15364</v>
      </c>
      <c r="E982" t="s">
        <v>1321</v>
      </c>
      <c r="F982">
        <v>10</v>
      </c>
      <c r="G982">
        <v>10</v>
      </c>
      <c r="H982">
        <v>1</v>
      </c>
      <c r="I982">
        <v>100</v>
      </c>
      <c r="J982" s="3">
        <v>47027</v>
      </c>
      <c r="K982" s="6">
        <v>0</v>
      </c>
    </row>
    <row r="983" spans="1:11">
      <c r="A983" t="str">
        <f t="shared" si="15"/>
        <v>Metindo 25 WP 10 X 10 X 100 gr470880</v>
      </c>
      <c r="B983" t="s">
        <v>10802</v>
      </c>
      <c r="C983" t="s">
        <v>12886</v>
      </c>
      <c r="D983" t="s">
        <v>15365</v>
      </c>
      <c r="E983" t="s">
        <v>1321</v>
      </c>
      <c r="F983">
        <v>10</v>
      </c>
      <c r="G983">
        <v>10</v>
      </c>
      <c r="H983">
        <v>1</v>
      </c>
      <c r="I983">
        <v>100</v>
      </c>
      <c r="J983" s="3">
        <v>47088</v>
      </c>
      <c r="K983" s="6">
        <v>0</v>
      </c>
    </row>
    <row r="984" spans="1:11">
      <c r="A984" t="str">
        <f t="shared" si="15"/>
        <v>Metindo 25 WP 10 X 10 X 100 gr470580</v>
      </c>
      <c r="B984" t="s">
        <v>10803</v>
      </c>
      <c r="C984" t="s">
        <v>12887</v>
      </c>
      <c r="D984" t="s">
        <v>15366</v>
      </c>
      <c r="E984" t="s">
        <v>1321</v>
      </c>
      <c r="F984">
        <v>10</v>
      </c>
      <c r="G984">
        <v>10</v>
      </c>
      <c r="H984">
        <v>1</v>
      </c>
      <c r="I984">
        <v>100</v>
      </c>
      <c r="J984" s="3">
        <v>47058</v>
      </c>
      <c r="K984" s="6">
        <v>0</v>
      </c>
    </row>
    <row r="985" spans="1:11">
      <c r="A985" t="str">
        <f t="shared" si="15"/>
        <v>Metindo 25 WP 10 X 10 X 100 gr471500</v>
      </c>
      <c r="B985" t="s">
        <v>10804</v>
      </c>
      <c r="C985" t="s">
        <v>12888</v>
      </c>
      <c r="D985" t="s">
        <v>15367</v>
      </c>
      <c r="E985" t="s">
        <v>1321</v>
      </c>
      <c r="F985">
        <v>10</v>
      </c>
      <c r="G985">
        <v>10</v>
      </c>
      <c r="H985">
        <v>1</v>
      </c>
      <c r="I985">
        <v>100</v>
      </c>
      <c r="J985" s="3">
        <v>47150</v>
      </c>
      <c r="K985" s="6">
        <v>0</v>
      </c>
    </row>
    <row r="986" spans="1:11">
      <c r="A986" t="str">
        <f t="shared" si="15"/>
        <v>Metindo 25 WP 40 X 500 gr470880</v>
      </c>
      <c r="B986" t="s">
        <v>10805</v>
      </c>
      <c r="C986" t="s">
        <v>12889</v>
      </c>
      <c r="D986" t="s">
        <v>15368</v>
      </c>
      <c r="E986" t="s">
        <v>1322</v>
      </c>
      <c r="F986">
        <v>40</v>
      </c>
      <c r="G986">
        <v>1</v>
      </c>
      <c r="H986">
        <v>1</v>
      </c>
      <c r="I986">
        <v>40</v>
      </c>
      <c r="J986" s="3">
        <v>47088</v>
      </c>
      <c r="K986" s="6">
        <v>0</v>
      </c>
    </row>
    <row r="987" spans="1:11">
      <c r="A987" t="str">
        <f t="shared" si="15"/>
        <v>Metindo 25 WP 40 X 500 gr471780</v>
      </c>
      <c r="B987" t="s">
        <v>10806</v>
      </c>
      <c r="C987" t="s">
        <v>12890</v>
      </c>
      <c r="D987" t="s">
        <v>15369</v>
      </c>
      <c r="E987" t="s">
        <v>1322</v>
      </c>
      <c r="F987">
        <v>40</v>
      </c>
      <c r="G987">
        <v>1</v>
      </c>
      <c r="H987">
        <v>1</v>
      </c>
      <c r="I987">
        <v>40</v>
      </c>
      <c r="J987" s="3">
        <v>47178</v>
      </c>
      <c r="K987" s="6">
        <v>0</v>
      </c>
    </row>
    <row r="988" spans="1:11">
      <c r="A988" t="str">
        <f t="shared" si="15"/>
        <v>Metindo 40 SP 10 X 10 X 100 gr472390</v>
      </c>
      <c r="B988" t="s">
        <v>10807</v>
      </c>
      <c r="C988" t="s">
        <v>12891</v>
      </c>
      <c r="D988" t="s">
        <v>15370</v>
      </c>
      <c r="E988" t="s">
        <v>1323</v>
      </c>
      <c r="F988">
        <v>10</v>
      </c>
      <c r="G988">
        <v>10</v>
      </c>
      <c r="H988">
        <v>1</v>
      </c>
      <c r="I988">
        <v>100</v>
      </c>
      <c r="J988" s="3">
        <v>47239</v>
      </c>
      <c r="K988" s="6">
        <v>0</v>
      </c>
    </row>
    <row r="989" spans="1:11">
      <c r="A989" t="str">
        <f t="shared" si="15"/>
        <v>Metindo 40 SP 40 X 400 gr472090</v>
      </c>
      <c r="B989" t="s">
        <v>10808</v>
      </c>
      <c r="C989" t="s">
        <v>12892</v>
      </c>
      <c r="D989" t="s">
        <v>15371</v>
      </c>
      <c r="E989" t="s">
        <v>1324</v>
      </c>
      <c r="F989">
        <v>40</v>
      </c>
      <c r="G989">
        <v>1</v>
      </c>
      <c r="H989">
        <v>1</v>
      </c>
      <c r="I989">
        <v>40</v>
      </c>
      <c r="J989" s="3">
        <v>47209</v>
      </c>
      <c r="K989" s="6">
        <v>0</v>
      </c>
    </row>
    <row r="990" spans="1:11">
      <c r="A990" t="str">
        <f t="shared" si="15"/>
        <v>Metsulindo Plus 80 WP 8 X 25 X 40 gr459010</v>
      </c>
      <c r="B990" t="s">
        <v>10809</v>
      </c>
      <c r="C990" t="s">
        <v>12893</v>
      </c>
      <c r="D990" t="s">
        <v>15372</v>
      </c>
      <c r="E990" t="s">
        <v>1325</v>
      </c>
      <c r="F990">
        <v>8</v>
      </c>
      <c r="G990">
        <v>25</v>
      </c>
      <c r="H990">
        <v>1</v>
      </c>
      <c r="I990">
        <v>200</v>
      </c>
      <c r="J990" s="3">
        <v>45901</v>
      </c>
      <c r="K990" s="6">
        <v>0</v>
      </c>
    </row>
    <row r="991" spans="1:11">
      <c r="A991" t="str">
        <f t="shared" si="15"/>
        <v>Metsulindo Plus 80 WP 8 X 25 X 40 gr459310</v>
      </c>
      <c r="B991" t="s">
        <v>10810</v>
      </c>
      <c r="C991" t="s">
        <v>12894</v>
      </c>
      <c r="D991" t="s">
        <v>15373</v>
      </c>
      <c r="E991" t="s">
        <v>1325</v>
      </c>
      <c r="F991">
        <v>8</v>
      </c>
      <c r="G991">
        <v>25</v>
      </c>
      <c r="H991">
        <v>1</v>
      </c>
      <c r="I991">
        <v>200</v>
      </c>
      <c r="J991" s="3">
        <v>45931</v>
      </c>
      <c r="K991" s="6">
        <v>0</v>
      </c>
    </row>
    <row r="992" spans="1:11">
      <c r="A992" t="str">
        <f t="shared" si="15"/>
        <v>Metsulindo Plus 80 WP 8 X 25 X 40 gr460820</v>
      </c>
      <c r="B992" t="s">
        <v>10811</v>
      </c>
      <c r="C992" t="s">
        <v>12895</v>
      </c>
      <c r="D992" t="s">
        <v>15374</v>
      </c>
      <c r="E992" t="s">
        <v>1325</v>
      </c>
      <c r="F992">
        <v>8</v>
      </c>
      <c r="G992">
        <v>25</v>
      </c>
      <c r="H992">
        <v>1</v>
      </c>
      <c r="I992">
        <v>200</v>
      </c>
      <c r="J992" s="3">
        <v>46082</v>
      </c>
      <c r="K992" s="6">
        <v>0</v>
      </c>
    </row>
    <row r="993" spans="1:11">
      <c r="A993" t="str">
        <f t="shared" si="15"/>
        <v>Metsulindo Plus 80 WP 8 X 25 X 40 gr460540</v>
      </c>
      <c r="B993" t="s">
        <v>10812</v>
      </c>
      <c r="C993" t="s">
        <v>12896</v>
      </c>
      <c r="D993" t="s">
        <v>15375</v>
      </c>
      <c r="E993" t="s">
        <v>1325</v>
      </c>
      <c r="F993">
        <v>8</v>
      </c>
      <c r="G993">
        <v>25</v>
      </c>
      <c r="H993">
        <v>1</v>
      </c>
      <c r="I993">
        <v>200</v>
      </c>
      <c r="J993" s="3">
        <v>46054</v>
      </c>
      <c r="K993" s="6">
        <v>0</v>
      </c>
    </row>
    <row r="994" spans="1:11">
      <c r="A994" t="str">
        <f t="shared" si="15"/>
        <v>Metsulindo Plus 80 WP 8 X 25 X 40 gr460230</v>
      </c>
      <c r="B994" t="s">
        <v>10813</v>
      </c>
      <c r="C994" t="s">
        <v>12897</v>
      </c>
      <c r="D994" t="s">
        <v>15376</v>
      </c>
      <c r="E994" t="s">
        <v>1325</v>
      </c>
      <c r="F994">
        <v>8</v>
      </c>
      <c r="G994">
        <v>25</v>
      </c>
      <c r="H994">
        <v>1</v>
      </c>
      <c r="I994">
        <v>200</v>
      </c>
      <c r="J994" s="3">
        <v>46023</v>
      </c>
      <c r="K994" s="6">
        <v>0</v>
      </c>
    </row>
    <row r="995" spans="1:11">
      <c r="A995" t="str">
        <f t="shared" si="15"/>
        <v>Metsulindo Plus 80 WP 8 X 25 X 40 gr459920</v>
      </c>
      <c r="B995" t="s">
        <v>10814</v>
      </c>
      <c r="C995" t="s">
        <v>12898</v>
      </c>
      <c r="D995" t="s">
        <v>15377</v>
      </c>
      <c r="E995" t="s">
        <v>1325</v>
      </c>
      <c r="F995">
        <v>8</v>
      </c>
      <c r="G995">
        <v>25</v>
      </c>
      <c r="H995">
        <v>1</v>
      </c>
      <c r="I995">
        <v>200</v>
      </c>
      <c r="J995" s="3">
        <v>45992</v>
      </c>
      <c r="K995" s="6">
        <v>0</v>
      </c>
    </row>
    <row r="996" spans="1:11">
      <c r="A996" t="str">
        <f t="shared" si="15"/>
        <v>Metsulindo Plus 80 WP 8 X 25 X 40 gr461130</v>
      </c>
      <c r="B996" t="s">
        <v>10815</v>
      </c>
      <c r="C996" t="s">
        <v>12899</v>
      </c>
      <c r="D996" t="s">
        <v>15378</v>
      </c>
      <c r="E996" t="s">
        <v>1325</v>
      </c>
      <c r="F996">
        <v>8</v>
      </c>
      <c r="G996">
        <v>25</v>
      </c>
      <c r="H996">
        <v>1</v>
      </c>
      <c r="I996">
        <v>200</v>
      </c>
      <c r="J996" s="3">
        <v>46113</v>
      </c>
      <c r="K996" s="6">
        <v>0</v>
      </c>
    </row>
    <row r="997" spans="1:11">
      <c r="A997" t="str">
        <f t="shared" si="15"/>
        <v>Mexdone 36 EC 20 X 1 ltr New458700</v>
      </c>
      <c r="B997" t="s">
        <v>10816</v>
      </c>
      <c r="C997" t="s">
        <v>12900</v>
      </c>
      <c r="D997" t="s">
        <v>15379</v>
      </c>
      <c r="E997" t="s">
        <v>1326</v>
      </c>
      <c r="F997">
        <v>20</v>
      </c>
      <c r="G997">
        <v>1</v>
      </c>
      <c r="H997">
        <v>1</v>
      </c>
      <c r="I997">
        <v>20</v>
      </c>
      <c r="J997" s="3">
        <v>45870</v>
      </c>
      <c r="K997" s="6">
        <v>0</v>
      </c>
    </row>
    <row r="998" spans="1:11">
      <c r="A998" t="str">
        <f t="shared" si="15"/>
        <v>Mexdone 36 EC 20 X 500 ml New460540</v>
      </c>
      <c r="B998" t="s">
        <v>10817</v>
      </c>
      <c r="C998" t="s">
        <v>12901</v>
      </c>
      <c r="D998" t="s">
        <v>15380</v>
      </c>
      <c r="E998" t="s">
        <v>1327</v>
      </c>
      <c r="F998">
        <v>20</v>
      </c>
      <c r="G998">
        <v>1</v>
      </c>
      <c r="H998">
        <v>1</v>
      </c>
      <c r="I998">
        <v>20</v>
      </c>
      <c r="J998" s="3">
        <v>46054</v>
      </c>
      <c r="K998" s="6">
        <v>0</v>
      </c>
    </row>
    <row r="999" spans="1:11">
      <c r="A999" t="str">
        <f t="shared" si="15"/>
        <v>Mexdone 36 EC 40 X 250 ml New462040</v>
      </c>
      <c r="B999" t="s">
        <v>10818</v>
      </c>
      <c r="C999" t="s">
        <v>12902</v>
      </c>
      <c r="D999" t="s">
        <v>15381</v>
      </c>
      <c r="E999" t="s">
        <v>1328</v>
      </c>
      <c r="F999">
        <v>40</v>
      </c>
      <c r="G999">
        <v>1</v>
      </c>
      <c r="H999">
        <v>1</v>
      </c>
      <c r="I999">
        <v>40</v>
      </c>
      <c r="J999" s="3">
        <v>46204</v>
      </c>
      <c r="K999" s="6">
        <v>0</v>
      </c>
    </row>
    <row r="1000" spans="1:11">
      <c r="A1000" t="str">
        <f t="shared" si="15"/>
        <v>Mexdone 36 EC 50 X 100 ml461740</v>
      </c>
      <c r="B1000" t="s">
        <v>10819</v>
      </c>
      <c r="C1000" t="s">
        <v>12903</v>
      </c>
      <c r="D1000" t="s">
        <v>15382</v>
      </c>
      <c r="E1000" t="s">
        <v>1329</v>
      </c>
      <c r="F1000">
        <v>50</v>
      </c>
      <c r="G1000">
        <v>1</v>
      </c>
      <c r="H1000">
        <v>1</v>
      </c>
      <c r="I1000">
        <v>50</v>
      </c>
      <c r="J1000" s="3">
        <v>46174</v>
      </c>
      <c r="K1000" s="6">
        <v>0</v>
      </c>
    </row>
    <row r="1001" spans="1:11">
      <c r="A1001" t="str">
        <f t="shared" si="15"/>
        <v>Minecto Xtra 200/200 SC 100 X 50 ml459310</v>
      </c>
      <c r="B1001" t="s">
        <v>10820</v>
      </c>
      <c r="C1001" t="s">
        <v>12904</v>
      </c>
      <c r="D1001" t="s">
        <v>15383</v>
      </c>
      <c r="E1001" t="s">
        <v>1330</v>
      </c>
      <c r="F1001">
        <v>100</v>
      </c>
      <c r="G1001">
        <v>1</v>
      </c>
      <c r="H1001">
        <v>1</v>
      </c>
      <c r="I1001">
        <v>100</v>
      </c>
      <c r="J1001" s="3">
        <v>45931</v>
      </c>
      <c r="K1001" s="6">
        <v>0</v>
      </c>
    </row>
    <row r="1002" spans="1:11">
      <c r="A1002" t="str">
        <f t="shared" si="15"/>
        <v>Minecto Xtra 200/200 SC 50 X 100 ml457170</v>
      </c>
      <c r="B1002" t="s">
        <v>10821</v>
      </c>
      <c r="C1002" t="s">
        <v>12905</v>
      </c>
      <c r="D1002" t="s">
        <v>15384</v>
      </c>
      <c r="E1002" t="s">
        <v>1332</v>
      </c>
      <c r="F1002">
        <v>50</v>
      </c>
      <c r="G1002">
        <v>1</v>
      </c>
      <c r="H1002">
        <v>1</v>
      </c>
      <c r="I1002">
        <v>50</v>
      </c>
      <c r="J1002" s="3">
        <v>45717</v>
      </c>
      <c r="K1002" s="6">
        <v>0</v>
      </c>
    </row>
    <row r="1003" spans="1:11">
      <c r="A1003" t="str">
        <f t="shared" si="15"/>
        <v>Minecto Xtra 200/200 SC 50 X 100 ml459310</v>
      </c>
      <c r="B1003" t="s">
        <v>10822</v>
      </c>
      <c r="C1003" t="s">
        <v>12906</v>
      </c>
      <c r="D1003" t="s">
        <v>15385</v>
      </c>
      <c r="E1003" t="s">
        <v>1332</v>
      </c>
      <c r="F1003">
        <v>50</v>
      </c>
      <c r="G1003">
        <v>1</v>
      </c>
      <c r="H1003">
        <v>1</v>
      </c>
      <c r="I1003">
        <v>50</v>
      </c>
      <c r="J1003" s="3">
        <v>45931</v>
      </c>
      <c r="K1003" s="6">
        <v>0</v>
      </c>
    </row>
    <row r="1004" spans="1:11">
      <c r="A1004" t="str">
        <f t="shared" si="15"/>
        <v>Mini Baliho Bisi 9591/1/10000</v>
      </c>
      <c r="B1004" t="s">
        <v>10823</v>
      </c>
      <c r="C1004" t="s">
        <v>12907</v>
      </c>
      <c r="D1004" t="s">
        <v>15386</v>
      </c>
      <c r="E1004" t="s">
        <v>1336</v>
      </c>
      <c r="F1004">
        <v>1</v>
      </c>
      <c r="G1004">
        <v>1</v>
      </c>
      <c r="H1004">
        <v>1</v>
      </c>
      <c r="I1004">
        <v>1</v>
      </c>
      <c r="J1004" s="3" t="s">
        <v>2222</v>
      </c>
      <c r="K1004" s="6">
        <v>0</v>
      </c>
    </row>
    <row r="1005" spans="1:11">
      <c r="A1005" t="str">
        <f t="shared" si="15"/>
        <v>Minyak Goreng Fitri 400 ml461160</v>
      </c>
      <c r="B1005" t="s">
        <v>10824</v>
      </c>
      <c r="C1005" t="s">
        <v>12908</v>
      </c>
      <c r="D1005" t="s">
        <v>15387</v>
      </c>
      <c r="E1005" t="s">
        <v>1337</v>
      </c>
      <c r="F1005">
        <v>1</v>
      </c>
      <c r="G1005">
        <v>1</v>
      </c>
      <c r="H1005">
        <v>1</v>
      </c>
      <c r="I1005">
        <v>1</v>
      </c>
      <c r="J1005" s="3">
        <v>46116</v>
      </c>
      <c r="K1005" s="6">
        <v>0</v>
      </c>
    </row>
    <row r="1006" spans="1:11">
      <c r="A1006" t="str">
        <f t="shared" si="15"/>
        <v>Minyak Goreng Forzan 1 ltr1/1/10000</v>
      </c>
      <c r="B1006" t="s">
        <v>10825</v>
      </c>
      <c r="C1006" t="s">
        <v>12909</v>
      </c>
      <c r="D1006" t="s">
        <v>15388</v>
      </c>
      <c r="E1006" t="s">
        <v>1338</v>
      </c>
      <c r="F1006">
        <v>1</v>
      </c>
      <c r="G1006">
        <v>1</v>
      </c>
      <c r="H1006">
        <v>1</v>
      </c>
      <c r="I1006">
        <v>1</v>
      </c>
      <c r="J1006" s="3" t="s">
        <v>2222</v>
      </c>
      <c r="K1006" s="6">
        <v>0</v>
      </c>
    </row>
    <row r="1007" spans="1:11">
      <c r="A1007" t="str">
        <f t="shared" si="15"/>
        <v>Mipcinta 50 WP 20 X 5 X 100 gr472090</v>
      </c>
      <c r="B1007" t="s">
        <v>10826</v>
      </c>
      <c r="C1007" t="s">
        <v>12910</v>
      </c>
      <c r="D1007" t="s">
        <v>15389</v>
      </c>
      <c r="E1007" t="s">
        <v>1339</v>
      </c>
      <c r="F1007">
        <v>20</v>
      </c>
      <c r="G1007">
        <v>5</v>
      </c>
      <c r="H1007">
        <v>1</v>
      </c>
      <c r="I1007">
        <v>100</v>
      </c>
      <c r="J1007" s="3">
        <v>47209</v>
      </c>
      <c r="K1007" s="6">
        <v>0</v>
      </c>
    </row>
    <row r="1008" spans="1:11">
      <c r="A1008" t="str">
        <f t="shared" si="15"/>
        <v>Mipcinta 50 WP 20 X 5 X 100 gr472700</v>
      </c>
      <c r="B1008" t="s">
        <v>10827</v>
      </c>
      <c r="C1008" t="s">
        <v>12911</v>
      </c>
      <c r="D1008" t="s">
        <v>15390</v>
      </c>
      <c r="E1008" t="s">
        <v>1339</v>
      </c>
      <c r="F1008">
        <v>20</v>
      </c>
      <c r="G1008">
        <v>5</v>
      </c>
      <c r="H1008">
        <v>1</v>
      </c>
      <c r="I1008">
        <v>100</v>
      </c>
      <c r="J1008" s="3">
        <v>47270</v>
      </c>
      <c r="K1008" s="6">
        <v>0</v>
      </c>
    </row>
    <row r="1009" spans="1:11">
      <c r="A1009" t="str">
        <f t="shared" si="15"/>
        <v>Mipcinta 50 WP 20 X 500 gr472090</v>
      </c>
      <c r="B1009" t="s">
        <v>10828</v>
      </c>
      <c r="C1009" t="s">
        <v>12912</v>
      </c>
      <c r="D1009" t="s">
        <v>15391</v>
      </c>
      <c r="E1009" t="s">
        <v>1340</v>
      </c>
      <c r="F1009">
        <v>20</v>
      </c>
      <c r="G1009">
        <v>1</v>
      </c>
      <c r="H1009">
        <v>1</v>
      </c>
      <c r="I1009">
        <v>20</v>
      </c>
      <c r="J1009" s="3">
        <v>47209</v>
      </c>
      <c r="K1009" s="6">
        <v>0</v>
      </c>
    </row>
    <row r="1010" spans="1:11">
      <c r="A1010" t="str">
        <f t="shared" si="15"/>
        <v>Mipcinta 50 WP 20 X 500 gr472390</v>
      </c>
      <c r="B1010" t="s">
        <v>10829</v>
      </c>
      <c r="C1010" t="s">
        <v>12913</v>
      </c>
      <c r="D1010" t="s">
        <v>15392</v>
      </c>
      <c r="E1010" t="s">
        <v>1340</v>
      </c>
      <c r="F1010">
        <v>20</v>
      </c>
      <c r="G1010">
        <v>1</v>
      </c>
      <c r="H1010">
        <v>1</v>
      </c>
      <c r="I1010">
        <v>20</v>
      </c>
      <c r="J1010" s="3">
        <v>47239</v>
      </c>
      <c r="K1010" s="6">
        <v>0</v>
      </c>
    </row>
    <row r="1011" spans="1:11">
      <c r="A1011" t="str">
        <f t="shared" si="15"/>
        <v>MKP 20 X 1 kg464780</v>
      </c>
      <c r="B1011" t="s">
        <v>10830</v>
      </c>
      <c r="C1011" t="s">
        <v>12914</v>
      </c>
      <c r="D1011" t="s">
        <v>15393</v>
      </c>
      <c r="E1011" t="s">
        <v>1341</v>
      </c>
      <c r="F1011">
        <v>20</v>
      </c>
      <c r="G1011">
        <v>1</v>
      </c>
      <c r="H1011">
        <v>1</v>
      </c>
      <c r="I1011">
        <v>20</v>
      </c>
      <c r="J1011" s="3">
        <v>46478</v>
      </c>
      <c r="K1011" s="6">
        <v>0</v>
      </c>
    </row>
    <row r="1012" spans="1:11">
      <c r="A1012" t="str">
        <f t="shared" si="15"/>
        <v>MKP 20 X 1 kg465080</v>
      </c>
      <c r="B1012" t="s">
        <v>10831</v>
      </c>
      <c r="C1012" t="s">
        <v>12915</v>
      </c>
      <c r="D1012" t="s">
        <v>15394</v>
      </c>
      <c r="E1012" t="s">
        <v>1341</v>
      </c>
      <c r="F1012">
        <v>20</v>
      </c>
      <c r="G1012">
        <v>1</v>
      </c>
      <c r="H1012">
        <v>1</v>
      </c>
      <c r="I1012">
        <v>20</v>
      </c>
      <c r="J1012" s="3">
        <v>46508</v>
      </c>
      <c r="K1012" s="6">
        <v>0</v>
      </c>
    </row>
    <row r="1013" spans="1:11">
      <c r="A1013" t="str">
        <f t="shared" si="15"/>
        <v>Money 865 SL 20 ltr466610</v>
      </c>
      <c r="B1013" t="s">
        <v>10832</v>
      </c>
      <c r="C1013" t="s">
        <v>12916</v>
      </c>
      <c r="D1013" t="s">
        <v>15395</v>
      </c>
      <c r="E1013" t="s">
        <v>1342</v>
      </c>
      <c r="F1013">
        <v>1</v>
      </c>
      <c r="G1013">
        <v>1</v>
      </c>
      <c r="H1013">
        <v>1</v>
      </c>
      <c r="I1013">
        <v>1</v>
      </c>
      <c r="J1013" s="3">
        <v>46661</v>
      </c>
      <c r="K1013" s="6">
        <v>0</v>
      </c>
    </row>
    <row r="1014" spans="1:11">
      <c r="A1014" t="str">
        <f t="shared" si="15"/>
        <v>Money 865 SL 20 X 1 ltr467220</v>
      </c>
      <c r="B1014" t="s">
        <v>10833</v>
      </c>
      <c r="C1014" t="s">
        <v>12917</v>
      </c>
      <c r="D1014" t="s">
        <v>15396</v>
      </c>
      <c r="E1014" t="s">
        <v>1343</v>
      </c>
      <c r="F1014">
        <v>20</v>
      </c>
      <c r="G1014">
        <v>1</v>
      </c>
      <c r="H1014">
        <v>1</v>
      </c>
      <c r="I1014">
        <v>20</v>
      </c>
      <c r="J1014" s="3">
        <v>46722</v>
      </c>
      <c r="K1014" s="6">
        <v>0</v>
      </c>
    </row>
    <row r="1015" spans="1:11">
      <c r="A1015" t="str">
        <f t="shared" si="15"/>
        <v>Money 865 SL 20 X 1 ltr471780</v>
      </c>
      <c r="B1015" t="s">
        <v>10834</v>
      </c>
      <c r="C1015" t="s">
        <v>12918</v>
      </c>
      <c r="D1015" t="s">
        <v>15397</v>
      </c>
      <c r="E1015" t="s">
        <v>1343</v>
      </c>
      <c r="F1015">
        <v>20</v>
      </c>
      <c r="G1015">
        <v>1</v>
      </c>
      <c r="H1015">
        <v>1</v>
      </c>
      <c r="I1015">
        <v>20</v>
      </c>
      <c r="J1015" s="3">
        <v>47178</v>
      </c>
      <c r="K1015" s="6">
        <v>0</v>
      </c>
    </row>
    <row r="1016" spans="1:11">
      <c r="A1016" t="str">
        <f t="shared" si="15"/>
        <v>Money 865 SL 20 X 400 ml467840</v>
      </c>
      <c r="B1016" t="s">
        <v>10835</v>
      </c>
      <c r="C1016" t="s">
        <v>12919</v>
      </c>
      <c r="D1016" t="s">
        <v>15398</v>
      </c>
      <c r="E1016" t="s">
        <v>1344</v>
      </c>
      <c r="F1016">
        <v>20</v>
      </c>
      <c r="G1016">
        <v>1</v>
      </c>
      <c r="H1016">
        <v>1</v>
      </c>
      <c r="I1016">
        <v>20</v>
      </c>
      <c r="J1016" s="3">
        <v>46784</v>
      </c>
      <c r="K1016" s="6">
        <v>0</v>
      </c>
    </row>
    <row r="1017" spans="1:11">
      <c r="A1017" t="str">
        <f t="shared" si="15"/>
        <v>Money 865 SL 20 X 400 ml470880</v>
      </c>
      <c r="B1017" t="s">
        <v>10836</v>
      </c>
      <c r="C1017" t="s">
        <v>12920</v>
      </c>
      <c r="D1017" t="s">
        <v>15399</v>
      </c>
      <c r="E1017" t="s">
        <v>1344</v>
      </c>
      <c r="F1017">
        <v>20</v>
      </c>
      <c r="G1017">
        <v>1</v>
      </c>
      <c r="H1017">
        <v>1</v>
      </c>
      <c r="I1017">
        <v>20</v>
      </c>
      <c r="J1017" s="3">
        <v>47088</v>
      </c>
      <c r="K1017" s="6">
        <v>0</v>
      </c>
    </row>
    <row r="1018" spans="1:11">
      <c r="A1018" t="str">
        <f t="shared" si="15"/>
        <v>Money 865 SL 4 X 5 ltr466920</v>
      </c>
      <c r="B1018" t="s">
        <v>10837</v>
      </c>
      <c r="C1018" t="s">
        <v>12921</v>
      </c>
      <c r="D1018" t="s">
        <v>15400</v>
      </c>
      <c r="E1018" t="s">
        <v>1345</v>
      </c>
      <c r="F1018">
        <v>4</v>
      </c>
      <c r="G1018">
        <v>1</v>
      </c>
      <c r="H1018">
        <v>1</v>
      </c>
      <c r="I1018">
        <v>4</v>
      </c>
      <c r="J1018" s="3">
        <v>46692</v>
      </c>
      <c r="K1018" s="6">
        <v>0</v>
      </c>
    </row>
    <row r="1019" spans="1:11">
      <c r="A1019" t="str">
        <f t="shared" si="15"/>
        <v>Money 865 SL 40 X 200 ml467220</v>
      </c>
      <c r="B1019" t="s">
        <v>10838</v>
      </c>
      <c r="C1019" t="s">
        <v>12922</v>
      </c>
      <c r="D1019" t="s">
        <v>15401</v>
      </c>
      <c r="E1019" t="s">
        <v>1346</v>
      </c>
      <c r="F1019">
        <v>40</v>
      </c>
      <c r="G1019">
        <v>1</v>
      </c>
      <c r="H1019">
        <v>1</v>
      </c>
      <c r="I1019">
        <v>40</v>
      </c>
      <c r="J1019" s="3">
        <v>46722</v>
      </c>
      <c r="K1019" s="6">
        <v>0</v>
      </c>
    </row>
    <row r="1020" spans="1:11">
      <c r="A1020" t="str">
        <f t="shared" si="15"/>
        <v>Money 865 SL 40 X 200 ml470580</v>
      </c>
      <c r="B1020" t="s">
        <v>10839</v>
      </c>
      <c r="C1020" t="s">
        <v>12923</v>
      </c>
      <c r="D1020" t="s">
        <v>15402</v>
      </c>
      <c r="E1020" t="s">
        <v>1346</v>
      </c>
      <c r="F1020">
        <v>40</v>
      </c>
      <c r="G1020">
        <v>1</v>
      </c>
      <c r="H1020">
        <v>1</v>
      </c>
      <c r="I1020">
        <v>40</v>
      </c>
      <c r="J1020" s="3">
        <v>47058</v>
      </c>
      <c r="K1020" s="6">
        <v>0</v>
      </c>
    </row>
    <row r="1021" spans="1:11">
      <c r="A1021" t="str">
        <f t="shared" si="15"/>
        <v>Monkey 40 SP 100 X 100 gr (Sample)454440</v>
      </c>
      <c r="B1021" t="s">
        <v>10840</v>
      </c>
      <c r="C1021" t="s">
        <v>12924</v>
      </c>
      <c r="D1021" t="s">
        <v>15403</v>
      </c>
      <c r="E1021" t="s">
        <v>1347</v>
      </c>
      <c r="F1021">
        <v>100</v>
      </c>
      <c r="G1021">
        <v>1</v>
      </c>
      <c r="H1021">
        <v>1</v>
      </c>
      <c r="I1021">
        <v>100</v>
      </c>
      <c r="J1021" s="3">
        <v>45444</v>
      </c>
      <c r="K1021" s="6">
        <v>0</v>
      </c>
    </row>
    <row r="1022" spans="1:11">
      <c r="A1022" t="str">
        <f t="shared" si="15"/>
        <v>Monkey 40 SP 40 X 400 gr469350</v>
      </c>
      <c r="B1022" t="s">
        <v>10841</v>
      </c>
      <c r="C1022" t="s">
        <v>12925</v>
      </c>
      <c r="D1022" t="s">
        <v>15404</v>
      </c>
      <c r="E1022" t="s">
        <v>1348</v>
      </c>
      <c r="F1022">
        <v>40</v>
      </c>
      <c r="G1022">
        <v>1</v>
      </c>
      <c r="H1022">
        <v>1</v>
      </c>
      <c r="I1022">
        <v>40</v>
      </c>
      <c r="J1022" s="3">
        <v>46935</v>
      </c>
      <c r="K1022" s="6">
        <v>0</v>
      </c>
    </row>
    <row r="1023" spans="1:11">
      <c r="A1023" t="str">
        <f t="shared" si="15"/>
        <v>Montana 230 EC 50 X 100 ml (sampel)1/1/10000</v>
      </c>
      <c r="B1023" t="s">
        <v>10842</v>
      </c>
      <c r="C1023" t="s">
        <v>12926</v>
      </c>
      <c r="D1023" t="s">
        <v>15405</v>
      </c>
      <c r="E1023" t="s">
        <v>1349</v>
      </c>
      <c r="F1023">
        <v>50</v>
      </c>
      <c r="G1023">
        <v>1</v>
      </c>
      <c r="H1023">
        <v>1</v>
      </c>
      <c r="I1023">
        <v>50</v>
      </c>
      <c r="J1023" s="3" t="s">
        <v>2222</v>
      </c>
      <c r="K1023" s="6">
        <v>0</v>
      </c>
    </row>
    <row r="1024" spans="1:11">
      <c r="A1024" t="str">
        <f t="shared" si="15"/>
        <v>Mospilan 30 EC 20 X 400 ml468740</v>
      </c>
      <c r="B1024" t="s">
        <v>10843</v>
      </c>
      <c r="C1024" t="s">
        <v>12927</v>
      </c>
      <c r="D1024" t="s">
        <v>15406</v>
      </c>
      <c r="E1024" t="s">
        <v>1350</v>
      </c>
      <c r="F1024">
        <v>20</v>
      </c>
      <c r="G1024">
        <v>1</v>
      </c>
      <c r="H1024">
        <v>1</v>
      </c>
      <c r="I1024">
        <v>20</v>
      </c>
      <c r="J1024" s="3">
        <v>46874</v>
      </c>
      <c r="K1024" s="6">
        <v>0</v>
      </c>
    </row>
    <row r="1025" spans="1:11">
      <c r="A1025" t="str">
        <f t="shared" si="15"/>
        <v>Mospilan 30 EC 48 X 100 ml467220</v>
      </c>
      <c r="B1025" t="s">
        <v>10844</v>
      </c>
      <c r="C1025" t="s">
        <v>12928</v>
      </c>
      <c r="D1025" t="s">
        <v>15407</v>
      </c>
      <c r="E1025" t="s">
        <v>1352</v>
      </c>
      <c r="F1025">
        <v>48</v>
      </c>
      <c r="G1025">
        <v>1</v>
      </c>
      <c r="H1025">
        <v>1</v>
      </c>
      <c r="I1025">
        <v>48</v>
      </c>
      <c r="J1025" s="3">
        <v>46722</v>
      </c>
      <c r="K1025" s="6">
        <v>0</v>
      </c>
    </row>
    <row r="1026" spans="1:11">
      <c r="A1026" t="str">
        <f t="shared" si="15"/>
        <v>Movento Energy 240 SC 50 X 100 ml464190</v>
      </c>
      <c r="B1026" t="s">
        <v>10845</v>
      </c>
      <c r="C1026" t="s">
        <v>12929</v>
      </c>
      <c r="D1026" t="s">
        <v>15408</v>
      </c>
      <c r="E1026" t="s">
        <v>1354</v>
      </c>
      <c r="F1026">
        <v>50</v>
      </c>
      <c r="G1026">
        <v>1</v>
      </c>
      <c r="H1026">
        <v>1</v>
      </c>
      <c r="I1026">
        <v>50</v>
      </c>
      <c r="J1026" s="3">
        <v>46419</v>
      </c>
      <c r="K1026" s="6">
        <v>0</v>
      </c>
    </row>
    <row r="1027" spans="1:11">
      <c r="A1027" t="str">
        <f t="shared" ref="A1027:A1090" si="16">E1027&amp;J1027&amp;K1027</f>
        <v>Mr. Qlett 30 X 200 ml464780</v>
      </c>
      <c r="B1027" t="s">
        <v>10846</v>
      </c>
      <c r="C1027" t="s">
        <v>12930</v>
      </c>
      <c r="D1027" t="s">
        <v>15409</v>
      </c>
      <c r="E1027" t="s">
        <v>1356</v>
      </c>
      <c r="F1027">
        <v>30</v>
      </c>
      <c r="G1027">
        <v>1</v>
      </c>
      <c r="H1027">
        <v>1</v>
      </c>
      <c r="I1027">
        <v>30</v>
      </c>
      <c r="J1027" s="3">
        <v>46478</v>
      </c>
      <c r="K1027" s="6">
        <v>0</v>
      </c>
    </row>
    <row r="1028" spans="1:11">
      <c r="A1028" t="str">
        <f t="shared" si="16"/>
        <v>Mulsa Coboy 60 cm X 1 kg1/1/10000</v>
      </c>
      <c r="B1028" t="s">
        <v>10847</v>
      </c>
      <c r="C1028" t="s">
        <v>12931</v>
      </c>
      <c r="D1028" t="s">
        <v>15410</v>
      </c>
      <c r="E1028" t="s">
        <v>1357</v>
      </c>
      <c r="F1028">
        <v>1</v>
      </c>
      <c r="G1028">
        <v>1</v>
      </c>
      <c r="H1028">
        <v>1</v>
      </c>
      <c r="I1028">
        <v>1</v>
      </c>
      <c r="J1028" s="3" t="s">
        <v>2222</v>
      </c>
      <c r="K1028" s="6">
        <v>0</v>
      </c>
    </row>
    <row r="1029" spans="1:11">
      <c r="A1029" t="str">
        <f t="shared" si="16"/>
        <v>Mulsa Dewata Biru 60 cm X 9 kg (roll)1/1/10000</v>
      </c>
      <c r="B1029" t="s">
        <v>10848</v>
      </c>
      <c r="C1029" t="s">
        <v>12932</v>
      </c>
      <c r="D1029" t="s">
        <v>15411</v>
      </c>
      <c r="E1029" t="s">
        <v>1358</v>
      </c>
      <c r="F1029">
        <v>1</v>
      </c>
      <c r="G1029">
        <v>1</v>
      </c>
      <c r="H1029">
        <v>1</v>
      </c>
      <c r="I1029">
        <v>1</v>
      </c>
      <c r="J1029" s="3" t="s">
        <v>2222</v>
      </c>
      <c r="K1029" s="6">
        <v>0</v>
      </c>
    </row>
    <row r="1030" spans="1:11">
      <c r="A1030" t="str">
        <f t="shared" si="16"/>
        <v>Mulsa Dua Srigala 50 cm X 18 kg (Roll)1/1/10000</v>
      </c>
      <c r="B1030" t="s">
        <v>10849</v>
      </c>
      <c r="C1030" t="s">
        <v>12933</v>
      </c>
      <c r="D1030" t="s">
        <v>15412</v>
      </c>
      <c r="E1030" t="s">
        <v>1360</v>
      </c>
      <c r="F1030">
        <v>1</v>
      </c>
      <c r="G1030">
        <v>1</v>
      </c>
      <c r="H1030">
        <v>1</v>
      </c>
      <c r="I1030">
        <v>1</v>
      </c>
      <c r="J1030" s="3" t="s">
        <v>2222</v>
      </c>
      <c r="K1030" s="6">
        <v>0</v>
      </c>
    </row>
    <row r="1031" spans="1:11">
      <c r="A1031" t="str">
        <f t="shared" si="16"/>
        <v>Mulsa Dua Srigala 50 cm X 5 kg (Roll)1/1/10000</v>
      </c>
      <c r="B1031" t="s">
        <v>10850</v>
      </c>
      <c r="C1031" t="s">
        <v>12934</v>
      </c>
      <c r="D1031" t="s">
        <v>15413</v>
      </c>
      <c r="E1031" t="s">
        <v>1361</v>
      </c>
      <c r="F1031">
        <v>1</v>
      </c>
      <c r="G1031">
        <v>1</v>
      </c>
      <c r="H1031">
        <v>1</v>
      </c>
      <c r="I1031">
        <v>1</v>
      </c>
      <c r="J1031" s="3" t="s">
        <v>2222</v>
      </c>
      <c r="K1031" s="6">
        <v>0</v>
      </c>
    </row>
    <row r="1032" spans="1:11">
      <c r="A1032" t="str">
        <f t="shared" si="16"/>
        <v>Mulsa Dua Srigala 50 cm X 9 kg (Roll)1/1/10000</v>
      </c>
      <c r="B1032" t="s">
        <v>10851</v>
      </c>
      <c r="C1032" t="s">
        <v>12935</v>
      </c>
      <c r="D1032" t="s">
        <v>15414</v>
      </c>
      <c r="E1032" t="s">
        <v>1362</v>
      </c>
      <c r="F1032">
        <v>1</v>
      </c>
      <c r="G1032">
        <v>1</v>
      </c>
      <c r="H1032">
        <v>1</v>
      </c>
      <c r="I1032">
        <v>1</v>
      </c>
      <c r="J1032" s="3" t="s">
        <v>2222</v>
      </c>
      <c r="K1032" s="6">
        <v>0</v>
      </c>
    </row>
    <row r="1033" spans="1:11">
      <c r="A1033" t="str">
        <f t="shared" si="16"/>
        <v>Mulsa Dua Srigala 60 cm X 18 kg (Roll)1/1/10000</v>
      </c>
      <c r="B1033" t="s">
        <v>10852</v>
      </c>
      <c r="C1033" t="s">
        <v>12936</v>
      </c>
      <c r="D1033" t="s">
        <v>15415</v>
      </c>
      <c r="E1033" t="s">
        <v>1363</v>
      </c>
      <c r="F1033">
        <v>1</v>
      </c>
      <c r="G1033">
        <v>1</v>
      </c>
      <c r="H1033">
        <v>1</v>
      </c>
      <c r="I1033">
        <v>1</v>
      </c>
      <c r="J1033" s="3" t="s">
        <v>2222</v>
      </c>
      <c r="K1033" s="6">
        <v>0</v>
      </c>
    </row>
    <row r="1034" spans="1:11">
      <c r="A1034" t="str">
        <f t="shared" si="16"/>
        <v>Mulsa Dua Srigala 60 cm X 9 kg (Roll)1/1/10000</v>
      </c>
      <c r="B1034" t="s">
        <v>10853</v>
      </c>
      <c r="C1034" t="s">
        <v>12937</v>
      </c>
      <c r="D1034" t="s">
        <v>15416</v>
      </c>
      <c r="E1034" t="s">
        <v>1364</v>
      </c>
      <c r="F1034">
        <v>1</v>
      </c>
      <c r="G1034">
        <v>1</v>
      </c>
      <c r="H1034">
        <v>1</v>
      </c>
      <c r="I1034">
        <v>1</v>
      </c>
      <c r="J1034" s="3" t="s">
        <v>2222</v>
      </c>
      <c r="K1034" s="6">
        <v>0</v>
      </c>
    </row>
    <row r="1035" spans="1:11">
      <c r="A1035" t="str">
        <f t="shared" si="16"/>
        <v>Mulsa Hanoman 50 cm X 17 kg (Roll)1/1/10000</v>
      </c>
      <c r="B1035" t="s">
        <v>10854</v>
      </c>
      <c r="C1035" t="s">
        <v>12938</v>
      </c>
      <c r="D1035" t="s">
        <v>15417</v>
      </c>
      <c r="E1035" t="s">
        <v>1365</v>
      </c>
      <c r="F1035">
        <v>1</v>
      </c>
      <c r="G1035">
        <v>1</v>
      </c>
      <c r="H1035">
        <v>1</v>
      </c>
      <c r="I1035">
        <v>1</v>
      </c>
      <c r="J1035" s="3" t="s">
        <v>2222</v>
      </c>
      <c r="K1035" s="6">
        <v>0</v>
      </c>
    </row>
    <row r="1036" spans="1:11">
      <c r="A1036" t="str">
        <f t="shared" si="16"/>
        <v>Mulsa Hanoman 50 cm X 8 kg (Roll)1/1/10000</v>
      </c>
      <c r="B1036" t="s">
        <v>10855</v>
      </c>
      <c r="C1036" t="s">
        <v>12939</v>
      </c>
      <c r="D1036" t="s">
        <v>15418</v>
      </c>
      <c r="E1036" t="s">
        <v>1366</v>
      </c>
      <c r="F1036">
        <v>1</v>
      </c>
      <c r="G1036">
        <v>1</v>
      </c>
      <c r="H1036">
        <v>1</v>
      </c>
      <c r="I1036">
        <v>1</v>
      </c>
      <c r="J1036" s="3" t="s">
        <v>2222</v>
      </c>
      <c r="K1036" s="6">
        <v>0</v>
      </c>
    </row>
    <row r="1037" spans="1:11">
      <c r="A1037" t="str">
        <f t="shared" si="16"/>
        <v>Mulsa Hanoman 60 cm X 17 kg (Roll)1/1/10000</v>
      </c>
      <c r="B1037" t="s">
        <v>10856</v>
      </c>
      <c r="C1037" t="s">
        <v>12940</v>
      </c>
      <c r="D1037" t="s">
        <v>15419</v>
      </c>
      <c r="E1037" t="s">
        <v>1367</v>
      </c>
      <c r="F1037">
        <v>1</v>
      </c>
      <c r="G1037">
        <v>1</v>
      </c>
      <c r="H1037">
        <v>1</v>
      </c>
      <c r="I1037">
        <v>1</v>
      </c>
      <c r="J1037" s="3" t="s">
        <v>2222</v>
      </c>
      <c r="K1037" s="6">
        <v>0</v>
      </c>
    </row>
    <row r="1038" spans="1:11">
      <c r="A1038" t="str">
        <f t="shared" si="16"/>
        <v>Mulsa Hanoman 60 cm X 18 kg (Roll)1/1/10000</v>
      </c>
      <c r="B1038" t="s">
        <v>10857</v>
      </c>
      <c r="C1038" t="s">
        <v>12941</v>
      </c>
      <c r="D1038" t="s">
        <v>15420</v>
      </c>
      <c r="E1038" t="s">
        <v>1368</v>
      </c>
      <c r="F1038">
        <v>1</v>
      </c>
      <c r="G1038">
        <v>1</v>
      </c>
      <c r="H1038">
        <v>1</v>
      </c>
      <c r="I1038">
        <v>1</v>
      </c>
      <c r="J1038" s="3" t="s">
        <v>2222</v>
      </c>
      <c r="K1038" s="6">
        <v>0</v>
      </c>
    </row>
    <row r="1039" spans="1:11">
      <c r="A1039" t="str">
        <f t="shared" si="16"/>
        <v>Mulsa Hanoman 60 cm X 8 kg (Roll)1/1/10000</v>
      </c>
      <c r="B1039" t="s">
        <v>10858</v>
      </c>
      <c r="C1039" t="s">
        <v>12942</v>
      </c>
      <c r="D1039" t="s">
        <v>15421</v>
      </c>
      <c r="E1039" t="s">
        <v>1369</v>
      </c>
      <c r="F1039">
        <v>1</v>
      </c>
      <c r="G1039">
        <v>1</v>
      </c>
      <c r="H1039">
        <v>1</v>
      </c>
      <c r="I1039">
        <v>1</v>
      </c>
      <c r="J1039" s="3" t="s">
        <v>2222</v>
      </c>
      <c r="K1039" s="6">
        <v>0</v>
      </c>
    </row>
    <row r="1040" spans="1:11">
      <c r="A1040" t="str">
        <f t="shared" si="16"/>
        <v>Mulsa Hanoman 60 cm X 9 kg (Roll)1/1/10000</v>
      </c>
      <c r="B1040" t="s">
        <v>10859</v>
      </c>
      <c r="C1040" t="s">
        <v>12943</v>
      </c>
      <c r="D1040" t="s">
        <v>15422</v>
      </c>
      <c r="E1040" t="s">
        <v>1370</v>
      </c>
      <c r="F1040">
        <v>1</v>
      </c>
      <c r="G1040">
        <v>1</v>
      </c>
      <c r="H1040">
        <v>1</v>
      </c>
      <c r="I1040">
        <v>1</v>
      </c>
      <c r="J1040" s="3" t="s">
        <v>2222</v>
      </c>
      <c r="K1040" s="6">
        <v>0</v>
      </c>
    </row>
    <row r="1041" spans="1:11">
      <c r="A1041" t="str">
        <f t="shared" si="16"/>
        <v>Mulsa Hanoman 80 cm X 18 kg (Roll)1/1/10000</v>
      </c>
      <c r="B1041" t="s">
        <v>10860</v>
      </c>
      <c r="C1041" t="s">
        <v>12944</v>
      </c>
      <c r="D1041" t="s">
        <v>15423</v>
      </c>
      <c r="E1041" t="s">
        <v>1371</v>
      </c>
      <c r="F1041">
        <v>1</v>
      </c>
      <c r="G1041">
        <v>1</v>
      </c>
      <c r="H1041">
        <v>1</v>
      </c>
      <c r="I1041">
        <v>1</v>
      </c>
      <c r="J1041" s="3" t="s">
        <v>2222</v>
      </c>
      <c r="K1041" s="6">
        <v>0</v>
      </c>
    </row>
    <row r="1042" spans="1:11">
      <c r="A1042" t="str">
        <f t="shared" si="16"/>
        <v>Mulsa Hanoman 80 cm X 9 kg (Roll)1/1/10000</v>
      </c>
      <c r="B1042" t="s">
        <v>10861</v>
      </c>
      <c r="C1042" t="s">
        <v>12945</v>
      </c>
      <c r="D1042" t="s">
        <v>15424</v>
      </c>
      <c r="E1042" t="s">
        <v>1372</v>
      </c>
      <c r="F1042">
        <v>1</v>
      </c>
      <c r="G1042">
        <v>1</v>
      </c>
      <c r="H1042">
        <v>1</v>
      </c>
      <c r="I1042">
        <v>1</v>
      </c>
      <c r="J1042" s="3" t="s">
        <v>2222</v>
      </c>
      <c r="K1042" s="6">
        <v>0</v>
      </c>
    </row>
    <row r="1043" spans="1:11">
      <c r="A1043" t="str">
        <f t="shared" si="16"/>
        <v>Mulsa Karisma 50 cm / 10 kg (Roll)1/1/10000</v>
      </c>
      <c r="B1043" t="s">
        <v>10862</v>
      </c>
      <c r="C1043" t="s">
        <v>12946</v>
      </c>
      <c r="D1043" t="s">
        <v>15425</v>
      </c>
      <c r="E1043" t="s">
        <v>1373</v>
      </c>
      <c r="F1043">
        <v>1</v>
      </c>
      <c r="G1043">
        <v>1</v>
      </c>
      <c r="H1043">
        <v>1</v>
      </c>
      <c r="I1043">
        <v>1</v>
      </c>
      <c r="J1043" s="3" t="s">
        <v>2222</v>
      </c>
      <c r="K1043" s="6">
        <v>0</v>
      </c>
    </row>
    <row r="1044" spans="1:11">
      <c r="A1044" t="str">
        <f t="shared" si="16"/>
        <v>Mulsa Karisma 50 cm / 20 kg (Roll)1/1/10000</v>
      </c>
      <c r="B1044" t="s">
        <v>10863</v>
      </c>
      <c r="C1044" t="s">
        <v>12947</v>
      </c>
      <c r="D1044" t="s">
        <v>15426</v>
      </c>
      <c r="E1044" t="s">
        <v>1374</v>
      </c>
      <c r="F1044">
        <v>1</v>
      </c>
      <c r="G1044">
        <v>1</v>
      </c>
      <c r="H1044">
        <v>1</v>
      </c>
      <c r="I1044">
        <v>1</v>
      </c>
      <c r="J1044" s="3" t="s">
        <v>2222</v>
      </c>
      <c r="K1044" s="6">
        <v>0</v>
      </c>
    </row>
    <row r="1045" spans="1:11">
      <c r="A1045" t="str">
        <f t="shared" si="16"/>
        <v>Mulsa Karisma 60 cm / 10 kg (Roll)1/1/10000</v>
      </c>
      <c r="B1045" t="s">
        <v>10864</v>
      </c>
      <c r="C1045" t="s">
        <v>12948</v>
      </c>
      <c r="D1045" t="s">
        <v>15427</v>
      </c>
      <c r="E1045" t="s">
        <v>1375</v>
      </c>
      <c r="F1045">
        <v>1</v>
      </c>
      <c r="G1045">
        <v>1</v>
      </c>
      <c r="H1045">
        <v>1</v>
      </c>
      <c r="I1045">
        <v>1</v>
      </c>
      <c r="J1045" s="3" t="s">
        <v>2222</v>
      </c>
      <c r="K1045" s="6">
        <v>0</v>
      </c>
    </row>
    <row r="1046" spans="1:11">
      <c r="A1046" t="str">
        <f t="shared" si="16"/>
        <v>Mulsa Karisma 60 cm / 20 kg (Roll)1/1/10000</v>
      </c>
      <c r="B1046" t="s">
        <v>10865</v>
      </c>
      <c r="C1046" t="s">
        <v>12949</v>
      </c>
      <c r="D1046" t="s">
        <v>15428</v>
      </c>
      <c r="E1046" t="s">
        <v>1376</v>
      </c>
      <c r="F1046">
        <v>1</v>
      </c>
      <c r="G1046">
        <v>1</v>
      </c>
      <c r="H1046">
        <v>1</v>
      </c>
      <c r="I1046">
        <v>1</v>
      </c>
      <c r="J1046" s="3" t="s">
        <v>2222</v>
      </c>
      <c r="K1046" s="6">
        <v>0</v>
      </c>
    </row>
    <row r="1047" spans="1:11">
      <c r="A1047" t="str">
        <f t="shared" si="16"/>
        <v>Mulsa Karisma 70 cm / 10 kg (Roll)1/1/10000</v>
      </c>
      <c r="B1047" t="s">
        <v>10866</v>
      </c>
      <c r="C1047" t="s">
        <v>12950</v>
      </c>
      <c r="D1047" t="s">
        <v>15429</v>
      </c>
      <c r="E1047" t="s">
        <v>1377</v>
      </c>
      <c r="F1047">
        <v>1</v>
      </c>
      <c r="G1047">
        <v>1</v>
      </c>
      <c r="H1047">
        <v>1</v>
      </c>
      <c r="I1047">
        <v>1</v>
      </c>
      <c r="J1047" s="3" t="s">
        <v>2222</v>
      </c>
      <c r="K1047" s="6">
        <v>0</v>
      </c>
    </row>
    <row r="1048" spans="1:11">
      <c r="A1048" t="str">
        <f t="shared" si="16"/>
        <v>Mulsa Karisma 70 cm / 20 kg (Roll)1/1/10000</v>
      </c>
      <c r="B1048" t="s">
        <v>10867</v>
      </c>
      <c r="C1048" t="s">
        <v>12951</v>
      </c>
      <c r="D1048" t="s">
        <v>15430</v>
      </c>
      <c r="E1048" t="s">
        <v>1378</v>
      </c>
      <c r="F1048">
        <v>1</v>
      </c>
      <c r="G1048">
        <v>1</v>
      </c>
      <c r="H1048">
        <v>1</v>
      </c>
      <c r="I1048">
        <v>1</v>
      </c>
      <c r="J1048" s="3" t="s">
        <v>2222</v>
      </c>
      <c r="K1048" s="6">
        <v>0</v>
      </c>
    </row>
    <row r="1049" spans="1:11">
      <c r="A1049" t="str">
        <f t="shared" si="16"/>
        <v>Mulsa Karisma Q989 50 cm X 17 kg (Roll)1/1/10000</v>
      </c>
      <c r="B1049" t="s">
        <v>10868</v>
      </c>
      <c r="C1049" t="s">
        <v>12952</v>
      </c>
      <c r="D1049" t="s">
        <v>15431</v>
      </c>
      <c r="E1049" t="s">
        <v>1379</v>
      </c>
      <c r="F1049">
        <v>1</v>
      </c>
      <c r="G1049">
        <v>1</v>
      </c>
      <c r="H1049">
        <v>1</v>
      </c>
      <c r="I1049">
        <v>1</v>
      </c>
      <c r="J1049" s="3" t="s">
        <v>2222</v>
      </c>
      <c r="K1049" s="6">
        <v>0</v>
      </c>
    </row>
    <row r="1050" spans="1:11">
      <c r="A1050" t="str">
        <f t="shared" si="16"/>
        <v>Mulsa Karisma Q989 50 cm X 8 kg (Roll)1/1/10000</v>
      </c>
      <c r="B1050" t="s">
        <v>10869</v>
      </c>
      <c r="C1050" t="s">
        <v>12953</v>
      </c>
      <c r="D1050" t="s">
        <v>15432</v>
      </c>
      <c r="E1050" t="s">
        <v>1380</v>
      </c>
      <c r="F1050">
        <v>1</v>
      </c>
      <c r="G1050">
        <v>1</v>
      </c>
      <c r="H1050">
        <v>1</v>
      </c>
      <c r="I1050">
        <v>1</v>
      </c>
      <c r="J1050" s="3" t="s">
        <v>2222</v>
      </c>
      <c r="K1050" s="6">
        <v>0</v>
      </c>
    </row>
    <row r="1051" spans="1:11">
      <c r="A1051" t="str">
        <f t="shared" si="16"/>
        <v>Mulsa Karisma Q989 50 cm X 8 kg (Roll) Merah1/1/10000</v>
      </c>
      <c r="B1051" t="s">
        <v>10870</v>
      </c>
      <c r="C1051" t="s">
        <v>12954</v>
      </c>
      <c r="D1051" t="s">
        <v>15433</v>
      </c>
      <c r="E1051" t="s">
        <v>1382</v>
      </c>
      <c r="F1051">
        <v>1</v>
      </c>
      <c r="G1051">
        <v>1</v>
      </c>
      <c r="H1051">
        <v>1</v>
      </c>
      <c r="I1051">
        <v>1</v>
      </c>
      <c r="J1051" s="3" t="s">
        <v>2222</v>
      </c>
      <c r="K1051" s="6">
        <v>0</v>
      </c>
    </row>
    <row r="1052" spans="1:11">
      <c r="A1052" t="str">
        <f t="shared" si="16"/>
        <v>Mulsa Karisma Q989 50 cm X 8 kg (Roll) Merah MT1/1/10000</v>
      </c>
      <c r="B1052" t="s">
        <v>10871</v>
      </c>
      <c r="C1052" t="s">
        <v>12955</v>
      </c>
      <c r="D1052" t="s">
        <v>15434</v>
      </c>
      <c r="E1052" t="s">
        <v>1381</v>
      </c>
      <c r="F1052">
        <v>1</v>
      </c>
      <c r="G1052">
        <v>1</v>
      </c>
      <c r="H1052">
        <v>1</v>
      </c>
      <c r="I1052">
        <v>1</v>
      </c>
      <c r="J1052" s="3" t="s">
        <v>2222</v>
      </c>
      <c r="K1052" s="6">
        <v>0</v>
      </c>
    </row>
    <row r="1053" spans="1:11">
      <c r="A1053" t="str">
        <f t="shared" si="16"/>
        <v>Mulsa Karisma Q989 50 cm X 9 kg (Roll)1/1/10000</v>
      </c>
      <c r="B1053" t="s">
        <v>10872</v>
      </c>
      <c r="C1053" t="s">
        <v>12956</v>
      </c>
      <c r="D1053" t="s">
        <v>15435</v>
      </c>
      <c r="E1053" t="s">
        <v>1383</v>
      </c>
      <c r="F1053">
        <v>1</v>
      </c>
      <c r="G1053">
        <v>1</v>
      </c>
      <c r="H1053">
        <v>1</v>
      </c>
      <c r="I1053">
        <v>1</v>
      </c>
      <c r="J1053" s="3" t="s">
        <v>2222</v>
      </c>
      <c r="K1053" s="6">
        <v>0</v>
      </c>
    </row>
    <row r="1054" spans="1:11">
      <c r="A1054" t="str">
        <f t="shared" si="16"/>
        <v>Mulsa Karisma Q989 60 cm X 17 kg (Roll)1/1/10000</v>
      </c>
      <c r="B1054" t="s">
        <v>10873</v>
      </c>
      <c r="C1054" t="s">
        <v>12957</v>
      </c>
      <c r="D1054" t="s">
        <v>15436</v>
      </c>
      <c r="E1054" t="s">
        <v>1384</v>
      </c>
      <c r="F1054">
        <v>1</v>
      </c>
      <c r="G1054">
        <v>1</v>
      </c>
      <c r="H1054">
        <v>1</v>
      </c>
      <c r="I1054">
        <v>1</v>
      </c>
      <c r="J1054" s="3" t="s">
        <v>2222</v>
      </c>
      <c r="K1054" s="6">
        <v>0</v>
      </c>
    </row>
    <row r="1055" spans="1:11">
      <c r="A1055" t="str">
        <f t="shared" si="16"/>
        <v>Mulsa Karisma Q989 60 cm X 8 kg (Roll)1/1/10000</v>
      </c>
      <c r="B1055" t="s">
        <v>10874</v>
      </c>
      <c r="C1055" t="s">
        <v>12958</v>
      </c>
      <c r="D1055" t="s">
        <v>15437</v>
      </c>
      <c r="E1055" t="s">
        <v>1385</v>
      </c>
      <c r="F1055">
        <v>1</v>
      </c>
      <c r="G1055">
        <v>1</v>
      </c>
      <c r="H1055">
        <v>1</v>
      </c>
      <c r="I1055">
        <v>1</v>
      </c>
      <c r="J1055" s="3" t="s">
        <v>2222</v>
      </c>
      <c r="K1055" s="6">
        <v>0</v>
      </c>
    </row>
    <row r="1056" spans="1:11">
      <c r="A1056" t="str">
        <f t="shared" si="16"/>
        <v>Mulsa Karisma Q989 70 cm X 16 kg (Roll) Merah1/1/10000</v>
      </c>
      <c r="B1056" t="s">
        <v>10875</v>
      </c>
      <c r="C1056" t="s">
        <v>12959</v>
      </c>
      <c r="D1056" t="s">
        <v>15438</v>
      </c>
      <c r="E1056" t="s">
        <v>1386</v>
      </c>
      <c r="F1056">
        <v>1</v>
      </c>
      <c r="G1056">
        <v>1</v>
      </c>
      <c r="H1056">
        <v>1</v>
      </c>
      <c r="I1056">
        <v>1</v>
      </c>
      <c r="J1056" s="3" t="s">
        <v>2222</v>
      </c>
      <c r="K1056" s="6">
        <v>0</v>
      </c>
    </row>
    <row r="1057" spans="1:11">
      <c r="A1057" t="str">
        <f t="shared" si="16"/>
        <v>Mulsa Karisma Q989 70 cm X 8 kg (Roll) Merah1/1/10000</v>
      </c>
      <c r="B1057" t="s">
        <v>10876</v>
      </c>
      <c r="C1057" t="s">
        <v>12960</v>
      </c>
      <c r="D1057" t="s">
        <v>15439</v>
      </c>
      <c r="E1057" t="s">
        <v>1387</v>
      </c>
      <c r="F1057">
        <v>1</v>
      </c>
      <c r="G1057">
        <v>1</v>
      </c>
      <c r="H1057">
        <v>1</v>
      </c>
      <c r="I1057">
        <v>1</v>
      </c>
      <c r="J1057" s="3" t="s">
        <v>2222</v>
      </c>
      <c r="K1057" s="6">
        <v>0</v>
      </c>
    </row>
    <row r="1058" spans="1:11">
      <c r="A1058" t="str">
        <f t="shared" si="16"/>
        <v>Mulsa lembaran 025 X 50 cm (Sample)1/1/10000</v>
      </c>
      <c r="B1058" t="s">
        <v>10877</v>
      </c>
      <c r="C1058" t="s">
        <v>12961</v>
      </c>
      <c r="D1058" t="s">
        <v>15440</v>
      </c>
      <c r="E1058" t="s">
        <v>1388</v>
      </c>
      <c r="F1058">
        <v>1</v>
      </c>
      <c r="G1058">
        <v>1</v>
      </c>
      <c r="H1058">
        <v>1</v>
      </c>
      <c r="I1058">
        <v>1</v>
      </c>
      <c r="J1058" s="3" t="s">
        <v>2222</v>
      </c>
      <c r="K1058" s="6">
        <v>0</v>
      </c>
    </row>
    <row r="1059" spans="1:11">
      <c r="A1059" t="str">
        <f t="shared" si="16"/>
        <v>Mulsa Lembaran 03 X 60 cm (Sample)1/1/10000</v>
      </c>
      <c r="B1059" t="s">
        <v>10878</v>
      </c>
      <c r="C1059" t="s">
        <v>12962</v>
      </c>
      <c r="D1059" t="s">
        <v>15441</v>
      </c>
      <c r="E1059" t="s">
        <v>1389</v>
      </c>
      <c r="F1059">
        <v>1</v>
      </c>
      <c r="G1059">
        <v>1</v>
      </c>
      <c r="H1059">
        <v>1</v>
      </c>
      <c r="I1059">
        <v>1</v>
      </c>
      <c r="J1059" s="3" t="s">
        <v>2222</v>
      </c>
      <c r="K1059" s="6">
        <v>0</v>
      </c>
    </row>
    <row r="1060" spans="1:11">
      <c r="A1060" t="str">
        <f t="shared" si="16"/>
        <v>Mulsa Monesa 50 cm X 17 kg (Roll)1/1/10000</v>
      </c>
      <c r="B1060" t="s">
        <v>10879</v>
      </c>
      <c r="C1060" t="s">
        <v>12963</v>
      </c>
      <c r="D1060" t="s">
        <v>15442</v>
      </c>
      <c r="E1060" t="s">
        <v>1390</v>
      </c>
      <c r="F1060">
        <v>1</v>
      </c>
      <c r="G1060">
        <v>1</v>
      </c>
      <c r="H1060">
        <v>1</v>
      </c>
      <c r="I1060">
        <v>1</v>
      </c>
      <c r="J1060" s="3" t="s">
        <v>2222</v>
      </c>
      <c r="K1060" s="6">
        <v>0</v>
      </c>
    </row>
    <row r="1061" spans="1:11">
      <c r="A1061" t="str">
        <f t="shared" si="16"/>
        <v>Mulsa Monesa 60 cm X 17 kg (Roll)1/1/10000</v>
      </c>
      <c r="B1061" t="s">
        <v>10880</v>
      </c>
      <c r="C1061" t="s">
        <v>12964</v>
      </c>
      <c r="D1061" t="s">
        <v>15443</v>
      </c>
      <c r="E1061" t="s">
        <v>1391</v>
      </c>
      <c r="F1061">
        <v>1</v>
      </c>
      <c r="G1061">
        <v>1</v>
      </c>
      <c r="H1061">
        <v>1</v>
      </c>
      <c r="I1061">
        <v>1</v>
      </c>
      <c r="J1061" s="3" t="s">
        <v>2222</v>
      </c>
      <c r="K1061" s="6">
        <v>0</v>
      </c>
    </row>
    <row r="1062" spans="1:11">
      <c r="A1062" t="str">
        <f t="shared" si="16"/>
        <v>Mulsa Monesa 60 cm X 18 kg (Roll)1/1/10000</v>
      </c>
      <c r="B1062" t="s">
        <v>10881</v>
      </c>
      <c r="C1062" t="s">
        <v>12965</v>
      </c>
      <c r="D1062" t="s">
        <v>15444</v>
      </c>
      <c r="E1062" t="s">
        <v>1392</v>
      </c>
      <c r="F1062">
        <v>1</v>
      </c>
      <c r="G1062">
        <v>1</v>
      </c>
      <c r="H1062">
        <v>1</v>
      </c>
      <c r="I1062">
        <v>1</v>
      </c>
      <c r="J1062" s="3" t="s">
        <v>2222</v>
      </c>
      <c r="K1062" s="6">
        <v>0</v>
      </c>
    </row>
    <row r="1063" spans="1:11">
      <c r="A1063" t="str">
        <f t="shared" si="16"/>
        <v>Mulsa Monesa 60 cm X 9 kg (Roll)1/1/10000</v>
      </c>
      <c r="B1063" t="s">
        <v>10882</v>
      </c>
      <c r="C1063" t="s">
        <v>12966</v>
      </c>
      <c r="D1063" t="s">
        <v>15445</v>
      </c>
      <c r="E1063" t="s">
        <v>1393</v>
      </c>
      <c r="F1063">
        <v>1</v>
      </c>
      <c r="G1063">
        <v>1</v>
      </c>
      <c r="H1063">
        <v>1</v>
      </c>
      <c r="I1063">
        <v>1</v>
      </c>
      <c r="J1063" s="3" t="s">
        <v>2222</v>
      </c>
      <c r="K1063" s="6">
        <v>0</v>
      </c>
    </row>
    <row r="1064" spans="1:11">
      <c r="A1064" t="str">
        <f t="shared" si="16"/>
        <v>Mulsa Ori 03 X 40 cm @1 kg (sample)1/1/10000</v>
      </c>
      <c r="B1064" t="s">
        <v>10883</v>
      </c>
      <c r="C1064" t="s">
        <v>12967</v>
      </c>
      <c r="D1064" t="s">
        <v>15446</v>
      </c>
      <c r="E1064" t="s">
        <v>1394</v>
      </c>
      <c r="F1064">
        <v>1</v>
      </c>
      <c r="G1064">
        <v>1</v>
      </c>
      <c r="H1064">
        <v>1</v>
      </c>
      <c r="I1064">
        <v>1</v>
      </c>
      <c r="J1064" s="3" t="s">
        <v>2222</v>
      </c>
      <c r="K1064" s="6">
        <v>0</v>
      </c>
    </row>
    <row r="1065" spans="1:11">
      <c r="A1065" t="str">
        <f t="shared" si="16"/>
        <v>Mulsa Ori 03 X 40 cm @2 kg (sample)1/1/10000</v>
      </c>
      <c r="B1065" t="s">
        <v>10884</v>
      </c>
      <c r="C1065" t="s">
        <v>12968</v>
      </c>
      <c r="D1065" t="s">
        <v>15447</v>
      </c>
      <c r="E1065" t="s">
        <v>1395</v>
      </c>
      <c r="F1065">
        <v>1</v>
      </c>
      <c r="G1065">
        <v>1</v>
      </c>
      <c r="H1065">
        <v>1</v>
      </c>
      <c r="I1065">
        <v>1</v>
      </c>
      <c r="J1065" s="3" t="s">
        <v>2222</v>
      </c>
      <c r="K1065" s="6">
        <v>0</v>
      </c>
    </row>
    <row r="1066" spans="1:11">
      <c r="A1066" t="str">
        <f t="shared" si="16"/>
        <v>Mulsa Ori 03 X 40 cm @3 kg (sample)1/1/10000</v>
      </c>
      <c r="B1066" t="s">
        <v>10885</v>
      </c>
      <c r="C1066" t="s">
        <v>12969</v>
      </c>
      <c r="D1066" t="s">
        <v>15448</v>
      </c>
      <c r="E1066" t="s">
        <v>1396</v>
      </c>
      <c r="F1066">
        <v>1</v>
      </c>
      <c r="G1066">
        <v>1</v>
      </c>
      <c r="H1066">
        <v>1</v>
      </c>
      <c r="I1066">
        <v>1</v>
      </c>
      <c r="J1066" s="3" t="s">
        <v>2222</v>
      </c>
      <c r="K1066" s="6">
        <v>0</v>
      </c>
    </row>
    <row r="1067" spans="1:11">
      <c r="A1067" t="str">
        <f t="shared" si="16"/>
        <v>Mulsa Ori 03 X 50 cm @1 kg (sample)1/1/10000</v>
      </c>
      <c r="B1067" t="s">
        <v>10886</v>
      </c>
      <c r="C1067" t="s">
        <v>12970</v>
      </c>
      <c r="D1067" t="s">
        <v>15449</v>
      </c>
      <c r="E1067" t="s">
        <v>1397</v>
      </c>
      <c r="F1067">
        <v>1</v>
      </c>
      <c r="G1067">
        <v>1</v>
      </c>
      <c r="H1067">
        <v>1</v>
      </c>
      <c r="I1067">
        <v>1</v>
      </c>
      <c r="J1067" s="3" t="s">
        <v>2222</v>
      </c>
      <c r="K1067" s="6">
        <v>0</v>
      </c>
    </row>
    <row r="1068" spans="1:11">
      <c r="A1068" t="str">
        <f t="shared" si="16"/>
        <v>Mulsa Ori 03 X 50 cm @2 kg (sample)1/1/10000</v>
      </c>
      <c r="B1068" t="s">
        <v>10887</v>
      </c>
      <c r="C1068" t="s">
        <v>12971</v>
      </c>
      <c r="D1068" t="s">
        <v>15450</v>
      </c>
      <c r="E1068" t="s">
        <v>1398</v>
      </c>
      <c r="F1068">
        <v>1</v>
      </c>
      <c r="G1068">
        <v>1</v>
      </c>
      <c r="H1068">
        <v>1</v>
      </c>
      <c r="I1068">
        <v>1</v>
      </c>
      <c r="J1068" s="3" t="s">
        <v>2222</v>
      </c>
      <c r="K1068" s="6">
        <v>0</v>
      </c>
    </row>
    <row r="1069" spans="1:11">
      <c r="A1069" t="str">
        <f t="shared" si="16"/>
        <v>Mulsa Ori 03 X 50 cm @3 kg (sample)1/1/10000</v>
      </c>
      <c r="B1069" t="s">
        <v>10888</v>
      </c>
      <c r="C1069" t="s">
        <v>12972</v>
      </c>
      <c r="D1069" t="s">
        <v>15451</v>
      </c>
      <c r="E1069" t="s">
        <v>1399</v>
      </c>
      <c r="F1069">
        <v>1</v>
      </c>
      <c r="G1069">
        <v>1</v>
      </c>
      <c r="H1069">
        <v>1</v>
      </c>
      <c r="I1069">
        <v>1</v>
      </c>
      <c r="J1069" s="3" t="s">
        <v>2222</v>
      </c>
      <c r="K1069" s="6">
        <v>0</v>
      </c>
    </row>
    <row r="1070" spans="1:11">
      <c r="A1070" t="str">
        <f t="shared" si="16"/>
        <v>Mulsa Ori 03 X 60 cm @1 kg (sample)1/1/10000</v>
      </c>
      <c r="B1070" t="s">
        <v>10889</v>
      </c>
      <c r="C1070" t="s">
        <v>12973</v>
      </c>
      <c r="D1070" t="s">
        <v>15452</v>
      </c>
      <c r="E1070" t="s">
        <v>1400</v>
      </c>
      <c r="F1070">
        <v>1</v>
      </c>
      <c r="G1070">
        <v>1</v>
      </c>
      <c r="H1070">
        <v>1</v>
      </c>
      <c r="I1070">
        <v>1</v>
      </c>
      <c r="J1070" s="3" t="s">
        <v>2222</v>
      </c>
      <c r="K1070" s="6">
        <v>0</v>
      </c>
    </row>
    <row r="1071" spans="1:11">
      <c r="A1071" t="str">
        <f t="shared" si="16"/>
        <v>Mulsa Ori 03 X 60 cm @2 kg (sample)1/1/10000</v>
      </c>
      <c r="B1071" t="s">
        <v>10890</v>
      </c>
      <c r="C1071" t="s">
        <v>12974</v>
      </c>
      <c r="D1071" t="s">
        <v>15453</v>
      </c>
      <c r="E1071" t="s">
        <v>1401</v>
      </c>
      <c r="F1071">
        <v>1</v>
      </c>
      <c r="G1071">
        <v>1</v>
      </c>
      <c r="H1071">
        <v>1</v>
      </c>
      <c r="I1071">
        <v>1</v>
      </c>
      <c r="J1071" s="3" t="s">
        <v>2222</v>
      </c>
      <c r="K1071" s="6">
        <v>0</v>
      </c>
    </row>
    <row r="1072" spans="1:11">
      <c r="A1072" t="str">
        <f t="shared" si="16"/>
        <v>Mulsa Ori 03 X 60 cm @3 kg (sample)1/1/10000</v>
      </c>
      <c r="B1072" t="s">
        <v>10891</v>
      </c>
      <c r="C1072" t="s">
        <v>12975</v>
      </c>
      <c r="D1072" t="s">
        <v>15454</v>
      </c>
      <c r="E1072" t="s">
        <v>1402</v>
      </c>
      <c r="F1072">
        <v>1</v>
      </c>
      <c r="G1072">
        <v>1</v>
      </c>
      <c r="H1072">
        <v>1</v>
      </c>
      <c r="I1072">
        <v>1</v>
      </c>
      <c r="J1072" s="3" t="s">
        <v>2222</v>
      </c>
      <c r="K1072" s="6">
        <v>0</v>
      </c>
    </row>
    <row r="1073" spans="1:11">
      <c r="A1073" t="str">
        <f t="shared" si="16"/>
        <v>Mulsa Ori Gajah 0.3 50 cm X 18 kg (Roll)1/1/10000</v>
      </c>
      <c r="B1073" t="s">
        <v>10892</v>
      </c>
      <c r="C1073" t="s">
        <v>12976</v>
      </c>
      <c r="D1073" t="s">
        <v>15455</v>
      </c>
      <c r="E1073" t="s">
        <v>1403</v>
      </c>
      <c r="F1073">
        <v>1</v>
      </c>
      <c r="G1073">
        <v>1</v>
      </c>
      <c r="H1073">
        <v>1</v>
      </c>
      <c r="I1073">
        <v>1</v>
      </c>
      <c r="J1073" s="3" t="s">
        <v>2222</v>
      </c>
      <c r="K1073" s="6">
        <v>0</v>
      </c>
    </row>
    <row r="1074" spans="1:11">
      <c r="A1074" t="str">
        <f t="shared" si="16"/>
        <v>Mulsa Ori Gajah 0.3 50 cm X 9 kg (Roll)1/1/10000</v>
      </c>
      <c r="B1074" t="s">
        <v>10893</v>
      </c>
      <c r="C1074" t="s">
        <v>12977</v>
      </c>
      <c r="D1074" t="s">
        <v>15456</v>
      </c>
      <c r="E1074" t="s">
        <v>1404</v>
      </c>
      <c r="F1074">
        <v>1</v>
      </c>
      <c r="G1074">
        <v>1</v>
      </c>
      <c r="H1074">
        <v>1</v>
      </c>
      <c r="I1074">
        <v>1</v>
      </c>
      <c r="J1074" s="3" t="s">
        <v>2222</v>
      </c>
      <c r="K1074" s="6">
        <v>0</v>
      </c>
    </row>
    <row r="1075" spans="1:11">
      <c r="A1075" t="str">
        <f t="shared" si="16"/>
        <v>Mulsa Ori Gajah 0.3 60 cm X 18 kg (Roll)1/1/10000</v>
      </c>
      <c r="B1075" t="s">
        <v>10894</v>
      </c>
      <c r="C1075" t="s">
        <v>12978</v>
      </c>
      <c r="D1075" t="s">
        <v>15457</v>
      </c>
      <c r="E1075" t="s">
        <v>1406</v>
      </c>
      <c r="F1075">
        <v>1</v>
      </c>
      <c r="G1075">
        <v>1</v>
      </c>
      <c r="H1075">
        <v>1</v>
      </c>
      <c r="I1075">
        <v>1</v>
      </c>
      <c r="J1075" s="3" t="s">
        <v>2222</v>
      </c>
      <c r="K1075" s="6">
        <v>0</v>
      </c>
    </row>
    <row r="1076" spans="1:11">
      <c r="A1076" t="str">
        <f t="shared" si="16"/>
        <v>Mulsa Ori Gajah 0.3 60 cm X 18 kg (Roll) Sample1/1/10000</v>
      </c>
      <c r="B1076" t="s">
        <v>10895</v>
      </c>
      <c r="C1076" t="s">
        <v>12979</v>
      </c>
      <c r="D1076" t="s">
        <v>15458</v>
      </c>
      <c r="E1076" t="s">
        <v>1405</v>
      </c>
      <c r="F1076">
        <v>1</v>
      </c>
      <c r="G1076">
        <v>1</v>
      </c>
      <c r="H1076">
        <v>1</v>
      </c>
      <c r="I1076">
        <v>1</v>
      </c>
      <c r="J1076" s="3" t="s">
        <v>2222</v>
      </c>
      <c r="K1076" s="6">
        <v>0</v>
      </c>
    </row>
    <row r="1077" spans="1:11">
      <c r="A1077" t="str">
        <f t="shared" si="16"/>
        <v>Mulsa Ori Gajah 0.3 60 cm X 9 kg (Roll)1/1/10000</v>
      </c>
      <c r="B1077" t="s">
        <v>10896</v>
      </c>
      <c r="C1077" t="s">
        <v>12980</v>
      </c>
      <c r="D1077" t="s">
        <v>15459</v>
      </c>
      <c r="E1077" t="s">
        <v>1408</v>
      </c>
      <c r="F1077">
        <v>1</v>
      </c>
      <c r="G1077">
        <v>1</v>
      </c>
      <c r="H1077">
        <v>1</v>
      </c>
      <c r="I1077">
        <v>1</v>
      </c>
      <c r="J1077" s="3" t="s">
        <v>2222</v>
      </c>
      <c r="K1077" s="6">
        <v>0</v>
      </c>
    </row>
    <row r="1078" spans="1:11">
      <c r="A1078" t="str">
        <f t="shared" si="16"/>
        <v>Mulsa Ori Gajah 0.3 60 cm X 9 kg (Roll) Sample1/1/10000</v>
      </c>
      <c r="B1078" t="s">
        <v>10897</v>
      </c>
      <c r="C1078" t="s">
        <v>12981</v>
      </c>
      <c r="D1078" t="s">
        <v>15460</v>
      </c>
      <c r="E1078" t="s">
        <v>1407</v>
      </c>
      <c r="F1078">
        <v>1</v>
      </c>
      <c r="G1078">
        <v>1</v>
      </c>
      <c r="H1078">
        <v>1</v>
      </c>
      <c r="I1078">
        <v>1</v>
      </c>
      <c r="J1078" s="3" t="s">
        <v>2222</v>
      </c>
      <c r="K1078" s="6">
        <v>0</v>
      </c>
    </row>
    <row r="1079" spans="1:11">
      <c r="A1079" t="str">
        <f t="shared" si="16"/>
        <v>Mulsa Ori Gajah 0.3 70 cm X 18 kg (Roll)1/1/10000</v>
      </c>
      <c r="B1079" t="s">
        <v>10898</v>
      </c>
      <c r="C1079" t="s">
        <v>12982</v>
      </c>
      <c r="D1079" t="s">
        <v>15461</v>
      </c>
      <c r="E1079" t="s">
        <v>1409</v>
      </c>
      <c r="F1079">
        <v>1</v>
      </c>
      <c r="G1079">
        <v>1</v>
      </c>
      <c r="H1079">
        <v>1</v>
      </c>
      <c r="I1079">
        <v>1</v>
      </c>
      <c r="J1079" s="3" t="s">
        <v>2222</v>
      </c>
      <c r="K1079" s="6">
        <v>0</v>
      </c>
    </row>
    <row r="1080" spans="1:11">
      <c r="A1080" t="str">
        <f t="shared" si="16"/>
        <v>Mulsa Ori Gajah 0.3 70 cm X 9 kg (Roll)1/1/10000</v>
      </c>
      <c r="B1080" t="s">
        <v>10899</v>
      </c>
      <c r="C1080" t="s">
        <v>12983</v>
      </c>
      <c r="D1080" t="s">
        <v>15462</v>
      </c>
      <c r="E1080" t="s">
        <v>1410</v>
      </c>
      <c r="F1080">
        <v>1</v>
      </c>
      <c r="G1080">
        <v>1</v>
      </c>
      <c r="H1080">
        <v>1</v>
      </c>
      <c r="I1080">
        <v>1</v>
      </c>
      <c r="J1080" s="3" t="s">
        <v>2222</v>
      </c>
      <c r="K1080" s="6">
        <v>0</v>
      </c>
    </row>
    <row r="1081" spans="1:11">
      <c r="A1081" t="str">
        <f t="shared" si="16"/>
        <v>Mulsa Ori Universal 0.25 50 cm X 18 kg (Roll)1/1/10000</v>
      </c>
      <c r="B1081" t="s">
        <v>10900</v>
      </c>
      <c r="C1081" t="s">
        <v>12984</v>
      </c>
      <c r="D1081" t="s">
        <v>15463</v>
      </c>
      <c r="E1081" t="s">
        <v>1411</v>
      </c>
      <c r="F1081">
        <v>1</v>
      </c>
      <c r="G1081">
        <v>1</v>
      </c>
      <c r="H1081">
        <v>1</v>
      </c>
      <c r="I1081">
        <v>1</v>
      </c>
      <c r="J1081" s="3" t="s">
        <v>2222</v>
      </c>
      <c r="K1081" s="6">
        <v>0</v>
      </c>
    </row>
    <row r="1082" spans="1:11">
      <c r="A1082" t="str">
        <f t="shared" si="16"/>
        <v>Mulsa Ori Universal 0.25 50 cm X 9 kg (Roll)1/1/10000</v>
      </c>
      <c r="B1082" t="s">
        <v>10901</v>
      </c>
      <c r="C1082" t="s">
        <v>12985</v>
      </c>
      <c r="D1082" t="s">
        <v>15464</v>
      </c>
      <c r="E1082" t="s">
        <v>1412</v>
      </c>
      <c r="F1082">
        <v>1</v>
      </c>
      <c r="G1082">
        <v>1</v>
      </c>
      <c r="H1082">
        <v>1</v>
      </c>
      <c r="I1082">
        <v>1</v>
      </c>
      <c r="J1082" s="3" t="s">
        <v>2222</v>
      </c>
      <c r="K1082" s="6">
        <v>0</v>
      </c>
    </row>
    <row r="1083" spans="1:11">
      <c r="A1083" t="str">
        <f t="shared" si="16"/>
        <v>Mulsa Ori Universal 0.25 60 cm X 18 kg (Roll)1/1/10000</v>
      </c>
      <c r="B1083" t="s">
        <v>10902</v>
      </c>
      <c r="C1083" t="s">
        <v>12986</v>
      </c>
      <c r="D1083" t="s">
        <v>15465</v>
      </c>
      <c r="E1083" t="s">
        <v>1414</v>
      </c>
      <c r="F1083">
        <v>1</v>
      </c>
      <c r="G1083">
        <v>1</v>
      </c>
      <c r="H1083">
        <v>1</v>
      </c>
      <c r="I1083">
        <v>1</v>
      </c>
      <c r="J1083" s="3" t="s">
        <v>2222</v>
      </c>
      <c r="K1083" s="6">
        <v>0</v>
      </c>
    </row>
    <row r="1084" spans="1:11">
      <c r="A1084" t="str">
        <f t="shared" si="16"/>
        <v>Mulsa Ori Universal 0.25 60 cm X 18 kg (Roll) Sample1/1/10000</v>
      </c>
      <c r="B1084" t="s">
        <v>10903</v>
      </c>
      <c r="C1084" t="s">
        <v>12987</v>
      </c>
      <c r="D1084" t="s">
        <v>15466</v>
      </c>
      <c r="E1084" t="s">
        <v>1413</v>
      </c>
      <c r="F1084">
        <v>1</v>
      </c>
      <c r="G1084">
        <v>1</v>
      </c>
      <c r="H1084">
        <v>1</v>
      </c>
      <c r="I1084">
        <v>1</v>
      </c>
      <c r="J1084" s="3" t="s">
        <v>2222</v>
      </c>
      <c r="K1084" s="6">
        <v>0</v>
      </c>
    </row>
    <row r="1085" spans="1:11">
      <c r="A1085" t="str">
        <f t="shared" si="16"/>
        <v>Mulsa Ori Universal 0.25 60 cm X 9 kg (Roll)1/1/10000</v>
      </c>
      <c r="B1085" t="s">
        <v>10904</v>
      </c>
      <c r="C1085" t="s">
        <v>12988</v>
      </c>
      <c r="D1085" t="s">
        <v>15467</v>
      </c>
      <c r="E1085" t="s">
        <v>1416</v>
      </c>
      <c r="F1085">
        <v>1</v>
      </c>
      <c r="G1085">
        <v>1</v>
      </c>
      <c r="H1085">
        <v>1</v>
      </c>
      <c r="I1085">
        <v>1</v>
      </c>
      <c r="J1085" s="3" t="s">
        <v>2222</v>
      </c>
      <c r="K1085" s="6">
        <v>0</v>
      </c>
    </row>
    <row r="1086" spans="1:11">
      <c r="A1086" t="str">
        <f t="shared" si="16"/>
        <v>Mulsa Ori Universal 0.25 60 cm X 9 kg (Roll) Sample1/1/10000</v>
      </c>
      <c r="B1086" t="s">
        <v>10905</v>
      </c>
      <c r="C1086" t="s">
        <v>12989</v>
      </c>
      <c r="D1086" t="s">
        <v>15468</v>
      </c>
      <c r="E1086" t="s">
        <v>1415</v>
      </c>
      <c r="F1086">
        <v>1</v>
      </c>
      <c r="G1086">
        <v>1</v>
      </c>
      <c r="H1086">
        <v>1</v>
      </c>
      <c r="I1086">
        <v>1</v>
      </c>
      <c r="J1086" s="3" t="s">
        <v>2222</v>
      </c>
      <c r="K1086" s="6">
        <v>0</v>
      </c>
    </row>
    <row r="1087" spans="1:11">
      <c r="A1087" t="str">
        <f t="shared" si="16"/>
        <v>Mulsa Ori Universal 0.25 70 cm X 18 kg (Roll)1/1/10000</v>
      </c>
      <c r="B1087" t="s">
        <v>10906</v>
      </c>
      <c r="C1087" t="s">
        <v>12990</v>
      </c>
      <c r="D1087" t="s">
        <v>15469</v>
      </c>
      <c r="E1087" t="s">
        <v>1417</v>
      </c>
      <c r="F1087">
        <v>1</v>
      </c>
      <c r="G1087">
        <v>1</v>
      </c>
      <c r="H1087">
        <v>1</v>
      </c>
      <c r="I1087">
        <v>1</v>
      </c>
      <c r="J1087" s="3" t="s">
        <v>2222</v>
      </c>
      <c r="K1087" s="6">
        <v>0</v>
      </c>
    </row>
    <row r="1088" spans="1:11">
      <c r="A1088" t="str">
        <f t="shared" si="16"/>
        <v>Mulsa Ori Universal 0.25 70 cm X 9 kg (Roll)1/1/10000</v>
      </c>
      <c r="B1088" t="s">
        <v>10907</v>
      </c>
      <c r="C1088" t="s">
        <v>12991</v>
      </c>
      <c r="D1088" t="s">
        <v>15470</v>
      </c>
      <c r="E1088" t="s">
        <v>1418</v>
      </c>
      <c r="F1088">
        <v>1</v>
      </c>
      <c r="G1088">
        <v>1</v>
      </c>
      <c r="H1088">
        <v>1</v>
      </c>
      <c r="I1088">
        <v>1</v>
      </c>
      <c r="J1088" s="3" t="s">
        <v>2222</v>
      </c>
      <c r="K1088" s="6">
        <v>0</v>
      </c>
    </row>
    <row r="1089" spans="1:11">
      <c r="A1089" t="str">
        <f t="shared" si="16"/>
        <v>Mulsa Petani Sejati 60 cm X 9 kg (Roll)1/1/10000</v>
      </c>
      <c r="B1089" t="s">
        <v>10908</v>
      </c>
      <c r="C1089" t="s">
        <v>12992</v>
      </c>
      <c r="D1089" t="s">
        <v>15471</v>
      </c>
      <c r="E1089" t="s">
        <v>1419</v>
      </c>
      <c r="F1089">
        <v>1</v>
      </c>
      <c r="G1089">
        <v>1</v>
      </c>
      <c r="H1089">
        <v>1</v>
      </c>
      <c r="I1089">
        <v>1</v>
      </c>
      <c r="J1089" s="3" t="s">
        <v>2222</v>
      </c>
      <c r="K1089" s="6">
        <v>0</v>
      </c>
    </row>
    <row r="1090" spans="1:11">
      <c r="A1090" t="str">
        <f t="shared" si="16"/>
        <v>Mulsa Petani Sejati 70 cm X 18 kg (Roll)1/1/10000</v>
      </c>
      <c r="B1090" t="s">
        <v>10909</v>
      </c>
      <c r="C1090" t="s">
        <v>12993</v>
      </c>
      <c r="D1090" t="s">
        <v>15472</v>
      </c>
      <c r="E1090" t="s">
        <v>1420</v>
      </c>
      <c r="F1090">
        <v>1</v>
      </c>
      <c r="G1090">
        <v>1</v>
      </c>
      <c r="H1090">
        <v>1</v>
      </c>
      <c r="I1090">
        <v>1</v>
      </c>
      <c r="J1090" s="3" t="s">
        <v>2222</v>
      </c>
      <c r="K1090" s="6">
        <v>0</v>
      </c>
    </row>
    <row r="1091" spans="1:11">
      <c r="A1091" t="str">
        <f t="shared" ref="A1091:A1154" si="17">E1091&amp;J1091&amp;K1091</f>
        <v>Mulsa Sadewa Kuning 50 cm X 18 kg (Roll)1/1/10000</v>
      </c>
      <c r="B1091" t="s">
        <v>10910</v>
      </c>
      <c r="C1091" t="s">
        <v>12994</v>
      </c>
      <c r="D1091" t="s">
        <v>15473</v>
      </c>
      <c r="E1091" t="s">
        <v>1421</v>
      </c>
      <c r="F1091">
        <v>1</v>
      </c>
      <c r="G1091">
        <v>1</v>
      </c>
      <c r="H1091">
        <v>1</v>
      </c>
      <c r="I1091">
        <v>1</v>
      </c>
      <c r="J1091" s="3" t="s">
        <v>2222</v>
      </c>
      <c r="K1091" s="6">
        <v>0</v>
      </c>
    </row>
    <row r="1092" spans="1:11">
      <c r="A1092" t="str">
        <f t="shared" si="17"/>
        <v>Mulsa Sadewa Kuning 50 cm X 9 kg (Roll)1/1/10000</v>
      </c>
      <c r="B1092" t="s">
        <v>10911</v>
      </c>
      <c r="C1092" t="s">
        <v>12995</v>
      </c>
      <c r="D1092" t="s">
        <v>15474</v>
      </c>
      <c r="E1092" t="s">
        <v>1422</v>
      </c>
      <c r="F1092">
        <v>1</v>
      </c>
      <c r="G1092">
        <v>1</v>
      </c>
      <c r="H1092">
        <v>1</v>
      </c>
      <c r="I1092">
        <v>1</v>
      </c>
      <c r="J1092" s="3" t="s">
        <v>2222</v>
      </c>
      <c r="K1092" s="6">
        <v>0</v>
      </c>
    </row>
    <row r="1093" spans="1:11">
      <c r="A1093" t="str">
        <f t="shared" si="17"/>
        <v>Mulsa Sadewa Kuning 60 cm X 18 kg (Roll)1/1/10000</v>
      </c>
      <c r="B1093" t="s">
        <v>10912</v>
      </c>
      <c r="C1093" t="s">
        <v>12996</v>
      </c>
      <c r="D1093" t="s">
        <v>15475</v>
      </c>
      <c r="E1093" t="s">
        <v>1423</v>
      </c>
      <c r="F1093">
        <v>1</v>
      </c>
      <c r="G1093">
        <v>1</v>
      </c>
      <c r="H1093">
        <v>1</v>
      </c>
      <c r="I1093">
        <v>1</v>
      </c>
      <c r="J1093" s="3" t="s">
        <v>2222</v>
      </c>
      <c r="K1093" s="6">
        <v>0</v>
      </c>
    </row>
    <row r="1094" spans="1:11">
      <c r="A1094" t="str">
        <f t="shared" si="17"/>
        <v>Mulsa Sadewa Kuning 60 cm X 9 kg (Roll)1/1/10000</v>
      </c>
      <c r="B1094" t="s">
        <v>10913</v>
      </c>
      <c r="C1094" t="s">
        <v>12997</v>
      </c>
      <c r="D1094" t="s">
        <v>15476</v>
      </c>
      <c r="E1094" t="s">
        <v>1424</v>
      </c>
      <c r="F1094">
        <v>1</v>
      </c>
      <c r="G1094">
        <v>1</v>
      </c>
      <c r="H1094">
        <v>1</v>
      </c>
      <c r="I1094">
        <v>1</v>
      </c>
      <c r="J1094" s="3" t="s">
        <v>2222</v>
      </c>
      <c r="K1094" s="6">
        <v>0</v>
      </c>
    </row>
    <row r="1095" spans="1:11">
      <c r="A1095" t="str">
        <f t="shared" si="17"/>
        <v>Mur YT 5L1/1/10000</v>
      </c>
      <c r="B1095" t="s">
        <v>10914</v>
      </c>
      <c r="C1095" t="s">
        <v>12998</v>
      </c>
      <c r="D1095" t="s">
        <v>15477</v>
      </c>
      <c r="E1095" t="s">
        <v>1425</v>
      </c>
      <c r="F1095">
        <v>1</v>
      </c>
      <c r="G1095">
        <v>1</v>
      </c>
      <c r="H1095">
        <v>1</v>
      </c>
      <c r="I1095">
        <v>1</v>
      </c>
      <c r="J1095" s="3" t="s">
        <v>2222</v>
      </c>
      <c r="K1095" s="6">
        <v>0</v>
      </c>
    </row>
    <row r="1096" spans="1:11">
      <c r="A1096" t="str">
        <f t="shared" si="17"/>
        <v>Mutual 25/25 WP 100 X 100 gr468130</v>
      </c>
      <c r="B1096" t="s">
        <v>10915</v>
      </c>
      <c r="C1096" t="s">
        <v>12999</v>
      </c>
      <c r="D1096" t="s">
        <v>15478</v>
      </c>
      <c r="E1096" t="s">
        <v>1426</v>
      </c>
      <c r="F1096">
        <v>100</v>
      </c>
      <c r="G1096">
        <v>1</v>
      </c>
      <c r="H1096">
        <v>1</v>
      </c>
      <c r="I1096">
        <v>100</v>
      </c>
      <c r="J1096" s="3">
        <v>46813</v>
      </c>
      <c r="K1096" s="6">
        <v>0</v>
      </c>
    </row>
    <row r="1097" spans="1:11">
      <c r="A1097" t="str">
        <f t="shared" si="17"/>
        <v>Nativo 75 WG 16 X 20 X 12.5 gr459010</v>
      </c>
      <c r="B1097" t="s">
        <v>10916</v>
      </c>
      <c r="C1097" t="s">
        <v>13000</v>
      </c>
      <c r="D1097" t="s">
        <v>15479</v>
      </c>
      <c r="E1097" t="s">
        <v>1428</v>
      </c>
      <c r="F1097">
        <v>16</v>
      </c>
      <c r="G1097">
        <v>20</v>
      </c>
      <c r="H1097">
        <v>1</v>
      </c>
      <c r="I1097">
        <v>320</v>
      </c>
      <c r="J1097" s="3">
        <v>45901</v>
      </c>
      <c r="K1097" s="6">
        <v>0</v>
      </c>
    </row>
    <row r="1098" spans="1:11">
      <c r="A1098" t="str">
        <f t="shared" si="17"/>
        <v>Nativo 75 WG 16 X 20 X 12.5 gr459620</v>
      </c>
      <c r="B1098" t="s">
        <v>10917</v>
      </c>
      <c r="C1098" t="s">
        <v>13001</v>
      </c>
      <c r="D1098" t="s">
        <v>15480</v>
      </c>
      <c r="E1098" t="s">
        <v>1428</v>
      </c>
      <c r="F1098">
        <v>16</v>
      </c>
      <c r="G1098">
        <v>20</v>
      </c>
      <c r="H1098">
        <v>1</v>
      </c>
      <c r="I1098">
        <v>320</v>
      </c>
      <c r="J1098" s="3">
        <v>45962</v>
      </c>
      <c r="K1098" s="6">
        <v>0</v>
      </c>
    </row>
    <row r="1099" spans="1:11">
      <c r="A1099" t="str">
        <f t="shared" si="17"/>
        <v>Nativo 75 WG 50 X 2 X 50 gr460820</v>
      </c>
      <c r="B1099" t="s">
        <v>10918</v>
      </c>
      <c r="C1099" t="s">
        <v>13002</v>
      </c>
      <c r="D1099" t="s">
        <v>15481</v>
      </c>
      <c r="E1099" t="s">
        <v>1431</v>
      </c>
      <c r="F1099">
        <v>50</v>
      </c>
      <c r="G1099">
        <v>2</v>
      </c>
      <c r="H1099">
        <v>1</v>
      </c>
      <c r="I1099">
        <v>100</v>
      </c>
      <c r="J1099" s="3">
        <v>46082</v>
      </c>
      <c r="K1099" s="6">
        <v>0</v>
      </c>
    </row>
    <row r="1100" spans="1:11">
      <c r="A1100" t="str">
        <f t="shared" si="17"/>
        <v>Nemaguard 10 GR 10 X 1 kg468440</v>
      </c>
      <c r="B1100" t="s">
        <v>10919</v>
      </c>
      <c r="C1100" t="s">
        <v>13003</v>
      </c>
      <c r="D1100" t="s">
        <v>15482</v>
      </c>
      <c r="E1100" t="s">
        <v>1433</v>
      </c>
      <c r="F1100">
        <v>10</v>
      </c>
      <c r="G1100">
        <v>1</v>
      </c>
      <c r="H1100">
        <v>1</v>
      </c>
      <c r="I1100">
        <v>10</v>
      </c>
      <c r="J1100" s="3">
        <v>46844</v>
      </c>
      <c r="K1100" s="6">
        <v>0</v>
      </c>
    </row>
    <row r="1101" spans="1:11">
      <c r="A1101" t="str">
        <f t="shared" si="17"/>
        <v>Nemaguard 10 GR 10 X 1 kg469050</v>
      </c>
      <c r="B1101" t="s">
        <v>10920</v>
      </c>
      <c r="C1101" t="s">
        <v>13004</v>
      </c>
      <c r="D1101" t="s">
        <v>15483</v>
      </c>
      <c r="E1101" t="s">
        <v>1433</v>
      </c>
      <c r="F1101">
        <v>10</v>
      </c>
      <c r="G1101">
        <v>1</v>
      </c>
      <c r="H1101">
        <v>1</v>
      </c>
      <c r="I1101">
        <v>10</v>
      </c>
      <c r="J1101" s="3">
        <v>46905</v>
      </c>
      <c r="K1101" s="6">
        <v>0</v>
      </c>
    </row>
    <row r="1102" spans="1:11">
      <c r="A1102" t="str">
        <f t="shared" si="17"/>
        <v>Nemaguard 10 GR 20 X 500 gr467530</v>
      </c>
      <c r="B1102" t="s">
        <v>10921</v>
      </c>
      <c r="C1102" t="s">
        <v>13005</v>
      </c>
      <c r="D1102" t="s">
        <v>15484</v>
      </c>
      <c r="E1102" t="s">
        <v>1434</v>
      </c>
      <c r="F1102">
        <v>20</v>
      </c>
      <c r="G1102">
        <v>1</v>
      </c>
      <c r="H1102">
        <v>1</v>
      </c>
      <c r="I1102">
        <v>20</v>
      </c>
      <c r="J1102" s="3">
        <v>46753</v>
      </c>
      <c r="K1102" s="6">
        <v>0</v>
      </c>
    </row>
    <row r="1103" spans="1:11">
      <c r="A1103" t="str">
        <f t="shared" si="17"/>
        <v>Nemaguard 10 GR 20 X 500 gr468440</v>
      </c>
      <c r="B1103" t="s">
        <v>10922</v>
      </c>
      <c r="C1103" t="s">
        <v>13006</v>
      </c>
      <c r="D1103" t="s">
        <v>15485</v>
      </c>
      <c r="E1103" t="s">
        <v>1434</v>
      </c>
      <c r="F1103">
        <v>20</v>
      </c>
      <c r="G1103">
        <v>1</v>
      </c>
      <c r="H1103">
        <v>1</v>
      </c>
      <c r="I1103">
        <v>20</v>
      </c>
      <c r="J1103" s="3">
        <v>46844</v>
      </c>
      <c r="K1103" s="6">
        <v>0</v>
      </c>
    </row>
    <row r="1104" spans="1:11">
      <c r="A1104" t="str">
        <f t="shared" si="17"/>
        <v>Neo Foxs 200 EC 12 X 800 ml464470</v>
      </c>
      <c r="B1104" t="s">
        <v>10923</v>
      </c>
      <c r="C1104" t="s">
        <v>13007</v>
      </c>
      <c r="D1104" t="s">
        <v>15486</v>
      </c>
      <c r="E1104" t="s">
        <v>1435</v>
      </c>
      <c r="F1104">
        <v>12</v>
      </c>
      <c r="G1104">
        <v>1</v>
      </c>
      <c r="H1104">
        <v>1</v>
      </c>
      <c r="I1104">
        <v>12</v>
      </c>
      <c r="J1104" s="3">
        <v>46447</v>
      </c>
      <c r="K1104" s="6">
        <v>0</v>
      </c>
    </row>
    <row r="1105" spans="1:11">
      <c r="A1105" t="str">
        <f t="shared" si="17"/>
        <v>Neocron 80 OL 15 X 1 ltr470270</v>
      </c>
      <c r="B1105" t="s">
        <v>10924</v>
      </c>
      <c r="C1105" t="s">
        <v>13008</v>
      </c>
      <c r="D1105" t="s">
        <v>15487</v>
      </c>
      <c r="E1105" t="s">
        <v>1436</v>
      </c>
      <c r="F1105">
        <v>15</v>
      </c>
      <c r="G1105">
        <v>1</v>
      </c>
      <c r="H1105">
        <v>1</v>
      </c>
      <c r="I1105">
        <v>15</v>
      </c>
      <c r="J1105" s="3">
        <v>47027</v>
      </c>
      <c r="K1105" s="6">
        <v>0</v>
      </c>
    </row>
    <row r="1106" spans="1:11">
      <c r="A1106" t="str">
        <f t="shared" si="17"/>
        <v>Neocron 80 OL 15 X 1 ltr470580</v>
      </c>
      <c r="B1106" t="s">
        <v>10925</v>
      </c>
      <c r="C1106" t="s">
        <v>13009</v>
      </c>
      <c r="D1106" t="s">
        <v>15488</v>
      </c>
      <c r="E1106" t="s">
        <v>1436</v>
      </c>
      <c r="F1106">
        <v>15</v>
      </c>
      <c r="G1106">
        <v>1</v>
      </c>
      <c r="H1106">
        <v>1</v>
      </c>
      <c r="I1106">
        <v>15</v>
      </c>
      <c r="J1106" s="3">
        <v>47058</v>
      </c>
      <c r="K1106" s="6">
        <v>0</v>
      </c>
    </row>
    <row r="1107" spans="1:11">
      <c r="A1107" t="str">
        <f t="shared" si="17"/>
        <v>Neocron 80 OL 20 X 250 ml469660</v>
      </c>
      <c r="B1107" t="s">
        <v>10926</v>
      </c>
      <c r="C1107" t="s">
        <v>13010</v>
      </c>
      <c r="D1107" t="s">
        <v>15489</v>
      </c>
      <c r="E1107" t="s">
        <v>1437</v>
      </c>
      <c r="F1107">
        <v>20</v>
      </c>
      <c r="G1107">
        <v>1</v>
      </c>
      <c r="H1107">
        <v>1</v>
      </c>
      <c r="I1107">
        <v>20</v>
      </c>
      <c r="J1107" s="3">
        <v>46966</v>
      </c>
      <c r="K1107" s="6">
        <v>0</v>
      </c>
    </row>
    <row r="1108" spans="1:11">
      <c r="A1108" t="str">
        <f t="shared" si="17"/>
        <v>Neocron 80 OL 20 X 250 ml472390</v>
      </c>
      <c r="B1108" t="s">
        <v>10927</v>
      </c>
      <c r="C1108" t="s">
        <v>13011</v>
      </c>
      <c r="D1108" t="s">
        <v>15490</v>
      </c>
      <c r="E1108" t="s">
        <v>1437</v>
      </c>
      <c r="F1108">
        <v>20</v>
      </c>
      <c r="G1108">
        <v>1</v>
      </c>
      <c r="H1108">
        <v>1</v>
      </c>
      <c r="I1108">
        <v>20</v>
      </c>
      <c r="J1108" s="3">
        <v>47239</v>
      </c>
      <c r="K1108" s="6">
        <v>0</v>
      </c>
    </row>
    <row r="1109" spans="1:11">
      <c r="A1109" t="str">
        <f t="shared" si="17"/>
        <v>Neocron 80 OL 20 X 500 ml468740</v>
      </c>
      <c r="B1109" t="s">
        <v>10928</v>
      </c>
      <c r="C1109" t="s">
        <v>13012</v>
      </c>
      <c r="D1109" t="s">
        <v>15491</v>
      </c>
      <c r="E1109" t="s">
        <v>1438</v>
      </c>
      <c r="F1109">
        <v>20</v>
      </c>
      <c r="G1109">
        <v>1</v>
      </c>
      <c r="H1109">
        <v>1</v>
      </c>
      <c r="I1109">
        <v>20</v>
      </c>
      <c r="J1109" s="3">
        <v>46874</v>
      </c>
      <c r="K1109" s="6">
        <v>0</v>
      </c>
    </row>
    <row r="1110" spans="1:11">
      <c r="A1110" t="str">
        <f t="shared" si="17"/>
        <v>Neocron 80 OL 20 X 500 ml468130</v>
      </c>
      <c r="B1110" t="s">
        <v>10929</v>
      </c>
      <c r="C1110" t="s">
        <v>13013</v>
      </c>
      <c r="D1110" t="s">
        <v>15492</v>
      </c>
      <c r="E1110" t="s">
        <v>1438</v>
      </c>
      <c r="F1110">
        <v>20</v>
      </c>
      <c r="G1110">
        <v>1</v>
      </c>
      <c r="H1110">
        <v>1</v>
      </c>
      <c r="I1110">
        <v>20</v>
      </c>
      <c r="J1110" s="3">
        <v>46813</v>
      </c>
      <c r="K1110" s="6">
        <v>0</v>
      </c>
    </row>
    <row r="1111" spans="1:11">
      <c r="A1111" t="str">
        <f t="shared" si="17"/>
        <v>Neocron 80 OL 20 X 500 ml472390</v>
      </c>
      <c r="B1111" t="s">
        <v>10930</v>
      </c>
      <c r="C1111" t="s">
        <v>13014</v>
      </c>
      <c r="D1111" t="s">
        <v>15493</v>
      </c>
      <c r="E1111" t="s">
        <v>1438</v>
      </c>
      <c r="F1111">
        <v>20</v>
      </c>
      <c r="G1111">
        <v>1</v>
      </c>
      <c r="H1111">
        <v>1</v>
      </c>
      <c r="I1111">
        <v>20</v>
      </c>
      <c r="J1111" s="3">
        <v>47239</v>
      </c>
      <c r="K1111" s="6">
        <v>0</v>
      </c>
    </row>
    <row r="1112" spans="1:11">
      <c r="A1112" t="str">
        <f t="shared" si="17"/>
        <v>Neocron 80 OL 20 X 500 ml472090</v>
      </c>
      <c r="B1112" t="s">
        <v>10931</v>
      </c>
      <c r="C1112" t="s">
        <v>13015</v>
      </c>
      <c r="D1112" t="s">
        <v>15494</v>
      </c>
      <c r="E1112" t="s">
        <v>1438</v>
      </c>
      <c r="F1112">
        <v>20</v>
      </c>
      <c r="G1112">
        <v>1</v>
      </c>
      <c r="H1112">
        <v>1</v>
      </c>
      <c r="I1112">
        <v>20</v>
      </c>
      <c r="J1112" s="3">
        <v>47209</v>
      </c>
      <c r="K1112" s="6">
        <v>0</v>
      </c>
    </row>
    <row r="1113" spans="1:11">
      <c r="A1113" t="str">
        <f t="shared" si="17"/>
        <v>Neoroot 16 X 250 gr458700</v>
      </c>
      <c r="B1113" t="s">
        <v>10932</v>
      </c>
      <c r="C1113" t="s">
        <v>13016</v>
      </c>
      <c r="D1113" t="s">
        <v>15495</v>
      </c>
      <c r="E1113" t="s">
        <v>1439</v>
      </c>
      <c r="F1113">
        <v>16</v>
      </c>
      <c r="G1113">
        <v>1</v>
      </c>
      <c r="H1113">
        <v>1</v>
      </c>
      <c r="I1113">
        <v>16</v>
      </c>
      <c r="J1113" s="3">
        <v>45870</v>
      </c>
      <c r="K1113" s="6">
        <v>0</v>
      </c>
    </row>
    <row r="1114" spans="1:11">
      <c r="A1114" t="str">
        <f t="shared" si="17"/>
        <v>Neoroot 16 X 250 gr (Sample)458700</v>
      </c>
      <c r="B1114" t="s">
        <v>10933</v>
      </c>
      <c r="C1114" t="s">
        <v>13017</v>
      </c>
      <c r="D1114" t="s">
        <v>15496</v>
      </c>
      <c r="E1114" t="s">
        <v>1441</v>
      </c>
      <c r="F1114">
        <v>16</v>
      </c>
      <c r="G1114">
        <v>1</v>
      </c>
      <c r="H1114">
        <v>1</v>
      </c>
      <c r="I1114">
        <v>16</v>
      </c>
      <c r="J1114" s="3">
        <v>45870</v>
      </c>
      <c r="K1114" s="6">
        <v>0</v>
      </c>
    </row>
    <row r="1115" spans="1:11">
      <c r="A1115" t="str">
        <f t="shared" si="17"/>
        <v>Neshoga 4 X 75 X 25 ml457170</v>
      </c>
      <c r="B1115" t="s">
        <v>10934</v>
      </c>
      <c r="C1115" t="s">
        <v>13018</v>
      </c>
      <c r="D1115" t="s">
        <v>15497</v>
      </c>
      <c r="E1115" t="s">
        <v>1443</v>
      </c>
      <c r="F1115">
        <v>4</v>
      </c>
      <c r="G1115">
        <v>75</v>
      </c>
      <c r="H1115">
        <v>1</v>
      </c>
      <c r="I1115">
        <v>300</v>
      </c>
      <c r="J1115" s="3">
        <v>45717</v>
      </c>
      <c r="K1115" s="6">
        <v>0</v>
      </c>
    </row>
    <row r="1116" spans="1:11">
      <c r="A1116" t="str">
        <f t="shared" si="17"/>
        <v>Neshoga 4 X 75 X 25 ml474530</v>
      </c>
      <c r="B1116" t="s">
        <v>10935</v>
      </c>
      <c r="C1116" t="s">
        <v>13019</v>
      </c>
      <c r="D1116" t="s">
        <v>15498</v>
      </c>
      <c r="E1116" t="s">
        <v>1443</v>
      </c>
      <c r="F1116">
        <v>4</v>
      </c>
      <c r="G1116">
        <v>75</v>
      </c>
      <c r="H1116">
        <v>1</v>
      </c>
      <c r="I1116">
        <v>300</v>
      </c>
      <c r="J1116" s="3">
        <v>47453</v>
      </c>
      <c r="K1116" s="6">
        <v>0</v>
      </c>
    </row>
    <row r="1117" spans="1:11">
      <c r="A1117" t="str">
        <f t="shared" si="17"/>
        <v>New Naptalin (Sample)1/1/10000</v>
      </c>
      <c r="B1117" t="s">
        <v>10936</v>
      </c>
      <c r="C1117" t="s">
        <v>13020</v>
      </c>
      <c r="D1117" t="s">
        <v>15499</v>
      </c>
      <c r="E1117" t="s">
        <v>1444</v>
      </c>
      <c r="F1117">
        <v>1</v>
      </c>
      <c r="G1117">
        <v>1</v>
      </c>
      <c r="H1117">
        <v>1</v>
      </c>
      <c r="I1117">
        <v>1</v>
      </c>
      <c r="J1117" s="3" t="s">
        <v>2222</v>
      </c>
      <c r="K1117" s="6">
        <v>0</v>
      </c>
    </row>
    <row r="1118" spans="1:11">
      <c r="A1118" t="str">
        <f t="shared" si="17"/>
        <v>Nokia 150 TA-1235DS New1/1/10000</v>
      </c>
      <c r="B1118" t="s">
        <v>10937</v>
      </c>
      <c r="C1118" t="s">
        <v>13021</v>
      </c>
      <c r="D1118" t="s">
        <v>15500</v>
      </c>
      <c r="E1118" t="s">
        <v>1445</v>
      </c>
      <c r="F1118">
        <v>1</v>
      </c>
      <c r="G1118">
        <v>1</v>
      </c>
      <c r="H1118">
        <v>1</v>
      </c>
      <c r="I1118">
        <v>1</v>
      </c>
      <c r="J1118" s="3" t="s">
        <v>2222</v>
      </c>
      <c r="K1118" s="6">
        <v>0</v>
      </c>
    </row>
    <row r="1119" spans="1:11">
      <c r="A1119" t="str">
        <f t="shared" si="17"/>
        <v>Nokia 2101/1/10000</v>
      </c>
      <c r="B1119" t="s">
        <v>10938</v>
      </c>
      <c r="C1119" t="s">
        <v>13022</v>
      </c>
      <c r="D1119" t="s">
        <v>15501</v>
      </c>
      <c r="E1119" t="s">
        <v>1446</v>
      </c>
      <c r="F1119">
        <v>1</v>
      </c>
      <c r="G1119">
        <v>1</v>
      </c>
      <c r="H1119">
        <v>1</v>
      </c>
      <c r="I1119">
        <v>1</v>
      </c>
      <c r="J1119" s="3" t="s">
        <v>2222</v>
      </c>
      <c r="K1119" s="6">
        <v>0</v>
      </c>
    </row>
    <row r="1120" spans="1:11">
      <c r="A1120" t="str">
        <f t="shared" si="17"/>
        <v>Nokia 53101/1/10000</v>
      </c>
      <c r="B1120" t="s">
        <v>10939</v>
      </c>
      <c r="C1120" t="s">
        <v>13023</v>
      </c>
      <c r="D1120" t="s">
        <v>15502</v>
      </c>
      <c r="E1120" t="s">
        <v>1447</v>
      </c>
      <c r="F1120">
        <v>1</v>
      </c>
      <c r="G1120">
        <v>1</v>
      </c>
      <c r="H1120">
        <v>1</v>
      </c>
      <c r="I1120">
        <v>1</v>
      </c>
      <c r="J1120" s="3" t="s">
        <v>2222</v>
      </c>
      <c r="K1120" s="6">
        <v>0</v>
      </c>
    </row>
    <row r="1121" spans="1:11">
      <c r="A1121" t="str">
        <f t="shared" si="17"/>
        <v>Nosel N-021/1/10000</v>
      </c>
      <c r="B1121" t="s">
        <v>10940</v>
      </c>
      <c r="C1121" t="s">
        <v>13024</v>
      </c>
      <c r="D1121" t="s">
        <v>15503</v>
      </c>
      <c r="E1121" t="s">
        <v>1448</v>
      </c>
      <c r="F1121">
        <v>1</v>
      </c>
      <c r="G1121">
        <v>1</v>
      </c>
      <c r="H1121">
        <v>1</v>
      </c>
      <c r="I1121">
        <v>1</v>
      </c>
      <c r="J1121" s="3" t="s">
        <v>2222</v>
      </c>
      <c r="K1121" s="6">
        <v>0</v>
      </c>
    </row>
    <row r="1122" spans="1:11">
      <c r="A1122" t="str">
        <f t="shared" si="17"/>
        <v>Nosel N-061/1/10000</v>
      </c>
      <c r="B1122" t="s">
        <v>10941</v>
      </c>
      <c r="C1122" t="s">
        <v>13025</v>
      </c>
      <c r="D1122" t="s">
        <v>15504</v>
      </c>
      <c r="E1122" t="s">
        <v>1449</v>
      </c>
      <c r="F1122">
        <v>1</v>
      </c>
      <c r="G1122">
        <v>1</v>
      </c>
      <c r="H1122">
        <v>1</v>
      </c>
      <c r="I1122">
        <v>1</v>
      </c>
      <c r="J1122" s="3" t="s">
        <v>2222</v>
      </c>
      <c r="K1122" s="6">
        <v>0</v>
      </c>
    </row>
    <row r="1123" spans="1:11">
      <c r="A1123" t="str">
        <f t="shared" si="17"/>
        <v>Nosel N-071/1/10000</v>
      </c>
      <c r="B1123" t="s">
        <v>10942</v>
      </c>
      <c r="C1123" t="s">
        <v>13026</v>
      </c>
      <c r="D1123" t="s">
        <v>15505</v>
      </c>
      <c r="E1123" t="s">
        <v>1450</v>
      </c>
      <c r="F1123">
        <v>1</v>
      </c>
      <c r="G1123">
        <v>1</v>
      </c>
      <c r="H1123">
        <v>1</v>
      </c>
      <c r="I1123">
        <v>1</v>
      </c>
      <c r="J1123" s="3" t="s">
        <v>2222</v>
      </c>
      <c r="K1123" s="6">
        <v>0</v>
      </c>
    </row>
    <row r="1124" spans="1:11">
      <c r="A1124" t="str">
        <f t="shared" si="17"/>
        <v>Nosel Tutup KSB 3651/1/10000</v>
      </c>
      <c r="B1124" t="s">
        <v>10943</v>
      </c>
      <c r="C1124" t="s">
        <v>13027</v>
      </c>
      <c r="D1124" t="s">
        <v>15506</v>
      </c>
      <c r="E1124" t="s">
        <v>1451</v>
      </c>
      <c r="F1124">
        <v>1</v>
      </c>
      <c r="G1124">
        <v>1</v>
      </c>
      <c r="H1124">
        <v>1</v>
      </c>
      <c r="I1124">
        <v>1</v>
      </c>
      <c r="J1124" s="3" t="s">
        <v>2222</v>
      </c>
      <c r="K1124" s="6">
        <v>0</v>
      </c>
    </row>
    <row r="1125" spans="1:11">
      <c r="A1125" t="str">
        <f t="shared" si="17"/>
        <v>Nosel Tutup KSK 2351/1/10000</v>
      </c>
      <c r="B1125" t="s">
        <v>10944</v>
      </c>
      <c r="C1125" t="s">
        <v>13028</v>
      </c>
      <c r="D1125" t="s">
        <v>15507</v>
      </c>
      <c r="E1125" t="s">
        <v>1452</v>
      </c>
      <c r="F1125">
        <v>1</v>
      </c>
      <c r="G1125">
        <v>1</v>
      </c>
      <c r="H1125">
        <v>1</v>
      </c>
      <c r="I1125">
        <v>1</v>
      </c>
      <c r="J1125" s="3" t="s">
        <v>2222</v>
      </c>
      <c r="K1125" s="6">
        <v>0</v>
      </c>
    </row>
    <row r="1126" spans="1:11">
      <c r="A1126" t="str">
        <f t="shared" si="17"/>
        <v>Nostro 440 EC 20 X 500 ml469350</v>
      </c>
      <c r="B1126" t="s">
        <v>10945</v>
      </c>
      <c r="C1126" t="s">
        <v>13029</v>
      </c>
      <c r="D1126" t="s">
        <v>15508</v>
      </c>
      <c r="E1126" t="s">
        <v>1453</v>
      </c>
      <c r="F1126">
        <v>20</v>
      </c>
      <c r="G1126">
        <v>1</v>
      </c>
      <c r="H1126">
        <v>1</v>
      </c>
      <c r="I1126">
        <v>20</v>
      </c>
      <c r="J1126" s="3">
        <v>46935</v>
      </c>
      <c r="K1126" s="6">
        <v>0</v>
      </c>
    </row>
    <row r="1127" spans="1:11">
      <c r="A1127" t="str">
        <f t="shared" si="17"/>
        <v>Nostro 440 EC 20 X 500 ml ( label hijau )472700</v>
      </c>
      <c r="B1127" t="s">
        <v>10946</v>
      </c>
      <c r="C1127" t="s">
        <v>13030</v>
      </c>
      <c r="D1127" t="s">
        <v>15509</v>
      </c>
      <c r="E1127" t="s">
        <v>1455</v>
      </c>
      <c r="F1127">
        <v>20</v>
      </c>
      <c r="G1127">
        <v>1</v>
      </c>
      <c r="H1127">
        <v>1</v>
      </c>
      <c r="I1127">
        <v>20</v>
      </c>
      <c r="J1127" s="3">
        <v>47270</v>
      </c>
      <c r="K1127" s="6">
        <v>0</v>
      </c>
    </row>
    <row r="1128" spans="1:11">
      <c r="A1128" t="str">
        <f t="shared" si="17"/>
        <v>Nostro 440 EC 40 X 250 ml469350</v>
      </c>
      <c r="B1128" t="s">
        <v>10947</v>
      </c>
      <c r="C1128" t="s">
        <v>13031</v>
      </c>
      <c r="D1128" t="s">
        <v>15510</v>
      </c>
      <c r="E1128" t="s">
        <v>1457</v>
      </c>
      <c r="F1128">
        <v>40</v>
      </c>
      <c r="G1128">
        <v>1</v>
      </c>
      <c r="H1128">
        <v>1</v>
      </c>
      <c r="I1128">
        <v>40</v>
      </c>
      <c r="J1128" s="3">
        <v>46935</v>
      </c>
      <c r="K1128" s="6">
        <v>0</v>
      </c>
    </row>
    <row r="1129" spans="1:11">
      <c r="A1129" t="str">
        <f t="shared" si="17"/>
        <v>Nostro 440 EC 40 X 250 ml ( label hijau )472700</v>
      </c>
      <c r="B1129" t="s">
        <v>10948</v>
      </c>
      <c r="C1129" t="s">
        <v>13032</v>
      </c>
      <c r="D1129" t="s">
        <v>15511</v>
      </c>
      <c r="E1129" t="s">
        <v>1458</v>
      </c>
      <c r="F1129">
        <v>40</v>
      </c>
      <c r="G1129">
        <v>1</v>
      </c>
      <c r="H1129">
        <v>1</v>
      </c>
      <c r="I1129">
        <v>40</v>
      </c>
      <c r="J1129" s="3">
        <v>47270</v>
      </c>
      <c r="K1129" s="6">
        <v>0</v>
      </c>
    </row>
    <row r="1130" spans="1:11">
      <c r="A1130" t="str">
        <f t="shared" si="17"/>
        <v>Nozzle YT 4L, 5L, 7L &amp; 9L1/1/10000</v>
      </c>
      <c r="B1130" t="s">
        <v>10949</v>
      </c>
      <c r="C1130" t="s">
        <v>13033</v>
      </c>
      <c r="D1130" t="s">
        <v>15512</v>
      </c>
      <c r="E1130" t="s">
        <v>1459</v>
      </c>
      <c r="F1130">
        <v>1</v>
      </c>
      <c r="G1130">
        <v>1</v>
      </c>
      <c r="H1130">
        <v>1</v>
      </c>
      <c r="I1130">
        <v>1</v>
      </c>
      <c r="J1130" s="3" t="s">
        <v>2222</v>
      </c>
      <c r="K1130" s="6">
        <v>0</v>
      </c>
    </row>
    <row r="1131" spans="1:11">
      <c r="A1131" t="str">
        <f t="shared" si="17"/>
        <v>NPK 12-12-17 MPS 25 kg460230</v>
      </c>
      <c r="B1131" t="s">
        <v>10950</v>
      </c>
      <c r="C1131" t="s">
        <v>13034</v>
      </c>
      <c r="D1131" t="s">
        <v>15513</v>
      </c>
      <c r="E1131" t="s">
        <v>1460</v>
      </c>
      <c r="F1131">
        <v>1</v>
      </c>
      <c r="G1131">
        <v>1</v>
      </c>
      <c r="H1131">
        <v>1</v>
      </c>
      <c r="I1131">
        <v>1</v>
      </c>
      <c r="J1131" s="3">
        <v>46023</v>
      </c>
      <c r="K1131" s="6">
        <v>0</v>
      </c>
    </row>
    <row r="1132" spans="1:11">
      <c r="A1132" t="str">
        <f t="shared" si="17"/>
        <v>NPK 15-10-22 Magnum 50 kg463880</v>
      </c>
      <c r="B1132" t="s">
        <v>10951</v>
      </c>
      <c r="C1132" t="s">
        <v>13035</v>
      </c>
      <c r="D1132" t="s">
        <v>15514</v>
      </c>
      <c r="E1132" t="s">
        <v>1461</v>
      </c>
      <c r="F1132">
        <v>1</v>
      </c>
      <c r="G1132">
        <v>1</v>
      </c>
      <c r="H1132">
        <v>1</v>
      </c>
      <c r="I1132">
        <v>1</v>
      </c>
      <c r="J1132" s="3">
        <v>46388</v>
      </c>
      <c r="K1132" s="6">
        <v>0</v>
      </c>
    </row>
    <row r="1133" spans="1:11">
      <c r="A1133" t="str">
        <f t="shared" si="17"/>
        <v>NPK 15-10-22 Magnum 50 kg464470</v>
      </c>
      <c r="B1133" t="s">
        <v>10952</v>
      </c>
      <c r="C1133" t="s">
        <v>13036</v>
      </c>
      <c r="D1133" t="s">
        <v>15515</v>
      </c>
      <c r="E1133" t="s">
        <v>1461</v>
      </c>
      <c r="F1133">
        <v>1</v>
      </c>
      <c r="G1133">
        <v>1</v>
      </c>
      <c r="H1133">
        <v>1</v>
      </c>
      <c r="I1133">
        <v>1</v>
      </c>
      <c r="J1133" s="3">
        <v>46447</v>
      </c>
      <c r="K1133" s="6">
        <v>0</v>
      </c>
    </row>
    <row r="1134" spans="1:11">
      <c r="A1134" t="str">
        <f t="shared" si="17"/>
        <v>NPK 16.16.16+2 MPS 50 kg456580</v>
      </c>
      <c r="B1134" t="s">
        <v>10953</v>
      </c>
      <c r="C1134" t="s">
        <v>13037</v>
      </c>
      <c r="D1134" t="s">
        <v>15516</v>
      </c>
      <c r="E1134" t="s">
        <v>1463</v>
      </c>
      <c r="F1134">
        <v>1</v>
      </c>
      <c r="G1134">
        <v>1</v>
      </c>
      <c r="H1134">
        <v>1</v>
      </c>
      <c r="I1134">
        <v>1</v>
      </c>
      <c r="J1134" s="3">
        <v>45658</v>
      </c>
      <c r="K1134" s="6">
        <v>0</v>
      </c>
    </row>
    <row r="1135" spans="1:11">
      <c r="A1135" t="str">
        <f t="shared" si="17"/>
        <v>NPK 17-17-17 MPS 20 kg460540</v>
      </c>
      <c r="B1135" t="s">
        <v>10954</v>
      </c>
      <c r="C1135" t="s">
        <v>13038</v>
      </c>
      <c r="D1135" t="s">
        <v>15517</v>
      </c>
      <c r="E1135" t="s">
        <v>1464</v>
      </c>
      <c r="F1135">
        <v>1</v>
      </c>
      <c r="G1135">
        <v>1</v>
      </c>
      <c r="H1135">
        <v>1</v>
      </c>
      <c r="I1135">
        <v>1</v>
      </c>
      <c r="J1135" s="3">
        <v>46054</v>
      </c>
      <c r="K1135" s="6">
        <v>0</v>
      </c>
    </row>
    <row r="1136" spans="1:11">
      <c r="A1136" t="str">
        <f t="shared" si="17"/>
        <v>NPK Dinar 15-9-20 25 kg1/1/10000</v>
      </c>
      <c r="B1136" t="s">
        <v>10955</v>
      </c>
      <c r="C1136" t="s">
        <v>13039</v>
      </c>
      <c r="D1136" t="s">
        <v>15518</v>
      </c>
      <c r="E1136" t="s">
        <v>1465</v>
      </c>
      <c r="F1136">
        <v>1</v>
      </c>
      <c r="G1136">
        <v>1</v>
      </c>
      <c r="H1136">
        <v>1</v>
      </c>
      <c r="I1136">
        <v>1</v>
      </c>
      <c r="J1136" s="3" t="s">
        <v>2222</v>
      </c>
      <c r="K1136" s="6">
        <v>0</v>
      </c>
    </row>
    <row r="1137" spans="1:11">
      <c r="A1137" t="str">
        <f t="shared" si="17"/>
        <v>NPK Multidaya 10-10-10 20 kg452920</v>
      </c>
      <c r="B1137" t="s">
        <v>10956</v>
      </c>
      <c r="C1137" t="s">
        <v>13040</v>
      </c>
      <c r="D1137" t="s">
        <v>15519</v>
      </c>
      <c r="E1137" t="s">
        <v>1466</v>
      </c>
      <c r="F1137">
        <v>1</v>
      </c>
      <c r="G1137">
        <v>1</v>
      </c>
      <c r="H1137">
        <v>1</v>
      </c>
      <c r="I1137">
        <v>1</v>
      </c>
      <c r="J1137" s="3">
        <v>45292</v>
      </c>
      <c r="K1137" s="6">
        <v>0</v>
      </c>
    </row>
    <row r="1138" spans="1:11">
      <c r="A1138" t="str">
        <f t="shared" si="17"/>
        <v>NPK Novatec 12-12-17 25 kg470580</v>
      </c>
      <c r="B1138" t="s">
        <v>10957</v>
      </c>
      <c r="C1138" t="s">
        <v>13041</v>
      </c>
      <c r="D1138" t="s">
        <v>15520</v>
      </c>
      <c r="E1138" t="s">
        <v>1467</v>
      </c>
      <c r="F1138">
        <v>1</v>
      </c>
      <c r="G1138">
        <v>1</v>
      </c>
      <c r="H1138">
        <v>1</v>
      </c>
      <c r="I1138">
        <v>1</v>
      </c>
      <c r="J1138" s="3">
        <v>47058</v>
      </c>
      <c r="K1138" s="6">
        <v>0</v>
      </c>
    </row>
    <row r="1139" spans="1:11">
      <c r="A1139" t="str">
        <f t="shared" si="17"/>
        <v>NPK P Tani 16-16-16 Biru 50 kg465080</v>
      </c>
      <c r="B1139" t="s">
        <v>10958</v>
      </c>
      <c r="C1139" t="s">
        <v>13042</v>
      </c>
      <c r="D1139" t="s">
        <v>15521</v>
      </c>
      <c r="E1139" t="s">
        <v>1468</v>
      </c>
      <c r="F1139">
        <v>1</v>
      </c>
      <c r="G1139">
        <v>1</v>
      </c>
      <c r="H1139">
        <v>1</v>
      </c>
      <c r="I1139">
        <v>1</v>
      </c>
      <c r="J1139" s="3">
        <v>46508</v>
      </c>
      <c r="K1139" s="6">
        <v>0</v>
      </c>
    </row>
    <row r="1140" spans="1:11">
      <c r="A1140" t="str">
        <f t="shared" si="17"/>
        <v>NPK SiNutriHS 13-6-27-4+TE Booster (Hijau) NPG 25 kg1/1/10000</v>
      </c>
      <c r="B1140" t="s">
        <v>10959</v>
      </c>
      <c r="C1140" t="s">
        <v>13043</v>
      </c>
      <c r="D1140" t="s">
        <v>15522</v>
      </c>
      <c r="E1140" t="s">
        <v>1471</v>
      </c>
      <c r="F1140">
        <v>1</v>
      </c>
      <c r="G1140">
        <v>1</v>
      </c>
      <c r="H1140">
        <v>1</v>
      </c>
      <c r="I1140">
        <v>1</v>
      </c>
      <c r="J1140" s="3" t="s">
        <v>2222</v>
      </c>
      <c r="K1140" s="6">
        <v>0</v>
      </c>
    </row>
    <row r="1141" spans="1:11">
      <c r="A1141" t="str">
        <f t="shared" si="17"/>
        <v>NPK SiNutriHS 13-6-27-4+TE Booster (Hijau) NPG 50 kg460820</v>
      </c>
      <c r="B1141" t="s">
        <v>10960</v>
      </c>
      <c r="C1141" t="s">
        <v>13044</v>
      </c>
      <c r="D1141" t="s">
        <v>15523</v>
      </c>
      <c r="E1141" t="s">
        <v>1472</v>
      </c>
      <c r="F1141">
        <v>1</v>
      </c>
      <c r="G1141">
        <v>1</v>
      </c>
      <c r="H1141">
        <v>1</v>
      </c>
      <c r="I1141">
        <v>1</v>
      </c>
      <c r="J1141" s="3">
        <v>46082</v>
      </c>
      <c r="K1141" s="6">
        <v>0</v>
      </c>
    </row>
    <row r="1142" spans="1:11">
      <c r="A1142" t="str">
        <f t="shared" si="17"/>
        <v>NPK SiNutriHS 13-6-27-4+TE Booster (Hijau) NPG 500gr (Sample)1/1/10000</v>
      </c>
      <c r="B1142" t="s">
        <v>10961</v>
      </c>
      <c r="C1142" t="s">
        <v>13045</v>
      </c>
      <c r="D1142" t="s">
        <v>15524</v>
      </c>
      <c r="E1142" t="s">
        <v>1473</v>
      </c>
      <c r="F1142">
        <v>1</v>
      </c>
      <c r="G1142">
        <v>1</v>
      </c>
      <c r="H1142">
        <v>1</v>
      </c>
      <c r="I1142">
        <v>1</v>
      </c>
      <c r="J1142" s="3" t="s">
        <v>2222</v>
      </c>
      <c r="K1142" s="6">
        <v>0</v>
      </c>
    </row>
    <row r="1143" spans="1:11">
      <c r="A1143" t="str">
        <f t="shared" si="17"/>
        <v>NPK SiNutriHS 13-6-27-4+TE Booster (Hijau) NPG 8 X 5 kg458700</v>
      </c>
      <c r="B1143" t="s">
        <v>10962</v>
      </c>
      <c r="C1143" t="s">
        <v>13046</v>
      </c>
      <c r="D1143" t="s">
        <v>15525</v>
      </c>
      <c r="E1143" t="s">
        <v>1474</v>
      </c>
      <c r="F1143">
        <v>8</v>
      </c>
      <c r="G1143">
        <v>1</v>
      </c>
      <c r="H1143">
        <v>1</v>
      </c>
      <c r="I1143">
        <v>8</v>
      </c>
      <c r="J1143" s="3">
        <v>45870</v>
      </c>
      <c r="K1143" s="6">
        <v>0</v>
      </c>
    </row>
    <row r="1144" spans="1:11">
      <c r="A1144" t="str">
        <f t="shared" si="17"/>
        <v>NPK SiNutriHS 16-16-16+TE (Biru) NPG 25 kg1/1/10000</v>
      </c>
      <c r="B1144" t="s">
        <v>10963</v>
      </c>
      <c r="C1144" t="s">
        <v>13047</v>
      </c>
      <c r="D1144" t="s">
        <v>15526</v>
      </c>
      <c r="E1144" t="s">
        <v>1475</v>
      </c>
      <c r="F1144">
        <v>1</v>
      </c>
      <c r="G1144">
        <v>1</v>
      </c>
      <c r="H1144">
        <v>1</v>
      </c>
      <c r="I1144">
        <v>1</v>
      </c>
      <c r="J1144" s="3" t="s">
        <v>2222</v>
      </c>
      <c r="K1144" s="6">
        <v>0</v>
      </c>
    </row>
    <row r="1145" spans="1:11">
      <c r="A1145" t="str">
        <f t="shared" si="17"/>
        <v>NPK SiNutriHS 16-16-16+TE (Biru) NPG 25 kg460820</v>
      </c>
      <c r="B1145" t="s">
        <v>10964</v>
      </c>
      <c r="C1145" t="s">
        <v>13048</v>
      </c>
      <c r="D1145" t="s">
        <v>15527</v>
      </c>
      <c r="E1145" t="s">
        <v>1475</v>
      </c>
      <c r="F1145">
        <v>1</v>
      </c>
      <c r="G1145">
        <v>1</v>
      </c>
      <c r="H1145">
        <v>1</v>
      </c>
      <c r="I1145">
        <v>1</v>
      </c>
      <c r="J1145" s="3">
        <v>46082</v>
      </c>
      <c r="K1145" s="6">
        <v>0</v>
      </c>
    </row>
    <row r="1146" spans="1:11">
      <c r="A1146" t="str">
        <f t="shared" si="17"/>
        <v>NPK SiNutriHS 16-16-16+TE (Biru) NPG 50 kg460820</v>
      </c>
      <c r="B1146" t="s">
        <v>10965</v>
      </c>
      <c r="C1146" t="s">
        <v>13049</v>
      </c>
      <c r="D1146" t="s">
        <v>15528</v>
      </c>
      <c r="E1146" t="s">
        <v>1476</v>
      </c>
      <c r="F1146">
        <v>1</v>
      </c>
      <c r="G1146">
        <v>1</v>
      </c>
      <c r="H1146">
        <v>1</v>
      </c>
      <c r="I1146">
        <v>1</v>
      </c>
      <c r="J1146" s="3">
        <v>46082</v>
      </c>
      <c r="K1146" s="6">
        <v>0</v>
      </c>
    </row>
    <row r="1147" spans="1:11">
      <c r="A1147" t="str">
        <f t="shared" si="17"/>
        <v>NPK SiNutriHS 16-16-16+TE (Biru) NPG 500gr (Sample)1/1/10000</v>
      </c>
      <c r="B1147" t="s">
        <v>10966</v>
      </c>
      <c r="C1147" t="s">
        <v>13050</v>
      </c>
      <c r="D1147" t="s">
        <v>15529</v>
      </c>
      <c r="E1147" t="s">
        <v>1477</v>
      </c>
      <c r="F1147">
        <v>1</v>
      </c>
      <c r="G1147">
        <v>1</v>
      </c>
      <c r="H1147">
        <v>1</v>
      </c>
      <c r="I1147">
        <v>1</v>
      </c>
      <c r="J1147" s="3" t="s">
        <v>2222</v>
      </c>
      <c r="K1147" s="6">
        <v>0</v>
      </c>
    </row>
    <row r="1148" spans="1:11">
      <c r="A1148" t="str">
        <f t="shared" si="17"/>
        <v>NPK SiNutriHS 16-16-16+TE (Biru) NPG 8 X 5 kg460820</v>
      </c>
      <c r="B1148" t="s">
        <v>10967</v>
      </c>
      <c r="C1148" t="s">
        <v>13051</v>
      </c>
      <c r="D1148" t="s">
        <v>15530</v>
      </c>
      <c r="E1148" t="s">
        <v>1478</v>
      </c>
      <c r="F1148">
        <v>8</v>
      </c>
      <c r="G1148">
        <v>1</v>
      </c>
      <c r="H1148">
        <v>1</v>
      </c>
      <c r="I1148">
        <v>8</v>
      </c>
      <c r="J1148" s="3">
        <v>46082</v>
      </c>
      <c r="K1148" s="6">
        <v>0</v>
      </c>
    </row>
    <row r="1149" spans="1:11">
      <c r="A1149" t="str">
        <f t="shared" si="17"/>
        <v>Odeon 75 WP 16 X 500 gr470270</v>
      </c>
      <c r="B1149" t="s">
        <v>10968</v>
      </c>
      <c r="C1149" t="s">
        <v>13052</v>
      </c>
      <c r="D1149" t="s">
        <v>15531</v>
      </c>
      <c r="E1149" t="s">
        <v>1479</v>
      </c>
      <c r="F1149">
        <v>16</v>
      </c>
      <c r="G1149">
        <v>1</v>
      </c>
      <c r="H1149">
        <v>1</v>
      </c>
      <c r="I1149">
        <v>16</v>
      </c>
      <c r="J1149" s="3">
        <v>47027</v>
      </c>
      <c r="K1149" s="6">
        <v>0</v>
      </c>
    </row>
    <row r="1150" spans="1:11">
      <c r="A1150" t="str">
        <f t="shared" si="17"/>
        <v>Oplosan 550/60 EC 10 X 800 ml462040</v>
      </c>
      <c r="B1150" t="s">
        <v>10969</v>
      </c>
      <c r="C1150" t="s">
        <v>13053</v>
      </c>
      <c r="D1150" t="s">
        <v>15532</v>
      </c>
      <c r="E1150" t="s">
        <v>1481</v>
      </c>
      <c r="F1150">
        <v>10</v>
      </c>
      <c r="G1150">
        <v>1</v>
      </c>
      <c r="H1150">
        <v>1</v>
      </c>
      <c r="I1150">
        <v>10</v>
      </c>
      <c r="J1150" s="3">
        <v>46204</v>
      </c>
      <c r="K1150" s="6">
        <v>0</v>
      </c>
    </row>
    <row r="1151" spans="1:11">
      <c r="A1151" t="str">
        <f t="shared" si="17"/>
        <v>Oplosan 550/60 EC 20 X 400 ml461430</v>
      </c>
      <c r="B1151" t="s">
        <v>10970</v>
      </c>
      <c r="C1151" t="s">
        <v>13054</v>
      </c>
      <c r="D1151" t="s">
        <v>15533</v>
      </c>
      <c r="E1151" t="s">
        <v>1482</v>
      </c>
      <c r="F1151">
        <v>20</v>
      </c>
      <c r="G1151">
        <v>1</v>
      </c>
      <c r="H1151">
        <v>1</v>
      </c>
      <c r="I1151">
        <v>20</v>
      </c>
      <c r="J1151" s="3">
        <v>46143</v>
      </c>
      <c r="K1151" s="6">
        <v>0</v>
      </c>
    </row>
    <row r="1152" spans="1:11">
      <c r="A1152" t="str">
        <f t="shared" si="17"/>
        <v>Oplosan 550/60 EC 20 X 400 ml462040</v>
      </c>
      <c r="B1152" t="s">
        <v>10971</v>
      </c>
      <c r="C1152" t="s">
        <v>13055</v>
      </c>
      <c r="D1152" t="s">
        <v>15534</v>
      </c>
      <c r="E1152" t="s">
        <v>1482</v>
      </c>
      <c r="F1152">
        <v>20</v>
      </c>
      <c r="G1152">
        <v>1</v>
      </c>
      <c r="H1152">
        <v>1</v>
      </c>
      <c r="I1152">
        <v>20</v>
      </c>
      <c r="J1152" s="3">
        <v>46204</v>
      </c>
      <c r="K1152" s="6">
        <v>0</v>
      </c>
    </row>
    <row r="1153" spans="1:11">
      <c r="A1153" t="str">
        <f t="shared" si="17"/>
        <v>Oplosan 550/60 EC 20 X 400 ml462960</v>
      </c>
      <c r="B1153" t="s">
        <v>10972</v>
      </c>
      <c r="C1153" t="s">
        <v>13056</v>
      </c>
      <c r="D1153" t="s">
        <v>15535</v>
      </c>
      <c r="E1153" t="s">
        <v>1482</v>
      </c>
      <c r="F1153">
        <v>20</v>
      </c>
      <c r="G1153">
        <v>1</v>
      </c>
      <c r="H1153">
        <v>1</v>
      </c>
      <c r="I1153">
        <v>20</v>
      </c>
      <c r="J1153" s="3">
        <v>46296</v>
      </c>
      <c r="K1153" s="6">
        <v>0</v>
      </c>
    </row>
    <row r="1154" spans="1:11">
      <c r="A1154" t="str">
        <f t="shared" si="17"/>
        <v>Oplosan 550/60 EC 40 X 200 ml464190</v>
      </c>
      <c r="B1154" t="s">
        <v>10973</v>
      </c>
      <c r="C1154" t="s">
        <v>13057</v>
      </c>
      <c r="D1154" t="s">
        <v>15536</v>
      </c>
      <c r="E1154" t="s">
        <v>1483</v>
      </c>
      <c r="F1154">
        <v>40</v>
      </c>
      <c r="G1154">
        <v>1</v>
      </c>
      <c r="H1154">
        <v>1</v>
      </c>
      <c r="I1154">
        <v>40</v>
      </c>
      <c r="J1154" s="3">
        <v>46419</v>
      </c>
      <c r="K1154" s="6">
        <v>0</v>
      </c>
    </row>
    <row r="1155" spans="1:11">
      <c r="A1155" t="str">
        <f t="shared" ref="A1155:A1218" si="18">E1155&amp;J1155&amp;K1155</f>
        <v>Oplosan 550/60 EC 50 X 80 ml464470</v>
      </c>
      <c r="B1155" t="s">
        <v>10974</v>
      </c>
      <c r="C1155" t="s">
        <v>13058</v>
      </c>
      <c r="D1155" t="s">
        <v>15537</v>
      </c>
      <c r="E1155" t="s">
        <v>1484</v>
      </c>
      <c r="F1155">
        <v>50</v>
      </c>
      <c r="G1155">
        <v>1</v>
      </c>
      <c r="H1155">
        <v>1</v>
      </c>
      <c r="I1155">
        <v>50</v>
      </c>
      <c r="J1155" s="3">
        <v>46447</v>
      </c>
      <c r="K1155" s="6">
        <v>0</v>
      </c>
    </row>
    <row r="1156" spans="1:11">
      <c r="A1156" t="str">
        <f t="shared" si="18"/>
        <v>Oplosan 550/60 EC 50 X 80 ml464780</v>
      </c>
      <c r="B1156" t="s">
        <v>10975</v>
      </c>
      <c r="C1156" t="s">
        <v>13059</v>
      </c>
      <c r="D1156" t="s">
        <v>15538</v>
      </c>
      <c r="E1156" t="s">
        <v>1484</v>
      </c>
      <c r="F1156">
        <v>50</v>
      </c>
      <c r="G1156">
        <v>1</v>
      </c>
      <c r="H1156">
        <v>1</v>
      </c>
      <c r="I1156">
        <v>50</v>
      </c>
      <c r="J1156" s="3">
        <v>46478</v>
      </c>
      <c r="K1156" s="6">
        <v>0</v>
      </c>
    </row>
    <row r="1157" spans="1:11">
      <c r="A1157" t="str">
        <f t="shared" si="18"/>
        <v>Orca 480 SL 20 ltr471500</v>
      </c>
      <c r="B1157" t="s">
        <v>10976</v>
      </c>
      <c r="C1157" t="s">
        <v>13060</v>
      </c>
      <c r="D1157" t="s">
        <v>15539</v>
      </c>
      <c r="E1157" t="s">
        <v>1485</v>
      </c>
      <c r="F1157">
        <v>1</v>
      </c>
      <c r="G1157">
        <v>1</v>
      </c>
      <c r="H1157">
        <v>1</v>
      </c>
      <c r="I1157">
        <v>1</v>
      </c>
      <c r="J1157" s="3">
        <v>47150</v>
      </c>
      <c r="K1157" s="6">
        <v>0</v>
      </c>
    </row>
    <row r="1158" spans="1:11">
      <c r="A1158" t="str">
        <f t="shared" si="18"/>
        <v>Orca 480 SL 20 X 1 ltr471190</v>
      </c>
      <c r="B1158" t="s">
        <v>10977</v>
      </c>
      <c r="C1158" t="s">
        <v>13061</v>
      </c>
      <c r="D1158" t="s">
        <v>15540</v>
      </c>
      <c r="E1158" t="s">
        <v>1486</v>
      </c>
      <c r="F1158">
        <v>20</v>
      </c>
      <c r="G1158">
        <v>1</v>
      </c>
      <c r="H1158">
        <v>1</v>
      </c>
      <c r="I1158">
        <v>20</v>
      </c>
      <c r="J1158" s="3">
        <v>47119</v>
      </c>
      <c r="K1158" s="6">
        <v>0</v>
      </c>
    </row>
    <row r="1159" spans="1:11">
      <c r="A1159" t="str">
        <f t="shared" si="18"/>
        <v>Orondis Opti 6/400 SC 20 X 500 ml457780</v>
      </c>
      <c r="B1159" t="s">
        <v>10978</v>
      </c>
      <c r="C1159" t="s">
        <v>13062</v>
      </c>
      <c r="D1159" t="s">
        <v>15541</v>
      </c>
      <c r="E1159" t="s">
        <v>1487</v>
      </c>
      <c r="F1159">
        <v>20</v>
      </c>
      <c r="G1159">
        <v>1</v>
      </c>
      <c r="H1159">
        <v>1</v>
      </c>
      <c r="I1159">
        <v>20</v>
      </c>
      <c r="J1159" s="3">
        <v>45778</v>
      </c>
      <c r="K1159" s="6">
        <v>0</v>
      </c>
    </row>
    <row r="1160" spans="1:11">
      <c r="A1160" t="str">
        <f t="shared" si="18"/>
        <v>Orondis Opti 6/400 SC 20 X 500 ml468740</v>
      </c>
      <c r="B1160" t="s">
        <v>10979</v>
      </c>
      <c r="C1160" t="s">
        <v>13063</v>
      </c>
      <c r="D1160" t="s">
        <v>15542</v>
      </c>
      <c r="E1160" t="s">
        <v>1487</v>
      </c>
      <c r="F1160">
        <v>20</v>
      </c>
      <c r="G1160">
        <v>1</v>
      </c>
      <c r="H1160">
        <v>1</v>
      </c>
      <c r="I1160">
        <v>20</v>
      </c>
      <c r="J1160" s="3">
        <v>46874</v>
      </c>
      <c r="K1160" s="6">
        <v>0</v>
      </c>
    </row>
    <row r="1161" spans="1:11">
      <c r="A1161" t="str">
        <f t="shared" si="18"/>
        <v>Osmocote Dekastar Buah 6-13-25 24 X 500 gr458090</v>
      </c>
      <c r="B1161" t="s">
        <v>10980</v>
      </c>
      <c r="C1161" t="s">
        <v>13064</v>
      </c>
      <c r="D1161" t="s">
        <v>15543</v>
      </c>
      <c r="E1161" t="s">
        <v>1490</v>
      </c>
      <c r="F1161">
        <v>24</v>
      </c>
      <c r="G1161">
        <v>1</v>
      </c>
      <c r="H1161">
        <v>1</v>
      </c>
      <c r="I1161">
        <v>24</v>
      </c>
      <c r="J1161" s="3">
        <v>45809</v>
      </c>
      <c r="K1161" s="6">
        <v>0</v>
      </c>
    </row>
    <row r="1162" spans="1:11">
      <c r="A1162" t="str">
        <f t="shared" si="18"/>
        <v>Osmocote Dekastar Buah 6-13-25 24 X 500 gr457480</v>
      </c>
      <c r="B1162" t="s">
        <v>10981</v>
      </c>
      <c r="C1162" t="s">
        <v>13065</v>
      </c>
      <c r="D1162" t="s">
        <v>15544</v>
      </c>
      <c r="E1162" t="s">
        <v>1490</v>
      </c>
      <c r="F1162">
        <v>24</v>
      </c>
      <c r="G1162">
        <v>1</v>
      </c>
      <c r="H1162">
        <v>1</v>
      </c>
      <c r="I1162">
        <v>24</v>
      </c>
      <c r="J1162" s="3">
        <v>45748</v>
      </c>
      <c r="K1162" s="6">
        <v>0</v>
      </c>
    </row>
    <row r="1163" spans="1:11">
      <c r="A1163" t="str">
        <f t="shared" si="18"/>
        <v>Osmocote Dekastar Buah 6-13-25 40 X 100 gr458090</v>
      </c>
      <c r="B1163" t="s">
        <v>10982</v>
      </c>
      <c r="C1163" t="s">
        <v>13066</v>
      </c>
      <c r="D1163" t="s">
        <v>15545</v>
      </c>
      <c r="E1163" t="s">
        <v>1496</v>
      </c>
      <c r="F1163">
        <v>40</v>
      </c>
      <c r="G1163">
        <v>1</v>
      </c>
      <c r="H1163">
        <v>1</v>
      </c>
      <c r="I1163">
        <v>40</v>
      </c>
      <c r="J1163" s="3">
        <v>45809</v>
      </c>
      <c r="K1163" s="6">
        <v>0</v>
      </c>
    </row>
    <row r="1164" spans="1:11">
      <c r="A1164" t="str">
        <f t="shared" si="18"/>
        <v>Osmocote Dekastar Imbang 13-13-13 24 X 500 gr457480</v>
      </c>
      <c r="B1164" t="s">
        <v>10983</v>
      </c>
      <c r="C1164" t="s">
        <v>13067</v>
      </c>
      <c r="D1164" t="s">
        <v>15546</v>
      </c>
      <c r="E1164" t="s">
        <v>1499</v>
      </c>
      <c r="F1164">
        <v>24</v>
      </c>
      <c r="G1164">
        <v>1</v>
      </c>
      <c r="H1164">
        <v>1</v>
      </c>
      <c r="I1164">
        <v>24</v>
      </c>
      <c r="J1164" s="3">
        <v>45748</v>
      </c>
      <c r="K1164" s="6">
        <v>0</v>
      </c>
    </row>
    <row r="1165" spans="1:11">
      <c r="A1165" t="str">
        <f t="shared" si="18"/>
        <v>Osmocote Dekastar Imbang 13-13-13 40 X 100 gr457480</v>
      </c>
      <c r="B1165" t="s">
        <v>10984</v>
      </c>
      <c r="C1165" t="s">
        <v>13068</v>
      </c>
      <c r="D1165" t="s">
        <v>15547</v>
      </c>
      <c r="E1165" t="s">
        <v>1500</v>
      </c>
      <c r="F1165">
        <v>40</v>
      </c>
      <c r="G1165">
        <v>1</v>
      </c>
      <c r="H1165">
        <v>1</v>
      </c>
      <c r="I1165">
        <v>40</v>
      </c>
      <c r="J1165" s="3">
        <v>45748</v>
      </c>
      <c r="K1165" s="6">
        <v>0</v>
      </c>
    </row>
    <row r="1166" spans="1:11">
      <c r="A1166" t="str">
        <f t="shared" si="18"/>
        <v>Paclo 15 WP 16 X 5 X 100 gr472090</v>
      </c>
      <c r="B1166" t="s">
        <v>10985</v>
      </c>
      <c r="C1166" t="s">
        <v>13069</v>
      </c>
      <c r="D1166" t="s">
        <v>15548</v>
      </c>
      <c r="E1166" t="s">
        <v>1503</v>
      </c>
      <c r="F1166">
        <v>16</v>
      </c>
      <c r="G1166">
        <v>5</v>
      </c>
      <c r="H1166">
        <v>1</v>
      </c>
      <c r="I1166">
        <v>80</v>
      </c>
      <c r="J1166" s="3">
        <v>47209</v>
      </c>
      <c r="K1166" s="6">
        <v>0</v>
      </c>
    </row>
    <row r="1167" spans="1:11">
      <c r="A1167" t="str">
        <f t="shared" si="18"/>
        <v>Paket Anti Gulma 10 X 500 ml471500</v>
      </c>
      <c r="B1167" t="s">
        <v>10986</v>
      </c>
      <c r="C1167" t="s">
        <v>13070</v>
      </c>
      <c r="D1167" t="s">
        <v>15549</v>
      </c>
      <c r="E1167" t="s">
        <v>1507</v>
      </c>
      <c r="F1167">
        <v>10</v>
      </c>
      <c r="G1167">
        <v>1</v>
      </c>
      <c r="H1167">
        <v>1</v>
      </c>
      <c r="I1167">
        <v>10</v>
      </c>
      <c r="J1167" s="3">
        <v>47150</v>
      </c>
      <c r="K1167" s="6">
        <v>0</v>
      </c>
    </row>
    <row r="1168" spans="1:11">
      <c r="A1168" t="str">
        <f t="shared" si="18"/>
        <v>Paket Anti Gulma 10 X 500 ml471780</v>
      </c>
      <c r="B1168" t="s">
        <v>10987</v>
      </c>
      <c r="C1168" t="s">
        <v>13071</v>
      </c>
      <c r="D1168" t="s">
        <v>15550</v>
      </c>
      <c r="E1168" t="s">
        <v>1507</v>
      </c>
      <c r="F1168">
        <v>10</v>
      </c>
      <c r="G1168">
        <v>1</v>
      </c>
      <c r="H1168">
        <v>1</v>
      </c>
      <c r="I1168">
        <v>10</v>
      </c>
      <c r="J1168" s="3">
        <v>47178</v>
      </c>
      <c r="K1168" s="6">
        <v>0</v>
      </c>
    </row>
    <row r="1169" spans="1:11">
      <c r="A1169" t="str">
        <f t="shared" si="18"/>
        <v>Paket Anti Gulma 20 X 250 ml472390</v>
      </c>
      <c r="B1169" t="s">
        <v>10988</v>
      </c>
      <c r="C1169" t="s">
        <v>13072</v>
      </c>
      <c r="D1169" t="s">
        <v>15551</v>
      </c>
      <c r="E1169" t="s">
        <v>1508</v>
      </c>
      <c r="F1169">
        <v>20</v>
      </c>
      <c r="G1169">
        <v>1</v>
      </c>
      <c r="H1169">
        <v>1</v>
      </c>
      <c r="I1169">
        <v>20</v>
      </c>
      <c r="J1169" s="3">
        <v>47239</v>
      </c>
      <c r="K1169" s="6">
        <v>0</v>
      </c>
    </row>
    <row r="1170" spans="1:11">
      <c r="A1170" t="str">
        <f t="shared" si="18"/>
        <v>Paket Booster Kendizol 250 ml + Aviore 100 ml 24 X 1 Paket460540</v>
      </c>
      <c r="B1170" t="s">
        <v>10989</v>
      </c>
      <c r="C1170" t="s">
        <v>13073</v>
      </c>
      <c r="D1170" t="s">
        <v>15552</v>
      </c>
      <c r="E1170" t="s">
        <v>1509</v>
      </c>
      <c r="F1170">
        <v>24</v>
      </c>
      <c r="G1170">
        <v>1</v>
      </c>
      <c r="H1170">
        <v>1</v>
      </c>
      <c r="I1170">
        <v>24</v>
      </c>
      <c r="J1170" s="3">
        <v>46054</v>
      </c>
      <c r="K1170" s="6">
        <v>0</v>
      </c>
    </row>
    <row r="1171" spans="1:11">
      <c r="A1171" t="str">
        <f t="shared" si="18"/>
        <v>Paket Booster Kendizol 250 ml + Aviore 100 ml 24 X 1 Paket472390</v>
      </c>
      <c r="B1171" t="s">
        <v>10990</v>
      </c>
      <c r="C1171" t="s">
        <v>13074</v>
      </c>
      <c r="D1171" t="s">
        <v>15553</v>
      </c>
      <c r="E1171" t="s">
        <v>1509</v>
      </c>
      <c r="F1171">
        <v>24</v>
      </c>
      <c r="G1171">
        <v>1</v>
      </c>
      <c r="H1171">
        <v>1</v>
      </c>
      <c r="I1171">
        <v>24</v>
      </c>
      <c r="J1171" s="3">
        <v>47239</v>
      </c>
      <c r="K1171" s="6">
        <v>0</v>
      </c>
    </row>
    <row r="1172" spans="1:11">
      <c r="A1172" t="str">
        <f t="shared" si="18"/>
        <v>Paket Convey 336 SC 10 X 40 ml458390</v>
      </c>
      <c r="B1172" t="s">
        <v>10991</v>
      </c>
      <c r="C1172" t="s">
        <v>13075</v>
      </c>
      <c r="D1172" t="s">
        <v>15554</v>
      </c>
      <c r="E1172" t="s">
        <v>1510</v>
      </c>
      <c r="F1172">
        <v>10</v>
      </c>
      <c r="G1172">
        <v>1</v>
      </c>
      <c r="H1172">
        <v>1</v>
      </c>
      <c r="I1172">
        <v>10</v>
      </c>
      <c r="J1172" s="3">
        <v>45839</v>
      </c>
      <c r="K1172" s="6">
        <v>0</v>
      </c>
    </row>
    <row r="1173" spans="1:11">
      <c r="A1173" t="str">
        <f t="shared" si="18"/>
        <v>Paket Convey 336 SC 10 X 40 ml459920</v>
      </c>
      <c r="B1173" t="s">
        <v>10992</v>
      </c>
      <c r="C1173" t="s">
        <v>13076</v>
      </c>
      <c r="D1173" t="s">
        <v>15555</v>
      </c>
      <c r="E1173" t="s">
        <v>1510</v>
      </c>
      <c r="F1173">
        <v>10</v>
      </c>
      <c r="G1173">
        <v>1</v>
      </c>
      <c r="H1173">
        <v>1</v>
      </c>
      <c r="I1173">
        <v>10</v>
      </c>
      <c r="J1173" s="3">
        <v>45992</v>
      </c>
      <c r="K1173" s="6">
        <v>0</v>
      </c>
    </row>
    <row r="1174" spans="1:11">
      <c r="A1174" t="str">
        <f t="shared" si="18"/>
        <v>Paket Convey 336 SC 20 X 20 ml458390</v>
      </c>
      <c r="B1174" t="s">
        <v>10993</v>
      </c>
      <c r="C1174" t="s">
        <v>13077</v>
      </c>
      <c r="D1174" t="s">
        <v>15556</v>
      </c>
      <c r="E1174" t="s">
        <v>1520</v>
      </c>
      <c r="F1174">
        <v>20</v>
      </c>
      <c r="G1174">
        <v>1</v>
      </c>
      <c r="H1174">
        <v>1</v>
      </c>
      <c r="I1174">
        <v>20</v>
      </c>
      <c r="J1174" s="3">
        <v>45839</v>
      </c>
      <c r="K1174" s="6">
        <v>0</v>
      </c>
    </row>
    <row r="1175" spans="1:11">
      <c r="A1175" t="str">
        <f t="shared" si="18"/>
        <v>Paket Cornbelt 336 EC 20 X 50 ml462660</v>
      </c>
      <c r="B1175" t="s">
        <v>10994</v>
      </c>
      <c r="C1175" t="s">
        <v>13078</v>
      </c>
      <c r="D1175" t="s">
        <v>15557</v>
      </c>
      <c r="E1175" t="s">
        <v>1522</v>
      </c>
      <c r="F1175">
        <v>20</v>
      </c>
      <c r="G1175">
        <v>1</v>
      </c>
      <c r="H1175">
        <v>1</v>
      </c>
      <c r="I1175">
        <v>20</v>
      </c>
      <c r="J1175" s="3">
        <v>46266</v>
      </c>
      <c r="K1175" s="6">
        <v>0</v>
      </c>
    </row>
    <row r="1176" spans="1:11">
      <c r="A1176" t="str">
        <f t="shared" si="18"/>
        <v>Paket Cornbelt 336 EC 20 X 50 ml463880</v>
      </c>
      <c r="B1176" t="s">
        <v>10995</v>
      </c>
      <c r="C1176" t="s">
        <v>13079</v>
      </c>
      <c r="D1176" t="s">
        <v>15558</v>
      </c>
      <c r="E1176" t="s">
        <v>1522</v>
      </c>
      <c r="F1176">
        <v>20</v>
      </c>
      <c r="G1176">
        <v>1</v>
      </c>
      <c r="H1176">
        <v>1</v>
      </c>
      <c r="I1176">
        <v>20</v>
      </c>
      <c r="J1176" s="3">
        <v>46388</v>
      </c>
      <c r="K1176" s="6">
        <v>0</v>
      </c>
    </row>
    <row r="1177" spans="1:11">
      <c r="A1177" t="str">
        <f t="shared" si="18"/>
        <v>Paket GG Akar 100 X 5 ml + Akrostar 40 WP 5 gr462960</v>
      </c>
      <c r="B1177" t="s">
        <v>10996</v>
      </c>
      <c r="C1177" t="s">
        <v>13080</v>
      </c>
      <c r="D1177" t="s">
        <v>15559</v>
      </c>
      <c r="E1177" t="s">
        <v>1523</v>
      </c>
      <c r="F1177">
        <v>1</v>
      </c>
      <c r="G1177">
        <v>1</v>
      </c>
      <c r="H1177">
        <v>1</v>
      </c>
      <c r="I1177">
        <v>1</v>
      </c>
      <c r="J1177" s="3">
        <v>46296</v>
      </c>
      <c r="K1177" s="6">
        <v>0</v>
      </c>
    </row>
    <row r="1178" spans="1:11">
      <c r="A1178" t="str">
        <f t="shared" si="18"/>
        <v>Paket Kaos dan Tas BrZn1/1/10000</v>
      </c>
      <c r="B1178" t="s">
        <v>10997</v>
      </c>
      <c r="C1178" t="s">
        <v>13081</v>
      </c>
      <c r="D1178" t="s">
        <v>15560</v>
      </c>
      <c r="E1178" t="s">
        <v>1524</v>
      </c>
      <c r="F1178">
        <v>1</v>
      </c>
      <c r="G1178">
        <v>1</v>
      </c>
      <c r="H1178">
        <v>1</v>
      </c>
      <c r="I1178">
        <v>1</v>
      </c>
      <c r="J1178" s="3" t="s">
        <v>2222</v>
      </c>
      <c r="K1178" s="6">
        <v>0</v>
      </c>
    </row>
    <row r="1179" spans="1:11">
      <c r="A1179" t="str">
        <f t="shared" si="18"/>
        <v>Paket Naga 1 6 X 25 X 1 paket474530</v>
      </c>
      <c r="B1179" t="s">
        <v>10998</v>
      </c>
      <c r="C1179" t="s">
        <v>13082</v>
      </c>
      <c r="D1179" t="s">
        <v>15561</v>
      </c>
      <c r="E1179" t="s">
        <v>1525</v>
      </c>
      <c r="F1179">
        <v>6</v>
      </c>
      <c r="G1179">
        <v>25</v>
      </c>
      <c r="H1179">
        <v>1</v>
      </c>
      <c r="I1179">
        <v>150</v>
      </c>
      <c r="J1179" s="3">
        <v>47453</v>
      </c>
      <c r="K1179" s="6">
        <v>0</v>
      </c>
    </row>
    <row r="1180" spans="1:11">
      <c r="A1180" t="str">
        <f t="shared" si="18"/>
        <v>Paket Piribac 400 SC 50 X 100 ml + Axial 200 ml470880</v>
      </c>
      <c r="B1180" t="s">
        <v>10999</v>
      </c>
      <c r="C1180" t="s">
        <v>13083</v>
      </c>
      <c r="D1180" t="s">
        <v>15562</v>
      </c>
      <c r="E1180" t="s">
        <v>1526</v>
      </c>
      <c r="F1180">
        <v>50</v>
      </c>
      <c r="G1180">
        <v>1</v>
      </c>
      <c r="H1180">
        <v>1</v>
      </c>
      <c r="I1180">
        <v>50</v>
      </c>
      <c r="J1180" s="3">
        <v>47088</v>
      </c>
      <c r="K1180" s="6">
        <v>0</v>
      </c>
    </row>
    <row r="1181" spans="1:11">
      <c r="A1181" t="str">
        <f t="shared" si="18"/>
        <v>Panindo 10 WP 100 X 100 gr459010</v>
      </c>
      <c r="B1181" t="s">
        <v>11000</v>
      </c>
      <c r="C1181" t="s">
        <v>13084</v>
      </c>
      <c r="D1181" t="s">
        <v>15563</v>
      </c>
      <c r="E1181" t="s">
        <v>1528</v>
      </c>
      <c r="F1181">
        <v>100</v>
      </c>
      <c r="G1181">
        <v>1</v>
      </c>
      <c r="H1181">
        <v>1</v>
      </c>
      <c r="I1181">
        <v>100</v>
      </c>
      <c r="J1181" s="3">
        <v>45901</v>
      </c>
      <c r="K1181" s="6">
        <v>0</v>
      </c>
    </row>
    <row r="1182" spans="1:11">
      <c r="A1182" t="str">
        <f t="shared" si="18"/>
        <v>Panindo 10 WP 100 X 100 gr462960</v>
      </c>
      <c r="B1182" t="s">
        <v>11001</v>
      </c>
      <c r="C1182" t="s">
        <v>13085</v>
      </c>
      <c r="D1182" t="s">
        <v>15564</v>
      </c>
      <c r="E1182" t="s">
        <v>1528</v>
      </c>
      <c r="F1182">
        <v>100</v>
      </c>
      <c r="G1182">
        <v>1</v>
      </c>
      <c r="H1182">
        <v>1</v>
      </c>
      <c r="I1182">
        <v>100</v>
      </c>
      <c r="J1182" s="3">
        <v>46296</v>
      </c>
      <c r="K1182" s="6">
        <v>0</v>
      </c>
    </row>
    <row r="1183" spans="1:11">
      <c r="A1183" t="str">
        <f t="shared" si="18"/>
        <v>Panindo 10 WP 100 X 100 gr463880</v>
      </c>
      <c r="B1183" t="s">
        <v>11002</v>
      </c>
      <c r="C1183" t="s">
        <v>13086</v>
      </c>
      <c r="D1183" t="s">
        <v>15565</v>
      </c>
      <c r="E1183" t="s">
        <v>1528</v>
      </c>
      <c r="F1183">
        <v>100</v>
      </c>
      <c r="G1183">
        <v>1</v>
      </c>
      <c r="H1183">
        <v>1</v>
      </c>
      <c r="I1183">
        <v>100</v>
      </c>
      <c r="J1183" s="3">
        <v>46388</v>
      </c>
      <c r="K1183" s="6">
        <v>0</v>
      </c>
    </row>
    <row r="1184" spans="1:11">
      <c r="A1184" t="str">
        <f t="shared" si="18"/>
        <v>Papandayan 486 SL 20 ltr471190</v>
      </c>
      <c r="B1184" t="s">
        <v>11003</v>
      </c>
      <c r="C1184" t="s">
        <v>13087</v>
      </c>
      <c r="D1184" t="s">
        <v>15566</v>
      </c>
      <c r="E1184" t="s">
        <v>1529</v>
      </c>
      <c r="F1184">
        <v>1</v>
      </c>
      <c r="G1184">
        <v>1</v>
      </c>
      <c r="H1184">
        <v>1</v>
      </c>
      <c r="I1184">
        <v>1</v>
      </c>
      <c r="J1184" s="3">
        <v>47119</v>
      </c>
      <c r="K1184" s="6">
        <v>0</v>
      </c>
    </row>
    <row r="1185" spans="1:11">
      <c r="A1185" t="str">
        <f t="shared" si="18"/>
        <v>Papandayan 486 SL 20 ltr471780</v>
      </c>
      <c r="B1185" t="s">
        <v>11004</v>
      </c>
      <c r="C1185" t="s">
        <v>13088</v>
      </c>
      <c r="D1185" t="s">
        <v>15567</v>
      </c>
      <c r="E1185" t="s">
        <v>1529</v>
      </c>
      <c r="F1185">
        <v>1</v>
      </c>
      <c r="G1185">
        <v>1</v>
      </c>
      <c r="H1185">
        <v>1</v>
      </c>
      <c r="I1185">
        <v>1</v>
      </c>
      <c r="J1185" s="3">
        <v>47178</v>
      </c>
      <c r="K1185" s="6">
        <v>0</v>
      </c>
    </row>
    <row r="1186" spans="1:11">
      <c r="A1186" t="str">
        <f t="shared" si="18"/>
        <v>Papandayan 486 SL 20 ltr471500</v>
      </c>
      <c r="B1186" t="s">
        <v>11005</v>
      </c>
      <c r="C1186" t="s">
        <v>13089</v>
      </c>
      <c r="D1186" t="s">
        <v>15568</v>
      </c>
      <c r="E1186" t="s">
        <v>1529</v>
      </c>
      <c r="F1186">
        <v>1</v>
      </c>
      <c r="G1186">
        <v>1</v>
      </c>
      <c r="H1186">
        <v>1</v>
      </c>
      <c r="I1186">
        <v>1</v>
      </c>
      <c r="J1186" s="3">
        <v>47150</v>
      </c>
      <c r="K1186" s="6">
        <v>0</v>
      </c>
    </row>
    <row r="1187" spans="1:11">
      <c r="A1187" t="str">
        <f t="shared" si="18"/>
        <v>Papandayan 486 SL 20 X 1 ltr471190</v>
      </c>
      <c r="B1187" t="s">
        <v>11006</v>
      </c>
      <c r="C1187" t="s">
        <v>13090</v>
      </c>
      <c r="D1187" t="s">
        <v>15569</v>
      </c>
      <c r="E1187" t="s">
        <v>1530</v>
      </c>
      <c r="F1187">
        <v>20</v>
      </c>
      <c r="G1187">
        <v>1</v>
      </c>
      <c r="H1187">
        <v>1</v>
      </c>
      <c r="I1187">
        <v>20</v>
      </c>
      <c r="J1187" s="3">
        <v>47119</v>
      </c>
      <c r="K1187" s="6">
        <v>0</v>
      </c>
    </row>
    <row r="1188" spans="1:11">
      <c r="A1188" t="str">
        <f t="shared" si="18"/>
        <v>Papandayan 486 SL 20 X 1 ltr471780</v>
      </c>
      <c r="B1188" t="s">
        <v>11007</v>
      </c>
      <c r="C1188" t="s">
        <v>13091</v>
      </c>
      <c r="D1188" t="s">
        <v>15570</v>
      </c>
      <c r="E1188" t="s">
        <v>1530</v>
      </c>
      <c r="F1188">
        <v>20</v>
      </c>
      <c r="G1188">
        <v>1</v>
      </c>
      <c r="H1188">
        <v>1</v>
      </c>
      <c r="I1188">
        <v>20</v>
      </c>
      <c r="J1188" s="3">
        <v>47178</v>
      </c>
      <c r="K1188" s="6">
        <v>0</v>
      </c>
    </row>
    <row r="1189" spans="1:11">
      <c r="A1189" t="str">
        <f t="shared" si="18"/>
        <v>Papandayan 486 SL 20 X 1 ltr471500</v>
      </c>
      <c r="B1189" t="s">
        <v>11008</v>
      </c>
      <c r="C1189" t="s">
        <v>13092</v>
      </c>
      <c r="D1189" t="s">
        <v>15571</v>
      </c>
      <c r="E1189" t="s">
        <v>1530</v>
      </c>
      <c r="F1189">
        <v>20</v>
      </c>
      <c r="G1189">
        <v>1</v>
      </c>
      <c r="H1189">
        <v>1</v>
      </c>
      <c r="I1189">
        <v>20</v>
      </c>
      <c r="J1189" s="3">
        <v>47150</v>
      </c>
      <c r="K1189" s="6">
        <v>0</v>
      </c>
    </row>
    <row r="1190" spans="1:11">
      <c r="A1190" t="str">
        <f t="shared" si="18"/>
        <v>Papandayan 486 SL 4 X 5 ltr470580</v>
      </c>
      <c r="B1190" t="s">
        <v>11009</v>
      </c>
      <c r="C1190" t="s">
        <v>13093</v>
      </c>
      <c r="D1190" t="s">
        <v>15572</v>
      </c>
      <c r="E1190" t="s">
        <v>1531</v>
      </c>
      <c r="F1190">
        <v>4</v>
      </c>
      <c r="G1190">
        <v>1</v>
      </c>
      <c r="H1190">
        <v>1</v>
      </c>
      <c r="I1190">
        <v>4</v>
      </c>
      <c r="J1190" s="3">
        <v>47058</v>
      </c>
      <c r="K1190" s="6">
        <v>0</v>
      </c>
    </row>
    <row r="1191" spans="1:11">
      <c r="A1191" t="str">
        <f t="shared" si="18"/>
        <v>Papandayan 486 SL 4 X 5 ltr471780</v>
      </c>
      <c r="B1191" t="s">
        <v>11010</v>
      </c>
      <c r="C1191" t="s">
        <v>13094</v>
      </c>
      <c r="D1191" t="s">
        <v>15573</v>
      </c>
      <c r="E1191" t="s">
        <v>1531</v>
      </c>
      <c r="F1191">
        <v>4</v>
      </c>
      <c r="G1191">
        <v>1</v>
      </c>
      <c r="H1191">
        <v>1</v>
      </c>
      <c r="I1191">
        <v>4</v>
      </c>
      <c r="J1191" s="3">
        <v>47178</v>
      </c>
      <c r="K1191" s="6">
        <v>0</v>
      </c>
    </row>
    <row r="1192" spans="1:11">
      <c r="A1192" t="str">
        <f t="shared" si="18"/>
        <v>Paratop 276 SL 20 X 1 ltr469050</v>
      </c>
      <c r="B1192" t="s">
        <v>11011</v>
      </c>
      <c r="C1192" t="s">
        <v>13095</v>
      </c>
      <c r="D1192" t="s">
        <v>15574</v>
      </c>
      <c r="E1192" t="s">
        <v>1532</v>
      </c>
      <c r="F1192">
        <v>20</v>
      </c>
      <c r="G1192">
        <v>1</v>
      </c>
      <c r="H1192">
        <v>1</v>
      </c>
      <c r="I1192">
        <v>20</v>
      </c>
      <c r="J1192" s="3">
        <v>46905</v>
      </c>
      <c r="K1192" s="6">
        <v>0</v>
      </c>
    </row>
    <row r="1193" spans="1:11">
      <c r="A1193" t="str">
        <f t="shared" si="18"/>
        <v>Paratop 276 SL 20 X 1 ltr470270</v>
      </c>
      <c r="B1193" t="s">
        <v>11012</v>
      </c>
      <c r="C1193" t="s">
        <v>13096</v>
      </c>
      <c r="D1193" t="s">
        <v>15575</v>
      </c>
      <c r="E1193" t="s">
        <v>1532</v>
      </c>
      <c r="F1193">
        <v>20</v>
      </c>
      <c r="G1193">
        <v>1</v>
      </c>
      <c r="H1193">
        <v>1</v>
      </c>
      <c r="I1193">
        <v>20</v>
      </c>
      <c r="J1193" s="3">
        <v>47027</v>
      </c>
      <c r="K1193" s="6">
        <v>0</v>
      </c>
    </row>
    <row r="1194" spans="1:11">
      <c r="A1194" t="str">
        <f t="shared" si="18"/>
        <v>Paratop 276 SL 20 X 1 ltr469660</v>
      </c>
      <c r="B1194" t="s">
        <v>11013</v>
      </c>
      <c r="C1194" t="s">
        <v>13097</v>
      </c>
      <c r="D1194" t="s">
        <v>15576</v>
      </c>
      <c r="E1194" t="s">
        <v>1532</v>
      </c>
      <c r="F1194">
        <v>20</v>
      </c>
      <c r="G1194">
        <v>1</v>
      </c>
      <c r="H1194">
        <v>1</v>
      </c>
      <c r="I1194">
        <v>20</v>
      </c>
      <c r="J1194" s="3">
        <v>46966</v>
      </c>
      <c r="K1194" s="6">
        <v>0</v>
      </c>
    </row>
    <row r="1195" spans="1:11">
      <c r="A1195" t="str">
        <f t="shared" si="18"/>
        <v>Paratop 276 SL 20 X 500 ml464190</v>
      </c>
      <c r="B1195" t="s">
        <v>11014</v>
      </c>
      <c r="C1195" t="s">
        <v>13098</v>
      </c>
      <c r="D1195" t="s">
        <v>15577</v>
      </c>
      <c r="E1195" t="s">
        <v>1533</v>
      </c>
      <c r="F1195">
        <v>20</v>
      </c>
      <c r="G1195">
        <v>1</v>
      </c>
      <c r="H1195">
        <v>1</v>
      </c>
      <c r="I1195">
        <v>20</v>
      </c>
      <c r="J1195" s="3">
        <v>46419</v>
      </c>
      <c r="K1195" s="6">
        <v>0</v>
      </c>
    </row>
    <row r="1196" spans="1:11">
      <c r="A1196" t="str">
        <f t="shared" si="18"/>
        <v>Paratop 276 SL 20 X 500 ml464780</v>
      </c>
      <c r="B1196" t="s">
        <v>11015</v>
      </c>
      <c r="C1196" t="s">
        <v>13099</v>
      </c>
      <c r="D1196" t="s">
        <v>15578</v>
      </c>
      <c r="E1196" t="s">
        <v>1533</v>
      </c>
      <c r="F1196">
        <v>20</v>
      </c>
      <c r="G1196">
        <v>1</v>
      </c>
      <c r="H1196">
        <v>1</v>
      </c>
      <c r="I1196">
        <v>20</v>
      </c>
      <c r="J1196" s="3">
        <v>46478</v>
      </c>
      <c r="K1196" s="6">
        <v>0</v>
      </c>
    </row>
    <row r="1197" spans="1:11">
      <c r="A1197" t="str">
        <f t="shared" si="18"/>
        <v>Parcel Paket A1/1/10000</v>
      </c>
      <c r="B1197" t="s">
        <v>11016</v>
      </c>
      <c r="C1197" t="s">
        <v>13100</v>
      </c>
      <c r="D1197" t="s">
        <v>15579</v>
      </c>
      <c r="E1197" t="s">
        <v>1534</v>
      </c>
      <c r="F1197">
        <v>1</v>
      </c>
      <c r="G1197">
        <v>1</v>
      </c>
      <c r="H1197">
        <v>1</v>
      </c>
      <c r="I1197">
        <v>1</v>
      </c>
      <c r="J1197" s="3" t="s">
        <v>2222</v>
      </c>
      <c r="K1197" s="6">
        <v>0</v>
      </c>
    </row>
    <row r="1198" spans="1:11">
      <c r="A1198" t="str">
        <f t="shared" si="18"/>
        <v>Parcel Paket B1/1/10000</v>
      </c>
      <c r="B1198" t="s">
        <v>11017</v>
      </c>
      <c r="C1198" t="s">
        <v>13101</v>
      </c>
      <c r="D1198" t="s">
        <v>15580</v>
      </c>
      <c r="E1198" t="s">
        <v>1535</v>
      </c>
      <c r="F1198">
        <v>1</v>
      </c>
      <c r="G1198">
        <v>1</v>
      </c>
      <c r="H1198">
        <v>1</v>
      </c>
      <c r="I1198">
        <v>1</v>
      </c>
      <c r="J1198" s="3" t="s">
        <v>2222</v>
      </c>
      <c r="K1198" s="6">
        <v>0</v>
      </c>
    </row>
    <row r="1199" spans="1:11">
      <c r="A1199" t="str">
        <f t="shared" si="18"/>
        <v>Parcel Paket C1/1/10000</v>
      </c>
      <c r="B1199" t="s">
        <v>11018</v>
      </c>
      <c r="C1199" t="s">
        <v>13102</v>
      </c>
      <c r="D1199" t="s">
        <v>15581</v>
      </c>
      <c r="E1199" t="s">
        <v>1536</v>
      </c>
      <c r="F1199">
        <v>1</v>
      </c>
      <c r="G1199">
        <v>1</v>
      </c>
      <c r="H1199">
        <v>1</v>
      </c>
      <c r="I1199">
        <v>1</v>
      </c>
      <c r="J1199" s="3" t="s">
        <v>2222</v>
      </c>
      <c r="K1199" s="6">
        <v>0</v>
      </c>
    </row>
    <row r="1200" spans="1:11">
      <c r="A1200" t="str">
        <f t="shared" si="18"/>
        <v>Parcel Paket D1/1/10000</v>
      </c>
      <c r="B1200" t="s">
        <v>11019</v>
      </c>
      <c r="C1200" t="s">
        <v>13103</v>
      </c>
      <c r="D1200" t="s">
        <v>15582</v>
      </c>
      <c r="E1200" t="s">
        <v>1537</v>
      </c>
      <c r="F1200">
        <v>1</v>
      </c>
      <c r="G1200">
        <v>1</v>
      </c>
      <c r="H1200">
        <v>1</v>
      </c>
      <c r="I1200">
        <v>1</v>
      </c>
      <c r="J1200" s="3" t="s">
        <v>2222</v>
      </c>
      <c r="K1200" s="6">
        <v>0</v>
      </c>
    </row>
    <row r="1201" spans="1:11">
      <c r="A1201" t="str">
        <f t="shared" si="18"/>
        <v>Parcel Paket E1/1/10000</v>
      </c>
      <c r="B1201" t="s">
        <v>11020</v>
      </c>
      <c r="C1201" t="s">
        <v>13104</v>
      </c>
      <c r="D1201" t="s">
        <v>15583</v>
      </c>
      <c r="E1201" t="s">
        <v>1538</v>
      </c>
      <c r="F1201">
        <v>1</v>
      </c>
      <c r="G1201">
        <v>1</v>
      </c>
      <c r="H1201">
        <v>1</v>
      </c>
      <c r="I1201">
        <v>1</v>
      </c>
      <c r="J1201" s="3" t="s">
        <v>2222</v>
      </c>
      <c r="K1201" s="6">
        <v>0</v>
      </c>
    </row>
    <row r="1202" spans="1:11">
      <c r="A1202" t="str">
        <f t="shared" si="18"/>
        <v>Parcel Paket Sembako1/1/10000</v>
      </c>
      <c r="B1202" t="s">
        <v>11021</v>
      </c>
      <c r="C1202" t="s">
        <v>13105</v>
      </c>
      <c r="D1202" t="s">
        <v>15584</v>
      </c>
      <c r="E1202" t="s">
        <v>1539</v>
      </c>
      <c r="F1202">
        <v>1</v>
      </c>
      <c r="G1202">
        <v>1</v>
      </c>
      <c r="H1202">
        <v>1</v>
      </c>
      <c r="I1202">
        <v>1</v>
      </c>
      <c r="J1202" s="3" t="s">
        <v>2222</v>
      </c>
      <c r="K1202" s="6">
        <v>0</v>
      </c>
    </row>
    <row r="1203" spans="1:11">
      <c r="A1203" t="str">
        <f t="shared" si="18"/>
        <v>Paskal 50 WP 20 X 500 gr462350</v>
      </c>
      <c r="B1203" t="s">
        <v>11022</v>
      </c>
      <c r="C1203" t="s">
        <v>13106</v>
      </c>
      <c r="D1203" t="s">
        <v>15585</v>
      </c>
      <c r="E1203" t="s">
        <v>1542</v>
      </c>
      <c r="F1203">
        <v>20</v>
      </c>
      <c r="G1203">
        <v>1</v>
      </c>
      <c r="H1203">
        <v>1</v>
      </c>
      <c r="I1203">
        <v>20</v>
      </c>
      <c r="J1203" s="3">
        <v>46235</v>
      </c>
      <c r="K1203" s="6">
        <v>0</v>
      </c>
    </row>
    <row r="1204" spans="1:11">
      <c r="A1204" t="str">
        <f t="shared" si="18"/>
        <v>Paskal 50 WP 20 X 500 gr466920</v>
      </c>
      <c r="B1204" t="s">
        <v>11023</v>
      </c>
      <c r="C1204" t="s">
        <v>13107</v>
      </c>
      <c r="D1204" t="s">
        <v>15586</v>
      </c>
      <c r="E1204" t="s">
        <v>1542</v>
      </c>
      <c r="F1204">
        <v>20</v>
      </c>
      <c r="G1204">
        <v>1</v>
      </c>
      <c r="H1204">
        <v>1</v>
      </c>
      <c r="I1204">
        <v>20</v>
      </c>
      <c r="J1204" s="3">
        <v>46692</v>
      </c>
      <c r="K1204" s="6">
        <v>0</v>
      </c>
    </row>
    <row r="1205" spans="1:11">
      <c r="A1205" t="str">
        <f t="shared" si="18"/>
        <v>Paskal 50 WP 24 X 250 gr466920</v>
      </c>
      <c r="B1205" t="s">
        <v>11024</v>
      </c>
      <c r="C1205" t="s">
        <v>13108</v>
      </c>
      <c r="D1205" t="s">
        <v>15587</v>
      </c>
      <c r="E1205" t="s">
        <v>1546</v>
      </c>
      <c r="F1205">
        <v>24</v>
      </c>
      <c r="G1205">
        <v>1</v>
      </c>
      <c r="H1205">
        <v>1</v>
      </c>
      <c r="I1205">
        <v>24</v>
      </c>
      <c r="J1205" s="3">
        <v>46692</v>
      </c>
      <c r="K1205" s="6">
        <v>0</v>
      </c>
    </row>
    <row r="1206" spans="1:11">
      <c r="A1206" t="str">
        <f t="shared" si="18"/>
        <v>Paskal 50 WP 24 X 250 gr462350</v>
      </c>
      <c r="B1206" t="s">
        <v>11025</v>
      </c>
      <c r="C1206" t="s">
        <v>13109</v>
      </c>
      <c r="D1206" t="s">
        <v>15588</v>
      </c>
      <c r="E1206" t="s">
        <v>1546</v>
      </c>
      <c r="F1206">
        <v>24</v>
      </c>
      <c r="G1206">
        <v>1</v>
      </c>
      <c r="H1206">
        <v>1</v>
      </c>
      <c r="I1206">
        <v>24</v>
      </c>
      <c r="J1206" s="3">
        <v>46235</v>
      </c>
      <c r="K1206" s="6">
        <v>0</v>
      </c>
    </row>
    <row r="1207" spans="1:11">
      <c r="A1207" t="str">
        <f t="shared" si="18"/>
        <v>Paskal 50 WP 32 X 250 gr466920</v>
      </c>
      <c r="B1207" t="s">
        <v>11026</v>
      </c>
      <c r="C1207" t="s">
        <v>13110</v>
      </c>
      <c r="D1207" t="s">
        <v>15589</v>
      </c>
      <c r="E1207" t="s">
        <v>1548</v>
      </c>
      <c r="F1207">
        <v>32</v>
      </c>
      <c r="G1207">
        <v>1</v>
      </c>
      <c r="H1207">
        <v>1</v>
      </c>
      <c r="I1207">
        <v>32</v>
      </c>
      <c r="J1207" s="3">
        <v>46692</v>
      </c>
      <c r="K1207" s="6">
        <v>0</v>
      </c>
    </row>
    <row r="1208" spans="1:11">
      <c r="A1208" t="str">
        <f t="shared" si="18"/>
        <v>Paskal 50 WP 60 X 100 gr466920</v>
      </c>
      <c r="B1208" t="s">
        <v>11027</v>
      </c>
      <c r="C1208" t="s">
        <v>13111</v>
      </c>
      <c r="D1208" t="s">
        <v>15590</v>
      </c>
      <c r="E1208" t="s">
        <v>1550</v>
      </c>
      <c r="F1208">
        <v>60</v>
      </c>
      <c r="G1208">
        <v>1</v>
      </c>
      <c r="H1208">
        <v>1</v>
      </c>
      <c r="I1208">
        <v>60</v>
      </c>
      <c r="J1208" s="3">
        <v>46692</v>
      </c>
      <c r="K1208" s="6">
        <v>0</v>
      </c>
    </row>
    <row r="1209" spans="1:11">
      <c r="A1209" t="str">
        <f t="shared" si="18"/>
        <v>Passxone 276 SL 20 ltr465080</v>
      </c>
      <c r="B1209" t="s">
        <v>11028</v>
      </c>
      <c r="C1209" t="s">
        <v>13112</v>
      </c>
      <c r="D1209" t="s">
        <v>15591</v>
      </c>
      <c r="E1209" t="s">
        <v>1554</v>
      </c>
      <c r="F1209">
        <v>1</v>
      </c>
      <c r="G1209">
        <v>1</v>
      </c>
      <c r="H1209">
        <v>1</v>
      </c>
      <c r="I1209">
        <v>1</v>
      </c>
      <c r="J1209" s="3">
        <v>46508</v>
      </c>
      <c r="K1209" s="6">
        <v>0</v>
      </c>
    </row>
    <row r="1210" spans="1:11">
      <c r="A1210" t="str">
        <f t="shared" si="18"/>
        <v>Passxone 276 SL 20 ltr464780</v>
      </c>
      <c r="B1210" t="s">
        <v>11029</v>
      </c>
      <c r="C1210" t="s">
        <v>13113</v>
      </c>
      <c r="D1210" t="s">
        <v>15592</v>
      </c>
      <c r="E1210" t="s">
        <v>1554</v>
      </c>
      <c r="F1210">
        <v>1</v>
      </c>
      <c r="G1210">
        <v>1</v>
      </c>
      <c r="H1210">
        <v>1</v>
      </c>
      <c r="I1210">
        <v>1</v>
      </c>
      <c r="J1210" s="3">
        <v>46478</v>
      </c>
      <c r="K1210" s="6">
        <v>0</v>
      </c>
    </row>
    <row r="1211" spans="1:11">
      <c r="A1211" t="str">
        <f t="shared" si="18"/>
        <v>Passxone 276 SL 20 ltr469970</v>
      </c>
      <c r="B1211" t="s">
        <v>11030</v>
      </c>
      <c r="C1211" t="s">
        <v>13114</v>
      </c>
      <c r="D1211" t="s">
        <v>15593</v>
      </c>
      <c r="E1211" t="s">
        <v>1554</v>
      </c>
      <c r="F1211">
        <v>1</v>
      </c>
      <c r="G1211">
        <v>1</v>
      </c>
      <c r="H1211">
        <v>1</v>
      </c>
      <c r="I1211">
        <v>1</v>
      </c>
      <c r="J1211" s="3">
        <v>46997</v>
      </c>
      <c r="K1211" s="6">
        <v>0</v>
      </c>
    </row>
    <row r="1212" spans="1:11">
      <c r="A1212" t="str">
        <f t="shared" si="18"/>
        <v>Passxone 276 SL 20 X 1 ltr464780</v>
      </c>
      <c r="B1212" t="s">
        <v>11031</v>
      </c>
      <c r="C1212" t="s">
        <v>13115</v>
      </c>
      <c r="D1212" t="s">
        <v>15594</v>
      </c>
      <c r="E1212" t="s">
        <v>1555</v>
      </c>
      <c r="F1212">
        <v>20</v>
      </c>
      <c r="G1212">
        <v>1</v>
      </c>
      <c r="H1212">
        <v>1</v>
      </c>
      <c r="I1212">
        <v>20</v>
      </c>
      <c r="J1212" s="3">
        <v>46478</v>
      </c>
      <c r="K1212" s="6">
        <v>0</v>
      </c>
    </row>
    <row r="1213" spans="1:11">
      <c r="A1213" t="str">
        <f t="shared" si="18"/>
        <v>Passxone 276 SL 4 X 5 ltr464780</v>
      </c>
      <c r="B1213" t="s">
        <v>11032</v>
      </c>
      <c r="C1213" t="s">
        <v>13116</v>
      </c>
      <c r="D1213" t="s">
        <v>15595</v>
      </c>
      <c r="E1213" t="s">
        <v>1556</v>
      </c>
      <c r="F1213">
        <v>4</v>
      </c>
      <c r="G1213">
        <v>1</v>
      </c>
      <c r="H1213">
        <v>1</v>
      </c>
      <c r="I1213">
        <v>4</v>
      </c>
      <c r="J1213" s="3">
        <v>46478</v>
      </c>
      <c r="K1213" s="6">
        <v>0</v>
      </c>
    </row>
    <row r="1214" spans="1:11">
      <c r="A1214" t="str">
        <f t="shared" si="18"/>
        <v>Payung Java Karlos1/1/10000</v>
      </c>
      <c r="B1214" t="s">
        <v>11033</v>
      </c>
      <c r="C1214" t="s">
        <v>13117</v>
      </c>
      <c r="D1214" t="s">
        <v>15596</v>
      </c>
      <c r="E1214" t="s">
        <v>1557</v>
      </c>
      <c r="F1214">
        <v>1</v>
      </c>
      <c r="G1214">
        <v>1</v>
      </c>
      <c r="H1214">
        <v>1</v>
      </c>
      <c r="I1214">
        <v>1</v>
      </c>
      <c r="J1214" s="3" t="s">
        <v>2222</v>
      </c>
      <c r="K1214" s="6">
        <v>0</v>
      </c>
    </row>
    <row r="1215" spans="1:11">
      <c r="A1215" t="str">
        <f t="shared" si="18"/>
        <v>Payung Lipat1/1/10000</v>
      </c>
      <c r="B1215" t="s">
        <v>11034</v>
      </c>
      <c r="C1215" t="s">
        <v>13118</v>
      </c>
      <c r="D1215" t="s">
        <v>15597</v>
      </c>
      <c r="E1215" t="s">
        <v>1558</v>
      </c>
      <c r="F1215">
        <v>1</v>
      </c>
      <c r="G1215">
        <v>1</v>
      </c>
      <c r="H1215">
        <v>1</v>
      </c>
      <c r="I1215">
        <v>1</v>
      </c>
      <c r="J1215" s="3" t="s">
        <v>2222</v>
      </c>
      <c r="K1215" s="6">
        <v>0</v>
      </c>
    </row>
    <row r="1216" spans="1:11">
      <c r="A1216" t="str">
        <f t="shared" si="18"/>
        <v>Pegasus 500 SC 50 X 80 ml463880</v>
      </c>
      <c r="B1216" t="s">
        <v>11035</v>
      </c>
      <c r="C1216" t="s">
        <v>13119</v>
      </c>
      <c r="D1216" t="s">
        <v>15598</v>
      </c>
      <c r="E1216" t="s">
        <v>1559</v>
      </c>
      <c r="F1216">
        <v>50</v>
      </c>
      <c r="G1216">
        <v>1</v>
      </c>
      <c r="H1216">
        <v>1</v>
      </c>
      <c r="I1216">
        <v>50</v>
      </c>
      <c r="J1216" s="3">
        <v>46388</v>
      </c>
      <c r="K1216" s="6">
        <v>0</v>
      </c>
    </row>
    <row r="1217" spans="1:11">
      <c r="A1217" t="str">
        <f t="shared" si="18"/>
        <v>Pegasus 500 SC 50 X 80 ml466000</v>
      </c>
      <c r="B1217" t="s">
        <v>11036</v>
      </c>
      <c r="C1217" t="s">
        <v>13120</v>
      </c>
      <c r="D1217" t="s">
        <v>15599</v>
      </c>
      <c r="E1217" t="s">
        <v>1559</v>
      </c>
      <c r="F1217">
        <v>50</v>
      </c>
      <c r="G1217">
        <v>1</v>
      </c>
      <c r="H1217">
        <v>1</v>
      </c>
      <c r="I1217">
        <v>50</v>
      </c>
      <c r="J1217" s="3">
        <v>46600</v>
      </c>
      <c r="K1217" s="6">
        <v>0</v>
      </c>
    </row>
    <row r="1218" spans="1:11">
      <c r="A1218" t="str">
        <f t="shared" si="18"/>
        <v>Pegasus 500 SC 50 X 80 ml465390</v>
      </c>
      <c r="B1218" t="s">
        <v>11037</v>
      </c>
      <c r="C1218" t="s">
        <v>13121</v>
      </c>
      <c r="D1218" t="s">
        <v>15600</v>
      </c>
      <c r="E1218" t="s">
        <v>1559</v>
      </c>
      <c r="F1218">
        <v>50</v>
      </c>
      <c r="G1218">
        <v>1</v>
      </c>
      <c r="H1218">
        <v>1</v>
      </c>
      <c r="I1218">
        <v>50</v>
      </c>
      <c r="J1218" s="3">
        <v>46539</v>
      </c>
      <c r="K1218" s="6">
        <v>0</v>
      </c>
    </row>
    <row r="1219" spans="1:11">
      <c r="A1219" t="str">
        <f t="shared" ref="A1219:A1282" si="19">E1219&amp;J1219&amp;K1219</f>
        <v>Pelatuk S-041/1/10000</v>
      </c>
      <c r="B1219" t="s">
        <v>11038</v>
      </c>
      <c r="C1219" t="s">
        <v>13122</v>
      </c>
      <c r="D1219" t="s">
        <v>15601</v>
      </c>
      <c r="E1219" t="s">
        <v>1566</v>
      </c>
      <c r="F1219">
        <v>1</v>
      </c>
      <c r="G1219">
        <v>1</v>
      </c>
      <c r="H1219">
        <v>1</v>
      </c>
      <c r="I1219">
        <v>1</v>
      </c>
      <c r="J1219" s="3" t="s">
        <v>2222</v>
      </c>
      <c r="K1219" s="6">
        <v>0</v>
      </c>
    </row>
    <row r="1220" spans="1:11">
      <c r="A1220" t="str">
        <f t="shared" si="19"/>
        <v>Pelatuk/Trigger1/1/10000</v>
      </c>
      <c r="B1220" t="s">
        <v>11039</v>
      </c>
      <c r="C1220" t="s">
        <v>13123</v>
      </c>
      <c r="D1220" t="s">
        <v>15602</v>
      </c>
      <c r="E1220" t="s">
        <v>1567</v>
      </c>
      <c r="F1220">
        <v>1</v>
      </c>
      <c r="G1220">
        <v>1</v>
      </c>
      <c r="H1220">
        <v>1</v>
      </c>
      <c r="I1220">
        <v>1</v>
      </c>
      <c r="J1220" s="3" t="s">
        <v>2222</v>
      </c>
      <c r="K1220" s="6">
        <v>0</v>
      </c>
    </row>
    <row r="1221" spans="1:11">
      <c r="A1221" t="str">
        <f t="shared" si="19"/>
        <v>Pelle 50 EC 15 X 1 ltr457480</v>
      </c>
      <c r="B1221" t="s">
        <v>11040</v>
      </c>
      <c r="C1221" t="s">
        <v>13124</v>
      </c>
      <c r="D1221" t="s">
        <v>15603</v>
      </c>
      <c r="E1221" t="s">
        <v>1568</v>
      </c>
      <c r="F1221">
        <v>15</v>
      </c>
      <c r="G1221">
        <v>1</v>
      </c>
      <c r="H1221">
        <v>1</v>
      </c>
      <c r="I1221">
        <v>15</v>
      </c>
      <c r="J1221" s="3">
        <v>45748</v>
      </c>
      <c r="K1221" s="6">
        <v>0</v>
      </c>
    </row>
    <row r="1222" spans="1:11">
      <c r="A1222" t="str">
        <f t="shared" si="19"/>
        <v>Pelle 50 EC 20 X 400 ml457170</v>
      </c>
      <c r="B1222" t="s">
        <v>11041</v>
      </c>
      <c r="C1222" t="s">
        <v>13125</v>
      </c>
      <c r="D1222" t="s">
        <v>15604</v>
      </c>
      <c r="E1222" t="s">
        <v>1570</v>
      </c>
      <c r="F1222">
        <v>20</v>
      </c>
      <c r="G1222">
        <v>1</v>
      </c>
      <c r="H1222">
        <v>1</v>
      </c>
      <c r="I1222">
        <v>20</v>
      </c>
      <c r="J1222" s="3">
        <v>45717</v>
      </c>
      <c r="K1222" s="6">
        <v>0</v>
      </c>
    </row>
    <row r="1223" spans="1:11">
      <c r="A1223" t="str">
        <f t="shared" si="19"/>
        <v>Penta So-Z 505 SL 20 X 1 ltr467530</v>
      </c>
      <c r="B1223" t="s">
        <v>11042</v>
      </c>
      <c r="C1223" t="s">
        <v>13126</v>
      </c>
      <c r="D1223" t="s">
        <v>15605</v>
      </c>
      <c r="E1223" t="s">
        <v>1572</v>
      </c>
      <c r="F1223">
        <v>20</v>
      </c>
      <c r="G1223">
        <v>1</v>
      </c>
      <c r="H1223">
        <v>1</v>
      </c>
      <c r="I1223">
        <v>20</v>
      </c>
      <c r="J1223" s="3">
        <v>46753</v>
      </c>
      <c r="K1223" s="6">
        <v>0</v>
      </c>
    </row>
    <row r="1224" spans="1:11">
      <c r="A1224" t="str">
        <f t="shared" si="19"/>
        <v>Penta So-Z 505 SL 20 X 1 ltr469660</v>
      </c>
      <c r="B1224" t="s">
        <v>11043</v>
      </c>
      <c r="C1224" t="s">
        <v>13127</v>
      </c>
      <c r="D1224" t="s">
        <v>15606</v>
      </c>
      <c r="E1224" t="s">
        <v>1572</v>
      </c>
      <c r="F1224">
        <v>20</v>
      </c>
      <c r="G1224">
        <v>1</v>
      </c>
      <c r="H1224">
        <v>1</v>
      </c>
      <c r="I1224">
        <v>20</v>
      </c>
      <c r="J1224" s="3">
        <v>46966</v>
      </c>
      <c r="K1224" s="6">
        <v>0</v>
      </c>
    </row>
    <row r="1225" spans="1:11">
      <c r="A1225" t="str">
        <f t="shared" si="19"/>
        <v>Pentagon 100 ml (Sample)1/1/10000</v>
      </c>
      <c r="B1225" t="s">
        <v>11044</v>
      </c>
      <c r="C1225" t="s">
        <v>13128</v>
      </c>
      <c r="D1225" t="s">
        <v>15607</v>
      </c>
      <c r="E1225" t="s">
        <v>1573</v>
      </c>
      <c r="F1225">
        <v>1</v>
      </c>
      <c r="G1225">
        <v>1</v>
      </c>
      <c r="H1225">
        <v>1</v>
      </c>
      <c r="I1225">
        <v>1</v>
      </c>
      <c r="J1225" s="3" t="s">
        <v>2222</v>
      </c>
      <c r="K1225" s="6">
        <v>0</v>
      </c>
    </row>
    <row r="1226" spans="1:11">
      <c r="A1226" t="str">
        <f t="shared" si="19"/>
        <v>Pentagon 50 ml (Sample)1/1/10000</v>
      </c>
      <c r="B1226" t="s">
        <v>11045</v>
      </c>
      <c r="C1226" t="s">
        <v>13129</v>
      </c>
      <c r="D1226" t="s">
        <v>15608</v>
      </c>
      <c r="E1226" t="s">
        <v>1574</v>
      </c>
      <c r="F1226">
        <v>1</v>
      </c>
      <c r="G1226">
        <v>1</v>
      </c>
      <c r="H1226">
        <v>1</v>
      </c>
      <c r="I1226">
        <v>1</v>
      </c>
      <c r="J1226" s="3" t="s">
        <v>2222</v>
      </c>
      <c r="K1226" s="6">
        <v>0</v>
      </c>
    </row>
    <row r="1227" spans="1:11">
      <c r="A1227" t="str">
        <f t="shared" si="19"/>
        <v>Pentazol 80 X 60 gr (Sample)1/1/10000</v>
      </c>
      <c r="B1227" t="s">
        <v>11046</v>
      </c>
      <c r="C1227" t="s">
        <v>13130</v>
      </c>
      <c r="D1227" t="s">
        <v>15609</v>
      </c>
      <c r="E1227" t="s">
        <v>1575</v>
      </c>
      <c r="F1227">
        <v>80</v>
      </c>
      <c r="G1227">
        <v>1</v>
      </c>
      <c r="H1227">
        <v>1</v>
      </c>
      <c r="I1227">
        <v>80</v>
      </c>
      <c r="J1227" s="3" t="s">
        <v>2222</v>
      </c>
      <c r="K1227" s="6">
        <v>0</v>
      </c>
    </row>
    <row r="1228" spans="1:11">
      <c r="A1228" t="str">
        <f t="shared" si="19"/>
        <v>Perozin 80 WP 14 X 1 kg470580</v>
      </c>
      <c r="B1228" t="s">
        <v>11047</v>
      </c>
      <c r="C1228" t="s">
        <v>13131</v>
      </c>
      <c r="D1228" t="s">
        <v>15610</v>
      </c>
      <c r="E1228" t="s">
        <v>1576</v>
      </c>
      <c r="F1228">
        <v>14</v>
      </c>
      <c r="G1228">
        <v>1</v>
      </c>
      <c r="H1228">
        <v>1</v>
      </c>
      <c r="I1228">
        <v>14</v>
      </c>
      <c r="J1228" s="3">
        <v>47058</v>
      </c>
      <c r="K1228" s="6">
        <v>0</v>
      </c>
    </row>
    <row r="1229" spans="1:11">
      <c r="A1229" t="str">
        <f t="shared" si="19"/>
        <v>Perozin 80 WP 14 X 1 kg471500</v>
      </c>
      <c r="B1229" t="s">
        <v>11048</v>
      </c>
      <c r="C1229" t="s">
        <v>13132</v>
      </c>
      <c r="D1229" t="s">
        <v>15611</v>
      </c>
      <c r="E1229" t="s">
        <v>1576</v>
      </c>
      <c r="F1229">
        <v>14</v>
      </c>
      <c r="G1229">
        <v>1</v>
      </c>
      <c r="H1229">
        <v>1</v>
      </c>
      <c r="I1229">
        <v>14</v>
      </c>
      <c r="J1229" s="3">
        <v>47150</v>
      </c>
      <c r="K1229" s="6">
        <v>0</v>
      </c>
    </row>
    <row r="1230" spans="1:11">
      <c r="A1230" t="str">
        <f t="shared" si="19"/>
        <v>Perozin 80 WP 15 X 400 gr468440</v>
      </c>
      <c r="B1230" t="s">
        <v>11049</v>
      </c>
      <c r="C1230" t="s">
        <v>13133</v>
      </c>
      <c r="D1230" t="s">
        <v>15612</v>
      </c>
      <c r="E1230" t="s">
        <v>1577</v>
      </c>
      <c r="F1230">
        <v>15</v>
      </c>
      <c r="G1230">
        <v>1</v>
      </c>
      <c r="H1230">
        <v>1</v>
      </c>
      <c r="I1230">
        <v>15</v>
      </c>
      <c r="J1230" s="3">
        <v>46844</v>
      </c>
      <c r="K1230" s="6">
        <v>0</v>
      </c>
    </row>
    <row r="1231" spans="1:11">
      <c r="A1231" t="str">
        <f t="shared" si="19"/>
        <v>Perozin 80 WP 60 X 150 gr470880</v>
      </c>
      <c r="B1231" t="s">
        <v>11050</v>
      </c>
      <c r="C1231" t="s">
        <v>13134</v>
      </c>
      <c r="D1231" t="s">
        <v>15613</v>
      </c>
      <c r="E1231" t="s">
        <v>1578</v>
      </c>
      <c r="F1231">
        <v>60</v>
      </c>
      <c r="G1231">
        <v>1</v>
      </c>
      <c r="H1231">
        <v>1</v>
      </c>
      <c r="I1231">
        <v>60</v>
      </c>
      <c r="J1231" s="3">
        <v>47088</v>
      </c>
      <c r="K1231" s="6">
        <v>0</v>
      </c>
    </row>
    <row r="1232" spans="1:11">
      <c r="A1232" t="str">
        <f t="shared" si="19"/>
        <v>Petrogenol 800 L 20 X 20 X 5 ml471780</v>
      </c>
      <c r="B1232" t="s">
        <v>11051</v>
      </c>
      <c r="C1232" t="s">
        <v>13135</v>
      </c>
      <c r="D1232" t="s">
        <v>15614</v>
      </c>
      <c r="E1232" t="s">
        <v>1579</v>
      </c>
      <c r="F1232">
        <v>20</v>
      </c>
      <c r="G1232">
        <v>20</v>
      </c>
      <c r="H1232">
        <v>1</v>
      </c>
      <c r="I1232">
        <v>400</v>
      </c>
      <c r="J1232" s="3">
        <v>47178</v>
      </c>
      <c r="K1232" s="6">
        <v>0</v>
      </c>
    </row>
    <row r="1233" spans="1:11">
      <c r="A1233" t="str">
        <f t="shared" si="19"/>
        <v>Petrokum 0.005 BB 20 X 10 X 100 gr471500</v>
      </c>
      <c r="B1233" t="s">
        <v>11052</v>
      </c>
      <c r="C1233" t="s">
        <v>13136</v>
      </c>
      <c r="D1233" t="s">
        <v>15615</v>
      </c>
      <c r="E1233" t="s">
        <v>1580</v>
      </c>
      <c r="F1233">
        <v>20</v>
      </c>
      <c r="G1233">
        <v>10</v>
      </c>
      <c r="H1233">
        <v>1</v>
      </c>
      <c r="I1233">
        <v>200</v>
      </c>
      <c r="J1233" s="3">
        <v>47150</v>
      </c>
      <c r="K1233" s="6">
        <v>0</v>
      </c>
    </row>
    <row r="1234" spans="1:11">
      <c r="A1234" t="str">
        <f t="shared" si="19"/>
        <v>Petrokum 0.005 BB 20 X 10 X 100 gr472090</v>
      </c>
      <c r="B1234" t="s">
        <v>11053</v>
      </c>
      <c r="C1234" t="s">
        <v>13137</v>
      </c>
      <c r="D1234" t="s">
        <v>15616</v>
      </c>
      <c r="E1234" t="s">
        <v>1580</v>
      </c>
      <c r="F1234">
        <v>20</v>
      </c>
      <c r="G1234">
        <v>10</v>
      </c>
      <c r="H1234">
        <v>1</v>
      </c>
      <c r="I1234">
        <v>200</v>
      </c>
      <c r="J1234" s="3">
        <v>47209</v>
      </c>
      <c r="K1234" s="6">
        <v>0</v>
      </c>
    </row>
    <row r="1235" spans="1:11">
      <c r="A1235" t="str">
        <f t="shared" si="19"/>
        <v>Pexalon 106 SC 24 X 240 ml461430</v>
      </c>
      <c r="B1235" t="s">
        <v>11054</v>
      </c>
      <c r="C1235" t="s">
        <v>13138</v>
      </c>
      <c r="D1235" t="s">
        <v>15617</v>
      </c>
      <c r="E1235" t="s">
        <v>1581</v>
      </c>
      <c r="F1235">
        <v>24</v>
      </c>
      <c r="G1235">
        <v>1</v>
      </c>
      <c r="H1235">
        <v>1</v>
      </c>
      <c r="I1235">
        <v>24</v>
      </c>
      <c r="J1235" s="3">
        <v>46143</v>
      </c>
      <c r="K1235" s="6">
        <v>0</v>
      </c>
    </row>
    <row r="1236" spans="1:11">
      <c r="A1236" t="str">
        <f t="shared" si="19"/>
        <v>Pexalon 106 SC 50 X 100 ml462350</v>
      </c>
      <c r="B1236" t="s">
        <v>11055</v>
      </c>
      <c r="C1236" t="s">
        <v>13139</v>
      </c>
      <c r="D1236" t="s">
        <v>15618</v>
      </c>
      <c r="E1236" t="s">
        <v>1583</v>
      </c>
      <c r="F1236">
        <v>50</v>
      </c>
      <c r="G1236">
        <v>1</v>
      </c>
      <c r="H1236">
        <v>1</v>
      </c>
      <c r="I1236">
        <v>50</v>
      </c>
      <c r="J1236" s="3">
        <v>46235</v>
      </c>
      <c r="K1236" s="6">
        <v>0</v>
      </c>
    </row>
    <row r="1237" spans="1:11">
      <c r="A1237" t="str">
        <f t="shared" si="19"/>
        <v>Phenol (Sample)1/1/10000</v>
      </c>
      <c r="B1237" t="s">
        <v>11056</v>
      </c>
      <c r="C1237" t="s">
        <v>13140</v>
      </c>
      <c r="D1237" t="s">
        <v>15619</v>
      </c>
      <c r="E1237" t="s">
        <v>1585</v>
      </c>
      <c r="F1237">
        <v>1</v>
      </c>
      <c r="G1237">
        <v>1</v>
      </c>
      <c r="H1237">
        <v>1</v>
      </c>
      <c r="I1237">
        <v>1</v>
      </c>
      <c r="J1237" s="3" t="s">
        <v>2222</v>
      </c>
      <c r="K1237" s="6">
        <v>0</v>
      </c>
    </row>
    <row r="1238" spans="1:11">
      <c r="A1238" t="str">
        <f t="shared" si="19"/>
        <v>Phosgrow 50 kg464190</v>
      </c>
      <c r="B1238" t="s">
        <v>11057</v>
      </c>
      <c r="C1238" t="s">
        <v>13141</v>
      </c>
      <c r="D1238" t="s">
        <v>15620</v>
      </c>
      <c r="E1238" t="s">
        <v>1586</v>
      </c>
      <c r="F1238">
        <v>1</v>
      </c>
      <c r="G1238">
        <v>1</v>
      </c>
      <c r="H1238">
        <v>1</v>
      </c>
      <c r="I1238">
        <v>1</v>
      </c>
      <c r="J1238" s="3">
        <v>46419</v>
      </c>
      <c r="K1238" s="6">
        <v>0</v>
      </c>
    </row>
    <row r="1239" spans="1:11">
      <c r="A1239" t="str">
        <f t="shared" si="19"/>
        <v>Phosthene 97 WG 100 X 100 gr458700</v>
      </c>
      <c r="B1239" t="s">
        <v>11058</v>
      </c>
      <c r="C1239" t="s">
        <v>13142</v>
      </c>
      <c r="D1239" t="s">
        <v>15621</v>
      </c>
      <c r="E1239" t="s">
        <v>1587</v>
      </c>
      <c r="F1239">
        <v>100</v>
      </c>
      <c r="G1239">
        <v>1</v>
      </c>
      <c r="H1239">
        <v>1</v>
      </c>
      <c r="I1239">
        <v>100</v>
      </c>
      <c r="J1239" s="3">
        <v>45870</v>
      </c>
      <c r="K1239" s="6">
        <v>0</v>
      </c>
    </row>
    <row r="1240" spans="1:11">
      <c r="A1240" t="str">
        <f t="shared" si="19"/>
        <v>Pilly 25 WP 20 gr454130</v>
      </c>
      <c r="B1240" t="s">
        <v>11059</v>
      </c>
      <c r="C1240" t="s">
        <v>13143</v>
      </c>
      <c r="D1240" t="s">
        <v>15622</v>
      </c>
      <c r="E1240" t="s">
        <v>1589</v>
      </c>
      <c r="F1240">
        <v>1</v>
      </c>
      <c r="G1240">
        <v>1</v>
      </c>
      <c r="H1240">
        <v>1</v>
      </c>
      <c r="I1240">
        <v>1</v>
      </c>
      <c r="J1240" s="3">
        <v>45413</v>
      </c>
      <c r="K1240" s="6">
        <v>0</v>
      </c>
    </row>
    <row r="1241" spans="1:11">
      <c r="A1241" t="str">
        <f t="shared" si="19"/>
        <v>Pinamec 20 EC 15 X 1 ltr469050</v>
      </c>
      <c r="B1241" t="s">
        <v>11060</v>
      </c>
      <c r="C1241" t="s">
        <v>13144</v>
      </c>
      <c r="D1241" t="s">
        <v>15623</v>
      </c>
      <c r="E1241" t="s">
        <v>1590</v>
      </c>
      <c r="F1241">
        <v>15</v>
      </c>
      <c r="G1241">
        <v>1</v>
      </c>
      <c r="H1241">
        <v>1</v>
      </c>
      <c r="I1241">
        <v>15</v>
      </c>
      <c r="J1241" s="3">
        <v>46905</v>
      </c>
      <c r="K1241" s="6">
        <v>0</v>
      </c>
    </row>
    <row r="1242" spans="1:11">
      <c r="A1242" t="str">
        <f t="shared" si="19"/>
        <v>Pinamec 20 EC 15 X 1 ltr470270</v>
      </c>
      <c r="B1242" t="s">
        <v>11061</v>
      </c>
      <c r="C1242" t="s">
        <v>13145</v>
      </c>
      <c r="D1242" t="s">
        <v>15624</v>
      </c>
      <c r="E1242" t="s">
        <v>1590</v>
      </c>
      <c r="F1242">
        <v>15</v>
      </c>
      <c r="G1242">
        <v>1</v>
      </c>
      <c r="H1242">
        <v>1</v>
      </c>
      <c r="I1242">
        <v>15</v>
      </c>
      <c r="J1242" s="3">
        <v>47027</v>
      </c>
      <c r="K1242" s="6">
        <v>0</v>
      </c>
    </row>
    <row r="1243" spans="1:11">
      <c r="A1243" t="str">
        <f t="shared" si="19"/>
        <v>Pinamec 20 EC 20 X 1 ltr (Hitam)471500</v>
      </c>
      <c r="B1243" t="s">
        <v>11062</v>
      </c>
      <c r="C1243" t="s">
        <v>13146</v>
      </c>
      <c r="D1243" t="s">
        <v>15625</v>
      </c>
      <c r="E1243" t="s">
        <v>1594</v>
      </c>
      <c r="F1243">
        <v>20</v>
      </c>
      <c r="G1243">
        <v>1</v>
      </c>
      <c r="H1243">
        <v>1</v>
      </c>
      <c r="I1243">
        <v>20</v>
      </c>
      <c r="J1243" s="3">
        <v>47150</v>
      </c>
      <c r="K1243" s="6">
        <v>0</v>
      </c>
    </row>
    <row r="1244" spans="1:11">
      <c r="A1244" t="str">
        <f t="shared" si="19"/>
        <v>Pinamec 20 EC 20 X 1 ltr (Hitam)472090</v>
      </c>
      <c r="B1244" t="s">
        <v>11063</v>
      </c>
      <c r="C1244" t="s">
        <v>13147</v>
      </c>
      <c r="D1244" t="s">
        <v>15626</v>
      </c>
      <c r="E1244" t="s">
        <v>1594</v>
      </c>
      <c r="F1244">
        <v>20</v>
      </c>
      <c r="G1244">
        <v>1</v>
      </c>
      <c r="H1244">
        <v>1</v>
      </c>
      <c r="I1244">
        <v>20</v>
      </c>
      <c r="J1244" s="3">
        <v>47209</v>
      </c>
      <c r="K1244" s="6">
        <v>0</v>
      </c>
    </row>
    <row r="1245" spans="1:11">
      <c r="A1245" t="str">
        <f t="shared" si="19"/>
        <v>Pinamec 20 EC 20 X 500 ml (Hitam)468440</v>
      </c>
      <c r="B1245" t="s">
        <v>11064</v>
      </c>
      <c r="C1245" t="s">
        <v>13148</v>
      </c>
      <c r="D1245" t="s">
        <v>15627</v>
      </c>
      <c r="E1245" t="s">
        <v>1597</v>
      </c>
      <c r="F1245">
        <v>20</v>
      </c>
      <c r="G1245">
        <v>1</v>
      </c>
      <c r="H1245">
        <v>1</v>
      </c>
      <c r="I1245">
        <v>20</v>
      </c>
      <c r="J1245" s="3">
        <v>46844</v>
      </c>
      <c r="K1245" s="6">
        <v>0</v>
      </c>
    </row>
    <row r="1246" spans="1:11">
      <c r="A1246" t="str">
        <f t="shared" si="19"/>
        <v>Pinamec 20 EC 40 X 250 ml467840</v>
      </c>
      <c r="B1246" t="s">
        <v>11065</v>
      </c>
      <c r="C1246" t="s">
        <v>13149</v>
      </c>
      <c r="D1246" t="s">
        <v>15628</v>
      </c>
      <c r="E1246" t="s">
        <v>1600</v>
      </c>
      <c r="F1246">
        <v>40</v>
      </c>
      <c r="G1246">
        <v>1</v>
      </c>
      <c r="H1246">
        <v>1</v>
      </c>
      <c r="I1246">
        <v>40</v>
      </c>
      <c r="J1246" s="3">
        <v>46784</v>
      </c>
      <c r="K1246" s="6">
        <v>0</v>
      </c>
    </row>
    <row r="1247" spans="1:11">
      <c r="A1247" t="str">
        <f t="shared" si="19"/>
        <v>Pinamec 20 EC 40 X 250 ml (Hitam)468440</v>
      </c>
      <c r="B1247" t="s">
        <v>11066</v>
      </c>
      <c r="C1247" t="s">
        <v>13150</v>
      </c>
      <c r="D1247" t="s">
        <v>15629</v>
      </c>
      <c r="E1247" t="s">
        <v>1599</v>
      </c>
      <c r="F1247">
        <v>40</v>
      </c>
      <c r="G1247">
        <v>1</v>
      </c>
      <c r="H1247">
        <v>1</v>
      </c>
      <c r="I1247">
        <v>40</v>
      </c>
      <c r="J1247" s="3">
        <v>46844</v>
      </c>
      <c r="K1247" s="6">
        <v>0</v>
      </c>
    </row>
    <row r="1248" spans="1:11">
      <c r="A1248" t="str">
        <f t="shared" si="19"/>
        <v>Pinamec 20 EC 50 X 100 ml (Hitam)471500</v>
      </c>
      <c r="B1248" t="s">
        <v>11067</v>
      </c>
      <c r="C1248" t="s">
        <v>13151</v>
      </c>
      <c r="D1248" t="s">
        <v>15630</v>
      </c>
      <c r="E1248" t="s">
        <v>1602</v>
      </c>
      <c r="F1248">
        <v>50</v>
      </c>
      <c r="G1248">
        <v>1</v>
      </c>
      <c r="H1248">
        <v>1</v>
      </c>
      <c r="I1248">
        <v>50</v>
      </c>
      <c r="J1248" s="3">
        <v>47150</v>
      </c>
      <c r="K1248" s="6">
        <v>0</v>
      </c>
    </row>
    <row r="1249" spans="1:11">
      <c r="A1249" t="str">
        <f t="shared" si="19"/>
        <v>Pipa Penyemprot 60 cm Star Metal1/1/10000</v>
      </c>
      <c r="B1249" t="s">
        <v>11068</v>
      </c>
      <c r="C1249" t="s">
        <v>13152</v>
      </c>
      <c r="D1249" t="s">
        <v>15631</v>
      </c>
      <c r="E1249" t="s">
        <v>1603</v>
      </c>
      <c r="F1249">
        <v>1</v>
      </c>
      <c r="G1249">
        <v>1</v>
      </c>
      <c r="H1249">
        <v>1</v>
      </c>
      <c r="I1249">
        <v>1</v>
      </c>
      <c r="J1249" s="3" t="s">
        <v>2222</v>
      </c>
      <c r="K1249" s="6">
        <v>0</v>
      </c>
    </row>
    <row r="1250" spans="1:11">
      <c r="A1250" t="str">
        <f t="shared" si="19"/>
        <v>Pipa Penyemprot Fiberglass YT 3L, 4L, 5L, 7L &amp; 9L1/1/10000</v>
      </c>
      <c r="B1250" t="s">
        <v>11069</v>
      </c>
      <c r="C1250" t="s">
        <v>13153</v>
      </c>
      <c r="D1250" t="s">
        <v>15632</v>
      </c>
      <c r="E1250" t="s">
        <v>1604</v>
      </c>
      <c r="F1250">
        <v>1</v>
      </c>
      <c r="G1250">
        <v>1</v>
      </c>
      <c r="H1250">
        <v>1</v>
      </c>
      <c r="I1250">
        <v>1</v>
      </c>
      <c r="J1250" s="3" t="s">
        <v>2222</v>
      </c>
      <c r="K1250" s="6">
        <v>0</v>
      </c>
    </row>
    <row r="1251" spans="1:11">
      <c r="A1251" t="str">
        <f t="shared" si="19"/>
        <v>Pipa Penyemprot+G.Orange 20 L Star Metal1/1/10000</v>
      </c>
      <c r="B1251" t="s">
        <v>11070</v>
      </c>
      <c r="C1251" t="s">
        <v>13154</v>
      </c>
      <c r="D1251" t="s">
        <v>15633</v>
      </c>
      <c r="E1251" t="s">
        <v>1605</v>
      </c>
      <c r="F1251">
        <v>1</v>
      </c>
      <c r="G1251">
        <v>1</v>
      </c>
      <c r="H1251">
        <v>1</v>
      </c>
      <c r="I1251">
        <v>1</v>
      </c>
      <c r="J1251" s="3" t="s">
        <v>2222</v>
      </c>
      <c r="K1251" s="6">
        <v>0</v>
      </c>
    </row>
    <row r="1252" spans="1:11">
      <c r="A1252" t="str">
        <f t="shared" si="19"/>
        <v>Pipa Semprot1/1/10000</v>
      </c>
      <c r="B1252" t="s">
        <v>11071</v>
      </c>
      <c r="C1252" t="s">
        <v>13155</v>
      </c>
      <c r="D1252" t="s">
        <v>15634</v>
      </c>
      <c r="E1252" t="s">
        <v>1606</v>
      </c>
      <c r="F1252">
        <v>1</v>
      </c>
      <c r="G1252">
        <v>1</v>
      </c>
      <c r="H1252">
        <v>1</v>
      </c>
      <c r="I1252">
        <v>1</v>
      </c>
      <c r="J1252" s="3" t="s">
        <v>2222</v>
      </c>
      <c r="K1252" s="6">
        <v>0</v>
      </c>
    </row>
    <row r="1253" spans="1:11">
      <c r="A1253" t="str">
        <f t="shared" si="19"/>
        <v>Piraklo 250 EC 100 X 100 ml469350</v>
      </c>
      <c r="B1253" t="s">
        <v>11072</v>
      </c>
      <c r="C1253" t="s">
        <v>13156</v>
      </c>
      <c r="D1253" t="s">
        <v>15635</v>
      </c>
      <c r="E1253" t="s">
        <v>1607</v>
      </c>
      <c r="F1253">
        <v>100</v>
      </c>
      <c r="G1253">
        <v>1</v>
      </c>
      <c r="H1253">
        <v>1</v>
      </c>
      <c r="I1253">
        <v>100</v>
      </c>
      <c r="J1253" s="3">
        <v>46935</v>
      </c>
      <c r="K1253" s="6">
        <v>0</v>
      </c>
    </row>
    <row r="1254" spans="1:11">
      <c r="A1254" t="str">
        <f t="shared" si="19"/>
        <v>Piraklo 250 EC 40 X 250 ml465080</v>
      </c>
      <c r="B1254" t="s">
        <v>11073</v>
      </c>
      <c r="C1254" t="s">
        <v>13157</v>
      </c>
      <c r="D1254" t="s">
        <v>15636</v>
      </c>
      <c r="E1254" t="s">
        <v>1608</v>
      </c>
      <c r="F1254">
        <v>40</v>
      </c>
      <c r="G1254">
        <v>1</v>
      </c>
      <c r="H1254">
        <v>1</v>
      </c>
      <c r="I1254">
        <v>40</v>
      </c>
      <c r="J1254" s="3">
        <v>46508</v>
      </c>
      <c r="K1254" s="6">
        <v>0</v>
      </c>
    </row>
    <row r="1255" spans="1:11">
      <c r="A1255" t="str">
        <f t="shared" si="19"/>
        <v>Piraklo 250 EC 40 X 250 ml469350</v>
      </c>
      <c r="B1255" t="s">
        <v>11074</v>
      </c>
      <c r="C1255" t="s">
        <v>13158</v>
      </c>
      <c r="D1255" t="s">
        <v>15637</v>
      </c>
      <c r="E1255" t="s">
        <v>1608</v>
      </c>
      <c r="F1255">
        <v>40</v>
      </c>
      <c r="G1255">
        <v>1</v>
      </c>
      <c r="H1255">
        <v>1</v>
      </c>
      <c r="I1255">
        <v>40</v>
      </c>
      <c r="J1255" s="3">
        <v>46935</v>
      </c>
      <c r="K1255" s="6">
        <v>0</v>
      </c>
    </row>
    <row r="1256" spans="1:11">
      <c r="A1256" t="str">
        <f t="shared" si="19"/>
        <v>Piribac 400 SC 50 X 100 ml (Sample)1/1/10000</v>
      </c>
      <c r="B1256" t="s">
        <v>11075</v>
      </c>
      <c r="C1256" t="s">
        <v>13159</v>
      </c>
      <c r="D1256" t="s">
        <v>15638</v>
      </c>
      <c r="E1256" t="s">
        <v>1609</v>
      </c>
      <c r="F1256">
        <v>50</v>
      </c>
      <c r="G1256">
        <v>1</v>
      </c>
      <c r="H1256">
        <v>1</v>
      </c>
      <c r="I1256">
        <v>50</v>
      </c>
      <c r="J1256" s="3" t="s">
        <v>2222</v>
      </c>
      <c r="K1256" s="6">
        <v>0</v>
      </c>
    </row>
    <row r="1257" spans="1:11">
      <c r="A1257" t="str">
        <f t="shared" si="19"/>
        <v>Pisau Lipat Set1/1/10000</v>
      </c>
      <c r="B1257" t="s">
        <v>11076</v>
      </c>
      <c r="C1257" t="s">
        <v>13160</v>
      </c>
      <c r="D1257" t="s">
        <v>15639</v>
      </c>
      <c r="E1257" t="s">
        <v>1610</v>
      </c>
      <c r="F1257">
        <v>1</v>
      </c>
      <c r="G1257">
        <v>1</v>
      </c>
      <c r="H1257">
        <v>1</v>
      </c>
      <c r="I1257">
        <v>1</v>
      </c>
      <c r="J1257" s="3" t="s">
        <v>2222</v>
      </c>
      <c r="K1257" s="6">
        <v>0</v>
      </c>
    </row>
    <row r="1258" spans="1:11">
      <c r="A1258" t="str">
        <f t="shared" si="19"/>
        <v>Pita Alat Pengikat Tanaman Yoto 25 X 20 X 1 roll1/1/10000</v>
      </c>
      <c r="B1258" t="s">
        <v>11077</v>
      </c>
      <c r="C1258" t="s">
        <v>13161</v>
      </c>
      <c r="D1258" t="s">
        <v>15640</v>
      </c>
      <c r="E1258" t="s">
        <v>1611</v>
      </c>
      <c r="F1258">
        <v>25</v>
      </c>
      <c r="G1258">
        <v>20</v>
      </c>
      <c r="H1258">
        <v>1</v>
      </c>
      <c r="I1258">
        <v>500</v>
      </c>
      <c r="J1258" s="3" t="s">
        <v>2222</v>
      </c>
      <c r="K1258" s="6">
        <v>0</v>
      </c>
    </row>
    <row r="1259" spans="1:11">
      <c r="A1259" t="str">
        <f t="shared" si="19"/>
        <v>Planter Bag 11 Liter 2 Handle Standard HDPE 4cm 150 X 24 cm X 25 cm1/1/10000</v>
      </c>
      <c r="B1259" t="s">
        <v>11078</v>
      </c>
      <c r="C1259" t="s">
        <v>13162</v>
      </c>
      <c r="D1259" t="s">
        <v>15641</v>
      </c>
      <c r="E1259" t="s">
        <v>1612</v>
      </c>
      <c r="F1259">
        <v>150</v>
      </c>
      <c r="G1259">
        <v>1</v>
      </c>
      <c r="H1259">
        <v>1</v>
      </c>
      <c r="I1259">
        <v>150</v>
      </c>
      <c r="J1259" s="3" t="s">
        <v>2222</v>
      </c>
      <c r="K1259" s="6">
        <v>0</v>
      </c>
    </row>
    <row r="1260" spans="1:11">
      <c r="A1260" t="str">
        <f t="shared" si="19"/>
        <v>Planter Bag 15 Liter 2 Handle Standard HDPE 4cm 150 X 29 cm X 24 cm1/1/10000</v>
      </c>
      <c r="B1260" t="s">
        <v>11079</v>
      </c>
      <c r="C1260" t="s">
        <v>13163</v>
      </c>
      <c r="D1260" t="s">
        <v>15642</v>
      </c>
      <c r="E1260" t="s">
        <v>1613</v>
      </c>
      <c r="F1260">
        <v>150</v>
      </c>
      <c r="G1260">
        <v>1</v>
      </c>
      <c r="H1260">
        <v>1</v>
      </c>
      <c r="I1260">
        <v>150</v>
      </c>
      <c r="J1260" s="3" t="s">
        <v>2222</v>
      </c>
      <c r="K1260" s="6">
        <v>0</v>
      </c>
    </row>
    <row r="1261" spans="1:11">
      <c r="A1261" t="str">
        <f t="shared" si="19"/>
        <v>Planter Bag 18 Liter 2 Handle Standard HDPE 4cm 150 X 28 cm X 30 cm1/1/10000</v>
      </c>
      <c r="B1261" t="s">
        <v>11080</v>
      </c>
      <c r="C1261" t="s">
        <v>13164</v>
      </c>
      <c r="D1261" t="s">
        <v>15643</v>
      </c>
      <c r="E1261" t="s">
        <v>1614</v>
      </c>
      <c r="F1261">
        <v>150</v>
      </c>
      <c r="G1261">
        <v>1</v>
      </c>
      <c r="H1261">
        <v>1</v>
      </c>
      <c r="I1261">
        <v>150</v>
      </c>
      <c r="J1261" s="3" t="s">
        <v>2222</v>
      </c>
      <c r="K1261" s="6">
        <v>0</v>
      </c>
    </row>
    <row r="1262" spans="1:11">
      <c r="A1262" t="str">
        <f t="shared" si="19"/>
        <v>Planter Bag 28 Liter 2 Handle Standard HDPE 4cm 150 X 30 cm X 40 cm1/1/10000</v>
      </c>
      <c r="B1262" t="s">
        <v>11081</v>
      </c>
      <c r="C1262" t="s">
        <v>13165</v>
      </c>
      <c r="D1262" t="s">
        <v>15644</v>
      </c>
      <c r="E1262" t="s">
        <v>1615</v>
      </c>
      <c r="F1262">
        <v>150</v>
      </c>
      <c r="G1262">
        <v>1</v>
      </c>
      <c r="H1262">
        <v>1</v>
      </c>
      <c r="I1262">
        <v>150</v>
      </c>
      <c r="J1262" s="3" t="s">
        <v>2222</v>
      </c>
      <c r="K1262" s="6">
        <v>0</v>
      </c>
    </row>
    <row r="1263" spans="1:11">
      <c r="A1263" t="str">
        <f t="shared" si="19"/>
        <v>Planter Bag 3 Liter No Handle 200 X 15 cm X 18 cm1/1/10000</v>
      </c>
      <c r="B1263" t="s">
        <v>11082</v>
      </c>
      <c r="C1263" t="s">
        <v>13166</v>
      </c>
      <c r="D1263" t="s">
        <v>15645</v>
      </c>
      <c r="E1263" t="s">
        <v>1616</v>
      </c>
      <c r="F1263">
        <v>200</v>
      </c>
      <c r="G1263">
        <v>1</v>
      </c>
      <c r="H1263">
        <v>1</v>
      </c>
      <c r="I1263">
        <v>200</v>
      </c>
      <c r="J1263" s="3" t="s">
        <v>2222</v>
      </c>
      <c r="K1263" s="6">
        <v>0</v>
      </c>
    </row>
    <row r="1264" spans="1:11">
      <c r="A1264" t="str">
        <f t="shared" si="19"/>
        <v>Planter Bag 5 Liter No Handle 200 X 18 cm X 20 cm1/1/10000</v>
      </c>
      <c r="B1264" t="s">
        <v>11083</v>
      </c>
      <c r="C1264" t="s">
        <v>13167</v>
      </c>
      <c r="D1264" t="s">
        <v>15646</v>
      </c>
      <c r="E1264" t="s">
        <v>1617</v>
      </c>
      <c r="F1264">
        <v>200</v>
      </c>
      <c r="G1264">
        <v>1</v>
      </c>
      <c r="H1264">
        <v>1</v>
      </c>
      <c r="I1264">
        <v>200</v>
      </c>
      <c r="J1264" s="3" t="s">
        <v>2222</v>
      </c>
      <c r="K1264" s="6">
        <v>0</v>
      </c>
    </row>
    <row r="1265" spans="1:11">
      <c r="A1265" t="str">
        <f t="shared" si="19"/>
        <v>Plenum 50 WG 12 X 10 X 25 gr459920</v>
      </c>
      <c r="B1265" t="s">
        <v>11084</v>
      </c>
      <c r="C1265" t="s">
        <v>13168</v>
      </c>
      <c r="D1265" t="s">
        <v>15647</v>
      </c>
      <c r="E1265" t="s">
        <v>1618</v>
      </c>
      <c r="F1265">
        <v>12</v>
      </c>
      <c r="G1265">
        <v>10</v>
      </c>
      <c r="H1265">
        <v>1</v>
      </c>
      <c r="I1265">
        <v>120</v>
      </c>
      <c r="J1265" s="3">
        <v>45992</v>
      </c>
      <c r="K1265" s="6">
        <v>0</v>
      </c>
    </row>
    <row r="1266" spans="1:11">
      <c r="A1266" t="str">
        <f t="shared" si="19"/>
        <v>Plenum 50 WG 50 X 100 gr457780</v>
      </c>
      <c r="B1266" t="s">
        <v>11085</v>
      </c>
      <c r="C1266" t="s">
        <v>13169</v>
      </c>
      <c r="D1266" t="s">
        <v>15648</v>
      </c>
      <c r="E1266" t="s">
        <v>1620</v>
      </c>
      <c r="F1266">
        <v>50</v>
      </c>
      <c r="G1266">
        <v>1</v>
      </c>
      <c r="H1266">
        <v>1</v>
      </c>
      <c r="I1266">
        <v>50</v>
      </c>
      <c r="J1266" s="3">
        <v>45778</v>
      </c>
      <c r="K1266" s="6">
        <v>0</v>
      </c>
    </row>
    <row r="1267" spans="1:11">
      <c r="A1267" t="str">
        <f t="shared" si="19"/>
        <v>Plenum 50 WG 50 X 100 gr459620</v>
      </c>
      <c r="B1267" t="s">
        <v>11086</v>
      </c>
      <c r="C1267" t="s">
        <v>13170</v>
      </c>
      <c r="D1267" t="s">
        <v>15649</v>
      </c>
      <c r="E1267" t="s">
        <v>1620</v>
      </c>
      <c r="F1267">
        <v>50</v>
      </c>
      <c r="G1267">
        <v>1</v>
      </c>
      <c r="H1267">
        <v>1</v>
      </c>
      <c r="I1267">
        <v>50</v>
      </c>
      <c r="J1267" s="3">
        <v>45962</v>
      </c>
      <c r="K1267" s="6">
        <v>0</v>
      </c>
    </row>
    <row r="1268" spans="1:11">
      <c r="A1268" t="str">
        <f t="shared" si="19"/>
        <v>Plenum 50 WG 50 X 100 gr458390</v>
      </c>
      <c r="B1268" t="s">
        <v>11087</v>
      </c>
      <c r="C1268" t="s">
        <v>13171</v>
      </c>
      <c r="D1268" t="s">
        <v>15650</v>
      </c>
      <c r="E1268" t="s">
        <v>1620</v>
      </c>
      <c r="F1268">
        <v>50</v>
      </c>
      <c r="G1268">
        <v>1</v>
      </c>
      <c r="H1268">
        <v>1</v>
      </c>
      <c r="I1268">
        <v>50</v>
      </c>
      <c r="J1268" s="3">
        <v>45839</v>
      </c>
      <c r="K1268" s="6">
        <v>0</v>
      </c>
    </row>
    <row r="1269" spans="1:11">
      <c r="A1269" t="str">
        <f t="shared" si="19"/>
        <v>Plenum 50 WG 50 X 100 gr459920</v>
      </c>
      <c r="B1269" t="s">
        <v>11088</v>
      </c>
      <c r="C1269" t="s">
        <v>13172</v>
      </c>
      <c r="D1269" t="s">
        <v>15651</v>
      </c>
      <c r="E1269" t="s">
        <v>1620</v>
      </c>
      <c r="F1269">
        <v>50</v>
      </c>
      <c r="G1269">
        <v>1</v>
      </c>
      <c r="H1269">
        <v>1</v>
      </c>
      <c r="I1269">
        <v>50</v>
      </c>
      <c r="J1269" s="3">
        <v>45992</v>
      </c>
      <c r="K1269" s="6">
        <v>0</v>
      </c>
    </row>
    <row r="1270" spans="1:11">
      <c r="A1270" t="str">
        <f t="shared" si="19"/>
        <v>Pointer 276 SL 20 X 1 ltr New461430</v>
      </c>
      <c r="B1270" t="s">
        <v>11089</v>
      </c>
      <c r="C1270" t="s">
        <v>13173</v>
      </c>
      <c r="D1270" t="s">
        <v>15652</v>
      </c>
      <c r="E1270" t="s">
        <v>1627</v>
      </c>
      <c r="F1270">
        <v>20</v>
      </c>
      <c r="G1270">
        <v>1</v>
      </c>
      <c r="H1270">
        <v>1</v>
      </c>
      <c r="I1270">
        <v>20</v>
      </c>
      <c r="J1270" s="3">
        <v>46143</v>
      </c>
      <c r="K1270" s="6">
        <v>0</v>
      </c>
    </row>
    <row r="1271" spans="1:11">
      <c r="A1271" t="str">
        <f t="shared" si="19"/>
        <v>Polo Shirt MIA (Putih Kombinasi)1/1/10000</v>
      </c>
      <c r="B1271" t="s">
        <v>11090</v>
      </c>
      <c r="C1271" t="s">
        <v>13174</v>
      </c>
      <c r="D1271" t="s">
        <v>15653</v>
      </c>
      <c r="E1271" t="s">
        <v>1628</v>
      </c>
      <c r="F1271">
        <v>1</v>
      </c>
      <c r="G1271">
        <v>1</v>
      </c>
      <c r="H1271">
        <v>1</v>
      </c>
      <c r="I1271">
        <v>1</v>
      </c>
      <c r="J1271" s="3" t="s">
        <v>2222</v>
      </c>
      <c r="K1271" s="6">
        <v>0</v>
      </c>
    </row>
    <row r="1272" spans="1:11">
      <c r="A1272" t="str">
        <f t="shared" si="19"/>
        <v>Polybag Alpen 10/20 X 25 cm - 25 X 1 kg1/1/10000</v>
      </c>
      <c r="B1272" t="s">
        <v>11091</v>
      </c>
      <c r="C1272" t="s">
        <v>13175</v>
      </c>
      <c r="D1272" t="s">
        <v>15654</v>
      </c>
      <c r="E1272" t="s">
        <v>1629</v>
      </c>
      <c r="F1272">
        <v>25</v>
      </c>
      <c r="G1272">
        <v>1</v>
      </c>
      <c r="H1272">
        <v>1</v>
      </c>
      <c r="I1272">
        <v>25</v>
      </c>
      <c r="J1272" s="3" t="s">
        <v>2222</v>
      </c>
      <c r="K1272" s="6">
        <v>0</v>
      </c>
    </row>
    <row r="1273" spans="1:11">
      <c r="A1273" t="str">
        <f t="shared" si="19"/>
        <v>Polybag Alpen 10/20 X 40 cm - 25 X 1 kg1/1/10000</v>
      </c>
      <c r="B1273" t="s">
        <v>11092</v>
      </c>
      <c r="C1273" t="s">
        <v>13176</v>
      </c>
      <c r="D1273" t="s">
        <v>15655</v>
      </c>
      <c r="E1273" t="s">
        <v>1630</v>
      </c>
      <c r="F1273">
        <v>25</v>
      </c>
      <c r="G1273">
        <v>1</v>
      </c>
      <c r="H1273">
        <v>1</v>
      </c>
      <c r="I1273">
        <v>25</v>
      </c>
      <c r="J1273" s="3" t="s">
        <v>2222</v>
      </c>
      <c r="K1273" s="6">
        <v>0</v>
      </c>
    </row>
    <row r="1274" spans="1:11">
      <c r="A1274" t="str">
        <f t="shared" si="19"/>
        <v>Polybag Alpen 12.5/25 X 25 cm - 25 X 1 kg1/1/10000</v>
      </c>
      <c r="B1274" t="s">
        <v>11093</v>
      </c>
      <c r="C1274" t="s">
        <v>13177</v>
      </c>
      <c r="D1274" t="s">
        <v>15656</v>
      </c>
      <c r="E1274" t="s">
        <v>1631</v>
      </c>
      <c r="F1274">
        <v>25</v>
      </c>
      <c r="G1274">
        <v>1</v>
      </c>
      <c r="H1274">
        <v>1</v>
      </c>
      <c r="I1274">
        <v>25</v>
      </c>
      <c r="J1274" s="3" t="s">
        <v>2222</v>
      </c>
      <c r="K1274" s="6">
        <v>0</v>
      </c>
    </row>
    <row r="1275" spans="1:11">
      <c r="A1275" t="str">
        <f t="shared" si="19"/>
        <v>Polybag Alpen 12.5/25 X 30 cm - 25 X 1 kg1/1/10000</v>
      </c>
      <c r="B1275" t="s">
        <v>11094</v>
      </c>
      <c r="C1275" t="s">
        <v>13178</v>
      </c>
      <c r="D1275" t="s">
        <v>15657</v>
      </c>
      <c r="E1275" t="s">
        <v>1632</v>
      </c>
      <c r="F1275">
        <v>25</v>
      </c>
      <c r="G1275">
        <v>1</v>
      </c>
      <c r="H1275">
        <v>1</v>
      </c>
      <c r="I1275">
        <v>25</v>
      </c>
      <c r="J1275" s="3" t="s">
        <v>2222</v>
      </c>
      <c r="K1275" s="6">
        <v>0</v>
      </c>
    </row>
    <row r="1276" spans="1:11">
      <c r="A1276" t="str">
        <f t="shared" si="19"/>
        <v>Polybag Alpen 17.5/35 X 35 cm - 25 X 1 kg1/1/10000</v>
      </c>
      <c r="B1276" t="s">
        <v>11095</v>
      </c>
      <c r="C1276" t="s">
        <v>13179</v>
      </c>
      <c r="D1276" t="s">
        <v>15658</v>
      </c>
      <c r="E1276" t="s">
        <v>1633</v>
      </c>
      <c r="F1276">
        <v>25</v>
      </c>
      <c r="G1276">
        <v>1</v>
      </c>
      <c r="H1276">
        <v>1</v>
      </c>
      <c r="I1276">
        <v>25</v>
      </c>
      <c r="J1276" s="3" t="s">
        <v>2222</v>
      </c>
      <c r="K1276" s="6">
        <v>0</v>
      </c>
    </row>
    <row r="1277" spans="1:11">
      <c r="A1277" t="str">
        <f t="shared" si="19"/>
        <v>Polybag Alpen 17.5/35 X 40 cm - 25 X 1 kg1/1/10000</v>
      </c>
      <c r="B1277" t="s">
        <v>11096</v>
      </c>
      <c r="C1277" t="s">
        <v>13180</v>
      </c>
      <c r="D1277" t="s">
        <v>15659</v>
      </c>
      <c r="E1277" t="s">
        <v>1634</v>
      </c>
      <c r="F1277">
        <v>25</v>
      </c>
      <c r="G1277">
        <v>1</v>
      </c>
      <c r="H1277">
        <v>1</v>
      </c>
      <c r="I1277">
        <v>25</v>
      </c>
      <c r="J1277" s="3" t="s">
        <v>2222</v>
      </c>
      <c r="K1277" s="6">
        <v>0</v>
      </c>
    </row>
    <row r="1278" spans="1:11">
      <c r="A1278" t="str">
        <f t="shared" si="19"/>
        <v>Polybag Alpen 2.5/5 X 15 cm - 50 X 500 gr1/1/10000</v>
      </c>
      <c r="B1278" t="s">
        <v>11097</v>
      </c>
      <c r="C1278" t="s">
        <v>13181</v>
      </c>
      <c r="D1278" t="s">
        <v>15660</v>
      </c>
      <c r="E1278" t="s">
        <v>1635</v>
      </c>
      <c r="F1278">
        <v>50</v>
      </c>
      <c r="G1278">
        <v>1</v>
      </c>
      <c r="H1278">
        <v>1</v>
      </c>
      <c r="I1278">
        <v>50</v>
      </c>
      <c r="J1278" s="3" t="s">
        <v>2222</v>
      </c>
      <c r="K1278" s="6">
        <v>0</v>
      </c>
    </row>
    <row r="1279" spans="1:11">
      <c r="A1279" t="str">
        <f t="shared" si="19"/>
        <v>Polybag Alpen 25/45 X 45 cm - 25 X 1 kg1/1/10000</v>
      </c>
      <c r="B1279" t="s">
        <v>11098</v>
      </c>
      <c r="C1279" t="s">
        <v>13182</v>
      </c>
      <c r="D1279" t="s">
        <v>15661</v>
      </c>
      <c r="E1279" t="s">
        <v>1636</v>
      </c>
      <c r="F1279">
        <v>25</v>
      </c>
      <c r="G1279">
        <v>1</v>
      </c>
      <c r="H1279">
        <v>1</v>
      </c>
      <c r="I1279">
        <v>25</v>
      </c>
      <c r="J1279" s="3" t="s">
        <v>2222</v>
      </c>
      <c r="K1279" s="6">
        <v>0</v>
      </c>
    </row>
    <row r="1280" spans="1:11">
      <c r="A1280" t="str">
        <f t="shared" si="19"/>
        <v>Polybag Alpen 30/50 X 50 cm - 25 X 1 kg1/1/10000</v>
      </c>
      <c r="B1280" t="s">
        <v>11099</v>
      </c>
      <c r="C1280" t="s">
        <v>13183</v>
      </c>
      <c r="D1280" t="s">
        <v>15662</v>
      </c>
      <c r="E1280" t="s">
        <v>1637</v>
      </c>
      <c r="F1280">
        <v>25</v>
      </c>
      <c r="G1280">
        <v>1</v>
      </c>
      <c r="H1280">
        <v>1</v>
      </c>
      <c r="I1280">
        <v>25</v>
      </c>
      <c r="J1280" s="3" t="s">
        <v>2222</v>
      </c>
      <c r="K1280" s="6">
        <v>0</v>
      </c>
    </row>
    <row r="1281" spans="1:11">
      <c r="A1281" t="str">
        <f t="shared" si="19"/>
        <v>Polybag Alpen 5/10 X 15 cm - 50 X 500 gr1/1/10000</v>
      </c>
      <c r="B1281" t="s">
        <v>11100</v>
      </c>
      <c r="C1281" t="s">
        <v>13184</v>
      </c>
      <c r="D1281" t="s">
        <v>15663</v>
      </c>
      <c r="E1281" t="s">
        <v>1638</v>
      </c>
      <c r="F1281">
        <v>50</v>
      </c>
      <c r="G1281">
        <v>1</v>
      </c>
      <c r="H1281">
        <v>1</v>
      </c>
      <c r="I1281">
        <v>50</v>
      </c>
      <c r="J1281" s="3" t="s">
        <v>2222</v>
      </c>
      <c r="K1281" s="6">
        <v>0</v>
      </c>
    </row>
    <row r="1282" spans="1:11">
      <c r="A1282" t="str">
        <f t="shared" si="19"/>
        <v>Polybag Korma 10 X 15 X 004 (Sample)1/1/10000</v>
      </c>
      <c r="B1282" t="s">
        <v>11101</v>
      </c>
      <c r="C1282" t="s">
        <v>13185</v>
      </c>
      <c r="D1282" t="s">
        <v>15664</v>
      </c>
      <c r="E1282" t="s">
        <v>1639</v>
      </c>
      <c r="F1282">
        <v>1</v>
      </c>
      <c r="G1282">
        <v>1</v>
      </c>
      <c r="H1282">
        <v>1</v>
      </c>
      <c r="I1282">
        <v>1</v>
      </c>
      <c r="J1282" s="3" t="s">
        <v>2222</v>
      </c>
      <c r="K1282" s="6">
        <v>0</v>
      </c>
    </row>
    <row r="1283" spans="1:11">
      <c r="A1283" t="str">
        <f t="shared" ref="A1283:A1346" si="20">E1283&amp;J1283&amp;K1283</f>
        <v>Polybag Korma 15 X 15 X 005 (Sample)1/1/10000</v>
      </c>
      <c r="B1283" t="s">
        <v>11102</v>
      </c>
      <c r="C1283" t="s">
        <v>13186</v>
      </c>
      <c r="D1283" t="s">
        <v>15665</v>
      </c>
      <c r="E1283" t="s">
        <v>1641</v>
      </c>
      <c r="F1283">
        <v>1</v>
      </c>
      <c r="G1283">
        <v>1</v>
      </c>
      <c r="H1283">
        <v>1</v>
      </c>
      <c r="I1283">
        <v>1</v>
      </c>
      <c r="J1283" s="3" t="s">
        <v>2222</v>
      </c>
      <c r="K1283" s="6">
        <v>0</v>
      </c>
    </row>
    <row r="1284" spans="1:11">
      <c r="A1284" t="str">
        <f t="shared" si="20"/>
        <v>Polybag Korma 20 X 20 X 006 (Sample)1/1/10000</v>
      </c>
      <c r="B1284" t="s">
        <v>11103</v>
      </c>
      <c r="C1284" t="s">
        <v>13187</v>
      </c>
      <c r="D1284" t="s">
        <v>15666</v>
      </c>
      <c r="E1284" t="s">
        <v>1642</v>
      </c>
      <c r="F1284">
        <v>1</v>
      </c>
      <c r="G1284">
        <v>1</v>
      </c>
      <c r="H1284">
        <v>1</v>
      </c>
      <c r="I1284">
        <v>1</v>
      </c>
      <c r="J1284" s="3" t="s">
        <v>2222</v>
      </c>
      <c r="K1284" s="6">
        <v>0</v>
      </c>
    </row>
    <row r="1285" spans="1:11">
      <c r="A1285" t="str">
        <f t="shared" si="20"/>
        <v>Polybag Korma 25 X 30 X 006 (Sample)1/1/10000</v>
      </c>
      <c r="B1285" t="s">
        <v>11104</v>
      </c>
      <c r="C1285" t="s">
        <v>13188</v>
      </c>
      <c r="D1285" t="s">
        <v>15667</v>
      </c>
      <c r="E1285" t="s">
        <v>1643</v>
      </c>
      <c r="F1285">
        <v>1</v>
      </c>
      <c r="G1285">
        <v>1</v>
      </c>
      <c r="H1285">
        <v>1</v>
      </c>
      <c r="I1285">
        <v>1</v>
      </c>
      <c r="J1285" s="3" t="s">
        <v>2222</v>
      </c>
      <c r="K1285" s="6">
        <v>0</v>
      </c>
    </row>
    <row r="1286" spans="1:11">
      <c r="A1286" t="str">
        <f t="shared" si="20"/>
        <v>Polybag Korma 30 X 30 X 008 (Sample)1/1/10000</v>
      </c>
      <c r="B1286" t="s">
        <v>11105</v>
      </c>
      <c r="C1286" t="s">
        <v>13189</v>
      </c>
      <c r="D1286" t="s">
        <v>15668</v>
      </c>
      <c r="E1286" t="s">
        <v>1644</v>
      </c>
      <c r="F1286">
        <v>1</v>
      </c>
      <c r="G1286">
        <v>1</v>
      </c>
      <c r="H1286">
        <v>1</v>
      </c>
      <c r="I1286">
        <v>1</v>
      </c>
      <c r="J1286" s="3" t="s">
        <v>2222</v>
      </c>
      <c r="K1286" s="6">
        <v>0</v>
      </c>
    </row>
    <row r="1287" spans="1:11">
      <c r="A1287" t="str">
        <f t="shared" si="20"/>
        <v>Polybag Korma 35 X 35 X 008 (Sample)1/1/10000</v>
      </c>
      <c r="B1287" t="s">
        <v>11106</v>
      </c>
      <c r="C1287" t="s">
        <v>13190</v>
      </c>
      <c r="D1287" t="s">
        <v>15669</v>
      </c>
      <c r="E1287" t="s">
        <v>1645</v>
      </c>
      <c r="F1287">
        <v>1</v>
      </c>
      <c r="G1287">
        <v>1</v>
      </c>
      <c r="H1287">
        <v>1</v>
      </c>
      <c r="I1287">
        <v>1</v>
      </c>
      <c r="J1287" s="3" t="s">
        <v>2222</v>
      </c>
      <c r="K1287" s="6">
        <v>0</v>
      </c>
    </row>
    <row r="1288" spans="1:11">
      <c r="A1288" t="str">
        <f t="shared" si="20"/>
        <v>Polybag Korma 40 X 40 X 010 (Sample)1/1/10000</v>
      </c>
      <c r="B1288" t="s">
        <v>11107</v>
      </c>
      <c r="C1288" t="s">
        <v>13191</v>
      </c>
      <c r="D1288" t="s">
        <v>15670</v>
      </c>
      <c r="E1288" t="s">
        <v>1646</v>
      </c>
      <c r="F1288">
        <v>1</v>
      </c>
      <c r="G1288">
        <v>1</v>
      </c>
      <c r="H1288">
        <v>1</v>
      </c>
      <c r="I1288">
        <v>1</v>
      </c>
      <c r="J1288" s="3" t="s">
        <v>2222</v>
      </c>
      <c r="K1288" s="6">
        <v>0</v>
      </c>
    </row>
    <row r="1289" spans="1:11">
      <c r="A1289" t="str">
        <f t="shared" si="20"/>
        <v>Polybag Korma 45 X 45 X 010 (Sample)1/1/10000</v>
      </c>
      <c r="B1289" t="s">
        <v>11108</v>
      </c>
      <c r="C1289" t="s">
        <v>13192</v>
      </c>
      <c r="D1289" t="s">
        <v>15671</v>
      </c>
      <c r="E1289" t="s">
        <v>1647</v>
      </c>
      <c r="F1289">
        <v>1</v>
      </c>
      <c r="G1289">
        <v>1</v>
      </c>
      <c r="H1289">
        <v>1</v>
      </c>
      <c r="I1289">
        <v>1</v>
      </c>
      <c r="J1289" s="3" t="s">
        <v>2222</v>
      </c>
      <c r="K1289" s="6">
        <v>0</v>
      </c>
    </row>
    <row r="1290" spans="1:11">
      <c r="A1290" t="str">
        <f t="shared" si="20"/>
        <v>Polybag Korma 50 X 50 X 010 (Sample)1/1/10000</v>
      </c>
      <c r="B1290" t="s">
        <v>11109</v>
      </c>
      <c r="C1290" t="s">
        <v>13193</v>
      </c>
      <c r="D1290" t="s">
        <v>15672</v>
      </c>
      <c r="E1290" t="s">
        <v>1648</v>
      </c>
      <c r="F1290">
        <v>1</v>
      </c>
      <c r="G1290">
        <v>1</v>
      </c>
      <c r="H1290">
        <v>1</v>
      </c>
      <c r="I1290">
        <v>1</v>
      </c>
      <c r="J1290" s="3" t="s">
        <v>2222</v>
      </c>
      <c r="K1290" s="6">
        <v>0</v>
      </c>
    </row>
    <row r="1291" spans="1:11">
      <c r="A1291" t="str">
        <f t="shared" si="20"/>
        <v>Pompa Plasindo 14 ltr1/1/10000</v>
      </c>
      <c r="B1291" t="s">
        <v>11110</v>
      </c>
      <c r="C1291" t="s">
        <v>13194</v>
      </c>
      <c r="D1291" t="s">
        <v>15673</v>
      </c>
      <c r="E1291" t="s">
        <v>1649</v>
      </c>
      <c r="F1291">
        <v>1</v>
      </c>
      <c r="G1291">
        <v>1</v>
      </c>
      <c r="H1291">
        <v>1</v>
      </c>
      <c r="I1291">
        <v>1</v>
      </c>
      <c r="J1291" s="3" t="s">
        <v>2222</v>
      </c>
      <c r="K1291" s="6">
        <v>0</v>
      </c>
    </row>
    <row r="1292" spans="1:11">
      <c r="A1292" t="str">
        <f t="shared" si="20"/>
        <v>Popzole 525 SE 48 X 240 ml459620</v>
      </c>
      <c r="B1292" t="s">
        <v>11111</v>
      </c>
      <c r="C1292" t="s">
        <v>13195</v>
      </c>
      <c r="D1292" t="s">
        <v>15674</v>
      </c>
      <c r="E1292" t="s">
        <v>1650</v>
      </c>
      <c r="F1292">
        <v>48</v>
      </c>
      <c r="G1292">
        <v>1</v>
      </c>
      <c r="H1292">
        <v>1</v>
      </c>
      <c r="I1292">
        <v>48</v>
      </c>
      <c r="J1292" s="3">
        <v>45962</v>
      </c>
      <c r="K1292" s="6">
        <v>0</v>
      </c>
    </row>
    <row r="1293" spans="1:11">
      <c r="A1293" t="str">
        <f t="shared" si="20"/>
        <v>Popzole 525 SE 48 X 240 ml467530</v>
      </c>
      <c r="B1293" t="s">
        <v>11112</v>
      </c>
      <c r="C1293" t="s">
        <v>13196</v>
      </c>
      <c r="D1293" t="s">
        <v>15675</v>
      </c>
      <c r="E1293" t="s">
        <v>1650</v>
      </c>
      <c r="F1293">
        <v>48</v>
      </c>
      <c r="G1293">
        <v>1</v>
      </c>
      <c r="H1293">
        <v>1</v>
      </c>
      <c r="I1293">
        <v>48</v>
      </c>
      <c r="J1293" s="3">
        <v>46753</v>
      </c>
      <c r="K1293" s="6">
        <v>0</v>
      </c>
    </row>
    <row r="1294" spans="1:11">
      <c r="A1294" t="str">
        <f t="shared" si="20"/>
        <v>Popzole 525 SE 64 X 100 ml465690</v>
      </c>
      <c r="B1294" t="s">
        <v>11113</v>
      </c>
      <c r="C1294" t="s">
        <v>13197</v>
      </c>
      <c r="D1294" t="s">
        <v>15676</v>
      </c>
      <c r="E1294" t="s">
        <v>1653</v>
      </c>
      <c r="F1294">
        <v>64</v>
      </c>
      <c r="G1294">
        <v>1</v>
      </c>
      <c r="H1294">
        <v>1</v>
      </c>
      <c r="I1294">
        <v>64</v>
      </c>
      <c r="J1294" s="3">
        <v>46569</v>
      </c>
      <c r="K1294" s="6">
        <v>0</v>
      </c>
    </row>
    <row r="1295" spans="1:11">
      <c r="A1295" t="str">
        <f t="shared" si="20"/>
        <v>Poster Piraklo1/1/10000</v>
      </c>
      <c r="B1295" t="s">
        <v>11114</v>
      </c>
      <c r="C1295" t="s">
        <v>13198</v>
      </c>
      <c r="D1295" t="s">
        <v>15677</v>
      </c>
      <c r="E1295" t="s">
        <v>1656</v>
      </c>
      <c r="F1295">
        <v>1</v>
      </c>
      <c r="G1295">
        <v>1</v>
      </c>
      <c r="H1295">
        <v>1</v>
      </c>
      <c r="I1295">
        <v>1</v>
      </c>
      <c r="J1295" s="3" t="s">
        <v>2222</v>
      </c>
      <c r="K1295" s="6">
        <v>0</v>
      </c>
    </row>
    <row r="1296" spans="1:11">
      <c r="A1296" t="str">
        <f t="shared" si="20"/>
        <v>Pot Tray 105 (Sample)1/1/10000</v>
      </c>
      <c r="B1296" t="s">
        <v>11115</v>
      </c>
      <c r="C1296" t="s">
        <v>13199</v>
      </c>
      <c r="D1296" t="s">
        <v>15678</v>
      </c>
      <c r="E1296" t="s">
        <v>1657</v>
      </c>
      <c r="F1296">
        <v>1</v>
      </c>
      <c r="G1296">
        <v>1</v>
      </c>
      <c r="H1296">
        <v>1</v>
      </c>
      <c r="I1296">
        <v>1</v>
      </c>
      <c r="J1296" s="3" t="s">
        <v>2222</v>
      </c>
      <c r="K1296" s="6">
        <v>0</v>
      </c>
    </row>
    <row r="1297" spans="1:11">
      <c r="A1297" t="str">
        <f t="shared" si="20"/>
        <v>Pot Tray 128 (Sample)1/1/10000</v>
      </c>
      <c r="B1297" t="s">
        <v>11116</v>
      </c>
      <c r="C1297" t="s">
        <v>13200</v>
      </c>
      <c r="D1297" t="s">
        <v>15679</v>
      </c>
      <c r="E1297" t="s">
        <v>1658</v>
      </c>
      <c r="F1297">
        <v>1</v>
      </c>
      <c r="G1297">
        <v>1</v>
      </c>
      <c r="H1297">
        <v>1</v>
      </c>
      <c r="I1297">
        <v>1</v>
      </c>
      <c r="J1297" s="3" t="s">
        <v>2222</v>
      </c>
      <c r="K1297" s="6">
        <v>0</v>
      </c>
    </row>
    <row r="1298" spans="1:11">
      <c r="A1298" t="str">
        <f t="shared" si="20"/>
        <v>Pot Tray 200 (Sample)1/1/10000</v>
      </c>
      <c r="B1298" t="s">
        <v>11117</v>
      </c>
      <c r="C1298" t="s">
        <v>13201</v>
      </c>
      <c r="D1298" t="s">
        <v>15680</v>
      </c>
      <c r="E1298" t="s">
        <v>1659</v>
      </c>
      <c r="F1298">
        <v>1</v>
      </c>
      <c r="G1298">
        <v>1</v>
      </c>
      <c r="H1298">
        <v>1</v>
      </c>
      <c r="I1298">
        <v>1</v>
      </c>
      <c r="J1298" s="3" t="s">
        <v>2222</v>
      </c>
      <c r="K1298" s="6">
        <v>0</v>
      </c>
    </row>
    <row r="1299" spans="1:11">
      <c r="A1299" t="str">
        <f t="shared" si="20"/>
        <v>Pot Tray 32 (Sample)1/1/10000</v>
      </c>
      <c r="B1299" t="s">
        <v>11118</v>
      </c>
      <c r="C1299" t="s">
        <v>13202</v>
      </c>
      <c r="D1299" t="s">
        <v>15681</v>
      </c>
      <c r="E1299" t="s">
        <v>1660</v>
      </c>
      <c r="F1299">
        <v>1</v>
      </c>
      <c r="G1299">
        <v>1</v>
      </c>
      <c r="H1299">
        <v>1</v>
      </c>
      <c r="I1299">
        <v>1</v>
      </c>
      <c r="J1299" s="3" t="s">
        <v>2222</v>
      </c>
      <c r="K1299" s="6">
        <v>0</v>
      </c>
    </row>
    <row r="1300" spans="1:11">
      <c r="A1300" t="str">
        <f t="shared" si="20"/>
        <v>Pot Tray 50 (Sample)1/1/10000</v>
      </c>
      <c r="B1300" t="s">
        <v>11119</v>
      </c>
      <c r="C1300" t="s">
        <v>13203</v>
      </c>
      <c r="D1300" t="s">
        <v>15682</v>
      </c>
      <c r="E1300" t="s">
        <v>1661</v>
      </c>
      <c r="F1300">
        <v>1</v>
      </c>
      <c r="G1300">
        <v>1</v>
      </c>
      <c r="H1300">
        <v>1</v>
      </c>
      <c r="I1300">
        <v>1</v>
      </c>
      <c r="J1300" s="3" t="s">
        <v>2222</v>
      </c>
      <c r="K1300" s="6">
        <v>0</v>
      </c>
    </row>
    <row r="1301" spans="1:11">
      <c r="A1301" t="str">
        <f t="shared" si="20"/>
        <v>Pot Tray 72 (Sample)1/1/10000</v>
      </c>
      <c r="B1301" t="s">
        <v>11120</v>
      </c>
      <c r="C1301" t="s">
        <v>13204</v>
      </c>
      <c r="D1301" t="s">
        <v>15683</v>
      </c>
      <c r="E1301" t="s">
        <v>1662</v>
      </c>
      <c r="F1301">
        <v>1</v>
      </c>
      <c r="G1301">
        <v>1</v>
      </c>
      <c r="H1301">
        <v>1</v>
      </c>
      <c r="I1301">
        <v>1</v>
      </c>
      <c r="J1301" s="3" t="s">
        <v>2222</v>
      </c>
      <c r="K1301" s="6">
        <v>0</v>
      </c>
    </row>
    <row r="1302" spans="1:11">
      <c r="A1302" t="str">
        <f t="shared" si="20"/>
        <v>Pot Tray 98 (Sample)1/1/10000</v>
      </c>
      <c r="B1302" t="s">
        <v>11121</v>
      </c>
      <c r="C1302" t="s">
        <v>13205</v>
      </c>
      <c r="D1302" t="s">
        <v>15684</v>
      </c>
      <c r="E1302" t="s">
        <v>1663</v>
      </c>
      <c r="F1302">
        <v>1</v>
      </c>
      <c r="G1302">
        <v>1</v>
      </c>
      <c r="H1302">
        <v>1</v>
      </c>
      <c r="I1302">
        <v>1</v>
      </c>
      <c r="J1302" s="3" t="s">
        <v>2222</v>
      </c>
      <c r="K1302" s="6">
        <v>0</v>
      </c>
    </row>
    <row r="1303" spans="1:11">
      <c r="A1303" t="str">
        <f t="shared" si="20"/>
        <v>Pot Tray Dexxan 100 X 200 lubang1/1/10000</v>
      </c>
      <c r="B1303" t="s">
        <v>11122</v>
      </c>
      <c r="C1303" t="s">
        <v>13206</v>
      </c>
      <c r="D1303" t="s">
        <v>15685</v>
      </c>
      <c r="E1303" t="s">
        <v>1664</v>
      </c>
      <c r="F1303">
        <v>100</v>
      </c>
      <c r="G1303">
        <v>1</v>
      </c>
      <c r="H1303">
        <v>1</v>
      </c>
      <c r="I1303">
        <v>100</v>
      </c>
      <c r="J1303" s="3" t="s">
        <v>2222</v>
      </c>
      <c r="K1303" s="6">
        <v>0</v>
      </c>
    </row>
    <row r="1304" spans="1:11">
      <c r="A1304" t="str">
        <f t="shared" si="20"/>
        <v>Pot Tray Dexxan 100 X 288 lubang1/1/10000</v>
      </c>
      <c r="B1304" t="s">
        <v>11123</v>
      </c>
      <c r="C1304" t="s">
        <v>13207</v>
      </c>
      <c r="D1304" t="s">
        <v>15686</v>
      </c>
      <c r="E1304" t="s">
        <v>1665</v>
      </c>
      <c r="F1304">
        <v>100</v>
      </c>
      <c r="G1304">
        <v>1</v>
      </c>
      <c r="H1304">
        <v>1</v>
      </c>
      <c r="I1304">
        <v>100</v>
      </c>
      <c r="J1304" s="3" t="s">
        <v>2222</v>
      </c>
      <c r="K1304" s="6">
        <v>0</v>
      </c>
    </row>
    <row r="1305" spans="1:11">
      <c r="A1305" t="str">
        <f t="shared" si="20"/>
        <v>Pot Tray Dexxan 100 X 50 lubang1/1/10000</v>
      </c>
      <c r="B1305" t="s">
        <v>11124</v>
      </c>
      <c r="C1305" t="s">
        <v>13208</v>
      </c>
      <c r="D1305" t="s">
        <v>15687</v>
      </c>
      <c r="E1305" t="s">
        <v>1666</v>
      </c>
      <c r="F1305">
        <v>100</v>
      </c>
      <c r="G1305">
        <v>1</v>
      </c>
      <c r="H1305">
        <v>1</v>
      </c>
      <c r="I1305">
        <v>100</v>
      </c>
      <c r="J1305" s="3" t="s">
        <v>2222</v>
      </c>
      <c r="K1305" s="6">
        <v>0</v>
      </c>
    </row>
    <row r="1306" spans="1:11">
      <c r="A1306" t="str">
        <f t="shared" si="20"/>
        <v>Pot Tray Dexxan 100 X 98 lubang1/1/10000</v>
      </c>
      <c r="B1306" t="s">
        <v>11125</v>
      </c>
      <c r="C1306" t="s">
        <v>13209</v>
      </c>
      <c r="D1306" t="s">
        <v>15688</v>
      </c>
      <c r="E1306" t="s">
        <v>1667</v>
      </c>
      <c r="F1306">
        <v>100</v>
      </c>
      <c r="G1306">
        <v>1</v>
      </c>
      <c r="H1306">
        <v>1</v>
      </c>
      <c r="I1306">
        <v>100</v>
      </c>
      <c r="J1306" s="3" t="s">
        <v>2222</v>
      </c>
      <c r="K1306" s="6">
        <v>0</v>
      </c>
    </row>
    <row r="1307" spans="1:11">
      <c r="A1307" t="str">
        <f t="shared" si="20"/>
        <v>Pounce 20 EC 24 X 500 ml460820</v>
      </c>
      <c r="B1307" t="s">
        <v>11126</v>
      </c>
      <c r="C1307" t="s">
        <v>13210</v>
      </c>
      <c r="D1307" t="s">
        <v>15689</v>
      </c>
      <c r="E1307" t="s">
        <v>1668</v>
      </c>
      <c r="F1307">
        <v>24</v>
      </c>
      <c r="G1307">
        <v>1</v>
      </c>
      <c r="H1307">
        <v>1</v>
      </c>
      <c r="I1307">
        <v>24</v>
      </c>
      <c r="J1307" s="3">
        <v>46082</v>
      </c>
      <c r="K1307" s="6">
        <v>0</v>
      </c>
    </row>
    <row r="1308" spans="1:11">
      <c r="A1308" t="str">
        <f t="shared" si="20"/>
        <v>Power Grow 20 X 1 ltr467530</v>
      </c>
      <c r="B1308" t="s">
        <v>11127</v>
      </c>
      <c r="C1308" t="s">
        <v>13211</v>
      </c>
      <c r="D1308" t="s">
        <v>15690</v>
      </c>
      <c r="E1308" t="s">
        <v>1669</v>
      </c>
      <c r="F1308">
        <v>20</v>
      </c>
      <c r="G1308">
        <v>1</v>
      </c>
      <c r="H1308">
        <v>1</v>
      </c>
      <c r="I1308">
        <v>20</v>
      </c>
      <c r="J1308" s="3">
        <v>46753</v>
      </c>
      <c r="K1308" s="6">
        <v>0</v>
      </c>
    </row>
    <row r="1309" spans="1:11">
      <c r="A1309" t="str">
        <f t="shared" si="20"/>
        <v>Power On/Off YEP 181/1/10000</v>
      </c>
      <c r="B1309" t="s">
        <v>11128</v>
      </c>
      <c r="C1309" t="s">
        <v>13212</v>
      </c>
      <c r="D1309" t="s">
        <v>15691</v>
      </c>
      <c r="E1309" t="s">
        <v>1670</v>
      </c>
      <c r="F1309">
        <v>1</v>
      </c>
      <c r="G1309">
        <v>1</v>
      </c>
      <c r="H1309">
        <v>1</v>
      </c>
      <c r="I1309">
        <v>1</v>
      </c>
      <c r="J1309" s="3" t="s">
        <v>2222</v>
      </c>
      <c r="K1309" s="6">
        <v>0</v>
      </c>
    </row>
    <row r="1310" spans="1:11">
      <c r="A1310" t="str">
        <f t="shared" si="20"/>
        <v>Powercall Cair 20 X 1 ltr469350</v>
      </c>
      <c r="B1310" t="s">
        <v>11129</v>
      </c>
      <c r="C1310" t="s">
        <v>13213</v>
      </c>
      <c r="D1310" t="s">
        <v>15692</v>
      </c>
      <c r="E1310" t="s">
        <v>1671</v>
      </c>
      <c r="F1310">
        <v>20</v>
      </c>
      <c r="G1310">
        <v>1</v>
      </c>
      <c r="H1310">
        <v>1</v>
      </c>
      <c r="I1310">
        <v>20</v>
      </c>
      <c r="J1310" s="3">
        <v>46935</v>
      </c>
      <c r="K1310" s="6">
        <v>0</v>
      </c>
    </row>
    <row r="1311" spans="1:11">
      <c r="A1311" t="str">
        <f t="shared" si="20"/>
        <v>Previcur N 722SL 100 X 100 ml463570</v>
      </c>
      <c r="B1311" t="s">
        <v>11130</v>
      </c>
      <c r="C1311" t="s">
        <v>13214</v>
      </c>
      <c r="D1311" t="s">
        <v>15693</v>
      </c>
      <c r="E1311" t="s">
        <v>1672</v>
      </c>
      <c r="F1311">
        <v>100</v>
      </c>
      <c r="G1311">
        <v>1</v>
      </c>
      <c r="H1311">
        <v>1</v>
      </c>
      <c r="I1311">
        <v>100</v>
      </c>
      <c r="J1311" s="3">
        <v>46357</v>
      </c>
      <c r="K1311" s="6">
        <v>0</v>
      </c>
    </row>
    <row r="1312" spans="1:11">
      <c r="A1312" t="str">
        <f t="shared" si="20"/>
        <v>Previcur N 722SL 20 X 500 ml461740</v>
      </c>
      <c r="B1312" t="s">
        <v>11131</v>
      </c>
      <c r="C1312" t="s">
        <v>13215</v>
      </c>
      <c r="D1312" t="s">
        <v>15694</v>
      </c>
      <c r="E1312" t="s">
        <v>1674</v>
      </c>
      <c r="F1312">
        <v>20</v>
      </c>
      <c r="G1312">
        <v>1</v>
      </c>
      <c r="H1312">
        <v>1</v>
      </c>
      <c r="I1312">
        <v>20</v>
      </c>
      <c r="J1312" s="3">
        <v>46174</v>
      </c>
      <c r="K1312" s="6">
        <v>0</v>
      </c>
    </row>
    <row r="1313" spans="1:11">
      <c r="A1313" t="str">
        <f t="shared" si="20"/>
        <v>Prima-Clink 20 X 250 ml470270</v>
      </c>
      <c r="B1313" t="s">
        <v>11132</v>
      </c>
      <c r="C1313" t="s">
        <v>13216</v>
      </c>
      <c r="D1313" t="s">
        <v>15695</v>
      </c>
      <c r="E1313" t="s">
        <v>1676</v>
      </c>
      <c r="F1313">
        <v>20</v>
      </c>
      <c r="G1313">
        <v>1</v>
      </c>
      <c r="H1313">
        <v>1</v>
      </c>
      <c r="I1313">
        <v>20</v>
      </c>
      <c r="J1313" s="3">
        <v>47027</v>
      </c>
      <c r="K1313" s="6">
        <v>0</v>
      </c>
    </row>
    <row r="1314" spans="1:11">
      <c r="A1314" t="str">
        <f t="shared" si="20"/>
        <v>Prima-Clink 50 X 100 ml472390</v>
      </c>
      <c r="B1314" t="s">
        <v>11133</v>
      </c>
      <c r="C1314" t="s">
        <v>13217</v>
      </c>
      <c r="D1314" t="s">
        <v>15696</v>
      </c>
      <c r="E1314" t="s">
        <v>1677</v>
      </c>
      <c r="F1314">
        <v>50</v>
      </c>
      <c r="G1314">
        <v>1</v>
      </c>
      <c r="H1314">
        <v>1</v>
      </c>
      <c r="I1314">
        <v>50</v>
      </c>
      <c r="J1314" s="3">
        <v>47239</v>
      </c>
      <c r="K1314" s="6">
        <v>0</v>
      </c>
    </row>
    <row r="1315" spans="1:11">
      <c r="A1315" t="str">
        <f t="shared" si="20"/>
        <v>Proclaim 5 SG 4 X 20 X 25 gr462040</v>
      </c>
      <c r="B1315" t="s">
        <v>11134</v>
      </c>
      <c r="C1315" t="s">
        <v>13218</v>
      </c>
      <c r="D1315" t="s">
        <v>15697</v>
      </c>
      <c r="E1315" t="s">
        <v>1678</v>
      </c>
      <c r="F1315">
        <v>4</v>
      </c>
      <c r="G1315">
        <v>20</v>
      </c>
      <c r="H1315">
        <v>1</v>
      </c>
      <c r="I1315">
        <v>80</v>
      </c>
      <c r="J1315" s="3">
        <v>46204</v>
      </c>
      <c r="K1315" s="6">
        <v>0</v>
      </c>
    </row>
    <row r="1316" spans="1:11">
      <c r="A1316" t="str">
        <f t="shared" si="20"/>
        <v>Proclaim 5 SG 4 X 20 X 25 gr462660</v>
      </c>
      <c r="B1316" t="s">
        <v>11135</v>
      </c>
      <c r="C1316" t="s">
        <v>13219</v>
      </c>
      <c r="D1316" t="s">
        <v>15698</v>
      </c>
      <c r="E1316" t="s">
        <v>1678</v>
      </c>
      <c r="F1316">
        <v>4</v>
      </c>
      <c r="G1316">
        <v>20</v>
      </c>
      <c r="H1316">
        <v>1</v>
      </c>
      <c r="I1316">
        <v>80</v>
      </c>
      <c r="J1316" s="3">
        <v>46266</v>
      </c>
      <c r="K1316" s="6">
        <v>0</v>
      </c>
    </row>
    <row r="1317" spans="1:11">
      <c r="A1317" t="str">
        <f t="shared" si="20"/>
        <v>Profuron 600 EC 20 X 500 ml462660</v>
      </c>
      <c r="B1317" t="s">
        <v>11136</v>
      </c>
      <c r="C1317" t="s">
        <v>13220</v>
      </c>
      <c r="D1317" t="s">
        <v>15699</v>
      </c>
      <c r="E1317" t="s">
        <v>1681</v>
      </c>
      <c r="F1317">
        <v>20</v>
      </c>
      <c r="G1317">
        <v>1</v>
      </c>
      <c r="H1317">
        <v>1</v>
      </c>
      <c r="I1317">
        <v>20</v>
      </c>
      <c r="J1317" s="3">
        <v>46266</v>
      </c>
      <c r="K1317" s="6">
        <v>0</v>
      </c>
    </row>
    <row r="1318" spans="1:11">
      <c r="A1318" t="str">
        <f t="shared" si="20"/>
        <v>Profuron 600 EC 20 X 500 ml465690</v>
      </c>
      <c r="B1318" t="s">
        <v>11137</v>
      </c>
      <c r="C1318" t="s">
        <v>13221</v>
      </c>
      <c r="D1318" t="s">
        <v>15700</v>
      </c>
      <c r="E1318" t="s">
        <v>1681</v>
      </c>
      <c r="F1318">
        <v>20</v>
      </c>
      <c r="G1318">
        <v>1</v>
      </c>
      <c r="H1318">
        <v>1</v>
      </c>
      <c r="I1318">
        <v>20</v>
      </c>
      <c r="J1318" s="3">
        <v>46569</v>
      </c>
      <c r="K1318" s="6">
        <v>0</v>
      </c>
    </row>
    <row r="1319" spans="1:11">
      <c r="A1319" t="str">
        <f t="shared" si="20"/>
        <v>Profuron 600 EC 40 X 250 ml466920</v>
      </c>
      <c r="B1319" t="s">
        <v>11138</v>
      </c>
      <c r="C1319" t="s">
        <v>13222</v>
      </c>
      <c r="D1319" t="s">
        <v>15701</v>
      </c>
      <c r="E1319" t="s">
        <v>1682</v>
      </c>
      <c r="F1319">
        <v>40</v>
      </c>
      <c r="G1319">
        <v>1</v>
      </c>
      <c r="H1319">
        <v>1</v>
      </c>
      <c r="I1319">
        <v>40</v>
      </c>
      <c r="J1319" s="3">
        <v>46692</v>
      </c>
      <c r="K1319" s="6">
        <v>0</v>
      </c>
    </row>
    <row r="1320" spans="1:11">
      <c r="A1320" t="str">
        <f t="shared" si="20"/>
        <v>Profuron 600 EC 40 X 250 ml471500</v>
      </c>
      <c r="B1320" t="s">
        <v>11139</v>
      </c>
      <c r="C1320" t="s">
        <v>13223</v>
      </c>
      <c r="D1320" t="s">
        <v>15702</v>
      </c>
      <c r="E1320" t="s">
        <v>1682</v>
      </c>
      <c r="F1320">
        <v>40</v>
      </c>
      <c r="G1320">
        <v>1</v>
      </c>
      <c r="H1320">
        <v>1</v>
      </c>
      <c r="I1320">
        <v>40</v>
      </c>
      <c r="J1320" s="3">
        <v>47150</v>
      </c>
      <c r="K1320" s="6">
        <v>0</v>
      </c>
    </row>
    <row r="1321" spans="1:11">
      <c r="A1321" t="str">
        <f t="shared" si="20"/>
        <v>Profuron 600 EC 50 X 100 ml465690</v>
      </c>
      <c r="B1321" t="s">
        <v>11140</v>
      </c>
      <c r="C1321" t="s">
        <v>13224</v>
      </c>
      <c r="D1321" t="s">
        <v>15703</v>
      </c>
      <c r="E1321" t="s">
        <v>1683</v>
      </c>
      <c r="F1321">
        <v>50</v>
      </c>
      <c r="G1321">
        <v>1</v>
      </c>
      <c r="H1321">
        <v>1</v>
      </c>
      <c r="I1321">
        <v>50</v>
      </c>
      <c r="J1321" s="3">
        <v>46569</v>
      </c>
      <c r="K1321" s="6">
        <v>0</v>
      </c>
    </row>
    <row r="1322" spans="1:11">
      <c r="A1322" t="str">
        <f t="shared" si="20"/>
        <v>Promo Joss 300 EC 20 X 500 ml458090</v>
      </c>
      <c r="B1322" t="s">
        <v>11141</v>
      </c>
      <c r="C1322" t="s">
        <v>13225</v>
      </c>
      <c r="D1322" t="s">
        <v>15704</v>
      </c>
      <c r="E1322" t="s">
        <v>1684</v>
      </c>
      <c r="F1322">
        <v>20</v>
      </c>
      <c r="G1322">
        <v>1</v>
      </c>
      <c r="H1322">
        <v>1</v>
      </c>
      <c r="I1322">
        <v>20</v>
      </c>
      <c r="J1322" s="3">
        <v>45809</v>
      </c>
      <c r="K1322" s="6">
        <v>0</v>
      </c>
    </row>
    <row r="1323" spans="1:11">
      <c r="A1323" t="str">
        <f t="shared" si="20"/>
        <v>Promo Joss 300 EC 50 X 250 ml458090</v>
      </c>
      <c r="B1323" t="s">
        <v>11142</v>
      </c>
      <c r="C1323" t="s">
        <v>13226</v>
      </c>
      <c r="D1323" t="s">
        <v>15705</v>
      </c>
      <c r="E1323" t="s">
        <v>1685</v>
      </c>
      <c r="F1323">
        <v>50</v>
      </c>
      <c r="G1323">
        <v>1</v>
      </c>
      <c r="H1323">
        <v>1</v>
      </c>
      <c r="I1323">
        <v>50</v>
      </c>
      <c r="J1323" s="3">
        <v>45809</v>
      </c>
      <c r="K1323" s="6">
        <v>0</v>
      </c>
    </row>
    <row r="1324" spans="1:11">
      <c r="A1324" t="str">
        <f t="shared" si="20"/>
        <v>Pump Protection Plate Yamaha1/1/10000</v>
      </c>
      <c r="B1324" t="s">
        <v>11143</v>
      </c>
      <c r="C1324" t="s">
        <v>13227</v>
      </c>
      <c r="D1324" t="s">
        <v>15706</v>
      </c>
      <c r="E1324" t="s">
        <v>1686</v>
      </c>
      <c r="F1324">
        <v>1</v>
      </c>
      <c r="G1324">
        <v>1</v>
      </c>
      <c r="H1324">
        <v>1</v>
      </c>
      <c r="I1324">
        <v>1</v>
      </c>
      <c r="J1324" s="3" t="s">
        <v>2222</v>
      </c>
      <c r="K1324" s="6">
        <v>0</v>
      </c>
    </row>
    <row r="1325" spans="1:11">
      <c r="A1325" t="str">
        <f t="shared" si="20"/>
        <v>Pupuk Fosfat 50 kg MPS461430</v>
      </c>
      <c r="B1325" t="s">
        <v>11144</v>
      </c>
      <c r="C1325" t="s">
        <v>13228</v>
      </c>
      <c r="D1325" t="s">
        <v>15707</v>
      </c>
      <c r="E1325" t="s">
        <v>1687</v>
      </c>
      <c r="F1325">
        <v>1</v>
      </c>
      <c r="G1325">
        <v>1</v>
      </c>
      <c r="H1325">
        <v>1</v>
      </c>
      <c r="I1325">
        <v>1</v>
      </c>
      <c r="J1325" s="3">
        <v>46143</v>
      </c>
      <c r="K1325" s="6">
        <v>0</v>
      </c>
    </row>
    <row r="1326" spans="1:11">
      <c r="A1326" t="str">
        <f t="shared" si="20"/>
        <v>Pupuk Hayati Cair MPS 12 X 1 ltr456890</v>
      </c>
      <c r="B1326" t="s">
        <v>11145</v>
      </c>
      <c r="C1326" t="s">
        <v>13229</v>
      </c>
      <c r="D1326" t="s">
        <v>15708</v>
      </c>
      <c r="E1326" t="s">
        <v>1688</v>
      </c>
      <c r="F1326">
        <v>12</v>
      </c>
      <c r="G1326">
        <v>1</v>
      </c>
      <c r="H1326">
        <v>1</v>
      </c>
      <c r="I1326">
        <v>12</v>
      </c>
      <c r="J1326" s="3">
        <v>45689</v>
      </c>
      <c r="K1326" s="6">
        <v>0</v>
      </c>
    </row>
    <row r="1327" spans="1:11">
      <c r="A1327" t="str">
        <f t="shared" si="20"/>
        <v>Pupuk Nakula Alegro 10 X 1 kg459310</v>
      </c>
      <c r="B1327" t="s">
        <v>11146</v>
      </c>
      <c r="C1327" t="s">
        <v>13230</v>
      </c>
      <c r="D1327" t="s">
        <v>15709</v>
      </c>
      <c r="E1327" t="s">
        <v>1690</v>
      </c>
      <c r="F1327">
        <v>10</v>
      </c>
      <c r="G1327">
        <v>1</v>
      </c>
      <c r="H1327">
        <v>1</v>
      </c>
      <c r="I1327">
        <v>10</v>
      </c>
      <c r="J1327" s="3">
        <v>45931</v>
      </c>
      <c r="K1327" s="6">
        <v>0</v>
      </c>
    </row>
    <row r="1328" spans="1:11">
      <c r="A1328" t="str">
        <f t="shared" si="20"/>
        <v>Pupuk Nakula Alegro 40 kg458090</v>
      </c>
      <c r="B1328" t="s">
        <v>11147</v>
      </c>
      <c r="C1328" t="s">
        <v>13231</v>
      </c>
      <c r="D1328" t="s">
        <v>15710</v>
      </c>
      <c r="E1328" t="s">
        <v>1691</v>
      </c>
      <c r="F1328">
        <v>1</v>
      </c>
      <c r="G1328">
        <v>1</v>
      </c>
      <c r="H1328">
        <v>1</v>
      </c>
      <c r="I1328">
        <v>1</v>
      </c>
      <c r="J1328" s="3">
        <v>45809</v>
      </c>
      <c r="K1328" s="6">
        <v>0</v>
      </c>
    </row>
    <row r="1329" spans="1:11">
      <c r="A1329" t="str">
        <f t="shared" si="20"/>
        <v>Pupuk Nakula Alegro 5 X 5 kg458090</v>
      </c>
      <c r="B1329" t="s">
        <v>11148</v>
      </c>
      <c r="C1329" t="s">
        <v>13232</v>
      </c>
      <c r="D1329" t="s">
        <v>15711</v>
      </c>
      <c r="E1329" t="s">
        <v>1692</v>
      </c>
      <c r="F1329">
        <v>5</v>
      </c>
      <c r="G1329">
        <v>1</v>
      </c>
      <c r="H1329">
        <v>1</v>
      </c>
      <c r="I1329">
        <v>5</v>
      </c>
      <c r="J1329" s="3">
        <v>45809</v>
      </c>
      <c r="K1329" s="6">
        <v>0</v>
      </c>
    </row>
    <row r="1330" spans="1:11">
      <c r="A1330" t="str">
        <f t="shared" si="20"/>
        <v>Push 30/300 OD 50 X 100 ml458390</v>
      </c>
      <c r="B1330" t="s">
        <v>11149</v>
      </c>
      <c r="C1330" t="s">
        <v>13233</v>
      </c>
      <c r="D1330" t="s">
        <v>15712</v>
      </c>
      <c r="E1330" t="s">
        <v>1693</v>
      </c>
      <c r="F1330">
        <v>50</v>
      </c>
      <c r="G1330">
        <v>1</v>
      </c>
      <c r="H1330">
        <v>1</v>
      </c>
      <c r="I1330">
        <v>50</v>
      </c>
      <c r="J1330" s="3">
        <v>45839</v>
      </c>
      <c r="K1330" s="6">
        <v>0</v>
      </c>
    </row>
    <row r="1331" spans="1:11">
      <c r="A1331" t="str">
        <f t="shared" si="20"/>
        <v>Pyzero 100 EC 24 X 400 ml459620</v>
      </c>
      <c r="B1331" t="s">
        <v>11150</v>
      </c>
      <c r="C1331" t="s">
        <v>13234</v>
      </c>
      <c r="D1331" t="s">
        <v>15713</v>
      </c>
      <c r="E1331" t="s">
        <v>1695</v>
      </c>
      <c r="F1331">
        <v>24</v>
      </c>
      <c r="G1331">
        <v>1</v>
      </c>
      <c r="H1331">
        <v>1</v>
      </c>
      <c r="I1331">
        <v>24</v>
      </c>
      <c r="J1331" s="3">
        <v>45962</v>
      </c>
      <c r="K1331" s="6">
        <v>0</v>
      </c>
    </row>
    <row r="1332" spans="1:11">
      <c r="A1332" t="str">
        <f t="shared" si="20"/>
        <v>Qaishar 10 WP 100 X 100 gr466310</v>
      </c>
      <c r="B1332" t="s">
        <v>11151</v>
      </c>
      <c r="C1332" t="s">
        <v>13235</v>
      </c>
      <c r="D1332" t="s">
        <v>15714</v>
      </c>
      <c r="E1332" t="s">
        <v>1696</v>
      </c>
      <c r="F1332">
        <v>100</v>
      </c>
      <c r="G1332">
        <v>1</v>
      </c>
      <c r="H1332">
        <v>1</v>
      </c>
      <c r="I1332">
        <v>100</v>
      </c>
      <c r="J1332" s="3">
        <v>46631</v>
      </c>
      <c r="K1332" s="6">
        <v>0</v>
      </c>
    </row>
    <row r="1333" spans="1:11">
      <c r="A1333" t="str">
        <f t="shared" si="20"/>
        <v>Qaishar 10 WP 100 X 100 gr463570</v>
      </c>
      <c r="B1333" t="s">
        <v>11152</v>
      </c>
      <c r="C1333" t="s">
        <v>13236</v>
      </c>
      <c r="D1333" t="s">
        <v>15715</v>
      </c>
      <c r="E1333" t="s">
        <v>1696</v>
      </c>
      <c r="F1333">
        <v>100</v>
      </c>
      <c r="G1333">
        <v>1</v>
      </c>
      <c r="H1333">
        <v>1</v>
      </c>
      <c r="I1333">
        <v>100</v>
      </c>
      <c r="J1333" s="3">
        <v>46357</v>
      </c>
      <c r="K1333" s="6">
        <v>0</v>
      </c>
    </row>
    <row r="1334" spans="1:11">
      <c r="A1334" t="str">
        <f t="shared" si="20"/>
        <v>Qaishar 10 WP 20 X 50 X 5 gr466310</v>
      </c>
      <c r="B1334" t="s">
        <v>11153</v>
      </c>
      <c r="C1334" t="s">
        <v>13237</v>
      </c>
      <c r="D1334" t="s">
        <v>15716</v>
      </c>
      <c r="E1334" t="s">
        <v>1698</v>
      </c>
      <c r="F1334">
        <v>20</v>
      </c>
      <c r="G1334">
        <v>50</v>
      </c>
      <c r="H1334">
        <v>1</v>
      </c>
      <c r="I1334">
        <v>1000</v>
      </c>
      <c r="J1334" s="3">
        <v>46631</v>
      </c>
      <c r="K1334" s="6">
        <v>0</v>
      </c>
    </row>
    <row r="1335" spans="1:11">
      <c r="A1335" t="str">
        <f t="shared" si="20"/>
        <v>Qiuasri Bawang 20 X 1 ltr464780</v>
      </c>
      <c r="B1335" t="s">
        <v>11154</v>
      </c>
      <c r="C1335" t="s">
        <v>13238</v>
      </c>
      <c r="D1335" t="s">
        <v>15717</v>
      </c>
      <c r="E1335" t="s">
        <v>1699</v>
      </c>
      <c r="F1335">
        <v>20</v>
      </c>
      <c r="G1335">
        <v>1</v>
      </c>
      <c r="H1335">
        <v>1</v>
      </c>
      <c r="I1335">
        <v>20</v>
      </c>
      <c r="J1335" s="3">
        <v>46478</v>
      </c>
      <c r="K1335" s="6">
        <v>0</v>
      </c>
    </row>
    <row r="1336" spans="1:11">
      <c r="A1336" t="str">
        <f t="shared" si="20"/>
        <v>Qiuasri Bawang Merah 250 ml (Sample)463270</v>
      </c>
      <c r="B1336" t="s">
        <v>11155</v>
      </c>
      <c r="C1336" t="s">
        <v>13239</v>
      </c>
      <c r="D1336" t="s">
        <v>15718</v>
      </c>
      <c r="E1336" t="s">
        <v>1700</v>
      </c>
      <c r="F1336">
        <v>1</v>
      </c>
      <c r="G1336">
        <v>1</v>
      </c>
      <c r="H1336">
        <v>1</v>
      </c>
      <c r="I1336">
        <v>1</v>
      </c>
      <c r="J1336" s="3">
        <v>46327</v>
      </c>
      <c r="K1336" s="6">
        <v>0</v>
      </c>
    </row>
    <row r="1337" spans="1:11">
      <c r="A1337" t="str">
        <f t="shared" si="20"/>
        <v>Qiuasri Bunga Buah 250 ml (Sample)463270</v>
      </c>
      <c r="B1337" t="s">
        <v>11156</v>
      </c>
      <c r="C1337" t="s">
        <v>13240</v>
      </c>
      <c r="D1337" t="s">
        <v>15719</v>
      </c>
      <c r="E1337" t="s">
        <v>1701</v>
      </c>
      <c r="F1337">
        <v>1</v>
      </c>
      <c r="G1337">
        <v>1</v>
      </c>
      <c r="H1337">
        <v>1</v>
      </c>
      <c r="I1337">
        <v>1</v>
      </c>
      <c r="J1337" s="3">
        <v>46327</v>
      </c>
      <c r="K1337" s="6">
        <v>0</v>
      </c>
    </row>
    <row r="1338" spans="1:11">
      <c r="A1338" t="str">
        <f t="shared" si="20"/>
        <v>Qiuasri Cabai 250 ml (Sample)463270</v>
      </c>
      <c r="B1338" t="s">
        <v>11157</v>
      </c>
      <c r="C1338" t="s">
        <v>13241</v>
      </c>
      <c r="D1338" t="s">
        <v>15720</v>
      </c>
      <c r="E1338" t="s">
        <v>1702</v>
      </c>
      <c r="F1338">
        <v>1</v>
      </c>
      <c r="G1338">
        <v>1</v>
      </c>
      <c r="H1338">
        <v>1</v>
      </c>
      <c r="I1338">
        <v>1</v>
      </c>
      <c r="J1338" s="3">
        <v>46327</v>
      </c>
      <c r="K1338" s="6">
        <v>0</v>
      </c>
    </row>
    <row r="1339" spans="1:11">
      <c r="A1339" t="str">
        <f t="shared" si="20"/>
        <v>Qiuasri Cabe 20 X 1 ltr464780</v>
      </c>
      <c r="B1339" t="s">
        <v>11158</v>
      </c>
      <c r="C1339" t="s">
        <v>13242</v>
      </c>
      <c r="D1339" t="s">
        <v>15721</v>
      </c>
      <c r="E1339" t="s">
        <v>1703</v>
      </c>
      <c r="F1339">
        <v>20</v>
      </c>
      <c r="G1339">
        <v>1</v>
      </c>
      <c r="H1339">
        <v>1</v>
      </c>
      <c r="I1339">
        <v>20</v>
      </c>
      <c r="J1339" s="3">
        <v>46478</v>
      </c>
      <c r="K1339" s="6">
        <v>0</v>
      </c>
    </row>
    <row r="1340" spans="1:11">
      <c r="A1340" t="str">
        <f t="shared" si="20"/>
        <v>Qiuasri Jagung 20 X 1 ltr464190</v>
      </c>
      <c r="B1340" t="s">
        <v>11159</v>
      </c>
      <c r="C1340" t="s">
        <v>13243</v>
      </c>
      <c r="D1340" t="s">
        <v>15722</v>
      </c>
      <c r="E1340" t="s">
        <v>1704</v>
      </c>
      <c r="F1340">
        <v>20</v>
      </c>
      <c r="G1340">
        <v>1</v>
      </c>
      <c r="H1340">
        <v>1</v>
      </c>
      <c r="I1340">
        <v>20</v>
      </c>
      <c r="J1340" s="3">
        <v>46419</v>
      </c>
      <c r="K1340" s="6">
        <v>0</v>
      </c>
    </row>
    <row r="1341" spans="1:11">
      <c r="A1341" t="str">
        <f t="shared" si="20"/>
        <v>Qiuasri Jeruk 20 X 1 ltr464190</v>
      </c>
      <c r="B1341" t="s">
        <v>11160</v>
      </c>
      <c r="C1341" t="s">
        <v>13244</v>
      </c>
      <c r="D1341" t="s">
        <v>15723</v>
      </c>
      <c r="E1341" t="s">
        <v>1705</v>
      </c>
      <c r="F1341">
        <v>20</v>
      </c>
      <c r="G1341">
        <v>1</v>
      </c>
      <c r="H1341">
        <v>1</v>
      </c>
      <c r="I1341">
        <v>20</v>
      </c>
      <c r="J1341" s="3">
        <v>46419</v>
      </c>
      <c r="K1341" s="6">
        <v>0</v>
      </c>
    </row>
    <row r="1342" spans="1:11">
      <c r="A1342" t="str">
        <f t="shared" si="20"/>
        <v>Qiuasri Padi 250 ml (Sample)463270</v>
      </c>
      <c r="B1342" t="s">
        <v>11161</v>
      </c>
      <c r="C1342" t="s">
        <v>13245</v>
      </c>
      <c r="D1342" t="s">
        <v>15724</v>
      </c>
      <c r="E1342" t="s">
        <v>1706</v>
      </c>
      <c r="F1342">
        <v>1</v>
      </c>
      <c r="G1342">
        <v>1</v>
      </c>
      <c r="H1342">
        <v>1</v>
      </c>
      <c r="I1342">
        <v>1</v>
      </c>
      <c r="J1342" s="3">
        <v>46327</v>
      </c>
      <c r="K1342" s="6">
        <v>0</v>
      </c>
    </row>
    <row r="1343" spans="1:11">
      <c r="A1343" t="str">
        <f t="shared" si="20"/>
        <v>Qiudor 100 X 100 gr468740</v>
      </c>
      <c r="B1343" t="s">
        <v>11162</v>
      </c>
      <c r="C1343" t="s">
        <v>13246</v>
      </c>
      <c r="D1343" t="s">
        <v>15725</v>
      </c>
      <c r="E1343" t="s">
        <v>1707</v>
      </c>
      <c r="F1343">
        <v>100</v>
      </c>
      <c r="G1343">
        <v>1</v>
      </c>
      <c r="H1343">
        <v>1</v>
      </c>
      <c r="I1343">
        <v>100</v>
      </c>
      <c r="J1343" s="3">
        <v>46874</v>
      </c>
      <c r="K1343" s="6">
        <v>0</v>
      </c>
    </row>
    <row r="1344" spans="1:11">
      <c r="A1344" t="str">
        <f t="shared" si="20"/>
        <v>Qiudor 40 X 250 gr461740</v>
      </c>
      <c r="B1344" t="s">
        <v>11163</v>
      </c>
      <c r="C1344" t="s">
        <v>13247</v>
      </c>
      <c r="D1344" t="s">
        <v>15726</v>
      </c>
      <c r="E1344" t="s">
        <v>1708</v>
      </c>
      <c r="F1344">
        <v>40</v>
      </c>
      <c r="G1344">
        <v>1</v>
      </c>
      <c r="H1344">
        <v>1</v>
      </c>
      <c r="I1344">
        <v>40</v>
      </c>
      <c r="J1344" s="3">
        <v>46174</v>
      </c>
      <c r="K1344" s="6">
        <v>0</v>
      </c>
    </row>
    <row r="1345" spans="1:11">
      <c r="A1345" t="str">
        <f t="shared" si="20"/>
        <v>Qiudor 40 X 250 gr464470</v>
      </c>
      <c r="B1345" t="s">
        <v>11164</v>
      </c>
      <c r="C1345" t="s">
        <v>13248</v>
      </c>
      <c r="D1345" t="s">
        <v>15727</v>
      </c>
      <c r="E1345" t="s">
        <v>1708</v>
      </c>
      <c r="F1345">
        <v>40</v>
      </c>
      <c r="G1345">
        <v>1</v>
      </c>
      <c r="H1345">
        <v>1</v>
      </c>
      <c r="I1345">
        <v>40</v>
      </c>
      <c r="J1345" s="3">
        <v>46447</v>
      </c>
      <c r="K1345" s="6">
        <v>0</v>
      </c>
    </row>
    <row r="1346" spans="1:11">
      <c r="A1346" t="str">
        <f t="shared" si="20"/>
        <v>Qiumex 36 EC 10 X 1 ltr472090</v>
      </c>
      <c r="B1346" t="s">
        <v>11165</v>
      </c>
      <c r="C1346" t="s">
        <v>13249</v>
      </c>
      <c r="D1346" t="s">
        <v>15728</v>
      </c>
      <c r="E1346" t="s">
        <v>1709</v>
      </c>
      <c r="F1346">
        <v>10</v>
      </c>
      <c r="G1346">
        <v>1</v>
      </c>
      <c r="H1346">
        <v>1</v>
      </c>
      <c r="I1346">
        <v>10</v>
      </c>
      <c r="J1346" s="3">
        <v>47209</v>
      </c>
      <c r="K1346" s="6">
        <v>0</v>
      </c>
    </row>
    <row r="1347" spans="1:11">
      <c r="A1347" t="str">
        <f t="shared" ref="A1347:A1410" si="21">E1347&amp;J1347&amp;K1347</f>
        <v>Qiumex 36 EC 100 X 100 ml472390</v>
      </c>
      <c r="B1347" t="s">
        <v>11166</v>
      </c>
      <c r="C1347" t="s">
        <v>13250</v>
      </c>
      <c r="D1347" t="s">
        <v>15729</v>
      </c>
      <c r="E1347" t="s">
        <v>1710</v>
      </c>
      <c r="F1347">
        <v>100</v>
      </c>
      <c r="G1347">
        <v>1</v>
      </c>
      <c r="H1347">
        <v>1</v>
      </c>
      <c r="I1347">
        <v>100</v>
      </c>
      <c r="J1347" s="3">
        <v>47239</v>
      </c>
      <c r="K1347" s="6">
        <v>0</v>
      </c>
    </row>
    <row r="1348" spans="1:11">
      <c r="A1348" t="str">
        <f t="shared" si="21"/>
        <v>Qiumex 36 EC 20 X 500 ml472390</v>
      </c>
      <c r="B1348" t="s">
        <v>11167</v>
      </c>
      <c r="C1348" t="s">
        <v>13251</v>
      </c>
      <c r="D1348" t="s">
        <v>15730</v>
      </c>
      <c r="E1348" t="s">
        <v>1711</v>
      </c>
      <c r="F1348">
        <v>20</v>
      </c>
      <c r="G1348">
        <v>1</v>
      </c>
      <c r="H1348">
        <v>1</v>
      </c>
      <c r="I1348">
        <v>20</v>
      </c>
      <c r="J1348" s="3">
        <v>47239</v>
      </c>
      <c r="K1348" s="6">
        <v>0</v>
      </c>
    </row>
    <row r="1349" spans="1:11">
      <c r="A1349" t="str">
        <f t="shared" si="21"/>
        <v>Qiumex 36 EC 40 X 250 ml472390</v>
      </c>
      <c r="B1349" t="s">
        <v>11168</v>
      </c>
      <c r="C1349" t="s">
        <v>13252</v>
      </c>
      <c r="D1349" t="s">
        <v>15731</v>
      </c>
      <c r="E1349" t="s">
        <v>1712</v>
      </c>
      <c r="F1349">
        <v>40</v>
      </c>
      <c r="G1349">
        <v>1</v>
      </c>
      <c r="H1349">
        <v>1</v>
      </c>
      <c r="I1349">
        <v>40</v>
      </c>
      <c r="J1349" s="3">
        <v>47239</v>
      </c>
      <c r="K1349" s="6">
        <v>0</v>
      </c>
    </row>
    <row r="1350" spans="1:11">
      <c r="A1350" t="str">
        <f t="shared" si="21"/>
        <v>Qiumino 20 X 250 ml470270</v>
      </c>
      <c r="B1350" t="s">
        <v>11169</v>
      </c>
      <c r="C1350" t="s">
        <v>13253</v>
      </c>
      <c r="D1350" t="s">
        <v>15732</v>
      </c>
      <c r="E1350" t="s">
        <v>1713</v>
      </c>
      <c r="F1350">
        <v>20</v>
      </c>
      <c r="G1350">
        <v>1</v>
      </c>
      <c r="H1350">
        <v>1</v>
      </c>
      <c r="I1350">
        <v>20</v>
      </c>
      <c r="J1350" s="3">
        <v>47027</v>
      </c>
      <c r="K1350" s="6">
        <v>0</v>
      </c>
    </row>
    <row r="1351" spans="1:11">
      <c r="A1351" t="str">
        <f t="shared" si="21"/>
        <v>Qiumino 20 X 500 ml470580</v>
      </c>
      <c r="B1351" t="s">
        <v>11170</v>
      </c>
      <c r="C1351" t="s">
        <v>13254</v>
      </c>
      <c r="D1351" t="s">
        <v>15733</v>
      </c>
      <c r="E1351" t="s">
        <v>1714</v>
      </c>
      <c r="F1351">
        <v>20</v>
      </c>
      <c r="G1351">
        <v>1</v>
      </c>
      <c r="H1351">
        <v>1</v>
      </c>
      <c r="I1351">
        <v>20</v>
      </c>
      <c r="J1351" s="3">
        <v>47058</v>
      </c>
      <c r="K1351" s="6">
        <v>0</v>
      </c>
    </row>
    <row r="1352" spans="1:11">
      <c r="A1352" t="str">
        <f t="shared" si="21"/>
        <v>Qiumino 20 X 500 ml470270</v>
      </c>
      <c r="B1352" t="s">
        <v>11171</v>
      </c>
      <c r="C1352" t="s">
        <v>13255</v>
      </c>
      <c r="D1352" t="s">
        <v>15734</v>
      </c>
      <c r="E1352" t="s">
        <v>1714</v>
      </c>
      <c r="F1352">
        <v>20</v>
      </c>
      <c r="G1352">
        <v>1</v>
      </c>
      <c r="H1352">
        <v>1</v>
      </c>
      <c r="I1352">
        <v>20</v>
      </c>
      <c r="J1352" s="3">
        <v>47027</v>
      </c>
      <c r="K1352" s="6">
        <v>0</v>
      </c>
    </row>
    <row r="1353" spans="1:11">
      <c r="A1353" t="str">
        <f t="shared" si="21"/>
        <v>Qiunil 40 X 500 gr454740</v>
      </c>
      <c r="B1353" t="s">
        <v>11172</v>
      </c>
      <c r="C1353" t="s">
        <v>13256</v>
      </c>
      <c r="D1353" t="s">
        <v>15735</v>
      </c>
      <c r="E1353" t="s">
        <v>1715</v>
      </c>
      <c r="F1353">
        <v>40</v>
      </c>
      <c r="G1353">
        <v>1</v>
      </c>
      <c r="H1353">
        <v>1</v>
      </c>
      <c r="I1353">
        <v>40</v>
      </c>
      <c r="J1353" s="3">
        <v>45474</v>
      </c>
      <c r="K1353" s="6">
        <v>0</v>
      </c>
    </row>
    <row r="1354" spans="1:11">
      <c r="A1354" t="str">
        <f t="shared" si="21"/>
        <v>Qiunil 40 X 500 gr455660</v>
      </c>
      <c r="B1354" t="s">
        <v>11173</v>
      </c>
      <c r="C1354" t="s">
        <v>13257</v>
      </c>
      <c r="D1354" t="s">
        <v>15736</v>
      </c>
      <c r="E1354" t="s">
        <v>1715</v>
      </c>
      <c r="F1354">
        <v>40</v>
      </c>
      <c r="G1354">
        <v>1</v>
      </c>
      <c r="H1354">
        <v>1</v>
      </c>
      <c r="I1354">
        <v>40</v>
      </c>
      <c r="J1354" s="3">
        <v>45566</v>
      </c>
      <c r="K1354" s="6">
        <v>0</v>
      </c>
    </row>
    <row r="1355" spans="1:11">
      <c r="A1355" t="str">
        <f t="shared" si="21"/>
        <v>Qiunil 40 X 500 gr460820</v>
      </c>
      <c r="B1355" t="s">
        <v>11174</v>
      </c>
      <c r="C1355" t="s">
        <v>13258</v>
      </c>
      <c r="D1355" t="s">
        <v>15737</v>
      </c>
      <c r="E1355" t="s">
        <v>1715</v>
      </c>
      <c r="F1355">
        <v>40</v>
      </c>
      <c r="G1355">
        <v>1</v>
      </c>
      <c r="H1355">
        <v>1</v>
      </c>
      <c r="I1355">
        <v>40</v>
      </c>
      <c r="J1355" s="3">
        <v>46082</v>
      </c>
      <c r="K1355" s="6">
        <v>0</v>
      </c>
    </row>
    <row r="1356" spans="1:11">
      <c r="A1356" t="str">
        <f t="shared" si="21"/>
        <v>Qiuonol 400 SL 30 x 250 ml459920</v>
      </c>
      <c r="B1356" t="s">
        <v>11175</v>
      </c>
      <c r="C1356" t="s">
        <v>13259</v>
      </c>
      <c r="D1356" t="s">
        <v>15738</v>
      </c>
      <c r="E1356" t="s">
        <v>1716</v>
      </c>
      <c r="F1356">
        <v>30</v>
      </c>
      <c r="G1356">
        <v>1</v>
      </c>
      <c r="H1356">
        <v>1</v>
      </c>
      <c r="I1356">
        <v>30</v>
      </c>
      <c r="J1356" s="3">
        <v>45992</v>
      </c>
      <c r="K1356" s="6">
        <v>0</v>
      </c>
    </row>
    <row r="1357" spans="1:11">
      <c r="A1357" t="str">
        <f t="shared" si="21"/>
        <v>Qiuonol 400 SL 30 x 250 ml463570</v>
      </c>
      <c r="B1357" t="s">
        <v>11176</v>
      </c>
      <c r="C1357" t="s">
        <v>13260</v>
      </c>
      <c r="D1357" t="s">
        <v>15739</v>
      </c>
      <c r="E1357" t="s">
        <v>1716</v>
      </c>
      <c r="F1357">
        <v>30</v>
      </c>
      <c r="G1357">
        <v>1</v>
      </c>
      <c r="H1357">
        <v>1</v>
      </c>
      <c r="I1357">
        <v>30</v>
      </c>
      <c r="J1357" s="3">
        <v>46357</v>
      </c>
      <c r="K1357" s="6">
        <v>0</v>
      </c>
    </row>
    <row r="1358" spans="1:11">
      <c r="A1358" t="str">
        <f t="shared" si="21"/>
        <v>Qiuonol 400 SL 42 x 50 ml (Sample)459920</v>
      </c>
      <c r="B1358" t="s">
        <v>11177</v>
      </c>
      <c r="C1358" t="s">
        <v>13261</v>
      </c>
      <c r="D1358" t="s">
        <v>15740</v>
      </c>
      <c r="E1358" t="s">
        <v>1717</v>
      </c>
      <c r="F1358">
        <v>42</v>
      </c>
      <c r="G1358">
        <v>1</v>
      </c>
      <c r="H1358">
        <v>1</v>
      </c>
      <c r="I1358">
        <v>42</v>
      </c>
      <c r="J1358" s="3">
        <v>45992</v>
      </c>
      <c r="K1358" s="6">
        <v>0</v>
      </c>
    </row>
    <row r="1359" spans="1:11">
      <c r="A1359" t="str">
        <f t="shared" si="21"/>
        <v>Qiustar 400 EC 40 X 200 ml468740</v>
      </c>
      <c r="B1359" t="s">
        <v>11178</v>
      </c>
      <c r="C1359" t="s">
        <v>13262</v>
      </c>
      <c r="D1359" t="s">
        <v>15741</v>
      </c>
      <c r="E1359" t="s">
        <v>1718</v>
      </c>
      <c r="F1359">
        <v>40</v>
      </c>
      <c r="G1359">
        <v>1</v>
      </c>
      <c r="H1359">
        <v>1</v>
      </c>
      <c r="I1359">
        <v>40</v>
      </c>
      <c r="J1359" s="3">
        <v>46874</v>
      </c>
      <c r="K1359" s="6">
        <v>0</v>
      </c>
    </row>
    <row r="1360" spans="1:11">
      <c r="A1360" t="str">
        <f t="shared" si="21"/>
        <v>Qiustar 400 EC 40 X 200 ml463570</v>
      </c>
      <c r="B1360" t="s">
        <v>11179</v>
      </c>
      <c r="C1360" t="s">
        <v>13263</v>
      </c>
      <c r="D1360" t="s">
        <v>15742</v>
      </c>
      <c r="E1360" t="s">
        <v>1718</v>
      </c>
      <c r="F1360">
        <v>40</v>
      </c>
      <c r="G1360">
        <v>1</v>
      </c>
      <c r="H1360">
        <v>1</v>
      </c>
      <c r="I1360">
        <v>40</v>
      </c>
      <c r="J1360" s="3">
        <v>46357</v>
      </c>
      <c r="K1360" s="6">
        <v>0</v>
      </c>
    </row>
    <row r="1361" spans="1:11">
      <c r="A1361" t="str">
        <f t="shared" si="21"/>
        <v>Qiustar 400 EC 50 X 100 ml468740</v>
      </c>
      <c r="B1361" t="s">
        <v>11180</v>
      </c>
      <c r="C1361" t="s">
        <v>13264</v>
      </c>
      <c r="D1361" t="s">
        <v>15743</v>
      </c>
      <c r="E1361" t="s">
        <v>1719</v>
      </c>
      <c r="F1361">
        <v>50</v>
      </c>
      <c r="G1361">
        <v>1</v>
      </c>
      <c r="H1361">
        <v>1</v>
      </c>
      <c r="I1361">
        <v>50</v>
      </c>
      <c r="J1361" s="3">
        <v>46874</v>
      </c>
      <c r="K1361" s="6">
        <v>0</v>
      </c>
    </row>
    <row r="1362" spans="1:11">
      <c r="A1362" t="str">
        <f t="shared" si="21"/>
        <v>Qiustar 400 EC 50 X 100 ml467840</v>
      </c>
      <c r="B1362" t="s">
        <v>11181</v>
      </c>
      <c r="C1362" t="s">
        <v>13265</v>
      </c>
      <c r="D1362" t="s">
        <v>15744</v>
      </c>
      <c r="E1362" t="s">
        <v>1719</v>
      </c>
      <c r="F1362">
        <v>50</v>
      </c>
      <c r="G1362">
        <v>1</v>
      </c>
      <c r="H1362">
        <v>1</v>
      </c>
      <c r="I1362">
        <v>50</v>
      </c>
      <c r="J1362" s="3">
        <v>46784</v>
      </c>
      <c r="K1362" s="6">
        <v>0</v>
      </c>
    </row>
    <row r="1363" spans="1:11">
      <c r="A1363" t="str">
        <f t="shared" si="21"/>
        <v>Qiutane 80 WP 25 X 800 gr Biru470270</v>
      </c>
      <c r="B1363" t="s">
        <v>11182</v>
      </c>
      <c r="C1363" t="s">
        <v>13266</v>
      </c>
      <c r="D1363" t="s">
        <v>15745</v>
      </c>
      <c r="E1363" t="s">
        <v>1720</v>
      </c>
      <c r="F1363">
        <v>25</v>
      </c>
      <c r="G1363">
        <v>1</v>
      </c>
      <c r="H1363">
        <v>1</v>
      </c>
      <c r="I1363">
        <v>25</v>
      </c>
      <c r="J1363" s="3">
        <v>47027</v>
      </c>
      <c r="K1363" s="6">
        <v>0</v>
      </c>
    </row>
    <row r="1364" spans="1:11">
      <c r="A1364" t="str">
        <f t="shared" si="21"/>
        <v>Qiuvita Biru 16.32.16 100 X 100 gr451080</v>
      </c>
      <c r="B1364" t="s">
        <v>11183</v>
      </c>
      <c r="C1364" t="s">
        <v>13267</v>
      </c>
      <c r="D1364" t="s">
        <v>15746</v>
      </c>
      <c r="E1364" t="s">
        <v>1722</v>
      </c>
      <c r="F1364">
        <v>100</v>
      </c>
      <c r="G1364">
        <v>1</v>
      </c>
      <c r="H1364">
        <v>1</v>
      </c>
      <c r="I1364">
        <v>100</v>
      </c>
      <c r="J1364" s="3">
        <v>45108</v>
      </c>
      <c r="K1364" s="6">
        <v>0</v>
      </c>
    </row>
    <row r="1365" spans="1:11">
      <c r="A1365" t="str">
        <f t="shared" si="21"/>
        <v>Qiuvita Biru 16.32.16 100 X 100 gr457170</v>
      </c>
      <c r="B1365" t="s">
        <v>11184</v>
      </c>
      <c r="C1365" t="s">
        <v>13268</v>
      </c>
      <c r="D1365" t="s">
        <v>15747</v>
      </c>
      <c r="E1365" t="s">
        <v>1722</v>
      </c>
      <c r="F1365">
        <v>100</v>
      </c>
      <c r="G1365">
        <v>1</v>
      </c>
      <c r="H1365">
        <v>1</v>
      </c>
      <c r="I1365">
        <v>100</v>
      </c>
      <c r="J1365" s="3">
        <v>45717</v>
      </c>
      <c r="K1365" s="6">
        <v>0</v>
      </c>
    </row>
    <row r="1366" spans="1:11">
      <c r="A1366" t="str">
        <f t="shared" si="21"/>
        <v>Qiuvita Biru 16.32.16 100 X 100 gr (Sample)451080</v>
      </c>
      <c r="B1366" t="s">
        <v>11185</v>
      </c>
      <c r="C1366" t="s">
        <v>13269</v>
      </c>
      <c r="D1366" t="s">
        <v>15748</v>
      </c>
      <c r="E1366" t="s">
        <v>1721</v>
      </c>
      <c r="F1366">
        <v>100</v>
      </c>
      <c r="G1366">
        <v>1</v>
      </c>
      <c r="H1366">
        <v>1</v>
      </c>
      <c r="I1366">
        <v>100</v>
      </c>
      <c r="J1366" s="3">
        <v>45108</v>
      </c>
      <c r="K1366" s="6">
        <v>0</v>
      </c>
    </row>
    <row r="1367" spans="1:11">
      <c r="A1367" t="str">
        <f t="shared" si="21"/>
        <v>Qiuvita Biru 16.32.16 20 X 500 gr463880</v>
      </c>
      <c r="B1367" t="s">
        <v>11186</v>
      </c>
      <c r="C1367" t="s">
        <v>13270</v>
      </c>
      <c r="D1367" t="s">
        <v>15749</v>
      </c>
      <c r="E1367" t="s">
        <v>1723</v>
      </c>
      <c r="F1367">
        <v>20</v>
      </c>
      <c r="G1367">
        <v>1</v>
      </c>
      <c r="H1367">
        <v>1</v>
      </c>
      <c r="I1367">
        <v>20</v>
      </c>
      <c r="J1367" s="3">
        <v>46388</v>
      </c>
      <c r="K1367" s="6">
        <v>0</v>
      </c>
    </row>
    <row r="1368" spans="1:11">
      <c r="A1368" t="str">
        <f t="shared" si="21"/>
        <v>Qiuvita Biru 16.32.16 20 X 500 gr464780</v>
      </c>
      <c r="B1368" t="s">
        <v>11187</v>
      </c>
      <c r="C1368" t="s">
        <v>13271</v>
      </c>
      <c r="D1368" t="s">
        <v>15750</v>
      </c>
      <c r="E1368" t="s">
        <v>1723</v>
      </c>
      <c r="F1368">
        <v>20</v>
      </c>
      <c r="G1368">
        <v>1</v>
      </c>
      <c r="H1368">
        <v>1</v>
      </c>
      <c r="I1368">
        <v>20</v>
      </c>
      <c r="J1368" s="3">
        <v>46478</v>
      </c>
      <c r="K1368" s="6">
        <v>0</v>
      </c>
    </row>
    <row r="1369" spans="1:11">
      <c r="A1369" t="str">
        <f t="shared" si="21"/>
        <v>Qiuvita Biru 16.32.16 20 X 500 gr464470</v>
      </c>
      <c r="B1369" t="s">
        <v>11188</v>
      </c>
      <c r="C1369" t="s">
        <v>13272</v>
      </c>
      <c r="D1369" t="s">
        <v>15751</v>
      </c>
      <c r="E1369" t="s">
        <v>1723</v>
      </c>
      <c r="F1369">
        <v>20</v>
      </c>
      <c r="G1369">
        <v>1</v>
      </c>
      <c r="H1369">
        <v>1</v>
      </c>
      <c r="I1369">
        <v>20</v>
      </c>
      <c r="J1369" s="3">
        <v>46447</v>
      </c>
      <c r="K1369" s="6">
        <v>0</v>
      </c>
    </row>
    <row r="1370" spans="1:11">
      <c r="A1370" t="str">
        <f t="shared" si="21"/>
        <v>Qiuvita Hayati 20 X 1 ltr459920</v>
      </c>
      <c r="B1370" t="s">
        <v>11189</v>
      </c>
      <c r="C1370" t="s">
        <v>13273</v>
      </c>
      <c r="D1370" t="s">
        <v>15752</v>
      </c>
      <c r="E1370" t="s">
        <v>1724</v>
      </c>
      <c r="F1370">
        <v>20</v>
      </c>
      <c r="G1370">
        <v>1</v>
      </c>
      <c r="H1370">
        <v>1</v>
      </c>
      <c r="I1370">
        <v>20</v>
      </c>
      <c r="J1370" s="3">
        <v>45992</v>
      </c>
      <c r="K1370" s="6">
        <v>0</v>
      </c>
    </row>
    <row r="1371" spans="1:11">
      <c r="A1371" t="str">
        <f t="shared" si="21"/>
        <v>Qiuvita Hayati 25 X 100 ml456270</v>
      </c>
      <c r="B1371" t="s">
        <v>11190</v>
      </c>
      <c r="C1371" t="s">
        <v>13274</v>
      </c>
      <c r="D1371" t="s">
        <v>15753</v>
      </c>
      <c r="E1371" t="s">
        <v>1725</v>
      </c>
      <c r="F1371">
        <v>25</v>
      </c>
      <c r="G1371">
        <v>1</v>
      </c>
      <c r="H1371">
        <v>1</v>
      </c>
      <c r="I1371">
        <v>25</v>
      </c>
      <c r="J1371" s="3">
        <v>45627</v>
      </c>
      <c r="K1371" s="6">
        <v>0</v>
      </c>
    </row>
    <row r="1372" spans="1:11">
      <c r="A1372" t="str">
        <f t="shared" si="21"/>
        <v>Qiuvita Hayati 30 X 250 ml456270</v>
      </c>
      <c r="B1372" t="s">
        <v>11191</v>
      </c>
      <c r="C1372" t="s">
        <v>13275</v>
      </c>
      <c r="D1372" t="s">
        <v>15754</v>
      </c>
      <c r="E1372" t="s">
        <v>1726</v>
      </c>
      <c r="F1372">
        <v>30</v>
      </c>
      <c r="G1372">
        <v>1</v>
      </c>
      <c r="H1372">
        <v>1</v>
      </c>
      <c r="I1372">
        <v>30</v>
      </c>
      <c r="J1372" s="3">
        <v>45627</v>
      </c>
      <c r="K1372" s="6">
        <v>0</v>
      </c>
    </row>
    <row r="1373" spans="1:11">
      <c r="A1373" t="str">
        <f t="shared" si="21"/>
        <v>Qiuvita Hayati 30 X 500 ml456270</v>
      </c>
      <c r="B1373" t="s">
        <v>11192</v>
      </c>
      <c r="C1373" t="s">
        <v>13276</v>
      </c>
      <c r="D1373" t="s">
        <v>15755</v>
      </c>
      <c r="E1373" t="s">
        <v>1727</v>
      </c>
      <c r="F1373">
        <v>30</v>
      </c>
      <c r="G1373">
        <v>1</v>
      </c>
      <c r="H1373">
        <v>1</v>
      </c>
      <c r="I1373">
        <v>30</v>
      </c>
      <c r="J1373" s="3">
        <v>45627</v>
      </c>
      <c r="K1373" s="6">
        <v>0</v>
      </c>
    </row>
    <row r="1374" spans="1:11">
      <c r="A1374" t="str">
        <f t="shared" si="21"/>
        <v>Qiuvita Hijau 32.11.11 100 X 100 gr455660</v>
      </c>
      <c r="B1374" t="s">
        <v>11193</v>
      </c>
      <c r="C1374" t="s">
        <v>13277</v>
      </c>
      <c r="D1374" t="s">
        <v>15756</v>
      </c>
      <c r="E1374" t="s">
        <v>1728</v>
      </c>
      <c r="F1374">
        <v>100</v>
      </c>
      <c r="G1374">
        <v>1</v>
      </c>
      <c r="H1374">
        <v>1</v>
      </c>
      <c r="I1374">
        <v>100</v>
      </c>
      <c r="J1374" s="3">
        <v>45566</v>
      </c>
      <c r="K1374" s="6">
        <v>0</v>
      </c>
    </row>
    <row r="1375" spans="1:11">
      <c r="A1375" t="str">
        <f t="shared" si="21"/>
        <v>Qiuvita Hijau 32.11.11 100 X 100 gr455970</v>
      </c>
      <c r="B1375" t="s">
        <v>11194</v>
      </c>
      <c r="C1375" t="s">
        <v>13278</v>
      </c>
      <c r="D1375" t="s">
        <v>15757</v>
      </c>
      <c r="E1375" t="s">
        <v>1728</v>
      </c>
      <c r="F1375">
        <v>100</v>
      </c>
      <c r="G1375">
        <v>1</v>
      </c>
      <c r="H1375">
        <v>1</v>
      </c>
      <c r="I1375">
        <v>100</v>
      </c>
      <c r="J1375" s="3">
        <v>45597</v>
      </c>
      <c r="K1375" s="6">
        <v>0</v>
      </c>
    </row>
    <row r="1376" spans="1:11">
      <c r="A1376" t="str">
        <f t="shared" si="21"/>
        <v>Qiuvita Hijau 32.11.11 20 X 500 gr462660</v>
      </c>
      <c r="B1376" t="s">
        <v>11195</v>
      </c>
      <c r="C1376" t="s">
        <v>13279</v>
      </c>
      <c r="D1376" t="s">
        <v>15758</v>
      </c>
      <c r="E1376" t="s">
        <v>1729</v>
      </c>
      <c r="F1376">
        <v>20</v>
      </c>
      <c r="G1376">
        <v>1</v>
      </c>
      <c r="H1376">
        <v>1</v>
      </c>
      <c r="I1376">
        <v>20</v>
      </c>
      <c r="J1376" s="3">
        <v>46266</v>
      </c>
      <c r="K1376" s="6">
        <v>0</v>
      </c>
    </row>
    <row r="1377" spans="1:11">
      <c r="A1377" t="str">
        <f t="shared" si="21"/>
        <v>Qiuvita Hijau 32.11.11 20 X 500 gr464470</v>
      </c>
      <c r="B1377" t="s">
        <v>11196</v>
      </c>
      <c r="C1377" t="s">
        <v>13280</v>
      </c>
      <c r="D1377" t="s">
        <v>15759</v>
      </c>
      <c r="E1377" t="s">
        <v>1729</v>
      </c>
      <c r="F1377">
        <v>20</v>
      </c>
      <c r="G1377">
        <v>1</v>
      </c>
      <c r="H1377">
        <v>1</v>
      </c>
      <c r="I1377">
        <v>20</v>
      </c>
      <c r="J1377" s="3">
        <v>46447</v>
      </c>
      <c r="K1377" s="6">
        <v>0</v>
      </c>
    </row>
    <row r="1378" spans="1:11">
      <c r="A1378" t="str">
        <f t="shared" si="21"/>
        <v>Qiuvita Merah 16.11.32 100 X 100 gr455660</v>
      </c>
      <c r="B1378" t="s">
        <v>11197</v>
      </c>
      <c r="C1378" t="s">
        <v>13281</v>
      </c>
      <c r="D1378" t="s">
        <v>15760</v>
      </c>
      <c r="E1378" t="s">
        <v>1730</v>
      </c>
      <c r="F1378">
        <v>100</v>
      </c>
      <c r="G1378">
        <v>1</v>
      </c>
      <c r="H1378">
        <v>1</v>
      </c>
      <c r="I1378">
        <v>100</v>
      </c>
      <c r="J1378" s="3">
        <v>45566</v>
      </c>
      <c r="K1378" s="6">
        <v>0</v>
      </c>
    </row>
    <row r="1379" spans="1:11">
      <c r="A1379" t="str">
        <f t="shared" si="21"/>
        <v>Qiuvita Merah 16.11.32 100 X 100 gr455970</v>
      </c>
      <c r="B1379" t="s">
        <v>11198</v>
      </c>
      <c r="C1379" t="s">
        <v>13282</v>
      </c>
      <c r="D1379" t="s">
        <v>15761</v>
      </c>
      <c r="E1379" t="s">
        <v>1730</v>
      </c>
      <c r="F1379">
        <v>100</v>
      </c>
      <c r="G1379">
        <v>1</v>
      </c>
      <c r="H1379">
        <v>1</v>
      </c>
      <c r="I1379">
        <v>100</v>
      </c>
      <c r="J1379" s="3">
        <v>45597</v>
      </c>
      <c r="K1379" s="6">
        <v>0</v>
      </c>
    </row>
    <row r="1380" spans="1:11">
      <c r="A1380" t="str">
        <f t="shared" si="21"/>
        <v>Qiuvita Merah 16.11.32 100 X 100 gr453520</v>
      </c>
      <c r="B1380" t="s">
        <v>11199</v>
      </c>
      <c r="C1380" t="s">
        <v>13283</v>
      </c>
      <c r="D1380" t="s">
        <v>15762</v>
      </c>
      <c r="E1380" t="s">
        <v>1730</v>
      </c>
      <c r="F1380">
        <v>100</v>
      </c>
      <c r="G1380">
        <v>1</v>
      </c>
      <c r="H1380">
        <v>1</v>
      </c>
      <c r="I1380">
        <v>100</v>
      </c>
      <c r="J1380" s="3">
        <v>45352</v>
      </c>
      <c r="K1380" s="6">
        <v>0</v>
      </c>
    </row>
    <row r="1381" spans="1:11">
      <c r="A1381" t="str">
        <f t="shared" si="21"/>
        <v>Qiuvita Merah 16.11.32 20 X 500 gr464780</v>
      </c>
      <c r="B1381" t="s">
        <v>11200</v>
      </c>
      <c r="C1381" t="s">
        <v>13284</v>
      </c>
      <c r="D1381" t="s">
        <v>15763</v>
      </c>
      <c r="E1381" t="s">
        <v>1731</v>
      </c>
      <c r="F1381">
        <v>20</v>
      </c>
      <c r="G1381">
        <v>1</v>
      </c>
      <c r="H1381">
        <v>1</v>
      </c>
      <c r="I1381">
        <v>20</v>
      </c>
      <c r="J1381" s="3">
        <v>46478</v>
      </c>
      <c r="K1381" s="6">
        <v>0</v>
      </c>
    </row>
    <row r="1382" spans="1:11">
      <c r="A1382" t="str">
        <f t="shared" si="21"/>
        <v>Qiuvita Merah 16.11.32 20 X 500 gr465390</v>
      </c>
      <c r="B1382" t="s">
        <v>11201</v>
      </c>
      <c r="C1382" t="s">
        <v>13285</v>
      </c>
      <c r="D1382" t="s">
        <v>15764</v>
      </c>
      <c r="E1382" t="s">
        <v>1731</v>
      </c>
      <c r="F1382">
        <v>20</v>
      </c>
      <c r="G1382">
        <v>1</v>
      </c>
      <c r="H1382">
        <v>1</v>
      </c>
      <c r="I1382">
        <v>20</v>
      </c>
      <c r="J1382" s="3">
        <v>46539</v>
      </c>
      <c r="K1382" s="6">
        <v>0</v>
      </c>
    </row>
    <row r="1383" spans="1:11">
      <c r="A1383" t="str">
        <f t="shared" si="21"/>
        <v>Quilt 200 SE 40 X 250 ml455050</v>
      </c>
      <c r="B1383" t="s">
        <v>11202</v>
      </c>
      <c r="C1383" t="s">
        <v>13286</v>
      </c>
      <c r="D1383" t="s">
        <v>15765</v>
      </c>
      <c r="E1383" t="s">
        <v>1732</v>
      </c>
      <c r="F1383">
        <v>40</v>
      </c>
      <c r="G1383">
        <v>1</v>
      </c>
      <c r="H1383">
        <v>1</v>
      </c>
      <c r="I1383">
        <v>40</v>
      </c>
      <c r="J1383" s="3">
        <v>45505</v>
      </c>
      <c r="K1383" s="6">
        <v>0</v>
      </c>
    </row>
    <row r="1384" spans="1:11">
      <c r="A1384" t="str">
        <f t="shared" si="21"/>
        <v>Quilt 200 SE 40 X 250 ml454440</v>
      </c>
      <c r="B1384" t="s">
        <v>11203</v>
      </c>
      <c r="C1384" t="s">
        <v>13287</v>
      </c>
      <c r="D1384" t="s">
        <v>15766</v>
      </c>
      <c r="E1384" t="s">
        <v>1732</v>
      </c>
      <c r="F1384">
        <v>40</v>
      </c>
      <c r="G1384">
        <v>1</v>
      </c>
      <c r="H1384">
        <v>1</v>
      </c>
      <c r="I1384">
        <v>40</v>
      </c>
      <c r="J1384" s="3">
        <v>45444</v>
      </c>
      <c r="K1384" s="6">
        <v>0</v>
      </c>
    </row>
    <row r="1385" spans="1:11">
      <c r="A1385" t="str">
        <f t="shared" si="21"/>
        <v>Raja Mulsa Hijau 60 X 260 mt1/1/10000</v>
      </c>
      <c r="B1385" t="s">
        <v>11204</v>
      </c>
      <c r="C1385" t="s">
        <v>13288</v>
      </c>
      <c r="D1385" t="s">
        <v>15767</v>
      </c>
      <c r="E1385" t="s">
        <v>1735</v>
      </c>
      <c r="F1385">
        <v>1</v>
      </c>
      <c r="G1385">
        <v>1</v>
      </c>
      <c r="H1385">
        <v>1</v>
      </c>
      <c r="I1385">
        <v>1</v>
      </c>
      <c r="J1385" s="3" t="s">
        <v>2222</v>
      </c>
      <c r="K1385" s="6">
        <v>0</v>
      </c>
    </row>
    <row r="1386" spans="1:11">
      <c r="A1386" t="str">
        <f t="shared" si="21"/>
        <v>Raja Mulsa Hijau 60 X 530 mt1/1/10000</v>
      </c>
      <c r="B1386" t="s">
        <v>11205</v>
      </c>
      <c r="C1386" t="s">
        <v>13289</v>
      </c>
      <c r="D1386" t="s">
        <v>15768</v>
      </c>
      <c r="E1386" t="s">
        <v>1736</v>
      </c>
      <c r="F1386">
        <v>1</v>
      </c>
      <c r="G1386">
        <v>1</v>
      </c>
      <c r="H1386">
        <v>1</v>
      </c>
      <c r="I1386">
        <v>1</v>
      </c>
      <c r="J1386" s="3" t="s">
        <v>2222</v>
      </c>
      <c r="K1386" s="6">
        <v>0</v>
      </c>
    </row>
    <row r="1387" spans="1:11">
      <c r="A1387" t="str">
        <f t="shared" si="21"/>
        <v>Ratchet 250 EC 100 ml (sampel)1/1/10000</v>
      </c>
      <c r="B1387" t="s">
        <v>11206</v>
      </c>
      <c r="C1387" t="s">
        <v>13290</v>
      </c>
      <c r="D1387" t="s">
        <v>15769</v>
      </c>
      <c r="E1387" t="s">
        <v>1737</v>
      </c>
      <c r="F1387">
        <v>1</v>
      </c>
      <c r="G1387">
        <v>1</v>
      </c>
      <c r="H1387">
        <v>1</v>
      </c>
      <c r="I1387">
        <v>1</v>
      </c>
      <c r="J1387" s="3" t="s">
        <v>2222</v>
      </c>
      <c r="K1387" s="6">
        <v>0</v>
      </c>
    </row>
    <row r="1388" spans="1:11">
      <c r="A1388" t="str">
        <f t="shared" si="21"/>
        <v>Ratgone 0.005 BB 10 X 1 kg467530</v>
      </c>
      <c r="B1388" t="s">
        <v>11207</v>
      </c>
      <c r="C1388" t="s">
        <v>13291</v>
      </c>
      <c r="D1388" t="s">
        <v>15770</v>
      </c>
      <c r="E1388" t="s">
        <v>1738</v>
      </c>
      <c r="F1388">
        <v>10</v>
      </c>
      <c r="G1388">
        <v>1</v>
      </c>
      <c r="H1388">
        <v>1</v>
      </c>
      <c r="I1388">
        <v>10</v>
      </c>
      <c r="J1388" s="3">
        <v>46753</v>
      </c>
      <c r="K1388" s="6">
        <v>0</v>
      </c>
    </row>
    <row r="1389" spans="1:11">
      <c r="A1389" t="str">
        <f t="shared" si="21"/>
        <v>Ratgone 0.005 BB 10 X 1 kg461740</v>
      </c>
      <c r="B1389" t="s">
        <v>11208</v>
      </c>
      <c r="C1389" t="s">
        <v>13292</v>
      </c>
      <c r="D1389" t="s">
        <v>15771</v>
      </c>
      <c r="E1389" t="s">
        <v>1738</v>
      </c>
      <c r="F1389">
        <v>10</v>
      </c>
      <c r="G1389">
        <v>1</v>
      </c>
      <c r="H1389">
        <v>1</v>
      </c>
      <c r="I1389">
        <v>10</v>
      </c>
      <c r="J1389" s="3">
        <v>46174</v>
      </c>
      <c r="K1389" s="6">
        <v>0</v>
      </c>
    </row>
    <row r="1390" spans="1:11">
      <c r="A1390" t="str">
        <f t="shared" si="21"/>
        <v>Ratol 80 P 10 X 100 X 10 gr458090</v>
      </c>
      <c r="B1390" t="s">
        <v>11209</v>
      </c>
      <c r="C1390" t="s">
        <v>13293</v>
      </c>
      <c r="D1390" t="s">
        <v>15772</v>
      </c>
      <c r="E1390" t="s">
        <v>1741</v>
      </c>
      <c r="F1390">
        <v>10</v>
      </c>
      <c r="G1390">
        <v>100</v>
      </c>
      <c r="H1390">
        <v>1</v>
      </c>
      <c r="I1390">
        <v>1000</v>
      </c>
      <c r="J1390" s="3">
        <v>45809</v>
      </c>
      <c r="K1390" s="6">
        <v>0</v>
      </c>
    </row>
    <row r="1391" spans="1:11">
      <c r="A1391" t="str">
        <f t="shared" si="21"/>
        <v>Reactive 490 SL 20 ltr471190</v>
      </c>
      <c r="B1391" t="s">
        <v>11210</v>
      </c>
      <c r="C1391" t="s">
        <v>13294</v>
      </c>
      <c r="D1391" t="s">
        <v>15773</v>
      </c>
      <c r="E1391" t="s">
        <v>1744</v>
      </c>
      <c r="F1391">
        <v>1</v>
      </c>
      <c r="G1391">
        <v>1</v>
      </c>
      <c r="H1391">
        <v>1</v>
      </c>
      <c r="I1391">
        <v>1</v>
      </c>
      <c r="J1391" s="3">
        <v>47119</v>
      </c>
      <c r="K1391" s="6">
        <v>0</v>
      </c>
    </row>
    <row r="1392" spans="1:11">
      <c r="A1392" t="str">
        <f t="shared" si="21"/>
        <v>Reactive 490 SL 20 X 1 ltr471500</v>
      </c>
      <c r="B1392" t="s">
        <v>11211</v>
      </c>
      <c r="C1392" t="s">
        <v>13295</v>
      </c>
      <c r="D1392" t="s">
        <v>15774</v>
      </c>
      <c r="E1392" t="s">
        <v>1745</v>
      </c>
      <c r="F1392">
        <v>20</v>
      </c>
      <c r="G1392">
        <v>1</v>
      </c>
      <c r="H1392">
        <v>1</v>
      </c>
      <c r="I1392">
        <v>20</v>
      </c>
      <c r="J1392" s="3">
        <v>47150</v>
      </c>
      <c r="K1392" s="6">
        <v>0</v>
      </c>
    </row>
    <row r="1393" spans="1:11">
      <c r="A1393" t="str">
        <f t="shared" si="21"/>
        <v>Regent Red 24 X 250 ml461430</v>
      </c>
      <c r="B1393" t="s">
        <v>11212</v>
      </c>
      <c r="C1393" t="s">
        <v>13296</v>
      </c>
      <c r="D1393" t="s">
        <v>15775</v>
      </c>
      <c r="E1393" t="s">
        <v>1746</v>
      </c>
      <c r="F1393">
        <v>24</v>
      </c>
      <c r="G1393">
        <v>1</v>
      </c>
      <c r="H1393">
        <v>1</v>
      </c>
      <c r="I1393">
        <v>24</v>
      </c>
      <c r="J1393" s="3">
        <v>46143</v>
      </c>
      <c r="K1393" s="6">
        <v>0</v>
      </c>
    </row>
    <row r="1394" spans="1:11">
      <c r="A1394" t="str">
        <f t="shared" si="21"/>
        <v>Regent Red 48 X 100 ml461430</v>
      </c>
      <c r="B1394" t="s">
        <v>11213</v>
      </c>
      <c r="C1394" t="s">
        <v>13297</v>
      </c>
      <c r="D1394" t="s">
        <v>15776</v>
      </c>
      <c r="E1394" t="s">
        <v>1748</v>
      </c>
      <c r="F1394">
        <v>48</v>
      </c>
      <c r="G1394">
        <v>1</v>
      </c>
      <c r="H1394">
        <v>1</v>
      </c>
      <c r="I1394">
        <v>48</v>
      </c>
      <c r="J1394" s="3">
        <v>46143</v>
      </c>
      <c r="K1394" s="6">
        <v>0</v>
      </c>
    </row>
    <row r="1395" spans="1:11">
      <c r="A1395" t="str">
        <f t="shared" si="21"/>
        <v>Regent Red 80 X 50 ml461430</v>
      </c>
      <c r="B1395" t="s">
        <v>11214</v>
      </c>
      <c r="C1395" t="s">
        <v>13298</v>
      </c>
      <c r="D1395" t="s">
        <v>15777</v>
      </c>
      <c r="E1395" t="s">
        <v>1750</v>
      </c>
      <c r="F1395">
        <v>80</v>
      </c>
      <c r="G1395">
        <v>1</v>
      </c>
      <c r="H1395">
        <v>1</v>
      </c>
      <c r="I1395">
        <v>80</v>
      </c>
      <c r="J1395" s="3">
        <v>46143</v>
      </c>
      <c r="K1395" s="6">
        <v>0</v>
      </c>
    </row>
    <row r="1396" spans="1:11">
      <c r="A1396" t="str">
        <f t="shared" si="21"/>
        <v>Remazole-P 490 EC 100 X 100 ml464190</v>
      </c>
      <c r="B1396" t="s">
        <v>11215</v>
      </c>
      <c r="C1396" t="s">
        <v>13299</v>
      </c>
      <c r="D1396" t="s">
        <v>15778</v>
      </c>
      <c r="E1396" t="s">
        <v>1752</v>
      </c>
      <c r="F1396">
        <v>100</v>
      </c>
      <c r="G1396">
        <v>1</v>
      </c>
      <c r="H1396">
        <v>1</v>
      </c>
      <c r="I1396">
        <v>100</v>
      </c>
      <c r="J1396" s="3">
        <v>46419</v>
      </c>
      <c r="K1396" s="6">
        <v>0</v>
      </c>
    </row>
    <row r="1397" spans="1:11">
      <c r="A1397" t="str">
        <f t="shared" si="21"/>
        <v>Remazole-P 490 EC 20 X 400 ml469350</v>
      </c>
      <c r="B1397" t="s">
        <v>11216</v>
      </c>
      <c r="C1397" t="s">
        <v>13300</v>
      </c>
      <c r="D1397" t="s">
        <v>15779</v>
      </c>
      <c r="E1397" t="s">
        <v>1753</v>
      </c>
      <c r="F1397">
        <v>20</v>
      </c>
      <c r="G1397">
        <v>1</v>
      </c>
      <c r="H1397">
        <v>1</v>
      </c>
      <c r="I1397">
        <v>20</v>
      </c>
      <c r="J1397" s="3">
        <v>46935</v>
      </c>
      <c r="K1397" s="6">
        <v>0</v>
      </c>
    </row>
    <row r="1398" spans="1:11">
      <c r="A1398" t="str">
        <f t="shared" si="21"/>
        <v>Remazole-P 490 EC 20 X 400 ml471190</v>
      </c>
      <c r="B1398" t="s">
        <v>11217</v>
      </c>
      <c r="C1398" t="s">
        <v>13301</v>
      </c>
      <c r="D1398" t="s">
        <v>15780</v>
      </c>
      <c r="E1398" t="s">
        <v>1753</v>
      </c>
      <c r="F1398">
        <v>20</v>
      </c>
      <c r="G1398">
        <v>1</v>
      </c>
      <c r="H1398">
        <v>1</v>
      </c>
      <c r="I1398">
        <v>20</v>
      </c>
      <c r="J1398" s="3">
        <v>47119</v>
      </c>
      <c r="K1398" s="6">
        <v>0</v>
      </c>
    </row>
    <row r="1399" spans="1:11">
      <c r="A1399" t="str">
        <f t="shared" si="21"/>
        <v>Remazole-P 490 EC 20 X 400 ml471500</v>
      </c>
      <c r="B1399" t="s">
        <v>11218</v>
      </c>
      <c r="C1399" t="s">
        <v>13302</v>
      </c>
      <c r="D1399" t="s">
        <v>15781</v>
      </c>
      <c r="E1399" t="s">
        <v>1753</v>
      </c>
      <c r="F1399">
        <v>20</v>
      </c>
      <c r="G1399">
        <v>1</v>
      </c>
      <c r="H1399">
        <v>1</v>
      </c>
      <c r="I1399">
        <v>20</v>
      </c>
      <c r="J1399" s="3">
        <v>47150</v>
      </c>
      <c r="K1399" s="6">
        <v>0</v>
      </c>
    </row>
    <row r="1400" spans="1:11">
      <c r="A1400" t="str">
        <f t="shared" si="21"/>
        <v>Remazole-P 490 EC 20 X 400 ml472090</v>
      </c>
      <c r="B1400" t="s">
        <v>11219</v>
      </c>
      <c r="C1400" t="s">
        <v>13303</v>
      </c>
      <c r="D1400" t="s">
        <v>15782</v>
      </c>
      <c r="E1400" t="s">
        <v>1753</v>
      </c>
      <c r="F1400">
        <v>20</v>
      </c>
      <c r="G1400">
        <v>1</v>
      </c>
      <c r="H1400">
        <v>1</v>
      </c>
      <c r="I1400">
        <v>20</v>
      </c>
      <c r="J1400" s="3">
        <v>47209</v>
      </c>
      <c r="K1400" s="6">
        <v>0</v>
      </c>
    </row>
    <row r="1401" spans="1:11">
      <c r="A1401" t="str">
        <f t="shared" si="21"/>
        <v>Remazole-P 490 EC 40 X 250 ml468130</v>
      </c>
      <c r="B1401" t="s">
        <v>11220</v>
      </c>
      <c r="C1401" t="s">
        <v>13304</v>
      </c>
      <c r="D1401" t="s">
        <v>15783</v>
      </c>
      <c r="E1401" t="s">
        <v>1754</v>
      </c>
      <c r="F1401">
        <v>40</v>
      </c>
      <c r="G1401">
        <v>1</v>
      </c>
      <c r="H1401">
        <v>1</v>
      </c>
      <c r="I1401">
        <v>40</v>
      </c>
      <c r="J1401" s="3">
        <v>46813</v>
      </c>
      <c r="K1401" s="6">
        <v>0</v>
      </c>
    </row>
    <row r="1402" spans="1:11">
      <c r="A1402" t="str">
        <f t="shared" si="21"/>
        <v>Remazole-P 490 EC 40 X 250 ml470580</v>
      </c>
      <c r="B1402" t="s">
        <v>11221</v>
      </c>
      <c r="C1402" t="s">
        <v>13305</v>
      </c>
      <c r="D1402" t="s">
        <v>15784</v>
      </c>
      <c r="E1402" t="s">
        <v>1754</v>
      </c>
      <c r="F1402">
        <v>40</v>
      </c>
      <c r="G1402">
        <v>1</v>
      </c>
      <c r="H1402">
        <v>1</v>
      </c>
      <c r="I1402">
        <v>40</v>
      </c>
      <c r="J1402" s="3">
        <v>47058</v>
      </c>
      <c r="K1402" s="6">
        <v>0</v>
      </c>
    </row>
    <row r="1403" spans="1:11">
      <c r="A1403" t="str">
        <f t="shared" si="21"/>
        <v>Remazole-P 490 EC 40 X 250 ml468740</v>
      </c>
      <c r="B1403" t="s">
        <v>11222</v>
      </c>
      <c r="C1403" t="s">
        <v>13306</v>
      </c>
      <c r="D1403" t="s">
        <v>15785</v>
      </c>
      <c r="E1403" t="s">
        <v>1754</v>
      </c>
      <c r="F1403">
        <v>40</v>
      </c>
      <c r="G1403">
        <v>1</v>
      </c>
      <c r="H1403">
        <v>1</v>
      </c>
      <c r="I1403">
        <v>40</v>
      </c>
      <c r="J1403" s="3">
        <v>46874</v>
      </c>
      <c r="K1403" s="6">
        <v>0</v>
      </c>
    </row>
    <row r="1404" spans="1:11">
      <c r="A1404" t="str">
        <f t="shared" si="21"/>
        <v>Revus 250 SC 40 X 250 ml455360</v>
      </c>
      <c r="B1404" t="s">
        <v>11223</v>
      </c>
      <c r="C1404" t="s">
        <v>13307</v>
      </c>
      <c r="D1404" t="s">
        <v>15786</v>
      </c>
      <c r="E1404" t="s">
        <v>1755</v>
      </c>
      <c r="F1404">
        <v>40</v>
      </c>
      <c r="G1404">
        <v>1</v>
      </c>
      <c r="H1404">
        <v>1</v>
      </c>
      <c r="I1404">
        <v>40</v>
      </c>
      <c r="J1404" s="3">
        <v>45536</v>
      </c>
      <c r="K1404" s="6">
        <v>0</v>
      </c>
    </row>
    <row r="1405" spans="1:11">
      <c r="A1405" t="str">
        <f t="shared" si="21"/>
        <v>Revus Opti 440 SC 20 X 250 ml456890</v>
      </c>
      <c r="B1405" t="s">
        <v>11224</v>
      </c>
      <c r="C1405" t="s">
        <v>13308</v>
      </c>
      <c r="D1405" t="s">
        <v>15787</v>
      </c>
      <c r="E1405" t="s">
        <v>1757</v>
      </c>
      <c r="F1405">
        <v>20</v>
      </c>
      <c r="G1405">
        <v>1</v>
      </c>
      <c r="H1405">
        <v>1</v>
      </c>
      <c r="I1405">
        <v>20</v>
      </c>
      <c r="J1405" s="3">
        <v>45689</v>
      </c>
      <c r="K1405" s="6">
        <v>0</v>
      </c>
    </row>
    <row r="1406" spans="1:11">
      <c r="A1406" t="str">
        <f t="shared" si="21"/>
        <v>Revus Opti 440 SC 20 X 250 ml457780</v>
      </c>
      <c r="B1406" t="s">
        <v>11225</v>
      </c>
      <c r="C1406" t="s">
        <v>13309</v>
      </c>
      <c r="D1406" t="s">
        <v>15788</v>
      </c>
      <c r="E1406" t="s">
        <v>1757</v>
      </c>
      <c r="F1406">
        <v>20</v>
      </c>
      <c r="G1406">
        <v>1</v>
      </c>
      <c r="H1406">
        <v>1</v>
      </c>
      <c r="I1406">
        <v>20</v>
      </c>
      <c r="J1406" s="3">
        <v>45778</v>
      </c>
      <c r="K1406" s="6">
        <v>0</v>
      </c>
    </row>
    <row r="1407" spans="1:11">
      <c r="A1407" t="str">
        <f t="shared" si="21"/>
        <v>Ridomil Gold MZ 4/64 WG 100 X 100 gr455970</v>
      </c>
      <c r="B1407" t="s">
        <v>11226</v>
      </c>
      <c r="C1407" t="s">
        <v>13310</v>
      </c>
      <c r="D1407" t="s">
        <v>15789</v>
      </c>
      <c r="E1407" t="s">
        <v>1761</v>
      </c>
      <c r="F1407">
        <v>100</v>
      </c>
      <c r="G1407">
        <v>1</v>
      </c>
      <c r="H1407">
        <v>1</v>
      </c>
      <c r="I1407">
        <v>100</v>
      </c>
      <c r="J1407" s="3">
        <v>45597</v>
      </c>
      <c r="K1407" s="6">
        <v>0</v>
      </c>
    </row>
    <row r="1408" spans="1:11">
      <c r="A1408" t="str">
        <f t="shared" si="21"/>
        <v>Ridomil Gold MZ 4/64 WG 100 X 100 gr458090</v>
      </c>
      <c r="B1408" t="s">
        <v>11227</v>
      </c>
      <c r="C1408" t="s">
        <v>13311</v>
      </c>
      <c r="D1408" t="s">
        <v>15790</v>
      </c>
      <c r="E1408" t="s">
        <v>1761</v>
      </c>
      <c r="F1408">
        <v>100</v>
      </c>
      <c r="G1408">
        <v>1</v>
      </c>
      <c r="H1408">
        <v>1</v>
      </c>
      <c r="I1408">
        <v>100</v>
      </c>
      <c r="J1408" s="3">
        <v>45809</v>
      </c>
      <c r="K1408" s="6">
        <v>0</v>
      </c>
    </row>
    <row r="1409" spans="1:11">
      <c r="A1409" t="str">
        <f t="shared" si="21"/>
        <v>Ridomil Gold MZ 4/64 WG 100 X 100 gr460230</v>
      </c>
      <c r="B1409" t="s">
        <v>11228</v>
      </c>
      <c r="C1409" t="s">
        <v>13312</v>
      </c>
      <c r="D1409" t="s">
        <v>15791</v>
      </c>
      <c r="E1409" t="s">
        <v>1761</v>
      </c>
      <c r="F1409">
        <v>100</v>
      </c>
      <c r="G1409">
        <v>1</v>
      </c>
      <c r="H1409">
        <v>1</v>
      </c>
      <c r="I1409">
        <v>100</v>
      </c>
      <c r="J1409" s="3">
        <v>46023</v>
      </c>
      <c r="K1409" s="6">
        <v>0</v>
      </c>
    </row>
    <row r="1410" spans="1:11">
      <c r="A1410" t="str">
        <f t="shared" si="21"/>
        <v>Ridomil Gold MZ 4/64 WG 20 X 500 gr457780</v>
      </c>
      <c r="B1410" t="s">
        <v>11229</v>
      </c>
      <c r="C1410" t="s">
        <v>13313</v>
      </c>
      <c r="D1410" t="s">
        <v>15792</v>
      </c>
      <c r="E1410" t="s">
        <v>1767</v>
      </c>
      <c r="F1410">
        <v>20</v>
      </c>
      <c r="G1410">
        <v>1</v>
      </c>
      <c r="H1410">
        <v>1</v>
      </c>
      <c r="I1410">
        <v>20</v>
      </c>
      <c r="J1410" s="3">
        <v>45778</v>
      </c>
      <c r="K1410" s="6">
        <v>0</v>
      </c>
    </row>
    <row r="1411" spans="1:11">
      <c r="A1411" t="str">
        <f t="shared" ref="A1411:A1474" si="22">E1411&amp;J1411&amp;K1411</f>
        <v>Ridomil Gold MZ 4/64 WG 20 X 500 gr462660</v>
      </c>
      <c r="B1411" t="s">
        <v>11230</v>
      </c>
      <c r="C1411" t="s">
        <v>13314</v>
      </c>
      <c r="D1411" t="s">
        <v>15793</v>
      </c>
      <c r="E1411" t="s">
        <v>1767</v>
      </c>
      <c r="F1411">
        <v>20</v>
      </c>
      <c r="G1411">
        <v>1</v>
      </c>
      <c r="H1411">
        <v>1</v>
      </c>
      <c r="I1411">
        <v>20</v>
      </c>
      <c r="J1411" s="3">
        <v>46266</v>
      </c>
      <c r="K1411" s="6">
        <v>0</v>
      </c>
    </row>
    <row r="1412" spans="1:11">
      <c r="A1412" t="str">
        <f t="shared" si="22"/>
        <v>Ridomil Gold MZ 4/64 WG 20 X 500 gr461430</v>
      </c>
      <c r="B1412" t="s">
        <v>11231</v>
      </c>
      <c r="C1412" t="s">
        <v>13315</v>
      </c>
      <c r="D1412" t="s">
        <v>15794</v>
      </c>
      <c r="E1412" t="s">
        <v>1767</v>
      </c>
      <c r="F1412">
        <v>20</v>
      </c>
      <c r="G1412">
        <v>1</v>
      </c>
      <c r="H1412">
        <v>1</v>
      </c>
      <c r="I1412">
        <v>20</v>
      </c>
      <c r="J1412" s="3">
        <v>46143</v>
      </c>
      <c r="K1412" s="6">
        <v>0</v>
      </c>
    </row>
    <row r="1413" spans="1:11">
      <c r="A1413" t="str">
        <f t="shared" si="22"/>
        <v>Ridomil Gold MZ 4/64 WG 40 X 250 gr460230</v>
      </c>
      <c r="B1413" t="s">
        <v>11232</v>
      </c>
      <c r="C1413" t="s">
        <v>13316</v>
      </c>
      <c r="D1413" t="s">
        <v>15795</v>
      </c>
      <c r="E1413" t="s">
        <v>1771</v>
      </c>
      <c r="F1413">
        <v>40</v>
      </c>
      <c r="G1413">
        <v>1</v>
      </c>
      <c r="H1413">
        <v>1</v>
      </c>
      <c r="I1413">
        <v>40</v>
      </c>
      <c r="J1413" s="3">
        <v>46023</v>
      </c>
      <c r="K1413" s="6">
        <v>0</v>
      </c>
    </row>
    <row r="1414" spans="1:11">
      <c r="A1414" t="str">
        <f t="shared" si="22"/>
        <v>Ridomil Gold MZ 4/64 WG 40 X 250 gr462660</v>
      </c>
      <c r="B1414" t="s">
        <v>11233</v>
      </c>
      <c r="C1414" t="s">
        <v>13317</v>
      </c>
      <c r="D1414" t="s">
        <v>15796</v>
      </c>
      <c r="E1414" t="s">
        <v>1771</v>
      </c>
      <c r="F1414">
        <v>40</v>
      </c>
      <c r="G1414">
        <v>1</v>
      </c>
      <c r="H1414">
        <v>1</v>
      </c>
      <c r="I1414">
        <v>40</v>
      </c>
      <c r="J1414" s="3">
        <v>46266</v>
      </c>
      <c r="K1414" s="6">
        <v>0</v>
      </c>
    </row>
    <row r="1415" spans="1:11">
      <c r="A1415" t="str">
        <f t="shared" si="22"/>
        <v>Ring Biru Plastik Kecil1/1/10000</v>
      </c>
      <c r="B1415" t="s">
        <v>11234</v>
      </c>
      <c r="C1415" t="s">
        <v>13318</v>
      </c>
      <c r="D1415" t="s">
        <v>15797</v>
      </c>
      <c r="E1415" t="s">
        <v>1775</v>
      </c>
      <c r="F1415">
        <v>1</v>
      </c>
      <c r="G1415">
        <v>1</v>
      </c>
      <c r="H1415">
        <v>1</v>
      </c>
      <c r="I1415">
        <v>1</v>
      </c>
      <c r="J1415" s="3" t="s">
        <v>2222</v>
      </c>
      <c r="K1415" s="6">
        <v>0</v>
      </c>
    </row>
    <row r="1416" spans="1:11">
      <c r="A1416" t="str">
        <f t="shared" si="22"/>
        <v>Ring Karet Tg1/1/10000</v>
      </c>
      <c r="B1416" t="s">
        <v>11235</v>
      </c>
      <c r="C1416" t="s">
        <v>13319</v>
      </c>
      <c r="D1416" t="s">
        <v>15798</v>
      </c>
      <c r="E1416" t="s">
        <v>1776</v>
      </c>
      <c r="F1416">
        <v>1</v>
      </c>
      <c r="G1416">
        <v>1</v>
      </c>
      <c r="H1416">
        <v>1</v>
      </c>
      <c r="I1416">
        <v>1</v>
      </c>
      <c r="J1416" s="3" t="s">
        <v>2222</v>
      </c>
      <c r="K1416" s="6">
        <v>0</v>
      </c>
    </row>
    <row r="1417" spans="1:11">
      <c r="A1417" t="str">
        <f t="shared" si="22"/>
        <v>Ring Penyokong 14 ltr Star Metal1/1/10000</v>
      </c>
      <c r="B1417" t="s">
        <v>11236</v>
      </c>
      <c r="C1417" t="s">
        <v>13320</v>
      </c>
      <c r="D1417" t="s">
        <v>15799</v>
      </c>
      <c r="E1417" t="s">
        <v>1777</v>
      </c>
      <c r="F1417">
        <v>1</v>
      </c>
      <c r="G1417">
        <v>1</v>
      </c>
      <c r="H1417">
        <v>1</v>
      </c>
      <c r="I1417">
        <v>1</v>
      </c>
      <c r="J1417" s="3" t="s">
        <v>2222</v>
      </c>
      <c r="K1417" s="6">
        <v>0</v>
      </c>
    </row>
    <row r="1418" spans="1:11">
      <c r="A1418" t="str">
        <f t="shared" si="22"/>
        <v>Ring Penyokong 17 ltr Star Metal1/1/10000</v>
      </c>
      <c r="B1418" t="s">
        <v>11237</v>
      </c>
      <c r="C1418" t="s">
        <v>13321</v>
      </c>
      <c r="D1418" t="s">
        <v>15800</v>
      </c>
      <c r="E1418" t="s">
        <v>1778</v>
      </c>
      <c r="F1418">
        <v>1</v>
      </c>
      <c r="G1418">
        <v>1</v>
      </c>
      <c r="H1418">
        <v>1</v>
      </c>
      <c r="I1418">
        <v>1</v>
      </c>
      <c r="J1418" s="3" t="s">
        <v>2222</v>
      </c>
      <c r="K1418" s="6">
        <v>0</v>
      </c>
    </row>
    <row r="1419" spans="1:11">
      <c r="A1419" t="str">
        <f t="shared" si="22"/>
        <v>Riomax 300 EC 100 X 100 ml469660</v>
      </c>
      <c r="B1419" t="s">
        <v>11238</v>
      </c>
      <c r="C1419" t="s">
        <v>13322</v>
      </c>
      <c r="D1419" t="s">
        <v>15801</v>
      </c>
      <c r="E1419" t="s">
        <v>1779</v>
      </c>
      <c r="F1419">
        <v>100</v>
      </c>
      <c r="G1419">
        <v>1</v>
      </c>
      <c r="H1419">
        <v>1</v>
      </c>
      <c r="I1419">
        <v>100</v>
      </c>
      <c r="J1419" s="3">
        <v>46966</v>
      </c>
      <c r="K1419" s="6">
        <v>0</v>
      </c>
    </row>
    <row r="1420" spans="1:11">
      <c r="A1420" t="str">
        <f t="shared" si="22"/>
        <v>Riomax 300 EC 100 X 100 ml471500</v>
      </c>
      <c r="B1420" t="s">
        <v>11239</v>
      </c>
      <c r="C1420" t="s">
        <v>13323</v>
      </c>
      <c r="D1420" t="s">
        <v>15802</v>
      </c>
      <c r="E1420" t="s">
        <v>1779</v>
      </c>
      <c r="F1420">
        <v>100</v>
      </c>
      <c r="G1420">
        <v>1</v>
      </c>
      <c r="H1420">
        <v>1</v>
      </c>
      <c r="I1420">
        <v>100</v>
      </c>
      <c r="J1420" s="3">
        <v>47150</v>
      </c>
      <c r="K1420" s="6">
        <v>0</v>
      </c>
    </row>
    <row r="1421" spans="1:11">
      <c r="A1421" t="str">
        <f t="shared" si="22"/>
        <v>Riomax 300 EC 40 X 250 ml469660</v>
      </c>
      <c r="B1421" t="s">
        <v>11240</v>
      </c>
      <c r="C1421" t="s">
        <v>13324</v>
      </c>
      <c r="D1421" t="s">
        <v>15803</v>
      </c>
      <c r="E1421" t="s">
        <v>1782</v>
      </c>
      <c r="F1421">
        <v>40</v>
      </c>
      <c r="G1421">
        <v>1</v>
      </c>
      <c r="H1421">
        <v>1</v>
      </c>
      <c r="I1421">
        <v>40</v>
      </c>
      <c r="J1421" s="3">
        <v>46966</v>
      </c>
      <c r="K1421" s="6">
        <v>0</v>
      </c>
    </row>
    <row r="1422" spans="1:11">
      <c r="A1422" t="str">
        <f t="shared" si="22"/>
        <v>Robust 40 X 200 ml470270</v>
      </c>
      <c r="B1422" t="s">
        <v>11241</v>
      </c>
      <c r="C1422" t="s">
        <v>13325</v>
      </c>
      <c r="D1422" t="s">
        <v>15804</v>
      </c>
      <c r="E1422" t="s">
        <v>1783</v>
      </c>
      <c r="F1422">
        <v>40</v>
      </c>
      <c r="G1422">
        <v>1</v>
      </c>
      <c r="H1422">
        <v>1</v>
      </c>
      <c r="I1422">
        <v>40</v>
      </c>
      <c r="J1422" s="3">
        <v>47027</v>
      </c>
      <c r="K1422" s="6">
        <v>0</v>
      </c>
    </row>
    <row r="1423" spans="1:11">
      <c r="A1423" t="str">
        <f t="shared" si="22"/>
        <v>Robust 40 X 200 ml470580</v>
      </c>
      <c r="B1423" t="s">
        <v>11242</v>
      </c>
      <c r="C1423" t="s">
        <v>13326</v>
      </c>
      <c r="D1423" t="s">
        <v>15805</v>
      </c>
      <c r="E1423" t="s">
        <v>1783</v>
      </c>
      <c r="F1423">
        <v>40</v>
      </c>
      <c r="G1423">
        <v>1</v>
      </c>
      <c r="H1423">
        <v>1</v>
      </c>
      <c r="I1423">
        <v>40</v>
      </c>
      <c r="J1423" s="3">
        <v>47058</v>
      </c>
      <c r="K1423" s="6">
        <v>0</v>
      </c>
    </row>
    <row r="1424" spans="1:11">
      <c r="A1424" t="str">
        <f t="shared" si="22"/>
        <v>Robust 40 X 200 ml472390</v>
      </c>
      <c r="B1424" t="s">
        <v>11243</v>
      </c>
      <c r="C1424" t="s">
        <v>13327</v>
      </c>
      <c r="D1424" t="s">
        <v>15806</v>
      </c>
      <c r="E1424" t="s">
        <v>1783</v>
      </c>
      <c r="F1424">
        <v>40</v>
      </c>
      <c r="G1424">
        <v>1</v>
      </c>
      <c r="H1424">
        <v>1</v>
      </c>
      <c r="I1424">
        <v>40</v>
      </c>
      <c r="J1424" s="3">
        <v>47239</v>
      </c>
      <c r="K1424" s="6">
        <v>0</v>
      </c>
    </row>
    <row r="1425" spans="1:11">
      <c r="A1425" t="str">
        <f t="shared" si="22"/>
        <v>Robust 50 X 100 ml469970</v>
      </c>
      <c r="B1425" t="s">
        <v>11244</v>
      </c>
      <c r="C1425" t="s">
        <v>13328</v>
      </c>
      <c r="D1425" t="s">
        <v>15807</v>
      </c>
      <c r="E1425" t="s">
        <v>1784</v>
      </c>
      <c r="F1425">
        <v>50</v>
      </c>
      <c r="G1425">
        <v>1</v>
      </c>
      <c r="H1425">
        <v>1</v>
      </c>
      <c r="I1425">
        <v>50</v>
      </c>
      <c r="J1425" s="3">
        <v>46997</v>
      </c>
      <c r="K1425" s="6">
        <v>0</v>
      </c>
    </row>
    <row r="1426" spans="1:11">
      <c r="A1426" t="str">
        <f t="shared" si="22"/>
        <v>Robust 50 X 100 ml470580</v>
      </c>
      <c r="B1426" t="s">
        <v>11245</v>
      </c>
      <c r="C1426" t="s">
        <v>13329</v>
      </c>
      <c r="D1426" t="s">
        <v>15808</v>
      </c>
      <c r="E1426" t="s">
        <v>1784</v>
      </c>
      <c r="F1426">
        <v>50</v>
      </c>
      <c r="G1426">
        <v>1</v>
      </c>
      <c r="H1426">
        <v>1</v>
      </c>
      <c r="I1426">
        <v>50</v>
      </c>
      <c r="J1426" s="3">
        <v>47058</v>
      </c>
      <c r="K1426" s="6">
        <v>0</v>
      </c>
    </row>
    <row r="1427" spans="1:11">
      <c r="A1427" t="str">
        <f t="shared" si="22"/>
        <v>Roger 480 SL 20 X 1 ltr469350</v>
      </c>
      <c r="B1427" t="s">
        <v>11246</v>
      </c>
      <c r="C1427" t="s">
        <v>13330</v>
      </c>
      <c r="D1427" t="s">
        <v>15809</v>
      </c>
      <c r="E1427" t="s">
        <v>1785</v>
      </c>
      <c r="F1427">
        <v>20</v>
      </c>
      <c r="G1427">
        <v>1</v>
      </c>
      <c r="H1427">
        <v>1</v>
      </c>
      <c r="I1427">
        <v>20</v>
      </c>
      <c r="J1427" s="3">
        <v>46935</v>
      </c>
      <c r="K1427" s="6">
        <v>0</v>
      </c>
    </row>
    <row r="1428" spans="1:11">
      <c r="A1428" t="str">
        <f t="shared" si="22"/>
        <v>Roger 480 SL 20 X 1 ltr470880</v>
      </c>
      <c r="B1428" t="s">
        <v>11247</v>
      </c>
      <c r="C1428" t="s">
        <v>13331</v>
      </c>
      <c r="D1428" t="s">
        <v>15810</v>
      </c>
      <c r="E1428" t="s">
        <v>1785</v>
      </c>
      <c r="F1428">
        <v>20</v>
      </c>
      <c r="G1428">
        <v>1</v>
      </c>
      <c r="H1428">
        <v>1</v>
      </c>
      <c r="I1428">
        <v>20</v>
      </c>
      <c r="J1428" s="3">
        <v>47088</v>
      </c>
      <c r="K1428" s="6">
        <v>0</v>
      </c>
    </row>
    <row r="1429" spans="1:11">
      <c r="A1429" t="str">
        <f t="shared" si="22"/>
        <v>Roger 480 SL 4 X 5 ltr467530</v>
      </c>
      <c r="B1429" t="s">
        <v>11248</v>
      </c>
      <c r="C1429" t="s">
        <v>13332</v>
      </c>
      <c r="D1429" t="s">
        <v>15811</v>
      </c>
      <c r="E1429" t="s">
        <v>1788</v>
      </c>
      <c r="F1429">
        <v>4</v>
      </c>
      <c r="G1429">
        <v>1</v>
      </c>
      <c r="H1429">
        <v>1</v>
      </c>
      <c r="I1429">
        <v>4</v>
      </c>
      <c r="J1429" s="3">
        <v>46753</v>
      </c>
      <c r="K1429" s="6">
        <v>0</v>
      </c>
    </row>
    <row r="1430" spans="1:11">
      <c r="A1430" t="str">
        <f t="shared" si="22"/>
        <v>Rotraz 200 EC 20 X 500 ml461430</v>
      </c>
      <c r="B1430" t="s">
        <v>11249</v>
      </c>
      <c r="C1430" t="s">
        <v>13333</v>
      </c>
      <c r="D1430" t="s">
        <v>15812</v>
      </c>
      <c r="E1430" t="s">
        <v>1790</v>
      </c>
      <c r="F1430">
        <v>20</v>
      </c>
      <c r="G1430">
        <v>1</v>
      </c>
      <c r="H1430">
        <v>1</v>
      </c>
      <c r="I1430">
        <v>20</v>
      </c>
      <c r="J1430" s="3">
        <v>46143</v>
      </c>
      <c r="K1430" s="6">
        <v>0</v>
      </c>
    </row>
    <row r="1431" spans="1:11">
      <c r="A1431" t="str">
        <f t="shared" si="22"/>
        <v>Rotraz 200 EC 50 X 100 ml459920</v>
      </c>
      <c r="B1431" t="s">
        <v>11250</v>
      </c>
      <c r="C1431" t="s">
        <v>13334</v>
      </c>
      <c r="D1431" t="s">
        <v>15813</v>
      </c>
      <c r="E1431" t="s">
        <v>1791</v>
      </c>
      <c r="F1431">
        <v>50</v>
      </c>
      <c r="G1431">
        <v>1</v>
      </c>
      <c r="H1431">
        <v>1</v>
      </c>
      <c r="I1431">
        <v>50</v>
      </c>
      <c r="J1431" s="3">
        <v>45992</v>
      </c>
      <c r="K1431" s="6">
        <v>0</v>
      </c>
    </row>
    <row r="1432" spans="1:11">
      <c r="A1432" t="str">
        <f t="shared" si="22"/>
        <v>Rotraz 200 EC 50 X 100 ml460540</v>
      </c>
      <c r="B1432" t="s">
        <v>11251</v>
      </c>
      <c r="C1432" t="s">
        <v>13335</v>
      </c>
      <c r="D1432" t="s">
        <v>15814</v>
      </c>
      <c r="E1432" t="s">
        <v>1791</v>
      </c>
      <c r="F1432">
        <v>50</v>
      </c>
      <c r="G1432">
        <v>1</v>
      </c>
      <c r="H1432">
        <v>1</v>
      </c>
      <c r="I1432">
        <v>50</v>
      </c>
      <c r="J1432" s="3">
        <v>46054</v>
      </c>
      <c r="K1432" s="6">
        <v>0</v>
      </c>
    </row>
    <row r="1433" spans="1:11">
      <c r="A1433" t="str">
        <f t="shared" si="22"/>
        <v>Round Up 486 SL 12 X 1 ltr472390</v>
      </c>
      <c r="B1433" t="s">
        <v>11252</v>
      </c>
      <c r="C1433" t="s">
        <v>13336</v>
      </c>
      <c r="D1433" t="s">
        <v>15815</v>
      </c>
      <c r="E1433" t="s">
        <v>1792</v>
      </c>
      <c r="F1433">
        <v>12</v>
      </c>
      <c r="G1433">
        <v>1</v>
      </c>
      <c r="H1433">
        <v>1</v>
      </c>
      <c r="I1433">
        <v>12</v>
      </c>
      <c r="J1433" s="3">
        <v>47239</v>
      </c>
      <c r="K1433" s="6">
        <v>0</v>
      </c>
    </row>
    <row r="1434" spans="1:11">
      <c r="A1434" t="str">
        <f t="shared" si="22"/>
        <v>Round Up 486 SL 20 ltr470580</v>
      </c>
      <c r="B1434" t="s">
        <v>11253</v>
      </c>
      <c r="C1434" t="s">
        <v>13337</v>
      </c>
      <c r="D1434" t="s">
        <v>15816</v>
      </c>
      <c r="E1434" t="s">
        <v>1793</v>
      </c>
      <c r="F1434">
        <v>1</v>
      </c>
      <c r="G1434">
        <v>1</v>
      </c>
      <c r="H1434">
        <v>1</v>
      </c>
      <c r="I1434">
        <v>1</v>
      </c>
      <c r="J1434" s="3">
        <v>47058</v>
      </c>
      <c r="K1434" s="6">
        <v>0</v>
      </c>
    </row>
    <row r="1435" spans="1:11">
      <c r="A1435" t="str">
        <f t="shared" si="22"/>
        <v>Round Up 486 SL 4 X 4 ltr472390</v>
      </c>
      <c r="B1435" t="s">
        <v>11254</v>
      </c>
      <c r="C1435" t="s">
        <v>13338</v>
      </c>
      <c r="D1435" t="s">
        <v>15817</v>
      </c>
      <c r="E1435" t="s">
        <v>1794</v>
      </c>
      <c r="F1435">
        <v>4</v>
      </c>
      <c r="G1435">
        <v>1</v>
      </c>
      <c r="H1435">
        <v>1</v>
      </c>
      <c r="I1435">
        <v>4</v>
      </c>
      <c r="J1435" s="3">
        <v>47239</v>
      </c>
      <c r="K1435" s="6">
        <v>0</v>
      </c>
    </row>
    <row r="1436" spans="1:11">
      <c r="A1436" t="str">
        <f t="shared" si="22"/>
        <v>Round Up 486 SL 50 X 200 ml471780</v>
      </c>
      <c r="B1436" t="s">
        <v>11255</v>
      </c>
      <c r="C1436" t="s">
        <v>13339</v>
      </c>
      <c r="D1436" t="s">
        <v>15818</v>
      </c>
      <c r="E1436" t="s">
        <v>1795</v>
      </c>
      <c r="F1436">
        <v>50</v>
      </c>
      <c r="G1436">
        <v>1</v>
      </c>
      <c r="H1436">
        <v>1</v>
      </c>
      <c r="I1436">
        <v>50</v>
      </c>
      <c r="J1436" s="3">
        <v>47178</v>
      </c>
      <c r="K1436" s="6">
        <v>0</v>
      </c>
    </row>
    <row r="1437" spans="1:11">
      <c r="A1437" t="str">
        <f t="shared" si="22"/>
        <v>Round Up 486 SL 50 X 200 ml472390</v>
      </c>
      <c r="B1437" t="s">
        <v>11256</v>
      </c>
      <c r="C1437" t="s">
        <v>13340</v>
      </c>
      <c r="D1437" t="s">
        <v>15819</v>
      </c>
      <c r="E1437" t="s">
        <v>1795</v>
      </c>
      <c r="F1437">
        <v>50</v>
      </c>
      <c r="G1437">
        <v>1</v>
      </c>
      <c r="H1437">
        <v>1</v>
      </c>
      <c r="I1437">
        <v>50</v>
      </c>
      <c r="J1437" s="3">
        <v>47239</v>
      </c>
      <c r="K1437" s="6">
        <v>0</v>
      </c>
    </row>
    <row r="1438" spans="1:11">
      <c r="A1438" t="str">
        <f t="shared" si="22"/>
        <v>Roupix 455/100 SL 20 X 1 ltr472700</v>
      </c>
      <c r="B1438" t="s">
        <v>11257</v>
      </c>
      <c r="C1438" t="s">
        <v>13341</v>
      </c>
      <c r="D1438" t="s">
        <v>15820</v>
      </c>
      <c r="E1438" t="s">
        <v>1796</v>
      </c>
      <c r="F1438">
        <v>20</v>
      </c>
      <c r="G1438">
        <v>1</v>
      </c>
      <c r="H1438">
        <v>1</v>
      </c>
      <c r="I1438">
        <v>20</v>
      </c>
      <c r="J1438" s="3">
        <v>47270</v>
      </c>
      <c r="K1438" s="6">
        <v>0</v>
      </c>
    </row>
    <row r="1439" spans="1:11">
      <c r="A1439" t="str">
        <f t="shared" si="22"/>
        <v>Roza Xtra 610 EC 100 X 100 ml463880</v>
      </c>
      <c r="B1439" t="s">
        <v>11258</v>
      </c>
      <c r="C1439" t="s">
        <v>13342</v>
      </c>
      <c r="D1439" t="s">
        <v>15821</v>
      </c>
      <c r="E1439" t="s">
        <v>1797</v>
      </c>
      <c r="F1439">
        <v>100</v>
      </c>
      <c r="G1439">
        <v>1</v>
      </c>
      <c r="H1439">
        <v>1</v>
      </c>
      <c r="I1439">
        <v>100</v>
      </c>
      <c r="J1439" s="3">
        <v>46388</v>
      </c>
      <c r="K1439" s="6">
        <v>0</v>
      </c>
    </row>
    <row r="1440" spans="1:11">
      <c r="A1440" t="str">
        <f t="shared" si="22"/>
        <v>Roza Xtra 610 EC 100 X 100 ml471500</v>
      </c>
      <c r="B1440" t="s">
        <v>11259</v>
      </c>
      <c r="C1440" t="s">
        <v>13343</v>
      </c>
      <c r="D1440" t="s">
        <v>15822</v>
      </c>
      <c r="E1440" t="s">
        <v>1797</v>
      </c>
      <c r="F1440">
        <v>100</v>
      </c>
      <c r="G1440">
        <v>1</v>
      </c>
      <c r="H1440">
        <v>1</v>
      </c>
      <c r="I1440">
        <v>100</v>
      </c>
      <c r="J1440" s="3">
        <v>47150</v>
      </c>
      <c r="K1440" s="6">
        <v>0</v>
      </c>
    </row>
    <row r="1441" spans="1:11">
      <c r="A1441" t="str">
        <f t="shared" si="22"/>
        <v>Roza Xtra 610 EC 12 X 900 ml467220</v>
      </c>
      <c r="B1441" t="s">
        <v>11260</v>
      </c>
      <c r="C1441" t="s">
        <v>13344</v>
      </c>
      <c r="D1441" t="s">
        <v>15823</v>
      </c>
      <c r="E1441" t="s">
        <v>1799</v>
      </c>
      <c r="F1441">
        <v>12</v>
      </c>
      <c r="G1441">
        <v>1</v>
      </c>
      <c r="H1441">
        <v>1</v>
      </c>
      <c r="I1441">
        <v>12</v>
      </c>
      <c r="J1441" s="3">
        <v>46722</v>
      </c>
      <c r="K1441" s="6">
        <v>0</v>
      </c>
    </row>
    <row r="1442" spans="1:11">
      <c r="A1442" t="str">
        <f t="shared" si="22"/>
        <v>Roza Xtra 610 EC 12 X 900 ml468130</v>
      </c>
      <c r="B1442" t="s">
        <v>11261</v>
      </c>
      <c r="C1442" t="s">
        <v>13345</v>
      </c>
      <c r="D1442" t="s">
        <v>15824</v>
      </c>
      <c r="E1442" t="s">
        <v>1799</v>
      </c>
      <c r="F1442">
        <v>12</v>
      </c>
      <c r="G1442">
        <v>1</v>
      </c>
      <c r="H1442">
        <v>1</v>
      </c>
      <c r="I1442">
        <v>12</v>
      </c>
      <c r="J1442" s="3">
        <v>46813</v>
      </c>
      <c r="K1442" s="6">
        <v>0</v>
      </c>
    </row>
    <row r="1443" spans="1:11">
      <c r="A1443" t="str">
        <f t="shared" si="22"/>
        <v>Roza Xtra 610 EC 20 X 400 ml466000</v>
      </c>
      <c r="B1443" t="s">
        <v>11262</v>
      </c>
      <c r="C1443" t="s">
        <v>13346</v>
      </c>
      <c r="D1443" t="s">
        <v>15825</v>
      </c>
      <c r="E1443" t="s">
        <v>1801</v>
      </c>
      <c r="F1443">
        <v>20</v>
      </c>
      <c r="G1443">
        <v>1</v>
      </c>
      <c r="H1443">
        <v>1</v>
      </c>
      <c r="I1443">
        <v>20</v>
      </c>
      <c r="J1443" s="3">
        <v>46600</v>
      </c>
      <c r="K1443" s="6">
        <v>0</v>
      </c>
    </row>
    <row r="1444" spans="1:11">
      <c r="A1444" t="str">
        <f t="shared" si="22"/>
        <v>Roza Xtra 610 EC 20 X 400 ml469050</v>
      </c>
      <c r="B1444" t="s">
        <v>11263</v>
      </c>
      <c r="C1444" t="s">
        <v>13347</v>
      </c>
      <c r="D1444" t="s">
        <v>15826</v>
      </c>
      <c r="E1444" t="s">
        <v>1801</v>
      </c>
      <c r="F1444">
        <v>20</v>
      </c>
      <c r="G1444">
        <v>1</v>
      </c>
      <c r="H1444">
        <v>1</v>
      </c>
      <c r="I1444">
        <v>20</v>
      </c>
      <c r="J1444" s="3">
        <v>46905</v>
      </c>
      <c r="K1444" s="6">
        <v>0</v>
      </c>
    </row>
    <row r="1445" spans="1:11">
      <c r="A1445" t="str">
        <f t="shared" si="22"/>
        <v>Rumpas 120 EW 100 X 100 ml460230</v>
      </c>
      <c r="B1445" t="s">
        <v>11264</v>
      </c>
      <c r="C1445" t="s">
        <v>13348</v>
      </c>
      <c r="D1445" t="s">
        <v>15827</v>
      </c>
      <c r="E1445" t="s">
        <v>1803</v>
      </c>
      <c r="F1445">
        <v>100</v>
      </c>
      <c r="G1445">
        <v>1</v>
      </c>
      <c r="H1445">
        <v>1</v>
      </c>
      <c r="I1445">
        <v>100</v>
      </c>
      <c r="J1445" s="3">
        <v>46023</v>
      </c>
      <c r="K1445" s="6">
        <v>0</v>
      </c>
    </row>
    <row r="1446" spans="1:11">
      <c r="A1446" t="str">
        <f t="shared" si="22"/>
        <v>Rumpas 120 EW 100 X 100 ml461130</v>
      </c>
      <c r="B1446" t="s">
        <v>11265</v>
      </c>
      <c r="C1446" t="s">
        <v>13349</v>
      </c>
      <c r="D1446" t="s">
        <v>15828</v>
      </c>
      <c r="E1446" t="s">
        <v>1803</v>
      </c>
      <c r="F1446">
        <v>100</v>
      </c>
      <c r="G1446">
        <v>1</v>
      </c>
      <c r="H1446">
        <v>1</v>
      </c>
      <c r="I1446">
        <v>100</v>
      </c>
      <c r="J1446" s="3">
        <v>46113</v>
      </c>
      <c r="K1446" s="6">
        <v>0</v>
      </c>
    </row>
    <row r="1447" spans="1:11">
      <c r="A1447" t="str">
        <f t="shared" si="22"/>
        <v>Rumpas 120 EW 40 X 250 ml461130</v>
      </c>
      <c r="B1447" t="s">
        <v>11266</v>
      </c>
      <c r="C1447" t="s">
        <v>13350</v>
      </c>
      <c r="D1447" t="s">
        <v>15829</v>
      </c>
      <c r="E1447" t="s">
        <v>1806</v>
      </c>
      <c r="F1447">
        <v>40</v>
      </c>
      <c r="G1447">
        <v>1</v>
      </c>
      <c r="H1447">
        <v>1</v>
      </c>
      <c r="I1447">
        <v>40</v>
      </c>
      <c r="J1447" s="3">
        <v>46113</v>
      </c>
      <c r="K1447" s="6">
        <v>0</v>
      </c>
    </row>
    <row r="1448" spans="1:11">
      <c r="A1448" t="str">
        <f t="shared" si="22"/>
        <v>Saaf 75 WP 20 X 400 gr462350</v>
      </c>
      <c r="B1448" t="s">
        <v>11267</v>
      </c>
      <c r="C1448" t="s">
        <v>13351</v>
      </c>
      <c r="D1448" t="s">
        <v>15830</v>
      </c>
      <c r="E1448" t="s">
        <v>1808</v>
      </c>
      <c r="F1448">
        <v>20</v>
      </c>
      <c r="G1448">
        <v>1</v>
      </c>
      <c r="H1448">
        <v>1</v>
      </c>
      <c r="I1448">
        <v>20</v>
      </c>
      <c r="J1448" s="3">
        <v>46235</v>
      </c>
      <c r="K1448" s="6">
        <v>0</v>
      </c>
    </row>
    <row r="1449" spans="1:11">
      <c r="A1449" t="str">
        <f t="shared" si="22"/>
        <v>Sabun Harimau Kuat 24 X 300 gr1/1/10000</v>
      </c>
      <c r="B1449" t="s">
        <v>11268</v>
      </c>
      <c r="C1449" t="s">
        <v>13352</v>
      </c>
      <c r="D1449" t="s">
        <v>15831</v>
      </c>
      <c r="E1449" t="s">
        <v>1810</v>
      </c>
      <c r="F1449">
        <v>24</v>
      </c>
      <c r="G1449">
        <v>1</v>
      </c>
      <c r="H1449">
        <v>1</v>
      </c>
      <c r="I1449">
        <v>24</v>
      </c>
      <c r="J1449" s="3" t="s">
        <v>2222</v>
      </c>
      <c r="K1449" s="6">
        <v>0</v>
      </c>
    </row>
    <row r="1450" spans="1:11">
      <c r="A1450" t="str">
        <f t="shared" si="22"/>
        <v>Sagri-Meth 77 SP 100 X 100 gr466000</v>
      </c>
      <c r="B1450" t="s">
        <v>11269</v>
      </c>
      <c r="C1450" t="s">
        <v>13353</v>
      </c>
      <c r="D1450" t="s">
        <v>15832</v>
      </c>
      <c r="E1450" t="s">
        <v>1811</v>
      </c>
      <c r="F1450">
        <v>100</v>
      </c>
      <c r="G1450">
        <v>1</v>
      </c>
      <c r="H1450">
        <v>1</v>
      </c>
      <c r="I1450">
        <v>100</v>
      </c>
      <c r="J1450" s="3">
        <v>46600</v>
      </c>
      <c r="K1450" s="6">
        <v>0</v>
      </c>
    </row>
    <row r="1451" spans="1:11">
      <c r="A1451" t="str">
        <f t="shared" si="22"/>
        <v>Sagri-Meth 77 SP 100 X 100 gr460820</v>
      </c>
      <c r="B1451" t="s">
        <v>11270</v>
      </c>
      <c r="C1451" t="s">
        <v>13354</v>
      </c>
      <c r="D1451" t="s">
        <v>15833</v>
      </c>
      <c r="E1451" t="s">
        <v>1811</v>
      </c>
      <c r="F1451">
        <v>100</v>
      </c>
      <c r="G1451">
        <v>1</v>
      </c>
      <c r="H1451">
        <v>1</v>
      </c>
      <c r="I1451">
        <v>100</v>
      </c>
      <c r="J1451" s="3">
        <v>46082</v>
      </c>
      <c r="K1451" s="6">
        <v>0</v>
      </c>
    </row>
    <row r="1452" spans="1:11">
      <c r="A1452" t="str">
        <f t="shared" si="22"/>
        <v>Sagri-Meth 77 SP 25 X 400 gr460540</v>
      </c>
      <c r="B1452" t="s">
        <v>11271</v>
      </c>
      <c r="C1452" t="s">
        <v>13355</v>
      </c>
      <c r="D1452" t="s">
        <v>15834</v>
      </c>
      <c r="E1452" t="s">
        <v>1812</v>
      </c>
      <c r="F1452">
        <v>25</v>
      </c>
      <c r="G1452">
        <v>1</v>
      </c>
      <c r="H1452">
        <v>1</v>
      </c>
      <c r="I1452">
        <v>25</v>
      </c>
      <c r="J1452" s="3">
        <v>46054</v>
      </c>
      <c r="K1452" s="6">
        <v>0</v>
      </c>
    </row>
    <row r="1453" spans="1:11">
      <c r="A1453" t="str">
        <f t="shared" si="22"/>
        <v>Sagri-Meth 77 SP 25 X 400 gr466310</v>
      </c>
      <c r="B1453" t="s">
        <v>11272</v>
      </c>
      <c r="C1453" t="s">
        <v>13356</v>
      </c>
      <c r="D1453" t="s">
        <v>15835</v>
      </c>
      <c r="E1453" t="s">
        <v>1812</v>
      </c>
      <c r="F1453">
        <v>25</v>
      </c>
      <c r="G1453">
        <v>1</v>
      </c>
      <c r="H1453">
        <v>1</v>
      </c>
      <c r="I1453">
        <v>25</v>
      </c>
      <c r="J1453" s="3">
        <v>46631</v>
      </c>
      <c r="K1453" s="6">
        <v>0</v>
      </c>
    </row>
    <row r="1454" spans="1:11">
      <c r="A1454" t="str">
        <f t="shared" si="22"/>
        <v>Sagri-Meth 77 SP 25 X 400 gr465690</v>
      </c>
      <c r="B1454" t="s">
        <v>11273</v>
      </c>
      <c r="C1454" t="s">
        <v>13357</v>
      </c>
      <c r="D1454" t="s">
        <v>15836</v>
      </c>
      <c r="E1454" t="s">
        <v>1812</v>
      </c>
      <c r="F1454">
        <v>25</v>
      </c>
      <c r="G1454">
        <v>1</v>
      </c>
      <c r="H1454">
        <v>1</v>
      </c>
      <c r="I1454">
        <v>25</v>
      </c>
      <c r="J1454" s="3">
        <v>46569</v>
      </c>
      <c r="K1454" s="6">
        <v>0</v>
      </c>
    </row>
    <row r="1455" spans="1:11">
      <c r="A1455" t="str">
        <f t="shared" si="22"/>
        <v>Sagri-Mox 52 WP 100 X 100 gr459920</v>
      </c>
      <c r="B1455" t="s">
        <v>11274</v>
      </c>
      <c r="C1455" t="s">
        <v>13358</v>
      </c>
      <c r="D1455" t="s">
        <v>15837</v>
      </c>
      <c r="E1455" t="s">
        <v>1813</v>
      </c>
      <c r="F1455">
        <v>100</v>
      </c>
      <c r="G1455">
        <v>1</v>
      </c>
      <c r="H1455">
        <v>1</v>
      </c>
      <c r="I1455">
        <v>100</v>
      </c>
      <c r="J1455" s="3">
        <v>45992</v>
      </c>
      <c r="K1455" s="6">
        <v>0</v>
      </c>
    </row>
    <row r="1456" spans="1:11">
      <c r="A1456" t="str">
        <f t="shared" si="22"/>
        <v>Sagri-Mox 52 WP 25 X 400 gr461130</v>
      </c>
      <c r="B1456" t="s">
        <v>11275</v>
      </c>
      <c r="C1456" t="s">
        <v>13359</v>
      </c>
      <c r="D1456" t="s">
        <v>15838</v>
      </c>
      <c r="E1456" t="s">
        <v>1814</v>
      </c>
      <c r="F1456">
        <v>25</v>
      </c>
      <c r="G1456">
        <v>1</v>
      </c>
      <c r="H1456">
        <v>1</v>
      </c>
      <c r="I1456">
        <v>25</v>
      </c>
      <c r="J1456" s="3">
        <v>46113</v>
      </c>
      <c r="K1456" s="6">
        <v>0</v>
      </c>
    </row>
    <row r="1457" spans="1:11">
      <c r="A1457" t="str">
        <f t="shared" si="22"/>
        <v>Sagri-Storm 100/400/50 SC 20 X 1 ltr463270</v>
      </c>
      <c r="B1457" t="s">
        <v>11276</v>
      </c>
      <c r="C1457" t="s">
        <v>13360</v>
      </c>
      <c r="D1457" t="s">
        <v>15839</v>
      </c>
      <c r="E1457" t="s">
        <v>1815</v>
      </c>
      <c r="F1457">
        <v>20</v>
      </c>
      <c r="G1457">
        <v>1</v>
      </c>
      <c r="H1457">
        <v>1</v>
      </c>
      <c r="I1457">
        <v>20</v>
      </c>
      <c r="J1457" s="3">
        <v>46327</v>
      </c>
      <c r="K1457" s="6">
        <v>0</v>
      </c>
    </row>
    <row r="1458" spans="1:11">
      <c r="A1458" t="str">
        <f t="shared" si="22"/>
        <v>Sagri-Storm 100/400/50 SC 20 X 1 ltr466610</v>
      </c>
      <c r="B1458" t="s">
        <v>11277</v>
      </c>
      <c r="C1458" t="s">
        <v>13361</v>
      </c>
      <c r="D1458" t="s">
        <v>15840</v>
      </c>
      <c r="E1458" t="s">
        <v>1815</v>
      </c>
      <c r="F1458">
        <v>20</v>
      </c>
      <c r="G1458">
        <v>1</v>
      </c>
      <c r="H1458">
        <v>1</v>
      </c>
      <c r="I1458">
        <v>20</v>
      </c>
      <c r="J1458" s="3">
        <v>46661</v>
      </c>
      <c r="K1458" s="6">
        <v>0</v>
      </c>
    </row>
    <row r="1459" spans="1:11">
      <c r="A1459" t="str">
        <f t="shared" si="22"/>
        <v>Sagri-Storm 100/400/50 SC 20 X 500 ml466610</v>
      </c>
      <c r="B1459" t="s">
        <v>11278</v>
      </c>
      <c r="C1459" t="s">
        <v>13362</v>
      </c>
      <c r="D1459" t="s">
        <v>15841</v>
      </c>
      <c r="E1459" t="s">
        <v>1816</v>
      </c>
      <c r="F1459">
        <v>20</v>
      </c>
      <c r="G1459">
        <v>1</v>
      </c>
      <c r="H1459">
        <v>1</v>
      </c>
      <c r="I1459">
        <v>20</v>
      </c>
      <c r="J1459" s="3">
        <v>46661</v>
      </c>
      <c r="K1459" s="6">
        <v>0</v>
      </c>
    </row>
    <row r="1460" spans="1:11">
      <c r="A1460" t="str">
        <f t="shared" si="22"/>
        <v>Sagri-Storm 100/400/50 SC 40 X 250 ml462960</v>
      </c>
      <c r="B1460" t="s">
        <v>11279</v>
      </c>
      <c r="C1460" t="s">
        <v>13363</v>
      </c>
      <c r="D1460" t="s">
        <v>15842</v>
      </c>
      <c r="E1460" t="s">
        <v>1817</v>
      </c>
      <c r="F1460">
        <v>40</v>
      </c>
      <c r="G1460">
        <v>1</v>
      </c>
      <c r="H1460">
        <v>1</v>
      </c>
      <c r="I1460">
        <v>40</v>
      </c>
      <c r="J1460" s="3">
        <v>46296</v>
      </c>
      <c r="K1460" s="6">
        <v>0</v>
      </c>
    </row>
    <row r="1461" spans="1:11">
      <c r="A1461" t="str">
        <f t="shared" si="22"/>
        <v>Sajadah1/1/10000</v>
      </c>
      <c r="B1461" t="s">
        <v>11280</v>
      </c>
      <c r="C1461" t="s">
        <v>13364</v>
      </c>
      <c r="D1461" t="s">
        <v>15843</v>
      </c>
      <c r="E1461" t="s">
        <v>1819</v>
      </c>
      <c r="F1461">
        <v>1</v>
      </c>
      <c r="G1461">
        <v>1</v>
      </c>
      <c r="H1461">
        <v>1</v>
      </c>
      <c r="I1461">
        <v>1</v>
      </c>
      <c r="J1461" s="3" t="s">
        <v>2222</v>
      </c>
      <c r="K1461" s="6">
        <v>0</v>
      </c>
    </row>
    <row r="1462" spans="1:11">
      <c r="A1462" t="str">
        <f t="shared" si="22"/>
        <v>Saringan Tabung 14 ltr &amp; 17 ltr Star Metal1/1/10000</v>
      </c>
      <c r="B1462" t="s">
        <v>11281</v>
      </c>
      <c r="C1462" t="s">
        <v>13365</v>
      </c>
      <c r="D1462" t="s">
        <v>15844</v>
      </c>
      <c r="E1462" t="s">
        <v>1820</v>
      </c>
      <c r="F1462">
        <v>1</v>
      </c>
      <c r="G1462">
        <v>1</v>
      </c>
      <c r="H1462">
        <v>1</v>
      </c>
      <c r="I1462">
        <v>1</v>
      </c>
      <c r="J1462" s="3" t="s">
        <v>2222</v>
      </c>
      <c r="K1462" s="6">
        <v>0</v>
      </c>
    </row>
    <row r="1463" spans="1:11">
      <c r="A1463" t="str">
        <f t="shared" si="22"/>
        <v>Saringan Tangki Star Metal1/1/10000</v>
      </c>
      <c r="B1463" t="s">
        <v>11282</v>
      </c>
      <c r="C1463" t="s">
        <v>13366</v>
      </c>
      <c r="D1463" t="s">
        <v>15845</v>
      </c>
      <c r="E1463" t="s">
        <v>1821</v>
      </c>
      <c r="F1463">
        <v>1</v>
      </c>
      <c r="G1463">
        <v>1</v>
      </c>
      <c r="H1463">
        <v>1</v>
      </c>
      <c r="I1463">
        <v>1</v>
      </c>
      <c r="J1463" s="3" t="s">
        <v>2222</v>
      </c>
      <c r="K1463" s="6">
        <v>0</v>
      </c>
    </row>
    <row r="1464" spans="1:11">
      <c r="A1464" t="str">
        <f t="shared" si="22"/>
        <v>Sarung1/1/10000</v>
      </c>
      <c r="B1464" t="s">
        <v>11283</v>
      </c>
      <c r="C1464" t="s">
        <v>13367</v>
      </c>
      <c r="D1464" t="s">
        <v>15846</v>
      </c>
      <c r="E1464" t="s">
        <v>1822</v>
      </c>
      <c r="F1464">
        <v>1</v>
      </c>
      <c r="G1464">
        <v>1</v>
      </c>
      <c r="H1464">
        <v>1</v>
      </c>
      <c r="I1464">
        <v>1</v>
      </c>
      <c r="J1464" s="3" t="s">
        <v>2222</v>
      </c>
      <c r="K1464" s="6">
        <v>0</v>
      </c>
    </row>
    <row r="1465" spans="1:11">
      <c r="A1465" t="str">
        <f t="shared" si="22"/>
        <v>Sarung Abu Rizqi1/1/10000</v>
      </c>
      <c r="B1465" t="s">
        <v>11284</v>
      </c>
      <c r="C1465" t="s">
        <v>13368</v>
      </c>
      <c r="D1465" t="s">
        <v>15847</v>
      </c>
      <c r="E1465" t="s">
        <v>1823</v>
      </c>
      <c r="F1465">
        <v>1</v>
      </c>
      <c r="G1465">
        <v>1</v>
      </c>
      <c r="H1465">
        <v>1</v>
      </c>
      <c r="I1465">
        <v>1</v>
      </c>
      <c r="J1465" s="3" t="s">
        <v>2222</v>
      </c>
      <c r="K1465" s="6">
        <v>0</v>
      </c>
    </row>
    <row r="1466" spans="1:11">
      <c r="A1466" t="str">
        <f t="shared" si="22"/>
        <v>Sarung Arabi Madinah1/1/10000</v>
      </c>
      <c r="B1466" t="s">
        <v>11285</v>
      </c>
      <c r="C1466" t="s">
        <v>13369</v>
      </c>
      <c r="D1466" t="s">
        <v>15848</v>
      </c>
      <c r="E1466" t="s">
        <v>1824</v>
      </c>
      <c r="F1466">
        <v>1</v>
      </c>
      <c r="G1466">
        <v>1</v>
      </c>
      <c r="H1466">
        <v>1</v>
      </c>
      <c r="I1466">
        <v>1</v>
      </c>
      <c r="J1466" s="3" t="s">
        <v>2222</v>
      </c>
      <c r="K1466" s="6">
        <v>0</v>
      </c>
    </row>
    <row r="1467" spans="1:11">
      <c r="A1467" t="str">
        <f t="shared" si="22"/>
        <v>Sarung Atlas1/1/10000</v>
      </c>
      <c r="B1467" t="s">
        <v>11286</v>
      </c>
      <c r="C1467" t="s">
        <v>13370</v>
      </c>
      <c r="D1467" t="s">
        <v>15849</v>
      </c>
      <c r="E1467" t="s">
        <v>1825</v>
      </c>
      <c r="F1467">
        <v>1</v>
      </c>
      <c r="G1467">
        <v>1</v>
      </c>
      <c r="H1467">
        <v>1</v>
      </c>
      <c r="I1467">
        <v>1</v>
      </c>
      <c r="J1467" s="3" t="s">
        <v>2222</v>
      </c>
      <c r="K1467" s="6">
        <v>0</v>
      </c>
    </row>
    <row r="1468" spans="1:11">
      <c r="A1468" t="str">
        <f t="shared" si="22"/>
        <v>Sarung Gajah Duduk1/1/10000</v>
      </c>
      <c r="B1468" t="s">
        <v>11287</v>
      </c>
      <c r="C1468" t="s">
        <v>13371</v>
      </c>
      <c r="D1468" t="s">
        <v>15850</v>
      </c>
      <c r="E1468" t="s">
        <v>1826</v>
      </c>
      <c r="F1468">
        <v>1</v>
      </c>
      <c r="G1468">
        <v>1</v>
      </c>
      <c r="H1468">
        <v>1</v>
      </c>
      <c r="I1468">
        <v>1</v>
      </c>
      <c r="J1468" s="3" t="s">
        <v>2222</v>
      </c>
      <c r="K1468" s="6">
        <v>0</v>
      </c>
    </row>
    <row r="1469" spans="1:11">
      <c r="A1469" t="str">
        <f t="shared" si="22"/>
        <v>Sarung Gajah Duduk442820</v>
      </c>
      <c r="B1469" t="s">
        <v>11288</v>
      </c>
      <c r="C1469" t="s">
        <v>13372</v>
      </c>
      <c r="D1469" t="s">
        <v>15851</v>
      </c>
      <c r="E1469" t="s">
        <v>1826</v>
      </c>
      <c r="F1469">
        <v>1</v>
      </c>
      <c r="G1469">
        <v>1</v>
      </c>
      <c r="H1469">
        <v>1</v>
      </c>
      <c r="I1469">
        <v>1</v>
      </c>
      <c r="J1469" s="3">
        <v>44282</v>
      </c>
      <c r="K1469" s="6">
        <v>0</v>
      </c>
    </row>
    <row r="1470" spans="1:11">
      <c r="A1470" t="str">
        <f t="shared" si="22"/>
        <v>Sarung Gajah Kembar1/1/10000</v>
      </c>
      <c r="B1470" t="s">
        <v>11289</v>
      </c>
      <c r="C1470" t="s">
        <v>13373</v>
      </c>
      <c r="D1470" t="s">
        <v>15852</v>
      </c>
      <c r="E1470" t="s">
        <v>1827</v>
      </c>
      <c r="F1470">
        <v>1</v>
      </c>
      <c r="G1470">
        <v>1</v>
      </c>
      <c r="H1470">
        <v>1</v>
      </c>
      <c r="I1470">
        <v>1</v>
      </c>
      <c r="J1470" s="3" t="s">
        <v>2222</v>
      </c>
      <c r="K1470" s="6">
        <v>0</v>
      </c>
    </row>
    <row r="1471" spans="1:11">
      <c r="A1471" t="str">
        <f t="shared" si="22"/>
        <v>Sarung Java Karlos1/1/10000</v>
      </c>
      <c r="B1471" t="s">
        <v>11290</v>
      </c>
      <c r="C1471" t="s">
        <v>13374</v>
      </c>
      <c r="D1471" t="s">
        <v>15853</v>
      </c>
      <c r="E1471" t="s">
        <v>1828</v>
      </c>
      <c r="F1471">
        <v>1</v>
      </c>
      <c r="G1471">
        <v>1</v>
      </c>
      <c r="H1471">
        <v>1</v>
      </c>
      <c r="I1471">
        <v>1</v>
      </c>
      <c r="J1471" s="3" t="s">
        <v>2222</v>
      </c>
      <c r="K1471" s="6">
        <v>0</v>
      </c>
    </row>
    <row r="1472" spans="1:11">
      <c r="A1472" t="str">
        <f t="shared" si="22"/>
        <v>Sarung Jenggolo1/1/10000</v>
      </c>
      <c r="B1472" t="s">
        <v>11291</v>
      </c>
      <c r="C1472" t="s">
        <v>13375</v>
      </c>
      <c r="D1472" t="s">
        <v>15854</v>
      </c>
      <c r="E1472" t="s">
        <v>1829</v>
      </c>
      <c r="F1472">
        <v>1</v>
      </c>
      <c r="G1472">
        <v>1</v>
      </c>
      <c r="H1472">
        <v>1</v>
      </c>
      <c r="I1472">
        <v>1</v>
      </c>
      <c r="J1472" s="3" t="s">
        <v>2222</v>
      </c>
      <c r="K1472" s="6">
        <v>0</v>
      </c>
    </row>
    <row r="1473" spans="1:11">
      <c r="A1473" t="str">
        <f t="shared" si="22"/>
        <v>Sarung Ramadhani1/1/10000</v>
      </c>
      <c r="B1473" t="s">
        <v>11292</v>
      </c>
      <c r="C1473" t="s">
        <v>13376</v>
      </c>
      <c r="D1473" t="s">
        <v>15855</v>
      </c>
      <c r="E1473" t="s">
        <v>1830</v>
      </c>
      <c r="F1473">
        <v>1</v>
      </c>
      <c r="G1473">
        <v>1</v>
      </c>
      <c r="H1473">
        <v>1</v>
      </c>
      <c r="I1473">
        <v>1</v>
      </c>
      <c r="J1473" s="3" t="s">
        <v>2222</v>
      </c>
      <c r="K1473" s="6">
        <v>0</v>
      </c>
    </row>
    <row r="1474" spans="1:11">
      <c r="A1474" t="str">
        <f t="shared" si="22"/>
        <v>Sarung Samarinda1/1/10000</v>
      </c>
      <c r="B1474" t="s">
        <v>11293</v>
      </c>
      <c r="C1474" t="s">
        <v>13377</v>
      </c>
      <c r="D1474" t="s">
        <v>15856</v>
      </c>
      <c r="E1474" t="s">
        <v>1831</v>
      </c>
      <c r="F1474">
        <v>1</v>
      </c>
      <c r="G1474">
        <v>1</v>
      </c>
      <c r="H1474">
        <v>1</v>
      </c>
      <c r="I1474">
        <v>1</v>
      </c>
      <c r="J1474" s="3" t="s">
        <v>2222</v>
      </c>
      <c r="K1474" s="6">
        <v>0</v>
      </c>
    </row>
    <row r="1475" spans="1:11">
      <c r="A1475" t="str">
        <f t="shared" ref="A1475:A1538" si="23">E1475&amp;J1475&amp;K1475</f>
        <v>Sarung Wadimor1/1/10000</v>
      </c>
      <c r="B1475" t="s">
        <v>11294</v>
      </c>
      <c r="C1475" t="s">
        <v>13378</v>
      </c>
      <c r="D1475" t="s">
        <v>15857</v>
      </c>
      <c r="E1475" t="s">
        <v>1832</v>
      </c>
      <c r="F1475">
        <v>1</v>
      </c>
      <c r="G1475">
        <v>1</v>
      </c>
      <c r="H1475">
        <v>1</v>
      </c>
      <c r="I1475">
        <v>1</v>
      </c>
      <c r="J1475" s="3" t="s">
        <v>2222</v>
      </c>
      <c r="K1475" s="6">
        <v>0</v>
      </c>
    </row>
    <row r="1476" spans="1:11">
      <c r="A1476" t="str">
        <f t="shared" si="23"/>
        <v>Saturn Plus 20 X 1 ltr471190</v>
      </c>
      <c r="B1476" t="s">
        <v>11295</v>
      </c>
      <c r="C1476" t="s">
        <v>13379</v>
      </c>
      <c r="D1476" t="s">
        <v>15858</v>
      </c>
      <c r="E1476" t="s">
        <v>1833</v>
      </c>
      <c r="F1476">
        <v>20</v>
      </c>
      <c r="G1476">
        <v>1</v>
      </c>
      <c r="H1476">
        <v>1</v>
      </c>
      <c r="I1476">
        <v>20</v>
      </c>
      <c r="J1476" s="3">
        <v>47119</v>
      </c>
      <c r="K1476" s="6">
        <v>0</v>
      </c>
    </row>
    <row r="1477" spans="1:11">
      <c r="A1477" t="str">
        <f t="shared" si="23"/>
        <v>Saturn Plus 20 X 250 ml470880</v>
      </c>
      <c r="B1477" t="s">
        <v>11296</v>
      </c>
      <c r="C1477" t="s">
        <v>13380</v>
      </c>
      <c r="D1477" t="s">
        <v>15859</v>
      </c>
      <c r="E1477" t="s">
        <v>1834</v>
      </c>
      <c r="F1477">
        <v>20</v>
      </c>
      <c r="G1477">
        <v>1</v>
      </c>
      <c r="H1477">
        <v>1</v>
      </c>
      <c r="I1477">
        <v>20</v>
      </c>
      <c r="J1477" s="3">
        <v>47088</v>
      </c>
      <c r="K1477" s="6">
        <v>0</v>
      </c>
    </row>
    <row r="1478" spans="1:11">
      <c r="A1478" t="str">
        <f t="shared" si="23"/>
        <v>Saturn Plus 20 X 250 ml472090</v>
      </c>
      <c r="B1478" t="s">
        <v>11297</v>
      </c>
      <c r="C1478" t="s">
        <v>13381</v>
      </c>
      <c r="D1478" t="s">
        <v>15860</v>
      </c>
      <c r="E1478" t="s">
        <v>1834</v>
      </c>
      <c r="F1478">
        <v>20</v>
      </c>
      <c r="G1478">
        <v>1</v>
      </c>
      <c r="H1478">
        <v>1</v>
      </c>
      <c r="I1478">
        <v>20</v>
      </c>
      <c r="J1478" s="3">
        <v>47209</v>
      </c>
      <c r="K1478" s="6">
        <v>0</v>
      </c>
    </row>
    <row r="1479" spans="1:11">
      <c r="A1479" t="str">
        <f t="shared" si="23"/>
        <v>Saturn Plus 20 X 500 ml470880</v>
      </c>
      <c r="B1479" t="s">
        <v>11298</v>
      </c>
      <c r="C1479" t="s">
        <v>13382</v>
      </c>
      <c r="D1479" t="s">
        <v>15861</v>
      </c>
      <c r="E1479" t="s">
        <v>1835</v>
      </c>
      <c r="F1479">
        <v>20</v>
      </c>
      <c r="G1479">
        <v>1</v>
      </c>
      <c r="H1479">
        <v>1</v>
      </c>
      <c r="I1479">
        <v>20</v>
      </c>
      <c r="J1479" s="3">
        <v>47088</v>
      </c>
      <c r="K1479" s="6">
        <v>0</v>
      </c>
    </row>
    <row r="1480" spans="1:11">
      <c r="A1480" t="str">
        <f t="shared" si="23"/>
        <v>Saturn Plus 20 X 500 ml471190</v>
      </c>
      <c r="B1480" t="s">
        <v>11299</v>
      </c>
      <c r="C1480" t="s">
        <v>13383</v>
      </c>
      <c r="D1480" t="s">
        <v>15862</v>
      </c>
      <c r="E1480" t="s">
        <v>1835</v>
      </c>
      <c r="F1480">
        <v>20</v>
      </c>
      <c r="G1480">
        <v>1</v>
      </c>
      <c r="H1480">
        <v>1</v>
      </c>
      <c r="I1480">
        <v>20</v>
      </c>
      <c r="J1480" s="3">
        <v>47119</v>
      </c>
      <c r="K1480" s="6">
        <v>0</v>
      </c>
    </row>
    <row r="1481" spans="1:11">
      <c r="A1481" t="str">
        <f t="shared" si="23"/>
        <v>Saturn Plus 20 X 500 ml472090</v>
      </c>
      <c r="B1481" t="s">
        <v>11300</v>
      </c>
      <c r="C1481" t="s">
        <v>13384</v>
      </c>
      <c r="D1481" t="s">
        <v>15863</v>
      </c>
      <c r="E1481" t="s">
        <v>1835</v>
      </c>
      <c r="F1481">
        <v>20</v>
      </c>
      <c r="G1481">
        <v>1</v>
      </c>
      <c r="H1481">
        <v>1</v>
      </c>
      <c r="I1481">
        <v>20</v>
      </c>
      <c r="J1481" s="3">
        <v>47209</v>
      </c>
      <c r="K1481" s="6">
        <v>0</v>
      </c>
    </row>
    <row r="1482" spans="1:11">
      <c r="A1482" t="str">
        <f t="shared" si="23"/>
        <v>Satyazeb 80 WP 20 X 1 kg464470</v>
      </c>
      <c r="B1482" t="s">
        <v>11301</v>
      </c>
      <c r="C1482" t="s">
        <v>13385</v>
      </c>
      <c r="D1482" t="s">
        <v>15864</v>
      </c>
      <c r="E1482" t="s">
        <v>1836</v>
      </c>
      <c r="F1482">
        <v>20</v>
      </c>
      <c r="G1482">
        <v>1</v>
      </c>
      <c r="H1482">
        <v>1</v>
      </c>
      <c r="I1482">
        <v>20</v>
      </c>
      <c r="J1482" s="3">
        <v>46447</v>
      </c>
      <c r="K1482" s="6">
        <v>0</v>
      </c>
    </row>
    <row r="1483" spans="1:11">
      <c r="A1483" t="str">
        <f t="shared" si="23"/>
        <v>Score 250 EC 40 X 250 ml459920</v>
      </c>
      <c r="B1483" t="s">
        <v>11302</v>
      </c>
      <c r="C1483" t="s">
        <v>13386</v>
      </c>
      <c r="D1483" t="s">
        <v>15865</v>
      </c>
      <c r="E1483" t="s">
        <v>1841</v>
      </c>
      <c r="F1483">
        <v>40</v>
      </c>
      <c r="G1483">
        <v>1</v>
      </c>
      <c r="H1483">
        <v>1</v>
      </c>
      <c r="I1483">
        <v>40</v>
      </c>
      <c r="J1483" s="3">
        <v>45992</v>
      </c>
      <c r="K1483" s="6">
        <v>0</v>
      </c>
    </row>
    <row r="1484" spans="1:11">
      <c r="A1484" t="str">
        <f t="shared" si="23"/>
        <v>Score 250 EC 40 X 250 ml460820</v>
      </c>
      <c r="B1484" t="s">
        <v>11303</v>
      </c>
      <c r="C1484" t="s">
        <v>13387</v>
      </c>
      <c r="D1484" t="s">
        <v>15866</v>
      </c>
      <c r="E1484" t="s">
        <v>1841</v>
      </c>
      <c r="F1484">
        <v>40</v>
      </c>
      <c r="G1484">
        <v>1</v>
      </c>
      <c r="H1484">
        <v>1</v>
      </c>
      <c r="I1484">
        <v>40</v>
      </c>
      <c r="J1484" s="3">
        <v>46082</v>
      </c>
      <c r="K1484" s="6">
        <v>0</v>
      </c>
    </row>
    <row r="1485" spans="1:11">
      <c r="A1485" t="str">
        <f t="shared" si="23"/>
        <v>Score 250 EC 40 X 250 ml461130</v>
      </c>
      <c r="B1485" t="s">
        <v>11304</v>
      </c>
      <c r="C1485" t="s">
        <v>13388</v>
      </c>
      <c r="D1485" t="s">
        <v>15867</v>
      </c>
      <c r="E1485" t="s">
        <v>1841</v>
      </c>
      <c r="F1485">
        <v>40</v>
      </c>
      <c r="G1485">
        <v>1</v>
      </c>
      <c r="H1485">
        <v>1</v>
      </c>
      <c r="I1485">
        <v>40</v>
      </c>
      <c r="J1485" s="3">
        <v>46113</v>
      </c>
      <c r="K1485" s="6">
        <v>0</v>
      </c>
    </row>
    <row r="1486" spans="1:11">
      <c r="A1486" t="str">
        <f t="shared" si="23"/>
        <v>Score 250 EC 40 X 250 ml460230</v>
      </c>
      <c r="B1486" t="s">
        <v>11305</v>
      </c>
      <c r="C1486" t="s">
        <v>13389</v>
      </c>
      <c r="D1486" t="s">
        <v>15868</v>
      </c>
      <c r="E1486" t="s">
        <v>1841</v>
      </c>
      <c r="F1486">
        <v>40</v>
      </c>
      <c r="G1486">
        <v>1</v>
      </c>
      <c r="H1486">
        <v>1</v>
      </c>
      <c r="I1486">
        <v>40</v>
      </c>
      <c r="J1486" s="3">
        <v>46023</v>
      </c>
      <c r="K1486" s="6">
        <v>0</v>
      </c>
    </row>
    <row r="1487" spans="1:11">
      <c r="A1487" t="str">
        <f t="shared" si="23"/>
        <v>Score 250 EC 40 X 250 ml460540</v>
      </c>
      <c r="B1487" t="s">
        <v>11306</v>
      </c>
      <c r="C1487" t="s">
        <v>13390</v>
      </c>
      <c r="D1487" t="s">
        <v>15869</v>
      </c>
      <c r="E1487" t="s">
        <v>1841</v>
      </c>
      <c r="F1487">
        <v>40</v>
      </c>
      <c r="G1487">
        <v>1</v>
      </c>
      <c r="H1487">
        <v>1</v>
      </c>
      <c r="I1487">
        <v>40</v>
      </c>
      <c r="J1487" s="3">
        <v>46054</v>
      </c>
      <c r="K1487" s="6">
        <v>0</v>
      </c>
    </row>
    <row r="1488" spans="1:11">
      <c r="A1488" t="str">
        <f t="shared" si="23"/>
        <v>Score 250 EC 50 X 80 ml459920</v>
      </c>
      <c r="B1488" t="s">
        <v>11307</v>
      </c>
      <c r="C1488" t="s">
        <v>13391</v>
      </c>
      <c r="D1488" t="s">
        <v>15870</v>
      </c>
      <c r="E1488" t="s">
        <v>1858</v>
      </c>
      <c r="F1488">
        <v>50</v>
      </c>
      <c r="G1488">
        <v>1</v>
      </c>
      <c r="H1488">
        <v>1</v>
      </c>
      <c r="I1488">
        <v>50</v>
      </c>
      <c r="J1488" s="3">
        <v>45992</v>
      </c>
      <c r="K1488" s="6">
        <v>0</v>
      </c>
    </row>
    <row r="1489" spans="1:11">
      <c r="A1489" t="str">
        <f t="shared" si="23"/>
        <v>Score 250 EC 50 X 80 ml461130</v>
      </c>
      <c r="B1489" t="s">
        <v>11308</v>
      </c>
      <c r="C1489" t="s">
        <v>13392</v>
      </c>
      <c r="D1489" t="s">
        <v>15871</v>
      </c>
      <c r="E1489" t="s">
        <v>1858</v>
      </c>
      <c r="F1489">
        <v>50</v>
      </c>
      <c r="G1489">
        <v>1</v>
      </c>
      <c r="H1489">
        <v>1</v>
      </c>
      <c r="I1489">
        <v>50</v>
      </c>
      <c r="J1489" s="3">
        <v>46113</v>
      </c>
      <c r="K1489" s="6">
        <v>0</v>
      </c>
    </row>
    <row r="1490" spans="1:11">
      <c r="A1490" t="str">
        <f t="shared" si="23"/>
        <v>Score 250 EC 50 X 80 ml460230</v>
      </c>
      <c r="B1490" t="s">
        <v>11309</v>
      </c>
      <c r="C1490" t="s">
        <v>13393</v>
      </c>
      <c r="D1490" t="s">
        <v>15872</v>
      </c>
      <c r="E1490" t="s">
        <v>1858</v>
      </c>
      <c r="F1490">
        <v>50</v>
      </c>
      <c r="G1490">
        <v>1</v>
      </c>
      <c r="H1490">
        <v>1</v>
      </c>
      <c r="I1490">
        <v>50</v>
      </c>
      <c r="J1490" s="3">
        <v>46023</v>
      </c>
      <c r="K1490" s="6">
        <v>0</v>
      </c>
    </row>
    <row r="1491" spans="1:11">
      <c r="A1491" t="str">
        <f t="shared" si="23"/>
        <v>Sealing Gasket Yamaha1/1/10000</v>
      </c>
      <c r="B1491" t="s">
        <v>11310</v>
      </c>
      <c r="C1491" t="s">
        <v>13394</v>
      </c>
      <c r="D1491" t="s">
        <v>15873</v>
      </c>
      <c r="E1491" t="s">
        <v>1864</v>
      </c>
      <c r="F1491">
        <v>1</v>
      </c>
      <c r="G1491">
        <v>1</v>
      </c>
      <c r="H1491">
        <v>1</v>
      </c>
      <c r="I1491">
        <v>1</v>
      </c>
      <c r="J1491" s="3" t="s">
        <v>2222</v>
      </c>
      <c r="K1491" s="6">
        <v>0</v>
      </c>
    </row>
    <row r="1492" spans="1:11">
      <c r="A1492" t="str">
        <f t="shared" si="23"/>
        <v>Sekop Tanaman Goodman Transplanter 05-008 100 X 11/1/10000</v>
      </c>
      <c r="B1492" t="s">
        <v>11311</v>
      </c>
      <c r="C1492" t="s">
        <v>13395</v>
      </c>
      <c r="D1492" t="s">
        <v>15874</v>
      </c>
      <c r="E1492" t="s">
        <v>1865</v>
      </c>
      <c r="F1492">
        <v>100</v>
      </c>
      <c r="G1492">
        <v>1</v>
      </c>
      <c r="H1492">
        <v>1</v>
      </c>
      <c r="I1492">
        <v>100</v>
      </c>
      <c r="J1492" s="3" t="s">
        <v>2222</v>
      </c>
      <c r="K1492" s="6">
        <v>0</v>
      </c>
    </row>
    <row r="1493" spans="1:11">
      <c r="A1493" t="str">
        <f t="shared" si="23"/>
        <v>Selang + Kran Pencet Baru (GA)1/1/10000</v>
      </c>
      <c r="B1493" t="s">
        <v>11312</v>
      </c>
      <c r="C1493" t="s">
        <v>13396</v>
      </c>
      <c r="D1493" t="s">
        <v>15875</v>
      </c>
      <c r="E1493" t="s">
        <v>1867</v>
      </c>
      <c r="F1493">
        <v>1</v>
      </c>
      <c r="G1493">
        <v>1</v>
      </c>
      <c r="H1493">
        <v>1</v>
      </c>
      <c r="I1493">
        <v>1</v>
      </c>
      <c r="J1493" s="3" t="s">
        <v>2222</v>
      </c>
      <c r="K1493" s="6">
        <v>0</v>
      </c>
    </row>
    <row r="1494" spans="1:11">
      <c r="A1494" t="str">
        <f t="shared" si="23"/>
        <v>Selang Drip 010 X 4 X 100 HTM @0.7kg/rol (sample)1/1/10000</v>
      </c>
      <c r="B1494" t="s">
        <v>11313</v>
      </c>
      <c r="C1494" t="s">
        <v>13397</v>
      </c>
      <c r="D1494" t="s">
        <v>15876</v>
      </c>
      <c r="E1494" t="s">
        <v>1868</v>
      </c>
      <c r="F1494">
        <v>1</v>
      </c>
      <c r="G1494">
        <v>1</v>
      </c>
      <c r="H1494">
        <v>1</v>
      </c>
      <c r="I1494">
        <v>1</v>
      </c>
      <c r="J1494" s="3" t="s">
        <v>2222</v>
      </c>
      <c r="K1494" s="6">
        <v>0</v>
      </c>
    </row>
    <row r="1495" spans="1:11">
      <c r="A1495" t="str">
        <f t="shared" si="23"/>
        <v>Selang Drip 010 X 4 X 200 HTM @1.4kg/rol (sample)1/1/10000</v>
      </c>
      <c r="B1495" t="s">
        <v>11314</v>
      </c>
      <c r="C1495" t="s">
        <v>13398</v>
      </c>
      <c r="D1495" t="s">
        <v>15877</v>
      </c>
      <c r="E1495" t="s">
        <v>1869</v>
      </c>
      <c r="F1495">
        <v>1</v>
      </c>
      <c r="G1495">
        <v>1</v>
      </c>
      <c r="H1495">
        <v>1</v>
      </c>
      <c r="I1495">
        <v>1</v>
      </c>
      <c r="J1495" s="3" t="s">
        <v>2222</v>
      </c>
      <c r="K1495" s="6">
        <v>0</v>
      </c>
    </row>
    <row r="1496" spans="1:11">
      <c r="A1496" t="str">
        <f t="shared" si="23"/>
        <v>Selang Drip 015 X 4 X 100 HTM @1.2kg/rol (sample)1/1/10000</v>
      </c>
      <c r="B1496" t="s">
        <v>11315</v>
      </c>
      <c r="C1496" t="s">
        <v>13399</v>
      </c>
      <c r="D1496" t="s">
        <v>15878</v>
      </c>
      <c r="E1496" t="s">
        <v>1870</v>
      </c>
      <c r="F1496">
        <v>1</v>
      </c>
      <c r="G1496">
        <v>1</v>
      </c>
      <c r="H1496">
        <v>1</v>
      </c>
      <c r="I1496">
        <v>1</v>
      </c>
      <c r="J1496" s="3" t="s">
        <v>2222</v>
      </c>
      <c r="K1496" s="6">
        <v>0</v>
      </c>
    </row>
    <row r="1497" spans="1:11">
      <c r="A1497" t="str">
        <f t="shared" si="23"/>
        <v>Selang Drip 015 X 4 X 200 HTM @2.4kg/rol (sample)1/1/10000</v>
      </c>
      <c r="B1497" t="s">
        <v>11316</v>
      </c>
      <c r="C1497" t="s">
        <v>13400</v>
      </c>
      <c r="D1497" t="s">
        <v>15879</v>
      </c>
      <c r="E1497" t="s">
        <v>1871</v>
      </c>
      <c r="F1497">
        <v>1</v>
      </c>
      <c r="G1497">
        <v>1</v>
      </c>
      <c r="H1497">
        <v>1</v>
      </c>
      <c r="I1497">
        <v>1</v>
      </c>
      <c r="J1497" s="3" t="s">
        <v>2222</v>
      </c>
      <c r="K1497" s="6">
        <v>0</v>
      </c>
    </row>
    <row r="1498" spans="1:11">
      <c r="A1498" t="str">
        <f t="shared" si="23"/>
        <v>Selang Drip 05 X 4 X 300 HTM @0.8kg/rol (sample)1/1/10000</v>
      </c>
      <c r="B1498" t="s">
        <v>11317</v>
      </c>
      <c r="C1498" t="s">
        <v>13401</v>
      </c>
      <c r="D1498" t="s">
        <v>15880</v>
      </c>
      <c r="E1498" t="s">
        <v>1872</v>
      </c>
      <c r="F1498">
        <v>1</v>
      </c>
      <c r="G1498">
        <v>1</v>
      </c>
      <c r="H1498">
        <v>1</v>
      </c>
      <c r="I1498">
        <v>1</v>
      </c>
      <c r="J1498" s="3" t="s">
        <v>2222</v>
      </c>
      <c r="K1498" s="6">
        <v>0</v>
      </c>
    </row>
    <row r="1499" spans="1:11">
      <c r="A1499" t="str">
        <f t="shared" si="23"/>
        <v>Selang Drip 05 X 4 X 90 HTM @0.24kg/rol (sample)1/1/10000</v>
      </c>
      <c r="B1499" t="s">
        <v>11318</v>
      </c>
      <c r="C1499" t="s">
        <v>13402</v>
      </c>
      <c r="D1499" t="s">
        <v>15881</v>
      </c>
      <c r="E1499" t="s">
        <v>1873</v>
      </c>
      <c r="F1499">
        <v>1</v>
      </c>
      <c r="G1499">
        <v>1</v>
      </c>
      <c r="H1499">
        <v>1</v>
      </c>
      <c r="I1499">
        <v>1</v>
      </c>
      <c r="J1499" s="3" t="s">
        <v>2222</v>
      </c>
      <c r="K1499" s="6">
        <v>0</v>
      </c>
    </row>
    <row r="1500" spans="1:11">
      <c r="A1500" t="str">
        <f t="shared" si="23"/>
        <v>Selang Orange Komplit+G. Plastik Star Metal1/1/10000</v>
      </c>
      <c r="B1500" t="s">
        <v>11319</v>
      </c>
      <c r="C1500" t="s">
        <v>13403</v>
      </c>
      <c r="D1500" t="s">
        <v>15882</v>
      </c>
      <c r="E1500" t="s">
        <v>1874</v>
      </c>
      <c r="F1500">
        <v>1</v>
      </c>
      <c r="G1500">
        <v>1</v>
      </c>
      <c r="H1500">
        <v>1</v>
      </c>
      <c r="I1500">
        <v>1</v>
      </c>
      <c r="J1500" s="3" t="s">
        <v>2222</v>
      </c>
      <c r="K1500" s="6">
        <v>0</v>
      </c>
    </row>
    <row r="1501" spans="1:11">
      <c r="A1501" t="str">
        <f t="shared" si="23"/>
        <v>Selang Plastik1/1/10000</v>
      </c>
      <c r="B1501" t="s">
        <v>11320</v>
      </c>
      <c r="C1501" t="s">
        <v>13404</v>
      </c>
      <c r="D1501" t="s">
        <v>15883</v>
      </c>
      <c r="E1501" t="s">
        <v>1875</v>
      </c>
      <c r="F1501">
        <v>1</v>
      </c>
      <c r="G1501">
        <v>1</v>
      </c>
      <c r="H1501">
        <v>1</v>
      </c>
      <c r="I1501">
        <v>1</v>
      </c>
      <c r="J1501" s="3" t="s">
        <v>2222</v>
      </c>
      <c r="K1501" s="6">
        <v>0</v>
      </c>
    </row>
    <row r="1502" spans="1:11">
      <c r="A1502" t="str">
        <f t="shared" si="23"/>
        <v>Selang YT 4L, 5L, 7L &amp; 9L1/1/10000</v>
      </c>
      <c r="B1502" t="s">
        <v>11321</v>
      </c>
      <c r="C1502" t="s">
        <v>13405</v>
      </c>
      <c r="D1502" t="s">
        <v>15884</v>
      </c>
      <c r="E1502" t="s">
        <v>1876</v>
      </c>
      <c r="F1502">
        <v>1</v>
      </c>
      <c r="G1502">
        <v>1</v>
      </c>
      <c r="H1502">
        <v>1</v>
      </c>
      <c r="I1502">
        <v>1</v>
      </c>
      <c r="J1502" s="3" t="s">
        <v>2222</v>
      </c>
      <c r="K1502" s="6">
        <v>0</v>
      </c>
    </row>
    <row r="1503" spans="1:11">
      <c r="A1503" t="str">
        <f t="shared" si="23"/>
        <v>Sepeda Listrik tipe GD Golden Monkey 140 ( Kuning )1/1/10000</v>
      </c>
      <c r="B1503" t="s">
        <v>11322</v>
      </c>
      <c r="C1503" t="s">
        <v>13406</v>
      </c>
      <c r="D1503" t="s">
        <v>15885</v>
      </c>
      <c r="E1503" t="s">
        <v>1877</v>
      </c>
      <c r="F1503">
        <v>1</v>
      </c>
      <c r="G1503">
        <v>1</v>
      </c>
      <c r="H1503">
        <v>1</v>
      </c>
      <c r="I1503">
        <v>1</v>
      </c>
      <c r="J1503" s="3" t="s">
        <v>2222</v>
      </c>
      <c r="K1503" s="6">
        <v>0</v>
      </c>
    </row>
    <row r="1504" spans="1:11">
      <c r="A1504" t="str">
        <f t="shared" si="23"/>
        <v>Sepeda Listrik tipe GD Golden Monkey 140 ( Merah )1/1/10000</v>
      </c>
      <c r="B1504" t="s">
        <v>11323</v>
      </c>
      <c r="C1504" t="s">
        <v>13407</v>
      </c>
      <c r="D1504" t="s">
        <v>15886</v>
      </c>
      <c r="E1504" t="s">
        <v>1878</v>
      </c>
      <c r="F1504">
        <v>1</v>
      </c>
      <c r="G1504">
        <v>1</v>
      </c>
      <c r="H1504">
        <v>1</v>
      </c>
      <c r="I1504">
        <v>1</v>
      </c>
      <c r="J1504" s="3" t="s">
        <v>2222</v>
      </c>
      <c r="K1504" s="6">
        <v>0</v>
      </c>
    </row>
    <row r="1505" spans="1:11">
      <c r="A1505" t="str">
        <f t="shared" si="23"/>
        <v>Sepeda Motor Honda Beat 125 Biru Hitam1/1/10000</v>
      </c>
      <c r="B1505" t="s">
        <v>11324</v>
      </c>
      <c r="C1505" t="s">
        <v>13408</v>
      </c>
      <c r="D1505" t="s">
        <v>15887</v>
      </c>
      <c r="E1505" t="s">
        <v>1879</v>
      </c>
      <c r="F1505">
        <v>1</v>
      </c>
      <c r="G1505">
        <v>1</v>
      </c>
      <c r="H1505">
        <v>1</v>
      </c>
      <c r="I1505">
        <v>1</v>
      </c>
      <c r="J1505" s="3" t="s">
        <v>2222</v>
      </c>
      <c r="K1505" s="6">
        <v>0</v>
      </c>
    </row>
    <row r="1506" spans="1:11">
      <c r="A1506" t="str">
        <f t="shared" si="23"/>
        <v>Sepeda Motor Vario 125 Merah1/1/10000</v>
      </c>
      <c r="B1506" t="s">
        <v>11325</v>
      </c>
      <c r="C1506" t="s">
        <v>13409</v>
      </c>
      <c r="D1506" t="s">
        <v>15888</v>
      </c>
      <c r="E1506" t="s">
        <v>1880</v>
      </c>
      <c r="F1506">
        <v>1</v>
      </c>
      <c r="G1506">
        <v>1</v>
      </c>
      <c r="H1506">
        <v>1</v>
      </c>
      <c r="I1506">
        <v>1</v>
      </c>
      <c r="J1506" s="3" t="s">
        <v>2222</v>
      </c>
      <c r="K1506" s="6">
        <v>0</v>
      </c>
    </row>
    <row r="1507" spans="1:11">
      <c r="A1507" t="str">
        <f t="shared" si="23"/>
        <v>Sepeda Motor Yamaha Gear 125 (Hitam)1/1/10000</v>
      </c>
      <c r="B1507" t="s">
        <v>11326</v>
      </c>
      <c r="C1507" t="s">
        <v>13410</v>
      </c>
      <c r="D1507" t="s">
        <v>15889</v>
      </c>
      <c r="E1507" t="s">
        <v>1881</v>
      </c>
      <c r="F1507">
        <v>1</v>
      </c>
      <c r="G1507">
        <v>1</v>
      </c>
      <c r="H1507">
        <v>1</v>
      </c>
      <c r="I1507">
        <v>1</v>
      </c>
      <c r="J1507" s="3" t="s">
        <v>2222</v>
      </c>
      <c r="K1507" s="6">
        <v>0</v>
      </c>
    </row>
    <row r="1508" spans="1:11">
      <c r="A1508" t="str">
        <f t="shared" si="23"/>
        <v>Sevin 85 SP 100 X 100 gr468440</v>
      </c>
      <c r="B1508" t="s">
        <v>11327</v>
      </c>
      <c r="C1508" t="s">
        <v>13411</v>
      </c>
      <c r="D1508" t="s">
        <v>15890</v>
      </c>
      <c r="E1508" t="s">
        <v>1882</v>
      </c>
      <c r="F1508">
        <v>100</v>
      </c>
      <c r="G1508">
        <v>1</v>
      </c>
      <c r="H1508">
        <v>1</v>
      </c>
      <c r="I1508">
        <v>100</v>
      </c>
      <c r="J1508" s="3">
        <v>46844</v>
      </c>
      <c r="K1508" s="6">
        <v>0</v>
      </c>
    </row>
    <row r="1509" spans="1:11">
      <c r="A1509" t="str">
        <f t="shared" si="23"/>
        <v>SG.01 30 X 500 gr (M2U)457480</v>
      </c>
      <c r="B1509" t="s">
        <v>11328</v>
      </c>
      <c r="C1509" t="s">
        <v>13412</v>
      </c>
      <c r="D1509" t="s">
        <v>15891</v>
      </c>
      <c r="E1509" t="s">
        <v>1887</v>
      </c>
      <c r="F1509">
        <v>30</v>
      </c>
      <c r="G1509">
        <v>1</v>
      </c>
      <c r="H1509">
        <v>1</v>
      </c>
      <c r="I1509">
        <v>30</v>
      </c>
      <c r="J1509" s="3">
        <v>45748</v>
      </c>
      <c r="K1509" s="6">
        <v>0</v>
      </c>
    </row>
    <row r="1510" spans="1:11">
      <c r="A1510" t="str">
        <f t="shared" si="23"/>
        <v>SG.01 30 X 500 gr (M2U)458390</v>
      </c>
      <c r="B1510" t="s">
        <v>11329</v>
      </c>
      <c r="C1510" t="s">
        <v>13413</v>
      </c>
      <c r="D1510" t="s">
        <v>15892</v>
      </c>
      <c r="E1510" t="s">
        <v>1887</v>
      </c>
      <c r="F1510">
        <v>30</v>
      </c>
      <c r="G1510">
        <v>1</v>
      </c>
      <c r="H1510">
        <v>1</v>
      </c>
      <c r="I1510">
        <v>30</v>
      </c>
      <c r="J1510" s="3">
        <v>45839</v>
      </c>
      <c r="K1510" s="6">
        <v>0</v>
      </c>
    </row>
    <row r="1511" spans="1:11">
      <c r="A1511" t="str">
        <f t="shared" si="23"/>
        <v>SG.01 30 X 500 gr (M2U)456270</v>
      </c>
      <c r="B1511" t="s">
        <v>11330</v>
      </c>
      <c r="C1511" t="s">
        <v>13414</v>
      </c>
      <c r="D1511" t="s">
        <v>15893</v>
      </c>
      <c r="E1511" t="s">
        <v>1887</v>
      </c>
      <c r="F1511">
        <v>30</v>
      </c>
      <c r="G1511">
        <v>1</v>
      </c>
      <c r="H1511">
        <v>1</v>
      </c>
      <c r="I1511">
        <v>30</v>
      </c>
      <c r="J1511" s="3">
        <v>45627</v>
      </c>
      <c r="K1511" s="6">
        <v>0</v>
      </c>
    </row>
    <row r="1512" spans="1:11">
      <c r="A1512" t="str">
        <f t="shared" si="23"/>
        <v>SG.01 30 X 500 gr (M2U)457780</v>
      </c>
      <c r="B1512" t="s">
        <v>11331</v>
      </c>
      <c r="C1512" t="s">
        <v>13415</v>
      </c>
      <c r="D1512" t="s">
        <v>15894</v>
      </c>
      <c r="E1512" t="s">
        <v>1887</v>
      </c>
      <c r="F1512">
        <v>30</v>
      </c>
      <c r="G1512">
        <v>1</v>
      </c>
      <c r="H1512">
        <v>1</v>
      </c>
      <c r="I1512">
        <v>30</v>
      </c>
      <c r="J1512" s="3">
        <v>45778</v>
      </c>
      <c r="K1512" s="6">
        <v>0</v>
      </c>
    </row>
    <row r="1513" spans="1:11">
      <c r="A1513" t="str">
        <f t="shared" si="23"/>
        <v>SG.05 200 X 100 gr (M2U)447740</v>
      </c>
      <c r="B1513" t="s">
        <v>11332</v>
      </c>
      <c r="C1513" t="s">
        <v>13416</v>
      </c>
      <c r="D1513" t="s">
        <v>15895</v>
      </c>
      <c r="E1513" t="s">
        <v>1888</v>
      </c>
      <c r="F1513">
        <v>200</v>
      </c>
      <c r="G1513">
        <v>1</v>
      </c>
      <c r="H1513">
        <v>1</v>
      </c>
      <c r="I1513">
        <v>200</v>
      </c>
      <c r="J1513" s="3">
        <v>44774</v>
      </c>
      <c r="K1513" s="6">
        <v>0</v>
      </c>
    </row>
    <row r="1514" spans="1:11">
      <c r="A1514" t="str">
        <f t="shared" si="23"/>
        <v>SG.05 200 X 100 gr (M2U)458700</v>
      </c>
      <c r="B1514" t="s">
        <v>11333</v>
      </c>
      <c r="C1514" t="s">
        <v>13417</v>
      </c>
      <c r="D1514" t="s">
        <v>15896</v>
      </c>
      <c r="E1514" t="s">
        <v>1888</v>
      </c>
      <c r="F1514">
        <v>200</v>
      </c>
      <c r="G1514">
        <v>1</v>
      </c>
      <c r="H1514">
        <v>1</v>
      </c>
      <c r="I1514">
        <v>200</v>
      </c>
      <c r="J1514" s="3">
        <v>45870</v>
      </c>
      <c r="K1514" s="6">
        <v>0</v>
      </c>
    </row>
    <row r="1515" spans="1:11">
      <c r="A1515" t="str">
        <f t="shared" si="23"/>
        <v>SG.05 30 X 500 gr (M2U)458090</v>
      </c>
      <c r="B1515" t="s">
        <v>11334</v>
      </c>
      <c r="C1515" t="s">
        <v>13418</v>
      </c>
      <c r="D1515" t="s">
        <v>15897</v>
      </c>
      <c r="E1515" t="s">
        <v>1891</v>
      </c>
      <c r="F1515">
        <v>30</v>
      </c>
      <c r="G1515">
        <v>1</v>
      </c>
      <c r="H1515">
        <v>1</v>
      </c>
      <c r="I1515">
        <v>30</v>
      </c>
      <c r="J1515" s="3">
        <v>45809</v>
      </c>
      <c r="K1515" s="6">
        <v>0</v>
      </c>
    </row>
    <row r="1516" spans="1:11">
      <c r="A1516" t="str">
        <f t="shared" si="23"/>
        <v>SG.05 30 X 500 gr (M2U)458390</v>
      </c>
      <c r="B1516" t="s">
        <v>11335</v>
      </c>
      <c r="C1516" t="s">
        <v>13419</v>
      </c>
      <c r="D1516" t="s">
        <v>15898</v>
      </c>
      <c r="E1516" t="s">
        <v>1891</v>
      </c>
      <c r="F1516">
        <v>30</v>
      </c>
      <c r="G1516">
        <v>1</v>
      </c>
      <c r="H1516">
        <v>1</v>
      </c>
      <c r="I1516">
        <v>30</v>
      </c>
      <c r="J1516" s="3">
        <v>45839</v>
      </c>
      <c r="K1516" s="6">
        <v>0</v>
      </c>
    </row>
    <row r="1517" spans="1:11">
      <c r="A1517" t="str">
        <f t="shared" si="23"/>
        <v>Shallot 600 SL 10 X 460 ml (Sample)1/1/10000</v>
      </c>
      <c r="B1517" t="s">
        <v>11336</v>
      </c>
      <c r="C1517" t="s">
        <v>13420</v>
      </c>
      <c r="D1517" t="s">
        <v>15899</v>
      </c>
      <c r="E1517" t="s">
        <v>1892</v>
      </c>
      <c r="F1517">
        <v>10</v>
      </c>
      <c r="G1517">
        <v>1</v>
      </c>
      <c r="H1517">
        <v>1</v>
      </c>
      <c r="I1517">
        <v>10</v>
      </c>
      <c r="J1517" s="3" t="s">
        <v>2222</v>
      </c>
      <c r="K1517" s="6">
        <v>0</v>
      </c>
    </row>
    <row r="1518" spans="1:11">
      <c r="A1518" t="str">
        <f t="shared" si="23"/>
        <v>Sign Board Associate1/1/10000</v>
      </c>
      <c r="B1518" t="s">
        <v>11337</v>
      </c>
      <c r="C1518" t="s">
        <v>13421</v>
      </c>
      <c r="D1518" t="s">
        <v>15900</v>
      </c>
      <c r="E1518" t="s">
        <v>1893</v>
      </c>
      <c r="F1518">
        <v>1</v>
      </c>
      <c r="G1518">
        <v>1</v>
      </c>
      <c r="H1518">
        <v>1</v>
      </c>
      <c r="I1518">
        <v>1</v>
      </c>
      <c r="J1518" s="3" t="s">
        <v>2222</v>
      </c>
      <c r="K1518" s="6">
        <v>0</v>
      </c>
    </row>
    <row r="1519" spans="1:11">
      <c r="A1519" t="str">
        <f t="shared" si="23"/>
        <v>Siklon 5.7 WG 4 X 40 X 25 gr470880</v>
      </c>
      <c r="B1519" t="s">
        <v>11338</v>
      </c>
      <c r="C1519" t="s">
        <v>13422</v>
      </c>
      <c r="D1519" t="s">
        <v>15901</v>
      </c>
      <c r="E1519" t="s">
        <v>1894</v>
      </c>
      <c r="F1519">
        <v>4</v>
      </c>
      <c r="G1519">
        <v>40</v>
      </c>
      <c r="H1519">
        <v>1</v>
      </c>
      <c r="I1519">
        <v>160</v>
      </c>
      <c r="J1519" s="3">
        <v>47088</v>
      </c>
      <c r="K1519" s="6">
        <v>0</v>
      </c>
    </row>
    <row r="1520" spans="1:11">
      <c r="A1520" t="str">
        <f t="shared" si="23"/>
        <v>Simodis 100 DC 50 X 100 ml464470</v>
      </c>
      <c r="B1520" t="s">
        <v>11339</v>
      </c>
      <c r="C1520" t="s">
        <v>13423</v>
      </c>
      <c r="D1520" t="s">
        <v>15902</v>
      </c>
      <c r="E1520" t="s">
        <v>1895</v>
      </c>
      <c r="F1520">
        <v>50</v>
      </c>
      <c r="G1520">
        <v>1</v>
      </c>
      <c r="H1520">
        <v>1</v>
      </c>
      <c r="I1520">
        <v>50</v>
      </c>
      <c r="J1520" s="3">
        <v>46447</v>
      </c>
      <c r="K1520" s="6">
        <v>0</v>
      </c>
    </row>
    <row r="1521" spans="1:11">
      <c r="A1521" t="str">
        <f t="shared" si="23"/>
        <v>Simodis 100 DC 50 X 100 ml464780</v>
      </c>
      <c r="B1521" t="s">
        <v>11340</v>
      </c>
      <c r="C1521" t="s">
        <v>13424</v>
      </c>
      <c r="D1521" t="s">
        <v>15903</v>
      </c>
      <c r="E1521" t="s">
        <v>1895</v>
      </c>
      <c r="F1521">
        <v>50</v>
      </c>
      <c r="G1521">
        <v>1</v>
      </c>
      <c r="H1521">
        <v>1</v>
      </c>
      <c r="I1521">
        <v>50</v>
      </c>
      <c r="J1521" s="3">
        <v>46478</v>
      </c>
      <c r="K1521" s="6">
        <v>0</v>
      </c>
    </row>
    <row r="1522" spans="1:11">
      <c r="A1522" t="str">
        <f t="shared" si="23"/>
        <v>Sinagrowth 20 TB 100 X 10 X 5 gr462040</v>
      </c>
      <c r="B1522" t="s">
        <v>11341</v>
      </c>
      <c r="C1522" t="s">
        <v>13425</v>
      </c>
      <c r="D1522" t="s">
        <v>15904</v>
      </c>
      <c r="E1522" t="s">
        <v>1900</v>
      </c>
      <c r="F1522">
        <v>10</v>
      </c>
      <c r="G1522">
        <v>100</v>
      </c>
      <c r="H1522">
        <v>1</v>
      </c>
      <c r="I1522">
        <v>1000</v>
      </c>
      <c r="J1522" s="3">
        <v>46204</v>
      </c>
      <c r="K1522" s="6">
        <v>0</v>
      </c>
    </row>
    <row r="1523" spans="1:11">
      <c r="A1523" t="str">
        <f t="shared" si="23"/>
        <v>Sinasen 300 SC 40 X 250 ml469050</v>
      </c>
      <c r="B1523" t="s">
        <v>11342</v>
      </c>
      <c r="C1523" t="s">
        <v>13426</v>
      </c>
      <c r="D1523" t="s">
        <v>15905</v>
      </c>
      <c r="E1523" t="s">
        <v>1901</v>
      </c>
      <c r="F1523">
        <v>40</v>
      </c>
      <c r="G1523">
        <v>1</v>
      </c>
      <c r="H1523">
        <v>1</v>
      </c>
      <c r="I1523">
        <v>40</v>
      </c>
      <c r="J1523" s="3">
        <v>46905</v>
      </c>
      <c r="K1523" s="6">
        <v>0</v>
      </c>
    </row>
    <row r="1524" spans="1:11">
      <c r="A1524" t="str">
        <f t="shared" si="23"/>
        <v>Sinasen 300 SC 40 X 250 ml469350</v>
      </c>
      <c r="B1524" t="s">
        <v>11343</v>
      </c>
      <c r="C1524" t="s">
        <v>13427</v>
      </c>
      <c r="D1524" t="s">
        <v>15906</v>
      </c>
      <c r="E1524" t="s">
        <v>1901</v>
      </c>
      <c r="F1524">
        <v>40</v>
      </c>
      <c r="G1524">
        <v>1</v>
      </c>
      <c r="H1524">
        <v>1</v>
      </c>
      <c r="I1524">
        <v>40</v>
      </c>
      <c r="J1524" s="3">
        <v>46935</v>
      </c>
      <c r="K1524" s="6">
        <v>0</v>
      </c>
    </row>
    <row r="1525" spans="1:11">
      <c r="A1525" t="str">
        <f t="shared" si="23"/>
        <v>Sinasen 300 SC 40 X 250 ml (Sample)469050</v>
      </c>
      <c r="B1525" t="s">
        <v>11344</v>
      </c>
      <c r="C1525" t="s">
        <v>13428</v>
      </c>
      <c r="D1525" t="s">
        <v>15907</v>
      </c>
      <c r="E1525" t="s">
        <v>1902</v>
      </c>
      <c r="F1525">
        <v>40</v>
      </c>
      <c r="G1525">
        <v>1</v>
      </c>
      <c r="H1525">
        <v>1</v>
      </c>
      <c r="I1525">
        <v>40</v>
      </c>
      <c r="J1525" s="3">
        <v>46905</v>
      </c>
      <c r="K1525" s="6">
        <v>0</v>
      </c>
    </row>
    <row r="1526" spans="1:11">
      <c r="A1526" t="str">
        <f t="shared" si="23"/>
        <v>Sinergy 300 EC 40 X 250 ml469350</v>
      </c>
      <c r="B1526" t="s">
        <v>11345</v>
      </c>
      <c r="C1526" t="s">
        <v>13429</v>
      </c>
      <c r="D1526" t="s">
        <v>15908</v>
      </c>
      <c r="E1526" t="s">
        <v>1903</v>
      </c>
      <c r="F1526">
        <v>40</v>
      </c>
      <c r="G1526">
        <v>1</v>
      </c>
      <c r="H1526">
        <v>1</v>
      </c>
      <c r="I1526">
        <v>40</v>
      </c>
      <c r="J1526" s="3">
        <v>46935</v>
      </c>
      <c r="K1526" s="6">
        <v>0</v>
      </c>
    </row>
    <row r="1527" spans="1:11">
      <c r="A1527" t="str">
        <f t="shared" si="23"/>
        <v>Sinergy 300 EC 40 X 250 ml467840</v>
      </c>
      <c r="B1527" t="s">
        <v>11346</v>
      </c>
      <c r="C1527" t="s">
        <v>13430</v>
      </c>
      <c r="D1527" t="s">
        <v>15909</v>
      </c>
      <c r="E1527" t="s">
        <v>1903</v>
      </c>
      <c r="F1527">
        <v>40</v>
      </c>
      <c r="G1527">
        <v>1</v>
      </c>
      <c r="H1527">
        <v>1</v>
      </c>
      <c r="I1527">
        <v>40</v>
      </c>
      <c r="J1527" s="3">
        <v>46784</v>
      </c>
      <c r="K1527" s="6">
        <v>0</v>
      </c>
    </row>
    <row r="1528" spans="1:11">
      <c r="A1528" t="str">
        <f t="shared" si="23"/>
        <v>Sinergy 300 EC 40 X 250 ml469660</v>
      </c>
      <c r="B1528" t="s">
        <v>11347</v>
      </c>
      <c r="C1528" t="s">
        <v>13431</v>
      </c>
      <c r="D1528" t="s">
        <v>15910</v>
      </c>
      <c r="E1528" t="s">
        <v>1903</v>
      </c>
      <c r="F1528">
        <v>40</v>
      </c>
      <c r="G1528">
        <v>1</v>
      </c>
      <c r="H1528">
        <v>1</v>
      </c>
      <c r="I1528">
        <v>40</v>
      </c>
      <c r="J1528" s="3">
        <v>46966</v>
      </c>
      <c r="K1528" s="6">
        <v>0</v>
      </c>
    </row>
    <row r="1529" spans="1:11">
      <c r="A1529" t="str">
        <f t="shared" si="23"/>
        <v>Sinergy 300 EC 40 X 250 ml470270</v>
      </c>
      <c r="B1529" t="s">
        <v>11348</v>
      </c>
      <c r="C1529" t="s">
        <v>13432</v>
      </c>
      <c r="D1529" t="s">
        <v>15911</v>
      </c>
      <c r="E1529" t="s">
        <v>1903</v>
      </c>
      <c r="F1529">
        <v>40</v>
      </c>
      <c r="G1529">
        <v>1</v>
      </c>
      <c r="H1529">
        <v>1</v>
      </c>
      <c r="I1529">
        <v>40</v>
      </c>
      <c r="J1529" s="3">
        <v>47027</v>
      </c>
      <c r="K1529" s="6">
        <v>0</v>
      </c>
    </row>
    <row r="1530" spans="1:11">
      <c r="A1530" t="str">
        <f t="shared" si="23"/>
        <v>Sinergy 300 EC 40 X 250 ml472390</v>
      </c>
      <c r="B1530" t="s">
        <v>11349</v>
      </c>
      <c r="C1530" t="s">
        <v>13433</v>
      </c>
      <c r="D1530" t="s">
        <v>15912</v>
      </c>
      <c r="E1530" t="s">
        <v>1903</v>
      </c>
      <c r="F1530">
        <v>40</v>
      </c>
      <c r="G1530">
        <v>1</v>
      </c>
      <c r="H1530">
        <v>1</v>
      </c>
      <c r="I1530">
        <v>40</v>
      </c>
      <c r="J1530" s="3">
        <v>47239</v>
      </c>
      <c r="K1530" s="6">
        <v>0</v>
      </c>
    </row>
    <row r="1531" spans="1:11">
      <c r="A1531" t="str">
        <f t="shared" si="23"/>
        <v>Sinergy 300 EC 40 X 250 ml472700</v>
      </c>
      <c r="B1531" t="s">
        <v>11350</v>
      </c>
      <c r="C1531" t="s">
        <v>13434</v>
      </c>
      <c r="D1531" t="s">
        <v>15913</v>
      </c>
      <c r="E1531" t="s">
        <v>1903</v>
      </c>
      <c r="F1531">
        <v>40</v>
      </c>
      <c r="G1531">
        <v>1</v>
      </c>
      <c r="H1531">
        <v>1</v>
      </c>
      <c r="I1531">
        <v>40</v>
      </c>
      <c r="J1531" s="3">
        <v>47270</v>
      </c>
      <c r="K1531" s="6">
        <v>0</v>
      </c>
    </row>
    <row r="1532" spans="1:11">
      <c r="A1532" t="str">
        <f t="shared" si="23"/>
        <v>Sinergy 300 EC 40 X 250 ml471780</v>
      </c>
      <c r="B1532" t="s">
        <v>11351</v>
      </c>
      <c r="C1532" t="s">
        <v>13435</v>
      </c>
      <c r="D1532" t="s">
        <v>15914</v>
      </c>
      <c r="E1532" t="s">
        <v>1903</v>
      </c>
      <c r="F1532">
        <v>40</v>
      </c>
      <c r="G1532">
        <v>1</v>
      </c>
      <c r="H1532">
        <v>1</v>
      </c>
      <c r="I1532">
        <v>40</v>
      </c>
      <c r="J1532" s="3">
        <v>47178</v>
      </c>
      <c r="K1532" s="6">
        <v>0</v>
      </c>
    </row>
    <row r="1533" spans="1:11">
      <c r="A1533" t="str">
        <f t="shared" si="23"/>
        <v>Sinergy 300 EC 50 X 80 ml468740</v>
      </c>
      <c r="B1533" t="s">
        <v>11352</v>
      </c>
      <c r="C1533" t="s">
        <v>13436</v>
      </c>
      <c r="D1533" t="s">
        <v>15915</v>
      </c>
      <c r="E1533" t="s">
        <v>1904</v>
      </c>
      <c r="F1533">
        <v>50</v>
      </c>
      <c r="G1533">
        <v>1</v>
      </c>
      <c r="H1533">
        <v>1</v>
      </c>
      <c r="I1533">
        <v>50</v>
      </c>
      <c r="J1533" s="3">
        <v>46874</v>
      </c>
      <c r="K1533" s="6">
        <v>0</v>
      </c>
    </row>
    <row r="1534" spans="1:11">
      <c r="A1534" t="str">
        <f t="shared" si="23"/>
        <v>Sinergy 300 EC 50 X 80 ml472390</v>
      </c>
      <c r="B1534" t="s">
        <v>11353</v>
      </c>
      <c r="C1534" t="s">
        <v>13437</v>
      </c>
      <c r="D1534" t="s">
        <v>15916</v>
      </c>
      <c r="E1534" t="s">
        <v>1904</v>
      </c>
      <c r="F1534">
        <v>50</v>
      </c>
      <c r="G1534">
        <v>1</v>
      </c>
      <c r="H1534">
        <v>1</v>
      </c>
      <c r="I1534">
        <v>50</v>
      </c>
      <c r="J1534" s="3">
        <v>47239</v>
      </c>
      <c r="K1534" s="6">
        <v>0</v>
      </c>
    </row>
    <row r="1535" spans="1:11">
      <c r="A1535" t="str">
        <f t="shared" si="23"/>
        <v>Sinergy 300 EC 50 X 80 ml472700</v>
      </c>
      <c r="B1535" t="s">
        <v>11354</v>
      </c>
      <c r="C1535" t="s">
        <v>13438</v>
      </c>
      <c r="D1535" t="s">
        <v>15917</v>
      </c>
      <c r="E1535" t="s">
        <v>1904</v>
      </c>
      <c r="F1535">
        <v>50</v>
      </c>
      <c r="G1535">
        <v>1</v>
      </c>
      <c r="H1535">
        <v>1</v>
      </c>
      <c r="I1535">
        <v>50</v>
      </c>
      <c r="J1535" s="3">
        <v>47270</v>
      </c>
      <c r="K1535" s="6">
        <v>0</v>
      </c>
    </row>
    <row r="1536" spans="1:11">
      <c r="A1536" t="str">
        <f t="shared" si="23"/>
        <v>Sivanto Prime 200 SL 100 X 100 ml460540</v>
      </c>
      <c r="B1536" t="s">
        <v>11355</v>
      </c>
      <c r="C1536" t="s">
        <v>13439</v>
      </c>
      <c r="D1536" t="s">
        <v>15918</v>
      </c>
      <c r="E1536" t="s">
        <v>1905</v>
      </c>
      <c r="F1536">
        <v>100</v>
      </c>
      <c r="G1536">
        <v>1</v>
      </c>
      <c r="H1536">
        <v>1</v>
      </c>
      <c r="I1536">
        <v>100</v>
      </c>
      <c r="J1536" s="3">
        <v>46054</v>
      </c>
      <c r="K1536" s="6">
        <v>0</v>
      </c>
    </row>
    <row r="1537" spans="1:11">
      <c r="A1537" t="str">
        <f t="shared" si="23"/>
        <v>Skies 20 ltr461740</v>
      </c>
      <c r="B1537" t="s">
        <v>11356</v>
      </c>
      <c r="C1537" t="s">
        <v>13440</v>
      </c>
      <c r="D1537" t="s">
        <v>15919</v>
      </c>
      <c r="E1537" t="s">
        <v>1907</v>
      </c>
      <c r="F1537">
        <v>1</v>
      </c>
      <c r="G1537">
        <v>1</v>
      </c>
      <c r="H1537">
        <v>1</v>
      </c>
      <c r="I1537">
        <v>1</v>
      </c>
      <c r="J1537" s="3">
        <v>46174</v>
      </c>
      <c r="K1537" s="6">
        <v>0</v>
      </c>
    </row>
    <row r="1538" spans="1:11">
      <c r="A1538" t="str">
        <f t="shared" si="23"/>
        <v>Skies 4 X 5 ltr457480</v>
      </c>
      <c r="B1538" t="s">
        <v>11357</v>
      </c>
      <c r="C1538" t="s">
        <v>13441</v>
      </c>
      <c r="D1538" t="s">
        <v>15920</v>
      </c>
      <c r="E1538" t="s">
        <v>1908</v>
      </c>
      <c r="F1538">
        <v>4</v>
      </c>
      <c r="G1538">
        <v>1</v>
      </c>
      <c r="H1538">
        <v>1</v>
      </c>
      <c r="I1538">
        <v>4</v>
      </c>
      <c r="J1538" s="3">
        <v>45748</v>
      </c>
      <c r="K1538" s="6">
        <v>0</v>
      </c>
    </row>
    <row r="1539" spans="1:11">
      <c r="A1539" t="str">
        <f t="shared" ref="A1539:A1602" si="24">E1539&amp;J1539&amp;K1539</f>
        <v>Snowden 30 EC 100 ml (sampel)1/1/10000</v>
      </c>
      <c r="B1539" t="s">
        <v>11358</v>
      </c>
      <c r="C1539" t="s">
        <v>13442</v>
      </c>
      <c r="D1539" t="s">
        <v>15921</v>
      </c>
      <c r="E1539" t="s">
        <v>1914</v>
      </c>
      <c r="F1539">
        <v>1</v>
      </c>
      <c r="G1539">
        <v>1</v>
      </c>
      <c r="H1539">
        <v>1</v>
      </c>
      <c r="I1539">
        <v>1</v>
      </c>
      <c r="J1539" s="3" t="s">
        <v>2222</v>
      </c>
      <c r="K1539" s="6">
        <v>0</v>
      </c>
    </row>
    <row r="1540" spans="1:11">
      <c r="A1540" t="str">
        <f t="shared" si="24"/>
        <v>Sofia 200/70/30 OD 16 X 500 ml466310</v>
      </c>
      <c r="B1540" t="s">
        <v>11359</v>
      </c>
      <c r="C1540" t="s">
        <v>13443</v>
      </c>
      <c r="D1540" t="s">
        <v>15922</v>
      </c>
      <c r="E1540" t="s">
        <v>1915</v>
      </c>
      <c r="F1540">
        <v>16</v>
      </c>
      <c r="G1540">
        <v>1</v>
      </c>
      <c r="H1540">
        <v>1</v>
      </c>
      <c r="I1540">
        <v>16</v>
      </c>
      <c r="J1540" s="3">
        <v>46631</v>
      </c>
      <c r="K1540" s="6">
        <v>0</v>
      </c>
    </row>
    <row r="1541" spans="1:11">
      <c r="A1541" t="str">
        <f t="shared" si="24"/>
        <v>Sofia 200/70/30 OD 32 X 250 ml464470</v>
      </c>
      <c r="B1541" t="s">
        <v>11360</v>
      </c>
      <c r="C1541" t="s">
        <v>13444</v>
      </c>
      <c r="D1541" t="s">
        <v>15923</v>
      </c>
      <c r="E1541" t="s">
        <v>1916</v>
      </c>
      <c r="F1541">
        <v>32</v>
      </c>
      <c r="G1541">
        <v>1</v>
      </c>
      <c r="H1541">
        <v>1</v>
      </c>
      <c r="I1541">
        <v>32</v>
      </c>
      <c r="J1541" s="3">
        <v>46447</v>
      </c>
      <c r="K1541" s="6">
        <v>0</v>
      </c>
    </row>
    <row r="1542" spans="1:11">
      <c r="A1542" t="str">
        <f t="shared" si="24"/>
        <v>Sofia 200/70/30 OD 32 X 250 ml466000</v>
      </c>
      <c r="B1542" t="s">
        <v>11361</v>
      </c>
      <c r="C1542" t="s">
        <v>13445</v>
      </c>
      <c r="D1542" t="s">
        <v>15924</v>
      </c>
      <c r="E1542" t="s">
        <v>1916</v>
      </c>
      <c r="F1542">
        <v>32</v>
      </c>
      <c r="G1542">
        <v>1</v>
      </c>
      <c r="H1542">
        <v>1</v>
      </c>
      <c r="I1542">
        <v>32</v>
      </c>
      <c r="J1542" s="3">
        <v>46600</v>
      </c>
      <c r="K1542" s="6">
        <v>0</v>
      </c>
    </row>
    <row r="1543" spans="1:11">
      <c r="A1543" t="str">
        <f t="shared" si="24"/>
        <v>Sofia 200/70/30 OD 8 X 1 ltr466310</v>
      </c>
      <c r="B1543" t="s">
        <v>11362</v>
      </c>
      <c r="C1543" t="s">
        <v>13446</v>
      </c>
      <c r="D1543" t="s">
        <v>15925</v>
      </c>
      <c r="E1543" t="s">
        <v>1917</v>
      </c>
      <c r="F1543">
        <v>8</v>
      </c>
      <c r="G1543">
        <v>1</v>
      </c>
      <c r="H1543">
        <v>1</v>
      </c>
      <c r="I1543">
        <v>8</v>
      </c>
      <c r="J1543" s="3">
        <v>46631</v>
      </c>
      <c r="K1543" s="6">
        <v>0</v>
      </c>
    </row>
    <row r="1544" spans="1:11">
      <c r="A1544" t="str">
        <f t="shared" si="24"/>
        <v>Sofia 200/70/30 OD 8 X 1 ltr466920</v>
      </c>
      <c r="B1544" t="s">
        <v>11363</v>
      </c>
      <c r="C1544" t="s">
        <v>13447</v>
      </c>
      <c r="D1544" t="s">
        <v>15926</v>
      </c>
      <c r="E1544" t="s">
        <v>1917</v>
      </c>
      <c r="F1544">
        <v>8</v>
      </c>
      <c r="G1544">
        <v>1</v>
      </c>
      <c r="H1544">
        <v>1</v>
      </c>
      <c r="I1544">
        <v>8</v>
      </c>
      <c r="J1544" s="3">
        <v>46692</v>
      </c>
      <c r="K1544" s="6">
        <v>0</v>
      </c>
    </row>
    <row r="1545" spans="1:11">
      <c r="A1545" t="str">
        <f t="shared" si="24"/>
        <v>Sofia 200/70/30 OD 8 X 1 ltr467220</v>
      </c>
      <c r="B1545" t="s">
        <v>11364</v>
      </c>
      <c r="C1545" t="s">
        <v>13448</v>
      </c>
      <c r="D1545" t="s">
        <v>15927</v>
      </c>
      <c r="E1545" t="s">
        <v>1917</v>
      </c>
      <c r="F1545">
        <v>8</v>
      </c>
      <c r="G1545">
        <v>1</v>
      </c>
      <c r="H1545">
        <v>1</v>
      </c>
      <c r="I1545">
        <v>8</v>
      </c>
      <c r="J1545" s="3">
        <v>46722</v>
      </c>
      <c r="K1545" s="6">
        <v>0</v>
      </c>
    </row>
    <row r="1546" spans="1:11">
      <c r="A1546" t="str">
        <f t="shared" si="24"/>
        <v>Sorexin 100 SC 250 ml (Sample)1/1/10000</v>
      </c>
      <c r="B1546" t="s">
        <v>11365</v>
      </c>
      <c r="C1546" t="s">
        <v>13449</v>
      </c>
      <c r="D1546" t="s">
        <v>15928</v>
      </c>
      <c r="E1546" t="s">
        <v>1918</v>
      </c>
      <c r="F1546">
        <v>1</v>
      </c>
      <c r="G1546">
        <v>1</v>
      </c>
      <c r="H1546">
        <v>1</v>
      </c>
      <c r="I1546">
        <v>1</v>
      </c>
      <c r="J1546" s="3" t="s">
        <v>2222</v>
      </c>
      <c r="K1546" s="6">
        <v>0</v>
      </c>
    </row>
    <row r="1547" spans="1:11">
      <c r="A1547" t="str">
        <f t="shared" si="24"/>
        <v>Sortie 36/6 WP 30 X 400 gr (M2U)460230</v>
      </c>
      <c r="B1547" t="s">
        <v>11366</v>
      </c>
      <c r="C1547" t="s">
        <v>13450</v>
      </c>
      <c r="D1547" t="s">
        <v>15929</v>
      </c>
      <c r="E1547" t="s">
        <v>1919</v>
      </c>
      <c r="F1547">
        <v>30</v>
      </c>
      <c r="G1547">
        <v>1</v>
      </c>
      <c r="H1547">
        <v>1</v>
      </c>
      <c r="I1547">
        <v>30</v>
      </c>
      <c r="J1547" s="3">
        <v>46023</v>
      </c>
      <c r="K1547" s="6">
        <v>0</v>
      </c>
    </row>
    <row r="1548" spans="1:11">
      <c r="A1548" t="str">
        <f t="shared" si="24"/>
        <v>Spanduk Bionta1/1/10000</v>
      </c>
      <c r="B1548" t="s">
        <v>11367</v>
      </c>
      <c r="C1548" t="s">
        <v>13451</v>
      </c>
      <c r="D1548" t="s">
        <v>15930</v>
      </c>
      <c r="E1548" t="s">
        <v>1920</v>
      </c>
      <c r="F1548">
        <v>1</v>
      </c>
      <c r="G1548">
        <v>1</v>
      </c>
      <c r="H1548">
        <v>1</v>
      </c>
      <c r="I1548">
        <v>1</v>
      </c>
      <c r="J1548" s="3" t="s">
        <v>2222</v>
      </c>
      <c r="K1548" s="6">
        <v>0</v>
      </c>
    </row>
    <row r="1549" spans="1:11">
      <c r="A1549" t="str">
        <f t="shared" si="24"/>
        <v>Spanduk Mulsa Karisma1/1/10000</v>
      </c>
      <c r="B1549" t="s">
        <v>11368</v>
      </c>
      <c r="C1549" t="s">
        <v>13452</v>
      </c>
      <c r="D1549" t="s">
        <v>15931</v>
      </c>
      <c r="E1549" t="s">
        <v>1921</v>
      </c>
      <c r="F1549">
        <v>1</v>
      </c>
      <c r="G1549">
        <v>1</v>
      </c>
      <c r="H1549">
        <v>1</v>
      </c>
      <c r="I1549">
        <v>1</v>
      </c>
      <c r="J1549" s="3" t="s">
        <v>2222</v>
      </c>
      <c r="K1549" s="6">
        <v>0</v>
      </c>
    </row>
    <row r="1550" spans="1:11">
      <c r="A1550" t="str">
        <f t="shared" si="24"/>
        <v>Spie Pen1/1/10000</v>
      </c>
      <c r="B1550" t="s">
        <v>11369</v>
      </c>
      <c r="C1550" t="s">
        <v>13453</v>
      </c>
      <c r="D1550" t="s">
        <v>15932</v>
      </c>
      <c r="E1550" t="s">
        <v>1922</v>
      </c>
      <c r="F1550">
        <v>1</v>
      </c>
      <c r="G1550">
        <v>1</v>
      </c>
      <c r="H1550">
        <v>1</v>
      </c>
      <c r="I1550">
        <v>1</v>
      </c>
      <c r="J1550" s="3" t="s">
        <v>2222</v>
      </c>
      <c r="K1550" s="6">
        <v>0</v>
      </c>
    </row>
    <row r="1551" spans="1:11">
      <c r="A1551" t="str">
        <f t="shared" si="24"/>
        <v>Spindle Screw Cap Pc1/1/10000</v>
      </c>
      <c r="B1551" t="s">
        <v>11370</v>
      </c>
      <c r="C1551" t="s">
        <v>13454</v>
      </c>
      <c r="D1551" t="s">
        <v>15933</v>
      </c>
      <c r="E1551" t="s">
        <v>1923</v>
      </c>
      <c r="F1551">
        <v>1</v>
      </c>
      <c r="G1551">
        <v>1</v>
      </c>
      <c r="H1551">
        <v>1</v>
      </c>
      <c r="I1551">
        <v>1</v>
      </c>
      <c r="J1551" s="3" t="s">
        <v>2222</v>
      </c>
      <c r="K1551" s="6">
        <v>0</v>
      </c>
    </row>
    <row r="1552" spans="1:11">
      <c r="A1552" t="str">
        <f t="shared" si="24"/>
        <v>Spontan 400 SL 12 X 1 ltr466920</v>
      </c>
      <c r="B1552" t="s">
        <v>11371</v>
      </c>
      <c r="C1552" t="s">
        <v>13455</v>
      </c>
      <c r="D1552" t="s">
        <v>15934</v>
      </c>
      <c r="E1552" t="s">
        <v>1924</v>
      </c>
      <c r="F1552">
        <v>12</v>
      </c>
      <c r="G1552">
        <v>1</v>
      </c>
      <c r="H1552">
        <v>1</v>
      </c>
      <c r="I1552">
        <v>12</v>
      </c>
      <c r="J1552" s="3">
        <v>46692</v>
      </c>
      <c r="K1552" s="6">
        <v>0</v>
      </c>
    </row>
    <row r="1553" spans="1:11">
      <c r="A1553" t="str">
        <f t="shared" si="24"/>
        <v>Spontan 400 SL 12 X 1 ltr468440</v>
      </c>
      <c r="B1553" t="s">
        <v>11372</v>
      </c>
      <c r="C1553" t="s">
        <v>13456</v>
      </c>
      <c r="D1553" t="s">
        <v>15935</v>
      </c>
      <c r="E1553" t="s">
        <v>1924</v>
      </c>
      <c r="F1553">
        <v>12</v>
      </c>
      <c r="G1553">
        <v>1</v>
      </c>
      <c r="H1553">
        <v>1</v>
      </c>
      <c r="I1553">
        <v>12</v>
      </c>
      <c r="J1553" s="3">
        <v>46844</v>
      </c>
      <c r="K1553" s="6">
        <v>0</v>
      </c>
    </row>
    <row r="1554" spans="1:11">
      <c r="A1554" t="str">
        <f t="shared" si="24"/>
        <v>Spontan 400 SL 12 X 1 ltr468740</v>
      </c>
      <c r="B1554" t="s">
        <v>11373</v>
      </c>
      <c r="C1554" t="s">
        <v>13457</v>
      </c>
      <c r="D1554" t="s">
        <v>15936</v>
      </c>
      <c r="E1554" t="s">
        <v>1924</v>
      </c>
      <c r="F1554">
        <v>12</v>
      </c>
      <c r="G1554">
        <v>1</v>
      </c>
      <c r="H1554">
        <v>1</v>
      </c>
      <c r="I1554">
        <v>12</v>
      </c>
      <c r="J1554" s="3">
        <v>46874</v>
      </c>
      <c r="K1554" s="6">
        <v>0</v>
      </c>
    </row>
    <row r="1555" spans="1:11">
      <c r="A1555" t="str">
        <f t="shared" si="24"/>
        <v>Spontan 400 SL 20 X 200 ml468440</v>
      </c>
      <c r="B1555" t="s">
        <v>11374</v>
      </c>
      <c r="C1555" t="s">
        <v>13458</v>
      </c>
      <c r="D1555" t="s">
        <v>15937</v>
      </c>
      <c r="E1555" t="s">
        <v>1934</v>
      </c>
      <c r="F1555">
        <v>20</v>
      </c>
      <c r="G1555">
        <v>1</v>
      </c>
      <c r="H1555">
        <v>1</v>
      </c>
      <c r="I1555">
        <v>20</v>
      </c>
      <c r="J1555" s="3">
        <v>46844</v>
      </c>
      <c r="K1555" s="6">
        <v>0</v>
      </c>
    </row>
    <row r="1556" spans="1:11">
      <c r="A1556" t="str">
        <f t="shared" si="24"/>
        <v>Spontan 400 SL 20 X 200 ml468740</v>
      </c>
      <c r="B1556" t="s">
        <v>11375</v>
      </c>
      <c r="C1556" t="s">
        <v>13459</v>
      </c>
      <c r="D1556" t="s">
        <v>15938</v>
      </c>
      <c r="E1556" t="s">
        <v>1934</v>
      </c>
      <c r="F1556">
        <v>20</v>
      </c>
      <c r="G1556">
        <v>1</v>
      </c>
      <c r="H1556">
        <v>1</v>
      </c>
      <c r="I1556">
        <v>20</v>
      </c>
      <c r="J1556" s="3">
        <v>46874</v>
      </c>
      <c r="K1556" s="6">
        <v>0</v>
      </c>
    </row>
    <row r="1557" spans="1:11">
      <c r="A1557" t="str">
        <f t="shared" si="24"/>
        <v>Spontan 400 SL 20 X 500 ml468740</v>
      </c>
      <c r="B1557" t="s">
        <v>11376</v>
      </c>
      <c r="C1557" t="s">
        <v>13460</v>
      </c>
      <c r="D1557" t="s">
        <v>15939</v>
      </c>
      <c r="E1557" t="s">
        <v>1940</v>
      </c>
      <c r="F1557">
        <v>20</v>
      </c>
      <c r="G1557">
        <v>1</v>
      </c>
      <c r="H1557">
        <v>1</v>
      </c>
      <c r="I1557">
        <v>20</v>
      </c>
      <c r="J1557" s="3">
        <v>46874</v>
      </c>
      <c r="K1557" s="6">
        <v>0</v>
      </c>
    </row>
    <row r="1558" spans="1:11">
      <c r="A1558" t="str">
        <f t="shared" si="24"/>
        <v>Spontas 450 SL 10 X 1 ltr471500</v>
      </c>
      <c r="B1558" t="s">
        <v>11377</v>
      </c>
      <c r="C1558" t="s">
        <v>13461</v>
      </c>
      <c r="D1558" t="s">
        <v>15940</v>
      </c>
      <c r="E1558" t="s">
        <v>1945</v>
      </c>
      <c r="F1558">
        <v>10</v>
      </c>
      <c r="G1558">
        <v>1</v>
      </c>
      <c r="H1558">
        <v>1</v>
      </c>
      <c r="I1558">
        <v>10</v>
      </c>
      <c r="J1558" s="3">
        <v>47150</v>
      </c>
      <c r="K1558" s="6">
        <v>0</v>
      </c>
    </row>
    <row r="1559" spans="1:11">
      <c r="A1559" t="str">
        <f t="shared" si="24"/>
        <v>Spontas 450 SL 20 X 500 ml467530</v>
      </c>
      <c r="B1559" t="s">
        <v>11378</v>
      </c>
      <c r="C1559" t="s">
        <v>13462</v>
      </c>
      <c r="D1559" t="s">
        <v>15941</v>
      </c>
      <c r="E1559" t="s">
        <v>1946</v>
      </c>
      <c r="F1559">
        <v>20</v>
      </c>
      <c r="G1559">
        <v>1</v>
      </c>
      <c r="H1559">
        <v>1</v>
      </c>
      <c r="I1559">
        <v>20</v>
      </c>
      <c r="J1559" s="3">
        <v>46753</v>
      </c>
      <c r="K1559" s="6">
        <v>0</v>
      </c>
    </row>
    <row r="1560" spans="1:11">
      <c r="A1560" t="str">
        <f t="shared" si="24"/>
        <v>Spontas 450 SL 50 X 200 ml467220</v>
      </c>
      <c r="B1560" t="s">
        <v>11379</v>
      </c>
      <c r="C1560" t="s">
        <v>13463</v>
      </c>
      <c r="D1560" t="s">
        <v>15942</v>
      </c>
      <c r="E1560" t="s">
        <v>1947</v>
      </c>
      <c r="F1560">
        <v>50</v>
      </c>
      <c r="G1560">
        <v>1</v>
      </c>
      <c r="H1560">
        <v>1</v>
      </c>
      <c r="I1560">
        <v>50</v>
      </c>
      <c r="J1560" s="3">
        <v>46722</v>
      </c>
      <c r="K1560" s="6">
        <v>0</v>
      </c>
    </row>
    <row r="1561" spans="1:11">
      <c r="A1561" t="str">
        <f t="shared" si="24"/>
        <v>Sprayboost 30 X 15 X 25 ml457480</v>
      </c>
      <c r="B1561" t="s">
        <v>11380</v>
      </c>
      <c r="C1561" t="s">
        <v>13464</v>
      </c>
      <c r="D1561" t="s">
        <v>15943</v>
      </c>
      <c r="E1561" t="s">
        <v>1948</v>
      </c>
      <c r="F1561">
        <v>30</v>
      </c>
      <c r="G1561">
        <v>15</v>
      </c>
      <c r="H1561">
        <v>1</v>
      </c>
      <c r="I1561">
        <v>450</v>
      </c>
      <c r="J1561" s="3">
        <v>45748</v>
      </c>
      <c r="K1561" s="6">
        <v>0</v>
      </c>
    </row>
    <row r="1562" spans="1:11">
      <c r="A1562" t="str">
        <f t="shared" si="24"/>
        <v>Sprayboost 40 X 250 ml456890</v>
      </c>
      <c r="B1562" t="s">
        <v>11381</v>
      </c>
      <c r="C1562" t="s">
        <v>13465</v>
      </c>
      <c r="D1562" t="s">
        <v>15944</v>
      </c>
      <c r="E1562" t="s">
        <v>1949</v>
      </c>
      <c r="F1562">
        <v>40</v>
      </c>
      <c r="G1562">
        <v>1</v>
      </c>
      <c r="H1562">
        <v>1</v>
      </c>
      <c r="I1562">
        <v>40</v>
      </c>
      <c r="J1562" s="3">
        <v>45689</v>
      </c>
      <c r="K1562" s="6">
        <v>0</v>
      </c>
    </row>
    <row r="1563" spans="1:11">
      <c r="A1563" t="str">
        <f t="shared" si="24"/>
        <v>Sprayboost 50 X 100 ml456920</v>
      </c>
      <c r="B1563" t="s">
        <v>11382</v>
      </c>
      <c r="C1563" t="s">
        <v>13466</v>
      </c>
      <c r="D1563" t="s">
        <v>15945</v>
      </c>
      <c r="E1563" t="s">
        <v>1951</v>
      </c>
      <c r="F1563">
        <v>50</v>
      </c>
      <c r="G1563">
        <v>1</v>
      </c>
      <c r="H1563">
        <v>1</v>
      </c>
      <c r="I1563">
        <v>50</v>
      </c>
      <c r="J1563" s="3">
        <v>45692</v>
      </c>
      <c r="K1563" s="6">
        <v>0</v>
      </c>
    </row>
    <row r="1564" spans="1:11">
      <c r="A1564" t="str">
        <f t="shared" si="24"/>
        <v>Sprayboost 50 X 50 ml456920</v>
      </c>
      <c r="B1564" t="s">
        <v>11383</v>
      </c>
      <c r="C1564" t="s">
        <v>13467</v>
      </c>
      <c r="D1564" t="s">
        <v>15946</v>
      </c>
      <c r="E1564" t="s">
        <v>1952</v>
      </c>
      <c r="F1564">
        <v>50</v>
      </c>
      <c r="G1564">
        <v>1</v>
      </c>
      <c r="H1564">
        <v>1</v>
      </c>
      <c r="I1564">
        <v>50</v>
      </c>
      <c r="J1564" s="3">
        <v>45692</v>
      </c>
      <c r="K1564" s="6">
        <v>0</v>
      </c>
    </row>
    <row r="1565" spans="1:11">
      <c r="A1565" t="str">
        <f t="shared" si="24"/>
        <v>Sprayer 3 IN 1 KAN 16 Ltr1/1/10000</v>
      </c>
      <c r="B1565" t="s">
        <v>11384</v>
      </c>
      <c r="C1565" t="s">
        <v>13468</v>
      </c>
      <c r="D1565" t="s">
        <v>15947</v>
      </c>
      <c r="E1565" t="s">
        <v>1953</v>
      </c>
      <c r="F1565">
        <v>1</v>
      </c>
      <c r="G1565">
        <v>1</v>
      </c>
      <c r="H1565">
        <v>1</v>
      </c>
      <c r="I1565">
        <v>1</v>
      </c>
      <c r="J1565" s="3" t="s">
        <v>2222</v>
      </c>
      <c r="K1565" s="6">
        <v>0</v>
      </c>
    </row>
    <row r="1566" spans="1:11">
      <c r="A1566" t="str">
        <f t="shared" si="24"/>
        <v>Sprayer Apung Hokita1/1/10000</v>
      </c>
      <c r="B1566" t="s">
        <v>11385</v>
      </c>
      <c r="C1566" t="s">
        <v>13469</v>
      </c>
      <c r="D1566" t="s">
        <v>15948</v>
      </c>
      <c r="E1566" t="s">
        <v>1954</v>
      </c>
      <c r="F1566">
        <v>1</v>
      </c>
      <c r="G1566">
        <v>1</v>
      </c>
      <c r="H1566">
        <v>1</v>
      </c>
      <c r="I1566">
        <v>1</v>
      </c>
      <c r="J1566" s="3" t="s">
        <v>2222</v>
      </c>
      <c r="K1566" s="6">
        <v>0</v>
      </c>
    </row>
    <row r="1567" spans="1:11">
      <c r="A1567" t="str">
        <f t="shared" si="24"/>
        <v>Sprayer Bonanza 20 X 2 ltr1/1/10000</v>
      </c>
      <c r="B1567" t="s">
        <v>11386</v>
      </c>
      <c r="C1567" t="s">
        <v>13470</v>
      </c>
      <c r="D1567" t="s">
        <v>15949</v>
      </c>
      <c r="E1567" t="s">
        <v>1955</v>
      </c>
      <c r="F1567">
        <v>20</v>
      </c>
      <c r="G1567">
        <v>1</v>
      </c>
      <c r="H1567">
        <v>1</v>
      </c>
      <c r="I1567">
        <v>20</v>
      </c>
      <c r="J1567" s="3" t="s">
        <v>2222</v>
      </c>
      <c r="K1567" s="6">
        <v>0</v>
      </c>
    </row>
    <row r="1568" spans="1:11">
      <c r="A1568" t="str">
        <f t="shared" si="24"/>
        <v>Sprayer Elektrik Joeragan 16 L Battery1/1/10000</v>
      </c>
      <c r="B1568" t="s">
        <v>11387</v>
      </c>
      <c r="C1568" t="s">
        <v>13471</v>
      </c>
      <c r="D1568" t="s">
        <v>15950</v>
      </c>
      <c r="E1568" t="s">
        <v>1956</v>
      </c>
      <c r="F1568">
        <v>1</v>
      </c>
      <c r="G1568">
        <v>1</v>
      </c>
      <c r="H1568">
        <v>1</v>
      </c>
      <c r="I1568">
        <v>1</v>
      </c>
      <c r="J1568" s="3" t="s">
        <v>2222</v>
      </c>
      <c r="K1568" s="6">
        <v>0</v>
      </c>
    </row>
    <row r="1569" spans="1:11">
      <c r="A1569" t="str">
        <f t="shared" si="24"/>
        <v>Sprayer Elektrik Quda Karisma 10 L 1 X 6 pcs1/1/10000</v>
      </c>
      <c r="B1569" t="s">
        <v>11388</v>
      </c>
      <c r="C1569" t="s">
        <v>13472</v>
      </c>
      <c r="D1569" t="s">
        <v>15951</v>
      </c>
      <c r="E1569" t="s">
        <v>1957</v>
      </c>
      <c r="F1569">
        <v>6</v>
      </c>
      <c r="G1569">
        <v>1</v>
      </c>
      <c r="H1569">
        <v>1</v>
      </c>
      <c r="I1569">
        <v>6</v>
      </c>
      <c r="J1569" s="3" t="s">
        <v>2222</v>
      </c>
      <c r="K1569" s="6">
        <v>0</v>
      </c>
    </row>
    <row r="1570" spans="1:11">
      <c r="A1570" t="str">
        <f t="shared" si="24"/>
        <v>Sprayer Elektrik Quda Karisma 16 ltr1/1/10000</v>
      </c>
      <c r="B1570" t="s">
        <v>11389</v>
      </c>
      <c r="C1570" t="s">
        <v>13473</v>
      </c>
      <c r="D1570" t="s">
        <v>15952</v>
      </c>
      <c r="E1570" t="s">
        <v>1958</v>
      </c>
      <c r="F1570">
        <v>1</v>
      </c>
      <c r="G1570">
        <v>1</v>
      </c>
      <c r="H1570">
        <v>1</v>
      </c>
      <c r="I1570">
        <v>1</v>
      </c>
      <c r="J1570" s="3" t="s">
        <v>2222</v>
      </c>
      <c r="K1570" s="6">
        <v>0</v>
      </c>
    </row>
    <row r="1571" spans="1:11">
      <c r="A1571" t="str">
        <f t="shared" si="24"/>
        <v>Sprayer Elektrik Quda Karisma 5 L 1 x 6 pcs1/1/10000</v>
      </c>
      <c r="B1571" t="s">
        <v>11390</v>
      </c>
      <c r="C1571" t="s">
        <v>13474</v>
      </c>
      <c r="D1571" t="s">
        <v>15953</v>
      </c>
      <c r="E1571" t="s">
        <v>1959</v>
      </c>
      <c r="F1571">
        <v>6</v>
      </c>
      <c r="G1571">
        <v>1</v>
      </c>
      <c r="H1571">
        <v>1</v>
      </c>
      <c r="I1571">
        <v>6</v>
      </c>
      <c r="J1571" s="3" t="s">
        <v>2222</v>
      </c>
      <c r="K1571" s="6">
        <v>0</v>
      </c>
    </row>
    <row r="1572" spans="1:11">
      <c r="A1572" t="str">
        <f t="shared" si="24"/>
        <v>Sprayer Hokita 30 X 1 ltr1/1/10000</v>
      </c>
      <c r="B1572" t="s">
        <v>11391</v>
      </c>
      <c r="C1572" t="s">
        <v>13475</v>
      </c>
      <c r="D1572" t="s">
        <v>15954</v>
      </c>
      <c r="E1572" t="s">
        <v>1960</v>
      </c>
      <c r="F1572">
        <v>30</v>
      </c>
      <c r="G1572">
        <v>1</v>
      </c>
      <c r="H1572">
        <v>1</v>
      </c>
      <c r="I1572">
        <v>30</v>
      </c>
      <c r="J1572" s="3" t="s">
        <v>2222</v>
      </c>
      <c r="K1572" s="6">
        <v>0</v>
      </c>
    </row>
    <row r="1573" spans="1:11">
      <c r="A1573" t="str">
        <f t="shared" si="24"/>
        <v>Sprayer Quda Karisma 5 L 1 x 6 pcs (Kuning)1/1/10000</v>
      </c>
      <c r="B1573" t="s">
        <v>11392</v>
      </c>
      <c r="C1573" t="s">
        <v>13476</v>
      </c>
      <c r="D1573" t="s">
        <v>15955</v>
      </c>
      <c r="E1573" t="s">
        <v>1961</v>
      </c>
      <c r="F1573">
        <v>6</v>
      </c>
      <c r="G1573">
        <v>1</v>
      </c>
      <c r="H1573">
        <v>1</v>
      </c>
      <c r="I1573">
        <v>6</v>
      </c>
      <c r="J1573" s="3" t="s">
        <v>2222</v>
      </c>
      <c r="K1573" s="6">
        <v>0</v>
      </c>
    </row>
    <row r="1574" spans="1:11">
      <c r="A1574" t="str">
        <f t="shared" si="24"/>
        <v>Sprayer Senapan Magneto1/1/10000</v>
      </c>
      <c r="B1574" t="s">
        <v>11393</v>
      </c>
      <c r="C1574" t="s">
        <v>13477</v>
      </c>
      <c r="D1574" t="s">
        <v>15956</v>
      </c>
      <c r="E1574" t="s">
        <v>1962</v>
      </c>
      <c r="F1574">
        <v>1</v>
      </c>
      <c r="G1574">
        <v>1</v>
      </c>
      <c r="H1574">
        <v>1</v>
      </c>
      <c r="I1574">
        <v>1</v>
      </c>
      <c r="J1574" s="3" t="s">
        <v>2222</v>
      </c>
      <c r="K1574" s="6">
        <v>0</v>
      </c>
    </row>
    <row r="1575" spans="1:11">
      <c r="A1575" t="str">
        <f t="shared" si="24"/>
        <v>Sprayer Ultra Elektrik New 16 ltr Type 31/1/10000</v>
      </c>
      <c r="B1575" t="s">
        <v>11394</v>
      </c>
      <c r="C1575" t="s">
        <v>13478</v>
      </c>
      <c r="D1575" t="s">
        <v>15957</v>
      </c>
      <c r="E1575" t="s">
        <v>1963</v>
      </c>
      <c r="F1575">
        <v>1</v>
      </c>
      <c r="G1575">
        <v>1</v>
      </c>
      <c r="H1575">
        <v>1</v>
      </c>
      <c r="I1575">
        <v>1</v>
      </c>
      <c r="J1575" s="3" t="s">
        <v>2222</v>
      </c>
      <c r="K1575" s="6">
        <v>0</v>
      </c>
    </row>
    <row r="1576" spans="1:11">
      <c r="A1576" t="str">
        <f t="shared" si="24"/>
        <v>Sprayer Ultra Elektrik New 16 ltr Type 41/1/10000</v>
      </c>
      <c r="B1576" t="s">
        <v>11395</v>
      </c>
      <c r="C1576" t="s">
        <v>13479</v>
      </c>
      <c r="D1576" t="s">
        <v>15958</v>
      </c>
      <c r="E1576" t="s">
        <v>1964</v>
      </c>
      <c r="F1576">
        <v>1</v>
      </c>
      <c r="G1576">
        <v>1</v>
      </c>
      <c r="H1576">
        <v>1</v>
      </c>
      <c r="I1576">
        <v>1</v>
      </c>
      <c r="J1576" s="3" t="s">
        <v>2222</v>
      </c>
      <c r="K1576" s="6">
        <v>0</v>
      </c>
    </row>
    <row r="1577" spans="1:11">
      <c r="A1577" t="str">
        <f t="shared" si="24"/>
        <v>Spuyer L 31/1/10000</v>
      </c>
      <c r="B1577" t="s">
        <v>11396</v>
      </c>
      <c r="C1577" t="s">
        <v>13480</v>
      </c>
      <c r="D1577" t="s">
        <v>15959</v>
      </c>
      <c r="E1577" t="s">
        <v>1965</v>
      </c>
      <c r="F1577">
        <v>1</v>
      </c>
      <c r="G1577">
        <v>1</v>
      </c>
      <c r="H1577">
        <v>1</v>
      </c>
      <c r="I1577">
        <v>1</v>
      </c>
      <c r="J1577" s="3" t="s">
        <v>2222</v>
      </c>
      <c r="K1577" s="6">
        <v>0</v>
      </c>
    </row>
    <row r="1578" spans="1:11">
      <c r="A1578" t="str">
        <f t="shared" si="24"/>
        <v>Spuyer L 81/1/10000</v>
      </c>
      <c r="B1578" t="s">
        <v>11397</v>
      </c>
      <c r="C1578" t="s">
        <v>13481</v>
      </c>
      <c r="D1578" t="s">
        <v>15960</v>
      </c>
      <c r="E1578" t="s">
        <v>1966</v>
      </c>
      <c r="F1578">
        <v>1</v>
      </c>
      <c r="G1578">
        <v>1</v>
      </c>
      <c r="H1578">
        <v>1</v>
      </c>
      <c r="I1578">
        <v>1</v>
      </c>
      <c r="J1578" s="3" t="s">
        <v>2222</v>
      </c>
      <c r="K1578" s="6">
        <v>0</v>
      </c>
    </row>
    <row r="1579" spans="1:11">
      <c r="A1579" t="str">
        <f t="shared" si="24"/>
        <v>Spuyer LB 4 Stell1/1/10000</v>
      </c>
      <c r="B1579" t="s">
        <v>11398</v>
      </c>
      <c r="C1579" t="s">
        <v>13482</v>
      </c>
      <c r="D1579" t="s">
        <v>15961</v>
      </c>
      <c r="E1579" t="s">
        <v>1967</v>
      </c>
      <c r="F1579">
        <v>1</v>
      </c>
      <c r="G1579">
        <v>1</v>
      </c>
      <c r="H1579">
        <v>1</v>
      </c>
      <c r="I1579">
        <v>1</v>
      </c>
      <c r="J1579" s="3" t="s">
        <v>2222</v>
      </c>
      <c r="K1579" s="6">
        <v>0</v>
      </c>
    </row>
    <row r="1580" spans="1:11">
      <c r="A1580" t="str">
        <f t="shared" si="24"/>
        <v>Spuyer Tunggal / Lancip Star Metal1/1/10000</v>
      </c>
      <c r="B1580" t="s">
        <v>11399</v>
      </c>
      <c r="C1580" t="s">
        <v>13483</v>
      </c>
      <c r="D1580" t="s">
        <v>15962</v>
      </c>
      <c r="E1580" t="s">
        <v>1968</v>
      </c>
      <c r="F1580">
        <v>1</v>
      </c>
      <c r="G1580">
        <v>1</v>
      </c>
      <c r="H1580">
        <v>1</v>
      </c>
      <c r="I1580">
        <v>1</v>
      </c>
      <c r="J1580" s="3" t="s">
        <v>2222</v>
      </c>
      <c r="K1580" s="6">
        <v>0</v>
      </c>
    </row>
    <row r="1581" spans="1:11">
      <c r="A1581" t="str">
        <f t="shared" si="24"/>
        <v>Spyker 135 SL 20 ltr472390</v>
      </c>
      <c r="B1581" t="s">
        <v>11400</v>
      </c>
      <c r="C1581" t="s">
        <v>13484</v>
      </c>
      <c r="D1581" t="s">
        <v>15963</v>
      </c>
      <c r="E1581" t="s">
        <v>1969</v>
      </c>
      <c r="F1581">
        <v>1</v>
      </c>
      <c r="G1581">
        <v>1</v>
      </c>
      <c r="H1581">
        <v>1</v>
      </c>
      <c r="I1581">
        <v>1</v>
      </c>
      <c r="J1581" s="3">
        <v>47239</v>
      </c>
      <c r="K1581" s="6">
        <v>0</v>
      </c>
    </row>
    <row r="1582" spans="1:11">
      <c r="A1582" t="str">
        <f t="shared" si="24"/>
        <v>Spyker 135 SL 20 X 1 ltr467530</v>
      </c>
      <c r="B1582" t="s">
        <v>11401</v>
      </c>
      <c r="C1582" t="s">
        <v>13485</v>
      </c>
      <c r="D1582" t="s">
        <v>15964</v>
      </c>
      <c r="E1582" t="s">
        <v>1971</v>
      </c>
      <c r="F1582">
        <v>20</v>
      </c>
      <c r="G1582">
        <v>1</v>
      </c>
      <c r="H1582">
        <v>1</v>
      </c>
      <c r="I1582">
        <v>20</v>
      </c>
      <c r="J1582" s="3">
        <v>46753</v>
      </c>
      <c r="K1582" s="6">
        <v>0</v>
      </c>
    </row>
    <row r="1583" spans="1:11">
      <c r="A1583" t="str">
        <f t="shared" si="24"/>
        <v>Spyker 135 SL 20 X 1 ltr472390</v>
      </c>
      <c r="B1583" t="s">
        <v>11402</v>
      </c>
      <c r="C1583" t="s">
        <v>13486</v>
      </c>
      <c r="D1583" t="s">
        <v>15965</v>
      </c>
      <c r="E1583" t="s">
        <v>1971</v>
      </c>
      <c r="F1583">
        <v>20</v>
      </c>
      <c r="G1583">
        <v>1</v>
      </c>
      <c r="H1583">
        <v>1</v>
      </c>
      <c r="I1583">
        <v>20</v>
      </c>
      <c r="J1583" s="3">
        <v>47239</v>
      </c>
      <c r="K1583" s="6">
        <v>0</v>
      </c>
    </row>
    <row r="1584" spans="1:11">
      <c r="A1584" t="str">
        <f t="shared" si="24"/>
        <v>Spyker 135 SL 4 X 5 ltr472390</v>
      </c>
      <c r="B1584" t="s">
        <v>11403</v>
      </c>
      <c r="C1584" t="s">
        <v>13487</v>
      </c>
      <c r="D1584" t="s">
        <v>15966</v>
      </c>
      <c r="E1584" t="s">
        <v>1975</v>
      </c>
      <c r="F1584">
        <v>4</v>
      </c>
      <c r="G1584">
        <v>1</v>
      </c>
      <c r="H1584">
        <v>1</v>
      </c>
      <c r="I1584">
        <v>4</v>
      </c>
      <c r="J1584" s="3">
        <v>47239</v>
      </c>
      <c r="K1584" s="6">
        <v>0</v>
      </c>
    </row>
    <row r="1585" spans="1:11">
      <c r="A1585" t="str">
        <f t="shared" si="24"/>
        <v>Stainless Steel Clip Yamaha1/1/10000</v>
      </c>
      <c r="B1585" t="s">
        <v>11404</v>
      </c>
      <c r="C1585" t="s">
        <v>13488</v>
      </c>
      <c r="D1585" t="s">
        <v>15967</v>
      </c>
      <c r="E1585" t="s">
        <v>1976</v>
      </c>
      <c r="F1585">
        <v>1</v>
      </c>
      <c r="G1585">
        <v>1</v>
      </c>
      <c r="H1585">
        <v>1</v>
      </c>
      <c r="I1585">
        <v>1</v>
      </c>
      <c r="J1585" s="3" t="s">
        <v>2222</v>
      </c>
      <c r="K1585" s="6">
        <v>0</v>
      </c>
    </row>
    <row r="1586" spans="1:11">
      <c r="A1586" t="str">
        <f t="shared" si="24"/>
        <v>Stand Fan Panalux1/1/10000</v>
      </c>
      <c r="B1586" t="s">
        <v>11405</v>
      </c>
      <c r="C1586" t="s">
        <v>13489</v>
      </c>
      <c r="D1586" t="s">
        <v>15968</v>
      </c>
      <c r="E1586" t="s">
        <v>1977</v>
      </c>
      <c r="F1586">
        <v>1</v>
      </c>
      <c r="G1586">
        <v>1</v>
      </c>
      <c r="H1586">
        <v>1</v>
      </c>
      <c r="I1586">
        <v>1</v>
      </c>
      <c r="J1586" s="3" t="s">
        <v>2222</v>
      </c>
      <c r="K1586" s="6">
        <v>0</v>
      </c>
    </row>
    <row r="1587" spans="1:11">
      <c r="A1587" t="str">
        <f t="shared" si="24"/>
        <v>Starcide 400 EC 100 gr1/1/10000</v>
      </c>
      <c r="B1587" t="s">
        <v>11406</v>
      </c>
      <c r="C1587" t="s">
        <v>13490</v>
      </c>
      <c r="D1587" t="s">
        <v>15969</v>
      </c>
      <c r="E1587" t="s">
        <v>1978</v>
      </c>
      <c r="F1587">
        <v>1</v>
      </c>
      <c r="G1587">
        <v>1</v>
      </c>
      <c r="H1587">
        <v>1</v>
      </c>
      <c r="I1587">
        <v>1</v>
      </c>
      <c r="J1587" s="3" t="s">
        <v>2222</v>
      </c>
      <c r="K1587" s="6">
        <v>0</v>
      </c>
    </row>
    <row r="1588" spans="1:11">
      <c r="A1588" t="str">
        <f t="shared" si="24"/>
        <v>Stargate 0.5 GR 10 X 2 kg459310</v>
      </c>
      <c r="B1588" t="s">
        <v>11407</v>
      </c>
      <c r="C1588" t="s">
        <v>13491</v>
      </c>
      <c r="D1588" t="s">
        <v>15970</v>
      </c>
      <c r="E1588" t="s">
        <v>1979</v>
      </c>
      <c r="F1588">
        <v>10</v>
      </c>
      <c r="G1588">
        <v>1</v>
      </c>
      <c r="H1588">
        <v>1</v>
      </c>
      <c r="I1588">
        <v>10</v>
      </c>
      <c r="J1588" s="3">
        <v>45931</v>
      </c>
      <c r="K1588" s="6">
        <v>0</v>
      </c>
    </row>
    <row r="1589" spans="1:11">
      <c r="A1589" t="str">
        <f t="shared" si="24"/>
        <v>Starkuat 135 SL 20 ltr470270</v>
      </c>
      <c r="B1589" t="s">
        <v>11408</v>
      </c>
      <c r="C1589" t="s">
        <v>13492</v>
      </c>
      <c r="D1589" t="s">
        <v>15971</v>
      </c>
      <c r="E1589" t="s">
        <v>1980</v>
      </c>
      <c r="F1589">
        <v>1</v>
      </c>
      <c r="G1589">
        <v>1</v>
      </c>
      <c r="H1589">
        <v>1</v>
      </c>
      <c r="I1589">
        <v>1</v>
      </c>
      <c r="J1589" s="3">
        <v>47027</v>
      </c>
      <c r="K1589" s="6">
        <v>0</v>
      </c>
    </row>
    <row r="1590" spans="1:11">
      <c r="A1590" t="str">
        <f t="shared" si="24"/>
        <v>Starkuat 135 SL 20 ltr464190</v>
      </c>
      <c r="B1590" t="s">
        <v>11409</v>
      </c>
      <c r="C1590" t="s">
        <v>13493</v>
      </c>
      <c r="D1590" t="s">
        <v>15972</v>
      </c>
      <c r="E1590" t="s">
        <v>1980</v>
      </c>
      <c r="F1590">
        <v>1</v>
      </c>
      <c r="G1590">
        <v>1</v>
      </c>
      <c r="H1590">
        <v>1</v>
      </c>
      <c r="I1590">
        <v>1</v>
      </c>
      <c r="J1590" s="3">
        <v>46419</v>
      </c>
      <c r="K1590" s="6">
        <v>0</v>
      </c>
    </row>
    <row r="1591" spans="1:11">
      <c r="A1591" t="str">
        <f t="shared" si="24"/>
        <v>Starkuat 135 SL 20 ltr465080</v>
      </c>
      <c r="B1591" t="s">
        <v>11410</v>
      </c>
      <c r="C1591" t="s">
        <v>13494</v>
      </c>
      <c r="D1591" t="s">
        <v>15973</v>
      </c>
      <c r="E1591" t="s">
        <v>1980</v>
      </c>
      <c r="F1591">
        <v>1</v>
      </c>
      <c r="G1591">
        <v>1</v>
      </c>
      <c r="H1591">
        <v>1</v>
      </c>
      <c r="I1591">
        <v>1</v>
      </c>
      <c r="J1591" s="3">
        <v>46508</v>
      </c>
      <c r="K1591" s="6">
        <v>0</v>
      </c>
    </row>
    <row r="1592" spans="1:11">
      <c r="A1592" t="str">
        <f t="shared" si="24"/>
        <v>Starkuat 135 SL 20 X 1 ltr469350</v>
      </c>
      <c r="B1592" t="s">
        <v>11411</v>
      </c>
      <c r="C1592" t="s">
        <v>13495</v>
      </c>
      <c r="D1592" t="s">
        <v>15974</v>
      </c>
      <c r="E1592" t="s">
        <v>1981</v>
      </c>
      <c r="F1592">
        <v>20</v>
      </c>
      <c r="G1592">
        <v>1</v>
      </c>
      <c r="H1592">
        <v>1</v>
      </c>
      <c r="I1592">
        <v>20</v>
      </c>
      <c r="J1592" s="3">
        <v>46935</v>
      </c>
      <c r="K1592" s="6">
        <v>0</v>
      </c>
    </row>
    <row r="1593" spans="1:11">
      <c r="A1593" t="str">
        <f t="shared" si="24"/>
        <v>Starkuat 135 SL 20 X 1 ltr465080</v>
      </c>
      <c r="B1593" t="s">
        <v>11412</v>
      </c>
      <c r="C1593" t="s">
        <v>13496</v>
      </c>
      <c r="D1593" t="s">
        <v>15975</v>
      </c>
      <c r="E1593" t="s">
        <v>1981</v>
      </c>
      <c r="F1593">
        <v>20</v>
      </c>
      <c r="G1593">
        <v>1</v>
      </c>
      <c r="H1593">
        <v>1</v>
      </c>
      <c r="I1593">
        <v>20</v>
      </c>
      <c r="J1593" s="3">
        <v>46508</v>
      </c>
      <c r="K1593" s="6">
        <v>0</v>
      </c>
    </row>
    <row r="1594" spans="1:11">
      <c r="A1594" t="str">
        <f t="shared" si="24"/>
        <v>Starkuat 135 SL 20 X 1 ltr470880</v>
      </c>
      <c r="B1594" t="s">
        <v>11413</v>
      </c>
      <c r="C1594" t="s">
        <v>13497</v>
      </c>
      <c r="D1594" t="s">
        <v>15976</v>
      </c>
      <c r="E1594" t="s">
        <v>1981</v>
      </c>
      <c r="F1594">
        <v>20</v>
      </c>
      <c r="G1594">
        <v>1</v>
      </c>
      <c r="H1594">
        <v>1</v>
      </c>
      <c r="I1594">
        <v>20</v>
      </c>
      <c r="J1594" s="3">
        <v>47088</v>
      </c>
      <c r="K1594" s="6">
        <v>0</v>
      </c>
    </row>
    <row r="1595" spans="1:11">
      <c r="A1595" t="str">
        <f t="shared" si="24"/>
        <v>Starkuat 135 SL 4 X 5 ltr464780</v>
      </c>
      <c r="B1595" t="s">
        <v>11414</v>
      </c>
      <c r="C1595" t="s">
        <v>13498</v>
      </c>
      <c r="D1595" t="s">
        <v>15977</v>
      </c>
      <c r="E1595" t="s">
        <v>1982</v>
      </c>
      <c r="F1595">
        <v>4</v>
      </c>
      <c r="G1595">
        <v>1</v>
      </c>
      <c r="H1595">
        <v>1</v>
      </c>
      <c r="I1595">
        <v>4</v>
      </c>
      <c r="J1595" s="3">
        <v>46478</v>
      </c>
      <c r="K1595" s="6">
        <v>0</v>
      </c>
    </row>
    <row r="1596" spans="1:11">
      <c r="A1596" t="str">
        <f t="shared" si="24"/>
        <v>Starkuat 135 SL 4 X 5 ltr469660</v>
      </c>
      <c r="B1596" t="s">
        <v>11415</v>
      </c>
      <c r="C1596" t="s">
        <v>13499</v>
      </c>
      <c r="D1596" t="s">
        <v>15978</v>
      </c>
      <c r="E1596" t="s">
        <v>1982</v>
      </c>
      <c r="F1596">
        <v>4</v>
      </c>
      <c r="G1596">
        <v>1</v>
      </c>
      <c r="H1596">
        <v>1</v>
      </c>
      <c r="I1596">
        <v>4</v>
      </c>
      <c r="J1596" s="3">
        <v>46966</v>
      </c>
      <c r="K1596" s="6">
        <v>0</v>
      </c>
    </row>
    <row r="1597" spans="1:11">
      <c r="A1597" t="str">
        <f t="shared" si="24"/>
        <v>Starphos 40 X 500 ml469050</v>
      </c>
      <c r="B1597" t="s">
        <v>11416</v>
      </c>
      <c r="C1597" t="s">
        <v>13500</v>
      </c>
      <c r="D1597" t="s">
        <v>15979</v>
      </c>
      <c r="E1597" t="s">
        <v>1983</v>
      </c>
      <c r="F1597">
        <v>40</v>
      </c>
      <c r="G1597">
        <v>1</v>
      </c>
      <c r="H1597">
        <v>1</v>
      </c>
      <c r="I1597">
        <v>40</v>
      </c>
      <c r="J1597" s="3">
        <v>46905</v>
      </c>
      <c r="K1597" s="6">
        <v>0</v>
      </c>
    </row>
    <row r="1598" spans="1:11">
      <c r="A1598" t="str">
        <f t="shared" si="24"/>
        <v>Starphos 40 X 500 ml471500</v>
      </c>
      <c r="B1598" t="s">
        <v>11417</v>
      </c>
      <c r="C1598" t="s">
        <v>13501</v>
      </c>
      <c r="D1598" t="s">
        <v>15980</v>
      </c>
      <c r="E1598" t="s">
        <v>1983</v>
      </c>
      <c r="F1598">
        <v>40</v>
      </c>
      <c r="G1598">
        <v>1</v>
      </c>
      <c r="H1598">
        <v>1</v>
      </c>
      <c r="I1598">
        <v>40</v>
      </c>
      <c r="J1598" s="3">
        <v>47150</v>
      </c>
      <c r="K1598" s="6">
        <v>0</v>
      </c>
    </row>
    <row r="1599" spans="1:11">
      <c r="A1599" t="str">
        <f t="shared" si="24"/>
        <v>Stick / Spindle Body Pc1/1/10000</v>
      </c>
      <c r="B1599" t="s">
        <v>11418</v>
      </c>
      <c r="C1599" t="s">
        <v>13502</v>
      </c>
      <c r="D1599" t="s">
        <v>15981</v>
      </c>
      <c r="E1599" t="s">
        <v>1984</v>
      </c>
      <c r="F1599">
        <v>1</v>
      </c>
      <c r="G1599">
        <v>1</v>
      </c>
      <c r="H1599">
        <v>1</v>
      </c>
      <c r="I1599">
        <v>1</v>
      </c>
      <c r="J1599" s="3" t="s">
        <v>2222</v>
      </c>
      <c r="K1599" s="6">
        <v>0</v>
      </c>
    </row>
    <row r="1600" spans="1:11">
      <c r="A1600" t="str">
        <f t="shared" si="24"/>
        <v>Suica 50/20 WG 5 X 10 X 100 gr462960</v>
      </c>
      <c r="B1600" t="s">
        <v>11419</v>
      </c>
      <c r="C1600" t="s">
        <v>13503</v>
      </c>
      <c r="D1600" t="s">
        <v>15982</v>
      </c>
      <c r="E1600" t="s">
        <v>1985</v>
      </c>
      <c r="F1600">
        <v>5</v>
      </c>
      <c r="G1600">
        <v>10</v>
      </c>
      <c r="H1600">
        <v>1</v>
      </c>
      <c r="I1600">
        <v>50</v>
      </c>
      <c r="J1600" s="3">
        <v>46296</v>
      </c>
      <c r="K1600" s="6">
        <v>0</v>
      </c>
    </row>
    <row r="1601" spans="1:11">
      <c r="A1601" t="str">
        <f t="shared" si="24"/>
        <v>Suica 50/20 WG 5 X 40 X 25 gr462960</v>
      </c>
      <c r="B1601" t="s">
        <v>11420</v>
      </c>
      <c r="C1601" t="s">
        <v>13504</v>
      </c>
      <c r="D1601" t="s">
        <v>15983</v>
      </c>
      <c r="E1601" t="s">
        <v>1986</v>
      </c>
      <c r="F1601">
        <v>5</v>
      </c>
      <c r="G1601">
        <v>40</v>
      </c>
      <c r="H1601">
        <v>1</v>
      </c>
      <c r="I1601">
        <v>200</v>
      </c>
      <c r="J1601" s="3">
        <v>46296</v>
      </c>
      <c r="K1601" s="6">
        <v>0</v>
      </c>
    </row>
    <row r="1602" spans="1:11">
      <c r="A1602" t="str">
        <f t="shared" si="24"/>
        <v>Switch Off 62.5 WG 20 X 20 X 20 gr467220</v>
      </c>
      <c r="B1602" t="s">
        <v>11421</v>
      </c>
      <c r="C1602" t="s">
        <v>13505</v>
      </c>
      <c r="D1602" t="s">
        <v>15984</v>
      </c>
      <c r="E1602" t="s">
        <v>1987</v>
      </c>
      <c r="F1602">
        <v>20</v>
      </c>
      <c r="G1602">
        <v>20</v>
      </c>
      <c r="H1602">
        <v>1</v>
      </c>
      <c r="I1602">
        <v>400</v>
      </c>
      <c r="J1602" s="3">
        <v>46722</v>
      </c>
      <c r="K1602" s="6">
        <v>0</v>
      </c>
    </row>
    <row r="1603" spans="1:11">
      <c r="A1603" t="str">
        <f t="shared" ref="A1603:A1666" si="25">E1603&amp;J1603&amp;K1603</f>
        <v>Symbisect 2/30 WG 100 X 50 gr465690</v>
      </c>
      <c r="B1603" t="s">
        <v>11422</v>
      </c>
      <c r="C1603" t="s">
        <v>13506</v>
      </c>
      <c r="D1603" t="s">
        <v>15985</v>
      </c>
      <c r="E1603" t="s">
        <v>1989</v>
      </c>
      <c r="F1603">
        <v>100</v>
      </c>
      <c r="G1603">
        <v>1</v>
      </c>
      <c r="H1603">
        <v>1</v>
      </c>
      <c r="I1603">
        <v>100</v>
      </c>
      <c r="J1603" s="3">
        <v>46569</v>
      </c>
      <c r="K1603" s="6">
        <v>0</v>
      </c>
    </row>
    <row r="1604" spans="1:11">
      <c r="A1604" t="str">
        <f t="shared" si="25"/>
        <v>Symbisect 2/30 WG 50 X 100 gr470880</v>
      </c>
      <c r="B1604" t="s">
        <v>11423</v>
      </c>
      <c r="C1604" t="s">
        <v>13507</v>
      </c>
      <c r="D1604" t="s">
        <v>15986</v>
      </c>
      <c r="E1604" t="s">
        <v>1991</v>
      </c>
      <c r="F1604">
        <v>50</v>
      </c>
      <c r="G1604">
        <v>1</v>
      </c>
      <c r="H1604">
        <v>1</v>
      </c>
      <c r="I1604">
        <v>50</v>
      </c>
      <c r="J1604" s="3">
        <v>47088</v>
      </c>
      <c r="K1604" s="6">
        <v>0</v>
      </c>
    </row>
    <row r="1605" spans="1:11">
      <c r="A1605" t="str">
        <f t="shared" si="25"/>
        <v>Symbisect 2/30 WG 75 X 100 gr465690</v>
      </c>
      <c r="B1605" t="s">
        <v>11424</v>
      </c>
      <c r="C1605" t="s">
        <v>13508</v>
      </c>
      <c r="D1605" t="s">
        <v>15987</v>
      </c>
      <c r="E1605" t="s">
        <v>1992</v>
      </c>
      <c r="F1605">
        <v>75</v>
      </c>
      <c r="G1605">
        <v>1</v>
      </c>
      <c r="H1605">
        <v>1</v>
      </c>
      <c r="I1605">
        <v>75</v>
      </c>
      <c r="J1605" s="3">
        <v>46569</v>
      </c>
      <c r="K1605" s="6">
        <v>0</v>
      </c>
    </row>
    <row r="1606" spans="1:11">
      <c r="A1606" t="str">
        <f t="shared" si="25"/>
        <v>Symphony Plus 32 X 250 ml459920</v>
      </c>
      <c r="B1606" t="s">
        <v>11425</v>
      </c>
      <c r="C1606" t="s">
        <v>13509</v>
      </c>
      <c r="D1606" t="s">
        <v>15988</v>
      </c>
      <c r="E1606" t="s">
        <v>1993</v>
      </c>
      <c r="F1606">
        <v>32</v>
      </c>
      <c r="G1606">
        <v>1</v>
      </c>
      <c r="H1606">
        <v>1</v>
      </c>
      <c r="I1606">
        <v>32</v>
      </c>
      <c r="J1606" s="3">
        <v>45992</v>
      </c>
      <c r="K1606" s="6">
        <v>0</v>
      </c>
    </row>
    <row r="1607" spans="1:11">
      <c r="A1607" t="str">
        <f t="shared" si="25"/>
        <v>Symphony Plus 32 X 250 ml464780</v>
      </c>
      <c r="B1607" t="s">
        <v>11426</v>
      </c>
      <c r="C1607" t="s">
        <v>13510</v>
      </c>
      <c r="D1607" t="s">
        <v>15989</v>
      </c>
      <c r="E1607" t="s">
        <v>1993</v>
      </c>
      <c r="F1607">
        <v>32</v>
      </c>
      <c r="G1607">
        <v>1</v>
      </c>
      <c r="H1607">
        <v>1</v>
      </c>
      <c r="I1607">
        <v>32</v>
      </c>
      <c r="J1607" s="3">
        <v>46478</v>
      </c>
      <c r="K1607" s="6">
        <v>0</v>
      </c>
    </row>
    <row r="1608" spans="1:11">
      <c r="A1608" t="str">
        <f t="shared" si="25"/>
        <v>Symphony Plus 40 X 100 ml465390</v>
      </c>
      <c r="B1608" t="s">
        <v>11427</v>
      </c>
      <c r="C1608" t="s">
        <v>13511</v>
      </c>
      <c r="D1608" t="s">
        <v>15990</v>
      </c>
      <c r="E1608" t="s">
        <v>1996</v>
      </c>
      <c r="F1608">
        <v>40</v>
      </c>
      <c r="G1608">
        <v>1</v>
      </c>
      <c r="H1608">
        <v>1</v>
      </c>
      <c r="I1608">
        <v>40</v>
      </c>
      <c r="J1608" s="3">
        <v>46539</v>
      </c>
      <c r="K1608" s="6">
        <v>0</v>
      </c>
    </row>
    <row r="1609" spans="1:11">
      <c r="A1609" t="str">
        <f t="shared" si="25"/>
        <v>Symphony Plus 40 X 100 ml459920</v>
      </c>
      <c r="B1609" t="s">
        <v>11428</v>
      </c>
      <c r="C1609" t="s">
        <v>13512</v>
      </c>
      <c r="D1609" t="s">
        <v>15991</v>
      </c>
      <c r="E1609" t="s">
        <v>1996</v>
      </c>
      <c r="F1609">
        <v>40</v>
      </c>
      <c r="G1609">
        <v>1</v>
      </c>
      <c r="H1609">
        <v>1</v>
      </c>
      <c r="I1609">
        <v>40</v>
      </c>
      <c r="J1609" s="3">
        <v>45992</v>
      </c>
      <c r="K1609" s="6">
        <v>0</v>
      </c>
    </row>
    <row r="1610" spans="1:11">
      <c r="A1610" t="str">
        <f t="shared" si="25"/>
        <v>Tabung Kosong1/1/10000</v>
      </c>
      <c r="B1610" t="s">
        <v>11429</v>
      </c>
      <c r="C1610" t="s">
        <v>13513</v>
      </c>
      <c r="D1610" t="s">
        <v>15992</v>
      </c>
      <c r="E1610" t="s">
        <v>1998</v>
      </c>
      <c r="F1610">
        <v>1</v>
      </c>
      <c r="G1610">
        <v>1</v>
      </c>
      <c r="H1610">
        <v>1</v>
      </c>
      <c r="I1610">
        <v>1</v>
      </c>
      <c r="J1610" s="3" t="s">
        <v>2222</v>
      </c>
      <c r="K1610" s="6">
        <v>0</v>
      </c>
    </row>
    <row r="1611" spans="1:11">
      <c r="A1611" t="str">
        <f t="shared" si="25"/>
        <v>Tabung Pompa Komplit 14 ltr1/1/10000</v>
      </c>
      <c r="B1611" t="s">
        <v>11430</v>
      </c>
      <c r="C1611" t="s">
        <v>13514</v>
      </c>
      <c r="D1611" t="s">
        <v>15993</v>
      </c>
      <c r="E1611" t="s">
        <v>1999</v>
      </c>
      <c r="F1611">
        <v>1</v>
      </c>
      <c r="G1611">
        <v>1</v>
      </c>
      <c r="H1611">
        <v>1</v>
      </c>
      <c r="I1611">
        <v>1</v>
      </c>
      <c r="J1611" s="3" t="s">
        <v>2222</v>
      </c>
      <c r="K1611" s="6">
        <v>0</v>
      </c>
    </row>
    <row r="1612" spans="1:11">
      <c r="A1612" t="str">
        <f t="shared" si="25"/>
        <v>Tali Bahu EDD1/1/10000</v>
      </c>
      <c r="B1612" t="s">
        <v>11431</v>
      </c>
      <c r="C1612" t="s">
        <v>13515</v>
      </c>
      <c r="D1612" t="s">
        <v>15994</v>
      </c>
      <c r="E1612" t="s">
        <v>2000</v>
      </c>
      <c r="F1612">
        <v>1</v>
      </c>
      <c r="G1612">
        <v>1</v>
      </c>
      <c r="H1612">
        <v>1</v>
      </c>
      <c r="I1612">
        <v>1</v>
      </c>
      <c r="J1612" s="3" t="s">
        <v>2222</v>
      </c>
      <c r="K1612" s="6">
        <v>0</v>
      </c>
    </row>
    <row r="1613" spans="1:11">
      <c r="A1613" t="str">
        <f t="shared" si="25"/>
        <v>Tali Gawar 989 40 X 600 gr1/1/10000</v>
      </c>
      <c r="B1613" t="s">
        <v>11432</v>
      </c>
      <c r="C1613" t="s">
        <v>13516</v>
      </c>
      <c r="D1613" t="s">
        <v>15995</v>
      </c>
      <c r="E1613" t="s">
        <v>2001</v>
      </c>
      <c r="F1613">
        <v>40</v>
      </c>
      <c r="G1613">
        <v>1</v>
      </c>
      <c r="H1613">
        <v>1</v>
      </c>
      <c r="I1613">
        <v>40</v>
      </c>
      <c r="J1613" s="3" t="s">
        <v>2222</v>
      </c>
      <c r="K1613" s="6">
        <v>0</v>
      </c>
    </row>
    <row r="1614" spans="1:11">
      <c r="A1614" t="str">
        <f t="shared" si="25"/>
        <v>Tali Gendong1/1/10000</v>
      </c>
      <c r="B1614" t="s">
        <v>11433</v>
      </c>
      <c r="C1614" t="s">
        <v>13517</v>
      </c>
      <c r="D1614" t="s">
        <v>15996</v>
      </c>
      <c r="E1614" t="s">
        <v>2002</v>
      </c>
      <c r="F1614">
        <v>1</v>
      </c>
      <c r="G1614">
        <v>1</v>
      </c>
      <c r="H1614">
        <v>1</v>
      </c>
      <c r="I1614">
        <v>1</v>
      </c>
      <c r="J1614" s="3" t="s">
        <v>2222</v>
      </c>
      <c r="K1614" s="6">
        <v>0</v>
      </c>
    </row>
    <row r="1615" spans="1:11">
      <c r="A1615" t="str">
        <f t="shared" si="25"/>
        <v>Tali Gendong GA1/1/10000</v>
      </c>
      <c r="B1615" t="s">
        <v>11434</v>
      </c>
      <c r="C1615" t="s">
        <v>13518</v>
      </c>
      <c r="D1615" t="s">
        <v>15997</v>
      </c>
      <c r="E1615" t="s">
        <v>2003</v>
      </c>
      <c r="F1615">
        <v>1</v>
      </c>
      <c r="G1615">
        <v>1</v>
      </c>
      <c r="H1615">
        <v>1</v>
      </c>
      <c r="I1615">
        <v>1</v>
      </c>
      <c r="J1615" s="3" t="s">
        <v>2222</v>
      </c>
      <c r="K1615" s="6">
        <v>0</v>
      </c>
    </row>
    <row r="1616" spans="1:11">
      <c r="A1616" t="str">
        <f t="shared" si="25"/>
        <v>Tali Gendong Hijau Star Metal1/1/10000</v>
      </c>
      <c r="B1616" t="s">
        <v>11435</v>
      </c>
      <c r="C1616" t="s">
        <v>13519</v>
      </c>
      <c r="D1616" t="s">
        <v>15998</v>
      </c>
      <c r="E1616" t="s">
        <v>2004</v>
      </c>
      <c r="F1616">
        <v>1</v>
      </c>
      <c r="G1616">
        <v>1</v>
      </c>
      <c r="H1616">
        <v>1</v>
      </c>
      <c r="I1616">
        <v>1</v>
      </c>
      <c r="J1616" s="3" t="s">
        <v>2222</v>
      </c>
      <c r="K1616" s="6">
        <v>0</v>
      </c>
    </row>
    <row r="1617" spans="1:11">
      <c r="A1617" t="str">
        <f t="shared" si="25"/>
        <v>Tali Kapas Cap Kelud 15 X 900 gr (Putih)1/1/10000</v>
      </c>
      <c r="B1617" t="s">
        <v>11436</v>
      </c>
      <c r="C1617" t="s">
        <v>13520</v>
      </c>
      <c r="D1617" t="s">
        <v>15999</v>
      </c>
      <c r="E1617" t="s">
        <v>2005</v>
      </c>
      <c r="F1617">
        <v>15</v>
      </c>
      <c r="G1617">
        <v>1</v>
      </c>
      <c r="H1617">
        <v>1</v>
      </c>
      <c r="I1617">
        <v>15</v>
      </c>
      <c r="J1617" s="3" t="s">
        <v>2222</v>
      </c>
      <c r="K1617" s="6">
        <v>0</v>
      </c>
    </row>
    <row r="1618" spans="1:11">
      <c r="A1618" t="str">
        <f t="shared" si="25"/>
        <v>Tali Kapas Cap Kelud 28 X 450 gr (Putih)1/1/10000</v>
      </c>
      <c r="B1618" t="s">
        <v>11437</v>
      </c>
      <c r="C1618" t="s">
        <v>13521</v>
      </c>
      <c r="D1618" t="s">
        <v>16000</v>
      </c>
      <c r="E1618" t="s">
        <v>2006</v>
      </c>
      <c r="F1618">
        <v>28</v>
      </c>
      <c r="G1618">
        <v>1</v>
      </c>
      <c r="H1618">
        <v>1</v>
      </c>
      <c r="I1618">
        <v>28</v>
      </c>
      <c r="J1618" s="3" t="s">
        <v>2222</v>
      </c>
      <c r="K1618" s="6">
        <v>0</v>
      </c>
    </row>
    <row r="1619" spans="1:11">
      <c r="A1619" t="str">
        <f t="shared" si="25"/>
        <v>Tali Surya1/1/10000</v>
      </c>
      <c r="B1619" t="s">
        <v>11438</v>
      </c>
      <c r="C1619" t="s">
        <v>13522</v>
      </c>
      <c r="D1619" t="s">
        <v>16001</v>
      </c>
      <c r="E1619" t="s">
        <v>2007</v>
      </c>
      <c r="F1619">
        <v>1</v>
      </c>
      <c r="G1619">
        <v>1</v>
      </c>
      <c r="H1619">
        <v>1</v>
      </c>
      <c r="I1619">
        <v>1</v>
      </c>
      <c r="J1619" s="3" t="s">
        <v>2222</v>
      </c>
      <c r="K1619" s="6">
        <v>0</v>
      </c>
    </row>
    <row r="1620" spans="1:11">
      <c r="A1620" t="str">
        <f t="shared" si="25"/>
        <v>Tamicor 250 EC 40 X 100 ml466000</v>
      </c>
      <c r="B1620" t="s">
        <v>11439</v>
      </c>
      <c r="C1620" t="s">
        <v>13523</v>
      </c>
      <c r="D1620" t="s">
        <v>16002</v>
      </c>
      <c r="E1620" t="s">
        <v>2008</v>
      </c>
      <c r="F1620">
        <v>40</v>
      </c>
      <c r="G1620">
        <v>1</v>
      </c>
      <c r="H1620">
        <v>1</v>
      </c>
      <c r="I1620">
        <v>40</v>
      </c>
      <c r="J1620" s="3">
        <v>46600</v>
      </c>
      <c r="K1620" s="6">
        <v>0</v>
      </c>
    </row>
    <row r="1621" spans="1:11">
      <c r="A1621" t="str">
        <f t="shared" si="25"/>
        <v>Tamoxanil 6/24 WP 20 X 400 gr456580</v>
      </c>
      <c r="B1621" t="s">
        <v>11440</v>
      </c>
      <c r="C1621" t="s">
        <v>13524</v>
      </c>
      <c r="D1621" t="s">
        <v>16003</v>
      </c>
      <c r="E1621" t="s">
        <v>2009</v>
      </c>
      <c r="F1621">
        <v>20</v>
      </c>
      <c r="G1621">
        <v>1</v>
      </c>
      <c r="H1621">
        <v>1</v>
      </c>
      <c r="I1621">
        <v>20</v>
      </c>
      <c r="J1621" s="3">
        <v>45658</v>
      </c>
      <c r="K1621" s="6">
        <v>0</v>
      </c>
    </row>
    <row r="1622" spans="1:11">
      <c r="A1622" t="str">
        <f t="shared" si="25"/>
        <v>Tampidor 200 SL 40 X 100 ml469050</v>
      </c>
      <c r="B1622" t="s">
        <v>11441</v>
      </c>
      <c r="C1622" t="s">
        <v>13525</v>
      </c>
      <c r="D1622" t="s">
        <v>16004</v>
      </c>
      <c r="E1622" t="s">
        <v>2010</v>
      </c>
      <c r="F1622">
        <v>40</v>
      </c>
      <c r="G1622">
        <v>1</v>
      </c>
      <c r="H1622">
        <v>1</v>
      </c>
      <c r="I1622">
        <v>40</v>
      </c>
      <c r="J1622" s="3">
        <v>46905</v>
      </c>
      <c r="K1622" s="6">
        <v>0</v>
      </c>
    </row>
    <row r="1623" spans="1:11">
      <c r="A1623" t="str">
        <f t="shared" si="25"/>
        <v>Tampidor 200 SL 40 X 200 ml469050</v>
      </c>
      <c r="B1623" t="s">
        <v>11442</v>
      </c>
      <c r="C1623" t="s">
        <v>13526</v>
      </c>
      <c r="D1623" t="s">
        <v>16005</v>
      </c>
      <c r="E1623" t="s">
        <v>2012</v>
      </c>
      <c r="F1623">
        <v>40</v>
      </c>
      <c r="G1623">
        <v>1</v>
      </c>
      <c r="H1623">
        <v>1</v>
      </c>
      <c r="I1623">
        <v>40</v>
      </c>
      <c r="J1623" s="3">
        <v>46905</v>
      </c>
      <c r="K1623" s="6">
        <v>0</v>
      </c>
    </row>
    <row r="1624" spans="1:11">
      <c r="A1624" t="str">
        <f t="shared" si="25"/>
        <v>Tampidor 25 WP 100 X 100 gr455660</v>
      </c>
      <c r="B1624" t="s">
        <v>11443</v>
      </c>
      <c r="C1624" t="s">
        <v>13527</v>
      </c>
      <c r="D1624" t="s">
        <v>16006</v>
      </c>
      <c r="E1624" t="s">
        <v>2013</v>
      </c>
      <c r="F1624">
        <v>100</v>
      </c>
      <c r="G1624">
        <v>1</v>
      </c>
      <c r="H1624">
        <v>1</v>
      </c>
      <c r="I1624">
        <v>100</v>
      </c>
      <c r="J1624" s="3">
        <v>45566</v>
      </c>
      <c r="K1624" s="6">
        <v>0</v>
      </c>
    </row>
    <row r="1625" spans="1:11">
      <c r="A1625" t="str">
        <f t="shared" si="25"/>
        <v>Tamuldok 25 EC 20 X 250 ml458700</v>
      </c>
      <c r="B1625" t="s">
        <v>11444</v>
      </c>
      <c r="C1625" t="s">
        <v>13528</v>
      </c>
      <c r="D1625" t="s">
        <v>16007</v>
      </c>
      <c r="E1625" t="s">
        <v>2016</v>
      </c>
      <c r="F1625">
        <v>20</v>
      </c>
      <c r="G1625">
        <v>1</v>
      </c>
      <c r="H1625">
        <v>1</v>
      </c>
      <c r="I1625">
        <v>20</v>
      </c>
      <c r="J1625" s="3">
        <v>45870</v>
      </c>
      <c r="K1625" s="6">
        <v>0</v>
      </c>
    </row>
    <row r="1626" spans="1:11">
      <c r="A1626" t="str">
        <f t="shared" si="25"/>
        <v>Tamuldok 25 EC 20 X 500 ml458700</v>
      </c>
      <c r="B1626" t="s">
        <v>11445</v>
      </c>
      <c r="C1626" t="s">
        <v>13529</v>
      </c>
      <c r="D1626" t="s">
        <v>16008</v>
      </c>
      <c r="E1626" t="s">
        <v>2018</v>
      </c>
      <c r="F1626">
        <v>20</v>
      </c>
      <c r="G1626">
        <v>1</v>
      </c>
      <c r="H1626">
        <v>1</v>
      </c>
      <c r="I1626">
        <v>20</v>
      </c>
      <c r="J1626" s="3">
        <v>45870</v>
      </c>
      <c r="K1626" s="6">
        <v>0</v>
      </c>
    </row>
    <row r="1627" spans="1:11">
      <c r="A1627" t="str">
        <f t="shared" si="25"/>
        <v>Tang Lipat set1/1/10000</v>
      </c>
      <c r="B1627" t="s">
        <v>11446</v>
      </c>
      <c r="C1627" t="s">
        <v>13530</v>
      </c>
      <c r="D1627" t="s">
        <v>16009</v>
      </c>
      <c r="E1627" t="s">
        <v>2020</v>
      </c>
      <c r="F1627">
        <v>1</v>
      </c>
      <c r="G1627">
        <v>1</v>
      </c>
      <c r="H1627">
        <v>1</v>
      </c>
      <c r="I1627">
        <v>1</v>
      </c>
      <c r="J1627" s="3" t="s">
        <v>2222</v>
      </c>
      <c r="K1627" s="6">
        <v>0</v>
      </c>
    </row>
    <row r="1628" spans="1:11">
      <c r="A1628" t="str">
        <f t="shared" si="25"/>
        <v>Tangki ABC 16 ltr BTR (Kuning)1/1/10000</v>
      </c>
      <c r="B1628" t="s">
        <v>11447</v>
      </c>
      <c r="C1628" t="s">
        <v>13531</v>
      </c>
      <c r="D1628" t="s">
        <v>16010</v>
      </c>
      <c r="E1628" t="s">
        <v>2021</v>
      </c>
      <c r="F1628">
        <v>1</v>
      </c>
      <c r="G1628">
        <v>1</v>
      </c>
      <c r="H1628">
        <v>1</v>
      </c>
      <c r="I1628">
        <v>1</v>
      </c>
      <c r="J1628" s="3" t="s">
        <v>2222</v>
      </c>
      <c r="K1628" s="6">
        <v>0</v>
      </c>
    </row>
    <row r="1629" spans="1:11">
      <c r="A1629" t="str">
        <f t="shared" si="25"/>
        <v>Tangki ABC 20 Ltr-71/1/10000</v>
      </c>
      <c r="B1629" t="s">
        <v>11448</v>
      </c>
      <c r="C1629" t="s">
        <v>13532</v>
      </c>
      <c r="D1629" t="s">
        <v>16011</v>
      </c>
      <c r="E1629" t="s">
        <v>2022</v>
      </c>
      <c r="F1629">
        <v>1</v>
      </c>
      <c r="G1629">
        <v>1</v>
      </c>
      <c r="H1629">
        <v>1</v>
      </c>
      <c r="I1629">
        <v>1</v>
      </c>
      <c r="J1629" s="3" t="s">
        <v>2222</v>
      </c>
      <c r="K1629" s="6">
        <v>0</v>
      </c>
    </row>
    <row r="1630" spans="1:11">
      <c r="A1630" t="str">
        <f t="shared" si="25"/>
        <v>Tangki Dragon Star 16 ltr baterai (Biru)1/1/10000</v>
      </c>
      <c r="B1630" t="s">
        <v>11449</v>
      </c>
      <c r="C1630" t="s">
        <v>13533</v>
      </c>
      <c r="D1630" t="s">
        <v>16012</v>
      </c>
      <c r="E1630" t="s">
        <v>2023</v>
      </c>
      <c r="F1630">
        <v>1</v>
      </c>
      <c r="G1630">
        <v>1</v>
      </c>
      <c r="H1630">
        <v>1</v>
      </c>
      <c r="I1630">
        <v>1</v>
      </c>
      <c r="J1630" s="3" t="s">
        <v>2222</v>
      </c>
      <c r="K1630" s="6">
        <v>0</v>
      </c>
    </row>
    <row r="1631" spans="1:11">
      <c r="A1631" t="str">
        <f t="shared" si="25"/>
        <v>Tangki Dragon Star 16 ltr baterai (Hijau)1/1/10000</v>
      </c>
      <c r="B1631" t="s">
        <v>11450</v>
      </c>
      <c r="C1631" t="s">
        <v>13534</v>
      </c>
      <c r="D1631" t="s">
        <v>16013</v>
      </c>
      <c r="E1631" t="s">
        <v>2024</v>
      </c>
      <c r="F1631">
        <v>1</v>
      </c>
      <c r="G1631">
        <v>1</v>
      </c>
      <c r="H1631">
        <v>1</v>
      </c>
      <c r="I1631">
        <v>1</v>
      </c>
      <c r="J1631" s="3" t="s">
        <v>2222</v>
      </c>
      <c r="K1631" s="6">
        <v>0</v>
      </c>
    </row>
    <row r="1632" spans="1:11">
      <c r="A1632" t="str">
        <f t="shared" si="25"/>
        <v>Tangki Eye Brand 17 ltr1/1/10000</v>
      </c>
      <c r="B1632" t="s">
        <v>11451</v>
      </c>
      <c r="C1632" t="s">
        <v>13535</v>
      </c>
      <c r="D1632" t="s">
        <v>16014</v>
      </c>
      <c r="E1632" t="s">
        <v>2025</v>
      </c>
      <c r="F1632">
        <v>1</v>
      </c>
      <c r="G1632">
        <v>1</v>
      </c>
      <c r="H1632">
        <v>1</v>
      </c>
      <c r="I1632">
        <v>1</v>
      </c>
      <c r="J1632" s="3" t="s">
        <v>2222</v>
      </c>
      <c r="K1632" s="6">
        <v>0</v>
      </c>
    </row>
    <row r="1633" spans="1:11">
      <c r="A1633" t="str">
        <f t="shared" si="25"/>
        <v>Tangki Jacto 16 ltr1/1/10000</v>
      </c>
      <c r="B1633" t="s">
        <v>11452</v>
      </c>
      <c r="C1633" t="s">
        <v>13536</v>
      </c>
      <c r="D1633" t="s">
        <v>16015</v>
      </c>
      <c r="E1633" t="s">
        <v>2026</v>
      </c>
      <c r="F1633">
        <v>1</v>
      </c>
      <c r="G1633">
        <v>1</v>
      </c>
      <c r="H1633">
        <v>1</v>
      </c>
      <c r="I1633">
        <v>1</v>
      </c>
      <c r="J1633" s="3" t="s">
        <v>2222</v>
      </c>
      <c r="K1633" s="6">
        <v>0</v>
      </c>
    </row>
    <row r="1634" spans="1:11">
      <c r="A1634" t="str">
        <f t="shared" si="25"/>
        <v>Tangki Swan 16 ltr F (BTR)1/1/10000</v>
      </c>
      <c r="B1634" t="s">
        <v>11453</v>
      </c>
      <c r="C1634" t="s">
        <v>13537</v>
      </c>
      <c r="D1634" t="s">
        <v>16016</v>
      </c>
      <c r="E1634" t="s">
        <v>2030</v>
      </c>
      <c r="F1634">
        <v>1</v>
      </c>
      <c r="G1634">
        <v>1</v>
      </c>
      <c r="H1634">
        <v>1</v>
      </c>
      <c r="I1634">
        <v>1</v>
      </c>
      <c r="J1634" s="3" t="s">
        <v>2222</v>
      </c>
      <c r="K1634" s="6">
        <v>0</v>
      </c>
    </row>
    <row r="1635" spans="1:11">
      <c r="A1635" t="str">
        <f t="shared" si="25"/>
        <v>Tangki Swan 16 ltr F (BTR) Bisi1/1/10000</v>
      </c>
      <c r="B1635" t="s">
        <v>11454</v>
      </c>
      <c r="C1635" t="s">
        <v>13538</v>
      </c>
      <c r="D1635" t="s">
        <v>16017</v>
      </c>
      <c r="E1635" t="s">
        <v>2031</v>
      </c>
      <c r="F1635">
        <v>1</v>
      </c>
      <c r="G1635">
        <v>1</v>
      </c>
      <c r="H1635">
        <v>1</v>
      </c>
      <c r="I1635">
        <v>1</v>
      </c>
      <c r="J1635" s="3" t="s">
        <v>2222</v>
      </c>
      <c r="K1635" s="6">
        <v>0</v>
      </c>
    </row>
    <row r="1636" spans="1:11">
      <c r="A1636" t="str">
        <f t="shared" si="25"/>
        <v>Tangki Swan 16 ltr F (BTR) Kuningan1/1/10000</v>
      </c>
      <c r="B1636" t="s">
        <v>11455</v>
      </c>
      <c r="C1636" t="s">
        <v>13539</v>
      </c>
      <c r="D1636" t="s">
        <v>16018</v>
      </c>
      <c r="E1636" t="s">
        <v>2032</v>
      </c>
      <c r="F1636">
        <v>1</v>
      </c>
      <c r="G1636">
        <v>1</v>
      </c>
      <c r="H1636">
        <v>1</v>
      </c>
      <c r="I1636">
        <v>1</v>
      </c>
      <c r="J1636" s="3" t="s">
        <v>2222</v>
      </c>
      <c r="K1636" s="6">
        <v>0</v>
      </c>
    </row>
    <row r="1637" spans="1:11">
      <c r="A1637" t="str">
        <f t="shared" si="25"/>
        <v>Tangki TOP AGRI Double Fungsi 16 ltr baterai1/1/10000</v>
      </c>
      <c r="B1637" t="s">
        <v>11456</v>
      </c>
      <c r="C1637" t="s">
        <v>13540</v>
      </c>
      <c r="D1637" t="s">
        <v>16019</v>
      </c>
      <c r="E1637" t="s">
        <v>2033</v>
      </c>
      <c r="F1637">
        <v>1</v>
      </c>
      <c r="G1637">
        <v>1</v>
      </c>
      <c r="H1637">
        <v>1</v>
      </c>
      <c r="I1637">
        <v>1</v>
      </c>
      <c r="J1637" s="3" t="s">
        <v>2222</v>
      </c>
      <c r="K1637" s="6">
        <v>0</v>
      </c>
    </row>
    <row r="1638" spans="1:11">
      <c r="A1638" t="str">
        <f t="shared" si="25"/>
        <v>Tangki TOP AGRI Single Fungsi 16 ltr baterai1/1/10000</v>
      </c>
      <c r="B1638" t="s">
        <v>11457</v>
      </c>
      <c r="C1638" t="s">
        <v>13541</v>
      </c>
      <c r="D1638" t="s">
        <v>16020</v>
      </c>
      <c r="E1638" t="s">
        <v>2034</v>
      </c>
      <c r="F1638">
        <v>1</v>
      </c>
      <c r="G1638">
        <v>1</v>
      </c>
      <c r="H1638">
        <v>1</v>
      </c>
      <c r="I1638">
        <v>1</v>
      </c>
      <c r="J1638" s="3" t="s">
        <v>2222</v>
      </c>
      <c r="K1638" s="6">
        <v>0</v>
      </c>
    </row>
    <row r="1639" spans="1:11">
      <c r="A1639" t="str">
        <f t="shared" si="25"/>
        <v>Tangki Yoto 14 ltr SS BTR1/1/10000</v>
      </c>
      <c r="B1639" t="s">
        <v>11458</v>
      </c>
      <c r="C1639" t="s">
        <v>13542</v>
      </c>
      <c r="D1639" t="s">
        <v>16021</v>
      </c>
      <c r="E1639" t="s">
        <v>2037</v>
      </c>
      <c r="F1639">
        <v>1</v>
      </c>
      <c r="G1639">
        <v>1</v>
      </c>
      <c r="H1639">
        <v>1</v>
      </c>
      <c r="I1639">
        <v>1</v>
      </c>
      <c r="J1639" s="3" t="s">
        <v>2222</v>
      </c>
      <c r="K1639" s="6">
        <v>0</v>
      </c>
    </row>
    <row r="1640" spans="1:11">
      <c r="A1640" t="str">
        <f t="shared" si="25"/>
        <v>Termikon 15 EC 20 X 400 ml470580</v>
      </c>
      <c r="B1640" t="s">
        <v>11459</v>
      </c>
      <c r="C1640" t="s">
        <v>13543</v>
      </c>
      <c r="D1640" t="s">
        <v>16022</v>
      </c>
      <c r="E1640" t="s">
        <v>2038</v>
      </c>
      <c r="F1640">
        <v>20</v>
      </c>
      <c r="G1640">
        <v>1</v>
      </c>
      <c r="H1640">
        <v>1</v>
      </c>
      <c r="I1640">
        <v>20</v>
      </c>
      <c r="J1640" s="3">
        <v>47058</v>
      </c>
      <c r="K1640" s="6">
        <v>0</v>
      </c>
    </row>
    <row r="1641" spans="1:11">
      <c r="A1641" t="str">
        <f t="shared" si="25"/>
        <v>Termikon 15 EC 20 X 400 ml471780</v>
      </c>
      <c r="B1641" t="s">
        <v>11460</v>
      </c>
      <c r="C1641" t="s">
        <v>13544</v>
      </c>
      <c r="D1641" t="s">
        <v>16023</v>
      </c>
      <c r="E1641" t="s">
        <v>2038</v>
      </c>
      <c r="F1641">
        <v>20</v>
      </c>
      <c r="G1641">
        <v>1</v>
      </c>
      <c r="H1641">
        <v>1</v>
      </c>
      <c r="I1641">
        <v>20</v>
      </c>
      <c r="J1641" s="3">
        <v>47178</v>
      </c>
      <c r="K1641" s="6">
        <v>0</v>
      </c>
    </row>
    <row r="1642" spans="1:11">
      <c r="A1642" t="str">
        <f t="shared" si="25"/>
        <v>Termikon 15 EC 50 X 100 ml471780</v>
      </c>
      <c r="B1642" t="s">
        <v>11461</v>
      </c>
      <c r="C1642" t="s">
        <v>13545</v>
      </c>
      <c r="D1642" t="s">
        <v>16024</v>
      </c>
      <c r="E1642" t="s">
        <v>2039</v>
      </c>
      <c r="F1642">
        <v>50</v>
      </c>
      <c r="G1642">
        <v>1</v>
      </c>
      <c r="H1642">
        <v>1</v>
      </c>
      <c r="I1642">
        <v>50</v>
      </c>
      <c r="J1642" s="3">
        <v>47178</v>
      </c>
      <c r="K1642" s="6">
        <v>0</v>
      </c>
    </row>
    <row r="1643" spans="1:11">
      <c r="A1643" t="str">
        <f t="shared" si="25"/>
        <v>Terminator 135 EC 20 X 500 ml460540</v>
      </c>
      <c r="B1643" t="s">
        <v>11462</v>
      </c>
      <c r="C1643" t="s">
        <v>13546</v>
      </c>
      <c r="D1643" t="s">
        <v>16025</v>
      </c>
      <c r="E1643" t="s">
        <v>2040</v>
      </c>
      <c r="F1643">
        <v>20</v>
      </c>
      <c r="G1643">
        <v>1</v>
      </c>
      <c r="H1643">
        <v>1</v>
      </c>
      <c r="I1643">
        <v>20</v>
      </c>
      <c r="J1643" s="3">
        <v>46054</v>
      </c>
      <c r="K1643" s="6">
        <v>0</v>
      </c>
    </row>
    <row r="1644" spans="1:11">
      <c r="A1644" t="str">
        <f t="shared" si="25"/>
        <v>Terminator 135 EC 40 X 250 ml467530</v>
      </c>
      <c r="B1644" t="s">
        <v>11463</v>
      </c>
      <c r="C1644" t="s">
        <v>13547</v>
      </c>
      <c r="D1644" t="s">
        <v>16026</v>
      </c>
      <c r="E1644" t="s">
        <v>2042</v>
      </c>
      <c r="F1644">
        <v>40</v>
      </c>
      <c r="G1644">
        <v>1</v>
      </c>
      <c r="H1644">
        <v>1</v>
      </c>
      <c r="I1644">
        <v>40</v>
      </c>
      <c r="J1644" s="3">
        <v>46753</v>
      </c>
      <c r="K1644" s="6">
        <v>0</v>
      </c>
    </row>
    <row r="1645" spans="1:11">
      <c r="A1645" t="str">
        <f t="shared" si="25"/>
        <v>Terminator 135 EC 40 X 250 ml470270</v>
      </c>
      <c r="B1645" t="s">
        <v>11464</v>
      </c>
      <c r="C1645" t="s">
        <v>13548</v>
      </c>
      <c r="D1645" t="s">
        <v>16027</v>
      </c>
      <c r="E1645" t="s">
        <v>2042</v>
      </c>
      <c r="F1645">
        <v>40</v>
      </c>
      <c r="G1645">
        <v>1</v>
      </c>
      <c r="H1645">
        <v>1</v>
      </c>
      <c r="I1645">
        <v>40</v>
      </c>
      <c r="J1645" s="3">
        <v>47027</v>
      </c>
      <c r="K1645" s="6">
        <v>0</v>
      </c>
    </row>
    <row r="1646" spans="1:11">
      <c r="A1646" t="str">
        <f t="shared" si="25"/>
        <v>Throne 250 EC 20 X 250 ml468130</v>
      </c>
      <c r="B1646" t="s">
        <v>11465</v>
      </c>
      <c r="C1646" t="s">
        <v>13549</v>
      </c>
      <c r="D1646" t="s">
        <v>16028</v>
      </c>
      <c r="E1646" t="s">
        <v>2049</v>
      </c>
      <c r="F1646">
        <v>20</v>
      </c>
      <c r="G1646">
        <v>1</v>
      </c>
      <c r="H1646">
        <v>1</v>
      </c>
      <c r="I1646">
        <v>20</v>
      </c>
      <c r="J1646" s="3">
        <v>46813</v>
      </c>
      <c r="K1646" s="6">
        <v>0</v>
      </c>
    </row>
    <row r="1647" spans="1:11">
      <c r="A1647" t="str">
        <f t="shared" si="25"/>
        <v>Throne 250 EC 20 X 500 ml465690</v>
      </c>
      <c r="B1647" t="s">
        <v>11466</v>
      </c>
      <c r="C1647" t="s">
        <v>13550</v>
      </c>
      <c r="D1647" t="s">
        <v>16029</v>
      </c>
      <c r="E1647" t="s">
        <v>2051</v>
      </c>
      <c r="F1647">
        <v>20</v>
      </c>
      <c r="G1647">
        <v>1</v>
      </c>
      <c r="H1647">
        <v>1</v>
      </c>
      <c r="I1647">
        <v>20</v>
      </c>
      <c r="J1647" s="3">
        <v>46569</v>
      </c>
      <c r="K1647" s="6">
        <v>0</v>
      </c>
    </row>
    <row r="1648" spans="1:11">
      <c r="A1648" t="str">
        <f t="shared" si="25"/>
        <v>Throne 250 EC 20 X 500 ml468130</v>
      </c>
      <c r="B1648" t="s">
        <v>11467</v>
      </c>
      <c r="C1648" t="s">
        <v>13551</v>
      </c>
      <c r="D1648" t="s">
        <v>16030</v>
      </c>
      <c r="E1648" t="s">
        <v>2051</v>
      </c>
      <c r="F1648">
        <v>20</v>
      </c>
      <c r="G1648">
        <v>1</v>
      </c>
      <c r="H1648">
        <v>1</v>
      </c>
      <c r="I1648">
        <v>20</v>
      </c>
      <c r="J1648" s="3">
        <v>46813</v>
      </c>
      <c r="K1648" s="6">
        <v>0</v>
      </c>
    </row>
    <row r="1649" spans="1:11">
      <c r="A1649" t="str">
        <f t="shared" si="25"/>
        <v>Tombol Regulator1/1/10000</v>
      </c>
      <c r="B1649" t="s">
        <v>11468</v>
      </c>
      <c r="C1649" t="s">
        <v>13552</v>
      </c>
      <c r="D1649" t="s">
        <v>16031</v>
      </c>
      <c r="E1649" t="s">
        <v>2061</v>
      </c>
      <c r="F1649">
        <v>1</v>
      </c>
      <c r="G1649">
        <v>1</v>
      </c>
      <c r="H1649">
        <v>1</v>
      </c>
      <c r="I1649">
        <v>1</v>
      </c>
      <c r="J1649" s="3" t="s">
        <v>2222</v>
      </c>
      <c r="K1649" s="6">
        <v>0</v>
      </c>
    </row>
    <row r="1650" spans="1:11">
      <c r="A1650" t="str">
        <f t="shared" si="25"/>
        <v>Topbas 400 SC 25 X 100 ml471190</v>
      </c>
      <c r="B1650" t="s">
        <v>11469</v>
      </c>
      <c r="C1650" t="s">
        <v>13553</v>
      </c>
      <c r="D1650" t="s">
        <v>16032</v>
      </c>
      <c r="E1650" t="s">
        <v>2062</v>
      </c>
      <c r="F1650">
        <v>25</v>
      </c>
      <c r="G1650">
        <v>1</v>
      </c>
      <c r="H1650">
        <v>1</v>
      </c>
      <c r="I1650">
        <v>25</v>
      </c>
      <c r="J1650" s="3">
        <v>47119</v>
      </c>
      <c r="K1650" s="6">
        <v>0</v>
      </c>
    </row>
    <row r="1651" spans="1:11">
      <c r="A1651" t="str">
        <f t="shared" si="25"/>
        <v>Topbas 400 SC 50 X 50 ml470880</v>
      </c>
      <c r="B1651" t="s">
        <v>11470</v>
      </c>
      <c r="C1651" t="s">
        <v>13554</v>
      </c>
      <c r="D1651" t="s">
        <v>16033</v>
      </c>
      <c r="E1651" t="s">
        <v>2063</v>
      </c>
      <c r="F1651">
        <v>50</v>
      </c>
      <c r="G1651">
        <v>1</v>
      </c>
      <c r="H1651">
        <v>1</v>
      </c>
      <c r="I1651">
        <v>50</v>
      </c>
      <c r="J1651" s="3">
        <v>47088</v>
      </c>
      <c r="K1651" s="6">
        <v>0</v>
      </c>
    </row>
    <row r="1652" spans="1:11">
      <c r="A1652" t="str">
        <f t="shared" si="25"/>
        <v>Topi Agricon1/1/10000</v>
      </c>
      <c r="B1652" t="s">
        <v>11471</v>
      </c>
      <c r="C1652" t="s">
        <v>13555</v>
      </c>
      <c r="D1652" t="s">
        <v>16034</v>
      </c>
      <c r="E1652" t="s">
        <v>2064</v>
      </c>
      <c r="F1652">
        <v>1</v>
      </c>
      <c r="G1652">
        <v>1</v>
      </c>
      <c r="H1652">
        <v>1</v>
      </c>
      <c r="I1652">
        <v>1</v>
      </c>
      <c r="J1652" s="3" t="s">
        <v>2222</v>
      </c>
      <c r="K1652" s="6">
        <v>0</v>
      </c>
    </row>
    <row r="1653" spans="1:11">
      <c r="A1653" t="str">
        <f t="shared" si="25"/>
        <v>Topi Bayer1/1/10000</v>
      </c>
      <c r="B1653" t="s">
        <v>11472</v>
      </c>
      <c r="C1653" t="s">
        <v>13556</v>
      </c>
      <c r="D1653" t="s">
        <v>16035</v>
      </c>
      <c r="E1653" t="s">
        <v>2065</v>
      </c>
      <c r="F1653">
        <v>1</v>
      </c>
      <c r="G1653">
        <v>1</v>
      </c>
      <c r="H1653">
        <v>1</v>
      </c>
      <c r="I1653">
        <v>1</v>
      </c>
      <c r="J1653" s="3" t="s">
        <v>2222</v>
      </c>
      <c r="K1653" s="6">
        <v>0</v>
      </c>
    </row>
    <row r="1654" spans="1:11">
      <c r="A1654" t="str">
        <f t="shared" si="25"/>
        <v>Topi Jagung Bisi1/1/10000</v>
      </c>
      <c r="B1654" t="s">
        <v>11473</v>
      </c>
      <c r="C1654" t="s">
        <v>13557</v>
      </c>
      <c r="D1654" t="s">
        <v>16036</v>
      </c>
      <c r="E1654" t="s">
        <v>2066</v>
      </c>
      <c r="F1654">
        <v>1</v>
      </c>
      <c r="G1654">
        <v>1</v>
      </c>
      <c r="H1654">
        <v>1</v>
      </c>
      <c r="I1654">
        <v>1</v>
      </c>
      <c r="J1654" s="3" t="s">
        <v>2222</v>
      </c>
      <c r="K1654" s="6">
        <v>0</v>
      </c>
    </row>
    <row r="1655" spans="1:11">
      <c r="A1655" t="str">
        <f t="shared" si="25"/>
        <v>Topi Mulsa Hanoman1/1/10000</v>
      </c>
      <c r="B1655" t="s">
        <v>11474</v>
      </c>
      <c r="C1655" t="s">
        <v>13558</v>
      </c>
      <c r="D1655" t="s">
        <v>16037</v>
      </c>
      <c r="E1655" t="s">
        <v>2067</v>
      </c>
      <c r="F1655">
        <v>1</v>
      </c>
      <c r="G1655">
        <v>1</v>
      </c>
      <c r="H1655">
        <v>1</v>
      </c>
      <c r="I1655">
        <v>1</v>
      </c>
      <c r="J1655" s="3" t="s">
        <v>2222</v>
      </c>
      <c r="K1655" s="6">
        <v>0</v>
      </c>
    </row>
    <row r="1656" spans="1:11">
      <c r="A1656" t="str">
        <f t="shared" si="25"/>
        <v>Topi Orbit1/1/10000</v>
      </c>
      <c r="B1656" t="s">
        <v>11475</v>
      </c>
      <c r="C1656" t="s">
        <v>13559</v>
      </c>
      <c r="D1656" t="s">
        <v>16038</v>
      </c>
      <c r="E1656" t="s">
        <v>2068</v>
      </c>
      <c r="F1656">
        <v>1</v>
      </c>
      <c r="G1656">
        <v>1</v>
      </c>
      <c r="H1656">
        <v>1</v>
      </c>
      <c r="I1656">
        <v>1</v>
      </c>
      <c r="J1656" s="3" t="s">
        <v>2222</v>
      </c>
      <c r="K1656" s="6">
        <v>0</v>
      </c>
    </row>
    <row r="1657" spans="1:11">
      <c r="A1657" t="str">
        <f t="shared" si="25"/>
        <v>Topi Pertiwi1/1/10000</v>
      </c>
      <c r="B1657" t="s">
        <v>11476</v>
      </c>
      <c r="C1657" t="s">
        <v>13560</v>
      </c>
      <c r="D1657" t="s">
        <v>16039</v>
      </c>
      <c r="E1657" t="s">
        <v>2069</v>
      </c>
      <c r="F1657">
        <v>1</v>
      </c>
      <c r="G1657">
        <v>1</v>
      </c>
      <c r="H1657">
        <v>1</v>
      </c>
      <c r="I1657">
        <v>1</v>
      </c>
      <c r="J1657" s="3" t="s">
        <v>2222</v>
      </c>
      <c r="K1657" s="6">
        <v>0</v>
      </c>
    </row>
    <row r="1658" spans="1:11">
      <c r="A1658" t="str">
        <f t="shared" si="25"/>
        <v>Topi PT Karisma1/1/10000</v>
      </c>
      <c r="B1658" t="s">
        <v>11477</v>
      </c>
      <c r="C1658" t="s">
        <v>13561</v>
      </c>
      <c r="D1658" t="s">
        <v>16040</v>
      </c>
      <c r="E1658" t="s">
        <v>2070</v>
      </c>
      <c r="F1658">
        <v>1</v>
      </c>
      <c r="G1658">
        <v>1</v>
      </c>
      <c r="H1658">
        <v>1</v>
      </c>
      <c r="I1658">
        <v>1</v>
      </c>
      <c r="J1658" s="3" t="s">
        <v>2222</v>
      </c>
      <c r="K1658" s="6">
        <v>0</v>
      </c>
    </row>
    <row r="1659" spans="1:11">
      <c r="A1659" t="str">
        <f t="shared" si="25"/>
        <v>Topi Rimba Atonik1/1/10000</v>
      </c>
      <c r="B1659" t="s">
        <v>11478</v>
      </c>
      <c r="C1659" t="s">
        <v>13562</v>
      </c>
      <c r="D1659" t="s">
        <v>16041</v>
      </c>
      <c r="E1659" t="s">
        <v>2071</v>
      </c>
      <c r="F1659">
        <v>1</v>
      </c>
      <c r="G1659">
        <v>1</v>
      </c>
      <c r="H1659">
        <v>1</v>
      </c>
      <c r="I1659">
        <v>1</v>
      </c>
      <c r="J1659" s="3" t="s">
        <v>2222</v>
      </c>
      <c r="K1659" s="6">
        <v>0</v>
      </c>
    </row>
    <row r="1660" spans="1:11">
      <c r="A1660" t="str">
        <f t="shared" si="25"/>
        <v>Topi Syngenta1/1/10000</v>
      </c>
      <c r="B1660" t="s">
        <v>11479</v>
      </c>
      <c r="C1660" t="s">
        <v>13563</v>
      </c>
      <c r="D1660" t="s">
        <v>16042</v>
      </c>
      <c r="E1660" t="s">
        <v>2072</v>
      </c>
      <c r="F1660">
        <v>1</v>
      </c>
      <c r="G1660">
        <v>1</v>
      </c>
      <c r="H1660">
        <v>1</v>
      </c>
      <c r="I1660">
        <v>1</v>
      </c>
      <c r="J1660" s="3" t="s">
        <v>2222</v>
      </c>
      <c r="K1660" s="6">
        <v>0</v>
      </c>
    </row>
    <row r="1661" spans="1:11">
      <c r="A1661" t="str">
        <f t="shared" si="25"/>
        <v>Topida 25 WP 100 X 100 gr469350</v>
      </c>
      <c r="B1661" t="s">
        <v>11480</v>
      </c>
      <c r="C1661" t="s">
        <v>13564</v>
      </c>
      <c r="D1661" t="s">
        <v>16043</v>
      </c>
      <c r="E1661" t="s">
        <v>2073</v>
      </c>
      <c r="F1661">
        <v>100</v>
      </c>
      <c r="G1661">
        <v>1</v>
      </c>
      <c r="H1661">
        <v>1</v>
      </c>
      <c r="I1661">
        <v>100</v>
      </c>
      <c r="J1661" s="3">
        <v>46935</v>
      </c>
      <c r="K1661" s="6">
        <v>0</v>
      </c>
    </row>
    <row r="1662" spans="1:11">
      <c r="A1662" t="str">
        <f t="shared" si="25"/>
        <v>Topida 25 WP 50 X 100 gr474530</v>
      </c>
      <c r="B1662" t="s">
        <v>11481</v>
      </c>
      <c r="C1662" t="s">
        <v>13565</v>
      </c>
      <c r="D1662" t="s">
        <v>16044</v>
      </c>
      <c r="E1662" t="s">
        <v>2074</v>
      </c>
      <c r="F1662">
        <v>50</v>
      </c>
      <c r="G1662">
        <v>1</v>
      </c>
      <c r="H1662">
        <v>1</v>
      </c>
      <c r="I1662">
        <v>50</v>
      </c>
      <c r="J1662" s="3">
        <v>47453</v>
      </c>
      <c r="K1662" s="6">
        <v>0</v>
      </c>
    </row>
    <row r="1663" spans="1:11">
      <c r="A1663" t="str">
        <f t="shared" si="25"/>
        <v>Topjos 300 SL 20 X 1 ltr471780</v>
      </c>
      <c r="B1663" t="s">
        <v>11482</v>
      </c>
      <c r="C1663" t="s">
        <v>13566</v>
      </c>
      <c r="D1663" t="s">
        <v>16045</v>
      </c>
      <c r="E1663" t="s">
        <v>2075</v>
      </c>
      <c r="F1663">
        <v>20</v>
      </c>
      <c r="G1663">
        <v>1</v>
      </c>
      <c r="H1663">
        <v>1</v>
      </c>
      <c r="I1663">
        <v>20</v>
      </c>
      <c r="J1663" s="3">
        <v>47178</v>
      </c>
      <c r="K1663" s="6">
        <v>0</v>
      </c>
    </row>
    <row r="1664" spans="1:11">
      <c r="A1664" t="str">
        <f t="shared" si="25"/>
        <v>Topjos 300 SL 20 X 1 ltr472090</v>
      </c>
      <c r="B1664" t="s">
        <v>11483</v>
      </c>
      <c r="C1664" t="s">
        <v>13567</v>
      </c>
      <c r="D1664" t="s">
        <v>16046</v>
      </c>
      <c r="E1664" t="s">
        <v>2075</v>
      </c>
      <c r="F1664">
        <v>20</v>
      </c>
      <c r="G1664">
        <v>1</v>
      </c>
      <c r="H1664">
        <v>1</v>
      </c>
      <c r="I1664">
        <v>20</v>
      </c>
      <c r="J1664" s="3">
        <v>47209</v>
      </c>
      <c r="K1664" s="6">
        <v>0</v>
      </c>
    </row>
    <row r="1665" spans="1:11">
      <c r="A1665" t="str">
        <f t="shared" si="25"/>
        <v>Topsil B/K 30 X 450 gr461430</v>
      </c>
      <c r="B1665" t="s">
        <v>11484</v>
      </c>
      <c r="C1665" t="s">
        <v>13568</v>
      </c>
      <c r="D1665" t="s">
        <v>16047</v>
      </c>
      <c r="E1665" t="s">
        <v>2076</v>
      </c>
      <c r="F1665">
        <v>30</v>
      </c>
      <c r="G1665">
        <v>1</v>
      </c>
      <c r="H1665">
        <v>1</v>
      </c>
      <c r="I1665">
        <v>30</v>
      </c>
      <c r="J1665" s="3">
        <v>46143</v>
      </c>
      <c r="K1665" s="6">
        <v>0</v>
      </c>
    </row>
    <row r="1666" spans="1:11">
      <c r="A1666" t="str">
        <f t="shared" si="25"/>
        <v>Topsindo 70 WP 20 X 500 gr455050</v>
      </c>
      <c r="B1666" t="s">
        <v>11485</v>
      </c>
      <c r="C1666" t="s">
        <v>13569</v>
      </c>
      <c r="D1666" t="s">
        <v>16048</v>
      </c>
      <c r="E1666" t="s">
        <v>2077</v>
      </c>
      <c r="F1666">
        <v>20</v>
      </c>
      <c r="G1666">
        <v>1</v>
      </c>
      <c r="H1666">
        <v>1</v>
      </c>
      <c r="I1666">
        <v>20</v>
      </c>
      <c r="J1666" s="3">
        <v>45505</v>
      </c>
      <c r="K1666" s="6">
        <v>0</v>
      </c>
    </row>
    <row r="1667" spans="1:11">
      <c r="A1667" t="str">
        <f t="shared" ref="A1667:A1730" si="26">E1667&amp;J1667&amp;K1667</f>
        <v>Topsindo 70 WP 20 X 500 gr472090</v>
      </c>
      <c r="B1667" t="s">
        <v>11486</v>
      </c>
      <c r="C1667" t="s">
        <v>13570</v>
      </c>
      <c r="D1667" t="s">
        <v>16049</v>
      </c>
      <c r="E1667" t="s">
        <v>2077</v>
      </c>
      <c r="F1667">
        <v>20</v>
      </c>
      <c r="G1667">
        <v>1</v>
      </c>
      <c r="H1667">
        <v>1</v>
      </c>
      <c r="I1667">
        <v>20</v>
      </c>
      <c r="J1667" s="3">
        <v>47209</v>
      </c>
      <c r="K1667" s="6">
        <v>0</v>
      </c>
    </row>
    <row r="1668" spans="1:11">
      <c r="A1668" t="str">
        <f t="shared" si="26"/>
        <v>Tori 50 WP 5 X 100 gr (Sample)1/1/10000</v>
      </c>
      <c r="B1668" t="s">
        <v>11487</v>
      </c>
      <c r="C1668" t="s">
        <v>13571</v>
      </c>
      <c r="D1668" t="s">
        <v>16050</v>
      </c>
      <c r="E1668" t="s">
        <v>2078</v>
      </c>
      <c r="F1668">
        <v>5</v>
      </c>
      <c r="G1668">
        <v>1</v>
      </c>
      <c r="H1668">
        <v>1</v>
      </c>
      <c r="I1668">
        <v>5</v>
      </c>
      <c r="J1668" s="3" t="s">
        <v>2222</v>
      </c>
      <c r="K1668" s="6">
        <v>0</v>
      </c>
    </row>
    <row r="1669" spans="1:11">
      <c r="A1669" t="str">
        <f t="shared" si="26"/>
        <v>Trigard 75 WP 10 X 10 X 50 gr459010</v>
      </c>
      <c r="B1669" t="s">
        <v>11488</v>
      </c>
      <c r="C1669" t="s">
        <v>13572</v>
      </c>
      <c r="D1669" t="s">
        <v>16051</v>
      </c>
      <c r="E1669" t="s">
        <v>2079</v>
      </c>
      <c r="F1669">
        <v>10</v>
      </c>
      <c r="G1669">
        <v>10</v>
      </c>
      <c r="H1669">
        <v>1</v>
      </c>
      <c r="I1669">
        <v>100</v>
      </c>
      <c r="J1669" s="3">
        <v>45901</v>
      </c>
      <c r="K1669" s="6">
        <v>0</v>
      </c>
    </row>
    <row r="1670" spans="1:11">
      <c r="A1670" t="str">
        <f t="shared" si="26"/>
        <v>Trigard 75 WP 12 X 10 X 25 gr460540</v>
      </c>
      <c r="B1670" t="s">
        <v>11489</v>
      </c>
      <c r="C1670" t="s">
        <v>13573</v>
      </c>
      <c r="D1670" t="s">
        <v>16052</v>
      </c>
      <c r="E1670" t="s">
        <v>2082</v>
      </c>
      <c r="F1670">
        <v>12</v>
      </c>
      <c r="G1670">
        <v>10</v>
      </c>
      <c r="H1670">
        <v>1</v>
      </c>
      <c r="I1670">
        <v>120</v>
      </c>
      <c r="J1670" s="3">
        <v>46054</v>
      </c>
      <c r="K1670" s="6">
        <v>0</v>
      </c>
    </row>
    <row r="1671" spans="1:11">
      <c r="A1671" t="str">
        <f t="shared" si="26"/>
        <v>Trip Oil 100 X 50 ml470580</v>
      </c>
      <c r="B1671" t="s">
        <v>11490</v>
      </c>
      <c r="C1671" t="s">
        <v>13574</v>
      </c>
      <c r="D1671" t="s">
        <v>16053</v>
      </c>
      <c r="E1671" t="s">
        <v>2084</v>
      </c>
      <c r="F1671">
        <v>100</v>
      </c>
      <c r="G1671">
        <v>1</v>
      </c>
      <c r="H1671">
        <v>1</v>
      </c>
      <c r="I1671">
        <v>100</v>
      </c>
      <c r="J1671" s="3">
        <v>47058</v>
      </c>
      <c r="K1671" s="6">
        <v>0</v>
      </c>
    </row>
    <row r="1672" spans="1:11">
      <c r="A1672" t="str">
        <f t="shared" si="26"/>
        <v>Trip Oil 100 X 50 ml468740</v>
      </c>
      <c r="B1672" t="s">
        <v>11491</v>
      </c>
      <c r="C1672" t="s">
        <v>13575</v>
      </c>
      <c r="D1672" t="s">
        <v>16054</v>
      </c>
      <c r="E1672" t="s">
        <v>2084</v>
      </c>
      <c r="F1672">
        <v>100</v>
      </c>
      <c r="G1672">
        <v>1</v>
      </c>
      <c r="H1672">
        <v>1</v>
      </c>
      <c r="I1672">
        <v>100</v>
      </c>
      <c r="J1672" s="3">
        <v>46874</v>
      </c>
      <c r="K1672" s="6">
        <v>0</v>
      </c>
    </row>
    <row r="1673" spans="1:11">
      <c r="A1673" t="str">
        <f t="shared" si="26"/>
        <v>Triple XXX 20 X 1 ltr469050</v>
      </c>
      <c r="B1673" t="s">
        <v>11492</v>
      </c>
      <c r="C1673" t="s">
        <v>13576</v>
      </c>
      <c r="D1673" t="s">
        <v>16055</v>
      </c>
      <c r="E1673" t="s">
        <v>2085</v>
      </c>
      <c r="F1673">
        <v>20</v>
      </c>
      <c r="G1673">
        <v>1</v>
      </c>
      <c r="H1673">
        <v>1</v>
      </c>
      <c r="I1673">
        <v>20</v>
      </c>
      <c r="J1673" s="3">
        <v>46905</v>
      </c>
      <c r="K1673" s="6">
        <v>0</v>
      </c>
    </row>
    <row r="1674" spans="1:11">
      <c r="A1674" t="str">
        <f t="shared" si="26"/>
        <v>Triplelima 555 SL 20 X 1 ltr471190</v>
      </c>
      <c r="B1674" t="s">
        <v>11493</v>
      </c>
      <c r="C1674" t="s">
        <v>13577</v>
      </c>
      <c r="D1674" t="s">
        <v>16056</v>
      </c>
      <c r="E1674" t="s">
        <v>2086</v>
      </c>
      <c r="F1674">
        <v>20</v>
      </c>
      <c r="G1674">
        <v>1</v>
      </c>
      <c r="H1674">
        <v>1</v>
      </c>
      <c r="I1674">
        <v>20</v>
      </c>
      <c r="J1674" s="3">
        <v>47119</v>
      </c>
      <c r="K1674" s="6">
        <v>0</v>
      </c>
    </row>
    <row r="1675" spans="1:11">
      <c r="A1675" t="str">
        <f t="shared" si="26"/>
        <v>Triplelima 555 SL 20 X 1 ltr472700</v>
      </c>
      <c r="B1675" t="s">
        <v>11494</v>
      </c>
      <c r="C1675" t="s">
        <v>13578</v>
      </c>
      <c r="D1675" t="s">
        <v>16057</v>
      </c>
      <c r="E1675" t="s">
        <v>2086</v>
      </c>
      <c r="F1675">
        <v>20</v>
      </c>
      <c r="G1675">
        <v>1</v>
      </c>
      <c r="H1675">
        <v>1</v>
      </c>
      <c r="I1675">
        <v>20</v>
      </c>
      <c r="J1675" s="3">
        <v>47270</v>
      </c>
      <c r="K1675" s="6">
        <v>0</v>
      </c>
    </row>
    <row r="1676" spans="1:11">
      <c r="A1676" t="str">
        <f t="shared" si="26"/>
        <v>Trisula 450 SL 20 X 1 ltr466610</v>
      </c>
      <c r="B1676" t="s">
        <v>11495</v>
      </c>
      <c r="C1676" t="s">
        <v>13579</v>
      </c>
      <c r="D1676" t="s">
        <v>16058</v>
      </c>
      <c r="E1676" t="s">
        <v>2087</v>
      </c>
      <c r="F1676">
        <v>20</v>
      </c>
      <c r="G1676">
        <v>1</v>
      </c>
      <c r="H1676">
        <v>1</v>
      </c>
      <c r="I1676">
        <v>20</v>
      </c>
      <c r="J1676" s="3">
        <v>46661</v>
      </c>
      <c r="K1676" s="6">
        <v>0</v>
      </c>
    </row>
    <row r="1677" spans="1:11">
      <c r="A1677" t="str">
        <f t="shared" si="26"/>
        <v>T-Shirt Polo Dithane/Dursban1/1/10000</v>
      </c>
      <c r="B1677" t="s">
        <v>11496</v>
      </c>
      <c r="C1677" t="s">
        <v>13580</v>
      </c>
      <c r="D1677" t="s">
        <v>16059</v>
      </c>
      <c r="E1677" t="s">
        <v>2089</v>
      </c>
      <c r="F1677">
        <v>1</v>
      </c>
      <c r="G1677">
        <v>1</v>
      </c>
      <c r="H1677">
        <v>1</v>
      </c>
      <c r="I1677">
        <v>1</v>
      </c>
      <c r="J1677" s="3" t="s">
        <v>2222</v>
      </c>
      <c r="K1677" s="6">
        <v>0</v>
      </c>
    </row>
    <row r="1678" spans="1:11">
      <c r="A1678" t="str">
        <f t="shared" si="26"/>
        <v>T-Shirt Polo Endure/Nurelle1/1/10000</v>
      </c>
      <c r="B1678" t="s">
        <v>11497</v>
      </c>
      <c r="C1678" t="s">
        <v>13581</v>
      </c>
      <c r="D1678" t="s">
        <v>16060</v>
      </c>
      <c r="E1678" t="s">
        <v>2090</v>
      </c>
      <c r="F1678">
        <v>1</v>
      </c>
      <c r="G1678">
        <v>1</v>
      </c>
      <c r="H1678">
        <v>1</v>
      </c>
      <c r="I1678">
        <v>1</v>
      </c>
      <c r="J1678" s="3" t="s">
        <v>2222</v>
      </c>
      <c r="K1678" s="6">
        <v>0</v>
      </c>
    </row>
    <row r="1679" spans="1:11">
      <c r="A1679" t="str">
        <f t="shared" si="26"/>
        <v>Tuntas 300/100 SL 20 X 1 ltr472390</v>
      </c>
      <c r="B1679" t="s">
        <v>11498</v>
      </c>
      <c r="C1679" t="s">
        <v>13582</v>
      </c>
      <c r="D1679" t="s">
        <v>16061</v>
      </c>
      <c r="E1679" t="s">
        <v>2091</v>
      </c>
      <c r="F1679">
        <v>20</v>
      </c>
      <c r="G1679">
        <v>1</v>
      </c>
      <c r="H1679">
        <v>1</v>
      </c>
      <c r="I1679">
        <v>20</v>
      </c>
      <c r="J1679" s="3">
        <v>47239</v>
      </c>
      <c r="K1679" s="6">
        <v>0</v>
      </c>
    </row>
    <row r="1680" spans="1:11">
      <c r="A1680" t="str">
        <f t="shared" si="26"/>
        <v>Tuntas 300/100 SL 20 X 1 ltr471780</v>
      </c>
      <c r="B1680" t="s">
        <v>11499</v>
      </c>
      <c r="C1680" t="s">
        <v>13583</v>
      </c>
      <c r="D1680" t="s">
        <v>16062</v>
      </c>
      <c r="E1680" t="s">
        <v>2091</v>
      </c>
      <c r="F1680">
        <v>20</v>
      </c>
      <c r="G1680">
        <v>1</v>
      </c>
      <c r="H1680">
        <v>1</v>
      </c>
      <c r="I1680">
        <v>20</v>
      </c>
      <c r="J1680" s="3">
        <v>47178</v>
      </c>
      <c r="K1680" s="6">
        <v>0</v>
      </c>
    </row>
    <row r="1681" spans="1:11">
      <c r="A1681" t="str">
        <f t="shared" si="26"/>
        <v>Tuntas 300/100 SL 20 X 1 ltr472090</v>
      </c>
      <c r="B1681" t="s">
        <v>11500</v>
      </c>
      <c r="C1681" t="s">
        <v>13584</v>
      </c>
      <c r="D1681" t="s">
        <v>16063</v>
      </c>
      <c r="E1681" t="s">
        <v>2091</v>
      </c>
      <c r="F1681">
        <v>20</v>
      </c>
      <c r="G1681">
        <v>1</v>
      </c>
      <c r="H1681">
        <v>1</v>
      </c>
      <c r="I1681">
        <v>20</v>
      </c>
      <c r="J1681" s="3">
        <v>47209</v>
      </c>
      <c r="K1681" s="6">
        <v>0</v>
      </c>
    </row>
    <row r="1682" spans="1:11">
      <c r="A1682" t="str">
        <f t="shared" si="26"/>
        <v>Tuntas 300/100 SL 20 X 500 ml468740</v>
      </c>
      <c r="B1682" t="s">
        <v>11501</v>
      </c>
      <c r="C1682" t="s">
        <v>13585</v>
      </c>
      <c r="D1682" t="s">
        <v>16064</v>
      </c>
      <c r="E1682" t="s">
        <v>2092</v>
      </c>
      <c r="F1682">
        <v>20</v>
      </c>
      <c r="G1682">
        <v>1</v>
      </c>
      <c r="H1682">
        <v>1</v>
      </c>
      <c r="I1682">
        <v>20</v>
      </c>
      <c r="J1682" s="3">
        <v>46874</v>
      </c>
      <c r="K1682" s="6">
        <v>0</v>
      </c>
    </row>
    <row r="1683" spans="1:11">
      <c r="A1683" t="str">
        <f t="shared" si="26"/>
        <v>Tuntas 300/100 SL 20 X 500 ml471190</v>
      </c>
      <c r="B1683" t="s">
        <v>11502</v>
      </c>
      <c r="C1683" t="s">
        <v>13586</v>
      </c>
      <c r="D1683" t="s">
        <v>16065</v>
      </c>
      <c r="E1683" t="s">
        <v>2092</v>
      </c>
      <c r="F1683">
        <v>20</v>
      </c>
      <c r="G1683">
        <v>1</v>
      </c>
      <c r="H1683">
        <v>1</v>
      </c>
      <c r="I1683">
        <v>20</v>
      </c>
      <c r="J1683" s="3">
        <v>47119</v>
      </c>
      <c r="K1683" s="6">
        <v>0</v>
      </c>
    </row>
    <row r="1684" spans="1:11">
      <c r="A1684" t="str">
        <f t="shared" si="26"/>
        <v>Tuntas 300/100 SL 20 X 500 ml472090</v>
      </c>
      <c r="B1684" t="s">
        <v>11503</v>
      </c>
      <c r="C1684" t="s">
        <v>13587</v>
      </c>
      <c r="D1684" t="s">
        <v>16066</v>
      </c>
      <c r="E1684" t="s">
        <v>2092</v>
      </c>
      <c r="F1684">
        <v>20</v>
      </c>
      <c r="G1684">
        <v>1</v>
      </c>
      <c r="H1684">
        <v>1</v>
      </c>
      <c r="I1684">
        <v>20</v>
      </c>
      <c r="J1684" s="3">
        <v>47209</v>
      </c>
      <c r="K1684" s="6">
        <v>0</v>
      </c>
    </row>
    <row r="1685" spans="1:11">
      <c r="A1685" t="str">
        <f t="shared" si="26"/>
        <v>Tutup Sprayer GA1/1/10000</v>
      </c>
      <c r="B1685" t="s">
        <v>11504</v>
      </c>
      <c r="C1685" t="s">
        <v>13588</v>
      </c>
      <c r="D1685" t="s">
        <v>16067</v>
      </c>
      <c r="E1685" t="s">
        <v>2093</v>
      </c>
      <c r="F1685">
        <v>1</v>
      </c>
      <c r="G1685">
        <v>1</v>
      </c>
      <c r="H1685">
        <v>1</v>
      </c>
      <c r="I1685">
        <v>1</v>
      </c>
      <c r="J1685" s="3" t="s">
        <v>2222</v>
      </c>
      <c r="K1685" s="6">
        <v>0</v>
      </c>
    </row>
    <row r="1686" spans="1:11">
      <c r="A1686" t="str">
        <f t="shared" si="26"/>
        <v>Tutup Tabung 14 ltr Star Metal1/1/10000</v>
      </c>
      <c r="B1686" t="s">
        <v>11505</v>
      </c>
      <c r="C1686" t="s">
        <v>13589</v>
      </c>
      <c r="D1686" t="s">
        <v>16068</v>
      </c>
      <c r="E1686" t="s">
        <v>2094</v>
      </c>
      <c r="F1686">
        <v>1</v>
      </c>
      <c r="G1686">
        <v>1</v>
      </c>
      <c r="H1686">
        <v>1</v>
      </c>
      <c r="I1686">
        <v>1</v>
      </c>
      <c r="J1686" s="3" t="s">
        <v>2222</v>
      </c>
      <c r="K1686" s="6">
        <v>0</v>
      </c>
    </row>
    <row r="1687" spans="1:11">
      <c r="A1687" t="str">
        <f t="shared" si="26"/>
        <v>Tutup Tabung 17 ltr Star Metal1/1/10000</v>
      </c>
      <c r="B1687" t="s">
        <v>11506</v>
      </c>
      <c r="C1687" t="s">
        <v>13590</v>
      </c>
      <c r="D1687" t="s">
        <v>16069</v>
      </c>
      <c r="E1687" t="s">
        <v>2095</v>
      </c>
      <c r="F1687">
        <v>1</v>
      </c>
      <c r="G1687">
        <v>1</v>
      </c>
      <c r="H1687">
        <v>1</v>
      </c>
      <c r="I1687">
        <v>1</v>
      </c>
      <c r="J1687" s="3" t="s">
        <v>2222</v>
      </c>
      <c r="K1687" s="6">
        <v>0</v>
      </c>
    </row>
    <row r="1688" spans="1:11">
      <c r="A1688" t="str">
        <f t="shared" si="26"/>
        <v>Tutup Tangki 20 ltr1/1/10000</v>
      </c>
      <c r="B1688" t="s">
        <v>11507</v>
      </c>
      <c r="C1688" t="s">
        <v>13591</v>
      </c>
      <c r="D1688" t="s">
        <v>16070</v>
      </c>
      <c r="E1688" t="s">
        <v>2096</v>
      </c>
      <c r="F1688">
        <v>1</v>
      </c>
      <c r="G1688">
        <v>1</v>
      </c>
      <c r="H1688">
        <v>1</v>
      </c>
      <c r="I1688">
        <v>1</v>
      </c>
      <c r="J1688" s="3" t="s">
        <v>2222</v>
      </c>
      <c r="K1688" s="6">
        <v>0</v>
      </c>
    </row>
    <row r="1689" spans="1:11">
      <c r="A1689" t="str">
        <f t="shared" si="26"/>
        <v>Tutup Tangki Babel Star Metal1/1/10000</v>
      </c>
      <c r="B1689" t="s">
        <v>11508</v>
      </c>
      <c r="C1689" t="s">
        <v>13592</v>
      </c>
      <c r="D1689" t="s">
        <v>16071</v>
      </c>
      <c r="E1689" t="s">
        <v>2097</v>
      </c>
      <c r="F1689">
        <v>1</v>
      </c>
      <c r="G1689">
        <v>1</v>
      </c>
      <c r="H1689">
        <v>1</v>
      </c>
      <c r="I1689">
        <v>1</v>
      </c>
      <c r="J1689" s="3" t="s">
        <v>2222</v>
      </c>
      <c r="K1689" s="6">
        <v>0</v>
      </c>
    </row>
    <row r="1690" spans="1:11">
      <c r="A1690" t="str">
        <f t="shared" si="26"/>
        <v>TV LED COOCA ANDROID1/1/10000</v>
      </c>
      <c r="B1690" t="s">
        <v>11509</v>
      </c>
      <c r="C1690" t="s">
        <v>13593</v>
      </c>
      <c r="D1690" t="s">
        <v>16072</v>
      </c>
      <c r="E1690" t="s">
        <v>2098</v>
      </c>
      <c r="F1690">
        <v>1</v>
      </c>
      <c r="G1690">
        <v>1</v>
      </c>
      <c r="H1690">
        <v>1</v>
      </c>
      <c r="I1690">
        <v>1</v>
      </c>
      <c r="J1690" s="3" t="s">
        <v>2222</v>
      </c>
      <c r="K1690" s="6">
        <v>0</v>
      </c>
    </row>
    <row r="1691" spans="1:11">
      <c r="A1691" t="str">
        <f t="shared" si="26"/>
        <v>TV LED LG 22"1/1/10000</v>
      </c>
      <c r="B1691" t="s">
        <v>11510</v>
      </c>
      <c r="C1691" t="s">
        <v>13594</v>
      </c>
      <c r="D1691" t="s">
        <v>16073</v>
      </c>
      <c r="E1691" t="s">
        <v>2099</v>
      </c>
      <c r="F1691">
        <v>1</v>
      </c>
      <c r="G1691">
        <v>1</v>
      </c>
      <c r="H1691">
        <v>1</v>
      </c>
      <c r="I1691">
        <v>1</v>
      </c>
      <c r="J1691" s="3" t="s">
        <v>2222</v>
      </c>
      <c r="K1691" s="6">
        <v>0</v>
      </c>
    </row>
    <row r="1692" spans="1:11">
      <c r="A1692" t="str">
        <f t="shared" si="26"/>
        <v>TV LED Samsung 32"1/1/10000</v>
      </c>
      <c r="B1692" t="s">
        <v>11511</v>
      </c>
      <c r="C1692" t="s">
        <v>13595</v>
      </c>
      <c r="D1692" t="s">
        <v>16074</v>
      </c>
      <c r="E1692" t="s">
        <v>2100</v>
      </c>
      <c r="F1692">
        <v>1</v>
      </c>
      <c r="G1692">
        <v>1</v>
      </c>
      <c r="H1692">
        <v>1</v>
      </c>
      <c r="I1692">
        <v>1</v>
      </c>
      <c r="J1692" s="3" t="s">
        <v>2222</v>
      </c>
      <c r="K1692" s="6">
        <v>0</v>
      </c>
    </row>
    <row r="1693" spans="1:11">
      <c r="A1693" t="str">
        <f t="shared" si="26"/>
        <v>TV LED Sharp Aquos 24"1/1/10000</v>
      </c>
      <c r="B1693" t="s">
        <v>11512</v>
      </c>
      <c r="C1693" t="s">
        <v>13596</v>
      </c>
      <c r="D1693" t="s">
        <v>16075</v>
      </c>
      <c r="E1693" t="s">
        <v>2101</v>
      </c>
      <c r="F1693">
        <v>1</v>
      </c>
      <c r="G1693">
        <v>1</v>
      </c>
      <c r="H1693">
        <v>1</v>
      </c>
      <c r="I1693">
        <v>1</v>
      </c>
      <c r="J1693" s="3" t="s">
        <v>2222</v>
      </c>
      <c r="K1693" s="6">
        <v>0</v>
      </c>
    </row>
    <row r="1694" spans="1:11">
      <c r="A1694" t="str">
        <f t="shared" si="26"/>
        <v>TV Samsung Full HD Smart TV 43"1/1/10000</v>
      </c>
      <c r="B1694" t="s">
        <v>11513</v>
      </c>
      <c r="C1694" t="s">
        <v>13597</v>
      </c>
      <c r="D1694" t="s">
        <v>16076</v>
      </c>
      <c r="E1694" t="s">
        <v>2102</v>
      </c>
      <c r="F1694">
        <v>1</v>
      </c>
      <c r="G1694">
        <v>1</v>
      </c>
      <c r="H1694">
        <v>1</v>
      </c>
      <c r="I1694">
        <v>1</v>
      </c>
      <c r="J1694" s="3" t="s">
        <v>2222</v>
      </c>
      <c r="K1694" s="6">
        <v>0</v>
      </c>
    </row>
    <row r="1695" spans="1:11">
      <c r="A1695" t="str">
        <f t="shared" si="26"/>
        <v>Ultrasoline 10 X 2 kg463880</v>
      </c>
      <c r="B1695" t="s">
        <v>11514</v>
      </c>
      <c r="C1695" t="s">
        <v>13598</v>
      </c>
      <c r="D1695" t="s">
        <v>16077</v>
      </c>
      <c r="E1695" t="s">
        <v>2103</v>
      </c>
      <c r="F1695">
        <v>10</v>
      </c>
      <c r="G1695">
        <v>1</v>
      </c>
      <c r="H1695">
        <v>1</v>
      </c>
      <c r="I1695">
        <v>10</v>
      </c>
      <c r="J1695" s="3">
        <v>46388</v>
      </c>
      <c r="K1695" s="6">
        <v>0</v>
      </c>
    </row>
    <row r="1696" spans="1:11">
      <c r="A1696" t="str">
        <f t="shared" si="26"/>
        <v>Umbul-umbul Desanto1/1/10000</v>
      </c>
      <c r="B1696" t="s">
        <v>11515</v>
      </c>
      <c r="C1696" t="s">
        <v>13599</v>
      </c>
      <c r="D1696" t="s">
        <v>16078</v>
      </c>
      <c r="E1696" t="s">
        <v>2104</v>
      </c>
      <c r="F1696">
        <v>1</v>
      </c>
      <c r="G1696">
        <v>1</v>
      </c>
      <c r="H1696">
        <v>1</v>
      </c>
      <c r="I1696">
        <v>1</v>
      </c>
      <c r="J1696" s="3" t="s">
        <v>2222</v>
      </c>
      <c r="K1696" s="6">
        <v>0</v>
      </c>
    </row>
    <row r="1697" spans="1:11">
      <c r="A1697" t="str">
        <f t="shared" si="26"/>
        <v>Unigo 400/40 EC 10 X 800 ml460820</v>
      </c>
      <c r="B1697" t="s">
        <v>11516</v>
      </c>
      <c r="C1697" t="s">
        <v>13600</v>
      </c>
      <c r="D1697" t="s">
        <v>16079</v>
      </c>
      <c r="E1697" t="s">
        <v>2105</v>
      </c>
      <c r="F1697">
        <v>10</v>
      </c>
      <c r="G1697">
        <v>1</v>
      </c>
      <c r="H1697">
        <v>1</v>
      </c>
      <c r="I1697">
        <v>10</v>
      </c>
      <c r="J1697" s="3">
        <v>46082</v>
      </c>
      <c r="K1697" s="6">
        <v>0</v>
      </c>
    </row>
    <row r="1698" spans="1:11">
      <c r="A1698" t="str">
        <f t="shared" si="26"/>
        <v>Unigo 400/40 EC 25 X 400 ml460820</v>
      </c>
      <c r="B1698" t="s">
        <v>11517</v>
      </c>
      <c r="C1698" t="s">
        <v>13601</v>
      </c>
      <c r="D1698" t="s">
        <v>16080</v>
      </c>
      <c r="E1698" t="s">
        <v>2106</v>
      </c>
      <c r="F1698">
        <v>20</v>
      </c>
      <c r="G1698">
        <v>1</v>
      </c>
      <c r="H1698">
        <v>1</v>
      </c>
      <c r="I1698">
        <v>20</v>
      </c>
      <c r="J1698" s="3">
        <v>46082</v>
      </c>
      <c r="K1698" s="6">
        <v>0</v>
      </c>
    </row>
    <row r="1699" spans="1:11">
      <c r="A1699" t="str">
        <f t="shared" si="26"/>
        <v>Unihit 120 SC 100 X 100 ml463570</v>
      </c>
      <c r="B1699" t="s">
        <v>11518</v>
      </c>
      <c r="C1699" t="s">
        <v>13602</v>
      </c>
      <c r="D1699" t="s">
        <v>16081</v>
      </c>
      <c r="E1699" t="s">
        <v>2107</v>
      </c>
      <c r="F1699">
        <v>100</v>
      </c>
      <c r="G1699">
        <v>1</v>
      </c>
      <c r="H1699">
        <v>1</v>
      </c>
      <c r="I1699">
        <v>100</v>
      </c>
      <c r="J1699" s="3">
        <v>46357</v>
      </c>
      <c r="K1699" s="6">
        <v>0</v>
      </c>
    </row>
    <row r="1700" spans="1:11">
      <c r="A1700" t="str">
        <f t="shared" si="26"/>
        <v>Unihit 120 SC 100 X 100 ml (Sample)461740</v>
      </c>
      <c r="B1700" t="s">
        <v>11519</v>
      </c>
      <c r="C1700" t="s">
        <v>13603</v>
      </c>
      <c r="D1700" t="s">
        <v>16082</v>
      </c>
      <c r="E1700" t="s">
        <v>2108</v>
      </c>
      <c r="F1700">
        <v>100</v>
      </c>
      <c r="G1700">
        <v>1</v>
      </c>
      <c r="H1700">
        <v>1</v>
      </c>
      <c r="I1700">
        <v>100</v>
      </c>
      <c r="J1700" s="3">
        <v>46174</v>
      </c>
      <c r="K1700" s="6">
        <v>0</v>
      </c>
    </row>
    <row r="1701" spans="1:11">
      <c r="A1701" t="str">
        <f t="shared" si="26"/>
        <v>Unihit 120 SC 20 X 500 ml462960</v>
      </c>
      <c r="B1701" t="s">
        <v>11520</v>
      </c>
      <c r="C1701" t="s">
        <v>13604</v>
      </c>
      <c r="D1701" t="s">
        <v>16083</v>
      </c>
      <c r="E1701" t="s">
        <v>2109</v>
      </c>
      <c r="F1701">
        <v>20</v>
      </c>
      <c r="G1701">
        <v>1</v>
      </c>
      <c r="H1701">
        <v>1</v>
      </c>
      <c r="I1701">
        <v>20</v>
      </c>
      <c r="J1701" s="3">
        <v>46296</v>
      </c>
      <c r="K1701" s="6">
        <v>0</v>
      </c>
    </row>
    <row r="1702" spans="1:11">
      <c r="A1702" t="str">
        <f t="shared" si="26"/>
        <v>Unihit 120 SC 40 X 250 ml463570</v>
      </c>
      <c r="B1702" t="s">
        <v>11521</v>
      </c>
      <c r="C1702" t="s">
        <v>13605</v>
      </c>
      <c r="D1702" t="s">
        <v>16084</v>
      </c>
      <c r="E1702" t="s">
        <v>2110</v>
      </c>
      <c r="F1702">
        <v>40</v>
      </c>
      <c r="G1702">
        <v>1</v>
      </c>
      <c r="H1702">
        <v>1</v>
      </c>
      <c r="I1702">
        <v>40</v>
      </c>
      <c r="J1702" s="3">
        <v>46357</v>
      </c>
      <c r="K1702" s="6">
        <v>0</v>
      </c>
    </row>
    <row r="1703" spans="1:11">
      <c r="A1703" t="str">
        <f t="shared" si="26"/>
        <v>Unirex 141/106 2 C 20 X 200 ml466310</v>
      </c>
      <c r="B1703" t="s">
        <v>11522</v>
      </c>
      <c r="C1703" t="s">
        <v>13606</v>
      </c>
      <c r="D1703" t="s">
        <v>16085</v>
      </c>
      <c r="E1703" t="s">
        <v>2111</v>
      </c>
      <c r="F1703">
        <v>20</v>
      </c>
      <c r="G1703">
        <v>1</v>
      </c>
      <c r="H1703">
        <v>1</v>
      </c>
      <c r="I1703">
        <v>20</v>
      </c>
      <c r="J1703" s="3">
        <v>46631</v>
      </c>
      <c r="K1703" s="6">
        <v>0</v>
      </c>
    </row>
    <row r="1704" spans="1:11">
      <c r="A1704" t="str">
        <f t="shared" si="26"/>
        <v>Unirex 141/106 2 C 20 X 200 ml469350</v>
      </c>
      <c r="B1704" t="s">
        <v>11523</v>
      </c>
      <c r="C1704" t="s">
        <v>13607</v>
      </c>
      <c r="D1704" t="s">
        <v>16086</v>
      </c>
      <c r="E1704" t="s">
        <v>2111</v>
      </c>
      <c r="F1704">
        <v>20</v>
      </c>
      <c r="G1704">
        <v>1</v>
      </c>
      <c r="H1704">
        <v>1</v>
      </c>
      <c r="I1704">
        <v>20</v>
      </c>
      <c r="J1704" s="3">
        <v>46935</v>
      </c>
      <c r="K1704" s="6">
        <v>0</v>
      </c>
    </row>
    <row r="1705" spans="1:11">
      <c r="A1705" t="str">
        <f t="shared" si="26"/>
        <v>Unirex 141/106 2 C 20 X 400 ml463880</v>
      </c>
      <c r="B1705" t="s">
        <v>11524</v>
      </c>
      <c r="C1705" t="s">
        <v>13608</v>
      </c>
      <c r="D1705" t="s">
        <v>16087</v>
      </c>
      <c r="E1705" t="s">
        <v>2112</v>
      </c>
      <c r="F1705">
        <v>20</v>
      </c>
      <c r="G1705">
        <v>1</v>
      </c>
      <c r="H1705">
        <v>1</v>
      </c>
      <c r="I1705">
        <v>20</v>
      </c>
      <c r="J1705" s="3">
        <v>46388</v>
      </c>
      <c r="K1705" s="6">
        <v>0</v>
      </c>
    </row>
    <row r="1706" spans="1:11">
      <c r="A1706" t="str">
        <f t="shared" si="26"/>
        <v>Unirex 141/106 2 C 20 X 400 ml469050</v>
      </c>
      <c r="B1706" t="s">
        <v>11525</v>
      </c>
      <c r="C1706" t="s">
        <v>13609</v>
      </c>
      <c r="D1706" t="s">
        <v>16088</v>
      </c>
      <c r="E1706" t="s">
        <v>2112</v>
      </c>
      <c r="F1706">
        <v>20</v>
      </c>
      <c r="G1706">
        <v>1</v>
      </c>
      <c r="H1706">
        <v>1</v>
      </c>
      <c r="I1706">
        <v>20</v>
      </c>
      <c r="J1706" s="3">
        <v>46905</v>
      </c>
      <c r="K1706" s="6">
        <v>0</v>
      </c>
    </row>
    <row r="1707" spans="1:11">
      <c r="A1707" t="str">
        <f t="shared" si="26"/>
        <v>Unirex 141/106 2 C 50 X 100 ml465690</v>
      </c>
      <c r="B1707" t="s">
        <v>11526</v>
      </c>
      <c r="C1707" t="s">
        <v>13610</v>
      </c>
      <c r="D1707" t="s">
        <v>16089</v>
      </c>
      <c r="E1707" t="s">
        <v>2113</v>
      </c>
      <c r="F1707">
        <v>50</v>
      </c>
      <c r="G1707">
        <v>1</v>
      </c>
      <c r="H1707">
        <v>1</v>
      </c>
      <c r="I1707">
        <v>50</v>
      </c>
      <c r="J1707" s="3">
        <v>46569</v>
      </c>
      <c r="K1707" s="6">
        <v>0</v>
      </c>
    </row>
    <row r="1708" spans="1:11">
      <c r="A1708" t="str">
        <f t="shared" si="26"/>
        <v>Unirex 141/106 2 C 50 X 100 ml472390</v>
      </c>
      <c r="B1708" t="s">
        <v>11527</v>
      </c>
      <c r="C1708" t="s">
        <v>13611</v>
      </c>
      <c r="D1708" t="s">
        <v>16090</v>
      </c>
      <c r="E1708" t="s">
        <v>2113</v>
      </c>
      <c r="F1708">
        <v>50</v>
      </c>
      <c r="G1708">
        <v>1</v>
      </c>
      <c r="H1708">
        <v>1</v>
      </c>
      <c r="I1708">
        <v>50</v>
      </c>
      <c r="J1708" s="3">
        <v>47239</v>
      </c>
      <c r="K1708" s="6">
        <v>0</v>
      </c>
    </row>
    <row r="1709" spans="1:11">
      <c r="A1709" t="str">
        <f t="shared" si="26"/>
        <v>Unirex 141/106 2 C 50 X 100 ml469350</v>
      </c>
      <c r="B1709" t="s">
        <v>11528</v>
      </c>
      <c r="C1709" t="s">
        <v>13612</v>
      </c>
      <c r="D1709" t="s">
        <v>16091</v>
      </c>
      <c r="E1709" t="s">
        <v>2113</v>
      </c>
      <c r="F1709">
        <v>50</v>
      </c>
      <c r="G1709">
        <v>1</v>
      </c>
      <c r="H1709">
        <v>1</v>
      </c>
      <c r="I1709">
        <v>50</v>
      </c>
      <c r="J1709" s="3">
        <v>46935</v>
      </c>
      <c r="K1709" s="6">
        <v>0</v>
      </c>
    </row>
    <row r="1710" spans="1:11">
      <c r="A1710" t="str">
        <f t="shared" si="26"/>
        <v>Unista 100 SC 10 X 1 ltr464190</v>
      </c>
      <c r="B1710" t="s">
        <v>11529</v>
      </c>
      <c r="C1710" t="s">
        <v>13613</v>
      </c>
      <c r="D1710" t="s">
        <v>16092</v>
      </c>
      <c r="E1710" t="s">
        <v>2114</v>
      </c>
      <c r="F1710">
        <v>10</v>
      </c>
      <c r="G1710">
        <v>1</v>
      </c>
      <c r="H1710">
        <v>1</v>
      </c>
      <c r="I1710">
        <v>10</v>
      </c>
      <c r="J1710" s="3">
        <v>46419</v>
      </c>
      <c r="K1710" s="6">
        <v>0</v>
      </c>
    </row>
    <row r="1711" spans="1:11">
      <c r="A1711" t="str">
        <f t="shared" si="26"/>
        <v>Unista 100 SC 20 X 500 ml464190</v>
      </c>
      <c r="B1711" t="s">
        <v>11530</v>
      </c>
      <c r="C1711" t="s">
        <v>13614</v>
      </c>
      <c r="D1711" t="s">
        <v>16093</v>
      </c>
      <c r="E1711" t="s">
        <v>2115</v>
      </c>
      <c r="F1711">
        <v>20</v>
      </c>
      <c r="G1711">
        <v>1</v>
      </c>
      <c r="H1711">
        <v>1</v>
      </c>
      <c r="I1711">
        <v>20</v>
      </c>
      <c r="J1711" s="3">
        <v>46419</v>
      </c>
      <c r="K1711" s="6">
        <v>0</v>
      </c>
    </row>
    <row r="1712" spans="1:11">
      <c r="A1712" t="str">
        <f t="shared" si="26"/>
        <v>Unista 100 SC 40 X 250 ml (Sample)461740</v>
      </c>
      <c r="B1712" t="s">
        <v>11531</v>
      </c>
      <c r="C1712" t="s">
        <v>13615</v>
      </c>
      <c r="D1712" t="s">
        <v>16094</v>
      </c>
      <c r="E1712" t="s">
        <v>2116</v>
      </c>
      <c r="F1712">
        <v>40</v>
      </c>
      <c r="G1712">
        <v>1</v>
      </c>
      <c r="H1712">
        <v>1</v>
      </c>
      <c r="I1712">
        <v>40</v>
      </c>
      <c r="J1712" s="3">
        <v>46174</v>
      </c>
      <c r="K1712" s="6">
        <v>0</v>
      </c>
    </row>
    <row r="1713" spans="1:11">
      <c r="A1713" t="str">
        <f t="shared" si="26"/>
        <v>Uprise 50 X 100 ml458390</v>
      </c>
      <c r="B1713" t="s">
        <v>11532</v>
      </c>
      <c r="C1713" t="s">
        <v>13616</v>
      </c>
      <c r="D1713" t="s">
        <v>16095</v>
      </c>
      <c r="E1713" t="s">
        <v>2117</v>
      </c>
      <c r="F1713">
        <v>50</v>
      </c>
      <c r="G1713">
        <v>1</v>
      </c>
      <c r="H1713">
        <v>1</v>
      </c>
      <c r="I1713">
        <v>50</v>
      </c>
      <c r="J1713" s="3">
        <v>45839</v>
      </c>
      <c r="K1713" s="6">
        <v>0</v>
      </c>
    </row>
    <row r="1714" spans="1:11">
      <c r="A1714" t="str">
        <f t="shared" si="26"/>
        <v>Vayego 200 SC 100 X 50 ml456890</v>
      </c>
      <c r="B1714" t="s">
        <v>11533</v>
      </c>
      <c r="C1714" t="s">
        <v>13617</v>
      </c>
      <c r="D1714" t="s">
        <v>16096</v>
      </c>
      <c r="E1714" t="s">
        <v>2118</v>
      </c>
      <c r="F1714">
        <v>100</v>
      </c>
      <c r="G1714">
        <v>1</v>
      </c>
      <c r="H1714">
        <v>1</v>
      </c>
      <c r="I1714">
        <v>100</v>
      </c>
      <c r="J1714" s="3">
        <v>45689</v>
      </c>
      <c r="K1714" s="6">
        <v>0</v>
      </c>
    </row>
    <row r="1715" spans="1:11">
      <c r="A1715" t="str">
        <f t="shared" si="26"/>
        <v>Vayego 200 SC 50 X 100 ml468440</v>
      </c>
      <c r="B1715" t="s">
        <v>11534</v>
      </c>
      <c r="C1715" t="s">
        <v>13618</v>
      </c>
      <c r="D1715" t="s">
        <v>16097</v>
      </c>
      <c r="E1715" t="s">
        <v>2120</v>
      </c>
      <c r="F1715">
        <v>50</v>
      </c>
      <c r="G1715">
        <v>1</v>
      </c>
      <c r="H1715">
        <v>1</v>
      </c>
      <c r="I1715">
        <v>50</v>
      </c>
      <c r="J1715" s="3">
        <v>46844</v>
      </c>
      <c r="K1715" s="6">
        <v>0</v>
      </c>
    </row>
    <row r="1716" spans="1:11">
      <c r="A1716" t="str">
        <f t="shared" si="26"/>
        <v>Vayego 200 SC 50 X 100 ml468740</v>
      </c>
      <c r="B1716" t="s">
        <v>11535</v>
      </c>
      <c r="C1716" t="s">
        <v>13619</v>
      </c>
      <c r="D1716" t="s">
        <v>16098</v>
      </c>
      <c r="E1716" t="s">
        <v>2120</v>
      </c>
      <c r="F1716">
        <v>50</v>
      </c>
      <c r="G1716">
        <v>1</v>
      </c>
      <c r="H1716">
        <v>1</v>
      </c>
      <c r="I1716">
        <v>50</v>
      </c>
      <c r="J1716" s="3">
        <v>46874</v>
      </c>
      <c r="K1716" s="6">
        <v>0</v>
      </c>
    </row>
    <row r="1717" spans="1:11">
      <c r="A1717" t="str">
        <f t="shared" si="26"/>
        <v>Ventory 865 SL 400 gr404520</v>
      </c>
      <c r="B1717" t="s">
        <v>11536</v>
      </c>
      <c r="C1717" t="s">
        <v>13620</v>
      </c>
      <c r="D1717" t="s">
        <v>16099</v>
      </c>
      <c r="E1717" t="s">
        <v>2123</v>
      </c>
      <c r="F1717">
        <v>1</v>
      </c>
      <c r="G1717">
        <v>1</v>
      </c>
      <c r="H1717">
        <v>1</v>
      </c>
      <c r="I1717">
        <v>1</v>
      </c>
      <c r="J1717" s="3">
        <v>40452</v>
      </c>
      <c r="K1717" s="6">
        <v>0</v>
      </c>
    </row>
    <row r="1718" spans="1:11">
      <c r="A1718" t="str">
        <f t="shared" si="26"/>
        <v>Vertibak 60 SP 50 X 100 gr460540</v>
      </c>
      <c r="B1718" t="s">
        <v>11537</v>
      </c>
      <c r="C1718" t="s">
        <v>13621</v>
      </c>
      <c r="D1718" t="s">
        <v>16100</v>
      </c>
      <c r="E1718" t="s">
        <v>2124</v>
      </c>
      <c r="F1718">
        <v>50</v>
      </c>
      <c r="G1718">
        <v>1</v>
      </c>
      <c r="H1718">
        <v>1</v>
      </c>
      <c r="I1718">
        <v>50</v>
      </c>
      <c r="J1718" s="3">
        <v>46054</v>
      </c>
      <c r="K1718" s="6">
        <v>0</v>
      </c>
    </row>
    <row r="1719" spans="1:11">
      <c r="A1719" t="str">
        <f t="shared" si="26"/>
        <v>Viaron 80 WP 10 X 1 kg469660</v>
      </c>
      <c r="B1719" t="s">
        <v>11538</v>
      </c>
      <c r="C1719" t="s">
        <v>13622</v>
      </c>
      <c r="D1719" t="s">
        <v>16101</v>
      </c>
      <c r="E1719" t="s">
        <v>2126</v>
      </c>
      <c r="F1719">
        <v>10</v>
      </c>
      <c r="G1719">
        <v>1</v>
      </c>
      <c r="H1719">
        <v>1</v>
      </c>
      <c r="I1719">
        <v>10</v>
      </c>
      <c r="J1719" s="3">
        <v>46966</v>
      </c>
      <c r="K1719" s="6">
        <v>0</v>
      </c>
    </row>
    <row r="1720" spans="1:11">
      <c r="A1720" t="str">
        <f t="shared" si="26"/>
        <v>Viaron 80 WP 10 X 1 kg472090</v>
      </c>
      <c r="B1720" t="s">
        <v>11539</v>
      </c>
      <c r="C1720" t="s">
        <v>13623</v>
      </c>
      <c r="D1720" t="s">
        <v>16102</v>
      </c>
      <c r="E1720" t="s">
        <v>2126</v>
      </c>
      <c r="F1720">
        <v>10</v>
      </c>
      <c r="G1720">
        <v>1</v>
      </c>
      <c r="H1720">
        <v>1</v>
      </c>
      <c r="I1720">
        <v>10</v>
      </c>
      <c r="J1720" s="3">
        <v>47209</v>
      </c>
      <c r="K1720" s="6">
        <v>0</v>
      </c>
    </row>
    <row r="1721" spans="1:11">
      <c r="A1721" t="str">
        <f t="shared" si="26"/>
        <v>Viaron 80 WP 10 X 1 kg472390</v>
      </c>
      <c r="B1721" t="s">
        <v>11540</v>
      </c>
      <c r="C1721" t="s">
        <v>13624</v>
      </c>
      <c r="D1721" t="s">
        <v>16103</v>
      </c>
      <c r="E1721" t="s">
        <v>2126</v>
      </c>
      <c r="F1721">
        <v>10</v>
      </c>
      <c r="G1721">
        <v>1</v>
      </c>
      <c r="H1721">
        <v>1</v>
      </c>
      <c r="I1721">
        <v>10</v>
      </c>
      <c r="J1721" s="3">
        <v>47239</v>
      </c>
      <c r="K1721" s="6">
        <v>0</v>
      </c>
    </row>
    <row r="1722" spans="1:11">
      <c r="A1722" t="str">
        <f t="shared" si="26"/>
        <v>Viaron 80 WP 40 X 250 gr468130</v>
      </c>
      <c r="B1722" t="s">
        <v>11541</v>
      </c>
      <c r="C1722" t="s">
        <v>13625</v>
      </c>
      <c r="D1722" t="s">
        <v>16104</v>
      </c>
      <c r="E1722" t="s">
        <v>2127</v>
      </c>
      <c r="F1722">
        <v>40</v>
      </c>
      <c r="G1722">
        <v>1</v>
      </c>
      <c r="H1722">
        <v>1</v>
      </c>
      <c r="I1722">
        <v>40</v>
      </c>
      <c r="J1722" s="3">
        <v>46813</v>
      </c>
      <c r="K1722" s="6">
        <v>0</v>
      </c>
    </row>
    <row r="1723" spans="1:11">
      <c r="A1723" t="str">
        <f t="shared" si="26"/>
        <v>Victar 80 WP 20 X 1 kg459310</v>
      </c>
      <c r="B1723" t="s">
        <v>11542</v>
      </c>
      <c r="C1723" t="s">
        <v>13626</v>
      </c>
      <c r="D1723" t="s">
        <v>16105</v>
      </c>
      <c r="E1723" t="s">
        <v>2128</v>
      </c>
      <c r="F1723">
        <v>20</v>
      </c>
      <c r="G1723">
        <v>1</v>
      </c>
      <c r="H1723">
        <v>1</v>
      </c>
      <c r="I1723">
        <v>20</v>
      </c>
      <c r="J1723" s="3">
        <v>45931</v>
      </c>
      <c r="K1723" s="6">
        <v>0</v>
      </c>
    </row>
    <row r="1724" spans="1:11">
      <c r="A1724" t="str">
        <f t="shared" si="26"/>
        <v>Victar 80 WP 20 X 1 kg460540</v>
      </c>
      <c r="B1724" t="s">
        <v>11543</v>
      </c>
      <c r="C1724" t="s">
        <v>13627</v>
      </c>
      <c r="D1724" t="s">
        <v>16106</v>
      </c>
      <c r="E1724" t="s">
        <v>2128</v>
      </c>
      <c r="F1724">
        <v>20</v>
      </c>
      <c r="G1724">
        <v>1</v>
      </c>
      <c r="H1724">
        <v>1</v>
      </c>
      <c r="I1724">
        <v>20</v>
      </c>
      <c r="J1724" s="3">
        <v>46054</v>
      </c>
      <c r="K1724" s="6">
        <v>0</v>
      </c>
    </row>
    <row r="1725" spans="1:11">
      <c r="A1725" t="str">
        <f t="shared" si="26"/>
        <v>Victar 80 WP 20 X 1 kg459920</v>
      </c>
      <c r="B1725" t="s">
        <v>11544</v>
      </c>
      <c r="C1725" t="s">
        <v>13628</v>
      </c>
      <c r="D1725" t="s">
        <v>16107</v>
      </c>
      <c r="E1725" t="s">
        <v>2128</v>
      </c>
      <c r="F1725">
        <v>20</v>
      </c>
      <c r="G1725">
        <v>1</v>
      </c>
      <c r="H1725">
        <v>1</v>
      </c>
      <c r="I1725">
        <v>20</v>
      </c>
      <c r="J1725" s="3">
        <v>45992</v>
      </c>
      <c r="K1725" s="6">
        <v>0</v>
      </c>
    </row>
    <row r="1726" spans="1:11">
      <c r="A1726" t="str">
        <f t="shared" si="26"/>
        <v>Victory 80 WP 20 X 1 kg459920</v>
      </c>
      <c r="B1726" t="s">
        <v>11545</v>
      </c>
      <c r="C1726" t="s">
        <v>13629</v>
      </c>
      <c r="D1726" t="s">
        <v>16108</v>
      </c>
      <c r="E1726" t="s">
        <v>2134</v>
      </c>
      <c r="F1726">
        <v>20</v>
      </c>
      <c r="G1726">
        <v>1</v>
      </c>
      <c r="H1726">
        <v>1</v>
      </c>
      <c r="I1726">
        <v>20</v>
      </c>
      <c r="J1726" s="3">
        <v>45992</v>
      </c>
      <c r="K1726" s="6">
        <v>0</v>
      </c>
    </row>
    <row r="1727" spans="1:11">
      <c r="A1727" t="str">
        <f t="shared" si="26"/>
        <v>Virtako 300 SC 10 X 20 X 10 ml458090</v>
      </c>
      <c r="B1727" t="s">
        <v>11546</v>
      </c>
      <c r="C1727" t="s">
        <v>13630</v>
      </c>
      <c r="D1727" t="s">
        <v>16109</v>
      </c>
      <c r="E1727" t="s">
        <v>2136</v>
      </c>
      <c r="F1727">
        <v>10</v>
      </c>
      <c r="G1727">
        <v>20</v>
      </c>
      <c r="H1727">
        <v>1</v>
      </c>
      <c r="I1727">
        <v>200</v>
      </c>
      <c r="J1727" s="3">
        <v>45809</v>
      </c>
      <c r="K1727" s="6">
        <v>0</v>
      </c>
    </row>
    <row r="1728" spans="1:11">
      <c r="A1728" t="str">
        <f t="shared" si="26"/>
        <v>Virtako 300 SC 10 X 20 X 10 ml461430</v>
      </c>
      <c r="B1728" t="s">
        <v>11547</v>
      </c>
      <c r="C1728" t="s">
        <v>13631</v>
      </c>
      <c r="D1728" t="s">
        <v>16110</v>
      </c>
      <c r="E1728" t="s">
        <v>2136</v>
      </c>
      <c r="F1728">
        <v>10</v>
      </c>
      <c r="G1728">
        <v>20</v>
      </c>
      <c r="H1728">
        <v>1</v>
      </c>
      <c r="I1728">
        <v>200</v>
      </c>
      <c r="J1728" s="3">
        <v>46143</v>
      </c>
      <c r="K1728" s="6">
        <v>0</v>
      </c>
    </row>
    <row r="1729" spans="1:11">
      <c r="A1729" t="str">
        <f t="shared" si="26"/>
        <v>Virtako 300 SC 100 X 50 ml461430</v>
      </c>
      <c r="B1729" t="s">
        <v>11548</v>
      </c>
      <c r="C1729" t="s">
        <v>13632</v>
      </c>
      <c r="D1729" t="s">
        <v>16111</v>
      </c>
      <c r="E1729" t="s">
        <v>2141</v>
      </c>
      <c r="F1729">
        <v>100</v>
      </c>
      <c r="G1729">
        <v>1</v>
      </c>
      <c r="H1729">
        <v>1</v>
      </c>
      <c r="I1729">
        <v>100</v>
      </c>
      <c r="J1729" s="3">
        <v>46143</v>
      </c>
      <c r="K1729" s="6">
        <v>0</v>
      </c>
    </row>
    <row r="1730" spans="1:11">
      <c r="A1730" t="str">
        <f t="shared" si="26"/>
        <v>Virtako 300 SC 100 X 50 ml460820</v>
      </c>
      <c r="B1730" t="s">
        <v>11549</v>
      </c>
      <c r="C1730" t="s">
        <v>13633</v>
      </c>
      <c r="D1730" t="s">
        <v>16112</v>
      </c>
      <c r="E1730" t="s">
        <v>2141</v>
      </c>
      <c r="F1730">
        <v>100</v>
      </c>
      <c r="G1730">
        <v>1</v>
      </c>
      <c r="H1730">
        <v>1</v>
      </c>
      <c r="I1730">
        <v>100</v>
      </c>
      <c r="J1730" s="3">
        <v>46082</v>
      </c>
      <c r="K1730" s="6">
        <v>0</v>
      </c>
    </row>
    <row r="1731" spans="1:11">
      <c r="A1731" t="str">
        <f t="shared" ref="A1731:A1794" si="27">E1731&amp;J1731&amp;K1731</f>
        <v>Virtako 300 SC 50 X 100 ml462040</v>
      </c>
      <c r="B1731" t="s">
        <v>11550</v>
      </c>
      <c r="C1731" t="s">
        <v>13634</v>
      </c>
      <c r="D1731" t="s">
        <v>16113</v>
      </c>
      <c r="E1731" t="s">
        <v>2148</v>
      </c>
      <c r="F1731">
        <v>50</v>
      </c>
      <c r="G1731">
        <v>1</v>
      </c>
      <c r="H1731">
        <v>1</v>
      </c>
      <c r="I1731">
        <v>50</v>
      </c>
      <c r="J1731" s="3">
        <v>46204</v>
      </c>
      <c r="K1731" s="6">
        <v>0</v>
      </c>
    </row>
    <row r="1732" spans="1:11">
      <c r="A1732" t="str">
        <f t="shared" si="27"/>
        <v>Vishaka 200 EC 20 X 500 ml457780</v>
      </c>
      <c r="B1732" t="s">
        <v>11551</v>
      </c>
      <c r="C1732" t="s">
        <v>13635</v>
      </c>
      <c r="D1732" t="s">
        <v>16114</v>
      </c>
      <c r="E1732" t="s">
        <v>2152</v>
      </c>
      <c r="F1732">
        <v>20</v>
      </c>
      <c r="G1732">
        <v>1</v>
      </c>
      <c r="H1732">
        <v>1</v>
      </c>
      <c r="I1732">
        <v>20</v>
      </c>
      <c r="J1732" s="3">
        <v>45778</v>
      </c>
      <c r="K1732" s="6">
        <v>0</v>
      </c>
    </row>
    <row r="1733" spans="1:11">
      <c r="A1733" t="str">
        <f t="shared" si="27"/>
        <v>Vista 400 SL 100 ml (Sample)1/1/10000</v>
      </c>
      <c r="B1733" t="s">
        <v>11552</v>
      </c>
      <c r="C1733" t="s">
        <v>13636</v>
      </c>
      <c r="D1733" t="s">
        <v>16115</v>
      </c>
      <c r="E1733" t="s">
        <v>2153</v>
      </c>
      <c r="F1733">
        <v>1</v>
      </c>
      <c r="G1733">
        <v>1</v>
      </c>
      <c r="H1733">
        <v>1</v>
      </c>
      <c r="I1733">
        <v>1</v>
      </c>
      <c r="J1733" s="3" t="s">
        <v>2222</v>
      </c>
      <c r="K1733" s="6">
        <v>0</v>
      </c>
    </row>
    <row r="1734" spans="1:11">
      <c r="A1734" t="str">
        <f t="shared" si="27"/>
        <v>Vista 400 SL 16 X 1 ltr468740</v>
      </c>
      <c r="B1734" t="s">
        <v>11553</v>
      </c>
      <c r="C1734" t="s">
        <v>13637</v>
      </c>
      <c r="D1734" t="s">
        <v>16116</v>
      </c>
      <c r="E1734" t="s">
        <v>2154</v>
      </c>
      <c r="F1734">
        <v>16</v>
      </c>
      <c r="G1734">
        <v>1</v>
      </c>
      <c r="H1734">
        <v>1</v>
      </c>
      <c r="I1734">
        <v>16</v>
      </c>
      <c r="J1734" s="3">
        <v>46874</v>
      </c>
      <c r="K1734" s="6">
        <v>0</v>
      </c>
    </row>
    <row r="1735" spans="1:11">
      <c r="A1735" t="str">
        <f t="shared" si="27"/>
        <v>Vista 400 SL 16 X 1 ltr472090</v>
      </c>
      <c r="B1735" t="s">
        <v>11554</v>
      </c>
      <c r="C1735" t="s">
        <v>13638</v>
      </c>
      <c r="D1735" t="s">
        <v>16117</v>
      </c>
      <c r="E1735" t="s">
        <v>2154</v>
      </c>
      <c r="F1735">
        <v>16</v>
      </c>
      <c r="G1735">
        <v>1</v>
      </c>
      <c r="H1735">
        <v>1</v>
      </c>
      <c r="I1735">
        <v>16</v>
      </c>
      <c r="J1735" s="3">
        <v>47209</v>
      </c>
      <c r="K1735" s="6">
        <v>0</v>
      </c>
    </row>
    <row r="1736" spans="1:11">
      <c r="A1736" t="str">
        <f t="shared" si="27"/>
        <v>Vista 400 SL 16 X 1 ltr468130</v>
      </c>
      <c r="B1736" t="s">
        <v>11555</v>
      </c>
      <c r="C1736" t="s">
        <v>13639</v>
      </c>
      <c r="D1736" t="s">
        <v>16118</v>
      </c>
      <c r="E1736" t="s">
        <v>2154</v>
      </c>
      <c r="F1736">
        <v>16</v>
      </c>
      <c r="G1736">
        <v>1</v>
      </c>
      <c r="H1736">
        <v>1</v>
      </c>
      <c r="I1736">
        <v>16</v>
      </c>
      <c r="J1736" s="3">
        <v>46813</v>
      </c>
      <c r="K1736" s="6">
        <v>0</v>
      </c>
    </row>
    <row r="1737" spans="1:11">
      <c r="A1737" t="str">
        <f t="shared" si="27"/>
        <v>Vista 400 SL 16 X 1 ltr471500</v>
      </c>
      <c r="B1737" t="s">
        <v>11556</v>
      </c>
      <c r="C1737" t="s">
        <v>13640</v>
      </c>
      <c r="D1737" t="s">
        <v>16119</v>
      </c>
      <c r="E1737" t="s">
        <v>2154</v>
      </c>
      <c r="F1737">
        <v>16</v>
      </c>
      <c r="G1737">
        <v>1</v>
      </c>
      <c r="H1737">
        <v>1</v>
      </c>
      <c r="I1737">
        <v>16</v>
      </c>
      <c r="J1737" s="3">
        <v>47150</v>
      </c>
      <c r="K1737" s="6">
        <v>0</v>
      </c>
    </row>
    <row r="1738" spans="1:11">
      <c r="A1738" t="str">
        <f t="shared" si="27"/>
        <v>Vista 400 SL 20 X 500 ml472090</v>
      </c>
      <c r="B1738" t="s">
        <v>11557</v>
      </c>
      <c r="C1738" t="s">
        <v>13641</v>
      </c>
      <c r="D1738" t="s">
        <v>16120</v>
      </c>
      <c r="E1738" t="s">
        <v>2155</v>
      </c>
      <c r="F1738">
        <v>20</v>
      </c>
      <c r="G1738">
        <v>1</v>
      </c>
      <c r="H1738">
        <v>1</v>
      </c>
      <c r="I1738">
        <v>20</v>
      </c>
      <c r="J1738" s="3">
        <v>47209</v>
      </c>
      <c r="K1738" s="6">
        <v>0</v>
      </c>
    </row>
    <row r="1739" spans="1:11">
      <c r="A1739" t="str">
        <f t="shared" si="27"/>
        <v>Vista 400 SL 20 X 500 ml471780</v>
      </c>
      <c r="B1739" t="s">
        <v>11558</v>
      </c>
      <c r="C1739" t="s">
        <v>13642</v>
      </c>
      <c r="D1739" t="s">
        <v>16121</v>
      </c>
      <c r="E1739" t="s">
        <v>2155</v>
      </c>
      <c r="F1739">
        <v>20</v>
      </c>
      <c r="G1739">
        <v>1</v>
      </c>
      <c r="H1739">
        <v>1</v>
      </c>
      <c r="I1739">
        <v>20</v>
      </c>
      <c r="J1739" s="3">
        <v>47178</v>
      </c>
      <c r="K1739" s="6">
        <v>0</v>
      </c>
    </row>
    <row r="1740" spans="1:11">
      <c r="A1740" t="str">
        <f t="shared" si="27"/>
        <v>Vista 400 SL 50 X 200 ml471780</v>
      </c>
      <c r="B1740" t="s">
        <v>11559</v>
      </c>
      <c r="C1740" t="s">
        <v>13643</v>
      </c>
      <c r="D1740" t="s">
        <v>16122</v>
      </c>
      <c r="E1740" t="s">
        <v>2156</v>
      </c>
      <c r="F1740">
        <v>50</v>
      </c>
      <c r="G1740">
        <v>1</v>
      </c>
      <c r="H1740">
        <v>1</v>
      </c>
      <c r="I1740">
        <v>50</v>
      </c>
      <c r="J1740" s="3">
        <v>47178</v>
      </c>
      <c r="K1740" s="6">
        <v>0</v>
      </c>
    </row>
    <row r="1741" spans="1:11">
      <c r="A1741" t="str">
        <f t="shared" si="27"/>
        <v>Vista 400 SL 50 X 200 ml472090</v>
      </c>
      <c r="B1741" t="s">
        <v>11560</v>
      </c>
      <c r="C1741" t="s">
        <v>13644</v>
      </c>
      <c r="D1741" t="s">
        <v>16123</v>
      </c>
      <c r="E1741" t="s">
        <v>2156</v>
      </c>
      <c r="F1741">
        <v>50</v>
      </c>
      <c r="G1741">
        <v>1</v>
      </c>
      <c r="H1741">
        <v>1</v>
      </c>
      <c r="I1741">
        <v>50</v>
      </c>
      <c r="J1741" s="3">
        <v>47209</v>
      </c>
      <c r="K1741" s="6">
        <v>0</v>
      </c>
    </row>
    <row r="1742" spans="1:11">
      <c r="A1742" t="str">
        <f t="shared" si="27"/>
        <v>Volt Meter YEP181/1/10000</v>
      </c>
      <c r="B1742" t="s">
        <v>11561</v>
      </c>
      <c r="C1742" t="s">
        <v>13645</v>
      </c>
      <c r="D1742" t="s">
        <v>16124</v>
      </c>
      <c r="E1742" t="s">
        <v>2157</v>
      </c>
      <c r="F1742">
        <v>1</v>
      </c>
      <c r="G1742">
        <v>1</v>
      </c>
      <c r="H1742">
        <v>1</v>
      </c>
      <c r="I1742">
        <v>1</v>
      </c>
      <c r="J1742" s="3" t="s">
        <v>2222</v>
      </c>
      <c r="K1742" s="6">
        <v>0</v>
      </c>
    </row>
    <row r="1743" spans="1:11">
      <c r="A1743" t="str">
        <f t="shared" si="27"/>
        <v>Walang 50 EC 20 X 1 ltr469970</v>
      </c>
      <c r="B1743" t="s">
        <v>11562</v>
      </c>
      <c r="C1743" t="s">
        <v>13646</v>
      </c>
      <c r="D1743" t="s">
        <v>16125</v>
      </c>
      <c r="E1743" t="s">
        <v>2158</v>
      </c>
      <c r="F1743">
        <v>20</v>
      </c>
      <c r="G1743">
        <v>1</v>
      </c>
      <c r="H1743">
        <v>1</v>
      </c>
      <c r="I1743">
        <v>20</v>
      </c>
      <c r="J1743" s="3">
        <v>46997</v>
      </c>
      <c r="K1743" s="6">
        <v>0</v>
      </c>
    </row>
    <row r="1744" spans="1:11">
      <c r="A1744" t="str">
        <f t="shared" si="27"/>
        <v>Walang 50 EC 25 X 400 ml463570</v>
      </c>
      <c r="B1744" t="s">
        <v>11563</v>
      </c>
      <c r="C1744" t="s">
        <v>13647</v>
      </c>
      <c r="D1744" t="s">
        <v>16126</v>
      </c>
      <c r="E1744" t="s">
        <v>2159</v>
      </c>
      <c r="F1744">
        <v>25</v>
      </c>
      <c r="G1744">
        <v>1</v>
      </c>
      <c r="H1744">
        <v>1</v>
      </c>
      <c r="I1744">
        <v>25</v>
      </c>
      <c r="J1744" s="3">
        <v>46357</v>
      </c>
      <c r="K1744" s="6">
        <v>0</v>
      </c>
    </row>
    <row r="1745" spans="1:11">
      <c r="A1745" t="str">
        <f t="shared" si="27"/>
        <v>Walang 50 EC 25 X 400 ml469970</v>
      </c>
      <c r="B1745" t="s">
        <v>11564</v>
      </c>
      <c r="C1745" t="s">
        <v>13648</v>
      </c>
      <c r="D1745" t="s">
        <v>16127</v>
      </c>
      <c r="E1745" t="s">
        <v>2159</v>
      </c>
      <c r="F1745">
        <v>25</v>
      </c>
      <c r="G1745">
        <v>1</v>
      </c>
      <c r="H1745">
        <v>1</v>
      </c>
      <c r="I1745">
        <v>25</v>
      </c>
      <c r="J1745" s="3">
        <v>46997</v>
      </c>
      <c r="K1745" s="6">
        <v>0</v>
      </c>
    </row>
    <row r="1746" spans="1:11">
      <c r="A1746" t="str">
        <f t="shared" si="27"/>
        <v>Wendry 75 WP 100 X 100 gr (M2U)461430</v>
      </c>
      <c r="B1746" t="s">
        <v>11565</v>
      </c>
      <c r="C1746" t="s">
        <v>13649</v>
      </c>
      <c r="D1746" t="s">
        <v>16128</v>
      </c>
      <c r="E1746" t="s">
        <v>2160</v>
      </c>
      <c r="F1746">
        <v>100</v>
      </c>
      <c r="G1746">
        <v>1</v>
      </c>
      <c r="H1746">
        <v>1</v>
      </c>
      <c r="I1746">
        <v>100</v>
      </c>
      <c r="J1746" s="3">
        <v>46143</v>
      </c>
      <c r="K1746" s="6">
        <v>0</v>
      </c>
    </row>
    <row r="1747" spans="1:11">
      <c r="A1747" t="str">
        <f t="shared" si="27"/>
        <v>Wendry 75 WP 20 X 500 gr (M2U)464780</v>
      </c>
      <c r="B1747" t="s">
        <v>11566</v>
      </c>
      <c r="C1747" t="s">
        <v>13650</v>
      </c>
      <c r="D1747" t="s">
        <v>16129</v>
      </c>
      <c r="E1747" t="s">
        <v>2161</v>
      </c>
      <c r="F1747">
        <v>20</v>
      </c>
      <c r="G1747">
        <v>1</v>
      </c>
      <c r="H1747">
        <v>1</v>
      </c>
      <c r="I1747">
        <v>20</v>
      </c>
      <c r="J1747" s="3">
        <v>46478</v>
      </c>
      <c r="K1747" s="6">
        <v>0</v>
      </c>
    </row>
    <row r="1748" spans="1:11">
      <c r="A1748" t="str">
        <f t="shared" si="27"/>
        <v>Wendry 75 WP 20 X 500 gr (M2U)463880</v>
      </c>
      <c r="B1748" t="s">
        <v>11567</v>
      </c>
      <c r="C1748" t="s">
        <v>13651</v>
      </c>
      <c r="D1748" t="s">
        <v>16130</v>
      </c>
      <c r="E1748" t="s">
        <v>2161</v>
      </c>
      <c r="F1748">
        <v>20</v>
      </c>
      <c r="G1748">
        <v>1</v>
      </c>
      <c r="H1748">
        <v>1</v>
      </c>
      <c r="I1748">
        <v>20</v>
      </c>
      <c r="J1748" s="3">
        <v>46388</v>
      </c>
      <c r="K1748" s="6">
        <v>0</v>
      </c>
    </row>
    <row r="1749" spans="1:11">
      <c r="A1749" t="str">
        <f t="shared" si="27"/>
        <v>Win 10 WP 25 X 20 X 10 gr465690</v>
      </c>
      <c r="B1749" t="s">
        <v>11568</v>
      </c>
      <c r="C1749" t="s">
        <v>13652</v>
      </c>
      <c r="D1749" t="s">
        <v>16131</v>
      </c>
      <c r="E1749" t="s">
        <v>2162</v>
      </c>
      <c r="F1749">
        <v>25</v>
      </c>
      <c r="G1749">
        <v>20</v>
      </c>
      <c r="H1749">
        <v>1</v>
      </c>
      <c r="I1749">
        <v>500</v>
      </c>
      <c r="J1749" s="3">
        <v>46569</v>
      </c>
      <c r="K1749" s="6">
        <v>0</v>
      </c>
    </row>
    <row r="1750" spans="1:11">
      <c r="A1750" t="str">
        <f t="shared" si="27"/>
        <v>Win 10 WP 25 X 20 X 10 gr468130</v>
      </c>
      <c r="B1750" t="s">
        <v>11569</v>
      </c>
      <c r="C1750" t="s">
        <v>13653</v>
      </c>
      <c r="D1750" t="s">
        <v>16132</v>
      </c>
      <c r="E1750" t="s">
        <v>2162</v>
      </c>
      <c r="F1750">
        <v>25</v>
      </c>
      <c r="G1750">
        <v>20</v>
      </c>
      <c r="H1750">
        <v>1</v>
      </c>
      <c r="I1750">
        <v>500</v>
      </c>
      <c r="J1750" s="3">
        <v>46813</v>
      </c>
      <c r="K1750" s="6">
        <v>0</v>
      </c>
    </row>
    <row r="1751" spans="1:11">
      <c r="A1751" t="str">
        <f t="shared" si="27"/>
        <v>Win 10 WP 25 X 20 X 10 gr467220</v>
      </c>
      <c r="B1751" t="s">
        <v>11570</v>
      </c>
      <c r="C1751" t="s">
        <v>13654</v>
      </c>
      <c r="D1751" t="s">
        <v>16133</v>
      </c>
      <c r="E1751" t="s">
        <v>2162</v>
      </c>
      <c r="F1751">
        <v>25</v>
      </c>
      <c r="G1751">
        <v>20</v>
      </c>
      <c r="H1751">
        <v>1</v>
      </c>
      <c r="I1751">
        <v>500</v>
      </c>
      <c r="J1751" s="3">
        <v>46722</v>
      </c>
      <c r="K1751" s="6">
        <v>0</v>
      </c>
    </row>
    <row r="1752" spans="1:11">
      <c r="A1752" t="str">
        <f t="shared" si="27"/>
        <v>Winda 250 SC 10 X 500 ml465080</v>
      </c>
      <c r="B1752" t="s">
        <v>11571</v>
      </c>
      <c r="C1752" t="s">
        <v>13655</v>
      </c>
      <c r="D1752" t="s">
        <v>16134</v>
      </c>
      <c r="E1752" t="s">
        <v>2166</v>
      </c>
      <c r="F1752">
        <v>10</v>
      </c>
      <c r="G1752">
        <v>1</v>
      </c>
      <c r="H1752">
        <v>1</v>
      </c>
      <c r="I1752">
        <v>10</v>
      </c>
      <c r="J1752" s="3">
        <v>46508</v>
      </c>
      <c r="K1752" s="6">
        <v>0</v>
      </c>
    </row>
    <row r="1753" spans="1:11">
      <c r="A1753" t="str">
        <f t="shared" si="27"/>
        <v>Winda 250 SC 20 X 250 ml465080</v>
      </c>
      <c r="B1753" t="s">
        <v>11572</v>
      </c>
      <c r="C1753" t="s">
        <v>13656</v>
      </c>
      <c r="D1753" t="s">
        <v>16135</v>
      </c>
      <c r="E1753" t="s">
        <v>2167</v>
      </c>
      <c r="F1753">
        <v>20</v>
      </c>
      <c r="G1753">
        <v>1</v>
      </c>
      <c r="H1753">
        <v>1</v>
      </c>
      <c r="I1753">
        <v>20</v>
      </c>
      <c r="J1753" s="3">
        <v>46508</v>
      </c>
      <c r="K1753" s="6">
        <v>0</v>
      </c>
    </row>
    <row r="1754" spans="1:11">
      <c r="A1754" t="str">
        <f t="shared" si="27"/>
        <v>Winda 250 SC 50 X 100 ml469350</v>
      </c>
      <c r="B1754" t="s">
        <v>11573</v>
      </c>
      <c r="C1754" t="s">
        <v>13657</v>
      </c>
      <c r="D1754" t="s">
        <v>16136</v>
      </c>
      <c r="E1754" t="s">
        <v>2168</v>
      </c>
      <c r="F1754">
        <v>50</v>
      </c>
      <c r="G1754">
        <v>1</v>
      </c>
      <c r="H1754">
        <v>1</v>
      </c>
      <c r="I1754">
        <v>50</v>
      </c>
      <c r="J1754" s="3">
        <v>46935</v>
      </c>
      <c r="K1754" s="6">
        <v>0</v>
      </c>
    </row>
    <row r="1755" spans="1:11">
      <c r="A1755" t="str">
        <f t="shared" si="27"/>
        <v>Xycort 550/60 EC 20 X 400 ml462960</v>
      </c>
      <c r="B1755" t="s">
        <v>11574</v>
      </c>
      <c r="C1755" t="s">
        <v>13658</v>
      </c>
      <c r="D1755" t="s">
        <v>16137</v>
      </c>
      <c r="E1755" t="s">
        <v>2169</v>
      </c>
      <c r="F1755">
        <v>20</v>
      </c>
      <c r="G1755">
        <v>1</v>
      </c>
      <c r="H1755">
        <v>1</v>
      </c>
      <c r="I1755">
        <v>20</v>
      </c>
      <c r="J1755" s="3">
        <v>46296</v>
      </c>
      <c r="K1755" s="6">
        <v>0</v>
      </c>
    </row>
    <row r="1756" spans="1:11">
      <c r="A1756" t="str">
        <f t="shared" si="27"/>
        <v>Xycort 550/60 EC 20 X 900 ml459310</v>
      </c>
      <c r="B1756" t="s">
        <v>11575</v>
      </c>
      <c r="C1756" t="s">
        <v>13659</v>
      </c>
      <c r="D1756" t="s">
        <v>16138</v>
      </c>
      <c r="E1756" t="s">
        <v>2170</v>
      </c>
      <c r="F1756">
        <v>20</v>
      </c>
      <c r="G1756">
        <v>1</v>
      </c>
      <c r="H1756">
        <v>1</v>
      </c>
      <c r="I1756">
        <v>20</v>
      </c>
      <c r="J1756" s="3">
        <v>45931</v>
      </c>
      <c r="K1756" s="6">
        <v>0</v>
      </c>
    </row>
    <row r="1757" spans="1:11">
      <c r="A1757" t="str">
        <f t="shared" si="27"/>
        <v>Yoto Perfume Spray 118 X 120 ml452310</v>
      </c>
      <c r="B1757" t="s">
        <v>11576</v>
      </c>
      <c r="C1757" t="s">
        <v>13660</v>
      </c>
      <c r="D1757" t="s">
        <v>16139</v>
      </c>
      <c r="E1757" t="s">
        <v>2171</v>
      </c>
      <c r="F1757">
        <v>118</v>
      </c>
      <c r="G1757">
        <v>1</v>
      </c>
      <c r="H1757">
        <v>1</v>
      </c>
      <c r="I1757">
        <v>118</v>
      </c>
      <c r="J1757" s="3">
        <v>45231</v>
      </c>
      <c r="K1757" s="6">
        <v>0</v>
      </c>
    </row>
    <row r="1758" spans="1:11">
      <c r="A1758" t="str">
        <f t="shared" si="27"/>
        <v>You Stick 20 X 500 ml471190</v>
      </c>
      <c r="B1758" t="s">
        <v>11577</v>
      </c>
      <c r="C1758" t="s">
        <v>13661</v>
      </c>
      <c r="D1758" t="s">
        <v>16140</v>
      </c>
      <c r="E1758" t="s">
        <v>2173</v>
      </c>
      <c r="F1758">
        <v>20</v>
      </c>
      <c r="G1758">
        <v>1</v>
      </c>
      <c r="H1758">
        <v>1</v>
      </c>
      <c r="I1758">
        <v>20</v>
      </c>
      <c r="J1758" s="3">
        <v>47119</v>
      </c>
      <c r="K1758" s="6">
        <v>0</v>
      </c>
    </row>
    <row r="1759" spans="1:11">
      <c r="A1759" t="str">
        <f t="shared" si="27"/>
        <v>Zencrop Algi 24 X 500 ml470880</v>
      </c>
      <c r="B1759" t="s">
        <v>11578</v>
      </c>
      <c r="C1759" t="s">
        <v>13662</v>
      </c>
      <c r="D1759" t="s">
        <v>16141</v>
      </c>
      <c r="E1759" t="s">
        <v>2174</v>
      </c>
      <c r="F1759">
        <v>24</v>
      </c>
      <c r="G1759">
        <v>1</v>
      </c>
      <c r="H1759">
        <v>1</v>
      </c>
      <c r="I1759">
        <v>24</v>
      </c>
      <c r="J1759" s="3">
        <v>47088</v>
      </c>
      <c r="K1759" s="6">
        <v>0</v>
      </c>
    </row>
    <row r="1760" spans="1:11">
      <c r="A1760" t="str">
        <f t="shared" si="27"/>
        <v>Zencrop Algi 24 X 500 ml471780</v>
      </c>
      <c r="B1760" t="s">
        <v>11579</v>
      </c>
      <c r="C1760" t="s">
        <v>13663</v>
      </c>
      <c r="D1760" t="s">
        <v>16142</v>
      </c>
      <c r="E1760" t="s">
        <v>2174</v>
      </c>
      <c r="F1760">
        <v>24</v>
      </c>
      <c r="G1760">
        <v>1</v>
      </c>
      <c r="H1760">
        <v>1</v>
      </c>
      <c r="I1760">
        <v>24</v>
      </c>
      <c r="J1760" s="3">
        <v>47178</v>
      </c>
      <c r="K1760" s="6">
        <v>0</v>
      </c>
    </row>
    <row r="1761" spans="1:11">
      <c r="A1761" t="str">
        <f t="shared" si="27"/>
        <v>Zencrop Algi 40 X 250 ml470880</v>
      </c>
      <c r="B1761" t="s">
        <v>11580</v>
      </c>
      <c r="C1761" t="s">
        <v>13664</v>
      </c>
      <c r="D1761" t="s">
        <v>16143</v>
      </c>
      <c r="E1761" t="s">
        <v>2175</v>
      </c>
      <c r="F1761">
        <v>40</v>
      </c>
      <c r="G1761">
        <v>1</v>
      </c>
      <c r="H1761">
        <v>1</v>
      </c>
      <c r="I1761">
        <v>40</v>
      </c>
      <c r="J1761" s="3">
        <v>47088</v>
      </c>
      <c r="K1761" s="6">
        <v>0</v>
      </c>
    </row>
    <row r="1762" spans="1:11">
      <c r="A1762" t="str">
        <f t="shared" si="27"/>
        <v>Zencrop Algi 40 X 250 ml471780</v>
      </c>
      <c r="B1762" t="s">
        <v>11581</v>
      </c>
      <c r="C1762" t="s">
        <v>13665</v>
      </c>
      <c r="D1762" t="s">
        <v>16144</v>
      </c>
      <c r="E1762" t="s">
        <v>2175</v>
      </c>
      <c r="F1762">
        <v>40</v>
      </c>
      <c r="G1762">
        <v>1</v>
      </c>
      <c r="H1762">
        <v>1</v>
      </c>
      <c r="I1762">
        <v>40</v>
      </c>
      <c r="J1762" s="3">
        <v>47178</v>
      </c>
      <c r="K1762" s="6">
        <v>0</v>
      </c>
    </row>
    <row r="1763" spans="1:11">
      <c r="A1763" t="str">
        <f t="shared" si="27"/>
        <v>Zencrop Algi 60 X 100 ml470880</v>
      </c>
      <c r="B1763" t="s">
        <v>11582</v>
      </c>
      <c r="C1763" t="s">
        <v>13666</v>
      </c>
      <c r="D1763" t="s">
        <v>16145</v>
      </c>
      <c r="E1763" t="s">
        <v>2176</v>
      </c>
      <c r="F1763">
        <v>60</v>
      </c>
      <c r="G1763">
        <v>1</v>
      </c>
      <c r="H1763">
        <v>1</v>
      </c>
      <c r="I1763">
        <v>60</v>
      </c>
      <c r="J1763" s="3">
        <v>47088</v>
      </c>
      <c r="K1763" s="6">
        <v>0</v>
      </c>
    </row>
    <row r="1764" spans="1:11">
      <c r="A1764" t="str">
        <f t="shared" si="27"/>
        <v>Zencrop Algi 60 X 100 ml471780</v>
      </c>
      <c r="B1764" t="s">
        <v>11583</v>
      </c>
      <c r="C1764" t="s">
        <v>13667</v>
      </c>
      <c r="D1764" t="s">
        <v>16146</v>
      </c>
      <c r="E1764" t="s">
        <v>2176</v>
      </c>
      <c r="F1764">
        <v>60</v>
      </c>
      <c r="G1764">
        <v>1</v>
      </c>
      <c r="H1764">
        <v>1</v>
      </c>
      <c r="I1764">
        <v>60</v>
      </c>
      <c r="J1764" s="3">
        <v>47178</v>
      </c>
      <c r="K1764" s="6">
        <v>0</v>
      </c>
    </row>
    <row r="1765" spans="1:11">
      <c r="A1765" t="str">
        <f t="shared" si="27"/>
        <v>Zenpro Mix 24 X 500 ml455660</v>
      </c>
      <c r="B1765" t="s">
        <v>11584</v>
      </c>
      <c r="C1765" t="s">
        <v>13668</v>
      </c>
      <c r="D1765" t="s">
        <v>16147</v>
      </c>
      <c r="E1765" t="s">
        <v>2177</v>
      </c>
      <c r="F1765">
        <v>24</v>
      </c>
      <c r="G1765">
        <v>1</v>
      </c>
      <c r="H1765">
        <v>1</v>
      </c>
      <c r="I1765">
        <v>24</v>
      </c>
      <c r="J1765" s="3">
        <v>45566</v>
      </c>
      <c r="K1765" s="6">
        <v>0</v>
      </c>
    </row>
    <row r="1766" spans="1:11">
      <c r="A1766" t="str">
        <f t="shared" si="27"/>
        <v>Zenpro Mix 40 X 250 ml455660</v>
      </c>
      <c r="B1766" t="s">
        <v>11585</v>
      </c>
      <c r="C1766" t="s">
        <v>13669</v>
      </c>
      <c r="D1766" t="s">
        <v>16148</v>
      </c>
      <c r="E1766" t="s">
        <v>2178</v>
      </c>
      <c r="F1766">
        <v>40</v>
      </c>
      <c r="G1766">
        <v>1</v>
      </c>
      <c r="H1766">
        <v>1</v>
      </c>
      <c r="I1766">
        <v>40</v>
      </c>
      <c r="J1766" s="3">
        <v>45566</v>
      </c>
      <c r="K1766" s="6">
        <v>0</v>
      </c>
    </row>
    <row r="1767" spans="1:11">
      <c r="A1767" t="str">
        <f t="shared" si="27"/>
        <v>Zenpro Mix 60 X 100 ml454740</v>
      </c>
      <c r="B1767" t="s">
        <v>11586</v>
      </c>
      <c r="C1767" t="s">
        <v>13670</v>
      </c>
      <c r="D1767" t="s">
        <v>16149</v>
      </c>
      <c r="E1767" t="s">
        <v>2179</v>
      </c>
      <c r="F1767">
        <v>60</v>
      </c>
      <c r="G1767">
        <v>1</v>
      </c>
      <c r="H1767">
        <v>1</v>
      </c>
      <c r="I1767">
        <v>60</v>
      </c>
      <c r="J1767" s="3">
        <v>45474</v>
      </c>
      <c r="K1767" s="6">
        <v>0</v>
      </c>
    </row>
    <row r="1768" spans="1:11">
      <c r="A1768" t="str">
        <f t="shared" si="27"/>
        <v>Zenpro NPK 15 X 1 ltr469660</v>
      </c>
      <c r="B1768" t="s">
        <v>11587</v>
      </c>
      <c r="C1768" t="s">
        <v>13671</v>
      </c>
      <c r="D1768" t="s">
        <v>16150</v>
      </c>
      <c r="E1768" t="s">
        <v>2180</v>
      </c>
      <c r="F1768">
        <v>15</v>
      </c>
      <c r="G1768">
        <v>1</v>
      </c>
      <c r="H1768">
        <v>1</v>
      </c>
      <c r="I1768">
        <v>15</v>
      </c>
      <c r="J1768" s="3">
        <v>46966</v>
      </c>
      <c r="K1768" s="6">
        <v>0</v>
      </c>
    </row>
    <row r="1769" spans="1:11">
      <c r="A1769" t="str">
        <f t="shared" si="27"/>
        <v>Zentech Poster Ambest Kutu Kebul1/1/10000</v>
      </c>
      <c r="B1769" t="s">
        <v>11588</v>
      </c>
      <c r="C1769" t="s">
        <v>13672</v>
      </c>
      <c r="D1769" t="s">
        <v>16151</v>
      </c>
      <c r="E1769" t="s">
        <v>2181</v>
      </c>
      <c r="F1769">
        <v>1</v>
      </c>
      <c r="G1769">
        <v>1</v>
      </c>
      <c r="H1769">
        <v>1</v>
      </c>
      <c r="I1769">
        <v>1</v>
      </c>
      <c r="J1769" s="3" t="s">
        <v>2222</v>
      </c>
      <c r="K1769" s="6">
        <v>0</v>
      </c>
    </row>
    <row r="1770" spans="1:11">
      <c r="A1770" t="str">
        <f t="shared" si="27"/>
        <v>Zinc 6 X 200 X 1 gr465690</v>
      </c>
      <c r="B1770" t="s">
        <v>11589</v>
      </c>
      <c r="C1770" t="s">
        <v>13673</v>
      </c>
      <c r="D1770" t="s">
        <v>16152</v>
      </c>
      <c r="E1770" t="s">
        <v>2182</v>
      </c>
      <c r="F1770">
        <v>6</v>
      </c>
      <c r="G1770">
        <v>200</v>
      </c>
      <c r="H1770">
        <v>1</v>
      </c>
      <c r="I1770">
        <v>1200</v>
      </c>
      <c r="J1770" s="3">
        <v>46569</v>
      </c>
      <c r="K1770" s="6">
        <v>0</v>
      </c>
    </row>
    <row r="1771" spans="1:11">
      <c r="A1771" t="str">
        <f t="shared" si="27"/>
        <v>Zinc 6 X 200 X 1 gr474530</v>
      </c>
      <c r="B1771" t="s">
        <v>11590</v>
      </c>
      <c r="C1771" t="s">
        <v>13674</v>
      </c>
      <c r="D1771" t="s">
        <v>16153</v>
      </c>
      <c r="E1771" t="s">
        <v>2182</v>
      </c>
      <c r="F1771">
        <v>6</v>
      </c>
      <c r="G1771">
        <v>200</v>
      </c>
      <c r="H1771">
        <v>1</v>
      </c>
      <c r="I1771">
        <v>1200</v>
      </c>
      <c r="J1771" s="3">
        <v>47453</v>
      </c>
      <c r="K1771" s="6">
        <v>0</v>
      </c>
    </row>
    <row r="1772" spans="1:11">
      <c r="A1772" t="str">
        <f t="shared" si="27"/>
        <v>ZNURECOTE 50 kg465080</v>
      </c>
      <c r="B1772" t="s">
        <v>11591</v>
      </c>
      <c r="C1772" t="s">
        <v>13675</v>
      </c>
      <c r="D1772" t="s">
        <v>16154</v>
      </c>
      <c r="E1772" t="s">
        <v>2183</v>
      </c>
      <c r="F1772">
        <v>1</v>
      </c>
      <c r="G1772">
        <v>1</v>
      </c>
      <c r="H1772">
        <v>1</v>
      </c>
      <c r="I1772">
        <v>1</v>
      </c>
      <c r="J1772" s="3">
        <v>46508</v>
      </c>
      <c r="K1772" s="6">
        <v>0</v>
      </c>
    </row>
    <row r="1773" spans="1:11">
      <c r="A1773" t="str">
        <f t="shared" si="27"/>
        <v>Bawang Bahana 12 X 10 X 20 gr45565411230717</v>
      </c>
      <c r="B1773" t="s">
        <v>11592</v>
      </c>
      <c r="C1773" t="s">
        <v>13676</v>
      </c>
      <c r="D1773" t="s">
        <v>16155</v>
      </c>
      <c r="E1773" t="s">
        <v>311</v>
      </c>
      <c r="F1773">
        <v>12</v>
      </c>
      <c r="G1773">
        <v>10</v>
      </c>
      <c r="H1773">
        <v>1</v>
      </c>
      <c r="I1773">
        <v>120</v>
      </c>
      <c r="J1773" s="3">
        <v>45565</v>
      </c>
      <c r="K1773" s="6">
        <v>411230717</v>
      </c>
    </row>
    <row r="1774" spans="1:11">
      <c r="A1774" t="str">
        <f t="shared" si="27"/>
        <v>Bayam Belang 35 X 500 gr4579267102320</v>
      </c>
      <c r="B1774" t="s">
        <v>11593</v>
      </c>
      <c r="C1774" t="s">
        <v>13677</v>
      </c>
      <c r="D1774" t="s">
        <v>16156</v>
      </c>
      <c r="E1774" t="s">
        <v>313</v>
      </c>
      <c r="F1774">
        <v>35</v>
      </c>
      <c r="G1774">
        <v>1</v>
      </c>
      <c r="H1774">
        <v>1</v>
      </c>
      <c r="I1774">
        <v>35</v>
      </c>
      <c r="J1774" s="3">
        <v>45792</v>
      </c>
      <c r="K1774" s="6">
        <v>67102320</v>
      </c>
    </row>
    <row r="1775" spans="1:11">
      <c r="A1775" t="str">
        <f t="shared" si="27"/>
        <v>Bayam Belang 35 X 500 gr4573067082309</v>
      </c>
      <c r="B1775" t="s">
        <v>11594</v>
      </c>
      <c r="C1775" t="s">
        <v>13678</v>
      </c>
      <c r="D1775" t="s">
        <v>16157</v>
      </c>
      <c r="E1775" t="s">
        <v>313</v>
      </c>
      <c r="F1775">
        <v>35</v>
      </c>
      <c r="G1775">
        <v>1</v>
      </c>
      <c r="H1775">
        <v>1</v>
      </c>
      <c r="I1775">
        <v>35</v>
      </c>
      <c r="J1775" s="3">
        <v>45730</v>
      </c>
      <c r="K1775" s="6">
        <v>67082309</v>
      </c>
    </row>
    <row r="1776" spans="1:11">
      <c r="A1776" t="str">
        <f t="shared" si="27"/>
        <v>Bayam Belang 35 X 500 gr4574567092310</v>
      </c>
      <c r="B1776" t="s">
        <v>11595</v>
      </c>
      <c r="C1776" t="s">
        <v>13679</v>
      </c>
      <c r="D1776" t="s">
        <v>16158</v>
      </c>
      <c r="E1776" t="s">
        <v>313</v>
      </c>
      <c r="F1776">
        <v>35</v>
      </c>
      <c r="G1776">
        <v>1</v>
      </c>
      <c r="H1776">
        <v>1</v>
      </c>
      <c r="I1776">
        <v>35</v>
      </c>
      <c r="J1776" s="3">
        <v>45745</v>
      </c>
      <c r="K1776" s="6">
        <v>67092310</v>
      </c>
    </row>
    <row r="1777" spans="1:11">
      <c r="A1777" t="str">
        <f t="shared" si="27"/>
        <v>Bayam Belang 90 X 100 gr4568967072306</v>
      </c>
      <c r="B1777" t="s">
        <v>11596</v>
      </c>
      <c r="C1777" t="s">
        <v>13680</v>
      </c>
      <c r="D1777" t="s">
        <v>16159</v>
      </c>
      <c r="E1777" t="s">
        <v>314</v>
      </c>
      <c r="F1777">
        <v>90</v>
      </c>
      <c r="G1777">
        <v>1</v>
      </c>
      <c r="H1777">
        <v>1</v>
      </c>
      <c r="I1777">
        <v>90</v>
      </c>
      <c r="J1777" s="3">
        <v>45689</v>
      </c>
      <c r="K1777" s="6">
        <v>67072306</v>
      </c>
    </row>
    <row r="1778" spans="1:11">
      <c r="A1778" t="str">
        <f t="shared" si="27"/>
        <v>Buncis Elastis 30 X 500 gr45964384102301</v>
      </c>
      <c r="B1778" t="s">
        <v>11597</v>
      </c>
      <c r="C1778" t="s">
        <v>13681</v>
      </c>
      <c r="D1778" t="s">
        <v>16160</v>
      </c>
      <c r="E1778" t="s">
        <v>409</v>
      </c>
      <c r="F1778">
        <v>30</v>
      </c>
      <c r="G1778">
        <v>1</v>
      </c>
      <c r="H1778">
        <v>1</v>
      </c>
      <c r="I1778">
        <v>30</v>
      </c>
      <c r="J1778" s="3">
        <v>45964</v>
      </c>
      <c r="K1778" s="6">
        <v>384102301</v>
      </c>
    </row>
    <row r="1779" spans="1:11">
      <c r="A1779" t="str">
        <f t="shared" si="27"/>
        <v>Cabe Balebat F1 12 X 15 X 10 gr45660188052301</v>
      </c>
      <c r="B1779" t="s">
        <v>11598</v>
      </c>
      <c r="C1779" t="s">
        <v>13682</v>
      </c>
      <c r="D1779" t="s">
        <v>16161</v>
      </c>
      <c r="E1779" t="s">
        <v>412</v>
      </c>
      <c r="F1779">
        <v>12</v>
      </c>
      <c r="G1779">
        <v>15</v>
      </c>
      <c r="H1779">
        <v>1</v>
      </c>
      <c r="I1779">
        <v>180</v>
      </c>
      <c r="J1779" s="3">
        <v>45660</v>
      </c>
      <c r="K1779" s="6">
        <v>188052301</v>
      </c>
    </row>
    <row r="1780" spans="1:11">
      <c r="A1780" t="str">
        <f t="shared" si="27"/>
        <v>Cabe Columbus 20 X 12 X 10 gr45843318344</v>
      </c>
      <c r="B1780" t="s">
        <v>11599</v>
      </c>
      <c r="C1780" t="s">
        <v>13683</v>
      </c>
      <c r="D1780" t="s">
        <v>16162</v>
      </c>
      <c r="E1780" t="s">
        <v>413</v>
      </c>
      <c r="F1780">
        <v>20</v>
      </c>
      <c r="G1780">
        <v>12</v>
      </c>
      <c r="H1780">
        <v>1</v>
      </c>
      <c r="I1780">
        <v>240</v>
      </c>
      <c r="J1780" s="3">
        <v>45843</v>
      </c>
      <c r="K1780" s="6">
        <v>318344</v>
      </c>
    </row>
    <row r="1781" spans="1:11">
      <c r="A1781" t="str">
        <f t="shared" si="27"/>
        <v>Cabe Columbus 20 X 12 X 10 gr45896418442</v>
      </c>
      <c r="B1781" t="s">
        <v>11600</v>
      </c>
      <c r="C1781" t="s">
        <v>13684</v>
      </c>
      <c r="D1781" t="s">
        <v>16163</v>
      </c>
      <c r="E1781" t="s">
        <v>413</v>
      </c>
      <c r="F1781">
        <v>20</v>
      </c>
      <c r="G1781">
        <v>12</v>
      </c>
      <c r="H1781">
        <v>1</v>
      </c>
      <c r="I1781">
        <v>240</v>
      </c>
      <c r="J1781" s="3">
        <v>45896</v>
      </c>
      <c r="K1781" s="6">
        <v>418442</v>
      </c>
    </row>
    <row r="1782" spans="1:11">
      <c r="A1782" t="str">
        <f t="shared" si="27"/>
        <v>Cabe Columbus 20 X 12 X 10 gr45809317532</v>
      </c>
      <c r="B1782" t="s">
        <v>11601</v>
      </c>
      <c r="C1782" t="s">
        <v>13685</v>
      </c>
      <c r="D1782" t="s">
        <v>16164</v>
      </c>
      <c r="E1782" t="s">
        <v>413</v>
      </c>
      <c r="F1782">
        <v>20</v>
      </c>
      <c r="G1782">
        <v>12</v>
      </c>
      <c r="H1782">
        <v>1</v>
      </c>
      <c r="I1782">
        <v>240</v>
      </c>
      <c r="J1782" s="3">
        <v>45809</v>
      </c>
      <c r="K1782" s="6">
        <v>317532</v>
      </c>
    </row>
    <row r="1783" spans="1:11">
      <c r="A1783" t="str">
        <f t="shared" si="27"/>
        <v>Cabe Genie 12 X 15 X 10 gr4583427122350</v>
      </c>
      <c r="B1783" t="s">
        <v>11602</v>
      </c>
      <c r="C1783" t="s">
        <v>13686</v>
      </c>
      <c r="D1783" t="s">
        <v>16165</v>
      </c>
      <c r="E1783" t="s">
        <v>414</v>
      </c>
      <c r="F1783">
        <v>12</v>
      </c>
      <c r="G1783">
        <v>15</v>
      </c>
      <c r="H1783">
        <v>1</v>
      </c>
      <c r="I1783">
        <v>180</v>
      </c>
      <c r="J1783" s="3">
        <v>45834</v>
      </c>
      <c r="K1783" s="6">
        <v>27122350</v>
      </c>
    </row>
    <row r="1784" spans="1:11">
      <c r="A1784" t="str">
        <f t="shared" si="27"/>
        <v>Cabe Genie 12 X 15 X 10 gr4583127122349</v>
      </c>
      <c r="B1784" t="s">
        <v>11603</v>
      </c>
      <c r="C1784" t="s">
        <v>13687</v>
      </c>
      <c r="D1784" t="s">
        <v>16166</v>
      </c>
      <c r="E1784" t="s">
        <v>414</v>
      </c>
      <c r="F1784">
        <v>12</v>
      </c>
      <c r="G1784">
        <v>15</v>
      </c>
      <c r="H1784">
        <v>1</v>
      </c>
      <c r="I1784">
        <v>180</v>
      </c>
      <c r="J1784" s="3">
        <v>45831</v>
      </c>
      <c r="K1784" s="6">
        <v>27122349</v>
      </c>
    </row>
    <row r="1785" spans="1:11">
      <c r="A1785" t="str">
        <f t="shared" si="27"/>
        <v>Cabe Genie 12 X 15 X 10 gr45830272308138</v>
      </c>
      <c r="B1785" t="s">
        <v>11604</v>
      </c>
      <c r="C1785" t="s">
        <v>13688</v>
      </c>
      <c r="D1785" t="s">
        <v>16167</v>
      </c>
      <c r="E1785" t="s">
        <v>414</v>
      </c>
      <c r="F1785">
        <v>12</v>
      </c>
      <c r="G1785">
        <v>15</v>
      </c>
      <c r="H1785">
        <v>1</v>
      </c>
      <c r="I1785">
        <v>180</v>
      </c>
      <c r="J1785" s="3">
        <v>45830</v>
      </c>
      <c r="K1785" s="6">
        <v>272308138</v>
      </c>
    </row>
    <row r="1786" spans="1:11">
      <c r="A1786" t="str">
        <f t="shared" si="27"/>
        <v>Cabe Genie 12 X 15 X 10 gr4580427092337</v>
      </c>
      <c r="B1786" t="s">
        <v>11605</v>
      </c>
      <c r="C1786" t="s">
        <v>13689</v>
      </c>
      <c r="D1786" t="s">
        <v>16168</v>
      </c>
      <c r="E1786" t="s">
        <v>414</v>
      </c>
      <c r="F1786">
        <v>12</v>
      </c>
      <c r="G1786">
        <v>15</v>
      </c>
      <c r="H1786">
        <v>1</v>
      </c>
      <c r="I1786">
        <v>180</v>
      </c>
      <c r="J1786" s="3">
        <v>45804</v>
      </c>
      <c r="K1786" s="6">
        <v>27092337</v>
      </c>
    </row>
    <row r="1787" spans="1:11">
      <c r="A1787" t="str">
        <f t="shared" si="27"/>
        <v>Cabe Genie 12 X 15 X 10 gr4580727092336</v>
      </c>
      <c r="B1787" t="s">
        <v>11606</v>
      </c>
      <c r="C1787" t="s">
        <v>13690</v>
      </c>
      <c r="D1787" t="s">
        <v>16169</v>
      </c>
      <c r="E1787" t="s">
        <v>414</v>
      </c>
      <c r="F1787">
        <v>12</v>
      </c>
      <c r="G1787">
        <v>15</v>
      </c>
      <c r="H1787">
        <v>1</v>
      </c>
      <c r="I1787">
        <v>180</v>
      </c>
      <c r="J1787" s="3">
        <v>45807</v>
      </c>
      <c r="K1787" s="6">
        <v>27092336</v>
      </c>
    </row>
    <row r="1788" spans="1:11">
      <c r="A1788" t="str">
        <f t="shared" si="27"/>
        <v>Cabe Genie 2 gr4596727042412</v>
      </c>
      <c r="B1788" t="s">
        <v>11607</v>
      </c>
      <c r="C1788" t="s">
        <v>13691</v>
      </c>
      <c r="D1788" t="s">
        <v>16170</v>
      </c>
      <c r="E1788" t="s">
        <v>415</v>
      </c>
      <c r="F1788">
        <v>1</v>
      </c>
      <c r="G1788">
        <v>1</v>
      </c>
      <c r="H1788">
        <v>1</v>
      </c>
      <c r="I1788">
        <v>1</v>
      </c>
      <c r="J1788" s="3">
        <v>45967</v>
      </c>
      <c r="K1788" s="6">
        <v>27042412</v>
      </c>
    </row>
    <row r="1789" spans="1:11">
      <c r="A1789" t="str">
        <f t="shared" si="27"/>
        <v>Cabe Horison 97 20 X 12 X 10 gr45931216646</v>
      </c>
      <c r="B1789" t="s">
        <v>11608</v>
      </c>
      <c r="C1789" t="s">
        <v>13692</v>
      </c>
      <c r="D1789" t="s">
        <v>16171</v>
      </c>
      <c r="E1789" t="s">
        <v>416</v>
      </c>
      <c r="F1789">
        <v>20</v>
      </c>
      <c r="G1789">
        <v>12</v>
      </c>
      <c r="H1789">
        <v>1</v>
      </c>
      <c r="I1789">
        <v>240</v>
      </c>
      <c r="J1789" s="3">
        <v>45931</v>
      </c>
      <c r="K1789" s="6">
        <v>216646</v>
      </c>
    </row>
    <row r="1790" spans="1:11">
      <c r="A1790" t="str">
        <f t="shared" si="27"/>
        <v>Cabe Imperial Ijo 20 X 12 X 10 gr45992417694</v>
      </c>
      <c r="B1790" t="s">
        <v>11609</v>
      </c>
      <c r="C1790" t="s">
        <v>13693</v>
      </c>
      <c r="D1790" t="s">
        <v>16172</v>
      </c>
      <c r="E1790" t="s">
        <v>417</v>
      </c>
      <c r="F1790">
        <v>20</v>
      </c>
      <c r="G1790">
        <v>12</v>
      </c>
      <c r="H1790">
        <v>1</v>
      </c>
      <c r="I1790">
        <v>240</v>
      </c>
      <c r="J1790" s="3">
        <v>45992</v>
      </c>
      <c r="K1790" s="6">
        <v>417694</v>
      </c>
    </row>
    <row r="1791" spans="1:11">
      <c r="A1791" t="str">
        <f t="shared" si="27"/>
        <v>Cabe Imperial Ijo 20 X 12 X 10 gr45870313663</v>
      </c>
      <c r="B1791" t="s">
        <v>11610</v>
      </c>
      <c r="C1791" t="s">
        <v>13694</v>
      </c>
      <c r="D1791" t="s">
        <v>16173</v>
      </c>
      <c r="E1791" t="s">
        <v>417</v>
      </c>
      <c r="F1791">
        <v>20</v>
      </c>
      <c r="G1791">
        <v>12</v>
      </c>
      <c r="H1791">
        <v>1</v>
      </c>
      <c r="I1791">
        <v>240</v>
      </c>
      <c r="J1791" s="3">
        <v>45870</v>
      </c>
      <c r="K1791" s="6">
        <v>313663</v>
      </c>
    </row>
    <row r="1792" spans="1:11">
      <c r="A1792" t="str">
        <f t="shared" si="27"/>
        <v>Cabe Imperial Ijo 20 X 12 X 10 gr45992417690</v>
      </c>
      <c r="B1792" t="s">
        <v>11611</v>
      </c>
      <c r="C1792" t="s">
        <v>13695</v>
      </c>
      <c r="D1792" t="s">
        <v>16174</v>
      </c>
      <c r="E1792" t="s">
        <v>417</v>
      </c>
      <c r="F1792">
        <v>20</v>
      </c>
      <c r="G1792">
        <v>12</v>
      </c>
      <c r="H1792">
        <v>1</v>
      </c>
      <c r="I1792">
        <v>240</v>
      </c>
      <c r="J1792" s="3">
        <v>45992</v>
      </c>
      <c r="K1792" s="6">
        <v>417690</v>
      </c>
    </row>
    <row r="1793" spans="1:11">
      <c r="A1793" t="str">
        <f t="shared" si="27"/>
        <v>Cabe Keriting Suli 5 X 30 X 10 gr457229032401</v>
      </c>
      <c r="B1793" t="s">
        <v>11612</v>
      </c>
      <c r="C1793" t="s">
        <v>13696</v>
      </c>
      <c r="D1793" t="s">
        <v>16175</v>
      </c>
      <c r="E1793" t="s">
        <v>418</v>
      </c>
      <c r="F1793">
        <v>5</v>
      </c>
      <c r="G1793">
        <v>30</v>
      </c>
      <c r="H1793">
        <v>1</v>
      </c>
      <c r="I1793">
        <v>150</v>
      </c>
      <c r="J1793" s="3">
        <v>45722</v>
      </c>
      <c r="K1793" s="6">
        <v>9032401</v>
      </c>
    </row>
    <row r="1794" spans="1:11">
      <c r="A1794" t="str">
        <f t="shared" si="27"/>
        <v>Cabe Ori 212 10 X 25 X 10 gr45812823200723305</v>
      </c>
      <c r="B1794" t="s">
        <v>11613</v>
      </c>
      <c r="C1794" t="s">
        <v>13697</v>
      </c>
      <c r="D1794" t="s">
        <v>16176</v>
      </c>
      <c r="E1794" t="s">
        <v>419</v>
      </c>
      <c r="F1794">
        <v>10</v>
      </c>
      <c r="G1794">
        <v>25</v>
      </c>
      <c r="H1794">
        <v>1</v>
      </c>
      <c r="I1794">
        <v>250</v>
      </c>
      <c r="J1794" s="3">
        <v>45812</v>
      </c>
      <c r="K1794" s="6">
        <v>823200723305</v>
      </c>
    </row>
    <row r="1795" spans="1:11">
      <c r="A1795" t="str">
        <f t="shared" ref="A1795:A1858" si="28">E1795&amp;J1795&amp;K1795</f>
        <v>Cabe Rawit Naomi 5 X 30 X 10 gr458042052401</v>
      </c>
      <c r="B1795" t="s">
        <v>11614</v>
      </c>
      <c r="C1795" t="s">
        <v>13698</v>
      </c>
      <c r="D1795" t="s">
        <v>16177</v>
      </c>
      <c r="E1795" t="s">
        <v>420</v>
      </c>
      <c r="F1795">
        <v>5</v>
      </c>
      <c r="G1795">
        <v>30</v>
      </c>
      <c r="H1795">
        <v>1</v>
      </c>
      <c r="I1795">
        <v>150</v>
      </c>
      <c r="J1795" s="3">
        <v>45804</v>
      </c>
      <c r="K1795" s="6">
        <v>2052401</v>
      </c>
    </row>
    <row r="1796" spans="1:11">
      <c r="A1796" t="str">
        <f t="shared" si="28"/>
        <v>Cabe Rawit Yukari 5 X 30 X 10 gr458042052401</v>
      </c>
      <c r="B1796" t="s">
        <v>11615</v>
      </c>
      <c r="C1796" t="s">
        <v>13699</v>
      </c>
      <c r="D1796" t="s">
        <v>16178</v>
      </c>
      <c r="E1796" t="s">
        <v>421</v>
      </c>
      <c r="F1796">
        <v>5</v>
      </c>
      <c r="G1796">
        <v>30</v>
      </c>
      <c r="H1796">
        <v>1</v>
      </c>
      <c r="I1796">
        <v>150</v>
      </c>
      <c r="J1796" s="3">
        <v>45804</v>
      </c>
      <c r="K1796" s="6">
        <v>2052401</v>
      </c>
    </row>
    <row r="1797" spans="1:11">
      <c r="A1797" t="str">
        <f t="shared" si="28"/>
        <v>Cabe Sigantung 12 X 15 X 10 gr45831118062301</v>
      </c>
      <c r="B1797" t="s">
        <v>11616</v>
      </c>
      <c r="C1797" t="s">
        <v>13700</v>
      </c>
      <c r="D1797" t="s">
        <v>16179</v>
      </c>
      <c r="E1797" t="s">
        <v>422</v>
      </c>
      <c r="F1797">
        <v>12</v>
      </c>
      <c r="G1797">
        <v>15</v>
      </c>
      <c r="H1797">
        <v>1</v>
      </c>
      <c r="I1797">
        <v>180</v>
      </c>
      <c r="J1797" s="3">
        <v>45831</v>
      </c>
      <c r="K1797" s="6">
        <v>118062301</v>
      </c>
    </row>
    <row r="1798" spans="1:11">
      <c r="A1798" t="str">
        <f t="shared" si="28"/>
        <v>Cabe Sigantung 12 X 15 X 10 gr45741118230948</v>
      </c>
      <c r="B1798" t="s">
        <v>11617</v>
      </c>
      <c r="C1798" t="s">
        <v>13701</v>
      </c>
      <c r="D1798" t="s">
        <v>16180</v>
      </c>
      <c r="E1798" t="s">
        <v>422</v>
      </c>
      <c r="F1798">
        <v>12</v>
      </c>
      <c r="G1798">
        <v>15</v>
      </c>
      <c r="H1798">
        <v>1</v>
      </c>
      <c r="I1798">
        <v>180</v>
      </c>
      <c r="J1798" s="3">
        <v>45741</v>
      </c>
      <c r="K1798" s="6">
        <v>118230948</v>
      </c>
    </row>
    <row r="1799" spans="1:11">
      <c r="A1799" t="str">
        <f t="shared" si="28"/>
        <v>Cabe Sret 12 X 15 X 10 gr45824282311102</v>
      </c>
      <c r="B1799" t="s">
        <v>11618</v>
      </c>
      <c r="C1799" t="s">
        <v>13702</v>
      </c>
      <c r="D1799" t="s">
        <v>16181</v>
      </c>
      <c r="E1799" t="s">
        <v>423</v>
      </c>
      <c r="F1799">
        <v>12</v>
      </c>
      <c r="G1799">
        <v>15</v>
      </c>
      <c r="H1799">
        <v>1</v>
      </c>
      <c r="I1799">
        <v>180</v>
      </c>
      <c r="J1799" s="3">
        <v>45824</v>
      </c>
      <c r="K1799" s="6">
        <v>282311102</v>
      </c>
    </row>
    <row r="1800" spans="1:11">
      <c r="A1800" t="str">
        <f t="shared" si="28"/>
        <v>Cabe Sret 12 X 15 X 10 gr4579428112302</v>
      </c>
      <c r="B1800" t="s">
        <v>11619</v>
      </c>
      <c r="C1800" t="s">
        <v>13703</v>
      </c>
      <c r="D1800" t="s">
        <v>16182</v>
      </c>
      <c r="E1800" t="s">
        <v>423</v>
      </c>
      <c r="F1800">
        <v>12</v>
      </c>
      <c r="G1800">
        <v>15</v>
      </c>
      <c r="H1800">
        <v>1</v>
      </c>
      <c r="I1800">
        <v>180</v>
      </c>
      <c r="J1800" s="3">
        <v>45794</v>
      </c>
      <c r="K1800" s="6">
        <v>28112302</v>
      </c>
    </row>
    <row r="1801" spans="1:11">
      <c r="A1801" t="str">
        <f t="shared" si="28"/>
        <v>Cabe Zahra F1 12 X 15 X 10 gr45660365221203</v>
      </c>
      <c r="B1801" t="s">
        <v>11620</v>
      </c>
      <c r="C1801" t="s">
        <v>13704</v>
      </c>
      <c r="D1801" t="s">
        <v>16183</v>
      </c>
      <c r="E1801" t="s">
        <v>425</v>
      </c>
      <c r="F1801">
        <v>12</v>
      </c>
      <c r="G1801">
        <v>15</v>
      </c>
      <c r="H1801">
        <v>1</v>
      </c>
      <c r="I1801">
        <v>180</v>
      </c>
      <c r="J1801" s="3">
        <v>45660</v>
      </c>
      <c r="K1801" s="6">
        <v>365221203</v>
      </c>
    </row>
    <row r="1802" spans="1:11">
      <c r="A1802" t="str">
        <f t="shared" si="28"/>
        <v>Cauli Flower Kiran F1 50 X 10 X 10 gr45992782408</v>
      </c>
      <c r="B1802" t="s">
        <v>11621</v>
      </c>
      <c r="C1802" t="s">
        <v>13705</v>
      </c>
      <c r="D1802" t="s">
        <v>16184</v>
      </c>
      <c r="E1802" t="s">
        <v>479</v>
      </c>
      <c r="F1802">
        <v>500</v>
      </c>
      <c r="G1802">
        <v>1</v>
      </c>
      <c r="H1802">
        <v>1</v>
      </c>
      <c r="I1802">
        <v>500</v>
      </c>
      <c r="J1802" s="3">
        <v>45992</v>
      </c>
      <c r="K1802" s="6">
        <v>782408</v>
      </c>
    </row>
    <row r="1803" spans="1:11">
      <c r="A1803" t="str">
        <f t="shared" si="28"/>
        <v>Cauli Flower White Shot 25 X 10 X 10 gr4591910013423</v>
      </c>
      <c r="B1803" t="s">
        <v>11622</v>
      </c>
      <c r="C1803" t="s">
        <v>13706</v>
      </c>
      <c r="D1803" t="s">
        <v>16185</v>
      </c>
      <c r="E1803" t="s">
        <v>480</v>
      </c>
      <c r="F1803">
        <v>25</v>
      </c>
      <c r="G1803">
        <v>10</v>
      </c>
      <c r="H1803">
        <v>1</v>
      </c>
      <c r="I1803">
        <v>250</v>
      </c>
      <c r="J1803" s="3">
        <v>45919</v>
      </c>
      <c r="K1803" s="6">
        <v>10013423</v>
      </c>
    </row>
    <row r="1804" spans="1:11">
      <c r="A1804" t="str">
        <f t="shared" si="28"/>
        <v>Jagung ADV 132 20 X 1 kg45503LLK1A1013</v>
      </c>
      <c r="B1804" t="s">
        <v>11623</v>
      </c>
      <c r="C1804" t="s">
        <v>13707</v>
      </c>
      <c r="D1804" t="s">
        <v>16186</v>
      </c>
      <c r="E1804" t="s">
        <v>836</v>
      </c>
      <c r="F1804">
        <v>20</v>
      </c>
      <c r="G1804">
        <v>1</v>
      </c>
      <c r="H1804">
        <v>1</v>
      </c>
      <c r="I1804">
        <v>20</v>
      </c>
      <c r="J1804" s="3">
        <v>45503</v>
      </c>
      <c r="K1804" s="6" t="s">
        <v>837</v>
      </c>
    </row>
    <row r="1805" spans="1:11">
      <c r="A1805" t="str">
        <f t="shared" si="28"/>
        <v>Jagung ADV 132 20 X 1 kg45654LLK1A3016</v>
      </c>
      <c r="B1805" t="s">
        <v>11624</v>
      </c>
      <c r="C1805" t="s">
        <v>13708</v>
      </c>
      <c r="D1805" t="s">
        <v>16187</v>
      </c>
      <c r="E1805" t="s">
        <v>836</v>
      </c>
      <c r="F1805">
        <v>20</v>
      </c>
      <c r="G1805">
        <v>1</v>
      </c>
      <c r="H1805">
        <v>1</v>
      </c>
      <c r="I1805">
        <v>20</v>
      </c>
      <c r="J1805" s="3">
        <v>45654</v>
      </c>
      <c r="K1805" s="6" t="s">
        <v>839</v>
      </c>
    </row>
    <row r="1806" spans="1:11">
      <c r="A1806" t="str">
        <f t="shared" si="28"/>
        <v>Jagung ADV 132 20 X 1 kg45638LLK1A1020</v>
      </c>
      <c r="B1806" t="s">
        <v>11625</v>
      </c>
      <c r="C1806" t="s">
        <v>13709</v>
      </c>
      <c r="D1806" t="s">
        <v>16188</v>
      </c>
      <c r="E1806" t="s">
        <v>836</v>
      </c>
      <c r="F1806">
        <v>20</v>
      </c>
      <c r="G1806">
        <v>1</v>
      </c>
      <c r="H1806">
        <v>1</v>
      </c>
      <c r="I1806">
        <v>20</v>
      </c>
      <c r="J1806" s="3">
        <v>45638</v>
      </c>
      <c r="K1806" s="6" t="s">
        <v>840</v>
      </c>
    </row>
    <row r="1807" spans="1:11">
      <c r="A1807" t="str">
        <f t="shared" si="28"/>
        <v>Jagung ADV 132 20 X 1 kg45514LLK1A1017</v>
      </c>
      <c r="B1807" t="s">
        <v>11626</v>
      </c>
      <c r="C1807" t="s">
        <v>13710</v>
      </c>
      <c r="D1807" t="s">
        <v>16189</v>
      </c>
      <c r="E1807" t="s">
        <v>836</v>
      </c>
      <c r="F1807">
        <v>20</v>
      </c>
      <c r="G1807">
        <v>1</v>
      </c>
      <c r="H1807">
        <v>1</v>
      </c>
      <c r="I1807">
        <v>20</v>
      </c>
      <c r="J1807" s="3">
        <v>45514</v>
      </c>
      <c r="K1807" s="6" t="s">
        <v>841</v>
      </c>
    </row>
    <row r="1808" spans="1:11">
      <c r="A1808" t="str">
        <f t="shared" si="28"/>
        <v>Jagung ADV 132 20 X 1 kg45654LLK1A3015</v>
      </c>
      <c r="B1808" t="s">
        <v>11627</v>
      </c>
      <c r="C1808" t="s">
        <v>13711</v>
      </c>
      <c r="D1808" t="s">
        <v>16190</v>
      </c>
      <c r="E1808" t="s">
        <v>836</v>
      </c>
      <c r="F1808">
        <v>20</v>
      </c>
      <c r="G1808">
        <v>1</v>
      </c>
      <c r="H1808">
        <v>1</v>
      </c>
      <c r="I1808">
        <v>20</v>
      </c>
      <c r="J1808" s="3">
        <v>45654</v>
      </c>
      <c r="K1808" s="6" t="s">
        <v>842</v>
      </c>
    </row>
    <row r="1809" spans="1:11">
      <c r="A1809" t="str">
        <f t="shared" si="28"/>
        <v>Jagung ADV 132 20 X 1 kg45638LLK1A1019</v>
      </c>
      <c r="B1809" t="s">
        <v>11628</v>
      </c>
      <c r="C1809" t="s">
        <v>13712</v>
      </c>
      <c r="D1809" t="s">
        <v>16191</v>
      </c>
      <c r="E1809" t="s">
        <v>836</v>
      </c>
      <c r="F1809">
        <v>20</v>
      </c>
      <c r="G1809">
        <v>1</v>
      </c>
      <c r="H1809">
        <v>1</v>
      </c>
      <c r="I1809">
        <v>20</v>
      </c>
      <c r="J1809" s="3">
        <v>45638</v>
      </c>
      <c r="K1809" s="6" t="s">
        <v>843</v>
      </c>
    </row>
    <row r="1810" spans="1:11">
      <c r="A1810" t="str">
        <f t="shared" si="28"/>
        <v>Jagung Bisi 18 20 X 1 kg455713079HBS18</v>
      </c>
      <c r="B1810" t="s">
        <v>11629</v>
      </c>
      <c r="C1810" t="s">
        <v>13713</v>
      </c>
      <c r="D1810" t="s">
        <v>16192</v>
      </c>
      <c r="E1810" t="s">
        <v>845</v>
      </c>
      <c r="F1810">
        <v>20</v>
      </c>
      <c r="G1810">
        <v>1</v>
      </c>
      <c r="H1810">
        <v>1</v>
      </c>
      <c r="I1810">
        <v>20</v>
      </c>
      <c r="J1810" s="3">
        <v>45571</v>
      </c>
      <c r="K1810" s="6" t="s">
        <v>846</v>
      </c>
    </row>
    <row r="1811" spans="1:11">
      <c r="A1811" t="str">
        <f t="shared" si="28"/>
        <v>Jagung Bisi 18 20 X 1 kg455963175HBS18</v>
      </c>
      <c r="B1811" t="s">
        <v>11630</v>
      </c>
      <c r="C1811" t="s">
        <v>13714</v>
      </c>
      <c r="D1811" t="s">
        <v>16193</v>
      </c>
      <c r="E1811" t="s">
        <v>845</v>
      </c>
      <c r="F1811">
        <v>20</v>
      </c>
      <c r="G1811">
        <v>1</v>
      </c>
      <c r="H1811">
        <v>1</v>
      </c>
      <c r="I1811">
        <v>20</v>
      </c>
      <c r="J1811" s="3">
        <v>45596</v>
      </c>
      <c r="K1811" s="6" t="s">
        <v>847</v>
      </c>
    </row>
    <row r="1812" spans="1:11">
      <c r="A1812" t="str">
        <f t="shared" si="28"/>
        <v>Jagung Bisi 18 20 X 1 kg456384039HBS18</v>
      </c>
      <c r="B1812" t="s">
        <v>11631</v>
      </c>
      <c r="C1812" t="s">
        <v>13715</v>
      </c>
      <c r="D1812" t="s">
        <v>16194</v>
      </c>
      <c r="E1812" t="s">
        <v>845</v>
      </c>
      <c r="F1812">
        <v>20</v>
      </c>
      <c r="G1812">
        <v>1</v>
      </c>
      <c r="H1812">
        <v>1</v>
      </c>
      <c r="I1812">
        <v>20</v>
      </c>
      <c r="J1812" s="3">
        <v>45638</v>
      </c>
      <c r="K1812" s="6" t="s">
        <v>849</v>
      </c>
    </row>
    <row r="1813" spans="1:11">
      <c r="A1813" t="str">
        <f t="shared" si="28"/>
        <v>Jagung Bisi 18 20 X 1 kg455853163HBS18</v>
      </c>
      <c r="B1813" t="s">
        <v>11632</v>
      </c>
      <c r="C1813" t="s">
        <v>13716</v>
      </c>
      <c r="D1813" t="s">
        <v>16195</v>
      </c>
      <c r="E1813" t="s">
        <v>845</v>
      </c>
      <c r="F1813">
        <v>20</v>
      </c>
      <c r="G1813">
        <v>1</v>
      </c>
      <c r="H1813">
        <v>1</v>
      </c>
      <c r="I1813">
        <v>20</v>
      </c>
      <c r="J1813" s="3">
        <v>45585</v>
      </c>
      <c r="K1813" s="6" t="s">
        <v>851</v>
      </c>
    </row>
    <row r="1814" spans="1:11">
      <c r="A1814" t="str">
        <f t="shared" si="28"/>
        <v>Jagung Bisi 18 20 X 1 kg455963189HBS18</v>
      </c>
      <c r="B1814" t="s">
        <v>11633</v>
      </c>
      <c r="C1814" t="s">
        <v>13717</v>
      </c>
      <c r="D1814" t="s">
        <v>16196</v>
      </c>
      <c r="E1814" t="s">
        <v>845</v>
      </c>
      <c r="F1814">
        <v>20</v>
      </c>
      <c r="G1814">
        <v>1</v>
      </c>
      <c r="H1814">
        <v>1</v>
      </c>
      <c r="I1814">
        <v>20</v>
      </c>
      <c r="J1814" s="3">
        <v>45596</v>
      </c>
      <c r="K1814" s="6" t="s">
        <v>853</v>
      </c>
    </row>
    <row r="1815" spans="1:11">
      <c r="A1815" t="str">
        <f t="shared" si="28"/>
        <v>Jagung Bisi 18 20 X 1 kg456354035HBS18</v>
      </c>
      <c r="B1815" t="s">
        <v>11634</v>
      </c>
      <c r="C1815" t="s">
        <v>13718</v>
      </c>
      <c r="D1815" t="s">
        <v>16197</v>
      </c>
      <c r="E1815" t="s">
        <v>845</v>
      </c>
      <c r="F1815">
        <v>20</v>
      </c>
      <c r="G1815">
        <v>1</v>
      </c>
      <c r="H1815">
        <v>1</v>
      </c>
      <c r="I1815">
        <v>20</v>
      </c>
      <c r="J1815" s="3">
        <v>45635</v>
      </c>
      <c r="K1815" s="6" t="s">
        <v>854</v>
      </c>
    </row>
    <row r="1816" spans="1:11">
      <c r="A1816" t="str">
        <f t="shared" si="28"/>
        <v>Jagung Bisi 18 20 X 1 kg455963183HBS18</v>
      </c>
      <c r="B1816" t="s">
        <v>11635</v>
      </c>
      <c r="C1816" t="s">
        <v>13719</v>
      </c>
      <c r="D1816" t="s">
        <v>16198</v>
      </c>
      <c r="E1816" t="s">
        <v>845</v>
      </c>
      <c r="F1816">
        <v>20</v>
      </c>
      <c r="G1816">
        <v>1</v>
      </c>
      <c r="H1816">
        <v>1</v>
      </c>
      <c r="I1816">
        <v>20</v>
      </c>
      <c r="J1816" s="3">
        <v>45596</v>
      </c>
      <c r="K1816" s="6" t="s">
        <v>855</v>
      </c>
    </row>
    <row r="1817" spans="1:11">
      <c r="A1817" t="str">
        <f t="shared" si="28"/>
        <v>Jagung Bisi 18 20 X 1 kg456374037HBS18</v>
      </c>
      <c r="B1817" t="s">
        <v>11636</v>
      </c>
      <c r="C1817" t="s">
        <v>13720</v>
      </c>
      <c r="D1817" t="s">
        <v>16199</v>
      </c>
      <c r="E1817" t="s">
        <v>845</v>
      </c>
      <c r="F1817">
        <v>20</v>
      </c>
      <c r="G1817">
        <v>1</v>
      </c>
      <c r="H1817">
        <v>1</v>
      </c>
      <c r="I1817">
        <v>20</v>
      </c>
      <c r="J1817" s="3">
        <v>45637</v>
      </c>
      <c r="K1817" s="6" t="s">
        <v>856</v>
      </c>
    </row>
    <row r="1818" spans="1:11">
      <c r="A1818" t="str">
        <f t="shared" si="28"/>
        <v>Jagung Bisi 18 20 X 1 kg455743095HBS18</v>
      </c>
      <c r="B1818" t="s">
        <v>11637</v>
      </c>
      <c r="C1818" t="s">
        <v>13721</v>
      </c>
      <c r="D1818" t="s">
        <v>16200</v>
      </c>
      <c r="E1818" t="s">
        <v>845</v>
      </c>
      <c r="F1818">
        <v>20</v>
      </c>
      <c r="G1818">
        <v>1</v>
      </c>
      <c r="H1818">
        <v>1</v>
      </c>
      <c r="I1818">
        <v>20</v>
      </c>
      <c r="J1818" s="3">
        <v>45574</v>
      </c>
      <c r="K1818" s="6" t="s">
        <v>858</v>
      </c>
    </row>
    <row r="1819" spans="1:11">
      <c r="A1819" t="str">
        <f t="shared" si="28"/>
        <v>Jagung Bisi 18 20 X 1 kg456183339HBS18</v>
      </c>
      <c r="B1819" t="s">
        <v>11638</v>
      </c>
      <c r="C1819" t="s">
        <v>13722</v>
      </c>
      <c r="D1819" t="s">
        <v>16201</v>
      </c>
      <c r="E1819" t="s">
        <v>845</v>
      </c>
      <c r="F1819">
        <v>20</v>
      </c>
      <c r="G1819">
        <v>1</v>
      </c>
      <c r="H1819">
        <v>1</v>
      </c>
      <c r="I1819">
        <v>20</v>
      </c>
      <c r="J1819" s="3">
        <v>45618</v>
      </c>
      <c r="K1819" s="6" t="s">
        <v>859</v>
      </c>
    </row>
    <row r="1820" spans="1:11">
      <c r="A1820" t="str">
        <f t="shared" si="28"/>
        <v>Jagung Bisi 18 20 X 1 kg455773091HBS18</v>
      </c>
      <c r="B1820" t="s">
        <v>11639</v>
      </c>
      <c r="C1820" t="s">
        <v>13723</v>
      </c>
      <c r="D1820" t="s">
        <v>16202</v>
      </c>
      <c r="E1820" t="s">
        <v>845</v>
      </c>
      <c r="F1820">
        <v>20</v>
      </c>
      <c r="G1820">
        <v>1</v>
      </c>
      <c r="H1820">
        <v>1</v>
      </c>
      <c r="I1820">
        <v>20</v>
      </c>
      <c r="J1820" s="3">
        <v>45577</v>
      </c>
      <c r="K1820" s="6" t="s">
        <v>860</v>
      </c>
    </row>
    <row r="1821" spans="1:11">
      <c r="A1821" t="str">
        <f t="shared" si="28"/>
        <v>Jagung Bisi 18 20 X 1 kg455973187HBS18</v>
      </c>
      <c r="B1821" t="s">
        <v>11640</v>
      </c>
      <c r="C1821" t="s">
        <v>13724</v>
      </c>
      <c r="D1821" t="s">
        <v>16203</v>
      </c>
      <c r="E1821" t="s">
        <v>845</v>
      </c>
      <c r="F1821">
        <v>20</v>
      </c>
      <c r="G1821">
        <v>1</v>
      </c>
      <c r="H1821">
        <v>1</v>
      </c>
      <c r="I1821">
        <v>20</v>
      </c>
      <c r="J1821" s="3">
        <v>45597</v>
      </c>
      <c r="K1821" s="6" t="s">
        <v>861</v>
      </c>
    </row>
    <row r="1822" spans="1:11">
      <c r="A1822" t="str">
        <f t="shared" si="28"/>
        <v>Jagung Bisi 18 20 X 1 kg455973192HBS18</v>
      </c>
      <c r="B1822" t="s">
        <v>11641</v>
      </c>
      <c r="C1822" t="s">
        <v>13725</v>
      </c>
      <c r="D1822" t="s">
        <v>16204</v>
      </c>
      <c r="E1822" t="s">
        <v>845</v>
      </c>
      <c r="F1822">
        <v>20</v>
      </c>
      <c r="G1822">
        <v>1</v>
      </c>
      <c r="H1822">
        <v>1</v>
      </c>
      <c r="I1822">
        <v>20</v>
      </c>
      <c r="J1822" s="3">
        <v>45597</v>
      </c>
      <c r="K1822" s="6" t="s">
        <v>862</v>
      </c>
    </row>
    <row r="1823" spans="1:11">
      <c r="A1823" t="str">
        <f t="shared" si="28"/>
        <v>Jagung Bisi 18 20 X 1 kg456303389HBS18</v>
      </c>
      <c r="B1823" t="s">
        <v>11642</v>
      </c>
      <c r="C1823" t="s">
        <v>13726</v>
      </c>
      <c r="D1823" t="s">
        <v>16205</v>
      </c>
      <c r="E1823" t="s">
        <v>845</v>
      </c>
      <c r="F1823">
        <v>20</v>
      </c>
      <c r="G1823">
        <v>1</v>
      </c>
      <c r="H1823">
        <v>1</v>
      </c>
      <c r="I1823">
        <v>20</v>
      </c>
      <c r="J1823" s="3">
        <v>45630</v>
      </c>
      <c r="K1823" s="6" t="s">
        <v>863</v>
      </c>
    </row>
    <row r="1824" spans="1:11">
      <c r="A1824" t="str">
        <f t="shared" si="28"/>
        <v>Jagung Bisi 18 20 X 1 kg455953169HBS18</v>
      </c>
      <c r="B1824" t="s">
        <v>11643</v>
      </c>
      <c r="C1824" t="s">
        <v>13727</v>
      </c>
      <c r="D1824" t="s">
        <v>16206</v>
      </c>
      <c r="E1824" t="s">
        <v>845</v>
      </c>
      <c r="F1824">
        <v>20</v>
      </c>
      <c r="G1824">
        <v>1</v>
      </c>
      <c r="H1824">
        <v>1</v>
      </c>
      <c r="I1824">
        <v>20</v>
      </c>
      <c r="J1824" s="3">
        <v>45595</v>
      </c>
      <c r="K1824" s="6" t="s">
        <v>864</v>
      </c>
    </row>
    <row r="1825" spans="1:11">
      <c r="A1825" t="str">
        <f t="shared" si="28"/>
        <v>Jagung Bisi 18 20 X 1 kg455963159HBS18</v>
      </c>
      <c r="B1825" t="s">
        <v>11644</v>
      </c>
      <c r="C1825" t="s">
        <v>13728</v>
      </c>
      <c r="D1825" t="s">
        <v>16207</v>
      </c>
      <c r="E1825" t="s">
        <v>845</v>
      </c>
      <c r="F1825">
        <v>20</v>
      </c>
      <c r="G1825">
        <v>1</v>
      </c>
      <c r="H1825">
        <v>1</v>
      </c>
      <c r="I1825">
        <v>20</v>
      </c>
      <c r="J1825" s="3">
        <v>45596</v>
      </c>
      <c r="K1825" s="6" t="s">
        <v>865</v>
      </c>
    </row>
    <row r="1826" spans="1:11">
      <c r="A1826" t="str">
        <f t="shared" si="28"/>
        <v>Jagung Bisi 18 20 X 1 kg456254016HBS18</v>
      </c>
      <c r="B1826" t="s">
        <v>11645</v>
      </c>
      <c r="C1826" t="s">
        <v>13729</v>
      </c>
      <c r="D1826" t="s">
        <v>16208</v>
      </c>
      <c r="E1826" t="s">
        <v>845</v>
      </c>
      <c r="F1826">
        <v>20</v>
      </c>
      <c r="G1826">
        <v>1</v>
      </c>
      <c r="H1826">
        <v>1</v>
      </c>
      <c r="I1826">
        <v>20</v>
      </c>
      <c r="J1826" s="3">
        <v>45625</v>
      </c>
      <c r="K1826" s="6" t="s">
        <v>866</v>
      </c>
    </row>
    <row r="1827" spans="1:11">
      <c r="A1827" t="str">
        <f t="shared" si="28"/>
        <v>Jagung Bisi 18 20 X 1 kg456303386HBS18</v>
      </c>
      <c r="B1827" t="s">
        <v>11646</v>
      </c>
      <c r="C1827" t="s">
        <v>13730</v>
      </c>
      <c r="D1827" t="s">
        <v>16209</v>
      </c>
      <c r="E1827" t="s">
        <v>845</v>
      </c>
      <c r="F1827">
        <v>20</v>
      </c>
      <c r="G1827">
        <v>1</v>
      </c>
      <c r="H1827">
        <v>1</v>
      </c>
      <c r="I1827">
        <v>20</v>
      </c>
      <c r="J1827" s="3">
        <v>45630</v>
      </c>
      <c r="K1827" s="6" t="s">
        <v>868</v>
      </c>
    </row>
    <row r="1828" spans="1:11">
      <c r="A1828" t="str">
        <f t="shared" si="28"/>
        <v>Jagung Bisi 18 20 X 1 kg455973194HBS18</v>
      </c>
      <c r="B1828" t="s">
        <v>11647</v>
      </c>
      <c r="C1828" t="s">
        <v>13731</v>
      </c>
      <c r="D1828" t="s">
        <v>16210</v>
      </c>
      <c r="E1828" t="s">
        <v>845</v>
      </c>
      <c r="F1828">
        <v>20</v>
      </c>
      <c r="G1828">
        <v>1</v>
      </c>
      <c r="H1828">
        <v>1</v>
      </c>
      <c r="I1828">
        <v>20</v>
      </c>
      <c r="J1828" s="3">
        <v>45597</v>
      </c>
      <c r="K1828" s="6" t="s">
        <v>869</v>
      </c>
    </row>
    <row r="1829" spans="1:11">
      <c r="A1829" t="str">
        <f t="shared" si="28"/>
        <v>Jagung Bisi 18 20 X 1 kg456173344HBS18</v>
      </c>
      <c r="B1829" t="s">
        <v>11648</v>
      </c>
      <c r="C1829" t="s">
        <v>13732</v>
      </c>
      <c r="D1829" t="s">
        <v>16211</v>
      </c>
      <c r="E1829" t="s">
        <v>845</v>
      </c>
      <c r="F1829">
        <v>20</v>
      </c>
      <c r="G1829">
        <v>1</v>
      </c>
      <c r="H1829">
        <v>1</v>
      </c>
      <c r="I1829">
        <v>20</v>
      </c>
      <c r="J1829" s="3">
        <v>45617</v>
      </c>
      <c r="K1829" s="6" t="s">
        <v>870</v>
      </c>
    </row>
    <row r="1830" spans="1:11">
      <c r="A1830" t="str">
        <f t="shared" si="28"/>
        <v>Jagung Bisi 18 20 X 1 kg456374038HBS18</v>
      </c>
      <c r="B1830" t="s">
        <v>11649</v>
      </c>
      <c r="C1830" t="s">
        <v>13733</v>
      </c>
      <c r="D1830" t="s">
        <v>16212</v>
      </c>
      <c r="E1830" t="s">
        <v>845</v>
      </c>
      <c r="F1830">
        <v>20</v>
      </c>
      <c r="G1830">
        <v>1</v>
      </c>
      <c r="H1830">
        <v>1</v>
      </c>
      <c r="I1830">
        <v>20</v>
      </c>
      <c r="J1830" s="3">
        <v>45637</v>
      </c>
      <c r="K1830" s="6" t="s">
        <v>871</v>
      </c>
    </row>
    <row r="1831" spans="1:11">
      <c r="A1831" t="str">
        <f t="shared" si="28"/>
        <v>Jagung Bisi 18 20 X 1 kg456183341HBS18</v>
      </c>
      <c r="B1831" t="s">
        <v>11650</v>
      </c>
      <c r="C1831" t="s">
        <v>13734</v>
      </c>
      <c r="D1831" t="s">
        <v>16213</v>
      </c>
      <c r="E1831" t="s">
        <v>845</v>
      </c>
      <c r="F1831">
        <v>20</v>
      </c>
      <c r="G1831">
        <v>1</v>
      </c>
      <c r="H1831">
        <v>1</v>
      </c>
      <c r="I1831">
        <v>20</v>
      </c>
      <c r="J1831" s="3">
        <v>45618</v>
      </c>
      <c r="K1831" s="6" t="s">
        <v>872</v>
      </c>
    </row>
    <row r="1832" spans="1:11">
      <c r="A1832" t="str">
        <f t="shared" si="28"/>
        <v>Jagung Bisi 18 20 X 1 kg456183340HBS18</v>
      </c>
      <c r="B1832" t="s">
        <v>11651</v>
      </c>
      <c r="C1832" t="s">
        <v>13735</v>
      </c>
      <c r="D1832" t="s">
        <v>16214</v>
      </c>
      <c r="E1832" t="s">
        <v>845</v>
      </c>
      <c r="F1832">
        <v>20</v>
      </c>
      <c r="G1832">
        <v>1</v>
      </c>
      <c r="H1832">
        <v>1</v>
      </c>
      <c r="I1832">
        <v>20</v>
      </c>
      <c r="J1832" s="3">
        <v>45618</v>
      </c>
      <c r="K1832" s="6" t="s">
        <v>873</v>
      </c>
    </row>
    <row r="1833" spans="1:11">
      <c r="A1833" t="str">
        <f t="shared" si="28"/>
        <v>Jagung Bisi 18 20 X 1 kg456283374HBS18</v>
      </c>
      <c r="B1833" t="s">
        <v>11652</v>
      </c>
      <c r="C1833" t="s">
        <v>13736</v>
      </c>
      <c r="D1833" t="s">
        <v>16215</v>
      </c>
      <c r="E1833" t="s">
        <v>845</v>
      </c>
      <c r="F1833">
        <v>20</v>
      </c>
      <c r="G1833">
        <v>1</v>
      </c>
      <c r="H1833">
        <v>1</v>
      </c>
      <c r="I1833">
        <v>20</v>
      </c>
      <c r="J1833" s="3">
        <v>45628</v>
      </c>
      <c r="K1833" s="6" t="s">
        <v>874</v>
      </c>
    </row>
    <row r="1834" spans="1:11">
      <c r="A1834" t="str">
        <f t="shared" si="28"/>
        <v>Jagung Bisi 18 20 X 1 kg455913125HBS18</v>
      </c>
      <c r="B1834" t="s">
        <v>11653</v>
      </c>
      <c r="C1834" t="s">
        <v>13737</v>
      </c>
      <c r="D1834" t="s">
        <v>16216</v>
      </c>
      <c r="E1834" t="s">
        <v>845</v>
      </c>
      <c r="F1834">
        <v>20</v>
      </c>
      <c r="G1834">
        <v>1</v>
      </c>
      <c r="H1834">
        <v>1</v>
      </c>
      <c r="I1834">
        <v>20</v>
      </c>
      <c r="J1834" s="3">
        <v>45591</v>
      </c>
      <c r="K1834" s="6" t="s">
        <v>875</v>
      </c>
    </row>
    <row r="1835" spans="1:11">
      <c r="A1835" t="str">
        <f t="shared" si="28"/>
        <v>Jagung Bisi 18 20 X 1 kg455913165HBS18</v>
      </c>
      <c r="B1835" t="s">
        <v>11654</v>
      </c>
      <c r="C1835" t="s">
        <v>13738</v>
      </c>
      <c r="D1835" t="s">
        <v>16217</v>
      </c>
      <c r="E1835" t="s">
        <v>845</v>
      </c>
      <c r="F1835">
        <v>20</v>
      </c>
      <c r="G1835">
        <v>1</v>
      </c>
      <c r="H1835">
        <v>1</v>
      </c>
      <c r="I1835">
        <v>20</v>
      </c>
      <c r="J1835" s="3">
        <v>45591</v>
      </c>
      <c r="K1835" s="6" t="s">
        <v>876</v>
      </c>
    </row>
    <row r="1836" spans="1:11">
      <c r="A1836" t="str">
        <f t="shared" si="28"/>
        <v>Jagung Bisi 18 20 X 1 kg456273347HBS18</v>
      </c>
      <c r="B1836" t="s">
        <v>11655</v>
      </c>
      <c r="C1836" t="s">
        <v>13739</v>
      </c>
      <c r="D1836" t="s">
        <v>16218</v>
      </c>
      <c r="E1836" t="s">
        <v>845</v>
      </c>
      <c r="F1836">
        <v>20</v>
      </c>
      <c r="G1836">
        <v>1</v>
      </c>
      <c r="H1836">
        <v>1</v>
      </c>
      <c r="I1836">
        <v>20</v>
      </c>
      <c r="J1836" s="3">
        <v>45627</v>
      </c>
      <c r="K1836" s="6" t="s">
        <v>877</v>
      </c>
    </row>
    <row r="1837" spans="1:11">
      <c r="A1837" t="str">
        <f t="shared" si="28"/>
        <v>Jagung Bisi 18 20 X 1 kg456253349HBS18</v>
      </c>
      <c r="B1837" t="s">
        <v>11656</v>
      </c>
      <c r="C1837" t="s">
        <v>13740</v>
      </c>
      <c r="D1837" t="s">
        <v>16219</v>
      </c>
      <c r="E1837" t="s">
        <v>845</v>
      </c>
      <c r="F1837">
        <v>20</v>
      </c>
      <c r="G1837">
        <v>1</v>
      </c>
      <c r="H1837">
        <v>1</v>
      </c>
      <c r="I1837">
        <v>20</v>
      </c>
      <c r="J1837" s="3">
        <v>45625</v>
      </c>
      <c r="K1837" s="6" t="s">
        <v>878</v>
      </c>
    </row>
    <row r="1838" spans="1:11">
      <c r="A1838" t="str">
        <f t="shared" si="28"/>
        <v>Jagung Bisi 18 20 X 1 kg455743102HBS18</v>
      </c>
      <c r="B1838" t="s">
        <v>11657</v>
      </c>
      <c r="C1838" t="s">
        <v>13741</v>
      </c>
      <c r="D1838" t="s">
        <v>16220</v>
      </c>
      <c r="E1838" t="s">
        <v>845</v>
      </c>
      <c r="F1838">
        <v>20</v>
      </c>
      <c r="G1838">
        <v>1</v>
      </c>
      <c r="H1838">
        <v>1</v>
      </c>
      <c r="I1838">
        <v>20</v>
      </c>
      <c r="J1838" s="3">
        <v>45574</v>
      </c>
      <c r="K1838" s="6" t="s">
        <v>879</v>
      </c>
    </row>
    <row r="1839" spans="1:11">
      <c r="A1839" t="str">
        <f t="shared" si="28"/>
        <v>Jagung Bisi 18 20 X 1 kg456313356HBS18</v>
      </c>
      <c r="B1839" t="s">
        <v>11658</v>
      </c>
      <c r="C1839" t="s">
        <v>13742</v>
      </c>
      <c r="D1839" t="s">
        <v>16221</v>
      </c>
      <c r="E1839" t="s">
        <v>845</v>
      </c>
      <c r="F1839">
        <v>20</v>
      </c>
      <c r="G1839">
        <v>1</v>
      </c>
      <c r="H1839">
        <v>1</v>
      </c>
      <c r="I1839">
        <v>20</v>
      </c>
      <c r="J1839" s="3">
        <v>45631</v>
      </c>
      <c r="K1839" s="6" t="s">
        <v>880</v>
      </c>
    </row>
    <row r="1840" spans="1:11">
      <c r="A1840" t="str">
        <f t="shared" si="28"/>
        <v>Jagung Bisi 18 20 X 1 kg455863123HBS18</v>
      </c>
      <c r="B1840" t="s">
        <v>11659</v>
      </c>
      <c r="C1840" t="s">
        <v>13743</v>
      </c>
      <c r="D1840" t="s">
        <v>16222</v>
      </c>
      <c r="E1840" t="s">
        <v>845</v>
      </c>
      <c r="F1840">
        <v>20</v>
      </c>
      <c r="G1840">
        <v>1</v>
      </c>
      <c r="H1840">
        <v>1</v>
      </c>
      <c r="I1840">
        <v>20</v>
      </c>
      <c r="J1840" s="3">
        <v>45586</v>
      </c>
      <c r="K1840" s="6" t="s">
        <v>881</v>
      </c>
    </row>
    <row r="1841" spans="1:11">
      <c r="A1841" t="str">
        <f t="shared" si="28"/>
        <v>Jagung Bisi 18 20 X 1 kg456324030HBS18</v>
      </c>
      <c r="B1841" t="s">
        <v>11660</v>
      </c>
      <c r="C1841" t="s">
        <v>13744</v>
      </c>
      <c r="D1841" t="s">
        <v>16223</v>
      </c>
      <c r="E1841" t="s">
        <v>845</v>
      </c>
      <c r="F1841">
        <v>20</v>
      </c>
      <c r="G1841">
        <v>1</v>
      </c>
      <c r="H1841">
        <v>1</v>
      </c>
      <c r="I1841">
        <v>20</v>
      </c>
      <c r="J1841" s="3">
        <v>45632</v>
      </c>
      <c r="K1841" s="6" t="s">
        <v>882</v>
      </c>
    </row>
    <row r="1842" spans="1:11">
      <c r="A1842" t="str">
        <f t="shared" si="28"/>
        <v>Jagung Bisi 18 20 X 1 kg455853162HBS18</v>
      </c>
      <c r="B1842" t="s">
        <v>11661</v>
      </c>
      <c r="C1842" t="s">
        <v>13745</v>
      </c>
      <c r="D1842" t="s">
        <v>16224</v>
      </c>
      <c r="E1842" t="s">
        <v>845</v>
      </c>
      <c r="F1842">
        <v>20</v>
      </c>
      <c r="G1842">
        <v>1</v>
      </c>
      <c r="H1842">
        <v>1</v>
      </c>
      <c r="I1842">
        <v>20</v>
      </c>
      <c r="J1842" s="3">
        <v>45585</v>
      </c>
      <c r="K1842" s="6" t="s">
        <v>883</v>
      </c>
    </row>
    <row r="1843" spans="1:11">
      <c r="A1843" t="str">
        <f t="shared" si="28"/>
        <v>Jagung Bisi 18 20 X 1 kg456263351HBS18</v>
      </c>
      <c r="B1843" t="s">
        <v>11662</v>
      </c>
      <c r="C1843" t="s">
        <v>13746</v>
      </c>
      <c r="D1843" t="s">
        <v>16225</v>
      </c>
      <c r="E1843" t="s">
        <v>845</v>
      </c>
      <c r="F1843">
        <v>20</v>
      </c>
      <c r="G1843">
        <v>1</v>
      </c>
      <c r="H1843">
        <v>1</v>
      </c>
      <c r="I1843">
        <v>20</v>
      </c>
      <c r="J1843" s="3">
        <v>45626</v>
      </c>
      <c r="K1843" s="6" t="s">
        <v>884</v>
      </c>
    </row>
    <row r="1844" spans="1:11">
      <c r="A1844" t="str">
        <f t="shared" si="28"/>
        <v>Jagung Bisi 18 20 X 1 kg455963180HBS18</v>
      </c>
      <c r="B1844" t="s">
        <v>11663</v>
      </c>
      <c r="C1844" t="s">
        <v>13747</v>
      </c>
      <c r="D1844" t="s">
        <v>16226</v>
      </c>
      <c r="E1844" t="s">
        <v>845</v>
      </c>
      <c r="F1844">
        <v>20</v>
      </c>
      <c r="G1844">
        <v>1</v>
      </c>
      <c r="H1844">
        <v>1</v>
      </c>
      <c r="I1844">
        <v>20</v>
      </c>
      <c r="J1844" s="3">
        <v>45596</v>
      </c>
      <c r="K1844" s="6" t="s">
        <v>885</v>
      </c>
    </row>
    <row r="1845" spans="1:11">
      <c r="A1845" t="str">
        <f t="shared" si="28"/>
        <v>Jagung Bisi 18 20 X 1 kg456183342HBS18</v>
      </c>
      <c r="B1845" t="s">
        <v>11664</v>
      </c>
      <c r="C1845" t="s">
        <v>13748</v>
      </c>
      <c r="D1845" t="s">
        <v>16227</v>
      </c>
      <c r="E1845" t="s">
        <v>845</v>
      </c>
      <c r="F1845">
        <v>20</v>
      </c>
      <c r="G1845">
        <v>1</v>
      </c>
      <c r="H1845">
        <v>1</v>
      </c>
      <c r="I1845">
        <v>20</v>
      </c>
      <c r="J1845" s="3">
        <v>45618</v>
      </c>
      <c r="K1845" s="6" t="s">
        <v>886</v>
      </c>
    </row>
    <row r="1846" spans="1:11">
      <c r="A1846" t="str">
        <f t="shared" si="28"/>
        <v>Jagung Bisi 18 20 X 1 kg455843161HBS18</v>
      </c>
      <c r="B1846" t="s">
        <v>11665</v>
      </c>
      <c r="C1846" t="s">
        <v>13749</v>
      </c>
      <c r="D1846" t="s">
        <v>16228</v>
      </c>
      <c r="E1846" t="s">
        <v>845</v>
      </c>
      <c r="F1846">
        <v>20</v>
      </c>
      <c r="G1846">
        <v>1</v>
      </c>
      <c r="H1846">
        <v>1</v>
      </c>
      <c r="I1846">
        <v>20</v>
      </c>
      <c r="J1846" s="3">
        <v>45584</v>
      </c>
      <c r="K1846" s="6" t="s">
        <v>887</v>
      </c>
    </row>
    <row r="1847" spans="1:11">
      <c r="A1847" t="str">
        <f t="shared" si="28"/>
        <v>Jagung Bisi 18 20 X 1 kg455793106HBS18</v>
      </c>
      <c r="B1847" t="s">
        <v>11666</v>
      </c>
      <c r="C1847" t="s">
        <v>13750</v>
      </c>
      <c r="D1847" t="s">
        <v>16229</v>
      </c>
      <c r="E1847" t="s">
        <v>845</v>
      </c>
      <c r="F1847">
        <v>20</v>
      </c>
      <c r="G1847">
        <v>1</v>
      </c>
      <c r="H1847">
        <v>1</v>
      </c>
      <c r="I1847">
        <v>20</v>
      </c>
      <c r="J1847" s="3">
        <v>45579</v>
      </c>
      <c r="K1847" s="6" t="s">
        <v>888</v>
      </c>
    </row>
    <row r="1848" spans="1:11">
      <c r="A1848" t="str">
        <f t="shared" si="28"/>
        <v>Jagung Bisi 18 20 X 1 kg455853116HBS18</v>
      </c>
      <c r="B1848" t="s">
        <v>11667</v>
      </c>
      <c r="C1848" t="s">
        <v>13751</v>
      </c>
      <c r="D1848" t="s">
        <v>16230</v>
      </c>
      <c r="E1848" t="s">
        <v>845</v>
      </c>
      <c r="F1848">
        <v>20</v>
      </c>
      <c r="G1848">
        <v>1</v>
      </c>
      <c r="H1848">
        <v>1</v>
      </c>
      <c r="I1848">
        <v>20</v>
      </c>
      <c r="J1848" s="3">
        <v>45585</v>
      </c>
      <c r="K1848" s="6" t="s">
        <v>889</v>
      </c>
    </row>
    <row r="1849" spans="1:11">
      <c r="A1849" t="str">
        <f t="shared" si="28"/>
        <v>Jagung Bisi 18 20 X 1 kg455843069HBS18</v>
      </c>
      <c r="B1849" t="s">
        <v>11668</v>
      </c>
      <c r="C1849" t="s">
        <v>13752</v>
      </c>
      <c r="D1849" t="s">
        <v>16231</v>
      </c>
      <c r="E1849" t="s">
        <v>845</v>
      </c>
      <c r="F1849">
        <v>20</v>
      </c>
      <c r="G1849">
        <v>1</v>
      </c>
      <c r="H1849">
        <v>1</v>
      </c>
      <c r="I1849">
        <v>20</v>
      </c>
      <c r="J1849" s="3">
        <v>45584</v>
      </c>
      <c r="K1849" s="6" t="s">
        <v>890</v>
      </c>
    </row>
    <row r="1850" spans="1:11">
      <c r="A1850" t="str">
        <f t="shared" si="28"/>
        <v>Jagung Bisi 18 20 X 1 kg455843121HBS18</v>
      </c>
      <c r="B1850" t="s">
        <v>11669</v>
      </c>
      <c r="C1850" t="s">
        <v>13753</v>
      </c>
      <c r="D1850" t="s">
        <v>16232</v>
      </c>
      <c r="E1850" t="s">
        <v>845</v>
      </c>
      <c r="F1850">
        <v>20</v>
      </c>
      <c r="G1850">
        <v>1</v>
      </c>
      <c r="H1850">
        <v>1</v>
      </c>
      <c r="I1850">
        <v>20</v>
      </c>
      <c r="J1850" s="3">
        <v>45584</v>
      </c>
      <c r="K1850" s="6" t="s">
        <v>891</v>
      </c>
    </row>
    <row r="1851" spans="1:11">
      <c r="A1851" t="str">
        <f t="shared" si="28"/>
        <v>Jagung Bisi 18 20 X 1 kg456314025HBS18</v>
      </c>
      <c r="B1851" t="s">
        <v>11670</v>
      </c>
      <c r="C1851" t="s">
        <v>13754</v>
      </c>
      <c r="D1851" t="s">
        <v>16233</v>
      </c>
      <c r="E1851" t="s">
        <v>845</v>
      </c>
      <c r="F1851">
        <v>20</v>
      </c>
      <c r="G1851">
        <v>1</v>
      </c>
      <c r="H1851">
        <v>1</v>
      </c>
      <c r="I1851">
        <v>20</v>
      </c>
      <c r="J1851" s="3">
        <v>45631</v>
      </c>
      <c r="K1851" s="6" t="s">
        <v>892</v>
      </c>
    </row>
    <row r="1852" spans="1:11">
      <c r="A1852" t="str">
        <f t="shared" si="28"/>
        <v>Jagung Bisi 18 20 X 1 kg456173346HBS18</v>
      </c>
      <c r="B1852" t="s">
        <v>11671</v>
      </c>
      <c r="C1852" t="s">
        <v>13755</v>
      </c>
      <c r="D1852" t="s">
        <v>16234</v>
      </c>
      <c r="E1852" t="s">
        <v>845</v>
      </c>
      <c r="F1852">
        <v>20</v>
      </c>
      <c r="G1852">
        <v>1</v>
      </c>
      <c r="H1852">
        <v>1</v>
      </c>
      <c r="I1852">
        <v>20</v>
      </c>
      <c r="J1852" s="3">
        <v>45617</v>
      </c>
      <c r="K1852" s="6" t="s">
        <v>893</v>
      </c>
    </row>
    <row r="1853" spans="1:11">
      <c r="A1853" t="str">
        <f t="shared" si="28"/>
        <v>Jagung Bisi 18 20 X 1 kg455793094HBS18</v>
      </c>
      <c r="B1853" t="s">
        <v>11672</v>
      </c>
      <c r="C1853" t="s">
        <v>13756</v>
      </c>
      <c r="D1853" t="s">
        <v>16235</v>
      </c>
      <c r="E1853" t="s">
        <v>845</v>
      </c>
      <c r="F1853">
        <v>20</v>
      </c>
      <c r="G1853">
        <v>1</v>
      </c>
      <c r="H1853">
        <v>1</v>
      </c>
      <c r="I1853">
        <v>20</v>
      </c>
      <c r="J1853" s="3">
        <v>45579</v>
      </c>
      <c r="K1853" s="6" t="s">
        <v>894</v>
      </c>
    </row>
    <row r="1854" spans="1:11">
      <c r="A1854" t="str">
        <f t="shared" si="28"/>
        <v>Jagung Bisi 18 20 X 1 kg455963181HBS18</v>
      </c>
      <c r="B1854" t="s">
        <v>11673</v>
      </c>
      <c r="C1854" t="s">
        <v>13757</v>
      </c>
      <c r="D1854" t="s">
        <v>16236</v>
      </c>
      <c r="E1854" t="s">
        <v>845</v>
      </c>
      <c r="F1854">
        <v>20</v>
      </c>
      <c r="G1854">
        <v>1</v>
      </c>
      <c r="H1854">
        <v>1</v>
      </c>
      <c r="I1854">
        <v>20</v>
      </c>
      <c r="J1854" s="3">
        <v>45596</v>
      </c>
      <c r="K1854" s="6" t="s">
        <v>895</v>
      </c>
    </row>
    <row r="1855" spans="1:11">
      <c r="A1855" t="str">
        <f t="shared" si="28"/>
        <v>Jagung Bisi 18 20 X 1 kg455933164HBS18</v>
      </c>
      <c r="B1855" t="s">
        <v>11674</v>
      </c>
      <c r="C1855" t="s">
        <v>13758</v>
      </c>
      <c r="D1855" t="s">
        <v>16237</v>
      </c>
      <c r="E1855" t="s">
        <v>845</v>
      </c>
      <c r="F1855">
        <v>20</v>
      </c>
      <c r="G1855">
        <v>1</v>
      </c>
      <c r="H1855">
        <v>1</v>
      </c>
      <c r="I1855">
        <v>20</v>
      </c>
      <c r="J1855" s="3">
        <v>45593</v>
      </c>
      <c r="K1855" s="6" t="s">
        <v>896</v>
      </c>
    </row>
    <row r="1856" spans="1:11">
      <c r="A1856" t="str">
        <f t="shared" si="28"/>
        <v>Jagung Bisi 18 20 X 1 kg455843122HBS18</v>
      </c>
      <c r="B1856" t="s">
        <v>11675</v>
      </c>
      <c r="C1856" t="s">
        <v>13759</v>
      </c>
      <c r="D1856" t="s">
        <v>16238</v>
      </c>
      <c r="E1856" t="s">
        <v>845</v>
      </c>
      <c r="F1856">
        <v>20</v>
      </c>
      <c r="G1856">
        <v>1</v>
      </c>
      <c r="H1856">
        <v>1</v>
      </c>
      <c r="I1856">
        <v>20</v>
      </c>
      <c r="J1856" s="3">
        <v>45584</v>
      </c>
      <c r="K1856" s="6" t="s">
        <v>897</v>
      </c>
    </row>
    <row r="1857" spans="1:11">
      <c r="A1857" t="str">
        <f t="shared" si="28"/>
        <v>Jagung Bisi 18 20 X 1 kg455913115HBS18</v>
      </c>
      <c r="B1857" t="s">
        <v>11676</v>
      </c>
      <c r="C1857" t="s">
        <v>13760</v>
      </c>
      <c r="D1857" t="s">
        <v>16239</v>
      </c>
      <c r="E1857" t="s">
        <v>845</v>
      </c>
      <c r="F1857">
        <v>20</v>
      </c>
      <c r="G1857">
        <v>1</v>
      </c>
      <c r="H1857">
        <v>1</v>
      </c>
      <c r="I1857">
        <v>20</v>
      </c>
      <c r="J1857" s="3">
        <v>45591</v>
      </c>
      <c r="K1857" s="6" t="s">
        <v>898</v>
      </c>
    </row>
    <row r="1858" spans="1:11">
      <c r="A1858" t="str">
        <f t="shared" si="28"/>
        <v>Jagung Bisi 18 20 X 1 kg456313369HBS18</v>
      </c>
      <c r="B1858" t="s">
        <v>11677</v>
      </c>
      <c r="C1858" t="s">
        <v>13761</v>
      </c>
      <c r="D1858" t="s">
        <v>16240</v>
      </c>
      <c r="E1858" t="s">
        <v>845</v>
      </c>
      <c r="F1858">
        <v>20</v>
      </c>
      <c r="G1858">
        <v>1</v>
      </c>
      <c r="H1858">
        <v>1</v>
      </c>
      <c r="I1858">
        <v>20</v>
      </c>
      <c r="J1858" s="3">
        <v>45631</v>
      </c>
      <c r="K1858" s="6" t="s">
        <v>899</v>
      </c>
    </row>
    <row r="1859" spans="1:11">
      <c r="A1859" t="str">
        <f t="shared" ref="A1859:A1922" si="29">E1859&amp;J1859&amp;K1859</f>
        <v>Jagung Bisi 18 20 X 1 kg456303353HBS18</v>
      </c>
      <c r="B1859" t="s">
        <v>11678</v>
      </c>
      <c r="C1859" t="s">
        <v>13762</v>
      </c>
      <c r="D1859" t="s">
        <v>16241</v>
      </c>
      <c r="E1859" t="s">
        <v>845</v>
      </c>
      <c r="F1859">
        <v>20</v>
      </c>
      <c r="G1859">
        <v>1</v>
      </c>
      <c r="H1859">
        <v>1</v>
      </c>
      <c r="I1859">
        <v>20</v>
      </c>
      <c r="J1859" s="3">
        <v>45630</v>
      </c>
      <c r="K1859" s="6" t="s">
        <v>900</v>
      </c>
    </row>
    <row r="1860" spans="1:11">
      <c r="A1860" t="str">
        <f t="shared" si="29"/>
        <v>Jagung Bisi 18 20 X 1 kg455983199HBS18</v>
      </c>
      <c r="B1860" t="s">
        <v>11679</v>
      </c>
      <c r="C1860" t="s">
        <v>13763</v>
      </c>
      <c r="D1860" t="s">
        <v>16242</v>
      </c>
      <c r="E1860" t="s">
        <v>845</v>
      </c>
      <c r="F1860">
        <v>20</v>
      </c>
      <c r="G1860">
        <v>1</v>
      </c>
      <c r="H1860">
        <v>1</v>
      </c>
      <c r="I1860">
        <v>20</v>
      </c>
      <c r="J1860" s="3">
        <v>45598</v>
      </c>
      <c r="K1860" s="6" t="s">
        <v>901</v>
      </c>
    </row>
    <row r="1861" spans="1:11">
      <c r="A1861" t="str">
        <f t="shared" si="29"/>
        <v>Jagung Bisi 18 20 X 1 kg456263350HBS18</v>
      </c>
      <c r="B1861" t="s">
        <v>11680</v>
      </c>
      <c r="C1861" t="s">
        <v>13764</v>
      </c>
      <c r="D1861" t="s">
        <v>16243</v>
      </c>
      <c r="E1861" t="s">
        <v>845</v>
      </c>
      <c r="F1861">
        <v>20</v>
      </c>
      <c r="G1861">
        <v>1</v>
      </c>
      <c r="H1861">
        <v>1</v>
      </c>
      <c r="I1861">
        <v>20</v>
      </c>
      <c r="J1861" s="3">
        <v>45626</v>
      </c>
      <c r="K1861" s="6" t="s">
        <v>902</v>
      </c>
    </row>
    <row r="1862" spans="1:11">
      <c r="A1862" t="str">
        <f t="shared" si="29"/>
        <v>Jagung Bisi 18 20 X 1 kg455833104HBS18</v>
      </c>
      <c r="B1862" t="s">
        <v>11681</v>
      </c>
      <c r="C1862" t="s">
        <v>13765</v>
      </c>
      <c r="D1862" t="s">
        <v>16244</v>
      </c>
      <c r="E1862" t="s">
        <v>845</v>
      </c>
      <c r="F1862">
        <v>20</v>
      </c>
      <c r="G1862">
        <v>1</v>
      </c>
      <c r="H1862">
        <v>1</v>
      </c>
      <c r="I1862">
        <v>20</v>
      </c>
      <c r="J1862" s="3">
        <v>45583</v>
      </c>
      <c r="K1862" s="6" t="s">
        <v>903</v>
      </c>
    </row>
    <row r="1863" spans="1:11">
      <c r="A1863" t="str">
        <f t="shared" si="29"/>
        <v>Jagung Bisi 18 20 X 1 kg456173345HBS18</v>
      </c>
      <c r="B1863" t="s">
        <v>11682</v>
      </c>
      <c r="C1863" t="s">
        <v>13766</v>
      </c>
      <c r="D1863" t="s">
        <v>16245</v>
      </c>
      <c r="E1863" t="s">
        <v>845</v>
      </c>
      <c r="F1863">
        <v>20</v>
      </c>
      <c r="G1863">
        <v>1</v>
      </c>
      <c r="H1863">
        <v>1</v>
      </c>
      <c r="I1863">
        <v>20</v>
      </c>
      <c r="J1863" s="3">
        <v>45617</v>
      </c>
      <c r="K1863" s="6" t="s">
        <v>904</v>
      </c>
    </row>
    <row r="1864" spans="1:11">
      <c r="A1864" t="str">
        <f t="shared" si="29"/>
        <v>Jagung Bisi 18 20 X 1 kg455953167HBS18</v>
      </c>
      <c r="B1864" t="s">
        <v>11683</v>
      </c>
      <c r="C1864" t="s">
        <v>13767</v>
      </c>
      <c r="D1864" t="s">
        <v>16246</v>
      </c>
      <c r="E1864" t="s">
        <v>845</v>
      </c>
      <c r="F1864">
        <v>20</v>
      </c>
      <c r="G1864">
        <v>1</v>
      </c>
      <c r="H1864">
        <v>1</v>
      </c>
      <c r="I1864">
        <v>20</v>
      </c>
      <c r="J1864" s="3">
        <v>45595</v>
      </c>
      <c r="K1864" s="6" t="s">
        <v>905</v>
      </c>
    </row>
    <row r="1865" spans="1:11">
      <c r="A1865" t="str">
        <f t="shared" si="29"/>
        <v>Jagung Bisi 18 20 X 1 kg456313355HBS18</v>
      </c>
      <c r="B1865" t="s">
        <v>11684</v>
      </c>
      <c r="C1865" t="s">
        <v>13768</v>
      </c>
      <c r="D1865" t="s">
        <v>16247</v>
      </c>
      <c r="E1865" t="s">
        <v>845</v>
      </c>
      <c r="F1865">
        <v>20</v>
      </c>
      <c r="G1865">
        <v>1</v>
      </c>
      <c r="H1865">
        <v>1</v>
      </c>
      <c r="I1865">
        <v>20</v>
      </c>
      <c r="J1865" s="3">
        <v>45631</v>
      </c>
      <c r="K1865" s="6" t="s">
        <v>906</v>
      </c>
    </row>
    <row r="1866" spans="1:11">
      <c r="A1866" t="str">
        <f t="shared" si="29"/>
        <v>Jagung Bisi 18 20 X 1 kg456223348HBS18</v>
      </c>
      <c r="B1866" t="s">
        <v>11685</v>
      </c>
      <c r="C1866" t="s">
        <v>13769</v>
      </c>
      <c r="D1866" t="s">
        <v>16248</v>
      </c>
      <c r="E1866" t="s">
        <v>845</v>
      </c>
      <c r="F1866">
        <v>20</v>
      </c>
      <c r="G1866">
        <v>1</v>
      </c>
      <c r="H1866">
        <v>1</v>
      </c>
      <c r="I1866">
        <v>20</v>
      </c>
      <c r="J1866" s="3">
        <v>45622</v>
      </c>
      <c r="K1866" s="6" t="s">
        <v>907</v>
      </c>
    </row>
    <row r="1867" spans="1:11">
      <c r="A1867" t="str">
        <f t="shared" si="29"/>
        <v>Jagung Bisi 18 20 X 1 kg456173343HBS18</v>
      </c>
      <c r="B1867" t="s">
        <v>11686</v>
      </c>
      <c r="C1867" t="s">
        <v>13770</v>
      </c>
      <c r="D1867" t="s">
        <v>16249</v>
      </c>
      <c r="E1867" t="s">
        <v>845</v>
      </c>
      <c r="F1867">
        <v>20</v>
      </c>
      <c r="G1867">
        <v>1</v>
      </c>
      <c r="H1867">
        <v>1</v>
      </c>
      <c r="I1867">
        <v>20</v>
      </c>
      <c r="J1867" s="3">
        <v>45617</v>
      </c>
      <c r="K1867" s="6" t="s">
        <v>908</v>
      </c>
    </row>
    <row r="1868" spans="1:11">
      <c r="A1868" t="str">
        <f t="shared" si="29"/>
        <v>Jagung Bisi 18 20 X 1 kg455913166HBS18</v>
      </c>
      <c r="B1868" t="s">
        <v>11687</v>
      </c>
      <c r="C1868" t="s">
        <v>13771</v>
      </c>
      <c r="D1868" t="s">
        <v>16250</v>
      </c>
      <c r="E1868" t="s">
        <v>845</v>
      </c>
      <c r="F1868">
        <v>20</v>
      </c>
      <c r="G1868">
        <v>1</v>
      </c>
      <c r="H1868">
        <v>1</v>
      </c>
      <c r="I1868">
        <v>20</v>
      </c>
      <c r="J1868" s="3">
        <v>45591</v>
      </c>
      <c r="K1868" s="6" t="s">
        <v>909</v>
      </c>
    </row>
    <row r="1869" spans="1:11">
      <c r="A1869" t="str">
        <f t="shared" si="29"/>
        <v>Jagung Bisi 18 20 X 1 kg456374036HBS18</v>
      </c>
      <c r="B1869" t="s">
        <v>11688</v>
      </c>
      <c r="C1869" t="s">
        <v>13772</v>
      </c>
      <c r="D1869" t="s">
        <v>16251</v>
      </c>
      <c r="E1869" t="s">
        <v>845</v>
      </c>
      <c r="F1869">
        <v>20</v>
      </c>
      <c r="G1869">
        <v>1</v>
      </c>
      <c r="H1869">
        <v>1</v>
      </c>
      <c r="I1869">
        <v>20</v>
      </c>
      <c r="J1869" s="3">
        <v>45637</v>
      </c>
      <c r="K1869" s="6" t="s">
        <v>910</v>
      </c>
    </row>
    <row r="1870" spans="1:11">
      <c r="A1870" t="str">
        <f t="shared" si="29"/>
        <v>Jagung Bisi 18 20 X 1 kg456293372HBS18</v>
      </c>
      <c r="B1870" t="s">
        <v>11689</v>
      </c>
      <c r="C1870" t="s">
        <v>13773</v>
      </c>
      <c r="D1870" t="s">
        <v>16252</v>
      </c>
      <c r="E1870" t="s">
        <v>845</v>
      </c>
      <c r="F1870">
        <v>20</v>
      </c>
      <c r="G1870">
        <v>1</v>
      </c>
      <c r="H1870">
        <v>1</v>
      </c>
      <c r="I1870">
        <v>20</v>
      </c>
      <c r="J1870" s="3">
        <v>45629</v>
      </c>
      <c r="K1870" s="6" t="s">
        <v>911</v>
      </c>
    </row>
    <row r="1871" spans="1:11">
      <c r="A1871" t="str">
        <f t="shared" si="29"/>
        <v>Jagung Bisi 18 20 X 1 kg455963188HBS18</v>
      </c>
      <c r="B1871" t="s">
        <v>11690</v>
      </c>
      <c r="C1871" t="s">
        <v>13774</v>
      </c>
      <c r="D1871" t="s">
        <v>16253</v>
      </c>
      <c r="E1871" t="s">
        <v>845</v>
      </c>
      <c r="F1871">
        <v>20</v>
      </c>
      <c r="G1871">
        <v>1</v>
      </c>
      <c r="H1871">
        <v>1</v>
      </c>
      <c r="I1871">
        <v>20</v>
      </c>
      <c r="J1871" s="3">
        <v>45596</v>
      </c>
      <c r="K1871" s="6" t="s">
        <v>912</v>
      </c>
    </row>
    <row r="1872" spans="1:11">
      <c r="A1872" t="str">
        <f t="shared" si="29"/>
        <v>Jagung Bisi 18 20 X 1 kg455953191HBS18</v>
      </c>
      <c r="B1872" t="s">
        <v>11691</v>
      </c>
      <c r="C1872" t="s">
        <v>13775</v>
      </c>
      <c r="D1872" t="s">
        <v>16254</v>
      </c>
      <c r="E1872" t="s">
        <v>845</v>
      </c>
      <c r="F1872">
        <v>20</v>
      </c>
      <c r="G1872">
        <v>1</v>
      </c>
      <c r="H1872">
        <v>1</v>
      </c>
      <c r="I1872">
        <v>20</v>
      </c>
      <c r="J1872" s="3">
        <v>45595</v>
      </c>
      <c r="K1872" s="6" t="s">
        <v>913</v>
      </c>
    </row>
    <row r="1873" spans="1:11">
      <c r="A1873" t="str">
        <f t="shared" si="29"/>
        <v>Jagung Bisi 18 20 X 1 kg455953168HBS18</v>
      </c>
      <c r="B1873" t="s">
        <v>11692</v>
      </c>
      <c r="C1873" t="s">
        <v>13776</v>
      </c>
      <c r="D1873" t="s">
        <v>16255</v>
      </c>
      <c r="E1873" t="s">
        <v>845</v>
      </c>
      <c r="F1873">
        <v>20</v>
      </c>
      <c r="G1873">
        <v>1</v>
      </c>
      <c r="H1873">
        <v>1</v>
      </c>
      <c r="I1873">
        <v>20</v>
      </c>
      <c r="J1873" s="3">
        <v>45595</v>
      </c>
      <c r="K1873" s="6" t="s">
        <v>914</v>
      </c>
    </row>
    <row r="1874" spans="1:11">
      <c r="A1874" t="str">
        <f t="shared" si="29"/>
        <v>Jagung Bisi 18 20 X 1 kg455843126HBS18</v>
      </c>
      <c r="B1874" t="s">
        <v>11693</v>
      </c>
      <c r="C1874" t="s">
        <v>13777</v>
      </c>
      <c r="D1874" t="s">
        <v>16256</v>
      </c>
      <c r="E1874" t="s">
        <v>845</v>
      </c>
      <c r="F1874">
        <v>20</v>
      </c>
      <c r="G1874">
        <v>1</v>
      </c>
      <c r="H1874">
        <v>1</v>
      </c>
      <c r="I1874">
        <v>20</v>
      </c>
      <c r="J1874" s="3">
        <v>45584</v>
      </c>
      <c r="K1874" s="6" t="s">
        <v>915</v>
      </c>
    </row>
    <row r="1875" spans="1:11">
      <c r="A1875" t="str">
        <f t="shared" si="29"/>
        <v>Jagung Bisi 18 20 X 1 kg455973190HBS18</v>
      </c>
      <c r="B1875" t="s">
        <v>11694</v>
      </c>
      <c r="C1875" t="s">
        <v>13778</v>
      </c>
      <c r="D1875" t="s">
        <v>16257</v>
      </c>
      <c r="E1875" t="s">
        <v>845</v>
      </c>
      <c r="F1875">
        <v>20</v>
      </c>
      <c r="G1875">
        <v>1</v>
      </c>
      <c r="H1875">
        <v>1</v>
      </c>
      <c r="I1875">
        <v>20</v>
      </c>
      <c r="J1875" s="3">
        <v>45597</v>
      </c>
      <c r="K1875" s="6" t="s">
        <v>916</v>
      </c>
    </row>
    <row r="1876" spans="1:11">
      <c r="A1876" t="str">
        <f t="shared" si="29"/>
        <v>Jagung Bisi 18 20 X 1 kg455843105HBS18</v>
      </c>
      <c r="B1876" t="s">
        <v>11695</v>
      </c>
      <c r="C1876" t="s">
        <v>13779</v>
      </c>
      <c r="D1876" t="s">
        <v>16258</v>
      </c>
      <c r="E1876" t="s">
        <v>845</v>
      </c>
      <c r="F1876">
        <v>20</v>
      </c>
      <c r="G1876">
        <v>1</v>
      </c>
      <c r="H1876">
        <v>1</v>
      </c>
      <c r="I1876">
        <v>20</v>
      </c>
      <c r="J1876" s="3">
        <v>45584</v>
      </c>
      <c r="K1876" s="6" t="s">
        <v>917</v>
      </c>
    </row>
    <row r="1877" spans="1:11">
      <c r="A1877" t="str">
        <f t="shared" si="29"/>
        <v>Jagung Bisi 18 20 X 1 kg455793096HBS18</v>
      </c>
      <c r="B1877" t="s">
        <v>11696</v>
      </c>
      <c r="C1877" t="s">
        <v>13780</v>
      </c>
      <c r="D1877" t="s">
        <v>16259</v>
      </c>
      <c r="E1877" t="s">
        <v>845</v>
      </c>
      <c r="F1877">
        <v>20</v>
      </c>
      <c r="G1877">
        <v>1</v>
      </c>
      <c r="H1877">
        <v>1</v>
      </c>
      <c r="I1877">
        <v>20</v>
      </c>
      <c r="J1877" s="3">
        <v>45579</v>
      </c>
      <c r="K1877" s="6" t="s">
        <v>918</v>
      </c>
    </row>
    <row r="1878" spans="1:11">
      <c r="A1878" t="str">
        <f t="shared" si="29"/>
        <v>Jagung Bisi 18 20 X 1 kg456313387HBS18</v>
      </c>
      <c r="B1878" t="s">
        <v>11697</v>
      </c>
      <c r="C1878" t="s">
        <v>13781</v>
      </c>
      <c r="D1878" t="s">
        <v>16260</v>
      </c>
      <c r="E1878" t="s">
        <v>845</v>
      </c>
      <c r="F1878">
        <v>20</v>
      </c>
      <c r="G1878">
        <v>1</v>
      </c>
      <c r="H1878">
        <v>1</v>
      </c>
      <c r="I1878">
        <v>20</v>
      </c>
      <c r="J1878" s="3">
        <v>45631</v>
      </c>
      <c r="K1878" s="6" t="s">
        <v>919</v>
      </c>
    </row>
    <row r="1879" spans="1:11">
      <c r="A1879" t="str">
        <f t="shared" si="29"/>
        <v>Jagung Bisi 18 20 X 1 kg455973193HBS18</v>
      </c>
      <c r="B1879" t="s">
        <v>11698</v>
      </c>
      <c r="C1879" t="s">
        <v>13782</v>
      </c>
      <c r="D1879" t="s">
        <v>16261</v>
      </c>
      <c r="E1879" t="s">
        <v>845</v>
      </c>
      <c r="F1879">
        <v>20</v>
      </c>
      <c r="G1879">
        <v>1</v>
      </c>
      <c r="H1879">
        <v>1</v>
      </c>
      <c r="I1879">
        <v>20</v>
      </c>
      <c r="J1879" s="3">
        <v>45597</v>
      </c>
      <c r="K1879" s="6" t="s">
        <v>920</v>
      </c>
    </row>
    <row r="1880" spans="1:11">
      <c r="A1880" t="str">
        <f t="shared" si="29"/>
        <v>Jagung Bisi 18 20 X 1 kg455793098HBS18</v>
      </c>
      <c r="B1880" t="s">
        <v>11699</v>
      </c>
      <c r="C1880" t="s">
        <v>13783</v>
      </c>
      <c r="D1880" t="s">
        <v>16262</v>
      </c>
      <c r="E1880" t="s">
        <v>845</v>
      </c>
      <c r="F1880">
        <v>20</v>
      </c>
      <c r="G1880">
        <v>1</v>
      </c>
      <c r="H1880">
        <v>1</v>
      </c>
      <c r="I1880">
        <v>20</v>
      </c>
      <c r="J1880" s="3">
        <v>45579</v>
      </c>
      <c r="K1880" s="6" t="s">
        <v>921</v>
      </c>
    </row>
    <row r="1881" spans="1:11">
      <c r="A1881" t="str">
        <f t="shared" si="29"/>
        <v>Jagung Bisi 18 20 X 1 kg456374034HBS18</v>
      </c>
      <c r="B1881" t="s">
        <v>11700</v>
      </c>
      <c r="C1881" t="s">
        <v>13784</v>
      </c>
      <c r="D1881" t="s">
        <v>16263</v>
      </c>
      <c r="E1881" t="s">
        <v>845</v>
      </c>
      <c r="F1881">
        <v>20</v>
      </c>
      <c r="G1881">
        <v>1</v>
      </c>
      <c r="H1881">
        <v>1</v>
      </c>
      <c r="I1881">
        <v>20</v>
      </c>
      <c r="J1881" s="3">
        <v>45637</v>
      </c>
      <c r="K1881" s="6" t="s">
        <v>922</v>
      </c>
    </row>
    <row r="1882" spans="1:11">
      <c r="A1882" t="str">
        <f t="shared" si="29"/>
        <v>Jagung Bisi 18 20 X 1 kg456334032HBS18</v>
      </c>
      <c r="B1882" t="s">
        <v>11701</v>
      </c>
      <c r="C1882" t="s">
        <v>13785</v>
      </c>
      <c r="D1882" t="s">
        <v>16264</v>
      </c>
      <c r="E1882" t="s">
        <v>845</v>
      </c>
      <c r="F1882">
        <v>20</v>
      </c>
      <c r="G1882">
        <v>1</v>
      </c>
      <c r="H1882">
        <v>1</v>
      </c>
      <c r="I1882">
        <v>20</v>
      </c>
      <c r="J1882" s="3">
        <v>45633</v>
      </c>
      <c r="K1882" s="6" t="s">
        <v>923</v>
      </c>
    </row>
    <row r="1883" spans="1:11">
      <c r="A1883" t="str">
        <f t="shared" si="29"/>
        <v>Jagung Bisi 18 20 X 1 kg455793097HBS18</v>
      </c>
      <c r="B1883" t="s">
        <v>11702</v>
      </c>
      <c r="C1883" t="s">
        <v>13786</v>
      </c>
      <c r="D1883" t="s">
        <v>16265</v>
      </c>
      <c r="E1883" t="s">
        <v>845</v>
      </c>
      <c r="F1883">
        <v>20</v>
      </c>
      <c r="G1883">
        <v>1</v>
      </c>
      <c r="H1883">
        <v>1</v>
      </c>
      <c r="I1883">
        <v>20</v>
      </c>
      <c r="J1883" s="3">
        <v>45579</v>
      </c>
      <c r="K1883" s="6" t="s">
        <v>924</v>
      </c>
    </row>
    <row r="1884" spans="1:11">
      <c r="A1884" t="str">
        <f t="shared" si="29"/>
        <v>Jagung Bisi 18 20 X 1 kg456313370HBS18</v>
      </c>
      <c r="B1884" t="s">
        <v>11703</v>
      </c>
      <c r="C1884" t="s">
        <v>13787</v>
      </c>
      <c r="D1884" t="s">
        <v>16266</v>
      </c>
      <c r="E1884" t="s">
        <v>845</v>
      </c>
      <c r="F1884">
        <v>20</v>
      </c>
      <c r="G1884">
        <v>1</v>
      </c>
      <c r="H1884">
        <v>1</v>
      </c>
      <c r="I1884">
        <v>20</v>
      </c>
      <c r="J1884" s="3">
        <v>45631</v>
      </c>
      <c r="K1884" s="6" t="s">
        <v>925</v>
      </c>
    </row>
    <row r="1885" spans="1:11">
      <c r="A1885" t="str">
        <f t="shared" si="29"/>
        <v>Jagung Bisi 18 20 X 1 kg456313357HBS18</v>
      </c>
      <c r="B1885" t="s">
        <v>11704</v>
      </c>
      <c r="C1885" t="s">
        <v>13788</v>
      </c>
      <c r="D1885" t="s">
        <v>16267</v>
      </c>
      <c r="E1885" t="s">
        <v>845</v>
      </c>
      <c r="F1885">
        <v>20</v>
      </c>
      <c r="G1885">
        <v>1</v>
      </c>
      <c r="H1885">
        <v>1</v>
      </c>
      <c r="I1885">
        <v>20</v>
      </c>
      <c r="J1885" s="3">
        <v>45631</v>
      </c>
      <c r="K1885" s="6" t="s">
        <v>926</v>
      </c>
    </row>
    <row r="1886" spans="1:11">
      <c r="A1886" t="str">
        <f t="shared" si="29"/>
        <v>Jagung Bisi 18 20 X 1 kg455923128HBS18</v>
      </c>
      <c r="B1886" t="s">
        <v>11705</v>
      </c>
      <c r="C1886" t="s">
        <v>13789</v>
      </c>
      <c r="D1886" t="s">
        <v>16268</v>
      </c>
      <c r="E1886" t="s">
        <v>845</v>
      </c>
      <c r="F1886">
        <v>20</v>
      </c>
      <c r="G1886">
        <v>1</v>
      </c>
      <c r="H1886">
        <v>1</v>
      </c>
      <c r="I1886">
        <v>20</v>
      </c>
      <c r="J1886" s="3">
        <v>45592</v>
      </c>
      <c r="K1886" s="6" t="s">
        <v>927</v>
      </c>
    </row>
    <row r="1887" spans="1:11">
      <c r="A1887" t="str">
        <f t="shared" si="29"/>
        <v>Jagung Bisi 18 20 X 1 kg456274023HBS18</v>
      </c>
      <c r="B1887" t="s">
        <v>11706</v>
      </c>
      <c r="C1887" t="s">
        <v>13790</v>
      </c>
      <c r="D1887" t="s">
        <v>16269</v>
      </c>
      <c r="E1887" t="s">
        <v>845</v>
      </c>
      <c r="F1887">
        <v>20</v>
      </c>
      <c r="G1887">
        <v>1</v>
      </c>
      <c r="H1887">
        <v>1</v>
      </c>
      <c r="I1887">
        <v>20</v>
      </c>
      <c r="J1887" s="3">
        <v>45627</v>
      </c>
      <c r="K1887" s="6" t="s">
        <v>928</v>
      </c>
    </row>
    <row r="1888" spans="1:11">
      <c r="A1888" t="str">
        <f t="shared" si="29"/>
        <v>Jagung Bisi 18 20 X 1 kg456284021HBS18</v>
      </c>
      <c r="B1888" t="s">
        <v>11707</v>
      </c>
      <c r="C1888" t="s">
        <v>13791</v>
      </c>
      <c r="D1888" t="s">
        <v>16270</v>
      </c>
      <c r="E1888" t="s">
        <v>845</v>
      </c>
      <c r="F1888">
        <v>20</v>
      </c>
      <c r="G1888">
        <v>1</v>
      </c>
      <c r="H1888">
        <v>1</v>
      </c>
      <c r="I1888">
        <v>20</v>
      </c>
      <c r="J1888" s="3">
        <v>45628</v>
      </c>
      <c r="K1888" s="6" t="s">
        <v>929</v>
      </c>
    </row>
    <row r="1889" spans="1:11">
      <c r="A1889" t="str">
        <f t="shared" si="29"/>
        <v>Jagung Bisi 18 20 X 1 kg456334033HBS18</v>
      </c>
      <c r="B1889" t="s">
        <v>11708</v>
      </c>
      <c r="C1889" t="s">
        <v>13792</v>
      </c>
      <c r="D1889" t="s">
        <v>16271</v>
      </c>
      <c r="E1889" t="s">
        <v>845</v>
      </c>
      <c r="F1889">
        <v>20</v>
      </c>
      <c r="G1889">
        <v>1</v>
      </c>
      <c r="H1889">
        <v>1</v>
      </c>
      <c r="I1889">
        <v>20</v>
      </c>
      <c r="J1889" s="3">
        <v>45633</v>
      </c>
      <c r="K1889" s="6" t="s">
        <v>930</v>
      </c>
    </row>
    <row r="1890" spans="1:11">
      <c r="A1890" t="str">
        <f t="shared" si="29"/>
        <v>Jagung Bisi 18 20 X 1 kg456334031HBS18</v>
      </c>
      <c r="B1890" t="s">
        <v>11709</v>
      </c>
      <c r="C1890" t="s">
        <v>13793</v>
      </c>
      <c r="D1890" t="s">
        <v>16272</v>
      </c>
      <c r="E1890" t="s">
        <v>845</v>
      </c>
      <c r="F1890">
        <v>20</v>
      </c>
      <c r="G1890">
        <v>1</v>
      </c>
      <c r="H1890">
        <v>1</v>
      </c>
      <c r="I1890">
        <v>20</v>
      </c>
      <c r="J1890" s="3">
        <v>45633</v>
      </c>
      <c r="K1890" s="6" t="s">
        <v>931</v>
      </c>
    </row>
    <row r="1891" spans="1:11">
      <c r="A1891" t="str">
        <f t="shared" si="29"/>
        <v>Jagung Bisi 18 20 X 1 kg456314026HBS18</v>
      </c>
      <c r="B1891" t="s">
        <v>11710</v>
      </c>
      <c r="C1891" t="s">
        <v>13794</v>
      </c>
      <c r="D1891" t="s">
        <v>16273</v>
      </c>
      <c r="E1891" t="s">
        <v>845</v>
      </c>
      <c r="F1891">
        <v>20</v>
      </c>
      <c r="G1891">
        <v>1</v>
      </c>
      <c r="H1891">
        <v>1</v>
      </c>
      <c r="I1891">
        <v>20</v>
      </c>
      <c r="J1891" s="3">
        <v>45631</v>
      </c>
      <c r="K1891" s="6" t="s">
        <v>932</v>
      </c>
    </row>
    <row r="1892" spans="1:11">
      <c r="A1892" t="str">
        <f t="shared" si="29"/>
        <v>Jagung Bisi 18 20 X 1 kg456324029HBS18</v>
      </c>
      <c r="B1892" t="s">
        <v>11711</v>
      </c>
      <c r="C1892" t="s">
        <v>13795</v>
      </c>
      <c r="D1892" t="s">
        <v>16274</v>
      </c>
      <c r="E1892" t="s">
        <v>845</v>
      </c>
      <c r="F1892">
        <v>20</v>
      </c>
      <c r="G1892">
        <v>1</v>
      </c>
      <c r="H1892">
        <v>1</v>
      </c>
      <c r="I1892">
        <v>20</v>
      </c>
      <c r="J1892" s="3">
        <v>45632</v>
      </c>
      <c r="K1892" s="6" t="s">
        <v>933</v>
      </c>
    </row>
    <row r="1893" spans="1:11">
      <c r="A1893" t="str">
        <f t="shared" si="29"/>
        <v>Jagung Bisi 18 20 X 1 kg456274020HBS18</v>
      </c>
      <c r="B1893" t="s">
        <v>11712</v>
      </c>
      <c r="C1893" t="s">
        <v>13796</v>
      </c>
      <c r="D1893" t="s">
        <v>16275</v>
      </c>
      <c r="E1893" t="s">
        <v>845</v>
      </c>
      <c r="F1893">
        <v>20</v>
      </c>
      <c r="G1893">
        <v>1</v>
      </c>
      <c r="H1893">
        <v>1</v>
      </c>
      <c r="I1893">
        <v>20</v>
      </c>
      <c r="J1893" s="3">
        <v>45627</v>
      </c>
      <c r="K1893" s="6" t="s">
        <v>934</v>
      </c>
    </row>
    <row r="1894" spans="1:11">
      <c r="A1894" t="str">
        <f t="shared" si="29"/>
        <v>Jagung Bisi 18 20 X 1 kg456264022HBS18</v>
      </c>
      <c r="B1894" t="s">
        <v>11713</v>
      </c>
      <c r="C1894" t="s">
        <v>13797</v>
      </c>
      <c r="D1894" t="s">
        <v>16276</v>
      </c>
      <c r="E1894" t="s">
        <v>845</v>
      </c>
      <c r="F1894">
        <v>20</v>
      </c>
      <c r="G1894">
        <v>1</v>
      </c>
      <c r="H1894">
        <v>1</v>
      </c>
      <c r="I1894">
        <v>20</v>
      </c>
      <c r="J1894" s="3">
        <v>45626</v>
      </c>
      <c r="K1894" s="6" t="s">
        <v>935</v>
      </c>
    </row>
    <row r="1895" spans="1:11">
      <c r="A1895" t="str">
        <f t="shared" si="29"/>
        <v>Jagung Bisi 18 20 X 1 kg456254018HBS18</v>
      </c>
      <c r="B1895" t="s">
        <v>11714</v>
      </c>
      <c r="C1895" t="s">
        <v>13798</v>
      </c>
      <c r="D1895" t="s">
        <v>16277</v>
      </c>
      <c r="E1895" t="s">
        <v>845</v>
      </c>
      <c r="F1895">
        <v>20</v>
      </c>
      <c r="G1895">
        <v>1</v>
      </c>
      <c r="H1895">
        <v>1</v>
      </c>
      <c r="I1895">
        <v>20</v>
      </c>
      <c r="J1895" s="3">
        <v>45625</v>
      </c>
      <c r="K1895" s="6" t="s">
        <v>936</v>
      </c>
    </row>
    <row r="1896" spans="1:11">
      <c r="A1896" t="str">
        <f t="shared" si="29"/>
        <v>Jagung Bisi 18 20 X 1 kg456254019HBS18</v>
      </c>
      <c r="B1896" t="s">
        <v>11715</v>
      </c>
      <c r="C1896" t="s">
        <v>13799</v>
      </c>
      <c r="D1896" t="s">
        <v>16278</v>
      </c>
      <c r="E1896" t="s">
        <v>845</v>
      </c>
      <c r="F1896">
        <v>20</v>
      </c>
      <c r="G1896">
        <v>1</v>
      </c>
      <c r="H1896">
        <v>1</v>
      </c>
      <c r="I1896">
        <v>20</v>
      </c>
      <c r="J1896" s="3">
        <v>45625</v>
      </c>
      <c r="K1896" s="6" t="s">
        <v>937</v>
      </c>
    </row>
    <row r="1897" spans="1:11">
      <c r="A1897" t="str">
        <f t="shared" si="29"/>
        <v>Jagung Bisi 2 20 X 1 kg456343425HBS2</v>
      </c>
      <c r="B1897" t="s">
        <v>11716</v>
      </c>
      <c r="C1897" t="s">
        <v>13800</v>
      </c>
      <c r="D1897" t="s">
        <v>16279</v>
      </c>
      <c r="E1897" t="s">
        <v>938</v>
      </c>
      <c r="F1897">
        <v>20</v>
      </c>
      <c r="G1897">
        <v>1</v>
      </c>
      <c r="H1897">
        <v>1</v>
      </c>
      <c r="I1897">
        <v>20</v>
      </c>
      <c r="J1897" s="3">
        <v>45634</v>
      </c>
      <c r="K1897" s="6" t="s">
        <v>939</v>
      </c>
    </row>
    <row r="1898" spans="1:11">
      <c r="A1898" t="str">
        <f t="shared" si="29"/>
        <v>Jagung Bisi 2 20 X 1 kg457732293HBS2</v>
      </c>
      <c r="B1898" t="s">
        <v>11717</v>
      </c>
      <c r="C1898" t="s">
        <v>13801</v>
      </c>
      <c r="D1898" t="s">
        <v>16280</v>
      </c>
      <c r="E1898" t="s">
        <v>938</v>
      </c>
      <c r="F1898">
        <v>20</v>
      </c>
      <c r="G1898">
        <v>1</v>
      </c>
      <c r="H1898">
        <v>1</v>
      </c>
      <c r="I1898">
        <v>20</v>
      </c>
      <c r="J1898" s="3">
        <v>45773</v>
      </c>
      <c r="K1898" s="6" t="s">
        <v>940</v>
      </c>
    </row>
    <row r="1899" spans="1:11">
      <c r="A1899" t="str">
        <f t="shared" si="29"/>
        <v>Jagung Bisi 2 20 X 1 kg457802275HBS2</v>
      </c>
      <c r="B1899" t="s">
        <v>11718</v>
      </c>
      <c r="C1899" t="s">
        <v>13802</v>
      </c>
      <c r="D1899" t="s">
        <v>16281</v>
      </c>
      <c r="E1899" t="s">
        <v>938</v>
      </c>
      <c r="F1899">
        <v>20</v>
      </c>
      <c r="G1899">
        <v>1</v>
      </c>
      <c r="H1899">
        <v>1</v>
      </c>
      <c r="I1899">
        <v>20</v>
      </c>
      <c r="J1899" s="3">
        <v>45780</v>
      </c>
      <c r="K1899" s="6" t="s">
        <v>941</v>
      </c>
    </row>
    <row r="1900" spans="1:11">
      <c r="A1900" t="str">
        <f t="shared" si="29"/>
        <v>Jagung Bisi 2 20 X 1 kg457732305HBS2</v>
      </c>
      <c r="B1900" t="s">
        <v>11719</v>
      </c>
      <c r="C1900" t="s">
        <v>13803</v>
      </c>
      <c r="D1900" t="s">
        <v>16282</v>
      </c>
      <c r="E1900" t="s">
        <v>938</v>
      </c>
      <c r="F1900">
        <v>20</v>
      </c>
      <c r="G1900">
        <v>1</v>
      </c>
      <c r="H1900">
        <v>1</v>
      </c>
      <c r="I1900">
        <v>20</v>
      </c>
      <c r="J1900" s="3">
        <v>45773</v>
      </c>
      <c r="K1900" s="6" t="s">
        <v>942</v>
      </c>
    </row>
    <row r="1901" spans="1:11">
      <c r="A1901" t="str">
        <f t="shared" si="29"/>
        <v>Jagung Bisi 2 20 X 1 kg457802274HBS2</v>
      </c>
      <c r="B1901" t="s">
        <v>11720</v>
      </c>
      <c r="C1901" t="s">
        <v>13804</v>
      </c>
      <c r="D1901" t="s">
        <v>16283</v>
      </c>
      <c r="E1901" t="s">
        <v>938</v>
      </c>
      <c r="F1901">
        <v>20</v>
      </c>
      <c r="G1901">
        <v>1</v>
      </c>
      <c r="H1901">
        <v>1</v>
      </c>
      <c r="I1901">
        <v>20</v>
      </c>
      <c r="J1901" s="3">
        <v>45780</v>
      </c>
      <c r="K1901" s="6" t="s">
        <v>943</v>
      </c>
    </row>
    <row r="1902" spans="1:11">
      <c r="A1902" t="str">
        <f t="shared" si="29"/>
        <v>Jagung Bisi 2 20 X 1 kg457872375HBS2</v>
      </c>
      <c r="B1902" t="s">
        <v>11721</v>
      </c>
      <c r="C1902" t="s">
        <v>13805</v>
      </c>
      <c r="D1902" t="s">
        <v>16284</v>
      </c>
      <c r="E1902" t="s">
        <v>938</v>
      </c>
      <c r="F1902">
        <v>20</v>
      </c>
      <c r="G1902">
        <v>1</v>
      </c>
      <c r="H1902">
        <v>1</v>
      </c>
      <c r="I1902">
        <v>20</v>
      </c>
      <c r="J1902" s="3">
        <v>45787</v>
      </c>
      <c r="K1902" s="6" t="s">
        <v>944</v>
      </c>
    </row>
    <row r="1903" spans="1:11">
      <c r="A1903" t="str">
        <f t="shared" si="29"/>
        <v>Jagung Bisi 321 20 X 1 kg456303358HBS321</v>
      </c>
      <c r="B1903" t="s">
        <v>11722</v>
      </c>
      <c r="C1903" t="s">
        <v>13806</v>
      </c>
      <c r="D1903" t="s">
        <v>16285</v>
      </c>
      <c r="E1903" t="s">
        <v>945</v>
      </c>
      <c r="F1903">
        <v>20</v>
      </c>
      <c r="G1903">
        <v>1</v>
      </c>
      <c r="H1903">
        <v>1</v>
      </c>
      <c r="I1903">
        <v>20</v>
      </c>
      <c r="J1903" s="3">
        <v>45630</v>
      </c>
      <c r="K1903" s="6" t="s">
        <v>946</v>
      </c>
    </row>
    <row r="1904" spans="1:11">
      <c r="A1904" t="str">
        <f t="shared" si="29"/>
        <v>Jagung Bisi 321 20 X 1 kg (+Kaos)457982381HBS321</v>
      </c>
      <c r="B1904" t="s">
        <v>11723</v>
      </c>
      <c r="C1904" t="s">
        <v>13807</v>
      </c>
      <c r="D1904" t="s">
        <v>16286</v>
      </c>
      <c r="E1904" t="s">
        <v>947</v>
      </c>
      <c r="F1904">
        <v>20</v>
      </c>
      <c r="G1904">
        <v>1</v>
      </c>
      <c r="H1904">
        <v>1</v>
      </c>
      <c r="I1904">
        <v>20</v>
      </c>
      <c r="J1904" s="3">
        <v>45798</v>
      </c>
      <c r="K1904" s="6" t="s">
        <v>948</v>
      </c>
    </row>
    <row r="1905" spans="1:11">
      <c r="A1905" t="str">
        <f t="shared" si="29"/>
        <v>Jagung Bisi 322 20 X 1 kg455673016HBS322</v>
      </c>
      <c r="B1905" t="s">
        <v>11724</v>
      </c>
      <c r="C1905" t="s">
        <v>13808</v>
      </c>
      <c r="D1905" t="s">
        <v>16287</v>
      </c>
      <c r="E1905" t="s">
        <v>949</v>
      </c>
      <c r="F1905">
        <v>20</v>
      </c>
      <c r="G1905">
        <v>1</v>
      </c>
      <c r="H1905">
        <v>1</v>
      </c>
      <c r="I1905">
        <v>20</v>
      </c>
      <c r="J1905" s="3">
        <v>45567</v>
      </c>
      <c r="K1905" s="6" t="s">
        <v>950</v>
      </c>
    </row>
    <row r="1906" spans="1:11">
      <c r="A1906" t="str">
        <f t="shared" si="29"/>
        <v>Jagung Bisi 77 20 X 1 kg455783066HBS77</v>
      </c>
      <c r="B1906" t="s">
        <v>11725</v>
      </c>
      <c r="C1906" t="s">
        <v>13809</v>
      </c>
      <c r="D1906" t="s">
        <v>16288</v>
      </c>
      <c r="E1906" t="s">
        <v>951</v>
      </c>
      <c r="F1906">
        <v>20</v>
      </c>
      <c r="G1906">
        <v>1</v>
      </c>
      <c r="H1906">
        <v>1</v>
      </c>
      <c r="I1906">
        <v>20</v>
      </c>
      <c r="J1906" s="3">
        <v>45578</v>
      </c>
      <c r="K1906" s="6" t="s">
        <v>952</v>
      </c>
    </row>
    <row r="1907" spans="1:11">
      <c r="A1907" t="str">
        <f t="shared" si="29"/>
        <v>Jagung Bisi 77 20 X 1 kg455673017HBS77</v>
      </c>
      <c r="B1907" t="s">
        <v>11726</v>
      </c>
      <c r="C1907" t="s">
        <v>13810</v>
      </c>
      <c r="D1907" t="s">
        <v>16289</v>
      </c>
      <c r="E1907" t="s">
        <v>951</v>
      </c>
      <c r="F1907">
        <v>20</v>
      </c>
      <c r="G1907">
        <v>1</v>
      </c>
      <c r="H1907">
        <v>1</v>
      </c>
      <c r="I1907">
        <v>20</v>
      </c>
      <c r="J1907" s="3">
        <v>45567</v>
      </c>
      <c r="K1907" s="6" t="s">
        <v>953</v>
      </c>
    </row>
    <row r="1908" spans="1:11">
      <c r="A1908" t="str">
        <f t="shared" si="29"/>
        <v>Jagung Bisi 959 20 X 1 kg455783049HBS959</v>
      </c>
      <c r="B1908" t="s">
        <v>11727</v>
      </c>
      <c r="C1908" t="s">
        <v>13811</v>
      </c>
      <c r="D1908" t="s">
        <v>16290</v>
      </c>
      <c r="E1908" t="s">
        <v>954</v>
      </c>
      <c r="F1908">
        <v>20</v>
      </c>
      <c r="G1908">
        <v>1</v>
      </c>
      <c r="H1908">
        <v>1</v>
      </c>
      <c r="I1908">
        <v>20</v>
      </c>
      <c r="J1908" s="3">
        <v>45578</v>
      </c>
      <c r="K1908" s="6" t="s">
        <v>955</v>
      </c>
    </row>
    <row r="1909" spans="1:11">
      <c r="A1909" t="str">
        <f t="shared" si="29"/>
        <v>Jagung Bisi 959 20 X 1 kg455673040HBS959</v>
      </c>
      <c r="B1909" t="s">
        <v>11728</v>
      </c>
      <c r="C1909" t="s">
        <v>13812</v>
      </c>
      <c r="D1909" t="s">
        <v>16291</v>
      </c>
      <c r="E1909" t="s">
        <v>954</v>
      </c>
      <c r="F1909">
        <v>20</v>
      </c>
      <c r="G1909">
        <v>1</v>
      </c>
      <c r="H1909">
        <v>1</v>
      </c>
      <c r="I1909">
        <v>20</v>
      </c>
      <c r="J1909" s="3">
        <v>45567</v>
      </c>
      <c r="K1909" s="6" t="s">
        <v>956</v>
      </c>
    </row>
    <row r="1910" spans="1:11">
      <c r="A1910" t="str">
        <f t="shared" si="29"/>
        <v>Jagung Bisi 959 20 X 1 kg457872318HBS959</v>
      </c>
      <c r="B1910" t="s">
        <v>11729</v>
      </c>
      <c r="C1910" t="s">
        <v>13813</v>
      </c>
      <c r="D1910" t="s">
        <v>16292</v>
      </c>
      <c r="E1910" t="s">
        <v>954</v>
      </c>
      <c r="F1910">
        <v>20</v>
      </c>
      <c r="G1910">
        <v>1</v>
      </c>
      <c r="H1910">
        <v>1</v>
      </c>
      <c r="I1910">
        <v>20</v>
      </c>
      <c r="J1910" s="3">
        <v>45787</v>
      </c>
      <c r="K1910" s="6" t="s">
        <v>957</v>
      </c>
    </row>
    <row r="1911" spans="1:11">
      <c r="A1911" t="str">
        <f t="shared" si="29"/>
        <v>Jagung Bisi 959 20 X 1 kg455392827HBS959</v>
      </c>
      <c r="B1911" t="s">
        <v>11730</v>
      </c>
      <c r="C1911" t="s">
        <v>13814</v>
      </c>
      <c r="D1911" t="s">
        <v>16293</v>
      </c>
      <c r="E1911" t="s">
        <v>954</v>
      </c>
      <c r="F1911">
        <v>20</v>
      </c>
      <c r="G1911">
        <v>1</v>
      </c>
      <c r="H1911">
        <v>1</v>
      </c>
      <c r="I1911">
        <v>20</v>
      </c>
      <c r="J1911" s="3">
        <v>45539</v>
      </c>
      <c r="K1911" s="6" t="s">
        <v>958</v>
      </c>
    </row>
    <row r="1912" spans="1:11">
      <c r="A1912" t="str">
        <f t="shared" si="29"/>
        <v>Jagung Bisi 959 20 X 1 kg455252760HBS959</v>
      </c>
      <c r="B1912" t="s">
        <v>11731</v>
      </c>
      <c r="C1912" t="s">
        <v>13815</v>
      </c>
      <c r="D1912" t="s">
        <v>16294</v>
      </c>
      <c r="E1912" t="s">
        <v>954</v>
      </c>
      <c r="F1912">
        <v>20</v>
      </c>
      <c r="G1912">
        <v>1</v>
      </c>
      <c r="H1912">
        <v>1</v>
      </c>
      <c r="I1912">
        <v>20</v>
      </c>
      <c r="J1912" s="3">
        <v>45525</v>
      </c>
      <c r="K1912" s="6" t="s">
        <v>959</v>
      </c>
    </row>
    <row r="1913" spans="1:11">
      <c r="A1913" t="str">
        <f t="shared" si="29"/>
        <v>Jagung Bisi 959 20 X 1 kg455322785HBS959</v>
      </c>
      <c r="B1913" t="s">
        <v>11732</v>
      </c>
      <c r="C1913" t="s">
        <v>13816</v>
      </c>
      <c r="D1913" t="s">
        <v>16295</v>
      </c>
      <c r="E1913" t="s">
        <v>954</v>
      </c>
      <c r="F1913">
        <v>20</v>
      </c>
      <c r="G1913">
        <v>1</v>
      </c>
      <c r="H1913">
        <v>1</v>
      </c>
      <c r="I1913">
        <v>20</v>
      </c>
      <c r="J1913" s="3">
        <v>45532</v>
      </c>
      <c r="K1913" s="6" t="s">
        <v>960</v>
      </c>
    </row>
    <row r="1914" spans="1:11">
      <c r="A1914" t="str">
        <f t="shared" si="29"/>
        <v>Jagung Bisi 959 20 X 1 kg455322784HBS959</v>
      </c>
      <c r="B1914" t="s">
        <v>11733</v>
      </c>
      <c r="C1914" t="s">
        <v>13817</v>
      </c>
      <c r="D1914" t="s">
        <v>16296</v>
      </c>
      <c r="E1914" t="s">
        <v>954</v>
      </c>
      <c r="F1914">
        <v>20</v>
      </c>
      <c r="G1914">
        <v>1</v>
      </c>
      <c r="H1914">
        <v>1</v>
      </c>
      <c r="I1914">
        <v>20</v>
      </c>
      <c r="J1914" s="3">
        <v>45532</v>
      </c>
      <c r="K1914" s="6" t="s">
        <v>961</v>
      </c>
    </row>
    <row r="1915" spans="1:11">
      <c r="A1915" t="str">
        <f t="shared" si="29"/>
        <v>Jagung Bisi 959 20 X 1 kg457872319HBS959</v>
      </c>
      <c r="B1915" t="s">
        <v>11734</v>
      </c>
      <c r="C1915" t="s">
        <v>13818</v>
      </c>
      <c r="D1915" t="s">
        <v>16297</v>
      </c>
      <c r="E1915" t="s">
        <v>954</v>
      </c>
      <c r="F1915">
        <v>20</v>
      </c>
      <c r="G1915">
        <v>1</v>
      </c>
      <c r="H1915">
        <v>1</v>
      </c>
      <c r="I1915">
        <v>20</v>
      </c>
      <c r="J1915" s="3">
        <v>45787</v>
      </c>
      <c r="K1915" s="6" t="s">
        <v>962</v>
      </c>
    </row>
    <row r="1916" spans="1:11">
      <c r="A1916" t="str">
        <f t="shared" si="29"/>
        <v>Jagung Bisi 959 40 X 500 gr ( sampel )45647CXXIHBS959</v>
      </c>
      <c r="B1916" t="s">
        <v>11735</v>
      </c>
      <c r="C1916" t="s">
        <v>13819</v>
      </c>
      <c r="D1916" t="s">
        <v>16298</v>
      </c>
      <c r="E1916" t="s">
        <v>963</v>
      </c>
      <c r="F1916">
        <v>40</v>
      </c>
      <c r="G1916">
        <v>1</v>
      </c>
      <c r="H1916">
        <v>1</v>
      </c>
      <c r="I1916">
        <v>40</v>
      </c>
      <c r="J1916" s="3">
        <v>45647</v>
      </c>
      <c r="K1916" s="6" t="s">
        <v>964</v>
      </c>
    </row>
    <row r="1917" spans="1:11">
      <c r="A1917" t="str">
        <f t="shared" si="29"/>
        <v>Jagung Bisi 959 40 X 500 gr ( sampel )45639CXXHBS959</v>
      </c>
      <c r="B1917" t="s">
        <v>11736</v>
      </c>
      <c r="C1917" t="s">
        <v>13820</v>
      </c>
      <c r="D1917" t="s">
        <v>16299</v>
      </c>
      <c r="E1917" t="s">
        <v>963</v>
      </c>
      <c r="F1917">
        <v>40</v>
      </c>
      <c r="G1917">
        <v>1</v>
      </c>
      <c r="H1917">
        <v>1</v>
      </c>
      <c r="I1917">
        <v>40</v>
      </c>
      <c r="J1917" s="3">
        <v>45639</v>
      </c>
      <c r="K1917" s="6" t="s">
        <v>965</v>
      </c>
    </row>
    <row r="1918" spans="1:11">
      <c r="A1918" t="str">
        <f t="shared" si="29"/>
        <v>Jagung DK 771 20 X 1 kg (Bayer)455439CFA012102</v>
      </c>
      <c r="B1918" t="s">
        <v>11737</v>
      </c>
      <c r="C1918" t="s">
        <v>13821</v>
      </c>
      <c r="D1918" t="s">
        <v>16300</v>
      </c>
      <c r="E1918" t="s">
        <v>966</v>
      </c>
      <c r="F1918">
        <v>20</v>
      </c>
      <c r="G1918">
        <v>1</v>
      </c>
      <c r="H1918">
        <v>1</v>
      </c>
      <c r="I1918">
        <v>20</v>
      </c>
      <c r="J1918" s="3">
        <v>45543</v>
      </c>
      <c r="K1918" s="6" t="s">
        <v>967</v>
      </c>
    </row>
    <row r="1919" spans="1:11">
      <c r="A1919" t="str">
        <f t="shared" si="29"/>
        <v>Jagung DK 771 20 X 1 kg (Bayer)455439CFA012097</v>
      </c>
      <c r="B1919" t="s">
        <v>11738</v>
      </c>
      <c r="C1919" t="s">
        <v>13822</v>
      </c>
      <c r="D1919" t="s">
        <v>16301</v>
      </c>
      <c r="E1919" t="s">
        <v>966</v>
      </c>
      <c r="F1919">
        <v>20</v>
      </c>
      <c r="G1919">
        <v>1</v>
      </c>
      <c r="H1919">
        <v>1</v>
      </c>
      <c r="I1919">
        <v>20</v>
      </c>
      <c r="J1919" s="3">
        <v>45543</v>
      </c>
      <c r="K1919" s="6" t="s">
        <v>968</v>
      </c>
    </row>
    <row r="1920" spans="1:11">
      <c r="A1920" t="str">
        <f t="shared" si="29"/>
        <v>Jagung DK 771 20 X 1 kg (Bayer)455829CFA013002</v>
      </c>
      <c r="B1920" t="s">
        <v>11739</v>
      </c>
      <c r="C1920" t="s">
        <v>13823</v>
      </c>
      <c r="D1920" t="s">
        <v>16302</v>
      </c>
      <c r="E1920" t="s">
        <v>966</v>
      </c>
      <c r="F1920">
        <v>20</v>
      </c>
      <c r="G1920">
        <v>1</v>
      </c>
      <c r="H1920">
        <v>1</v>
      </c>
      <c r="I1920">
        <v>20</v>
      </c>
      <c r="J1920" s="3">
        <v>45582</v>
      </c>
      <c r="K1920" s="6" t="s">
        <v>969</v>
      </c>
    </row>
    <row r="1921" spans="1:11">
      <c r="A1921" t="str">
        <f t="shared" si="29"/>
        <v>Jagung DK 771 20 X 1 kg (Bayer)455829CFA013004</v>
      </c>
      <c r="B1921" t="s">
        <v>11740</v>
      </c>
      <c r="C1921" t="s">
        <v>13824</v>
      </c>
      <c r="D1921" t="s">
        <v>16303</v>
      </c>
      <c r="E1921" t="s">
        <v>966</v>
      </c>
      <c r="F1921">
        <v>20</v>
      </c>
      <c r="G1921">
        <v>1</v>
      </c>
      <c r="H1921">
        <v>1</v>
      </c>
      <c r="I1921">
        <v>20</v>
      </c>
      <c r="J1921" s="3">
        <v>45582</v>
      </c>
      <c r="K1921" s="6" t="s">
        <v>970</v>
      </c>
    </row>
    <row r="1922" spans="1:11">
      <c r="A1922" t="str">
        <f t="shared" si="29"/>
        <v>Jagung DK 771 20 X 1 kg (Bayer)455829CFA013008</v>
      </c>
      <c r="B1922" t="s">
        <v>11741</v>
      </c>
      <c r="C1922" t="s">
        <v>13825</v>
      </c>
      <c r="D1922" t="s">
        <v>16304</v>
      </c>
      <c r="E1922" t="s">
        <v>966</v>
      </c>
      <c r="F1922">
        <v>20</v>
      </c>
      <c r="G1922">
        <v>1</v>
      </c>
      <c r="H1922">
        <v>1</v>
      </c>
      <c r="I1922">
        <v>20</v>
      </c>
      <c r="J1922" s="3">
        <v>45582</v>
      </c>
      <c r="K1922" s="6" t="s">
        <v>971</v>
      </c>
    </row>
    <row r="1923" spans="1:11">
      <c r="A1923" t="str">
        <f t="shared" ref="A1923:A1986" si="30">E1923&amp;J1923&amp;K1923</f>
        <v>Jagung DK 771 20 X 1 kg (Bayer)455829CFA013003</v>
      </c>
      <c r="B1923" t="s">
        <v>11742</v>
      </c>
      <c r="C1923" t="s">
        <v>13826</v>
      </c>
      <c r="D1923" t="s">
        <v>16305</v>
      </c>
      <c r="E1923" t="s">
        <v>966</v>
      </c>
      <c r="F1923">
        <v>20</v>
      </c>
      <c r="G1923">
        <v>1</v>
      </c>
      <c r="H1923">
        <v>1</v>
      </c>
      <c r="I1923">
        <v>20</v>
      </c>
      <c r="J1923" s="3">
        <v>45582</v>
      </c>
      <c r="K1923" s="6" t="s">
        <v>972</v>
      </c>
    </row>
    <row r="1924" spans="1:11">
      <c r="A1924" t="str">
        <f t="shared" si="30"/>
        <v>Jagung DK 771 20 X 1 kg (Bayer)456129CFA013020</v>
      </c>
      <c r="B1924" t="s">
        <v>11743</v>
      </c>
      <c r="C1924" t="s">
        <v>13827</v>
      </c>
      <c r="D1924" t="s">
        <v>16306</v>
      </c>
      <c r="E1924" t="s">
        <v>966</v>
      </c>
      <c r="F1924">
        <v>20</v>
      </c>
      <c r="G1924">
        <v>1</v>
      </c>
      <c r="H1924">
        <v>1</v>
      </c>
      <c r="I1924">
        <v>20</v>
      </c>
      <c r="J1924" s="3">
        <v>45612</v>
      </c>
      <c r="K1924" s="6" t="s">
        <v>973</v>
      </c>
    </row>
    <row r="1925" spans="1:11">
      <c r="A1925" t="str">
        <f t="shared" si="30"/>
        <v>Jagung DK 771 20 X 1 kg (Bayer)456129CFA013018</v>
      </c>
      <c r="B1925" t="s">
        <v>11744</v>
      </c>
      <c r="C1925" t="s">
        <v>13828</v>
      </c>
      <c r="D1925" t="s">
        <v>16307</v>
      </c>
      <c r="E1925" t="s">
        <v>966</v>
      </c>
      <c r="F1925">
        <v>20</v>
      </c>
      <c r="G1925">
        <v>1</v>
      </c>
      <c r="H1925">
        <v>1</v>
      </c>
      <c r="I1925">
        <v>20</v>
      </c>
      <c r="J1925" s="3">
        <v>45612</v>
      </c>
      <c r="K1925" s="6" t="s">
        <v>974</v>
      </c>
    </row>
    <row r="1926" spans="1:11">
      <c r="A1926" t="str">
        <f t="shared" si="30"/>
        <v>Jagung DK 771 20 X 1 kg (Bayer)455439CFA012099</v>
      </c>
      <c r="B1926" t="s">
        <v>11745</v>
      </c>
      <c r="C1926" t="s">
        <v>13829</v>
      </c>
      <c r="D1926" t="s">
        <v>16308</v>
      </c>
      <c r="E1926" t="s">
        <v>966</v>
      </c>
      <c r="F1926">
        <v>20</v>
      </c>
      <c r="G1926">
        <v>1</v>
      </c>
      <c r="H1926">
        <v>1</v>
      </c>
      <c r="I1926">
        <v>20</v>
      </c>
      <c r="J1926" s="3">
        <v>45543</v>
      </c>
      <c r="K1926" s="6" t="s">
        <v>975</v>
      </c>
    </row>
    <row r="1927" spans="1:11">
      <c r="A1927" t="str">
        <f t="shared" si="30"/>
        <v>Jagung DK 9209C 20 X 1 kg (Bayer)456192CFB013032</v>
      </c>
      <c r="B1927" t="s">
        <v>11746</v>
      </c>
      <c r="C1927" t="s">
        <v>13830</v>
      </c>
      <c r="D1927" t="s">
        <v>16309</v>
      </c>
      <c r="E1927" t="s">
        <v>976</v>
      </c>
      <c r="F1927">
        <v>20</v>
      </c>
      <c r="G1927">
        <v>1</v>
      </c>
      <c r="H1927">
        <v>1</v>
      </c>
      <c r="I1927">
        <v>20</v>
      </c>
      <c r="J1927" s="3">
        <v>45619</v>
      </c>
      <c r="K1927" s="6" t="s">
        <v>977</v>
      </c>
    </row>
    <row r="1928" spans="1:11">
      <c r="A1928" t="str">
        <f t="shared" si="30"/>
        <v>Jagung DK 9209C 20 X 1 kg (Bayer)456192CFB013026</v>
      </c>
      <c r="B1928" t="s">
        <v>11747</v>
      </c>
      <c r="C1928" t="s">
        <v>13831</v>
      </c>
      <c r="D1928" t="s">
        <v>16310</v>
      </c>
      <c r="E1928" t="s">
        <v>976</v>
      </c>
      <c r="F1928">
        <v>20</v>
      </c>
      <c r="G1928">
        <v>1</v>
      </c>
      <c r="H1928">
        <v>1</v>
      </c>
      <c r="I1928">
        <v>20</v>
      </c>
      <c r="J1928" s="3">
        <v>45619</v>
      </c>
      <c r="K1928" s="6" t="s">
        <v>978</v>
      </c>
    </row>
    <row r="1929" spans="1:11">
      <c r="A1929" t="str">
        <f t="shared" si="30"/>
        <v>Jagung DK 9209C 20 X 1 kg (Bayer)456192CFB013030</v>
      </c>
      <c r="B1929" t="s">
        <v>11748</v>
      </c>
      <c r="C1929" t="s">
        <v>13832</v>
      </c>
      <c r="D1929" t="s">
        <v>16311</v>
      </c>
      <c r="E1929" t="s">
        <v>976</v>
      </c>
      <c r="F1929">
        <v>20</v>
      </c>
      <c r="G1929">
        <v>1</v>
      </c>
      <c r="H1929">
        <v>1</v>
      </c>
      <c r="I1929">
        <v>20</v>
      </c>
      <c r="J1929" s="3">
        <v>45619</v>
      </c>
      <c r="K1929" s="6" t="s">
        <v>979</v>
      </c>
    </row>
    <row r="1930" spans="1:11">
      <c r="A1930" t="str">
        <f t="shared" si="30"/>
        <v>Jagung DK 9209C 20 X 1 kg (Bayer)456192CFB013029</v>
      </c>
      <c r="B1930" t="s">
        <v>11749</v>
      </c>
      <c r="C1930" t="s">
        <v>13833</v>
      </c>
      <c r="D1930" t="s">
        <v>16312</v>
      </c>
      <c r="E1930" t="s">
        <v>976</v>
      </c>
      <c r="F1930">
        <v>20</v>
      </c>
      <c r="G1930">
        <v>1</v>
      </c>
      <c r="H1930">
        <v>1</v>
      </c>
      <c r="I1930">
        <v>20</v>
      </c>
      <c r="J1930" s="3">
        <v>45619</v>
      </c>
      <c r="K1930" s="6" t="s">
        <v>980</v>
      </c>
    </row>
    <row r="1931" spans="1:11">
      <c r="A1931" t="str">
        <f t="shared" si="30"/>
        <v>Jagung DK 9209C 20 X 1 kg (Bayer)456192CFB013028</v>
      </c>
      <c r="B1931" t="s">
        <v>11750</v>
      </c>
      <c r="C1931" t="s">
        <v>13834</v>
      </c>
      <c r="D1931" t="s">
        <v>16313</v>
      </c>
      <c r="E1931" t="s">
        <v>976</v>
      </c>
      <c r="F1931">
        <v>20</v>
      </c>
      <c r="G1931">
        <v>1</v>
      </c>
      <c r="H1931">
        <v>1</v>
      </c>
      <c r="I1931">
        <v>20</v>
      </c>
      <c r="J1931" s="3">
        <v>45619</v>
      </c>
      <c r="K1931" s="6" t="s">
        <v>981</v>
      </c>
    </row>
    <row r="1932" spans="1:11">
      <c r="A1932" t="str">
        <f t="shared" si="30"/>
        <v>Jagung DK 9209C 20 X 1 kg (Bayer)456192CFB013031</v>
      </c>
      <c r="B1932" t="s">
        <v>11751</v>
      </c>
      <c r="C1932" t="s">
        <v>13835</v>
      </c>
      <c r="D1932" t="s">
        <v>16314</v>
      </c>
      <c r="E1932" t="s">
        <v>976</v>
      </c>
      <c r="F1932">
        <v>20</v>
      </c>
      <c r="G1932">
        <v>1</v>
      </c>
      <c r="H1932">
        <v>1</v>
      </c>
      <c r="I1932">
        <v>20</v>
      </c>
      <c r="J1932" s="3">
        <v>45619</v>
      </c>
      <c r="K1932" s="6" t="s">
        <v>982</v>
      </c>
    </row>
    <row r="1933" spans="1:11">
      <c r="A1933" t="str">
        <f t="shared" si="30"/>
        <v>Jagung DK 9209C 20 X 1 kg (Bayer)456192CFB013034</v>
      </c>
      <c r="B1933" t="s">
        <v>11752</v>
      </c>
      <c r="C1933" t="s">
        <v>13836</v>
      </c>
      <c r="D1933" t="s">
        <v>16315</v>
      </c>
      <c r="E1933" t="s">
        <v>976</v>
      </c>
      <c r="F1933">
        <v>20</v>
      </c>
      <c r="G1933">
        <v>1</v>
      </c>
      <c r="H1933">
        <v>1</v>
      </c>
      <c r="I1933">
        <v>20</v>
      </c>
      <c r="J1933" s="3">
        <v>45619</v>
      </c>
      <c r="K1933" s="6" t="s">
        <v>983</v>
      </c>
    </row>
    <row r="1934" spans="1:11">
      <c r="A1934" t="str">
        <f t="shared" si="30"/>
        <v>Jagung DK 9209C 20 X 1 kg (Bayer)456192CFB013036</v>
      </c>
      <c r="B1934" t="s">
        <v>11753</v>
      </c>
      <c r="C1934" t="s">
        <v>13837</v>
      </c>
      <c r="D1934" t="s">
        <v>16316</v>
      </c>
      <c r="E1934" t="s">
        <v>976</v>
      </c>
      <c r="F1934">
        <v>20</v>
      </c>
      <c r="G1934">
        <v>1</v>
      </c>
      <c r="H1934">
        <v>1</v>
      </c>
      <c r="I1934">
        <v>20</v>
      </c>
      <c r="J1934" s="3">
        <v>45619</v>
      </c>
      <c r="K1934" s="6" t="s">
        <v>984</v>
      </c>
    </row>
    <row r="1935" spans="1:11">
      <c r="A1935" t="str">
        <f t="shared" si="30"/>
        <v>Jagung DK 9209C 20 X 1 kg (Bayer)456192CFB013033</v>
      </c>
      <c r="B1935" t="s">
        <v>11754</v>
      </c>
      <c r="C1935" t="s">
        <v>13838</v>
      </c>
      <c r="D1935" t="s">
        <v>16317</v>
      </c>
      <c r="E1935" t="s">
        <v>976</v>
      </c>
      <c r="F1935">
        <v>20</v>
      </c>
      <c r="G1935">
        <v>1</v>
      </c>
      <c r="H1935">
        <v>1</v>
      </c>
      <c r="I1935">
        <v>20</v>
      </c>
      <c r="J1935" s="3">
        <v>45619</v>
      </c>
      <c r="K1935" s="6" t="s">
        <v>985</v>
      </c>
    </row>
    <row r="1936" spans="1:11">
      <c r="A1936" t="str">
        <f t="shared" si="30"/>
        <v>Jagung DK 9209C 20 X 1 kg (Bayer)456192CFB013035</v>
      </c>
      <c r="B1936" t="s">
        <v>11755</v>
      </c>
      <c r="C1936" t="s">
        <v>13839</v>
      </c>
      <c r="D1936" t="s">
        <v>16318</v>
      </c>
      <c r="E1936" t="s">
        <v>976</v>
      </c>
      <c r="F1936">
        <v>20</v>
      </c>
      <c r="G1936">
        <v>1</v>
      </c>
      <c r="H1936">
        <v>1</v>
      </c>
      <c r="I1936">
        <v>20</v>
      </c>
      <c r="J1936" s="3">
        <v>45619</v>
      </c>
      <c r="K1936" s="6" t="s">
        <v>986</v>
      </c>
    </row>
    <row r="1937" spans="1:11">
      <c r="A1937" t="str">
        <f t="shared" si="30"/>
        <v>Jagung Manis Exsotic 40 X 250 gr45710324.0829</v>
      </c>
      <c r="B1937" t="s">
        <v>11756</v>
      </c>
      <c r="C1937" t="s">
        <v>13840</v>
      </c>
      <c r="D1937" t="s">
        <v>16319</v>
      </c>
      <c r="E1937" t="s">
        <v>988</v>
      </c>
      <c r="F1937">
        <v>40</v>
      </c>
      <c r="G1937">
        <v>1</v>
      </c>
      <c r="H1937">
        <v>1</v>
      </c>
      <c r="I1937">
        <v>40</v>
      </c>
      <c r="J1937" s="3">
        <v>45710</v>
      </c>
      <c r="K1937" s="6">
        <v>324.0829</v>
      </c>
    </row>
    <row r="1938" spans="1:11">
      <c r="A1938" t="str">
        <f t="shared" si="30"/>
        <v>Jagung Manis Golden Boy 20 X 500 gr45689316451</v>
      </c>
      <c r="B1938" t="s">
        <v>11757</v>
      </c>
      <c r="C1938" t="s">
        <v>13841</v>
      </c>
      <c r="D1938" t="s">
        <v>16320</v>
      </c>
      <c r="E1938" t="s">
        <v>989</v>
      </c>
      <c r="F1938">
        <v>20</v>
      </c>
      <c r="G1938">
        <v>1</v>
      </c>
      <c r="H1938">
        <v>1</v>
      </c>
      <c r="I1938">
        <v>20</v>
      </c>
      <c r="J1938" s="3">
        <v>45689</v>
      </c>
      <c r="K1938" s="6">
        <v>316451</v>
      </c>
    </row>
    <row r="1939" spans="1:11">
      <c r="A1939" t="str">
        <f t="shared" si="30"/>
        <v>Jagung Manis Madu-59 F1 20 X 250 gr45708MJS2A1001</v>
      </c>
      <c r="B1939" t="s">
        <v>11758</v>
      </c>
      <c r="C1939" t="s">
        <v>13842</v>
      </c>
      <c r="D1939" t="s">
        <v>16321</v>
      </c>
      <c r="E1939" t="s">
        <v>991</v>
      </c>
      <c r="F1939">
        <v>20</v>
      </c>
      <c r="G1939">
        <v>1</v>
      </c>
      <c r="H1939">
        <v>1</v>
      </c>
      <c r="I1939">
        <v>20</v>
      </c>
      <c r="J1939" s="3">
        <v>45708</v>
      </c>
      <c r="K1939" s="6" t="s">
        <v>992</v>
      </c>
    </row>
    <row r="1940" spans="1:11">
      <c r="A1940" t="str">
        <f t="shared" si="30"/>
        <v>Jagung Manis Master Sweet 45 20 X 500 gr4559745316450</v>
      </c>
      <c r="B1940" t="s">
        <v>11759</v>
      </c>
      <c r="C1940" t="s">
        <v>13843</v>
      </c>
      <c r="D1940" t="s">
        <v>16322</v>
      </c>
      <c r="E1940" t="s">
        <v>993</v>
      </c>
      <c r="F1940">
        <v>20</v>
      </c>
      <c r="G1940">
        <v>1</v>
      </c>
      <c r="H1940">
        <v>1</v>
      </c>
      <c r="I1940">
        <v>20</v>
      </c>
      <c r="J1940" s="3">
        <v>45597</v>
      </c>
      <c r="K1940" s="6">
        <v>45316450</v>
      </c>
    </row>
    <row r="1941" spans="1:11">
      <c r="A1941" t="str">
        <f t="shared" si="30"/>
        <v>Jagung Manis Master Sweet 45 20 X 500 gr4568945-3-314518</v>
      </c>
      <c r="B1941" t="s">
        <v>11760</v>
      </c>
      <c r="C1941" t="s">
        <v>13844</v>
      </c>
      <c r="D1941" t="s">
        <v>16323</v>
      </c>
      <c r="E1941" t="s">
        <v>993</v>
      </c>
      <c r="F1941">
        <v>20</v>
      </c>
      <c r="G1941">
        <v>1</v>
      </c>
      <c r="H1941">
        <v>1</v>
      </c>
      <c r="I1941">
        <v>20</v>
      </c>
      <c r="J1941" s="3">
        <v>45689</v>
      </c>
      <c r="K1941" s="6" t="s">
        <v>994</v>
      </c>
    </row>
    <row r="1942" spans="1:11">
      <c r="A1942" t="str">
        <f t="shared" si="30"/>
        <v>Jagung Manis Master Sweet 45 20 X 500 gr4568945-315089</v>
      </c>
      <c r="B1942" t="s">
        <v>11761</v>
      </c>
      <c r="C1942" t="s">
        <v>13845</v>
      </c>
      <c r="D1942" t="s">
        <v>16324</v>
      </c>
      <c r="E1942" t="s">
        <v>993</v>
      </c>
      <c r="F1942">
        <v>20</v>
      </c>
      <c r="G1942">
        <v>1</v>
      </c>
      <c r="H1942">
        <v>1</v>
      </c>
      <c r="I1942">
        <v>20</v>
      </c>
      <c r="J1942" s="3">
        <v>45689</v>
      </c>
      <c r="K1942" s="6" t="s">
        <v>995</v>
      </c>
    </row>
    <row r="1943" spans="1:11">
      <c r="A1943" t="str">
        <f t="shared" si="30"/>
        <v>Jagung Manis Sweet Lady 27 20 X 500 gr4568927-316472</v>
      </c>
      <c r="B1943" t="s">
        <v>11762</v>
      </c>
      <c r="C1943" t="s">
        <v>13846</v>
      </c>
      <c r="D1943" t="s">
        <v>16325</v>
      </c>
      <c r="E1943" t="s">
        <v>997</v>
      </c>
      <c r="F1943">
        <v>20</v>
      </c>
      <c r="G1943">
        <v>1</v>
      </c>
      <c r="H1943">
        <v>1</v>
      </c>
      <c r="I1943">
        <v>20</v>
      </c>
      <c r="J1943" s="3">
        <v>45689</v>
      </c>
      <c r="K1943" s="6" t="s">
        <v>998</v>
      </c>
    </row>
    <row r="1944" spans="1:11">
      <c r="A1944" t="str">
        <f t="shared" si="30"/>
        <v>Jagung NK 212 20 X 1 kg4570019352424</v>
      </c>
      <c r="B1944" t="s">
        <v>11763</v>
      </c>
      <c r="C1944" t="s">
        <v>13847</v>
      </c>
      <c r="D1944" t="s">
        <v>16326</v>
      </c>
      <c r="E1944" t="s">
        <v>999</v>
      </c>
      <c r="F1944">
        <v>20</v>
      </c>
      <c r="G1944">
        <v>1</v>
      </c>
      <c r="H1944">
        <v>1</v>
      </c>
      <c r="I1944">
        <v>20</v>
      </c>
      <c r="J1944" s="3">
        <v>45700</v>
      </c>
      <c r="K1944" s="6">
        <v>19352424</v>
      </c>
    </row>
    <row r="1945" spans="1:11">
      <c r="A1945" t="str">
        <f t="shared" si="30"/>
        <v>Jagung NK 212 20 X 1 kg4574819237373</v>
      </c>
      <c r="B1945" t="s">
        <v>11764</v>
      </c>
      <c r="C1945" t="s">
        <v>13848</v>
      </c>
      <c r="D1945" t="s">
        <v>16327</v>
      </c>
      <c r="E1945" t="s">
        <v>999</v>
      </c>
      <c r="F1945">
        <v>20</v>
      </c>
      <c r="G1945">
        <v>1</v>
      </c>
      <c r="H1945">
        <v>1</v>
      </c>
      <c r="I1945">
        <v>20</v>
      </c>
      <c r="J1945" s="3">
        <v>45748</v>
      </c>
      <c r="K1945" s="6">
        <v>19237373</v>
      </c>
    </row>
    <row r="1946" spans="1:11">
      <c r="A1946" t="str">
        <f t="shared" si="30"/>
        <v>Jagung NK 212 20 X 1 kg4578919350401</v>
      </c>
      <c r="B1946" t="s">
        <v>11765</v>
      </c>
      <c r="C1946" t="s">
        <v>13849</v>
      </c>
      <c r="D1946" t="s">
        <v>16328</v>
      </c>
      <c r="E1946" t="s">
        <v>999</v>
      </c>
      <c r="F1946">
        <v>20</v>
      </c>
      <c r="G1946">
        <v>1</v>
      </c>
      <c r="H1946">
        <v>1</v>
      </c>
      <c r="I1946">
        <v>20</v>
      </c>
      <c r="J1946" s="3">
        <v>45789</v>
      </c>
      <c r="K1946" s="6">
        <v>19350401</v>
      </c>
    </row>
    <row r="1947" spans="1:11">
      <c r="A1947" t="str">
        <f t="shared" si="30"/>
        <v>Jagung NK 212 20 X 1 kg4574819237375</v>
      </c>
      <c r="B1947" t="s">
        <v>11766</v>
      </c>
      <c r="C1947" t="s">
        <v>13850</v>
      </c>
      <c r="D1947" t="s">
        <v>16329</v>
      </c>
      <c r="E1947" t="s">
        <v>999</v>
      </c>
      <c r="F1947">
        <v>20</v>
      </c>
      <c r="G1947">
        <v>1</v>
      </c>
      <c r="H1947">
        <v>1</v>
      </c>
      <c r="I1947">
        <v>20</v>
      </c>
      <c r="J1947" s="3">
        <v>45748</v>
      </c>
      <c r="K1947" s="6">
        <v>19237375</v>
      </c>
    </row>
    <row r="1948" spans="1:11">
      <c r="A1948" t="str">
        <f t="shared" si="30"/>
        <v>Jagung NK 212 20 X 1 kg4578419337579</v>
      </c>
      <c r="B1948" t="s">
        <v>11767</v>
      </c>
      <c r="C1948" t="s">
        <v>13851</v>
      </c>
      <c r="D1948" t="s">
        <v>16330</v>
      </c>
      <c r="E1948" t="s">
        <v>999</v>
      </c>
      <c r="F1948">
        <v>20</v>
      </c>
      <c r="G1948">
        <v>1</v>
      </c>
      <c r="H1948">
        <v>1</v>
      </c>
      <c r="I1948">
        <v>20</v>
      </c>
      <c r="J1948" s="3">
        <v>45784</v>
      </c>
      <c r="K1948" s="6">
        <v>19337579</v>
      </c>
    </row>
    <row r="1949" spans="1:11">
      <c r="A1949" t="str">
        <f t="shared" si="30"/>
        <v>Jagung NK 7202 20 X 1 kg4566619046175</v>
      </c>
      <c r="B1949" t="s">
        <v>11768</v>
      </c>
      <c r="C1949" t="s">
        <v>13852</v>
      </c>
      <c r="D1949" t="s">
        <v>16331</v>
      </c>
      <c r="E1949" t="s">
        <v>1000</v>
      </c>
      <c r="F1949">
        <v>20</v>
      </c>
      <c r="G1949">
        <v>1</v>
      </c>
      <c r="H1949">
        <v>1</v>
      </c>
      <c r="I1949">
        <v>20</v>
      </c>
      <c r="J1949" s="3">
        <v>45666</v>
      </c>
      <c r="K1949" s="6">
        <v>19046175</v>
      </c>
    </row>
    <row r="1950" spans="1:11">
      <c r="A1950" t="str">
        <f t="shared" si="30"/>
        <v>Jagung NK 7328 20 X 1 kg4569919108728</v>
      </c>
      <c r="B1950" t="s">
        <v>11769</v>
      </c>
      <c r="C1950" t="s">
        <v>13853</v>
      </c>
      <c r="D1950" t="s">
        <v>16332</v>
      </c>
      <c r="E1950" t="s">
        <v>1001</v>
      </c>
      <c r="F1950">
        <v>20</v>
      </c>
      <c r="G1950">
        <v>1</v>
      </c>
      <c r="H1950">
        <v>1</v>
      </c>
      <c r="I1950">
        <v>20</v>
      </c>
      <c r="J1950" s="3">
        <v>45699</v>
      </c>
      <c r="K1950" s="6">
        <v>19108728</v>
      </c>
    </row>
    <row r="1951" spans="1:11">
      <c r="A1951" t="str">
        <f t="shared" si="30"/>
        <v>Jagung NK 7328 20 X 1 kg4574019219801</v>
      </c>
      <c r="B1951" t="s">
        <v>11770</v>
      </c>
      <c r="C1951" t="s">
        <v>13854</v>
      </c>
      <c r="D1951" t="s">
        <v>16333</v>
      </c>
      <c r="E1951" t="s">
        <v>1001</v>
      </c>
      <c r="F1951">
        <v>20</v>
      </c>
      <c r="G1951">
        <v>1</v>
      </c>
      <c r="H1951">
        <v>1</v>
      </c>
      <c r="I1951">
        <v>20</v>
      </c>
      <c r="J1951" s="3">
        <v>45740</v>
      </c>
      <c r="K1951" s="6">
        <v>19219801</v>
      </c>
    </row>
    <row r="1952" spans="1:11">
      <c r="A1952" t="str">
        <f t="shared" si="30"/>
        <v>Jagung NK 7328 20 X 1 kg4573819213254</v>
      </c>
      <c r="B1952" t="s">
        <v>11771</v>
      </c>
      <c r="C1952" t="s">
        <v>13855</v>
      </c>
      <c r="D1952" t="s">
        <v>16334</v>
      </c>
      <c r="E1952" t="s">
        <v>1001</v>
      </c>
      <c r="F1952">
        <v>20</v>
      </c>
      <c r="G1952">
        <v>1</v>
      </c>
      <c r="H1952">
        <v>1</v>
      </c>
      <c r="I1952">
        <v>20</v>
      </c>
      <c r="J1952" s="3">
        <v>45738</v>
      </c>
      <c r="K1952" s="6">
        <v>19213254</v>
      </c>
    </row>
    <row r="1953" spans="1:11">
      <c r="A1953" t="str">
        <f t="shared" si="30"/>
        <v>Jagung NK 7328 20 X 1 kg4569919108733</v>
      </c>
      <c r="B1953" t="s">
        <v>11772</v>
      </c>
      <c r="C1953" t="s">
        <v>13856</v>
      </c>
      <c r="D1953" t="s">
        <v>16335</v>
      </c>
      <c r="E1953" t="s">
        <v>1001</v>
      </c>
      <c r="F1953">
        <v>20</v>
      </c>
      <c r="G1953">
        <v>1</v>
      </c>
      <c r="H1953">
        <v>1</v>
      </c>
      <c r="I1953">
        <v>20</v>
      </c>
      <c r="J1953" s="3">
        <v>45699</v>
      </c>
      <c r="K1953" s="6">
        <v>19108733</v>
      </c>
    </row>
    <row r="1954" spans="1:11">
      <c r="A1954" t="str">
        <f t="shared" si="30"/>
        <v>Jagung NK 7328 20 X 1 kg4569919108732</v>
      </c>
      <c r="B1954" t="s">
        <v>11773</v>
      </c>
      <c r="C1954" t="s">
        <v>13857</v>
      </c>
      <c r="D1954" t="s">
        <v>16336</v>
      </c>
      <c r="E1954" t="s">
        <v>1001</v>
      </c>
      <c r="F1954">
        <v>20</v>
      </c>
      <c r="G1954">
        <v>1</v>
      </c>
      <c r="H1954">
        <v>1</v>
      </c>
      <c r="I1954">
        <v>20</v>
      </c>
      <c r="J1954" s="3">
        <v>45699</v>
      </c>
      <c r="K1954" s="6">
        <v>19108732</v>
      </c>
    </row>
    <row r="1955" spans="1:11">
      <c r="A1955" t="str">
        <f t="shared" si="30"/>
        <v>Jagung NK 7328 20 X 1 kg4572019219793</v>
      </c>
      <c r="B1955" t="s">
        <v>11774</v>
      </c>
      <c r="C1955" t="s">
        <v>13858</v>
      </c>
      <c r="D1955" t="s">
        <v>16337</v>
      </c>
      <c r="E1955" t="s">
        <v>1001</v>
      </c>
      <c r="F1955">
        <v>20</v>
      </c>
      <c r="G1955">
        <v>1</v>
      </c>
      <c r="H1955">
        <v>1</v>
      </c>
      <c r="I1955">
        <v>20</v>
      </c>
      <c r="J1955" s="3">
        <v>45720</v>
      </c>
      <c r="K1955" s="6">
        <v>19219793</v>
      </c>
    </row>
    <row r="1956" spans="1:11">
      <c r="A1956" t="str">
        <f t="shared" si="30"/>
        <v>Jagung NK 7328 20 X 1 kg4572019219792</v>
      </c>
      <c r="B1956" t="s">
        <v>11775</v>
      </c>
      <c r="C1956" t="s">
        <v>13859</v>
      </c>
      <c r="D1956" t="s">
        <v>16338</v>
      </c>
      <c r="E1956" t="s">
        <v>1001</v>
      </c>
      <c r="F1956">
        <v>20</v>
      </c>
      <c r="G1956">
        <v>1</v>
      </c>
      <c r="H1956">
        <v>1</v>
      </c>
      <c r="I1956">
        <v>20</v>
      </c>
      <c r="J1956" s="3">
        <v>45720</v>
      </c>
      <c r="K1956" s="6">
        <v>19219792</v>
      </c>
    </row>
    <row r="1957" spans="1:11">
      <c r="A1957" t="str">
        <f t="shared" si="30"/>
        <v>Jagung NK 7328 20 X 1 kg4574019219804</v>
      </c>
      <c r="B1957" t="s">
        <v>11776</v>
      </c>
      <c r="C1957" t="s">
        <v>13860</v>
      </c>
      <c r="D1957" t="s">
        <v>16339</v>
      </c>
      <c r="E1957" t="s">
        <v>1001</v>
      </c>
      <c r="F1957">
        <v>20</v>
      </c>
      <c r="G1957">
        <v>1</v>
      </c>
      <c r="H1957">
        <v>1</v>
      </c>
      <c r="I1957">
        <v>20</v>
      </c>
      <c r="J1957" s="3">
        <v>45740</v>
      </c>
      <c r="K1957" s="6">
        <v>19219804</v>
      </c>
    </row>
    <row r="1958" spans="1:11">
      <c r="A1958" t="str">
        <f t="shared" si="30"/>
        <v>Jagung NK 7328 20 X 1 kg4574019219799</v>
      </c>
      <c r="B1958" t="s">
        <v>11777</v>
      </c>
      <c r="C1958" t="s">
        <v>13861</v>
      </c>
      <c r="D1958" t="s">
        <v>16340</v>
      </c>
      <c r="E1958" t="s">
        <v>1001</v>
      </c>
      <c r="F1958">
        <v>20</v>
      </c>
      <c r="G1958">
        <v>1</v>
      </c>
      <c r="H1958">
        <v>1</v>
      </c>
      <c r="I1958">
        <v>20</v>
      </c>
      <c r="J1958" s="3">
        <v>45740</v>
      </c>
      <c r="K1958" s="6">
        <v>19219799</v>
      </c>
    </row>
    <row r="1959" spans="1:11">
      <c r="A1959" t="str">
        <f t="shared" si="30"/>
        <v>Jagung NK 7328 20 X 1 kg4574719237409</v>
      </c>
      <c r="B1959" t="s">
        <v>11778</v>
      </c>
      <c r="C1959" t="s">
        <v>13862</v>
      </c>
      <c r="D1959" t="s">
        <v>16341</v>
      </c>
      <c r="E1959" t="s">
        <v>1001</v>
      </c>
      <c r="F1959">
        <v>20</v>
      </c>
      <c r="G1959">
        <v>1</v>
      </c>
      <c r="H1959">
        <v>1</v>
      </c>
      <c r="I1959">
        <v>20</v>
      </c>
      <c r="J1959" s="3">
        <v>45747</v>
      </c>
      <c r="K1959" s="6">
        <v>19237409</v>
      </c>
    </row>
    <row r="1960" spans="1:11">
      <c r="A1960" t="str">
        <f t="shared" si="30"/>
        <v>Jagung NK 7328 20 X 1 kg4574019219798</v>
      </c>
      <c r="B1960" t="s">
        <v>11779</v>
      </c>
      <c r="C1960" t="s">
        <v>13863</v>
      </c>
      <c r="D1960" t="s">
        <v>16342</v>
      </c>
      <c r="E1960" t="s">
        <v>1001</v>
      </c>
      <c r="F1960">
        <v>20</v>
      </c>
      <c r="G1960">
        <v>1</v>
      </c>
      <c r="H1960">
        <v>1</v>
      </c>
      <c r="I1960">
        <v>20</v>
      </c>
      <c r="J1960" s="3">
        <v>45740</v>
      </c>
      <c r="K1960" s="6">
        <v>19219798</v>
      </c>
    </row>
    <row r="1961" spans="1:11">
      <c r="A1961" t="str">
        <f t="shared" si="30"/>
        <v>Jagung P27 Gajah 20 X 1 kg45608102CKMAFINDB062</v>
      </c>
      <c r="B1961" t="s">
        <v>11780</v>
      </c>
      <c r="C1961" t="s">
        <v>13864</v>
      </c>
      <c r="D1961" t="s">
        <v>16343</v>
      </c>
      <c r="E1961" t="s">
        <v>1002</v>
      </c>
      <c r="F1961">
        <v>20</v>
      </c>
      <c r="G1961">
        <v>1</v>
      </c>
      <c r="H1961">
        <v>1</v>
      </c>
      <c r="I1961">
        <v>20</v>
      </c>
      <c r="J1961" s="3">
        <v>45608</v>
      </c>
      <c r="K1961" s="6" t="s">
        <v>1003</v>
      </c>
    </row>
    <row r="1962" spans="1:11">
      <c r="A1962" t="str">
        <f t="shared" si="30"/>
        <v>Jagung P27 Gajah 20 X 1 kg45641134CJMAFDNDC052</v>
      </c>
      <c r="B1962" t="s">
        <v>11781</v>
      </c>
      <c r="C1962" t="s">
        <v>13865</v>
      </c>
      <c r="D1962" t="s">
        <v>16344</v>
      </c>
      <c r="E1962" t="s">
        <v>1002</v>
      </c>
      <c r="F1962">
        <v>20</v>
      </c>
      <c r="G1962">
        <v>1</v>
      </c>
      <c r="H1962">
        <v>1</v>
      </c>
      <c r="I1962">
        <v>20</v>
      </c>
      <c r="J1962" s="3">
        <v>45641</v>
      </c>
      <c r="K1962" s="6" t="s">
        <v>1004</v>
      </c>
    </row>
    <row r="1963" spans="1:11">
      <c r="A1963" t="str">
        <f t="shared" si="30"/>
        <v>Jagung P27 Gajah 20 X 1 kg45641143CJMAFINDC053</v>
      </c>
      <c r="B1963" t="s">
        <v>11782</v>
      </c>
      <c r="C1963" t="s">
        <v>13866</v>
      </c>
      <c r="D1963" t="s">
        <v>16345</v>
      </c>
      <c r="E1963" t="s">
        <v>1002</v>
      </c>
      <c r="F1963">
        <v>20</v>
      </c>
      <c r="G1963">
        <v>1</v>
      </c>
      <c r="H1963">
        <v>1</v>
      </c>
      <c r="I1963">
        <v>20</v>
      </c>
      <c r="J1963" s="3">
        <v>45641</v>
      </c>
      <c r="K1963" s="6" t="s">
        <v>1005</v>
      </c>
    </row>
    <row r="1964" spans="1:11">
      <c r="A1964" t="str">
        <f t="shared" si="30"/>
        <v>Jagung P27 Gajah 20 X 1 kg45608068CKMAFINDB063</v>
      </c>
      <c r="B1964" t="s">
        <v>11783</v>
      </c>
      <c r="C1964" t="s">
        <v>13867</v>
      </c>
      <c r="D1964" t="s">
        <v>16346</v>
      </c>
      <c r="E1964" t="s">
        <v>1002</v>
      </c>
      <c r="F1964">
        <v>20</v>
      </c>
      <c r="G1964">
        <v>1</v>
      </c>
      <c r="H1964">
        <v>1</v>
      </c>
      <c r="I1964">
        <v>20</v>
      </c>
      <c r="J1964" s="3">
        <v>45608</v>
      </c>
      <c r="K1964" s="6" t="s">
        <v>1006</v>
      </c>
    </row>
    <row r="1965" spans="1:11">
      <c r="A1965" t="str">
        <f t="shared" si="30"/>
        <v>Jagung P27 Gajah 20 X 1 kg45641007CKMAFDNDC055</v>
      </c>
      <c r="B1965" t="s">
        <v>11784</v>
      </c>
      <c r="C1965" t="s">
        <v>13868</v>
      </c>
      <c r="D1965" t="s">
        <v>16347</v>
      </c>
      <c r="E1965" t="s">
        <v>1002</v>
      </c>
      <c r="F1965">
        <v>20</v>
      </c>
      <c r="G1965">
        <v>1</v>
      </c>
      <c r="H1965">
        <v>1</v>
      </c>
      <c r="I1965">
        <v>20</v>
      </c>
      <c r="J1965" s="3">
        <v>45641</v>
      </c>
      <c r="K1965" s="6" t="s">
        <v>1007</v>
      </c>
    </row>
    <row r="1966" spans="1:11">
      <c r="A1966" t="str">
        <f t="shared" si="30"/>
        <v>Jagung P27 Gajah 20 X 1 kg45658013CKMAFINDE006</v>
      </c>
      <c r="B1966" t="s">
        <v>11785</v>
      </c>
      <c r="C1966" t="s">
        <v>13869</v>
      </c>
      <c r="D1966" t="s">
        <v>16348</v>
      </c>
      <c r="E1966" t="s">
        <v>1002</v>
      </c>
      <c r="F1966">
        <v>20</v>
      </c>
      <c r="G1966">
        <v>1</v>
      </c>
      <c r="H1966">
        <v>1</v>
      </c>
      <c r="I1966">
        <v>20</v>
      </c>
      <c r="J1966" s="3">
        <v>45658</v>
      </c>
      <c r="K1966" s="6" t="s">
        <v>1008</v>
      </c>
    </row>
    <row r="1967" spans="1:11">
      <c r="A1967" t="str">
        <f t="shared" si="30"/>
        <v>Jagung Pertiwi 6 20 X 1 kg45809368.18</v>
      </c>
      <c r="B1967" t="s">
        <v>11786</v>
      </c>
      <c r="C1967" t="s">
        <v>13870</v>
      </c>
      <c r="D1967" t="s">
        <v>16349</v>
      </c>
      <c r="E1967" t="s">
        <v>1009</v>
      </c>
      <c r="F1967">
        <v>20</v>
      </c>
      <c r="G1967">
        <v>1</v>
      </c>
      <c r="H1967">
        <v>1</v>
      </c>
      <c r="I1967">
        <v>20</v>
      </c>
      <c r="J1967" s="3">
        <v>45809</v>
      </c>
      <c r="K1967" s="6">
        <v>368.18</v>
      </c>
    </row>
    <row r="1968" spans="1:11">
      <c r="A1968" t="str">
        <f t="shared" si="30"/>
        <v>Jagung Pertiwi 6 20 X 1 kg458091013.179</v>
      </c>
      <c r="B1968" t="s">
        <v>11787</v>
      </c>
      <c r="C1968" t="s">
        <v>13871</v>
      </c>
      <c r="D1968" t="s">
        <v>16350</v>
      </c>
      <c r="E1968" t="s">
        <v>1009</v>
      </c>
      <c r="F1968">
        <v>20</v>
      </c>
      <c r="G1968">
        <v>1</v>
      </c>
      <c r="H1968">
        <v>1</v>
      </c>
      <c r="I1968">
        <v>20</v>
      </c>
      <c r="J1968" s="3">
        <v>45809</v>
      </c>
      <c r="K1968" s="6">
        <v>1013.179</v>
      </c>
    </row>
    <row r="1969" spans="1:11">
      <c r="A1969" t="str">
        <f t="shared" si="30"/>
        <v>Jagung Pertiwi 6 20 X 1 kg458091295.178</v>
      </c>
      <c r="B1969" t="s">
        <v>11788</v>
      </c>
      <c r="C1969" t="s">
        <v>13872</v>
      </c>
      <c r="D1969" t="s">
        <v>16351</v>
      </c>
      <c r="E1969" t="s">
        <v>1009</v>
      </c>
      <c r="F1969">
        <v>20</v>
      </c>
      <c r="G1969">
        <v>1</v>
      </c>
      <c r="H1969">
        <v>1</v>
      </c>
      <c r="I1969">
        <v>20</v>
      </c>
      <c r="J1969" s="3">
        <v>45809</v>
      </c>
      <c r="K1969" s="6">
        <v>1295.1780000000001</v>
      </c>
    </row>
    <row r="1970" spans="1:11">
      <c r="A1970" t="str">
        <f t="shared" si="30"/>
        <v>Jagung Q-235 10 X 1 Kg4541002/02/PRG/2023</v>
      </c>
      <c r="B1970" t="s">
        <v>11789</v>
      </c>
      <c r="C1970" t="s">
        <v>13873</v>
      </c>
      <c r="D1970" t="s">
        <v>16352</v>
      </c>
      <c r="E1970" t="s">
        <v>1010</v>
      </c>
      <c r="F1970">
        <v>10</v>
      </c>
      <c r="G1970">
        <v>1</v>
      </c>
      <c r="H1970">
        <v>1</v>
      </c>
      <c r="I1970">
        <v>10</v>
      </c>
      <c r="J1970" s="3">
        <v>45410</v>
      </c>
      <c r="K1970" s="6" t="s">
        <v>1011</v>
      </c>
    </row>
    <row r="1971" spans="1:11">
      <c r="A1971" t="str">
        <f t="shared" si="30"/>
        <v>Jagung Q-235 10 X 1 Kg4547204/04/PRG/2023</v>
      </c>
      <c r="B1971" t="s">
        <v>11790</v>
      </c>
      <c r="C1971" t="s">
        <v>13874</v>
      </c>
      <c r="D1971" t="s">
        <v>16353</v>
      </c>
      <c r="E1971" t="s">
        <v>1010</v>
      </c>
      <c r="F1971">
        <v>10</v>
      </c>
      <c r="G1971">
        <v>1</v>
      </c>
      <c r="H1971">
        <v>1</v>
      </c>
      <c r="I1971">
        <v>10</v>
      </c>
      <c r="J1971" s="3">
        <v>45472</v>
      </c>
      <c r="K1971" s="6" t="s">
        <v>1012</v>
      </c>
    </row>
    <row r="1972" spans="1:11">
      <c r="A1972" t="str">
        <f t="shared" si="30"/>
        <v>Jagung Q-235 10 X 1 Kg4547206/06/PRG/2023</v>
      </c>
      <c r="B1972" t="s">
        <v>11791</v>
      </c>
      <c r="C1972" t="s">
        <v>13875</v>
      </c>
      <c r="D1972" t="s">
        <v>16354</v>
      </c>
      <c r="E1972" t="s">
        <v>1010</v>
      </c>
      <c r="F1972">
        <v>10</v>
      </c>
      <c r="G1972">
        <v>1</v>
      </c>
      <c r="H1972">
        <v>1</v>
      </c>
      <c r="I1972">
        <v>10</v>
      </c>
      <c r="J1972" s="3">
        <v>45472</v>
      </c>
      <c r="K1972" s="6" t="s">
        <v>1013</v>
      </c>
    </row>
    <row r="1973" spans="1:11">
      <c r="A1973" t="str">
        <f t="shared" si="30"/>
        <v>Jagung Q-235 10 X 1 Kg4547205/05/PRG/2023</v>
      </c>
      <c r="B1973" t="s">
        <v>11792</v>
      </c>
      <c r="C1973" t="s">
        <v>13876</v>
      </c>
      <c r="D1973" t="s">
        <v>16355</v>
      </c>
      <c r="E1973" t="s">
        <v>1010</v>
      </c>
      <c r="F1973">
        <v>10</v>
      </c>
      <c r="G1973">
        <v>1</v>
      </c>
      <c r="H1973">
        <v>1</v>
      </c>
      <c r="I1973">
        <v>10</v>
      </c>
      <c r="J1973" s="3">
        <v>45472</v>
      </c>
      <c r="K1973" s="6" t="s">
        <v>1014</v>
      </c>
    </row>
    <row r="1974" spans="1:11">
      <c r="A1974" t="str">
        <f t="shared" si="30"/>
        <v>Jagung Q-235 10 X 1 Kg4536745410</v>
      </c>
      <c r="B1974" t="s">
        <v>11793</v>
      </c>
      <c r="C1974" t="s">
        <v>13877</v>
      </c>
      <c r="D1974" t="s">
        <v>16356</v>
      </c>
      <c r="E1974" t="s">
        <v>1010</v>
      </c>
      <c r="F1974">
        <v>10</v>
      </c>
      <c r="G1974">
        <v>1</v>
      </c>
      <c r="H1974">
        <v>1</v>
      </c>
      <c r="I1974">
        <v>10</v>
      </c>
      <c r="J1974" s="3">
        <v>45367</v>
      </c>
      <c r="K1974" s="6">
        <v>45410</v>
      </c>
    </row>
    <row r="1975" spans="1:11">
      <c r="A1975" t="str">
        <f t="shared" si="30"/>
        <v>Jagung Q-235 10 X 1 Kg45497M01CB006</v>
      </c>
      <c r="B1975" t="s">
        <v>11794</v>
      </c>
      <c r="C1975" t="s">
        <v>13878</v>
      </c>
      <c r="D1975" t="s">
        <v>16357</v>
      </c>
      <c r="E1975" t="s">
        <v>1010</v>
      </c>
      <c r="F1975">
        <v>10</v>
      </c>
      <c r="G1975">
        <v>1</v>
      </c>
      <c r="H1975">
        <v>1</v>
      </c>
      <c r="I1975">
        <v>10</v>
      </c>
      <c r="J1975" s="3">
        <v>45497</v>
      </c>
      <c r="K1975" s="6" t="s">
        <v>1015</v>
      </c>
    </row>
    <row r="1976" spans="1:11">
      <c r="A1976" t="str">
        <f t="shared" si="30"/>
        <v>Jagung Q-235 10 X 1 Kg4555343/23</v>
      </c>
      <c r="B1976" t="s">
        <v>11795</v>
      </c>
      <c r="C1976" t="s">
        <v>13879</v>
      </c>
      <c r="D1976" t="s">
        <v>16358</v>
      </c>
      <c r="E1976" t="s">
        <v>1010</v>
      </c>
      <c r="F1976">
        <v>10</v>
      </c>
      <c r="G1976">
        <v>1</v>
      </c>
      <c r="H1976">
        <v>1</v>
      </c>
      <c r="I1976">
        <v>10</v>
      </c>
      <c r="J1976" s="3">
        <v>45553</v>
      </c>
      <c r="K1976" s="6" t="s">
        <v>1016</v>
      </c>
    </row>
    <row r="1977" spans="1:11">
      <c r="A1977" t="str">
        <f t="shared" si="30"/>
        <v>Jagung Q-235 10 X 1 Kg4553439/14</v>
      </c>
      <c r="B1977" t="s">
        <v>11796</v>
      </c>
      <c r="C1977" t="s">
        <v>13880</v>
      </c>
      <c r="D1977" t="s">
        <v>16359</v>
      </c>
      <c r="E1977" t="s">
        <v>1010</v>
      </c>
      <c r="F1977">
        <v>10</v>
      </c>
      <c r="G1977">
        <v>1</v>
      </c>
      <c r="H1977">
        <v>1</v>
      </c>
      <c r="I1977">
        <v>10</v>
      </c>
      <c r="J1977" s="3">
        <v>45534</v>
      </c>
      <c r="K1977" s="6" t="s">
        <v>1017</v>
      </c>
    </row>
    <row r="1978" spans="1:11">
      <c r="A1978" t="str">
        <f t="shared" si="30"/>
        <v>Jagung Q-235 10 X 1 Kg4550435/4</v>
      </c>
      <c r="B1978" t="s">
        <v>11797</v>
      </c>
      <c r="C1978" t="s">
        <v>13881</v>
      </c>
      <c r="D1978" t="s">
        <v>16360</v>
      </c>
      <c r="E1978" t="s">
        <v>1010</v>
      </c>
      <c r="F1978">
        <v>10</v>
      </c>
      <c r="G1978">
        <v>1</v>
      </c>
      <c r="H1978">
        <v>1</v>
      </c>
      <c r="I1978">
        <v>10</v>
      </c>
      <c r="J1978" s="3">
        <v>45504</v>
      </c>
      <c r="K1978" s="6" t="s">
        <v>1018</v>
      </c>
    </row>
    <row r="1979" spans="1:11">
      <c r="A1979" t="str">
        <f t="shared" si="30"/>
        <v>Jagung Q-235 10 X 1 Kg4559749/33</v>
      </c>
      <c r="B1979" t="s">
        <v>11798</v>
      </c>
      <c r="C1979" t="s">
        <v>13882</v>
      </c>
      <c r="D1979" t="s">
        <v>16361</v>
      </c>
      <c r="E1979" t="s">
        <v>1010</v>
      </c>
      <c r="F1979">
        <v>10</v>
      </c>
      <c r="G1979">
        <v>1</v>
      </c>
      <c r="H1979">
        <v>1</v>
      </c>
      <c r="I1979">
        <v>10</v>
      </c>
      <c r="J1979" s="3">
        <v>45597</v>
      </c>
      <c r="K1979" s="6" t="s">
        <v>1019</v>
      </c>
    </row>
    <row r="1980" spans="1:11">
      <c r="A1980" t="str">
        <f t="shared" si="30"/>
        <v>Jagung Q-235 10 X 1 Kg4553440/15</v>
      </c>
      <c r="B1980" t="s">
        <v>11799</v>
      </c>
      <c r="C1980" t="s">
        <v>13883</v>
      </c>
      <c r="D1980" t="s">
        <v>16362</v>
      </c>
      <c r="E1980" t="s">
        <v>1010</v>
      </c>
      <c r="F1980">
        <v>10</v>
      </c>
      <c r="G1980">
        <v>1</v>
      </c>
      <c r="H1980">
        <v>1</v>
      </c>
      <c r="I1980">
        <v>10</v>
      </c>
      <c r="J1980" s="3">
        <v>45534</v>
      </c>
      <c r="K1980" s="6" t="s">
        <v>1020</v>
      </c>
    </row>
    <row r="1981" spans="1:11">
      <c r="A1981" t="str">
        <f t="shared" si="30"/>
        <v>Jagung Q-235 10 X 1 Kg4557045/29</v>
      </c>
      <c r="B1981" t="s">
        <v>11800</v>
      </c>
      <c r="C1981" t="s">
        <v>13884</v>
      </c>
      <c r="D1981" t="s">
        <v>16363</v>
      </c>
      <c r="E1981" t="s">
        <v>1010</v>
      </c>
      <c r="F1981">
        <v>10</v>
      </c>
      <c r="G1981">
        <v>1</v>
      </c>
      <c r="H1981">
        <v>1</v>
      </c>
      <c r="I1981">
        <v>10</v>
      </c>
      <c r="J1981" s="3">
        <v>45570</v>
      </c>
      <c r="K1981" s="6" t="s">
        <v>1021</v>
      </c>
    </row>
    <row r="1982" spans="1:11">
      <c r="A1982" t="str">
        <f t="shared" si="30"/>
        <v>Jagung Q-235 10 X 1 Kg4555342/19</v>
      </c>
      <c r="B1982" t="s">
        <v>11801</v>
      </c>
      <c r="C1982" t="s">
        <v>13885</v>
      </c>
      <c r="D1982" t="s">
        <v>16364</v>
      </c>
      <c r="E1982" t="s">
        <v>1010</v>
      </c>
      <c r="F1982">
        <v>10</v>
      </c>
      <c r="G1982">
        <v>1</v>
      </c>
      <c r="H1982">
        <v>1</v>
      </c>
      <c r="I1982">
        <v>10</v>
      </c>
      <c r="J1982" s="3">
        <v>45553</v>
      </c>
      <c r="K1982" s="6" t="s">
        <v>1022</v>
      </c>
    </row>
    <row r="1983" spans="1:11">
      <c r="A1983" t="str">
        <f t="shared" si="30"/>
        <v>Jagung Q-235 10 X 1 Kg4557044/21</v>
      </c>
      <c r="B1983" t="s">
        <v>11802</v>
      </c>
      <c r="C1983" t="s">
        <v>13886</v>
      </c>
      <c r="D1983" t="s">
        <v>16365</v>
      </c>
      <c r="E1983" t="s">
        <v>1010</v>
      </c>
      <c r="F1983">
        <v>10</v>
      </c>
      <c r="G1983">
        <v>1</v>
      </c>
      <c r="H1983">
        <v>1</v>
      </c>
      <c r="I1983">
        <v>10</v>
      </c>
      <c r="J1983" s="3">
        <v>45570</v>
      </c>
      <c r="K1983" s="6" t="s">
        <v>1023</v>
      </c>
    </row>
    <row r="1984" spans="1:11">
      <c r="A1984" t="str">
        <f t="shared" si="30"/>
        <v>Jagung Q-235 10 X 1 Kg4553441/16</v>
      </c>
      <c r="B1984" t="s">
        <v>11803</v>
      </c>
      <c r="C1984" t="s">
        <v>13887</v>
      </c>
      <c r="D1984" t="s">
        <v>16366</v>
      </c>
      <c r="E1984" t="s">
        <v>1010</v>
      </c>
      <c r="F1984">
        <v>10</v>
      </c>
      <c r="G1984">
        <v>1</v>
      </c>
      <c r="H1984">
        <v>1</v>
      </c>
      <c r="I1984">
        <v>10</v>
      </c>
      <c r="J1984" s="3">
        <v>45534</v>
      </c>
      <c r="K1984" s="6" t="s">
        <v>1024</v>
      </c>
    </row>
    <row r="1985" spans="1:11">
      <c r="A1985" t="str">
        <f t="shared" si="30"/>
        <v>Jagung Q-235 10 X 1 Kg4552037/10</v>
      </c>
      <c r="B1985" t="s">
        <v>11804</v>
      </c>
      <c r="C1985" t="s">
        <v>13888</v>
      </c>
      <c r="D1985" t="s">
        <v>16367</v>
      </c>
      <c r="E1985" t="s">
        <v>1010</v>
      </c>
      <c r="F1985">
        <v>10</v>
      </c>
      <c r="G1985">
        <v>1</v>
      </c>
      <c r="H1985">
        <v>1</v>
      </c>
      <c r="I1985">
        <v>10</v>
      </c>
      <c r="J1985" s="3">
        <v>45520</v>
      </c>
      <c r="K1985" s="6" t="s">
        <v>1025</v>
      </c>
    </row>
    <row r="1986" spans="1:11">
      <c r="A1986" t="str">
        <f t="shared" si="30"/>
        <v>Kangkung Bisi 20 X 1 kg45809114113</v>
      </c>
      <c r="B1986" t="s">
        <v>11805</v>
      </c>
      <c r="C1986" t="s">
        <v>13889</v>
      </c>
      <c r="D1986" t="s">
        <v>16368</v>
      </c>
      <c r="E1986" t="s">
        <v>1051</v>
      </c>
      <c r="F1986">
        <v>20</v>
      </c>
      <c r="G1986">
        <v>1</v>
      </c>
      <c r="H1986">
        <v>1</v>
      </c>
      <c r="I1986">
        <v>20</v>
      </c>
      <c r="J1986" s="3">
        <v>45809</v>
      </c>
      <c r="K1986" s="6">
        <v>114113</v>
      </c>
    </row>
    <row r="1987" spans="1:11">
      <c r="A1987" t="str">
        <f t="shared" ref="A1987:A2050" si="31">E1987&amp;J1987&amp;K1987</f>
        <v>Kangkung Bisi 20 X 1 kg459319280</v>
      </c>
      <c r="B1987" t="s">
        <v>11806</v>
      </c>
      <c r="C1987" t="s">
        <v>13890</v>
      </c>
      <c r="D1987" t="s">
        <v>16369</v>
      </c>
      <c r="E1987" t="s">
        <v>1051</v>
      </c>
      <c r="F1987">
        <v>20</v>
      </c>
      <c r="G1987">
        <v>1</v>
      </c>
      <c r="H1987">
        <v>1</v>
      </c>
      <c r="I1987">
        <v>20</v>
      </c>
      <c r="J1987" s="3">
        <v>45931</v>
      </c>
      <c r="K1987" s="6">
        <v>9280</v>
      </c>
    </row>
    <row r="1988" spans="1:11">
      <c r="A1988" t="str">
        <f t="shared" si="31"/>
        <v>Kangkung Dampit 20 X 1 kg45674112072306</v>
      </c>
      <c r="B1988" t="s">
        <v>11807</v>
      </c>
      <c r="C1988" t="s">
        <v>13891</v>
      </c>
      <c r="D1988" t="s">
        <v>16370</v>
      </c>
      <c r="E1988" t="s">
        <v>1052</v>
      </c>
      <c r="F1988">
        <v>20</v>
      </c>
      <c r="G1988">
        <v>1</v>
      </c>
      <c r="H1988">
        <v>1</v>
      </c>
      <c r="I1988">
        <v>20</v>
      </c>
      <c r="J1988" s="3">
        <v>45674</v>
      </c>
      <c r="K1988" s="6">
        <v>112072306</v>
      </c>
    </row>
    <row r="1989" spans="1:11">
      <c r="A1989" t="str">
        <f t="shared" si="31"/>
        <v>Kangkung Dampit 20 X 1 kg45779112112209</v>
      </c>
      <c r="B1989" t="s">
        <v>11808</v>
      </c>
      <c r="C1989" t="s">
        <v>13892</v>
      </c>
      <c r="D1989" t="s">
        <v>16371</v>
      </c>
      <c r="E1989" t="s">
        <v>1052</v>
      </c>
      <c r="F1989">
        <v>20</v>
      </c>
      <c r="G1989">
        <v>1</v>
      </c>
      <c r="H1989">
        <v>1</v>
      </c>
      <c r="I1989">
        <v>20</v>
      </c>
      <c r="J1989" s="3">
        <v>45779</v>
      </c>
      <c r="K1989" s="6">
        <v>112112209</v>
      </c>
    </row>
    <row r="1990" spans="1:11">
      <c r="A1990" t="str">
        <f t="shared" si="31"/>
        <v>Kangkung Dampit 40 X 500 gr45605112112209</v>
      </c>
      <c r="B1990" t="s">
        <v>11809</v>
      </c>
      <c r="C1990" t="s">
        <v>13893</v>
      </c>
      <c r="D1990" t="s">
        <v>16372</v>
      </c>
      <c r="E1990" t="s">
        <v>1053</v>
      </c>
      <c r="F1990">
        <v>40</v>
      </c>
      <c r="G1990">
        <v>1</v>
      </c>
      <c r="H1990">
        <v>1</v>
      </c>
      <c r="I1990">
        <v>40</v>
      </c>
      <c r="J1990" s="3">
        <v>45605</v>
      </c>
      <c r="K1990" s="6">
        <v>112112209</v>
      </c>
    </row>
    <row r="1991" spans="1:11">
      <c r="A1991" t="str">
        <f t="shared" si="31"/>
        <v>Kubis Grand 11-20 X 12 X 15 gr4580911-418046</v>
      </c>
      <c r="B1991" t="s">
        <v>11810</v>
      </c>
      <c r="C1991" t="s">
        <v>13894</v>
      </c>
      <c r="D1991" t="s">
        <v>16373</v>
      </c>
      <c r="E1991" t="s">
        <v>1210</v>
      </c>
      <c r="F1991">
        <v>20</v>
      </c>
      <c r="G1991">
        <v>12</v>
      </c>
      <c r="H1991">
        <v>1</v>
      </c>
      <c r="I1991">
        <v>240</v>
      </c>
      <c r="J1991" s="3">
        <v>45809</v>
      </c>
      <c r="K1991" s="6" t="s">
        <v>1211</v>
      </c>
    </row>
    <row r="1992" spans="1:11">
      <c r="A1992" t="str">
        <f t="shared" si="31"/>
        <v>Kubis Green Coronet 100 X 10 X 20 gr461133190007586-88RD</v>
      </c>
      <c r="B1992" t="s">
        <v>11811</v>
      </c>
      <c r="C1992" t="s">
        <v>13895</v>
      </c>
      <c r="D1992" t="s">
        <v>16374</v>
      </c>
      <c r="E1992" t="s">
        <v>1212</v>
      </c>
      <c r="F1992">
        <v>100</v>
      </c>
      <c r="G1992">
        <v>10</v>
      </c>
      <c r="H1992">
        <v>1</v>
      </c>
      <c r="I1992">
        <v>1000</v>
      </c>
      <c r="J1992" s="3">
        <v>46113</v>
      </c>
      <c r="K1992" s="6" t="s">
        <v>1213</v>
      </c>
    </row>
    <row r="1993" spans="1:11">
      <c r="A1993" t="str">
        <f t="shared" si="31"/>
        <v>Kubis Green Crown 10 X 20 ml46085330275</v>
      </c>
      <c r="B1993" t="s">
        <v>11812</v>
      </c>
      <c r="C1993" t="s">
        <v>13896</v>
      </c>
      <c r="D1993" t="s">
        <v>16375</v>
      </c>
      <c r="E1993" t="s">
        <v>1214</v>
      </c>
      <c r="F1993">
        <v>10</v>
      </c>
      <c r="G1993">
        <v>1</v>
      </c>
      <c r="H1993">
        <v>1</v>
      </c>
      <c r="I1993">
        <v>10</v>
      </c>
      <c r="J1993" s="3">
        <v>46085</v>
      </c>
      <c r="K1993" s="6">
        <v>330275</v>
      </c>
    </row>
    <row r="1994" spans="1:11">
      <c r="A1994" t="str">
        <f t="shared" si="31"/>
        <v>Kubis Green Crown 10 X 20 ml46085303705A5</v>
      </c>
      <c r="B1994" t="s">
        <v>11813</v>
      </c>
      <c r="C1994" t="s">
        <v>13897</v>
      </c>
      <c r="D1994" t="s">
        <v>16376</v>
      </c>
      <c r="E1994" t="s">
        <v>1214</v>
      </c>
      <c r="F1994">
        <v>10</v>
      </c>
      <c r="G1994">
        <v>1</v>
      </c>
      <c r="H1994">
        <v>1</v>
      </c>
      <c r="I1994">
        <v>10</v>
      </c>
      <c r="J1994" s="3">
        <v>46085</v>
      </c>
      <c r="K1994" s="6" t="s">
        <v>1215</v>
      </c>
    </row>
    <row r="1995" spans="1:11">
      <c r="A1995" t="str">
        <f t="shared" si="31"/>
        <v>Kubis Hibrida F1 Kaelo 30 X 15 gr45931103719148</v>
      </c>
      <c r="B1995" t="s">
        <v>11814</v>
      </c>
      <c r="C1995" t="s">
        <v>13898</v>
      </c>
      <c r="D1995" t="s">
        <v>16377</v>
      </c>
      <c r="E1995" t="s">
        <v>1216</v>
      </c>
      <c r="F1995">
        <v>30</v>
      </c>
      <c r="G1995">
        <v>1</v>
      </c>
      <c r="H1995">
        <v>1</v>
      </c>
      <c r="I1995">
        <v>30</v>
      </c>
      <c r="J1995" s="3">
        <v>45931</v>
      </c>
      <c r="K1995" s="6">
        <v>103719148</v>
      </c>
    </row>
    <row r="1996" spans="1:11">
      <c r="A1996" t="str">
        <f t="shared" si="31"/>
        <v>Melon Action 434 20 X 10 X 12.5 gr45870911468</v>
      </c>
      <c r="B1996" t="s">
        <v>11815</v>
      </c>
      <c r="C1996" t="s">
        <v>13899</v>
      </c>
      <c r="D1996" t="s">
        <v>16378</v>
      </c>
      <c r="E1996" t="s">
        <v>1311</v>
      </c>
      <c r="F1996">
        <v>20</v>
      </c>
      <c r="G1996">
        <v>10</v>
      </c>
      <c r="H1996">
        <v>1</v>
      </c>
      <c r="I1996">
        <v>200</v>
      </c>
      <c r="J1996" s="3">
        <v>45870</v>
      </c>
      <c r="K1996" s="6">
        <v>911468</v>
      </c>
    </row>
    <row r="1997" spans="1:11">
      <c r="A1997" t="str">
        <f t="shared" si="31"/>
        <v>Melon Pertiwi Anvi 10 X 15 X 13 gr45679322.0643</v>
      </c>
      <c r="B1997" t="s">
        <v>11816</v>
      </c>
      <c r="C1997" t="s">
        <v>13900</v>
      </c>
      <c r="D1997" t="s">
        <v>16379</v>
      </c>
      <c r="E1997" t="s">
        <v>1312</v>
      </c>
      <c r="F1997">
        <v>10</v>
      </c>
      <c r="G1997">
        <v>15</v>
      </c>
      <c r="H1997">
        <v>1</v>
      </c>
      <c r="I1997">
        <v>150</v>
      </c>
      <c r="J1997" s="3">
        <v>45679</v>
      </c>
      <c r="K1997" s="6">
        <v>322.0643</v>
      </c>
    </row>
    <row r="1998" spans="1:11">
      <c r="A1998" t="str">
        <f t="shared" si="31"/>
        <v>Oyong Hanoman 12 X 15 X 10 gr457232521711118</v>
      </c>
      <c r="B1998" t="s">
        <v>11817</v>
      </c>
      <c r="C1998" t="s">
        <v>13901</v>
      </c>
      <c r="D1998" t="s">
        <v>16380</v>
      </c>
      <c r="E1998" t="s">
        <v>1502</v>
      </c>
      <c r="F1998">
        <v>12</v>
      </c>
      <c r="G1998">
        <v>15</v>
      </c>
      <c r="H1998">
        <v>1</v>
      </c>
      <c r="I1998">
        <v>180</v>
      </c>
      <c r="J1998" s="3">
        <v>45723</v>
      </c>
      <c r="K1998" s="6">
        <v>2521711118</v>
      </c>
    </row>
    <row r="1999" spans="1:11">
      <c r="A1999" t="str">
        <f t="shared" si="31"/>
        <v>Oyong Hanoman 12 X 15 X 10 gr45867252122303</v>
      </c>
      <c r="B1999" t="s">
        <v>11818</v>
      </c>
      <c r="C1999" t="s">
        <v>13902</v>
      </c>
      <c r="D1999" t="s">
        <v>16381</v>
      </c>
      <c r="E1999" t="s">
        <v>1502</v>
      </c>
      <c r="F1999">
        <v>12</v>
      </c>
      <c r="G1999">
        <v>15</v>
      </c>
      <c r="H1999">
        <v>1</v>
      </c>
      <c r="I1999">
        <v>180</v>
      </c>
      <c r="J1999" s="3">
        <v>45867</v>
      </c>
      <c r="K1999" s="6">
        <v>252122303</v>
      </c>
    </row>
    <row r="2000" spans="1:11">
      <c r="A2000" t="str">
        <f t="shared" si="31"/>
        <v>Oyong Hanoman 12 X 15 X 10 gr4597638120711</v>
      </c>
      <c r="B2000" t="s">
        <v>11819</v>
      </c>
      <c r="C2000" t="s">
        <v>13903</v>
      </c>
      <c r="D2000" t="s">
        <v>16382</v>
      </c>
      <c r="E2000" t="s">
        <v>1502</v>
      </c>
      <c r="F2000">
        <v>12</v>
      </c>
      <c r="G2000">
        <v>15</v>
      </c>
      <c r="H2000">
        <v>1</v>
      </c>
      <c r="I2000">
        <v>180</v>
      </c>
      <c r="J2000" s="3">
        <v>45976</v>
      </c>
      <c r="K2000" s="6">
        <v>38120711</v>
      </c>
    </row>
    <row r="2001" spans="1:11">
      <c r="A2001" t="str">
        <f t="shared" si="31"/>
        <v>Padi Pahisa 01 200 gr1/1/10000</v>
      </c>
      <c r="B2001" t="s">
        <v>11820</v>
      </c>
      <c r="C2001" t="s">
        <v>13904</v>
      </c>
      <c r="D2001" t="s">
        <v>16383</v>
      </c>
      <c r="E2001" t="s">
        <v>1504</v>
      </c>
      <c r="F2001">
        <v>1</v>
      </c>
      <c r="G2001">
        <v>1</v>
      </c>
      <c r="H2001">
        <v>1</v>
      </c>
      <c r="I2001">
        <v>1</v>
      </c>
      <c r="J2001" s="3" t="s">
        <v>2222</v>
      </c>
      <c r="K2001" s="6">
        <v>0</v>
      </c>
    </row>
    <row r="2002" spans="1:11">
      <c r="A2002" t="str">
        <f t="shared" si="31"/>
        <v>Padi Q-989 Ciherang 4 X 5 kg45512115</v>
      </c>
      <c r="B2002" t="s">
        <v>11821</v>
      </c>
      <c r="C2002" t="s">
        <v>13905</v>
      </c>
      <c r="D2002" t="s">
        <v>16384</v>
      </c>
      <c r="E2002" t="s">
        <v>1506</v>
      </c>
      <c r="F2002">
        <v>4</v>
      </c>
      <c r="G2002">
        <v>1</v>
      </c>
      <c r="H2002">
        <v>1</v>
      </c>
      <c r="I2002">
        <v>4</v>
      </c>
      <c r="J2002" s="3">
        <v>45512</v>
      </c>
      <c r="K2002" s="6">
        <v>115</v>
      </c>
    </row>
    <row r="2003" spans="1:11">
      <c r="A2003" t="str">
        <f t="shared" si="31"/>
        <v>Pare Hokian 12 X 15 X 10 gr45627164092339</v>
      </c>
      <c r="B2003" t="s">
        <v>11822</v>
      </c>
      <c r="C2003" t="s">
        <v>13906</v>
      </c>
      <c r="D2003" t="s">
        <v>16385</v>
      </c>
      <c r="E2003" t="s">
        <v>1541</v>
      </c>
      <c r="F2003">
        <v>12</v>
      </c>
      <c r="G2003">
        <v>15</v>
      </c>
      <c r="H2003">
        <v>1</v>
      </c>
      <c r="I2003">
        <v>180</v>
      </c>
      <c r="J2003" s="3">
        <v>45627</v>
      </c>
      <c r="K2003" s="6">
        <v>164092339</v>
      </c>
    </row>
    <row r="2004" spans="1:11">
      <c r="A2004" t="str">
        <f t="shared" si="31"/>
        <v>Pare Hokian 12 X 15 X 10 gr45632164112344</v>
      </c>
      <c r="B2004" t="s">
        <v>11823</v>
      </c>
      <c r="C2004" t="s">
        <v>13907</v>
      </c>
      <c r="D2004" t="s">
        <v>16386</v>
      </c>
      <c r="E2004" t="s">
        <v>1541</v>
      </c>
      <c r="F2004">
        <v>12</v>
      </c>
      <c r="G2004">
        <v>15</v>
      </c>
      <c r="H2004">
        <v>1</v>
      </c>
      <c r="I2004">
        <v>180</v>
      </c>
      <c r="J2004" s="3">
        <v>45632</v>
      </c>
      <c r="K2004" s="6">
        <v>164112344</v>
      </c>
    </row>
    <row r="2005" spans="1:11">
      <c r="A2005" t="str">
        <f t="shared" si="31"/>
        <v>Pare Hokian 12 X 15 X 10 gr456491642310198</v>
      </c>
      <c r="B2005" t="s">
        <v>11824</v>
      </c>
      <c r="C2005" t="s">
        <v>13908</v>
      </c>
      <c r="D2005" t="s">
        <v>16387</v>
      </c>
      <c r="E2005" t="s">
        <v>1541</v>
      </c>
      <c r="F2005">
        <v>12</v>
      </c>
      <c r="G2005">
        <v>15</v>
      </c>
      <c r="H2005">
        <v>1</v>
      </c>
      <c r="I2005">
        <v>180</v>
      </c>
      <c r="J2005" s="3">
        <v>45649</v>
      </c>
      <c r="K2005" s="6">
        <v>1642310198</v>
      </c>
    </row>
    <row r="2006" spans="1:11">
      <c r="A2006" t="str">
        <f t="shared" si="31"/>
        <v>Pare Hokian 12 X 15 X 10 gr456271642307128</v>
      </c>
      <c r="B2006" t="s">
        <v>11825</v>
      </c>
      <c r="C2006" t="s">
        <v>13909</v>
      </c>
      <c r="D2006" t="s">
        <v>16388</v>
      </c>
      <c r="E2006" t="s">
        <v>1541</v>
      </c>
      <c r="F2006">
        <v>12</v>
      </c>
      <c r="G2006">
        <v>15</v>
      </c>
      <c r="H2006">
        <v>1</v>
      </c>
      <c r="I2006">
        <v>180</v>
      </c>
      <c r="J2006" s="3">
        <v>45627</v>
      </c>
      <c r="K2006" s="6">
        <v>1642307128</v>
      </c>
    </row>
    <row r="2007" spans="1:11">
      <c r="A2007" t="str">
        <f t="shared" si="31"/>
        <v>Pare Hokian 12 X 15 X 10 gr45631164112343</v>
      </c>
      <c r="B2007" t="s">
        <v>11826</v>
      </c>
      <c r="C2007" t="s">
        <v>13910</v>
      </c>
      <c r="D2007" t="s">
        <v>16389</v>
      </c>
      <c r="E2007" t="s">
        <v>1541</v>
      </c>
      <c r="F2007">
        <v>12</v>
      </c>
      <c r="G2007">
        <v>15</v>
      </c>
      <c r="H2007">
        <v>1</v>
      </c>
      <c r="I2007">
        <v>180</v>
      </c>
      <c r="J2007" s="3">
        <v>45631</v>
      </c>
      <c r="K2007" s="6">
        <v>164112343</v>
      </c>
    </row>
    <row r="2008" spans="1:11">
      <c r="A2008" t="str">
        <f t="shared" si="31"/>
        <v>Pare Hokian 12 X 15 X 10 gr45607164230565</v>
      </c>
      <c r="B2008" t="s">
        <v>11827</v>
      </c>
      <c r="C2008" t="s">
        <v>13911</v>
      </c>
      <c r="D2008" t="s">
        <v>16390</v>
      </c>
      <c r="E2008" t="s">
        <v>1541</v>
      </c>
      <c r="F2008">
        <v>12</v>
      </c>
      <c r="G2008">
        <v>15</v>
      </c>
      <c r="H2008">
        <v>1</v>
      </c>
      <c r="I2008">
        <v>180</v>
      </c>
      <c r="J2008" s="3">
        <v>45607</v>
      </c>
      <c r="K2008" s="6">
        <v>164230565</v>
      </c>
    </row>
    <row r="2009" spans="1:11">
      <c r="A2009" t="str">
        <f t="shared" si="31"/>
        <v>Pare Hokian 12 X 15 X 10 gr456161642309159</v>
      </c>
      <c r="B2009" t="s">
        <v>11828</v>
      </c>
      <c r="C2009" t="s">
        <v>13912</v>
      </c>
      <c r="D2009" t="s">
        <v>16391</v>
      </c>
      <c r="E2009" t="s">
        <v>1541</v>
      </c>
      <c r="F2009">
        <v>12</v>
      </c>
      <c r="G2009">
        <v>15</v>
      </c>
      <c r="H2009">
        <v>1</v>
      </c>
      <c r="I2009">
        <v>180</v>
      </c>
      <c r="J2009" s="3">
        <v>45616</v>
      </c>
      <c r="K2009" s="6">
        <v>1642309159</v>
      </c>
    </row>
    <row r="2010" spans="1:11">
      <c r="A2010" t="str">
        <f t="shared" si="31"/>
        <v>Pare Hokian 12 X 15 X 10 gr456271642307129</v>
      </c>
      <c r="B2010" t="s">
        <v>11829</v>
      </c>
      <c r="C2010" t="s">
        <v>13913</v>
      </c>
      <c r="D2010" t="s">
        <v>16392</v>
      </c>
      <c r="E2010" t="s">
        <v>1541</v>
      </c>
      <c r="F2010">
        <v>12</v>
      </c>
      <c r="G2010">
        <v>15</v>
      </c>
      <c r="H2010">
        <v>1</v>
      </c>
      <c r="I2010">
        <v>180</v>
      </c>
      <c r="J2010" s="3">
        <v>45627</v>
      </c>
      <c r="K2010" s="6">
        <v>1642307129</v>
      </c>
    </row>
    <row r="2011" spans="1:11">
      <c r="A2011" t="str">
        <f t="shared" si="31"/>
        <v>Pare Hokian 12 X 15 X 10 gr45797164012401</v>
      </c>
      <c r="B2011" t="s">
        <v>11830</v>
      </c>
      <c r="C2011" t="s">
        <v>13914</v>
      </c>
      <c r="D2011" t="s">
        <v>16393</v>
      </c>
      <c r="E2011" t="s">
        <v>1541</v>
      </c>
      <c r="F2011">
        <v>12</v>
      </c>
      <c r="G2011">
        <v>15</v>
      </c>
      <c r="H2011">
        <v>1</v>
      </c>
      <c r="I2011">
        <v>180</v>
      </c>
      <c r="J2011" s="3">
        <v>45797</v>
      </c>
      <c r="K2011" s="6">
        <v>164012401</v>
      </c>
    </row>
    <row r="2012" spans="1:11">
      <c r="A2012" t="str">
        <f t="shared" si="31"/>
        <v>Pare Hokian 12 X 15 X 10 gr45791164240312</v>
      </c>
      <c r="B2012" t="s">
        <v>11831</v>
      </c>
      <c r="C2012" t="s">
        <v>13915</v>
      </c>
      <c r="D2012" t="s">
        <v>16394</v>
      </c>
      <c r="E2012" t="s">
        <v>1541</v>
      </c>
      <c r="F2012">
        <v>12</v>
      </c>
      <c r="G2012">
        <v>15</v>
      </c>
      <c r="H2012">
        <v>1</v>
      </c>
      <c r="I2012">
        <v>180</v>
      </c>
      <c r="J2012" s="3">
        <v>45791</v>
      </c>
      <c r="K2012" s="6">
        <v>164240312</v>
      </c>
    </row>
    <row r="2013" spans="1:11">
      <c r="A2013" t="str">
        <f t="shared" si="31"/>
        <v>Pare Hokian 12 X 15 X 10 gr456271642307132</v>
      </c>
      <c r="B2013" t="s">
        <v>11832</v>
      </c>
      <c r="C2013" t="s">
        <v>13916</v>
      </c>
      <c r="D2013" t="s">
        <v>16395</v>
      </c>
      <c r="E2013" t="s">
        <v>1541</v>
      </c>
      <c r="F2013">
        <v>12</v>
      </c>
      <c r="G2013">
        <v>15</v>
      </c>
      <c r="H2013">
        <v>1</v>
      </c>
      <c r="I2013">
        <v>180</v>
      </c>
      <c r="J2013" s="3">
        <v>45627</v>
      </c>
      <c r="K2013" s="6">
        <v>1642307132</v>
      </c>
    </row>
    <row r="2014" spans="1:11">
      <c r="A2014" t="str">
        <f t="shared" si="31"/>
        <v>Pare Hokian 12 X 15 X 10 gr45631164112342</v>
      </c>
      <c r="B2014" t="s">
        <v>11833</v>
      </c>
      <c r="C2014" t="s">
        <v>13917</v>
      </c>
      <c r="D2014" t="s">
        <v>16396</v>
      </c>
      <c r="E2014" t="s">
        <v>1541</v>
      </c>
      <c r="F2014">
        <v>12</v>
      </c>
      <c r="G2014">
        <v>15</v>
      </c>
      <c r="H2014">
        <v>1</v>
      </c>
      <c r="I2014">
        <v>180</v>
      </c>
      <c r="J2014" s="3">
        <v>45631</v>
      </c>
      <c r="K2014" s="6">
        <v>164112342</v>
      </c>
    </row>
    <row r="2015" spans="1:11">
      <c r="A2015" t="str">
        <f t="shared" si="31"/>
        <v>Pare Hokian 12 X 15 X 10 gr45667164122347</v>
      </c>
      <c r="B2015" t="s">
        <v>11834</v>
      </c>
      <c r="C2015" t="s">
        <v>13918</v>
      </c>
      <c r="D2015" t="s">
        <v>16397</v>
      </c>
      <c r="E2015" t="s">
        <v>1541</v>
      </c>
      <c r="F2015">
        <v>12</v>
      </c>
      <c r="G2015">
        <v>15</v>
      </c>
      <c r="H2015">
        <v>1</v>
      </c>
      <c r="I2015">
        <v>180</v>
      </c>
      <c r="J2015" s="3">
        <v>45667</v>
      </c>
      <c r="K2015" s="6">
        <v>164122347</v>
      </c>
    </row>
    <row r="2016" spans="1:11">
      <c r="A2016" t="str">
        <f t="shared" si="31"/>
        <v>Pare Hokian 12 X 15 X 10 gr45627164072320</v>
      </c>
      <c r="B2016" t="s">
        <v>11835</v>
      </c>
      <c r="C2016" t="s">
        <v>13919</v>
      </c>
      <c r="D2016" t="s">
        <v>16398</v>
      </c>
      <c r="E2016" t="s">
        <v>1541</v>
      </c>
      <c r="F2016">
        <v>12</v>
      </c>
      <c r="G2016">
        <v>15</v>
      </c>
      <c r="H2016">
        <v>1</v>
      </c>
      <c r="I2016">
        <v>180</v>
      </c>
      <c r="J2016" s="3">
        <v>45627</v>
      </c>
      <c r="K2016" s="6">
        <v>164072320</v>
      </c>
    </row>
    <row r="2017" spans="1:11">
      <c r="A2017" t="str">
        <f t="shared" si="31"/>
        <v>Pare Hokian 12 X 15 X 10 gr456451642310188</v>
      </c>
      <c r="B2017" t="s">
        <v>11836</v>
      </c>
      <c r="C2017" t="s">
        <v>13920</v>
      </c>
      <c r="D2017" t="s">
        <v>16399</v>
      </c>
      <c r="E2017" t="s">
        <v>1541</v>
      </c>
      <c r="F2017">
        <v>12</v>
      </c>
      <c r="G2017">
        <v>15</v>
      </c>
      <c r="H2017">
        <v>1</v>
      </c>
      <c r="I2017">
        <v>180</v>
      </c>
      <c r="J2017" s="3">
        <v>45645</v>
      </c>
      <c r="K2017" s="6">
        <v>1642310188</v>
      </c>
    </row>
    <row r="2018" spans="1:11">
      <c r="A2018" t="str">
        <f t="shared" si="31"/>
        <v>Pare Hokian 12 X 15 X 10 gr456271642307122</v>
      </c>
      <c r="B2018" t="s">
        <v>11837</v>
      </c>
      <c r="C2018" t="s">
        <v>13921</v>
      </c>
      <c r="D2018" t="s">
        <v>16400</v>
      </c>
      <c r="E2018" t="s">
        <v>1541</v>
      </c>
      <c r="F2018">
        <v>12</v>
      </c>
      <c r="G2018">
        <v>15</v>
      </c>
      <c r="H2018">
        <v>1</v>
      </c>
      <c r="I2018">
        <v>180</v>
      </c>
      <c r="J2018" s="3">
        <v>45627</v>
      </c>
      <c r="K2018" s="6">
        <v>1642307122</v>
      </c>
    </row>
    <row r="2019" spans="1:11">
      <c r="A2019" t="str">
        <f t="shared" si="31"/>
        <v>Pare Hokian 12 X 15 X 10 gr457971642309160</v>
      </c>
      <c r="B2019" t="s">
        <v>11838</v>
      </c>
      <c r="C2019" t="s">
        <v>13922</v>
      </c>
      <c r="D2019" t="s">
        <v>16401</v>
      </c>
      <c r="E2019" t="s">
        <v>1541</v>
      </c>
      <c r="F2019">
        <v>12</v>
      </c>
      <c r="G2019">
        <v>15</v>
      </c>
      <c r="H2019">
        <v>1</v>
      </c>
      <c r="I2019">
        <v>180</v>
      </c>
      <c r="J2019" s="3">
        <v>45797</v>
      </c>
      <c r="K2019" s="6">
        <v>1642309160</v>
      </c>
    </row>
    <row r="2020" spans="1:11">
      <c r="A2020" t="str">
        <f t="shared" si="31"/>
        <v>Sawi Dora 12 X 15 X 25 gr45737270210811</v>
      </c>
      <c r="B2020" t="s">
        <v>11839</v>
      </c>
      <c r="C2020" t="s">
        <v>13923</v>
      </c>
      <c r="D2020" t="s">
        <v>16402</v>
      </c>
      <c r="E2020" t="s">
        <v>1838</v>
      </c>
      <c r="F2020">
        <v>12</v>
      </c>
      <c r="G2020">
        <v>15</v>
      </c>
      <c r="H2020">
        <v>1</v>
      </c>
      <c r="I2020">
        <v>180</v>
      </c>
      <c r="J2020" s="3">
        <v>45737</v>
      </c>
      <c r="K2020" s="6">
        <v>270210811</v>
      </c>
    </row>
    <row r="2021" spans="1:11">
      <c r="A2021" t="str">
        <f t="shared" si="31"/>
        <v>Sawi Dora 12 X 15 X 25 gr45737270122103</v>
      </c>
      <c r="B2021" t="s">
        <v>11840</v>
      </c>
      <c r="C2021" t="s">
        <v>13924</v>
      </c>
      <c r="D2021" t="s">
        <v>16403</v>
      </c>
      <c r="E2021" t="s">
        <v>1838</v>
      </c>
      <c r="F2021">
        <v>12</v>
      </c>
      <c r="G2021">
        <v>15</v>
      </c>
      <c r="H2021">
        <v>1</v>
      </c>
      <c r="I2021">
        <v>180</v>
      </c>
      <c r="J2021" s="3">
        <v>45737</v>
      </c>
      <c r="K2021" s="6">
        <v>270122103</v>
      </c>
    </row>
    <row r="2022" spans="1:11">
      <c r="A2022" t="str">
        <f t="shared" si="31"/>
        <v>Sawi Dora 12 X 15 X 25 gr45791270180725</v>
      </c>
      <c r="B2022" t="s">
        <v>11841</v>
      </c>
      <c r="C2022" t="s">
        <v>13925</v>
      </c>
      <c r="D2022" t="s">
        <v>16404</v>
      </c>
      <c r="E2022" t="s">
        <v>1838</v>
      </c>
      <c r="F2022">
        <v>12</v>
      </c>
      <c r="G2022">
        <v>15</v>
      </c>
      <c r="H2022">
        <v>1</v>
      </c>
      <c r="I2022">
        <v>180</v>
      </c>
      <c r="J2022" s="3">
        <v>45791</v>
      </c>
      <c r="K2022" s="6">
        <v>270180725</v>
      </c>
    </row>
    <row r="2023" spans="1:11">
      <c r="A2023" t="str">
        <f t="shared" si="31"/>
        <v>Sawi Majapahit 12 X 15 X 25 gr4564961230917</v>
      </c>
      <c r="B2023" t="s">
        <v>11842</v>
      </c>
      <c r="C2023" t="s">
        <v>13926</v>
      </c>
      <c r="D2023" t="s">
        <v>16405</v>
      </c>
      <c r="E2023" t="s">
        <v>1839</v>
      </c>
      <c r="F2023">
        <v>12</v>
      </c>
      <c r="G2023">
        <v>15</v>
      </c>
      <c r="H2023">
        <v>1</v>
      </c>
      <c r="I2023">
        <v>180</v>
      </c>
      <c r="J2023" s="3">
        <v>45649</v>
      </c>
      <c r="K2023" s="6">
        <v>61230917</v>
      </c>
    </row>
    <row r="2024" spans="1:11">
      <c r="A2024" t="str">
        <f t="shared" si="31"/>
        <v>Sawi Majapahit 12 X 15 X 25 gr4577661230915</v>
      </c>
      <c r="B2024" t="s">
        <v>11843</v>
      </c>
      <c r="C2024" t="s">
        <v>13927</v>
      </c>
      <c r="D2024" t="s">
        <v>16406</v>
      </c>
      <c r="E2024" t="s">
        <v>1839</v>
      </c>
      <c r="F2024">
        <v>12</v>
      </c>
      <c r="G2024">
        <v>15</v>
      </c>
      <c r="H2024">
        <v>1</v>
      </c>
      <c r="I2024">
        <v>180</v>
      </c>
      <c r="J2024" s="3">
        <v>45776</v>
      </c>
      <c r="K2024" s="6">
        <v>61230915</v>
      </c>
    </row>
    <row r="2025" spans="1:11">
      <c r="A2025" t="str">
        <f t="shared" si="31"/>
        <v>Sawi Majapahit 12 X 15 X 25 gr4562761230912</v>
      </c>
      <c r="B2025" t="s">
        <v>11844</v>
      </c>
      <c r="C2025" t="s">
        <v>13928</v>
      </c>
      <c r="D2025" t="s">
        <v>16407</v>
      </c>
      <c r="E2025" t="s">
        <v>1839</v>
      </c>
      <c r="F2025">
        <v>12</v>
      </c>
      <c r="G2025">
        <v>15</v>
      </c>
      <c r="H2025">
        <v>1</v>
      </c>
      <c r="I2025">
        <v>180</v>
      </c>
      <c r="J2025" s="3">
        <v>45627</v>
      </c>
      <c r="K2025" s="6">
        <v>61230912</v>
      </c>
    </row>
    <row r="2026" spans="1:11">
      <c r="A2026" t="str">
        <f t="shared" si="31"/>
        <v>Sawi Majapahit 12 X 15 X 25 gr4564961230911</v>
      </c>
      <c r="B2026" t="s">
        <v>11845</v>
      </c>
      <c r="C2026" t="s">
        <v>13929</v>
      </c>
      <c r="D2026" t="s">
        <v>16408</v>
      </c>
      <c r="E2026" t="s">
        <v>1839</v>
      </c>
      <c r="F2026">
        <v>12</v>
      </c>
      <c r="G2026">
        <v>15</v>
      </c>
      <c r="H2026">
        <v>1</v>
      </c>
      <c r="I2026">
        <v>180</v>
      </c>
      <c r="J2026" s="3">
        <v>45649</v>
      </c>
      <c r="K2026" s="6">
        <v>61230911</v>
      </c>
    </row>
    <row r="2027" spans="1:11">
      <c r="A2027" t="str">
        <f t="shared" si="31"/>
        <v>Sawi Majapahit 12 X 15 X 25 gr4579761082312</v>
      </c>
      <c r="B2027" t="s">
        <v>11846</v>
      </c>
      <c r="C2027" t="s">
        <v>13930</v>
      </c>
      <c r="D2027" t="s">
        <v>16409</v>
      </c>
      <c r="E2027" t="s">
        <v>1839</v>
      </c>
      <c r="F2027">
        <v>12</v>
      </c>
      <c r="G2027">
        <v>15</v>
      </c>
      <c r="H2027">
        <v>1</v>
      </c>
      <c r="I2027">
        <v>180</v>
      </c>
      <c r="J2027" s="3">
        <v>45797</v>
      </c>
      <c r="K2027" s="6">
        <v>61082312</v>
      </c>
    </row>
    <row r="2028" spans="1:11">
      <c r="A2028" t="str">
        <f t="shared" si="31"/>
        <v>Selada Kriebo 12 X 15 X 10 gr4553473230805</v>
      </c>
      <c r="B2028" t="s">
        <v>11847</v>
      </c>
      <c r="C2028" t="s">
        <v>13931</v>
      </c>
      <c r="D2028" t="s">
        <v>16410</v>
      </c>
      <c r="E2028" t="s">
        <v>1866</v>
      </c>
      <c r="F2028">
        <v>12</v>
      </c>
      <c r="G2028">
        <v>15</v>
      </c>
      <c r="H2028">
        <v>1</v>
      </c>
      <c r="I2028">
        <v>180</v>
      </c>
      <c r="J2028" s="3">
        <v>45534</v>
      </c>
      <c r="K2028" s="6">
        <v>73230805</v>
      </c>
    </row>
    <row r="2029" spans="1:11">
      <c r="A2029" t="str">
        <f t="shared" si="31"/>
        <v>Smk. Big Maduri F1 12 X 10 X 20 gr460023392309302</v>
      </c>
      <c r="B2029" t="s">
        <v>11848</v>
      </c>
      <c r="C2029" t="s">
        <v>13932</v>
      </c>
      <c r="D2029" t="s">
        <v>16411</v>
      </c>
      <c r="E2029" t="s">
        <v>1909</v>
      </c>
      <c r="F2029">
        <v>12</v>
      </c>
      <c r="G2029">
        <v>10</v>
      </c>
      <c r="H2029">
        <v>1</v>
      </c>
      <c r="I2029">
        <v>120</v>
      </c>
      <c r="J2029" s="3">
        <v>46002</v>
      </c>
      <c r="K2029" s="6">
        <v>3392309302</v>
      </c>
    </row>
    <row r="2030" spans="1:11">
      <c r="A2030" t="str">
        <f t="shared" si="31"/>
        <v>Smk. Esteem 20 X 6 X 20 gr45536113832</v>
      </c>
      <c r="B2030" t="s">
        <v>11849</v>
      </c>
      <c r="C2030" t="s">
        <v>13933</v>
      </c>
      <c r="D2030" t="s">
        <v>16412</v>
      </c>
      <c r="E2030" t="s">
        <v>1910</v>
      </c>
      <c r="F2030">
        <v>20</v>
      </c>
      <c r="G2030">
        <v>6</v>
      </c>
      <c r="H2030">
        <v>1</v>
      </c>
      <c r="I2030">
        <v>120</v>
      </c>
      <c r="J2030" s="3">
        <v>45536</v>
      </c>
      <c r="K2030" s="6">
        <v>113832</v>
      </c>
    </row>
    <row r="2031" spans="1:11">
      <c r="A2031" t="str">
        <f t="shared" si="31"/>
        <v>Smk. Maduri 12 X 10 X 20 gr45695216112232</v>
      </c>
      <c r="B2031" t="s">
        <v>11850</v>
      </c>
      <c r="C2031" t="s">
        <v>13934</v>
      </c>
      <c r="D2031" t="s">
        <v>16413</v>
      </c>
      <c r="E2031" t="s">
        <v>1911</v>
      </c>
      <c r="F2031">
        <v>12</v>
      </c>
      <c r="G2031">
        <v>10</v>
      </c>
      <c r="H2031">
        <v>1</v>
      </c>
      <c r="I2031">
        <v>120</v>
      </c>
      <c r="J2031" s="3">
        <v>45695</v>
      </c>
      <c r="K2031" s="6">
        <v>216112232</v>
      </c>
    </row>
    <row r="2032" spans="1:11">
      <c r="A2032" t="str">
        <f t="shared" si="31"/>
        <v>Smk. Seedless F1 Big Classic 20 X 6 X 20 gr45566114083</v>
      </c>
      <c r="B2032" t="s">
        <v>11851</v>
      </c>
      <c r="C2032" t="s">
        <v>13935</v>
      </c>
      <c r="D2032" t="s">
        <v>16414</v>
      </c>
      <c r="E2032" t="s">
        <v>1912</v>
      </c>
      <c r="F2032">
        <v>20</v>
      </c>
      <c r="G2032">
        <v>6</v>
      </c>
      <c r="H2032">
        <v>1</v>
      </c>
      <c r="I2032">
        <v>120</v>
      </c>
      <c r="J2032" s="3">
        <v>45566</v>
      </c>
      <c r="K2032" s="6">
        <v>114083</v>
      </c>
    </row>
    <row r="2033" spans="1:11">
      <c r="A2033" t="str">
        <f t="shared" si="31"/>
        <v>Smk. Seedless F1 Classic 20 X 6 X 20 gr45962315821</v>
      </c>
      <c r="B2033" t="s">
        <v>11852</v>
      </c>
      <c r="C2033" t="s">
        <v>13936</v>
      </c>
      <c r="D2033" t="s">
        <v>16415</v>
      </c>
      <c r="E2033" t="s">
        <v>1913</v>
      </c>
      <c r="F2033">
        <v>120</v>
      </c>
      <c r="G2033">
        <v>1</v>
      </c>
      <c r="H2033">
        <v>1</v>
      </c>
      <c r="I2033">
        <v>120</v>
      </c>
      <c r="J2033" s="3">
        <v>45962</v>
      </c>
      <c r="K2033" s="6">
        <v>315821</v>
      </c>
    </row>
    <row r="2034" spans="1:11">
      <c r="A2034" t="str">
        <f t="shared" si="31"/>
        <v>Terong Bungo 12 X 20 X 5 gr45831211210822</v>
      </c>
      <c r="B2034" t="s">
        <v>11853</v>
      </c>
      <c r="C2034" t="s">
        <v>13937</v>
      </c>
      <c r="D2034" t="s">
        <v>16416</v>
      </c>
      <c r="E2034" t="s">
        <v>2045</v>
      </c>
      <c r="F2034">
        <v>12</v>
      </c>
      <c r="G2034">
        <v>20</v>
      </c>
      <c r="H2034">
        <v>1</v>
      </c>
      <c r="I2034">
        <v>240</v>
      </c>
      <c r="J2034" s="3">
        <v>45831</v>
      </c>
      <c r="K2034" s="6">
        <v>211210822</v>
      </c>
    </row>
    <row r="2035" spans="1:11">
      <c r="A2035" t="str">
        <f t="shared" si="31"/>
        <v>Terong Hijo 12 X 15 X 10 gr45660211211324</v>
      </c>
      <c r="B2035" t="s">
        <v>11854</v>
      </c>
      <c r="C2035" t="s">
        <v>13938</v>
      </c>
      <c r="D2035" t="s">
        <v>16417</v>
      </c>
      <c r="E2035" t="s">
        <v>2046</v>
      </c>
      <c r="F2035">
        <v>12</v>
      </c>
      <c r="G2035">
        <v>15</v>
      </c>
      <c r="H2035">
        <v>1</v>
      </c>
      <c r="I2035">
        <v>180</v>
      </c>
      <c r="J2035" s="3">
        <v>45660</v>
      </c>
      <c r="K2035" s="6">
        <v>211211324</v>
      </c>
    </row>
    <row r="2036" spans="1:11">
      <c r="A2036" t="str">
        <f t="shared" si="31"/>
        <v>Terong Hijo 12 X 15 X 10 gr45607211208204</v>
      </c>
      <c r="B2036" t="s">
        <v>11855</v>
      </c>
      <c r="C2036" t="s">
        <v>13939</v>
      </c>
      <c r="D2036" t="s">
        <v>16418</v>
      </c>
      <c r="E2036" t="s">
        <v>2046</v>
      </c>
      <c r="F2036">
        <v>12</v>
      </c>
      <c r="G2036">
        <v>15</v>
      </c>
      <c r="H2036">
        <v>1</v>
      </c>
      <c r="I2036">
        <v>180</v>
      </c>
      <c r="J2036" s="3">
        <v>45607</v>
      </c>
      <c r="K2036" s="6">
        <v>211208204</v>
      </c>
    </row>
    <row r="2037" spans="1:11">
      <c r="A2037" t="str">
        <f t="shared" si="31"/>
        <v>Terong Kenari 12 X 15 X 10 gr4586520062306</v>
      </c>
      <c r="B2037" t="s">
        <v>11856</v>
      </c>
      <c r="C2037" t="s">
        <v>13940</v>
      </c>
      <c r="D2037" t="s">
        <v>16419</v>
      </c>
      <c r="E2037" t="s">
        <v>2047</v>
      </c>
      <c r="F2037">
        <v>12</v>
      </c>
      <c r="G2037">
        <v>15</v>
      </c>
      <c r="H2037">
        <v>1</v>
      </c>
      <c r="I2037">
        <v>180</v>
      </c>
      <c r="J2037" s="3">
        <v>45865</v>
      </c>
      <c r="K2037" s="6">
        <v>20062306</v>
      </c>
    </row>
    <row r="2038" spans="1:11">
      <c r="A2038" t="str">
        <f t="shared" si="31"/>
        <v>Terong Kenari 12 X 15 X 10 gr4598220220822</v>
      </c>
      <c r="B2038" t="s">
        <v>11857</v>
      </c>
      <c r="C2038" t="s">
        <v>13941</v>
      </c>
      <c r="D2038" t="s">
        <v>16420</v>
      </c>
      <c r="E2038" t="s">
        <v>2047</v>
      </c>
      <c r="F2038">
        <v>12</v>
      </c>
      <c r="G2038">
        <v>15</v>
      </c>
      <c r="H2038">
        <v>1</v>
      </c>
      <c r="I2038">
        <v>180</v>
      </c>
      <c r="J2038" s="3">
        <v>45982</v>
      </c>
      <c r="K2038" s="6">
        <v>20220822</v>
      </c>
    </row>
    <row r="2039" spans="1:11">
      <c r="A2039" t="str">
        <f t="shared" si="31"/>
        <v>Terong Welut 12 X 15 X 10 gr4565424121160</v>
      </c>
      <c r="B2039" t="s">
        <v>11858</v>
      </c>
      <c r="C2039" t="s">
        <v>13942</v>
      </c>
      <c r="D2039" t="s">
        <v>16421</v>
      </c>
      <c r="E2039" t="s">
        <v>2048</v>
      </c>
      <c r="F2039">
        <v>12</v>
      </c>
      <c r="G2039">
        <v>15</v>
      </c>
      <c r="H2039">
        <v>1</v>
      </c>
      <c r="I2039">
        <v>180</v>
      </c>
      <c r="J2039" s="3">
        <v>45654</v>
      </c>
      <c r="K2039" s="6">
        <v>24121160</v>
      </c>
    </row>
    <row r="2040" spans="1:11">
      <c r="A2040" t="str">
        <f t="shared" si="31"/>
        <v>Terong Welut 12 X 15 X 10 gr4561224031306</v>
      </c>
      <c r="B2040" t="s">
        <v>11859</v>
      </c>
      <c r="C2040" t="s">
        <v>13943</v>
      </c>
      <c r="D2040" t="s">
        <v>16422</v>
      </c>
      <c r="E2040" t="s">
        <v>2048</v>
      </c>
      <c r="F2040">
        <v>12</v>
      </c>
      <c r="G2040">
        <v>15</v>
      </c>
      <c r="H2040">
        <v>1</v>
      </c>
      <c r="I2040">
        <v>180</v>
      </c>
      <c r="J2040" s="3">
        <v>45612</v>
      </c>
      <c r="K2040" s="6">
        <v>24031306</v>
      </c>
    </row>
    <row r="2041" spans="1:11">
      <c r="A2041" t="str">
        <f t="shared" si="31"/>
        <v>Timun Renes F1 12 X 15 X 10 gr459192292009137</v>
      </c>
      <c r="B2041" t="s">
        <v>11860</v>
      </c>
      <c r="C2041" t="s">
        <v>13944</v>
      </c>
      <c r="D2041" t="s">
        <v>16423</v>
      </c>
      <c r="E2041" t="s">
        <v>2055</v>
      </c>
      <c r="F2041">
        <v>12</v>
      </c>
      <c r="G2041">
        <v>15</v>
      </c>
      <c r="H2041">
        <v>1</v>
      </c>
      <c r="I2041">
        <v>180</v>
      </c>
      <c r="J2041" s="3">
        <v>45919</v>
      </c>
      <c r="K2041" s="6">
        <v>2292009137</v>
      </c>
    </row>
    <row r="2042" spans="1:11">
      <c r="A2042" t="str">
        <f t="shared" si="31"/>
        <v>Timun Renes F1 12 X 15 X 10 gr459312292009136</v>
      </c>
      <c r="B2042" t="s">
        <v>11861</v>
      </c>
      <c r="C2042" t="s">
        <v>13945</v>
      </c>
      <c r="D2042" t="s">
        <v>16424</v>
      </c>
      <c r="E2042" t="s">
        <v>2055</v>
      </c>
      <c r="F2042">
        <v>12</v>
      </c>
      <c r="G2042">
        <v>15</v>
      </c>
      <c r="H2042">
        <v>1</v>
      </c>
      <c r="I2042">
        <v>180</v>
      </c>
      <c r="J2042" s="3">
        <v>45931</v>
      </c>
      <c r="K2042" s="6">
        <v>2292009136</v>
      </c>
    </row>
    <row r="2043" spans="1:11">
      <c r="A2043" t="str">
        <f t="shared" si="31"/>
        <v>Timun Semi F1 12 X 10 X 20 gr459592712404484</v>
      </c>
      <c r="B2043" t="s">
        <v>11862</v>
      </c>
      <c r="C2043" t="s">
        <v>13946</v>
      </c>
      <c r="D2043" t="s">
        <v>16425</v>
      </c>
      <c r="E2043" t="s">
        <v>2056</v>
      </c>
      <c r="F2043">
        <v>12</v>
      </c>
      <c r="G2043">
        <v>10</v>
      </c>
      <c r="H2043">
        <v>1</v>
      </c>
      <c r="I2043">
        <v>120</v>
      </c>
      <c r="J2043" s="3">
        <v>45959</v>
      </c>
      <c r="K2043" s="6">
        <v>2712404484</v>
      </c>
    </row>
    <row r="2044" spans="1:11">
      <c r="A2044" t="str">
        <f t="shared" si="31"/>
        <v>Timun Semi F1 12 X 10 X 20 gr459942712403391</v>
      </c>
      <c r="B2044" t="s">
        <v>11863</v>
      </c>
      <c r="C2044" t="s">
        <v>13947</v>
      </c>
      <c r="D2044" t="s">
        <v>16426</v>
      </c>
      <c r="E2044" t="s">
        <v>2056</v>
      </c>
      <c r="F2044">
        <v>12</v>
      </c>
      <c r="G2044">
        <v>10</v>
      </c>
      <c r="H2044">
        <v>1</v>
      </c>
      <c r="I2044">
        <v>120</v>
      </c>
      <c r="J2044" s="3">
        <v>45994</v>
      </c>
      <c r="K2044" s="6">
        <v>2712403391</v>
      </c>
    </row>
    <row r="2045" spans="1:11">
      <c r="A2045" t="str">
        <f t="shared" si="31"/>
        <v>Timun Semi F1 12 X 10 X 20 gr459592712404502</v>
      </c>
      <c r="B2045" t="s">
        <v>11864</v>
      </c>
      <c r="C2045" t="s">
        <v>13948</v>
      </c>
      <c r="D2045" t="s">
        <v>16427</v>
      </c>
      <c r="E2045" t="s">
        <v>2056</v>
      </c>
      <c r="F2045">
        <v>12</v>
      </c>
      <c r="G2045">
        <v>10</v>
      </c>
      <c r="H2045">
        <v>1</v>
      </c>
      <c r="I2045">
        <v>120</v>
      </c>
      <c r="J2045" s="3">
        <v>45959</v>
      </c>
      <c r="K2045" s="6">
        <v>2712404502</v>
      </c>
    </row>
    <row r="2046" spans="1:11">
      <c r="A2046" t="str">
        <f t="shared" si="31"/>
        <v>Timun Semi F1 12 X 10 X 20 gr459592712404492</v>
      </c>
      <c r="B2046" t="s">
        <v>11865</v>
      </c>
      <c r="C2046" t="s">
        <v>13949</v>
      </c>
      <c r="D2046" t="s">
        <v>16428</v>
      </c>
      <c r="E2046" t="s">
        <v>2056</v>
      </c>
      <c r="F2046">
        <v>12</v>
      </c>
      <c r="G2046">
        <v>10</v>
      </c>
      <c r="H2046">
        <v>1</v>
      </c>
      <c r="I2046">
        <v>120</v>
      </c>
      <c r="J2046" s="3">
        <v>45959</v>
      </c>
      <c r="K2046" s="6">
        <v>2712404492</v>
      </c>
    </row>
    <row r="2047" spans="1:11">
      <c r="A2047" t="str">
        <f t="shared" si="31"/>
        <v>Timun Semi F1 12 X 10 X 20 gr45853271012406</v>
      </c>
      <c r="B2047" t="s">
        <v>11866</v>
      </c>
      <c r="C2047" t="s">
        <v>13950</v>
      </c>
      <c r="D2047" t="s">
        <v>16429</v>
      </c>
      <c r="E2047" t="s">
        <v>2056</v>
      </c>
      <c r="F2047">
        <v>12</v>
      </c>
      <c r="G2047">
        <v>10</v>
      </c>
      <c r="H2047">
        <v>1</v>
      </c>
      <c r="I2047">
        <v>120</v>
      </c>
      <c r="J2047" s="3">
        <v>45853</v>
      </c>
      <c r="K2047" s="6">
        <v>271012406</v>
      </c>
    </row>
    <row r="2048" spans="1:11">
      <c r="A2048" t="str">
        <f t="shared" si="31"/>
        <v>Timun Semi F1 12 X 10 X 20 gr459942712404427</v>
      </c>
      <c r="B2048" t="s">
        <v>11867</v>
      </c>
      <c r="C2048" t="s">
        <v>13951</v>
      </c>
      <c r="D2048" t="s">
        <v>16430</v>
      </c>
      <c r="E2048" t="s">
        <v>2056</v>
      </c>
      <c r="F2048">
        <v>12</v>
      </c>
      <c r="G2048">
        <v>10</v>
      </c>
      <c r="H2048">
        <v>1</v>
      </c>
      <c r="I2048">
        <v>120</v>
      </c>
      <c r="J2048" s="3">
        <v>45994</v>
      </c>
      <c r="K2048" s="6">
        <v>2712404427</v>
      </c>
    </row>
    <row r="2049" spans="1:11">
      <c r="A2049" t="str">
        <f t="shared" si="31"/>
        <v>Timun Semi F1 12 X 10 X 20 gr459592712404507</v>
      </c>
      <c r="B2049" t="s">
        <v>11868</v>
      </c>
      <c r="C2049" t="s">
        <v>13952</v>
      </c>
      <c r="D2049" t="s">
        <v>16431</v>
      </c>
      <c r="E2049" t="s">
        <v>2056</v>
      </c>
      <c r="F2049">
        <v>12</v>
      </c>
      <c r="G2049">
        <v>10</v>
      </c>
      <c r="H2049">
        <v>1</v>
      </c>
      <c r="I2049">
        <v>120</v>
      </c>
      <c r="J2049" s="3">
        <v>45959</v>
      </c>
      <c r="K2049" s="6">
        <v>2712404507</v>
      </c>
    </row>
    <row r="2050" spans="1:11">
      <c r="A2050" t="str">
        <f t="shared" si="31"/>
        <v>Timun Semi F1 12 X 10 X 20 gr459592712404503</v>
      </c>
      <c r="B2050" t="s">
        <v>11869</v>
      </c>
      <c r="C2050" t="s">
        <v>13953</v>
      </c>
      <c r="D2050" t="s">
        <v>16432</v>
      </c>
      <c r="E2050" t="s">
        <v>2056</v>
      </c>
      <c r="F2050">
        <v>12</v>
      </c>
      <c r="G2050">
        <v>10</v>
      </c>
      <c r="H2050">
        <v>1</v>
      </c>
      <c r="I2050">
        <v>120</v>
      </c>
      <c r="J2050" s="3">
        <v>45959</v>
      </c>
      <c r="K2050" s="6">
        <v>2712404503</v>
      </c>
    </row>
    <row r="2051" spans="1:11">
      <c r="A2051" t="str">
        <f t="shared" ref="A2051:A2089" si="32">E2051&amp;J2051&amp;K2051</f>
        <v>Timun Semi F1 12 X 10 X 20 gr459592712404501</v>
      </c>
      <c r="B2051" t="s">
        <v>11870</v>
      </c>
      <c r="C2051" t="s">
        <v>13954</v>
      </c>
      <c r="D2051" t="s">
        <v>16433</v>
      </c>
      <c r="E2051" t="s">
        <v>2056</v>
      </c>
      <c r="F2051">
        <v>12</v>
      </c>
      <c r="G2051">
        <v>10</v>
      </c>
      <c r="H2051">
        <v>1</v>
      </c>
      <c r="I2051">
        <v>120</v>
      </c>
      <c r="J2051" s="3">
        <v>45959</v>
      </c>
      <c r="K2051" s="6">
        <v>2712404501</v>
      </c>
    </row>
    <row r="2052" spans="1:11">
      <c r="A2052" t="str">
        <f t="shared" si="32"/>
        <v>Timun Semi F1 12 X 10 X 20 gr459592712404486</v>
      </c>
      <c r="B2052" t="s">
        <v>11871</v>
      </c>
      <c r="C2052" t="s">
        <v>13955</v>
      </c>
      <c r="D2052" t="s">
        <v>16434</v>
      </c>
      <c r="E2052" t="s">
        <v>2056</v>
      </c>
      <c r="F2052">
        <v>12</v>
      </c>
      <c r="G2052">
        <v>10</v>
      </c>
      <c r="H2052">
        <v>1</v>
      </c>
      <c r="I2052">
        <v>120</v>
      </c>
      <c r="J2052" s="3">
        <v>45959</v>
      </c>
      <c r="K2052" s="6">
        <v>2712404486</v>
      </c>
    </row>
    <row r="2053" spans="1:11">
      <c r="A2053" t="str">
        <f t="shared" si="32"/>
        <v>Timun Semi F1 12 X 10 X 20 gr459952712403411</v>
      </c>
      <c r="B2053" t="s">
        <v>11872</v>
      </c>
      <c r="C2053" t="s">
        <v>13956</v>
      </c>
      <c r="D2053" t="s">
        <v>16435</v>
      </c>
      <c r="E2053" t="s">
        <v>2056</v>
      </c>
      <c r="F2053">
        <v>12</v>
      </c>
      <c r="G2053">
        <v>10</v>
      </c>
      <c r="H2053">
        <v>1</v>
      </c>
      <c r="I2053">
        <v>120</v>
      </c>
      <c r="J2053" s="3">
        <v>45995</v>
      </c>
      <c r="K2053" s="6">
        <v>2712403411</v>
      </c>
    </row>
    <row r="2054" spans="1:11">
      <c r="A2054" t="str">
        <f t="shared" si="32"/>
        <v>Timun Semi F1 12 X 10 X 20 gr459992712404472</v>
      </c>
      <c r="B2054" t="s">
        <v>11873</v>
      </c>
      <c r="C2054" t="s">
        <v>13957</v>
      </c>
      <c r="D2054" t="s">
        <v>16436</v>
      </c>
      <c r="E2054" t="s">
        <v>2056</v>
      </c>
      <c r="F2054">
        <v>12</v>
      </c>
      <c r="G2054">
        <v>10</v>
      </c>
      <c r="H2054">
        <v>1</v>
      </c>
      <c r="I2054">
        <v>120</v>
      </c>
      <c r="J2054" s="3">
        <v>45999</v>
      </c>
      <c r="K2054" s="6">
        <v>2712404472</v>
      </c>
    </row>
    <row r="2055" spans="1:11">
      <c r="A2055" t="str">
        <f t="shared" si="32"/>
        <v>Timun Semi F1 12 X 10 X 20 gr459952712403390</v>
      </c>
      <c r="B2055" t="s">
        <v>11874</v>
      </c>
      <c r="C2055" t="s">
        <v>13958</v>
      </c>
      <c r="D2055" t="s">
        <v>16437</v>
      </c>
      <c r="E2055" t="s">
        <v>2056</v>
      </c>
      <c r="F2055">
        <v>12</v>
      </c>
      <c r="G2055">
        <v>10</v>
      </c>
      <c r="H2055">
        <v>1</v>
      </c>
      <c r="I2055">
        <v>120</v>
      </c>
      <c r="J2055" s="3">
        <v>45995</v>
      </c>
      <c r="K2055" s="6">
        <v>2712403390</v>
      </c>
    </row>
    <row r="2056" spans="1:11">
      <c r="A2056" t="str">
        <f t="shared" si="32"/>
        <v>Timun Semi F1 12 X 10 X 20 gr459522712404417</v>
      </c>
      <c r="B2056" t="s">
        <v>11875</v>
      </c>
      <c r="C2056" t="s">
        <v>13959</v>
      </c>
      <c r="D2056" t="s">
        <v>16438</v>
      </c>
      <c r="E2056" t="s">
        <v>2056</v>
      </c>
      <c r="F2056">
        <v>12</v>
      </c>
      <c r="G2056">
        <v>10</v>
      </c>
      <c r="H2056">
        <v>1</v>
      </c>
      <c r="I2056">
        <v>120</v>
      </c>
      <c r="J2056" s="3">
        <v>45952</v>
      </c>
      <c r="K2056" s="6">
        <v>2712404417</v>
      </c>
    </row>
    <row r="2057" spans="1:11">
      <c r="A2057" t="str">
        <f t="shared" si="32"/>
        <v>Timun Semi F1 12 X 10 X 20 gr459952712403410</v>
      </c>
      <c r="B2057" t="s">
        <v>11876</v>
      </c>
      <c r="C2057" t="s">
        <v>13960</v>
      </c>
      <c r="D2057" t="s">
        <v>16439</v>
      </c>
      <c r="E2057" t="s">
        <v>2056</v>
      </c>
      <c r="F2057">
        <v>12</v>
      </c>
      <c r="G2057">
        <v>10</v>
      </c>
      <c r="H2057">
        <v>1</v>
      </c>
      <c r="I2057">
        <v>120</v>
      </c>
      <c r="J2057" s="3">
        <v>45995</v>
      </c>
      <c r="K2057" s="6">
        <v>2712403410</v>
      </c>
    </row>
    <row r="2058" spans="1:11">
      <c r="A2058" t="str">
        <f t="shared" si="32"/>
        <v>Timun Semi F1 12 X 10 X 20 gr459952712404413</v>
      </c>
      <c r="B2058" t="s">
        <v>11877</v>
      </c>
      <c r="C2058" t="s">
        <v>13961</v>
      </c>
      <c r="D2058" t="s">
        <v>16440</v>
      </c>
      <c r="E2058" t="s">
        <v>2056</v>
      </c>
      <c r="F2058">
        <v>12</v>
      </c>
      <c r="G2058">
        <v>10</v>
      </c>
      <c r="H2058">
        <v>1</v>
      </c>
      <c r="I2058">
        <v>120</v>
      </c>
      <c r="J2058" s="3">
        <v>45995</v>
      </c>
      <c r="K2058" s="6">
        <v>2712404413</v>
      </c>
    </row>
    <row r="2059" spans="1:11">
      <c r="A2059" t="str">
        <f t="shared" si="32"/>
        <v>Timun Semi F1 12 X 10 X 20 gr459952712403388</v>
      </c>
      <c r="B2059" t="s">
        <v>11878</v>
      </c>
      <c r="C2059" t="s">
        <v>13962</v>
      </c>
      <c r="D2059" t="s">
        <v>16441</v>
      </c>
      <c r="E2059" t="s">
        <v>2056</v>
      </c>
      <c r="F2059">
        <v>12</v>
      </c>
      <c r="G2059">
        <v>10</v>
      </c>
      <c r="H2059">
        <v>1</v>
      </c>
      <c r="I2059">
        <v>120</v>
      </c>
      <c r="J2059" s="3">
        <v>45995</v>
      </c>
      <c r="K2059" s="6">
        <v>2712403388</v>
      </c>
    </row>
    <row r="2060" spans="1:11">
      <c r="A2060" t="str">
        <f t="shared" si="32"/>
        <v>Timun Semi F1 12 X 10 X 20 gr459312712403395</v>
      </c>
      <c r="B2060" t="s">
        <v>11879</v>
      </c>
      <c r="C2060" t="s">
        <v>13963</v>
      </c>
      <c r="D2060" t="s">
        <v>16442</v>
      </c>
      <c r="E2060" t="s">
        <v>2056</v>
      </c>
      <c r="F2060">
        <v>12</v>
      </c>
      <c r="G2060">
        <v>10</v>
      </c>
      <c r="H2060">
        <v>1</v>
      </c>
      <c r="I2060">
        <v>120</v>
      </c>
      <c r="J2060" s="3">
        <v>45931</v>
      </c>
      <c r="K2060" s="6">
        <v>2712403395</v>
      </c>
    </row>
    <row r="2061" spans="1:11">
      <c r="A2061" t="str">
        <f t="shared" si="32"/>
        <v>Timun Semi F1 12 X 10 X 20 gr459562712404478</v>
      </c>
      <c r="B2061" t="s">
        <v>11880</v>
      </c>
      <c r="C2061" t="s">
        <v>13964</v>
      </c>
      <c r="D2061" t="s">
        <v>16443</v>
      </c>
      <c r="E2061" t="s">
        <v>2056</v>
      </c>
      <c r="F2061">
        <v>12</v>
      </c>
      <c r="G2061">
        <v>10</v>
      </c>
      <c r="H2061">
        <v>1</v>
      </c>
      <c r="I2061">
        <v>120</v>
      </c>
      <c r="J2061" s="3">
        <v>45956</v>
      </c>
      <c r="K2061" s="6">
        <v>2712404478</v>
      </c>
    </row>
    <row r="2062" spans="1:11">
      <c r="A2062" t="str">
        <f t="shared" si="32"/>
        <v>Timun Semi F1 12 X 10 X 20 gr459492712404438</v>
      </c>
      <c r="B2062" t="s">
        <v>11881</v>
      </c>
      <c r="C2062" t="s">
        <v>13965</v>
      </c>
      <c r="D2062" t="s">
        <v>16444</v>
      </c>
      <c r="E2062" t="s">
        <v>2056</v>
      </c>
      <c r="F2062">
        <v>12</v>
      </c>
      <c r="G2062">
        <v>10</v>
      </c>
      <c r="H2062">
        <v>1</v>
      </c>
      <c r="I2062">
        <v>120</v>
      </c>
      <c r="J2062" s="3">
        <v>45949</v>
      </c>
      <c r="K2062" s="6">
        <v>2712404438</v>
      </c>
    </row>
    <row r="2063" spans="1:11">
      <c r="A2063" t="str">
        <f t="shared" si="32"/>
        <v>Timun Semi F1 12 X 10 X 20 gr459492712404429</v>
      </c>
      <c r="B2063" t="s">
        <v>11882</v>
      </c>
      <c r="C2063" t="s">
        <v>13966</v>
      </c>
      <c r="D2063" t="s">
        <v>16445</v>
      </c>
      <c r="E2063" t="s">
        <v>2056</v>
      </c>
      <c r="F2063">
        <v>12</v>
      </c>
      <c r="G2063">
        <v>10</v>
      </c>
      <c r="H2063">
        <v>1</v>
      </c>
      <c r="I2063">
        <v>120</v>
      </c>
      <c r="J2063" s="3">
        <v>45949</v>
      </c>
      <c r="K2063" s="6">
        <v>2712404429</v>
      </c>
    </row>
    <row r="2064" spans="1:11">
      <c r="A2064" t="str">
        <f t="shared" si="32"/>
        <v>Timun Semi F1 12 X 10 X 20 gr459472712308242</v>
      </c>
      <c r="B2064" t="s">
        <v>11883</v>
      </c>
      <c r="C2064" t="s">
        <v>13967</v>
      </c>
      <c r="D2064" t="s">
        <v>16446</v>
      </c>
      <c r="E2064" t="s">
        <v>2056</v>
      </c>
      <c r="F2064">
        <v>12</v>
      </c>
      <c r="G2064">
        <v>10</v>
      </c>
      <c r="H2064">
        <v>1</v>
      </c>
      <c r="I2064">
        <v>120</v>
      </c>
      <c r="J2064" s="3">
        <v>45947</v>
      </c>
      <c r="K2064" s="6">
        <v>2712308242</v>
      </c>
    </row>
    <row r="2065" spans="1:11">
      <c r="A2065" t="str">
        <f t="shared" si="32"/>
        <v>Timun Semi F1 12 X 10 X 20 gr459312712403394</v>
      </c>
      <c r="B2065" t="s">
        <v>11884</v>
      </c>
      <c r="C2065" t="s">
        <v>13968</v>
      </c>
      <c r="D2065" t="s">
        <v>16447</v>
      </c>
      <c r="E2065" t="s">
        <v>2056</v>
      </c>
      <c r="F2065">
        <v>12</v>
      </c>
      <c r="G2065">
        <v>10</v>
      </c>
      <c r="H2065">
        <v>1</v>
      </c>
      <c r="I2065">
        <v>120</v>
      </c>
      <c r="J2065" s="3">
        <v>45931</v>
      </c>
      <c r="K2065" s="6">
        <v>2712403394</v>
      </c>
    </row>
    <row r="2066" spans="1:11">
      <c r="A2066" t="str">
        <f t="shared" si="32"/>
        <v>Timun Semi F1 12 X 10 X 20 gr459592712404488</v>
      </c>
      <c r="B2066" t="s">
        <v>11885</v>
      </c>
      <c r="C2066" t="s">
        <v>13969</v>
      </c>
      <c r="D2066" t="s">
        <v>16448</v>
      </c>
      <c r="E2066" t="s">
        <v>2056</v>
      </c>
      <c r="F2066">
        <v>12</v>
      </c>
      <c r="G2066">
        <v>10</v>
      </c>
      <c r="H2066">
        <v>1</v>
      </c>
      <c r="I2066">
        <v>120</v>
      </c>
      <c r="J2066" s="3">
        <v>45959</v>
      </c>
      <c r="K2066" s="6">
        <v>2712404488</v>
      </c>
    </row>
    <row r="2067" spans="1:11">
      <c r="A2067" t="str">
        <f t="shared" si="32"/>
        <v>Timun Semi F1 12 X 10 X 20 gr459492712404430</v>
      </c>
      <c r="B2067" t="s">
        <v>11886</v>
      </c>
      <c r="C2067" t="s">
        <v>13970</v>
      </c>
      <c r="D2067" t="s">
        <v>16449</v>
      </c>
      <c r="E2067" t="s">
        <v>2056</v>
      </c>
      <c r="F2067">
        <v>12</v>
      </c>
      <c r="G2067">
        <v>10</v>
      </c>
      <c r="H2067">
        <v>1</v>
      </c>
      <c r="I2067">
        <v>120</v>
      </c>
      <c r="J2067" s="3">
        <v>45949</v>
      </c>
      <c r="K2067" s="6">
        <v>2712404430</v>
      </c>
    </row>
    <row r="2068" spans="1:11">
      <c r="A2068" t="str">
        <f t="shared" si="32"/>
        <v>Timun Semi F1 12 X 10 X 20 gr459992712404477</v>
      </c>
      <c r="B2068" t="s">
        <v>11887</v>
      </c>
      <c r="C2068" t="s">
        <v>13971</v>
      </c>
      <c r="D2068" t="s">
        <v>16450</v>
      </c>
      <c r="E2068" t="s">
        <v>2056</v>
      </c>
      <c r="F2068">
        <v>12</v>
      </c>
      <c r="G2068">
        <v>10</v>
      </c>
      <c r="H2068">
        <v>1</v>
      </c>
      <c r="I2068">
        <v>120</v>
      </c>
      <c r="J2068" s="3">
        <v>45999</v>
      </c>
      <c r="K2068" s="6">
        <v>2712404477</v>
      </c>
    </row>
    <row r="2069" spans="1:11">
      <c r="A2069" t="str">
        <f t="shared" si="32"/>
        <v>Timun Semi F1 12 X 10 X 20 gr459592712404490</v>
      </c>
      <c r="B2069" t="s">
        <v>11888</v>
      </c>
      <c r="C2069" t="s">
        <v>13972</v>
      </c>
      <c r="D2069" t="s">
        <v>16451</v>
      </c>
      <c r="E2069" t="s">
        <v>2056</v>
      </c>
      <c r="F2069">
        <v>12</v>
      </c>
      <c r="G2069">
        <v>10</v>
      </c>
      <c r="H2069">
        <v>1</v>
      </c>
      <c r="I2069">
        <v>120</v>
      </c>
      <c r="J2069" s="3">
        <v>45959</v>
      </c>
      <c r="K2069" s="6">
        <v>2712404490</v>
      </c>
    </row>
    <row r="2070" spans="1:11">
      <c r="A2070" t="str">
        <f t="shared" si="32"/>
        <v>Timun Semi F1 12 X 10 X 20 gr45853271012407</v>
      </c>
      <c r="B2070" t="s">
        <v>11889</v>
      </c>
      <c r="C2070" t="s">
        <v>13973</v>
      </c>
      <c r="D2070" t="s">
        <v>16452</v>
      </c>
      <c r="E2070" t="s">
        <v>2056</v>
      </c>
      <c r="F2070">
        <v>12</v>
      </c>
      <c r="G2070">
        <v>10</v>
      </c>
      <c r="H2070">
        <v>1</v>
      </c>
      <c r="I2070">
        <v>120</v>
      </c>
      <c r="J2070" s="3">
        <v>45853</v>
      </c>
      <c r="K2070" s="6">
        <v>271012407</v>
      </c>
    </row>
    <row r="2071" spans="1:11">
      <c r="A2071" t="str">
        <f t="shared" si="32"/>
        <v>Timun Wuku 12 X 10 X 20 gr4596947201031</v>
      </c>
      <c r="B2071" t="s">
        <v>11890</v>
      </c>
      <c r="C2071" t="s">
        <v>13974</v>
      </c>
      <c r="D2071" t="s">
        <v>16453</v>
      </c>
      <c r="E2071" t="s">
        <v>2057</v>
      </c>
      <c r="F2071">
        <v>12</v>
      </c>
      <c r="G2071">
        <v>10</v>
      </c>
      <c r="H2071">
        <v>1</v>
      </c>
      <c r="I2071">
        <v>120</v>
      </c>
      <c r="J2071" s="3">
        <v>45969</v>
      </c>
      <c r="K2071" s="6">
        <v>47201031</v>
      </c>
    </row>
    <row r="2072" spans="1:11">
      <c r="A2072" t="str">
        <f t="shared" si="32"/>
        <v>Timun Wuku 12 X 10 X 20 gr4598647032402</v>
      </c>
      <c r="B2072" t="s">
        <v>11891</v>
      </c>
      <c r="C2072" t="s">
        <v>13975</v>
      </c>
      <c r="D2072" t="s">
        <v>16454</v>
      </c>
      <c r="E2072" t="s">
        <v>2057</v>
      </c>
      <c r="F2072">
        <v>12</v>
      </c>
      <c r="G2072">
        <v>10</v>
      </c>
      <c r="H2072">
        <v>1</v>
      </c>
      <c r="I2072">
        <v>120</v>
      </c>
      <c r="J2072" s="3">
        <v>45986</v>
      </c>
      <c r="K2072" s="6">
        <v>47032402</v>
      </c>
    </row>
    <row r="2073" spans="1:11">
      <c r="A2073" t="str">
        <f t="shared" si="32"/>
        <v>Timun Wuku 12 X 10 X 20 gr4596947211037</v>
      </c>
      <c r="B2073" t="s">
        <v>11892</v>
      </c>
      <c r="C2073" t="s">
        <v>13976</v>
      </c>
      <c r="D2073" t="s">
        <v>16455</v>
      </c>
      <c r="E2073" t="s">
        <v>2057</v>
      </c>
      <c r="F2073">
        <v>12</v>
      </c>
      <c r="G2073">
        <v>10</v>
      </c>
      <c r="H2073">
        <v>1</v>
      </c>
      <c r="I2073">
        <v>120</v>
      </c>
      <c r="J2073" s="3">
        <v>45969</v>
      </c>
      <c r="K2073" s="6">
        <v>47211037</v>
      </c>
    </row>
    <row r="2074" spans="1:11">
      <c r="A2074" t="str">
        <f t="shared" si="32"/>
        <v>Timun Wuku 12 X 10 X 20 gr4588247210720</v>
      </c>
      <c r="B2074" t="s">
        <v>11893</v>
      </c>
      <c r="C2074" t="s">
        <v>13977</v>
      </c>
      <c r="D2074" t="s">
        <v>16456</v>
      </c>
      <c r="E2074" t="s">
        <v>2057</v>
      </c>
      <c r="F2074">
        <v>12</v>
      </c>
      <c r="G2074">
        <v>10</v>
      </c>
      <c r="H2074">
        <v>1</v>
      </c>
      <c r="I2074">
        <v>120</v>
      </c>
      <c r="J2074" s="3">
        <v>45882</v>
      </c>
      <c r="K2074" s="6">
        <v>47210720</v>
      </c>
    </row>
    <row r="2075" spans="1:11">
      <c r="A2075" t="str">
        <f t="shared" si="32"/>
        <v>Timun Wuku 12 X 10 X 20 gr4596947201023</v>
      </c>
      <c r="B2075" t="s">
        <v>11894</v>
      </c>
      <c r="C2075" t="s">
        <v>13978</v>
      </c>
      <c r="D2075" t="s">
        <v>16457</v>
      </c>
      <c r="E2075" t="s">
        <v>2057</v>
      </c>
      <c r="F2075">
        <v>12</v>
      </c>
      <c r="G2075">
        <v>10</v>
      </c>
      <c r="H2075">
        <v>1</v>
      </c>
      <c r="I2075">
        <v>120</v>
      </c>
      <c r="J2075" s="3">
        <v>45969</v>
      </c>
      <c r="K2075" s="6">
        <v>47201023</v>
      </c>
    </row>
    <row r="2076" spans="1:11">
      <c r="A2076" t="str">
        <f t="shared" si="32"/>
        <v>Timun Wuku 12 X 10 X 20 gr4596947201026</v>
      </c>
      <c r="B2076" t="s">
        <v>11895</v>
      </c>
      <c r="C2076" t="s">
        <v>13979</v>
      </c>
      <c r="D2076" t="s">
        <v>16458</v>
      </c>
      <c r="E2076" t="s">
        <v>2057</v>
      </c>
      <c r="F2076">
        <v>12</v>
      </c>
      <c r="G2076">
        <v>10</v>
      </c>
      <c r="H2076">
        <v>1</v>
      </c>
      <c r="I2076">
        <v>120</v>
      </c>
      <c r="J2076" s="3">
        <v>45969</v>
      </c>
      <c r="K2076" s="6">
        <v>47201026</v>
      </c>
    </row>
    <row r="2077" spans="1:11">
      <c r="A2077" t="str">
        <f t="shared" si="32"/>
        <v>Timun Wuku 12 X 10 X 20 gr4590247210828</v>
      </c>
      <c r="B2077" t="s">
        <v>11896</v>
      </c>
      <c r="C2077" t="s">
        <v>13980</v>
      </c>
      <c r="D2077" t="s">
        <v>16459</v>
      </c>
      <c r="E2077" t="s">
        <v>2057</v>
      </c>
      <c r="F2077">
        <v>12</v>
      </c>
      <c r="G2077">
        <v>10</v>
      </c>
      <c r="H2077">
        <v>1</v>
      </c>
      <c r="I2077">
        <v>120</v>
      </c>
      <c r="J2077" s="3">
        <v>45902</v>
      </c>
      <c r="K2077" s="6">
        <v>47210828</v>
      </c>
    </row>
    <row r="2078" spans="1:11">
      <c r="A2078" t="str">
        <f t="shared" si="32"/>
        <v>Timun Wuku 12 X 10 X 20 gr4590247210723</v>
      </c>
      <c r="B2078" t="s">
        <v>11897</v>
      </c>
      <c r="C2078" t="s">
        <v>13981</v>
      </c>
      <c r="D2078" t="s">
        <v>16460</v>
      </c>
      <c r="E2078" t="s">
        <v>2057</v>
      </c>
      <c r="F2078">
        <v>12</v>
      </c>
      <c r="G2078">
        <v>10</v>
      </c>
      <c r="H2078">
        <v>1</v>
      </c>
      <c r="I2078">
        <v>120</v>
      </c>
      <c r="J2078" s="3">
        <v>45902</v>
      </c>
      <c r="K2078" s="6">
        <v>47210723</v>
      </c>
    </row>
    <row r="2079" spans="1:11">
      <c r="A2079" t="str">
        <f t="shared" si="32"/>
        <v>Tomat Comodor 20 X 20 X 5 gr45748315278</v>
      </c>
      <c r="B2079" t="s">
        <v>11898</v>
      </c>
      <c r="C2079" t="s">
        <v>13982</v>
      </c>
      <c r="D2079" t="s">
        <v>16461</v>
      </c>
      <c r="E2079" t="s">
        <v>2058</v>
      </c>
      <c r="F2079">
        <v>20</v>
      </c>
      <c r="G2079">
        <v>20</v>
      </c>
      <c r="H2079">
        <v>1</v>
      </c>
      <c r="I2079">
        <v>400</v>
      </c>
      <c r="J2079" s="3">
        <v>45748</v>
      </c>
      <c r="K2079" s="6">
        <v>315278</v>
      </c>
    </row>
    <row r="2080" spans="1:11">
      <c r="A2080" t="str">
        <f t="shared" si="32"/>
        <v>Tomat Corona 402 20 X 20 X 5 gr4583942316570</v>
      </c>
      <c r="B2080" t="s">
        <v>11899</v>
      </c>
      <c r="C2080" t="s">
        <v>13983</v>
      </c>
      <c r="D2080" t="s">
        <v>16462</v>
      </c>
      <c r="E2080" t="s">
        <v>2059</v>
      </c>
      <c r="F2080">
        <v>20</v>
      </c>
      <c r="G2080">
        <v>20</v>
      </c>
      <c r="H2080">
        <v>1</v>
      </c>
      <c r="I2080">
        <v>400</v>
      </c>
      <c r="J2080" s="3">
        <v>45839</v>
      </c>
      <c r="K2080" s="6">
        <v>42316570</v>
      </c>
    </row>
    <row r="2081" spans="1:11">
      <c r="A2081" t="str">
        <f t="shared" si="32"/>
        <v>Tomat Mawar 12 X 15 X 10 gr457659230939</v>
      </c>
      <c r="B2081" t="s">
        <v>11900</v>
      </c>
      <c r="C2081" t="s">
        <v>13984</v>
      </c>
      <c r="D2081" t="s">
        <v>16463</v>
      </c>
      <c r="E2081" t="s">
        <v>2060</v>
      </c>
      <c r="F2081">
        <v>12</v>
      </c>
      <c r="G2081">
        <v>15</v>
      </c>
      <c r="H2081">
        <v>1</v>
      </c>
      <c r="I2081">
        <v>180</v>
      </c>
      <c r="J2081" s="3">
        <v>45765</v>
      </c>
      <c r="K2081" s="6">
        <v>9230939</v>
      </c>
    </row>
    <row r="2082" spans="1:11">
      <c r="A2082" t="str">
        <f t="shared" si="32"/>
        <v>Tomat Mawar 12 X 15 X 10 gr457659230933</v>
      </c>
      <c r="B2082" t="s">
        <v>11901</v>
      </c>
      <c r="C2082" t="s">
        <v>13985</v>
      </c>
      <c r="D2082" t="s">
        <v>16464</v>
      </c>
      <c r="E2082" t="s">
        <v>2060</v>
      </c>
      <c r="F2082">
        <v>12</v>
      </c>
      <c r="G2082">
        <v>15</v>
      </c>
      <c r="H2082">
        <v>1</v>
      </c>
      <c r="I2082">
        <v>180</v>
      </c>
      <c r="J2082" s="3">
        <v>45765</v>
      </c>
      <c r="K2082" s="6">
        <v>9230933</v>
      </c>
    </row>
    <row r="2083" spans="1:11">
      <c r="A2083" t="str">
        <f t="shared" si="32"/>
        <v>Tomat Mawar 12 X 15 X 10 gr458309122313</v>
      </c>
      <c r="B2083" t="s">
        <v>11902</v>
      </c>
      <c r="C2083" t="s">
        <v>13986</v>
      </c>
      <c r="D2083" t="s">
        <v>16465</v>
      </c>
      <c r="E2083" t="s">
        <v>2060</v>
      </c>
      <c r="F2083">
        <v>12</v>
      </c>
      <c r="G2083">
        <v>15</v>
      </c>
      <c r="H2083">
        <v>1</v>
      </c>
      <c r="I2083">
        <v>180</v>
      </c>
      <c r="J2083" s="3">
        <v>45830</v>
      </c>
      <c r="K2083" s="6">
        <v>9122313</v>
      </c>
    </row>
    <row r="2084" spans="1:11">
      <c r="A2084" t="str">
        <f t="shared" si="32"/>
        <v>Tomat Mawar 12 X 15 X 10 gr457669230943</v>
      </c>
      <c r="B2084" t="s">
        <v>11903</v>
      </c>
      <c r="C2084" t="s">
        <v>13987</v>
      </c>
      <c r="D2084" t="s">
        <v>16466</v>
      </c>
      <c r="E2084" t="s">
        <v>2060</v>
      </c>
      <c r="F2084">
        <v>12</v>
      </c>
      <c r="G2084">
        <v>15</v>
      </c>
      <c r="H2084">
        <v>1</v>
      </c>
      <c r="I2084">
        <v>180</v>
      </c>
      <c r="J2084" s="3">
        <v>45766</v>
      </c>
      <c r="K2084" s="6">
        <v>9230943</v>
      </c>
    </row>
    <row r="2085" spans="1:11">
      <c r="A2085" t="str">
        <f t="shared" si="32"/>
        <v>Tomat Mawar 12 X 15 X 10 gr457979112310</v>
      </c>
      <c r="B2085" t="s">
        <v>11904</v>
      </c>
      <c r="C2085" t="s">
        <v>13988</v>
      </c>
      <c r="D2085" t="s">
        <v>16467</v>
      </c>
      <c r="E2085" t="s">
        <v>2060</v>
      </c>
      <c r="F2085">
        <v>12</v>
      </c>
      <c r="G2085">
        <v>15</v>
      </c>
      <c r="H2085">
        <v>1</v>
      </c>
      <c r="I2085">
        <v>180</v>
      </c>
      <c r="J2085" s="3">
        <v>45797</v>
      </c>
      <c r="K2085" s="6">
        <v>9112310</v>
      </c>
    </row>
    <row r="2086" spans="1:11">
      <c r="A2086" t="str">
        <f t="shared" si="32"/>
        <v>Agil 100 EC 40 X 250 ml471500</v>
      </c>
      <c r="B2086" t="s">
        <v>14376</v>
      </c>
      <c r="C2086" t="s">
        <v>14380</v>
      </c>
      <c r="D2086" t="s">
        <v>16468</v>
      </c>
      <c r="E2086" t="s">
        <v>66</v>
      </c>
      <c r="F2086">
        <v>40</v>
      </c>
      <c r="G2086">
        <v>1</v>
      </c>
      <c r="H2086">
        <v>1</v>
      </c>
      <c r="I2086">
        <v>40</v>
      </c>
      <c r="J2086" s="3">
        <v>47150</v>
      </c>
      <c r="K2086" s="6">
        <v>0</v>
      </c>
    </row>
    <row r="2087" spans="1:11">
      <c r="A2087" t="str">
        <f t="shared" si="32"/>
        <v>Agil 100 EC 40 X 250 ml471500</v>
      </c>
      <c r="B2087" t="s">
        <v>14377</v>
      </c>
      <c r="C2087" t="s">
        <v>14381</v>
      </c>
      <c r="D2087" t="s">
        <v>16469</v>
      </c>
      <c r="E2087" t="s">
        <v>66</v>
      </c>
      <c r="F2087">
        <v>40</v>
      </c>
      <c r="G2087">
        <v>1</v>
      </c>
      <c r="H2087">
        <v>1</v>
      </c>
      <c r="I2087">
        <v>40</v>
      </c>
      <c r="J2087" s="3">
        <v>47150</v>
      </c>
      <c r="K2087" s="6">
        <v>0</v>
      </c>
    </row>
    <row r="2088" spans="1:11">
      <c r="A2088" t="str">
        <f t="shared" si="32"/>
        <v>Qiutane 80 WP 25 X 800 gr Biru463570</v>
      </c>
      <c r="B2088" t="s">
        <v>14378</v>
      </c>
      <c r="C2088" t="s">
        <v>14382</v>
      </c>
      <c r="D2088" t="s">
        <v>16470</v>
      </c>
      <c r="E2088" t="s">
        <v>1720</v>
      </c>
      <c r="F2088">
        <v>25</v>
      </c>
      <c r="G2088">
        <v>1</v>
      </c>
      <c r="H2088">
        <v>1</v>
      </c>
      <c r="I2088">
        <v>25</v>
      </c>
      <c r="J2088" s="3">
        <v>46357</v>
      </c>
      <c r="K2088" s="6">
        <v>0</v>
      </c>
    </row>
    <row r="2089" spans="1:11">
      <c r="A2089" t="str">
        <f t="shared" si="32"/>
        <v>Reactive 490 SL 20 X 1 ltr470580</v>
      </c>
      <c r="B2089" t="s">
        <v>14379</v>
      </c>
      <c r="C2089" t="s">
        <v>14383</v>
      </c>
      <c r="D2089" t="s">
        <v>16471</v>
      </c>
      <c r="E2089" t="s">
        <v>1745</v>
      </c>
      <c r="F2089">
        <v>20</v>
      </c>
      <c r="G2089">
        <v>1</v>
      </c>
      <c r="H2089">
        <v>1</v>
      </c>
      <c r="I2089">
        <v>20</v>
      </c>
      <c r="J2089" s="3">
        <v>47058</v>
      </c>
      <c r="K2089" s="6">
        <v>0</v>
      </c>
    </row>
  </sheetData>
  <autoFilter ref="B1:L20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9"/>
  <sheetViews>
    <sheetView tabSelected="1" topLeftCell="A23" workbookViewId="0">
      <selection activeCell="E39" sqref="E39"/>
    </sheetView>
  </sheetViews>
  <sheetFormatPr defaultRowHeight="15"/>
  <cols>
    <col min="2" max="2" width="8.85546875" customWidth="1"/>
    <col min="3" max="4" width="12.42578125" bestFit="1" customWidth="1"/>
    <col min="5" max="5" width="12.85546875" bestFit="1" customWidth="1"/>
    <col min="9" max="9" width="13.42578125" bestFit="1" customWidth="1"/>
    <col min="14" max="14" width="12.28515625" style="3" customWidth="1"/>
    <col min="15" max="15" width="28" style="6" customWidth="1"/>
  </cols>
  <sheetData>
    <row r="1" spans="1:15">
      <c r="B1" s="1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10</v>
      </c>
      <c r="L1" s="1" t="s">
        <v>11</v>
      </c>
      <c r="M1" s="1" t="s">
        <v>12</v>
      </c>
      <c r="N1" s="25" t="s">
        <v>7</v>
      </c>
      <c r="O1" s="26" t="s">
        <v>4295</v>
      </c>
    </row>
    <row r="2" spans="1:15">
      <c r="A2" t="str">
        <f>E2&amp;N2&amp;O2</f>
        <v>Abacell 18 EC 10 X 1 ltr462040</v>
      </c>
      <c r="B2" t="s">
        <v>9821</v>
      </c>
      <c r="C2" t="s">
        <v>14384</v>
      </c>
      <c r="D2" t="s">
        <v>11905</v>
      </c>
      <c r="E2" t="s">
        <v>14</v>
      </c>
      <c r="F2">
        <v>10</v>
      </c>
      <c r="G2">
        <v>1</v>
      </c>
      <c r="H2">
        <v>1</v>
      </c>
      <c r="I2">
        <v>10</v>
      </c>
      <c r="J2">
        <v>250</v>
      </c>
      <c r="K2">
        <f>ROUNDDOWN(J2/I2,0)</f>
        <v>25</v>
      </c>
      <c r="L2">
        <f>J2-K2*I2</f>
        <v>0</v>
      </c>
      <c r="M2">
        <v>250</v>
      </c>
      <c r="N2" s="3">
        <v>46204</v>
      </c>
      <c r="O2" s="6">
        <v>0</v>
      </c>
    </row>
    <row r="3" spans="1:15">
      <c r="A3" t="str">
        <f t="shared" ref="A3:A66" si="0">E3&amp;N3&amp;O3</f>
        <v>Abacell 18 EC 40 X 250 ml463570</v>
      </c>
      <c r="B3" t="s">
        <v>9822</v>
      </c>
      <c r="C3" t="s">
        <v>14385</v>
      </c>
      <c r="D3" t="s">
        <v>11906</v>
      </c>
      <c r="E3" t="s">
        <v>17</v>
      </c>
      <c r="F3">
        <v>40</v>
      </c>
      <c r="G3">
        <v>1</v>
      </c>
      <c r="H3">
        <v>1</v>
      </c>
      <c r="I3">
        <v>40</v>
      </c>
      <c r="J3">
        <v>721</v>
      </c>
      <c r="K3">
        <f t="shared" ref="K3:K66" si="1">ROUNDDOWN(J3/I3,0)</f>
        <v>18</v>
      </c>
      <c r="L3">
        <f t="shared" ref="L3:L66" si="2">J3-K3*I3</f>
        <v>1</v>
      </c>
      <c r="M3">
        <v>721</v>
      </c>
      <c r="N3" s="3">
        <v>46357</v>
      </c>
      <c r="O3" s="6">
        <v>0</v>
      </c>
    </row>
    <row r="4" spans="1:15">
      <c r="A4" t="str">
        <f t="shared" si="0"/>
        <v>Abacell 18 EC 50 X 100 ml460820</v>
      </c>
      <c r="B4" t="s">
        <v>9823</v>
      </c>
      <c r="C4" t="s">
        <v>14386</v>
      </c>
      <c r="D4" t="s">
        <v>11907</v>
      </c>
      <c r="E4" t="s">
        <v>19</v>
      </c>
      <c r="F4">
        <v>50</v>
      </c>
      <c r="G4">
        <v>1</v>
      </c>
      <c r="H4">
        <v>1</v>
      </c>
      <c r="I4">
        <v>50</v>
      </c>
      <c r="J4">
        <v>8185</v>
      </c>
      <c r="K4">
        <f t="shared" si="1"/>
        <v>163</v>
      </c>
      <c r="L4">
        <f t="shared" si="2"/>
        <v>35</v>
      </c>
      <c r="M4">
        <v>8185</v>
      </c>
      <c r="N4" s="3">
        <v>46082</v>
      </c>
      <c r="O4" s="6">
        <v>0</v>
      </c>
    </row>
    <row r="5" spans="1:15">
      <c r="A5" t="str">
        <f t="shared" si="0"/>
        <v>Abado 50 WP 20 X 20 X 10 gr467220</v>
      </c>
      <c r="B5" t="s">
        <v>9824</v>
      </c>
      <c r="C5" t="s">
        <v>14387</v>
      </c>
      <c r="D5" t="s">
        <v>11908</v>
      </c>
      <c r="E5" t="s">
        <v>20</v>
      </c>
      <c r="F5">
        <v>20</v>
      </c>
      <c r="G5">
        <v>20</v>
      </c>
      <c r="H5">
        <v>1</v>
      </c>
      <c r="I5">
        <v>400</v>
      </c>
      <c r="J5">
        <v>11563</v>
      </c>
      <c r="K5">
        <f t="shared" si="1"/>
        <v>28</v>
      </c>
      <c r="L5">
        <f t="shared" si="2"/>
        <v>363</v>
      </c>
      <c r="M5">
        <v>11563</v>
      </c>
      <c r="N5" s="3">
        <v>46722</v>
      </c>
      <c r="O5" s="6">
        <v>0</v>
      </c>
    </row>
    <row r="6" spans="1:15">
      <c r="A6" t="str">
        <f t="shared" si="0"/>
        <v>Abado 50 WP 20 X 6 X 40 gr468440</v>
      </c>
      <c r="B6" t="s">
        <v>9825</v>
      </c>
      <c r="C6" t="s">
        <v>14388</v>
      </c>
      <c r="D6" t="s">
        <v>11909</v>
      </c>
      <c r="E6" t="s">
        <v>22</v>
      </c>
      <c r="F6">
        <v>20</v>
      </c>
      <c r="G6">
        <v>6</v>
      </c>
      <c r="H6">
        <v>1</v>
      </c>
      <c r="I6">
        <v>120</v>
      </c>
      <c r="J6">
        <v>3372</v>
      </c>
      <c r="K6">
        <f t="shared" si="1"/>
        <v>28</v>
      </c>
      <c r="L6">
        <f t="shared" si="2"/>
        <v>12</v>
      </c>
      <c r="M6">
        <v>3372</v>
      </c>
      <c r="N6" s="3">
        <v>46844</v>
      </c>
      <c r="O6" s="6">
        <v>0</v>
      </c>
    </row>
    <row r="7" spans="1:15">
      <c r="A7" t="str">
        <f t="shared" si="0"/>
        <v>Abenz 22 EC 100 X 100 ml458090</v>
      </c>
      <c r="B7" t="s">
        <v>9826</v>
      </c>
      <c r="C7" t="s">
        <v>14389</v>
      </c>
      <c r="D7" t="s">
        <v>11910</v>
      </c>
      <c r="E7" t="s">
        <v>24</v>
      </c>
      <c r="F7">
        <v>100</v>
      </c>
      <c r="G7">
        <v>1</v>
      </c>
      <c r="H7">
        <v>1</v>
      </c>
      <c r="I7">
        <v>100</v>
      </c>
      <c r="J7">
        <v>37</v>
      </c>
      <c r="K7">
        <f t="shared" si="1"/>
        <v>0</v>
      </c>
      <c r="L7">
        <f t="shared" si="2"/>
        <v>37</v>
      </c>
      <c r="M7">
        <v>37</v>
      </c>
      <c r="N7" s="3">
        <v>45809</v>
      </c>
      <c r="O7" s="6">
        <v>0</v>
      </c>
    </row>
    <row r="8" spans="1:15">
      <c r="A8" t="str">
        <f t="shared" si="0"/>
        <v>Abenz 22 EC 100 X 100 ml469970</v>
      </c>
      <c r="B8" t="s">
        <v>9827</v>
      </c>
      <c r="C8" t="s">
        <v>14390</v>
      </c>
      <c r="D8" t="s">
        <v>11911</v>
      </c>
      <c r="E8" t="s">
        <v>24</v>
      </c>
      <c r="F8">
        <v>100</v>
      </c>
      <c r="G8">
        <v>1</v>
      </c>
      <c r="H8">
        <v>1</v>
      </c>
      <c r="I8">
        <v>100</v>
      </c>
      <c r="J8">
        <v>600</v>
      </c>
      <c r="K8">
        <f t="shared" si="1"/>
        <v>6</v>
      </c>
      <c r="L8">
        <f t="shared" si="2"/>
        <v>0</v>
      </c>
      <c r="M8">
        <v>600</v>
      </c>
      <c r="N8" s="3">
        <v>46997</v>
      </c>
      <c r="O8" s="6">
        <v>0</v>
      </c>
    </row>
    <row r="9" spans="1:15">
      <c r="A9" t="str">
        <f t="shared" si="0"/>
        <v>Abenz 22 EC 100 X 100 ml469350</v>
      </c>
      <c r="B9" t="s">
        <v>9828</v>
      </c>
      <c r="C9" t="s">
        <v>14391</v>
      </c>
      <c r="D9" t="s">
        <v>11912</v>
      </c>
      <c r="E9" t="s">
        <v>24</v>
      </c>
      <c r="F9">
        <v>100</v>
      </c>
      <c r="G9">
        <v>1</v>
      </c>
      <c r="H9">
        <v>1</v>
      </c>
      <c r="I9">
        <v>100</v>
      </c>
      <c r="J9">
        <v>6450</v>
      </c>
      <c r="K9">
        <f t="shared" si="1"/>
        <v>64</v>
      </c>
      <c r="L9">
        <f t="shared" si="2"/>
        <v>50</v>
      </c>
      <c r="M9">
        <v>6450</v>
      </c>
      <c r="N9" s="3">
        <v>46935</v>
      </c>
      <c r="O9" s="6">
        <v>0</v>
      </c>
    </row>
    <row r="10" spans="1:15">
      <c r="A10" t="str">
        <f t="shared" si="0"/>
        <v>Abenz 22 EC 40 X 250 ml468440</v>
      </c>
      <c r="B10" t="s">
        <v>9829</v>
      </c>
      <c r="C10" t="s">
        <v>14392</v>
      </c>
      <c r="D10" t="s">
        <v>11913</v>
      </c>
      <c r="E10" t="s">
        <v>28</v>
      </c>
      <c r="F10">
        <v>40</v>
      </c>
      <c r="G10">
        <v>1</v>
      </c>
      <c r="H10">
        <v>1</v>
      </c>
      <c r="I10">
        <v>40</v>
      </c>
      <c r="J10">
        <v>8</v>
      </c>
      <c r="K10">
        <f t="shared" si="1"/>
        <v>0</v>
      </c>
      <c r="L10">
        <f t="shared" si="2"/>
        <v>8</v>
      </c>
      <c r="M10">
        <v>8</v>
      </c>
      <c r="N10" s="3">
        <v>46844</v>
      </c>
      <c r="O10" s="6">
        <v>0</v>
      </c>
    </row>
    <row r="11" spans="1:15">
      <c r="A11" t="str">
        <f t="shared" si="0"/>
        <v>Abenz 22 EC 40 X 250 ml469970</v>
      </c>
      <c r="B11" t="s">
        <v>9830</v>
      </c>
      <c r="C11" t="s">
        <v>14393</v>
      </c>
      <c r="D11" t="s">
        <v>11914</v>
      </c>
      <c r="E11" t="s">
        <v>28</v>
      </c>
      <c r="F11">
        <v>40</v>
      </c>
      <c r="G11">
        <v>1</v>
      </c>
      <c r="H11">
        <v>1</v>
      </c>
      <c r="I11">
        <v>40</v>
      </c>
      <c r="J11">
        <v>2000</v>
      </c>
      <c r="K11">
        <f t="shared" si="1"/>
        <v>50</v>
      </c>
      <c r="L11">
        <f t="shared" si="2"/>
        <v>0</v>
      </c>
      <c r="M11">
        <v>2000</v>
      </c>
      <c r="N11" s="3">
        <v>46997</v>
      </c>
      <c r="O11" s="6">
        <v>0</v>
      </c>
    </row>
    <row r="12" spans="1:15">
      <c r="A12" t="str">
        <f t="shared" si="0"/>
        <v>Abojo 60 WP 10 X 20 X 50 gr471190</v>
      </c>
      <c r="B12" t="s">
        <v>9831</v>
      </c>
      <c r="C12" t="s">
        <v>14394</v>
      </c>
      <c r="D12" t="s">
        <v>11915</v>
      </c>
      <c r="E12" t="s">
        <v>31</v>
      </c>
      <c r="F12">
        <v>10</v>
      </c>
      <c r="G12">
        <v>20</v>
      </c>
      <c r="H12">
        <v>1</v>
      </c>
      <c r="I12">
        <v>200</v>
      </c>
      <c r="J12">
        <v>3488</v>
      </c>
      <c r="K12">
        <f t="shared" si="1"/>
        <v>17</v>
      </c>
      <c r="L12">
        <f t="shared" si="2"/>
        <v>88</v>
      </c>
      <c r="M12">
        <v>3488</v>
      </c>
      <c r="N12" s="3">
        <v>47119</v>
      </c>
      <c r="O12" s="6">
        <v>0</v>
      </c>
    </row>
    <row r="13" spans="1:15">
      <c r="A13" t="str">
        <f t="shared" si="0"/>
        <v>Abojo 60 WP 100 X 100 gr469660</v>
      </c>
      <c r="B13" t="s">
        <v>9832</v>
      </c>
      <c r="C13" t="s">
        <v>14395</v>
      </c>
      <c r="D13" t="s">
        <v>11916</v>
      </c>
      <c r="E13" t="s">
        <v>33</v>
      </c>
      <c r="F13">
        <v>100</v>
      </c>
      <c r="G13">
        <v>1</v>
      </c>
      <c r="H13">
        <v>1</v>
      </c>
      <c r="I13">
        <v>100</v>
      </c>
      <c r="J13">
        <v>2594</v>
      </c>
      <c r="K13">
        <f t="shared" si="1"/>
        <v>25</v>
      </c>
      <c r="L13">
        <f t="shared" si="2"/>
        <v>94</v>
      </c>
      <c r="M13">
        <v>2594</v>
      </c>
      <c r="N13" s="3">
        <v>46966</v>
      </c>
      <c r="O13" s="6">
        <v>0</v>
      </c>
    </row>
    <row r="14" spans="1:15">
      <c r="A14" t="str">
        <f t="shared" si="0"/>
        <v>Acapela System 280 SC 50 X 100 ml456890</v>
      </c>
      <c r="B14" t="s">
        <v>9833</v>
      </c>
      <c r="C14" t="s">
        <v>14396</v>
      </c>
      <c r="D14" t="s">
        <v>11917</v>
      </c>
      <c r="E14" t="s">
        <v>35</v>
      </c>
      <c r="F14">
        <v>50</v>
      </c>
      <c r="G14">
        <v>1</v>
      </c>
      <c r="H14">
        <v>1</v>
      </c>
      <c r="I14">
        <v>50</v>
      </c>
      <c r="J14">
        <v>3273</v>
      </c>
      <c r="K14">
        <f t="shared" si="1"/>
        <v>65</v>
      </c>
      <c r="L14">
        <f t="shared" si="2"/>
        <v>23</v>
      </c>
      <c r="M14">
        <v>3273</v>
      </c>
      <c r="N14" s="3">
        <v>45689</v>
      </c>
      <c r="O14" s="6">
        <v>0</v>
      </c>
    </row>
    <row r="15" spans="1:15">
      <c r="A15" t="str">
        <f t="shared" si="0"/>
        <v>Accora 100 EC 15 X 1 ltr (Sample)456580</v>
      </c>
      <c r="B15" t="s">
        <v>9834</v>
      </c>
      <c r="C15" t="s">
        <v>14397</v>
      </c>
      <c r="D15" t="s">
        <v>11918</v>
      </c>
      <c r="E15" t="s">
        <v>37</v>
      </c>
      <c r="F15">
        <v>15</v>
      </c>
      <c r="G15">
        <v>1</v>
      </c>
      <c r="H15">
        <v>1</v>
      </c>
      <c r="I15">
        <v>15</v>
      </c>
      <c r="J15">
        <v>1</v>
      </c>
      <c r="K15">
        <f t="shared" si="1"/>
        <v>0</v>
      </c>
      <c r="L15">
        <f t="shared" si="2"/>
        <v>1</v>
      </c>
      <c r="M15">
        <v>1</v>
      </c>
      <c r="N15" s="3">
        <v>45658</v>
      </c>
      <c r="O15" s="6">
        <v>0</v>
      </c>
    </row>
    <row r="16" spans="1:15">
      <c r="A16" t="str">
        <f t="shared" si="0"/>
        <v>Accora 100 EC 20 X 500 ml460540</v>
      </c>
      <c r="B16" t="s">
        <v>9835</v>
      </c>
      <c r="C16" t="s">
        <v>14398</v>
      </c>
      <c r="D16" t="s">
        <v>11919</v>
      </c>
      <c r="E16" t="s">
        <v>39</v>
      </c>
      <c r="F16">
        <v>20</v>
      </c>
      <c r="G16">
        <v>1</v>
      </c>
      <c r="H16">
        <v>1</v>
      </c>
      <c r="I16">
        <v>20</v>
      </c>
      <c r="J16">
        <v>115</v>
      </c>
      <c r="K16">
        <f t="shared" si="1"/>
        <v>5</v>
      </c>
      <c r="L16">
        <f t="shared" si="2"/>
        <v>15</v>
      </c>
      <c r="M16">
        <v>115</v>
      </c>
      <c r="N16" s="3">
        <v>46054</v>
      </c>
      <c r="O16" s="6">
        <v>0</v>
      </c>
    </row>
    <row r="17" spans="1:15">
      <c r="A17" t="str">
        <f t="shared" si="0"/>
        <v>Accu Kayaba Kering 12A - 12 Volt1/1/10000</v>
      </c>
      <c r="B17" t="s">
        <v>9836</v>
      </c>
      <c r="C17" t="s">
        <v>14399</v>
      </c>
      <c r="D17" t="s">
        <v>11920</v>
      </c>
      <c r="E17" t="s">
        <v>40</v>
      </c>
      <c r="F17">
        <v>1</v>
      </c>
      <c r="G17">
        <v>1</v>
      </c>
      <c r="H17">
        <v>1</v>
      </c>
      <c r="I17">
        <v>1</v>
      </c>
      <c r="J17">
        <v>1</v>
      </c>
      <c r="K17">
        <f t="shared" si="1"/>
        <v>1</v>
      </c>
      <c r="L17">
        <f t="shared" si="2"/>
        <v>0</v>
      </c>
      <c r="M17">
        <v>1</v>
      </c>
      <c r="N17" s="3" t="s">
        <v>2222</v>
      </c>
      <c r="O17" s="6">
        <v>0</v>
      </c>
    </row>
    <row r="18" spans="1:15">
      <c r="A18" t="str">
        <f t="shared" si="0"/>
        <v>Accu Sprayer Elektrik 5L 12V 1.3A1/1/10000</v>
      </c>
      <c r="B18" t="s">
        <v>9837</v>
      </c>
      <c r="C18" t="s">
        <v>14400</v>
      </c>
      <c r="D18" t="s">
        <v>11921</v>
      </c>
      <c r="E18" t="s">
        <v>42</v>
      </c>
      <c r="F18">
        <v>1</v>
      </c>
      <c r="G18">
        <v>1</v>
      </c>
      <c r="H18">
        <v>1</v>
      </c>
      <c r="I18">
        <v>1</v>
      </c>
      <c r="J18">
        <v>85</v>
      </c>
      <c r="K18">
        <f t="shared" si="1"/>
        <v>85</v>
      </c>
      <c r="L18">
        <f t="shared" si="2"/>
        <v>0</v>
      </c>
      <c r="M18">
        <v>85</v>
      </c>
      <c r="N18" s="3" t="s">
        <v>2222</v>
      </c>
      <c r="O18" s="6">
        <v>0</v>
      </c>
    </row>
    <row r="19" spans="1:15">
      <c r="A19" t="str">
        <f t="shared" si="0"/>
        <v>Ace One 75 SP 25 X 400 gr470580</v>
      </c>
      <c r="B19" t="s">
        <v>9838</v>
      </c>
      <c r="C19" t="s">
        <v>14401</v>
      </c>
      <c r="D19" t="s">
        <v>11922</v>
      </c>
      <c r="E19" t="s">
        <v>44</v>
      </c>
      <c r="F19">
        <v>25</v>
      </c>
      <c r="G19">
        <v>1</v>
      </c>
      <c r="H19">
        <v>1</v>
      </c>
      <c r="I19">
        <v>25</v>
      </c>
      <c r="J19">
        <v>1048</v>
      </c>
      <c r="K19">
        <f t="shared" si="1"/>
        <v>41</v>
      </c>
      <c r="L19">
        <f t="shared" si="2"/>
        <v>23</v>
      </c>
      <c r="M19">
        <v>1048</v>
      </c>
      <c r="N19" s="3">
        <v>47058</v>
      </c>
      <c r="O19" s="6">
        <v>0</v>
      </c>
    </row>
    <row r="20" spans="1:15">
      <c r="A20" t="str">
        <f t="shared" si="0"/>
        <v>Ace One 75 SP 25 X 400 gr471500</v>
      </c>
      <c r="B20" t="s">
        <v>9839</v>
      </c>
      <c r="C20" t="s">
        <v>14402</v>
      </c>
      <c r="D20" t="s">
        <v>11923</v>
      </c>
      <c r="E20" t="s">
        <v>44</v>
      </c>
      <c r="F20">
        <v>25</v>
      </c>
      <c r="G20">
        <v>1</v>
      </c>
      <c r="H20">
        <v>1</v>
      </c>
      <c r="I20">
        <v>25</v>
      </c>
      <c r="J20">
        <v>1925</v>
      </c>
      <c r="K20">
        <f t="shared" si="1"/>
        <v>77</v>
      </c>
      <c r="L20">
        <f t="shared" si="2"/>
        <v>0</v>
      </c>
      <c r="M20">
        <v>1925</v>
      </c>
      <c r="N20" s="3">
        <v>47150</v>
      </c>
      <c r="O20" s="6">
        <v>0</v>
      </c>
    </row>
    <row r="21" spans="1:15">
      <c r="A21" t="str">
        <f t="shared" si="0"/>
        <v>Ace One 75 SP 50 X 100 gr469660</v>
      </c>
      <c r="B21" t="s">
        <v>9840</v>
      </c>
      <c r="C21" t="s">
        <v>14403</v>
      </c>
      <c r="D21" t="s">
        <v>11924</v>
      </c>
      <c r="E21" t="s">
        <v>45</v>
      </c>
      <c r="F21">
        <v>50</v>
      </c>
      <c r="G21">
        <v>1</v>
      </c>
      <c r="H21">
        <v>1</v>
      </c>
      <c r="I21">
        <v>50</v>
      </c>
      <c r="J21">
        <v>3</v>
      </c>
      <c r="K21">
        <f t="shared" si="1"/>
        <v>0</v>
      </c>
      <c r="L21">
        <f t="shared" si="2"/>
        <v>3</v>
      </c>
      <c r="M21">
        <v>3</v>
      </c>
      <c r="N21" s="3">
        <v>46966</v>
      </c>
      <c r="O21" s="6">
        <v>0</v>
      </c>
    </row>
    <row r="22" spans="1:15">
      <c r="A22" t="str">
        <f t="shared" si="0"/>
        <v>Ace One 75 SP 50 X 100 gr470580</v>
      </c>
      <c r="B22" t="s">
        <v>9841</v>
      </c>
      <c r="C22" t="s">
        <v>14404</v>
      </c>
      <c r="D22" t="s">
        <v>11925</v>
      </c>
      <c r="E22" t="s">
        <v>45</v>
      </c>
      <c r="F22">
        <v>50</v>
      </c>
      <c r="G22">
        <v>1</v>
      </c>
      <c r="H22">
        <v>1</v>
      </c>
      <c r="I22">
        <v>50</v>
      </c>
      <c r="J22">
        <v>1380</v>
      </c>
      <c r="K22">
        <f t="shared" si="1"/>
        <v>27</v>
      </c>
      <c r="L22">
        <f t="shared" si="2"/>
        <v>30</v>
      </c>
      <c r="M22">
        <v>1380</v>
      </c>
      <c r="N22" s="3">
        <v>47058</v>
      </c>
      <c r="O22" s="6">
        <v>0</v>
      </c>
    </row>
    <row r="23" spans="1:15">
      <c r="A23" t="str">
        <f t="shared" si="0"/>
        <v>Achlor 4/36 WP 60 X 100 gr464780</v>
      </c>
      <c r="B23" t="s">
        <v>9842</v>
      </c>
      <c r="C23" t="s">
        <v>14405</v>
      </c>
      <c r="D23" t="s">
        <v>11926</v>
      </c>
      <c r="E23" t="s">
        <v>46</v>
      </c>
      <c r="F23">
        <v>60</v>
      </c>
      <c r="G23">
        <v>1</v>
      </c>
      <c r="H23">
        <v>1</v>
      </c>
      <c r="I23">
        <v>60</v>
      </c>
      <c r="J23">
        <v>120</v>
      </c>
      <c r="K23">
        <f t="shared" si="1"/>
        <v>2</v>
      </c>
      <c r="L23">
        <f t="shared" si="2"/>
        <v>0</v>
      </c>
      <c r="M23">
        <v>120</v>
      </c>
      <c r="N23" s="3">
        <v>46478</v>
      </c>
      <c r="O23" s="6">
        <v>0</v>
      </c>
    </row>
    <row r="24" spans="1:15">
      <c r="A24" t="str">
        <f t="shared" si="0"/>
        <v>ACL 6 865 SL 25 X 400 ml466310</v>
      </c>
      <c r="B24" t="s">
        <v>9843</v>
      </c>
      <c r="C24" t="s">
        <v>14406</v>
      </c>
      <c r="D24" t="s">
        <v>11927</v>
      </c>
      <c r="E24" t="s">
        <v>49</v>
      </c>
      <c r="F24">
        <v>25</v>
      </c>
      <c r="G24">
        <v>1</v>
      </c>
      <c r="H24">
        <v>1</v>
      </c>
      <c r="I24">
        <v>25</v>
      </c>
      <c r="J24">
        <v>171</v>
      </c>
      <c r="K24">
        <f t="shared" si="1"/>
        <v>6</v>
      </c>
      <c r="L24">
        <f t="shared" si="2"/>
        <v>21</v>
      </c>
      <c r="M24">
        <v>171</v>
      </c>
      <c r="N24" s="3">
        <v>46631</v>
      </c>
      <c r="O24" s="6">
        <v>0</v>
      </c>
    </row>
    <row r="25" spans="1:15">
      <c r="A25" t="str">
        <f t="shared" si="0"/>
        <v>ACL 6 865 SL 50 X 200 ml466000</v>
      </c>
      <c r="B25" t="s">
        <v>9844</v>
      </c>
      <c r="C25" t="s">
        <v>14407</v>
      </c>
      <c r="D25" t="s">
        <v>11928</v>
      </c>
      <c r="E25" t="s">
        <v>50</v>
      </c>
      <c r="F25">
        <v>50</v>
      </c>
      <c r="G25">
        <v>1</v>
      </c>
      <c r="H25">
        <v>1</v>
      </c>
      <c r="I25">
        <v>50</v>
      </c>
      <c r="J25">
        <v>572</v>
      </c>
      <c r="K25">
        <f t="shared" si="1"/>
        <v>11</v>
      </c>
      <c r="L25">
        <f t="shared" si="2"/>
        <v>22</v>
      </c>
      <c r="M25">
        <v>572</v>
      </c>
      <c r="N25" s="3">
        <v>46600</v>
      </c>
      <c r="O25" s="6">
        <v>0</v>
      </c>
    </row>
    <row r="26" spans="1:15">
      <c r="A26" t="str">
        <f t="shared" si="0"/>
        <v>Acrobat WP 20 X 6 X 40 gr461130</v>
      </c>
      <c r="B26" t="s">
        <v>9845</v>
      </c>
      <c r="C26" t="s">
        <v>14408</v>
      </c>
      <c r="D26" t="s">
        <v>11929</v>
      </c>
      <c r="E26" t="s">
        <v>51</v>
      </c>
      <c r="F26">
        <v>20</v>
      </c>
      <c r="G26">
        <v>6</v>
      </c>
      <c r="H26">
        <v>1</v>
      </c>
      <c r="I26">
        <v>120</v>
      </c>
      <c r="J26">
        <v>7423</v>
      </c>
      <c r="K26">
        <f t="shared" si="1"/>
        <v>61</v>
      </c>
      <c r="L26">
        <f t="shared" si="2"/>
        <v>103</v>
      </c>
      <c r="M26">
        <v>7423</v>
      </c>
      <c r="N26" s="3">
        <v>46113</v>
      </c>
      <c r="O26" s="6">
        <v>0</v>
      </c>
    </row>
    <row r="27" spans="1:15">
      <c r="A27" t="str">
        <f t="shared" si="0"/>
        <v>Adrift 125 EC 40 X 250 ml455970</v>
      </c>
      <c r="B27" t="s">
        <v>9846</v>
      </c>
      <c r="C27" t="s">
        <v>14409</v>
      </c>
      <c r="D27" t="s">
        <v>11930</v>
      </c>
      <c r="E27" t="s">
        <v>54</v>
      </c>
      <c r="F27">
        <v>40</v>
      </c>
      <c r="G27">
        <v>1</v>
      </c>
      <c r="H27">
        <v>1</v>
      </c>
      <c r="I27">
        <v>40</v>
      </c>
      <c r="J27">
        <v>230</v>
      </c>
      <c r="K27">
        <f t="shared" si="1"/>
        <v>5</v>
      </c>
      <c r="L27">
        <f t="shared" si="2"/>
        <v>30</v>
      </c>
      <c r="M27">
        <v>230</v>
      </c>
      <c r="N27" s="3">
        <v>45597</v>
      </c>
      <c r="O27" s="6">
        <v>0</v>
      </c>
    </row>
    <row r="28" spans="1:15">
      <c r="A28" t="str">
        <f t="shared" si="0"/>
        <v>Adrift 125 EC 50 X 100 ml455970</v>
      </c>
      <c r="B28" t="s">
        <v>9847</v>
      </c>
      <c r="C28" t="s">
        <v>14410</v>
      </c>
      <c r="D28" t="s">
        <v>11931</v>
      </c>
      <c r="E28" t="s">
        <v>55</v>
      </c>
      <c r="F28">
        <v>50</v>
      </c>
      <c r="G28">
        <v>1</v>
      </c>
      <c r="H28">
        <v>1</v>
      </c>
      <c r="I28">
        <v>50</v>
      </c>
      <c r="J28">
        <v>104</v>
      </c>
      <c r="K28">
        <f t="shared" si="1"/>
        <v>2</v>
      </c>
      <c r="L28">
        <f t="shared" si="2"/>
        <v>4</v>
      </c>
      <c r="M28">
        <v>104</v>
      </c>
      <c r="N28" s="3">
        <v>45597</v>
      </c>
      <c r="O28" s="6">
        <v>0</v>
      </c>
    </row>
    <row r="29" spans="1:15">
      <c r="A29" t="str">
        <f t="shared" si="0"/>
        <v>Afonil 50 SC 100 X 100 ml456890</v>
      </c>
      <c r="B29" t="s">
        <v>9848</v>
      </c>
      <c r="C29" t="s">
        <v>14411</v>
      </c>
      <c r="D29" t="s">
        <v>11932</v>
      </c>
      <c r="E29" t="s">
        <v>56</v>
      </c>
      <c r="F29">
        <v>100</v>
      </c>
      <c r="G29">
        <v>1</v>
      </c>
      <c r="H29">
        <v>1</v>
      </c>
      <c r="I29">
        <v>100</v>
      </c>
      <c r="J29">
        <v>1800</v>
      </c>
      <c r="K29">
        <f t="shared" si="1"/>
        <v>18</v>
      </c>
      <c r="L29">
        <f t="shared" si="2"/>
        <v>0</v>
      </c>
      <c r="M29">
        <v>1800</v>
      </c>
      <c r="N29" s="3">
        <v>45689</v>
      </c>
      <c r="O29" s="6">
        <v>0</v>
      </c>
    </row>
    <row r="30" spans="1:15">
      <c r="A30" t="str">
        <f t="shared" si="0"/>
        <v>Afonil 50 SC 100 X 50 ml457170</v>
      </c>
      <c r="B30" t="s">
        <v>9849</v>
      </c>
      <c r="C30" t="s">
        <v>14412</v>
      </c>
      <c r="D30" t="s">
        <v>11933</v>
      </c>
      <c r="E30" t="s">
        <v>57</v>
      </c>
      <c r="F30">
        <v>100</v>
      </c>
      <c r="G30">
        <v>1</v>
      </c>
      <c r="H30">
        <v>1</v>
      </c>
      <c r="I30">
        <v>100</v>
      </c>
      <c r="J30">
        <v>2165</v>
      </c>
      <c r="K30">
        <f t="shared" si="1"/>
        <v>21</v>
      </c>
      <c r="L30">
        <f t="shared" si="2"/>
        <v>65</v>
      </c>
      <c r="M30">
        <v>2165</v>
      </c>
      <c r="N30" s="3">
        <v>45717</v>
      </c>
      <c r="O30" s="6">
        <v>0</v>
      </c>
    </row>
    <row r="31" spans="1:15">
      <c r="A31" t="str">
        <f t="shared" si="0"/>
        <v>Afonil 50 SC 20 X 500 ml455970</v>
      </c>
      <c r="B31" t="s">
        <v>9850</v>
      </c>
      <c r="C31" t="s">
        <v>14413</v>
      </c>
      <c r="D31" t="s">
        <v>11934</v>
      </c>
      <c r="E31" t="s">
        <v>59</v>
      </c>
      <c r="F31">
        <v>20</v>
      </c>
      <c r="G31">
        <v>1</v>
      </c>
      <c r="H31">
        <v>1</v>
      </c>
      <c r="I31">
        <v>20</v>
      </c>
      <c r="J31">
        <v>198</v>
      </c>
      <c r="K31">
        <f t="shared" si="1"/>
        <v>9</v>
      </c>
      <c r="L31">
        <f t="shared" si="2"/>
        <v>18</v>
      </c>
      <c r="M31">
        <v>198</v>
      </c>
      <c r="N31" s="3">
        <v>45597</v>
      </c>
      <c r="O31" s="6">
        <v>0</v>
      </c>
    </row>
    <row r="32" spans="1:15">
      <c r="A32" t="str">
        <f t="shared" si="0"/>
        <v>Afonil 50 SC 40 X 250 ml455970</v>
      </c>
      <c r="B32" t="s">
        <v>9851</v>
      </c>
      <c r="C32" t="s">
        <v>14414</v>
      </c>
      <c r="D32" t="s">
        <v>11935</v>
      </c>
      <c r="E32" t="s">
        <v>60</v>
      </c>
      <c r="F32">
        <v>40</v>
      </c>
      <c r="G32">
        <v>1</v>
      </c>
      <c r="H32">
        <v>1</v>
      </c>
      <c r="I32">
        <v>40</v>
      </c>
      <c r="J32">
        <v>15</v>
      </c>
      <c r="K32">
        <f t="shared" si="1"/>
        <v>0</v>
      </c>
      <c r="L32">
        <f t="shared" si="2"/>
        <v>15</v>
      </c>
      <c r="M32">
        <v>15</v>
      </c>
      <c r="N32" s="3">
        <v>45597</v>
      </c>
      <c r="O32" s="6">
        <v>0</v>
      </c>
    </row>
    <row r="33" spans="1:15">
      <c r="A33" t="str">
        <f t="shared" si="0"/>
        <v>Afonil 50 SC 40 X 250 ml466310</v>
      </c>
      <c r="B33" t="s">
        <v>9852</v>
      </c>
      <c r="C33" t="s">
        <v>14415</v>
      </c>
      <c r="D33" t="s">
        <v>11936</v>
      </c>
      <c r="E33" t="s">
        <v>60</v>
      </c>
      <c r="F33">
        <v>40</v>
      </c>
      <c r="G33">
        <v>1</v>
      </c>
      <c r="H33">
        <v>1</v>
      </c>
      <c r="I33">
        <v>40</v>
      </c>
      <c r="J33">
        <v>819</v>
      </c>
      <c r="K33">
        <f t="shared" si="1"/>
        <v>20</v>
      </c>
      <c r="L33">
        <f t="shared" si="2"/>
        <v>19</v>
      </c>
      <c r="M33">
        <v>819</v>
      </c>
      <c r="N33" s="3">
        <v>46631</v>
      </c>
      <c r="O33" s="6">
        <v>0</v>
      </c>
    </row>
    <row r="34" spans="1:15">
      <c r="A34" t="str">
        <f t="shared" si="0"/>
        <v>Agapro 214/66 SL 40 X 200 ml470270</v>
      </c>
      <c r="B34" t="s">
        <v>9853</v>
      </c>
      <c r="C34" t="s">
        <v>14416</v>
      </c>
      <c r="D34" t="s">
        <v>11937</v>
      </c>
      <c r="E34" t="s">
        <v>61</v>
      </c>
      <c r="F34">
        <v>40</v>
      </c>
      <c r="G34">
        <v>1</v>
      </c>
      <c r="H34">
        <v>1</v>
      </c>
      <c r="I34">
        <v>40</v>
      </c>
      <c r="J34">
        <v>640</v>
      </c>
      <c r="K34">
        <f t="shared" si="1"/>
        <v>16</v>
      </c>
      <c r="L34">
        <f t="shared" si="2"/>
        <v>0</v>
      </c>
      <c r="M34">
        <v>640</v>
      </c>
      <c r="N34" s="3">
        <v>47027</v>
      </c>
      <c r="O34" s="6">
        <v>0</v>
      </c>
    </row>
    <row r="35" spans="1:15">
      <c r="A35" t="str">
        <f t="shared" si="0"/>
        <v>Agapro 214/66 SL 50 X 80 ml470270</v>
      </c>
      <c r="B35" t="s">
        <v>9854</v>
      </c>
      <c r="C35" t="s">
        <v>14417</v>
      </c>
      <c r="D35" t="s">
        <v>11938</v>
      </c>
      <c r="E35" t="s">
        <v>63</v>
      </c>
      <c r="F35">
        <v>50</v>
      </c>
      <c r="G35">
        <v>1</v>
      </c>
      <c r="H35">
        <v>1</v>
      </c>
      <c r="I35">
        <v>50</v>
      </c>
      <c r="J35">
        <v>800</v>
      </c>
      <c r="K35">
        <f t="shared" si="1"/>
        <v>16</v>
      </c>
      <c r="L35">
        <f t="shared" si="2"/>
        <v>0</v>
      </c>
      <c r="M35">
        <v>800</v>
      </c>
      <c r="N35" s="3">
        <v>47027</v>
      </c>
      <c r="O35" s="6">
        <v>0</v>
      </c>
    </row>
    <row r="36" spans="1:15">
      <c r="A36" t="str">
        <f t="shared" si="0"/>
        <v>Agil 100 EC 100 X 100 ml470580</v>
      </c>
      <c r="B36" t="s">
        <v>9855</v>
      </c>
      <c r="C36" t="s">
        <v>14418</v>
      </c>
      <c r="D36" t="s">
        <v>11939</v>
      </c>
      <c r="E36" t="s">
        <v>65</v>
      </c>
      <c r="F36">
        <v>100</v>
      </c>
      <c r="G36">
        <v>1</v>
      </c>
      <c r="H36">
        <v>1</v>
      </c>
      <c r="I36">
        <v>100</v>
      </c>
      <c r="J36">
        <v>700</v>
      </c>
      <c r="K36">
        <f t="shared" si="1"/>
        <v>7</v>
      </c>
      <c r="L36">
        <f t="shared" si="2"/>
        <v>0</v>
      </c>
      <c r="M36">
        <v>700</v>
      </c>
      <c r="N36" s="3">
        <v>47058</v>
      </c>
      <c r="O36" s="6">
        <v>0</v>
      </c>
    </row>
    <row r="37" spans="1:15">
      <c r="A37" t="str">
        <f t="shared" si="0"/>
        <v>Agil 100 EC 100 X 100 ml470270</v>
      </c>
      <c r="B37" t="s">
        <v>9856</v>
      </c>
      <c r="C37" t="s">
        <v>14419</v>
      </c>
      <c r="D37" t="s">
        <v>11940</v>
      </c>
      <c r="E37" t="s">
        <v>65</v>
      </c>
      <c r="F37">
        <v>100</v>
      </c>
      <c r="G37">
        <v>1</v>
      </c>
      <c r="H37">
        <v>1</v>
      </c>
      <c r="I37">
        <v>100</v>
      </c>
      <c r="J37">
        <v>1500</v>
      </c>
      <c r="K37">
        <f t="shared" si="1"/>
        <v>15</v>
      </c>
      <c r="L37">
        <f t="shared" si="2"/>
        <v>0</v>
      </c>
      <c r="M37">
        <v>1500</v>
      </c>
      <c r="N37" s="3">
        <v>47027</v>
      </c>
      <c r="O37" s="6">
        <v>0</v>
      </c>
    </row>
    <row r="38" spans="1:15">
      <c r="A38" t="str">
        <f t="shared" si="0"/>
        <v>Agil 100 EC 100 X 100 ml469660</v>
      </c>
      <c r="B38" t="s">
        <v>9857</v>
      </c>
      <c r="C38" t="s">
        <v>14420</v>
      </c>
      <c r="D38" t="s">
        <v>11941</v>
      </c>
      <c r="E38" t="s">
        <v>65</v>
      </c>
      <c r="F38">
        <v>100</v>
      </c>
      <c r="G38">
        <v>1</v>
      </c>
      <c r="H38">
        <v>1</v>
      </c>
      <c r="I38">
        <v>100</v>
      </c>
      <c r="J38">
        <v>3005</v>
      </c>
      <c r="K38">
        <f t="shared" si="1"/>
        <v>30</v>
      </c>
      <c r="L38">
        <f t="shared" si="2"/>
        <v>5</v>
      </c>
      <c r="M38">
        <v>3005</v>
      </c>
      <c r="N38" s="3">
        <v>46966</v>
      </c>
      <c r="O38" s="6">
        <v>0</v>
      </c>
    </row>
    <row r="39" spans="1:15">
      <c r="A39" t="str">
        <f t="shared" si="0"/>
        <v>Agil 100 EC 40 X 250 ml470880</v>
      </c>
      <c r="B39" t="s">
        <v>9858</v>
      </c>
      <c r="C39" t="s">
        <v>14421</v>
      </c>
      <c r="D39" t="s">
        <v>11942</v>
      </c>
      <c r="E39" t="s">
        <v>66</v>
      </c>
      <c r="F39">
        <v>40</v>
      </c>
      <c r="G39">
        <v>1</v>
      </c>
      <c r="H39">
        <v>1</v>
      </c>
      <c r="I39">
        <v>40</v>
      </c>
      <c r="J39">
        <v>22</v>
      </c>
      <c r="K39">
        <f t="shared" si="1"/>
        <v>0</v>
      </c>
      <c r="L39">
        <f t="shared" si="2"/>
        <v>22</v>
      </c>
      <c r="M39">
        <v>22</v>
      </c>
      <c r="N39" s="3">
        <v>47088</v>
      </c>
      <c r="O39" s="6">
        <v>0</v>
      </c>
    </row>
    <row r="40" spans="1:15">
      <c r="A40" t="str">
        <f t="shared" si="0"/>
        <v>Agil 100 EC 40 X 250 ml472090</v>
      </c>
      <c r="B40" t="s">
        <v>9859</v>
      </c>
      <c r="C40" t="s">
        <v>14422</v>
      </c>
      <c r="D40" t="s">
        <v>11943</v>
      </c>
      <c r="E40" t="s">
        <v>66</v>
      </c>
      <c r="F40">
        <v>40</v>
      </c>
      <c r="G40">
        <v>1</v>
      </c>
      <c r="H40">
        <v>1</v>
      </c>
      <c r="I40">
        <v>40</v>
      </c>
      <c r="J40">
        <v>3600</v>
      </c>
      <c r="K40">
        <f t="shared" si="1"/>
        <v>90</v>
      </c>
      <c r="L40">
        <f t="shared" si="2"/>
        <v>0</v>
      </c>
      <c r="M40">
        <v>3600</v>
      </c>
      <c r="N40" s="3">
        <v>47209</v>
      </c>
      <c r="O40" s="6">
        <v>0</v>
      </c>
    </row>
    <row r="41" spans="1:15">
      <c r="A41" t="str">
        <f t="shared" si="0"/>
        <v>Agridex 715 EC 12 X 1 ltr464190</v>
      </c>
      <c r="B41" t="s">
        <v>9860</v>
      </c>
      <c r="C41" t="s">
        <v>14423</v>
      </c>
      <c r="D41" t="s">
        <v>11944</v>
      </c>
      <c r="E41" t="s">
        <v>67</v>
      </c>
      <c r="F41">
        <v>12</v>
      </c>
      <c r="G41">
        <v>1</v>
      </c>
      <c r="H41">
        <v>1</v>
      </c>
      <c r="I41">
        <v>12</v>
      </c>
      <c r="J41">
        <v>4</v>
      </c>
      <c r="K41">
        <f t="shared" si="1"/>
        <v>0</v>
      </c>
      <c r="L41">
        <f t="shared" si="2"/>
        <v>4</v>
      </c>
      <c r="M41">
        <v>4</v>
      </c>
      <c r="N41" s="3">
        <v>46419</v>
      </c>
      <c r="O41" s="6">
        <v>0</v>
      </c>
    </row>
    <row r="42" spans="1:15">
      <c r="A42" t="str">
        <f t="shared" si="0"/>
        <v>Agridex 715 EC 12 X 1 ltr466920</v>
      </c>
      <c r="B42" t="s">
        <v>9861</v>
      </c>
      <c r="C42" t="s">
        <v>14424</v>
      </c>
      <c r="D42" t="s">
        <v>11945</v>
      </c>
      <c r="E42" t="s">
        <v>67</v>
      </c>
      <c r="F42">
        <v>12</v>
      </c>
      <c r="G42">
        <v>1</v>
      </c>
      <c r="H42">
        <v>1</v>
      </c>
      <c r="I42">
        <v>12</v>
      </c>
      <c r="J42">
        <v>168</v>
      </c>
      <c r="K42">
        <f t="shared" si="1"/>
        <v>14</v>
      </c>
      <c r="L42">
        <f t="shared" si="2"/>
        <v>0</v>
      </c>
      <c r="M42">
        <v>168</v>
      </c>
      <c r="N42" s="3">
        <v>46692</v>
      </c>
      <c r="O42" s="6">
        <v>0</v>
      </c>
    </row>
    <row r="43" spans="1:15">
      <c r="A43" t="str">
        <f t="shared" si="0"/>
        <v>Agridex 715 EC 12 X 1 ltr468440</v>
      </c>
      <c r="B43" t="s">
        <v>9862</v>
      </c>
      <c r="C43" t="s">
        <v>14425</v>
      </c>
      <c r="D43" t="s">
        <v>11946</v>
      </c>
      <c r="E43" t="s">
        <v>67</v>
      </c>
      <c r="F43">
        <v>12</v>
      </c>
      <c r="G43">
        <v>1</v>
      </c>
      <c r="H43">
        <v>1</v>
      </c>
      <c r="I43">
        <v>12</v>
      </c>
      <c r="J43">
        <v>2400</v>
      </c>
      <c r="K43">
        <f t="shared" si="1"/>
        <v>200</v>
      </c>
      <c r="L43">
        <f t="shared" si="2"/>
        <v>0</v>
      </c>
      <c r="M43">
        <v>2400</v>
      </c>
      <c r="N43" s="3">
        <v>46844</v>
      </c>
      <c r="O43" s="6">
        <v>0</v>
      </c>
    </row>
    <row r="44" spans="1:15">
      <c r="A44" t="str">
        <f t="shared" si="0"/>
        <v>Agrimec 18 EC 40 X 250 ml464190</v>
      </c>
      <c r="B44" t="s">
        <v>9863</v>
      </c>
      <c r="C44" t="s">
        <v>14426</v>
      </c>
      <c r="D44" t="s">
        <v>11947</v>
      </c>
      <c r="E44" t="s">
        <v>71</v>
      </c>
      <c r="F44">
        <v>40</v>
      </c>
      <c r="G44">
        <v>1</v>
      </c>
      <c r="H44">
        <v>1</v>
      </c>
      <c r="I44">
        <v>40</v>
      </c>
      <c r="J44">
        <v>8000</v>
      </c>
      <c r="K44">
        <f t="shared" si="1"/>
        <v>200</v>
      </c>
      <c r="L44">
        <f t="shared" si="2"/>
        <v>0</v>
      </c>
      <c r="M44">
        <v>8000</v>
      </c>
      <c r="N44" s="3">
        <v>46419</v>
      </c>
      <c r="O44" s="6">
        <v>0</v>
      </c>
    </row>
    <row r="45" spans="1:15">
      <c r="A45" t="str">
        <f t="shared" si="0"/>
        <v>Agrimec 18 EC 40 X 250 ml462960</v>
      </c>
      <c r="B45" t="s">
        <v>9864</v>
      </c>
      <c r="C45" t="s">
        <v>14427</v>
      </c>
      <c r="D45" t="s">
        <v>11948</v>
      </c>
      <c r="E45" t="s">
        <v>71</v>
      </c>
      <c r="F45">
        <v>40</v>
      </c>
      <c r="G45">
        <v>1</v>
      </c>
      <c r="H45">
        <v>1</v>
      </c>
      <c r="I45">
        <v>40</v>
      </c>
      <c r="J45">
        <v>4517</v>
      </c>
      <c r="K45">
        <f t="shared" si="1"/>
        <v>112</v>
      </c>
      <c r="L45">
        <f t="shared" si="2"/>
        <v>37</v>
      </c>
      <c r="M45">
        <v>4517</v>
      </c>
      <c r="N45" s="3">
        <v>46296</v>
      </c>
      <c r="O45" s="6">
        <v>0</v>
      </c>
    </row>
    <row r="46" spans="1:15">
      <c r="A46" t="str">
        <f t="shared" si="0"/>
        <v>Agristik 400 L 12 X 1 ltr458390</v>
      </c>
      <c r="B46" t="s">
        <v>9865</v>
      </c>
      <c r="C46" t="s">
        <v>14428</v>
      </c>
      <c r="D46" t="s">
        <v>11949</v>
      </c>
      <c r="E46" t="s">
        <v>75</v>
      </c>
      <c r="F46">
        <v>12</v>
      </c>
      <c r="G46">
        <v>1</v>
      </c>
      <c r="H46">
        <v>1</v>
      </c>
      <c r="I46">
        <v>12</v>
      </c>
      <c r="J46">
        <v>10</v>
      </c>
      <c r="K46">
        <f t="shared" si="1"/>
        <v>0</v>
      </c>
      <c r="L46">
        <f t="shared" si="2"/>
        <v>10</v>
      </c>
      <c r="M46">
        <v>10</v>
      </c>
      <c r="N46" s="3">
        <v>45839</v>
      </c>
      <c r="O46" s="6">
        <v>0</v>
      </c>
    </row>
    <row r="47" spans="1:15">
      <c r="A47" t="str">
        <f t="shared" si="0"/>
        <v>Agristik 400 L 12 X 1 ltr461130</v>
      </c>
      <c r="B47" t="s">
        <v>9866</v>
      </c>
      <c r="C47" t="s">
        <v>14429</v>
      </c>
      <c r="D47" t="s">
        <v>11950</v>
      </c>
      <c r="E47" t="s">
        <v>75</v>
      </c>
      <c r="F47">
        <v>12</v>
      </c>
      <c r="G47">
        <v>1</v>
      </c>
      <c r="H47">
        <v>1</v>
      </c>
      <c r="I47">
        <v>12</v>
      </c>
      <c r="J47">
        <v>720</v>
      </c>
      <c r="K47">
        <f t="shared" si="1"/>
        <v>60</v>
      </c>
      <c r="L47">
        <f t="shared" si="2"/>
        <v>0</v>
      </c>
      <c r="M47">
        <v>720</v>
      </c>
      <c r="N47" s="3">
        <v>46113</v>
      </c>
      <c r="O47" s="6">
        <v>0</v>
      </c>
    </row>
    <row r="48" spans="1:15">
      <c r="A48" t="str">
        <f t="shared" si="0"/>
        <v>Agrogib 40 SL 30 X 15 X 35 ml471780</v>
      </c>
      <c r="B48" t="s">
        <v>9867</v>
      </c>
      <c r="C48" t="s">
        <v>14430</v>
      </c>
      <c r="D48" t="s">
        <v>11951</v>
      </c>
      <c r="E48" t="s">
        <v>78</v>
      </c>
      <c r="F48">
        <v>30</v>
      </c>
      <c r="G48">
        <v>15</v>
      </c>
      <c r="H48">
        <v>1</v>
      </c>
      <c r="I48">
        <v>450</v>
      </c>
      <c r="J48">
        <v>4834</v>
      </c>
      <c r="K48">
        <f t="shared" si="1"/>
        <v>10</v>
      </c>
      <c r="L48">
        <f t="shared" si="2"/>
        <v>334</v>
      </c>
      <c r="M48">
        <v>4834</v>
      </c>
      <c r="N48" s="3">
        <v>47178</v>
      </c>
      <c r="O48" s="6">
        <v>0</v>
      </c>
    </row>
    <row r="49" spans="1:15">
      <c r="A49" t="str">
        <f t="shared" si="0"/>
        <v>Agus 500 SC 100 X 100 ml463880</v>
      </c>
      <c r="B49" t="s">
        <v>9868</v>
      </c>
      <c r="C49" t="s">
        <v>14431</v>
      </c>
      <c r="D49" t="s">
        <v>11952</v>
      </c>
      <c r="E49" t="s">
        <v>80</v>
      </c>
      <c r="F49">
        <v>100</v>
      </c>
      <c r="G49">
        <v>1</v>
      </c>
      <c r="H49">
        <v>1</v>
      </c>
      <c r="I49">
        <v>100</v>
      </c>
      <c r="J49">
        <v>2445</v>
      </c>
      <c r="K49">
        <f t="shared" si="1"/>
        <v>24</v>
      </c>
      <c r="L49">
        <f t="shared" si="2"/>
        <v>45</v>
      </c>
      <c r="M49">
        <v>2445</v>
      </c>
      <c r="N49" s="3">
        <v>46388</v>
      </c>
      <c r="O49" s="6">
        <v>0</v>
      </c>
    </row>
    <row r="50" spans="1:15">
      <c r="A50" t="str">
        <f t="shared" si="0"/>
        <v>Agus 500 SC 100 X 100 ml464470</v>
      </c>
      <c r="B50" t="s">
        <v>9869</v>
      </c>
      <c r="C50" t="s">
        <v>14432</v>
      </c>
      <c r="D50" t="s">
        <v>11953</v>
      </c>
      <c r="E50" t="s">
        <v>80</v>
      </c>
      <c r="F50">
        <v>100</v>
      </c>
      <c r="G50">
        <v>1</v>
      </c>
      <c r="H50">
        <v>1</v>
      </c>
      <c r="I50">
        <v>100</v>
      </c>
      <c r="J50">
        <v>15000</v>
      </c>
      <c r="K50">
        <f t="shared" si="1"/>
        <v>150</v>
      </c>
      <c r="L50">
        <f t="shared" si="2"/>
        <v>0</v>
      </c>
      <c r="M50">
        <v>15000</v>
      </c>
      <c r="N50" s="3">
        <v>46447</v>
      </c>
      <c r="O50" s="6">
        <v>0</v>
      </c>
    </row>
    <row r="51" spans="1:15">
      <c r="A51" t="str">
        <f t="shared" si="0"/>
        <v>Agus 500 SC 40 X 250 ml463880</v>
      </c>
      <c r="B51" t="s">
        <v>9870</v>
      </c>
      <c r="C51" t="s">
        <v>14433</v>
      </c>
      <c r="D51" t="s">
        <v>11954</v>
      </c>
      <c r="E51" t="s">
        <v>83</v>
      </c>
      <c r="F51">
        <v>40</v>
      </c>
      <c r="G51">
        <v>1</v>
      </c>
      <c r="H51">
        <v>1</v>
      </c>
      <c r="I51">
        <v>40</v>
      </c>
      <c r="J51">
        <v>1808</v>
      </c>
      <c r="K51">
        <f t="shared" si="1"/>
        <v>45</v>
      </c>
      <c r="L51">
        <f t="shared" si="2"/>
        <v>8</v>
      </c>
      <c r="M51">
        <v>1808</v>
      </c>
      <c r="N51" s="3">
        <v>46388</v>
      </c>
      <c r="O51" s="6">
        <v>0</v>
      </c>
    </row>
    <row r="52" spans="1:15">
      <c r="A52" t="str">
        <f t="shared" si="0"/>
        <v>Agus 500 SC 40 X 250 ml464470</v>
      </c>
      <c r="B52" t="s">
        <v>9871</v>
      </c>
      <c r="C52" t="s">
        <v>14434</v>
      </c>
      <c r="D52" t="s">
        <v>11955</v>
      </c>
      <c r="E52" t="s">
        <v>83</v>
      </c>
      <c r="F52">
        <v>40</v>
      </c>
      <c r="G52">
        <v>1</v>
      </c>
      <c r="H52">
        <v>1</v>
      </c>
      <c r="I52">
        <v>40</v>
      </c>
      <c r="J52">
        <v>10360</v>
      </c>
      <c r="K52">
        <f t="shared" si="1"/>
        <v>259</v>
      </c>
      <c r="L52">
        <f t="shared" si="2"/>
        <v>0</v>
      </c>
      <c r="M52">
        <v>10360</v>
      </c>
      <c r="N52" s="3">
        <v>46447</v>
      </c>
      <c r="O52" s="6">
        <v>0</v>
      </c>
    </row>
    <row r="53" spans="1:15">
      <c r="A53" t="str">
        <f t="shared" si="0"/>
        <v>Ajin 70 WP 20 X 20 X 25 gr465390</v>
      </c>
      <c r="B53" t="s">
        <v>9872</v>
      </c>
      <c r="C53" t="s">
        <v>14435</v>
      </c>
      <c r="D53" t="s">
        <v>11956</v>
      </c>
      <c r="E53" t="s">
        <v>86</v>
      </c>
      <c r="F53">
        <v>20</v>
      </c>
      <c r="G53">
        <v>20</v>
      </c>
      <c r="H53">
        <v>1</v>
      </c>
      <c r="I53">
        <v>400</v>
      </c>
      <c r="J53">
        <v>4953</v>
      </c>
      <c r="K53">
        <f t="shared" si="1"/>
        <v>12</v>
      </c>
      <c r="L53">
        <f t="shared" si="2"/>
        <v>153</v>
      </c>
      <c r="M53">
        <v>4953</v>
      </c>
      <c r="N53" s="3">
        <v>46539</v>
      </c>
      <c r="O53" s="6">
        <v>0</v>
      </c>
    </row>
    <row r="54" spans="1:15">
      <c r="A54" t="str">
        <f t="shared" si="0"/>
        <v>Akalis 550 SC 10 X 1 ltr457170</v>
      </c>
      <c r="B54" t="s">
        <v>9873</v>
      </c>
      <c r="C54" t="s">
        <v>14436</v>
      </c>
      <c r="D54" t="s">
        <v>11957</v>
      </c>
      <c r="E54" t="s">
        <v>88</v>
      </c>
      <c r="F54">
        <v>10</v>
      </c>
      <c r="G54">
        <v>1</v>
      </c>
      <c r="H54">
        <v>1</v>
      </c>
      <c r="I54">
        <v>10</v>
      </c>
      <c r="J54">
        <v>428</v>
      </c>
      <c r="K54">
        <f t="shared" si="1"/>
        <v>42</v>
      </c>
      <c r="L54">
        <f t="shared" si="2"/>
        <v>8</v>
      </c>
      <c r="M54">
        <v>428</v>
      </c>
      <c r="N54" s="3">
        <v>45717</v>
      </c>
      <c r="O54" s="6">
        <v>0</v>
      </c>
    </row>
    <row r="55" spans="1:15">
      <c r="A55" t="str">
        <f t="shared" si="0"/>
        <v>Akalis 550 SC 10 X 1 ltr462660</v>
      </c>
      <c r="B55" t="s">
        <v>9874</v>
      </c>
      <c r="C55" t="s">
        <v>14437</v>
      </c>
      <c r="D55" t="s">
        <v>11958</v>
      </c>
      <c r="E55" t="s">
        <v>88</v>
      </c>
      <c r="F55">
        <v>10</v>
      </c>
      <c r="G55">
        <v>1</v>
      </c>
      <c r="H55">
        <v>1</v>
      </c>
      <c r="I55">
        <v>10</v>
      </c>
      <c r="J55">
        <v>500</v>
      </c>
      <c r="K55">
        <f t="shared" si="1"/>
        <v>50</v>
      </c>
      <c r="L55">
        <f t="shared" si="2"/>
        <v>0</v>
      </c>
      <c r="M55">
        <v>500</v>
      </c>
      <c r="N55" s="3">
        <v>46266</v>
      </c>
      <c r="O55" s="6">
        <v>0</v>
      </c>
    </row>
    <row r="56" spans="1:15">
      <c r="A56" t="str">
        <f t="shared" si="0"/>
        <v>Akalis 550 SC 20 X 500 ml466310</v>
      </c>
      <c r="B56" t="s">
        <v>9875</v>
      </c>
      <c r="C56" t="s">
        <v>14438</v>
      </c>
      <c r="D56" t="s">
        <v>11959</v>
      </c>
      <c r="E56" t="s">
        <v>92</v>
      </c>
      <c r="F56">
        <v>20</v>
      </c>
      <c r="G56">
        <v>1</v>
      </c>
      <c r="H56">
        <v>1</v>
      </c>
      <c r="I56">
        <v>20</v>
      </c>
      <c r="J56">
        <v>180</v>
      </c>
      <c r="K56">
        <f t="shared" si="1"/>
        <v>9</v>
      </c>
      <c r="L56">
        <f t="shared" si="2"/>
        <v>0</v>
      </c>
      <c r="M56">
        <v>180</v>
      </c>
      <c r="N56" s="3">
        <v>46631</v>
      </c>
      <c r="O56" s="6">
        <v>0</v>
      </c>
    </row>
    <row r="57" spans="1:15">
      <c r="A57" t="str">
        <f t="shared" si="0"/>
        <v>Akalis 550 SC 20 X 500 ml463570</v>
      </c>
      <c r="B57" t="s">
        <v>9876</v>
      </c>
      <c r="C57" t="s">
        <v>14439</v>
      </c>
      <c r="D57" t="s">
        <v>11960</v>
      </c>
      <c r="E57" t="s">
        <v>92</v>
      </c>
      <c r="F57">
        <v>20</v>
      </c>
      <c r="G57">
        <v>1</v>
      </c>
      <c r="H57">
        <v>1</v>
      </c>
      <c r="I57">
        <v>20</v>
      </c>
      <c r="J57">
        <v>565</v>
      </c>
      <c r="K57">
        <f t="shared" si="1"/>
        <v>28</v>
      </c>
      <c r="L57">
        <f t="shared" si="2"/>
        <v>5</v>
      </c>
      <c r="M57">
        <v>565</v>
      </c>
      <c r="N57" s="3">
        <v>46357</v>
      </c>
      <c r="O57" s="6">
        <v>0</v>
      </c>
    </row>
    <row r="58" spans="1:15">
      <c r="A58" t="str">
        <f t="shared" si="0"/>
        <v>Akalis 550 SC 40 X 250 ml457170</v>
      </c>
      <c r="B58" t="s">
        <v>9877</v>
      </c>
      <c r="C58" t="s">
        <v>14440</v>
      </c>
      <c r="D58" t="s">
        <v>11961</v>
      </c>
      <c r="E58" t="s">
        <v>95</v>
      </c>
      <c r="F58">
        <v>40</v>
      </c>
      <c r="G58">
        <v>1</v>
      </c>
      <c r="H58">
        <v>1</v>
      </c>
      <c r="I58">
        <v>40</v>
      </c>
      <c r="J58">
        <v>1793</v>
      </c>
      <c r="K58">
        <f t="shared" si="1"/>
        <v>44</v>
      </c>
      <c r="L58">
        <f t="shared" si="2"/>
        <v>33</v>
      </c>
      <c r="M58">
        <v>1793</v>
      </c>
      <c r="N58" s="3">
        <v>45717</v>
      </c>
      <c r="O58" s="6">
        <v>0</v>
      </c>
    </row>
    <row r="59" spans="1:15">
      <c r="A59" t="str">
        <f t="shared" si="0"/>
        <v>Akrostar 40 WP 100 X 100 gr459010</v>
      </c>
      <c r="B59" t="s">
        <v>9878</v>
      </c>
      <c r="C59" t="s">
        <v>14441</v>
      </c>
      <c r="D59" t="s">
        <v>11962</v>
      </c>
      <c r="E59" t="s">
        <v>97</v>
      </c>
      <c r="F59">
        <v>100</v>
      </c>
      <c r="G59">
        <v>1</v>
      </c>
      <c r="H59">
        <v>1</v>
      </c>
      <c r="I59">
        <v>100</v>
      </c>
      <c r="J59">
        <v>840</v>
      </c>
      <c r="K59">
        <f t="shared" si="1"/>
        <v>8</v>
      </c>
      <c r="L59">
        <f t="shared" si="2"/>
        <v>40</v>
      </c>
      <c r="M59">
        <v>840</v>
      </c>
      <c r="N59" s="3">
        <v>45901</v>
      </c>
      <c r="O59" s="6">
        <v>0</v>
      </c>
    </row>
    <row r="60" spans="1:15">
      <c r="A60" t="str">
        <f t="shared" si="0"/>
        <v>Akrostar 40 WP 60 X 40 gr461740</v>
      </c>
      <c r="B60" t="s">
        <v>9879</v>
      </c>
      <c r="C60" t="s">
        <v>14442</v>
      </c>
      <c r="D60" t="s">
        <v>11963</v>
      </c>
      <c r="E60" t="s">
        <v>98</v>
      </c>
      <c r="F60">
        <v>60</v>
      </c>
      <c r="G60">
        <v>1</v>
      </c>
      <c r="H60">
        <v>1</v>
      </c>
      <c r="I60">
        <v>60</v>
      </c>
      <c r="J60">
        <v>649</v>
      </c>
      <c r="K60">
        <f t="shared" si="1"/>
        <v>10</v>
      </c>
      <c r="L60">
        <f t="shared" si="2"/>
        <v>49</v>
      </c>
      <c r="M60">
        <v>649</v>
      </c>
      <c r="N60" s="3">
        <v>46174</v>
      </c>
      <c r="O60" s="6">
        <v>0</v>
      </c>
    </row>
    <row r="61" spans="1:15">
      <c r="A61" t="str">
        <f t="shared" si="0"/>
        <v>Alat Kocor Pupuk Cair Jitu 20 Ltr1/1/10000</v>
      </c>
      <c r="B61" t="s">
        <v>9880</v>
      </c>
      <c r="C61" t="s">
        <v>14443</v>
      </c>
      <c r="D61" t="s">
        <v>11964</v>
      </c>
      <c r="E61" t="s">
        <v>99</v>
      </c>
      <c r="F61">
        <v>1</v>
      </c>
      <c r="G61">
        <v>1</v>
      </c>
      <c r="H61">
        <v>1</v>
      </c>
      <c r="I61">
        <v>1</v>
      </c>
      <c r="J61">
        <v>1</v>
      </c>
      <c r="K61">
        <f t="shared" si="1"/>
        <v>1</v>
      </c>
      <c r="L61">
        <f t="shared" si="2"/>
        <v>0</v>
      </c>
      <c r="M61">
        <v>1</v>
      </c>
      <c r="N61" s="3" t="s">
        <v>2222</v>
      </c>
      <c r="O61" s="6">
        <v>0</v>
      </c>
    </row>
    <row r="62" spans="1:15">
      <c r="A62" t="str">
        <f t="shared" si="0"/>
        <v>Alat Kocor Pupuk Cair Quda Karisma1/1/10000</v>
      </c>
      <c r="B62" t="s">
        <v>9881</v>
      </c>
      <c r="C62" t="s">
        <v>14444</v>
      </c>
      <c r="D62" t="s">
        <v>11965</v>
      </c>
      <c r="E62" t="s">
        <v>102</v>
      </c>
      <c r="F62">
        <v>1</v>
      </c>
      <c r="G62">
        <v>1</v>
      </c>
      <c r="H62">
        <v>1</v>
      </c>
      <c r="I62">
        <v>1</v>
      </c>
      <c r="J62">
        <v>63</v>
      </c>
      <c r="K62">
        <f t="shared" si="1"/>
        <v>63</v>
      </c>
      <c r="L62">
        <f t="shared" si="2"/>
        <v>0</v>
      </c>
      <c r="M62">
        <v>63</v>
      </c>
      <c r="N62" s="3" t="s">
        <v>2222</v>
      </c>
      <c r="O62" s="6">
        <v>0</v>
      </c>
    </row>
    <row r="63" spans="1:15">
      <c r="A63" t="str">
        <f t="shared" si="0"/>
        <v>Alat Kocor Pupuk Padat Quda Karisma1/1/10000</v>
      </c>
      <c r="B63" t="s">
        <v>9882</v>
      </c>
      <c r="C63" t="s">
        <v>14445</v>
      </c>
      <c r="D63" t="s">
        <v>11966</v>
      </c>
      <c r="E63" t="s">
        <v>103</v>
      </c>
      <c r="F63">
        <v>1</v>
      </c>
      <c r="G63">
        <v>1</v>
      </c>
      <c r="H63">
        <v>1</v>
      </c>
      <c r="I63">
        <v>1</v>
      </c>
      <c r="J63">
        <v>1</v>
      </c>
      <c r="K63">
        <f t="shared" si="1"/>
        <v>1</v>
      </c>
      <c r="L63">
        <f t="shared" si="2"/>
        <v>0</v>
      </c>
      <c r="M63">
        <v>1</v>
      </c>
      <c r="N63" s="3" t="s">
        <v>2222</v>
      </c>
      <c r="O63" s="6">
        <v>0</v>
      </c>
    </row>
    <row r="64" spans="1:15">
      <c r="A64" t="str">
        <f t="shared" si="0"/>
        <v>Alat Kocor Pupuk Padat Satagro 25 ltr1/1/10000</v>
      </c>
      <c r="B64" t="s">
        <v>9883</v>
      </c>
      <c r="C64" t="s">
        <v>14446</v>
      </c>
      <c r="D64" t="s">
        <v>11967</v>
      </c>
      <c r="E64" t="s">
        <v>104</v>
      </c>
      <c r="F64">
        <v>1</v>
      </c>
      <c r="G64">
        <v>1</v>
      </c>
      <c r="H64">
        <v>1</v>
      </c>
      <c r="I64">
        <v>1</v>
      </c>
      <c r="J64">
        <v>80</v>
      </c>
      <c r="K64">
        <f t="shared" si="1"/>
        <v>80</v>
      </c>
      <c r="L64">
        <f t="shared" si="2"/>
        <v>0</v>
      </c>
      <c r="M64">
        <v>80</v>
      </c>
      <c r="N64" s="3" t="s">
        <v>2222</v>
      </c>
      <c r="O64" s="6">
        <v>0</v>
      </c>
    </row>
    <row r="65" spans="1:15">
      <c r="A65" t="str">
        <f t="shared" si="0"/>
        <v>Alat Pengikat Tanaman Yoto1/1/10000</v>
      </c>
      <c r="B65" t="s">
        <v>9884</v>
      </c>
      <c r="C65" t="s">
        <v>14447</v>
      </c>
      <c r="D65" t="s">
        <v>11968</v>
      </c>
      <c r="E65" t="s">
        <v>105</v>
      </c>
      <c r="F65">
        <v>1</v>
      </c>
      <c r="G65">
        <v>1</v>
      </c>
      <c r="H65">
        <v>1</v>
      </c>
      <c r="I65">
        <v>1</v>
      </c>
      <c r="J65">
        <v>20</v>
      </c>
      <c r="K65">
        <f t="shared" si="1"/>
        <v>20</v>
      </c>
      <c r="L65">
        <f t="shared" si="2"/>
        <v>0</v>
      </c>
      <c r="M65">
        <v>20</v>
      </c>
      <c r="N65" s="3" t="s">
        <v>2222</v>
      </c>
      <c r="O65" s="6">
        <v>0</v>
      </c>
    </row>
    <row r="66" spans="1:15">
      <c r="A66" t="str">
        <f t="shared" si="0"/>
        <v>Alat Service YT 5L / 7L1/1/10000</v>
      </c>
      <c r="B66" t="s">
        <v>9885</v>
      </c>
      <c r="C66" t="s">
        <v>14448</v>
      </c>
      <c r="D66" t="s">
        <v>11969</v>
      </c>
      <c r="E66" t="s">
        <v>106</v>
      </c>
      <c r="F66">
        <v>1</v>
      </c>
      <c r="G66">
        <v>1</v>
      </c>
      <c r="H66">
        <v>1</v>
      </c>
      <c r="I66">
        <v>1</v>
      </c>
      <c r="J66">
        <v>20</v>
      </c>
      <c r="K66">
        <f t="shared" si="1"/>
        <v>20</v>
      </c>
      <c r="L66">
        <f t="shared" si="2"/>
        <v>0</v>
      </c>
      <c r="M66">
        <v>20</v>
      </c>
      <c r="N66" s="3" t="s">
        <v>2222</v>
      </c>
      <c r="O66" s="6">
        <v>0</v>
      </c>
    </row>
    <row r="67" spans="1:15">
      <c r="A67" t="str">
        <f t="shared" ref="A67:A130" si="3">E67&amp;N67&amp;O67</f>
        <v>Alat Tanam Jagung 1 Output Satagro MTB-006 6 X 1 pcs1/1/10000</v>
      </c>
      <c r="B67" t="s">
        <v>9886</v>
      </c>
      <c r="C67" t="s">
        <v>14449</v>
      </c>
      <c r="D67" t="s">
        <v>11970</v>
      </c>
      <c r="E67" t="s">
        <v>107</v>
      </c>
      <c r="F67">
        <v>6</v>
      </c>
      <c r="G67">
        <v>1</v>
      </c>
      <c r="H67">
        <v>1</v>
      </c>
      <c r="I67">
        <v>6</v>
      </c>
      <c r="J67">
        <v>368</v>
      </c>
      <c r="K67">
        <f t="shared" ref="K67:K130" si="4">ROUNDDOWN(J67/I67,0)</f>
        <v>61</v>
      </c>
      <c r="L67">
        <f t="shared" ref="L67:L130" si="5">J67-K67*I67</f>
        <v>2</v>
      </c>
      <c r="M67">
        <v>368</v>
      </c>
      <c r="N67" s="3" t="s">
        <v>2222</v>
      </c>
      <c r="O67" s="6">
        <v>0</v>
      </c>
    </row>
    <row r="68" spans="1:15">
      <c r="A68" t="str">
        <f t="shared" si="3"/>
        <v>Alat Tanam Roll MTB-008 SS1/1/10000</v>
      </c>
      <c r="B68" t="s">
        <v>9887</v>
      </c>
      <c r="C68" t="s">
        <v>14450</v>
      </c>
      <c r="D68" t="s">
        <v>11971</v>
      </c>
      <c r="E68" t="s">
        <v>108</v>
      </c>
      <c r="F68">
        <v>1</v>
      </c>
      <c r="G68">
        <v>1</v>
      </c>
      <c r="H68">
        <v>1</v>
      </c>
      <c r="I68">
        <v>1</v>
      </c>
      <c r="J68">
        <v>110</v>
      </c>
      <c r="K68">
        <f t="shared" si="4"/>
        <v>110</v>
      </c>
      <c r="L68">
        <f t="shared" si="5"/>
        <v>0</v>
      </c>
      <c r="M68">
        <v>110</v>
      </c>
      <c r="N68" s="3" t="s">
        <v>2222</v>
      </c>
      <c r="O68" s="6">
        <v>0</v>
      </c>
    </row>
    <row r="69" spans="1:15">
      <c r="A69" t="str">
        <f t="shared" si="3"/>
        <v>Alat Tanam Roll MTB-010 SS1/1/10000</v>
      </c>
      <c r="B69" t="s">
        <v>9888</v>
      </c>
      <c r="C69" t="s">
        <v>14451</v>
      </c>
      <c r="D69" t="s">
        <v>11972</v>
      </c>
      <c r="E69" t="s">
        <v>109</v>
      </c>
      <c r="F69">
        <v>1</v>
      </c>
      <c r="G69">
        <v>1</v>
      </c>
      <c r="H69">
        <v>1</v>
      </c>
      <c r="I69">
        <v>1</v>
      </c>
      <c r="J69">
        <v>35</v>
      </c>
      <c r="K69">
        <f t="shared" si="4"/>
        <v>35</v>
      </c>
      <c r="L69">
        <f t="shared" si="5"/>
        <v>0</v>
      </c>
      <c r="M69">
        <v>35</v>
      </c>
      <c r="N69" s="3" t="s">
        <v>2222</v>
      </c>
      <c r="O69" s="6">
        <v>0</v>
      </c>
    </row>
    <row r="70" spans="1:15">
      <c r="A70" t="str">
        <f t="shared" si="3"/>
        <v>Alfatox 50 EC 20 X 400 ml (AGM)470880</v>
      </c>
      <c r="B70" t="s">
        <v>9889</v>
      </c>
      <c r="C70" t="s">
        <v>14452</v>
      </c>
      <c r="D70" t="s">
        <v>11973</v>
      </c>
      <c r="E70" t="s">
        <v>110</v>
      </c>
      <c r="F70">
        <v>20</v>
      </c>
      <c r="G70">
        <v>1</v>
      </c>
      <c r="H70">
        <v>1</v>
      </c>
      <c r="I70">
        <v>20</v>
      </c>
      <c r="J70">
        <v>15</v>
      </c>
      <c r="K70">
        <f t="shared" si="4"/>
        <v>0</v>
      </c>
      <c r="L70">
        <f t="shared" si="5"/>
        <v>15</v>
      </c>
      <c r="M70">
        <v>15</v>
      </c>
      <c r="N70" s="3">
        <v>47088</v>
      </c>
      <c r="O70" s="6">
        <v>0</v>
      </c>
    </row>
    <row r="71" spans="1:15">
      <c r="A71" t="str">
        <f t="shared" si="3"/>
        <v>Alfatox 50 EC 20 X 400 ml (AGM)471780</v>
      </c>
      <c r="B71" t="s">
        <v>9890</v>
      </c>
      <c r="C71" t="s">
        <v>14453</v>
      </c>
      <c r="D71" t="s">
        <v>11974</v>
      </c>
      <c r="E71" t="s">
        <v>110</v>
      </c>
      <c r="F71">
        <v>20</v>
      </c>
      <c r="G71">
        <v>1</v>
      </c>
      <c r="H71">
        <v>1</v>
      </c>
      <c r="I71">
        <v>20</v>
      </c>
      <c r="J71">
        <v>1980</v>
      </c>
      <c r="K71">
        <f t="shared" si="4"/>
        <v>99</v>
      </c>
      <c r="L71">
        <f t="shared" si="5"/>
        <v>0</v>
      </c>
      <c r="M71">
        <v>1980</v>
      </c>
      <c r="N71" s="3">
        <v>47178</v>
      </c>
      <c r="O71" s="6">
        <v>0</v>
      </c>
    </row>
    <row r="72" spans="1:15">
      <c r="A72" t="str">
        <f t="shared" si="3"/>
        <v>Alfatox 50 EC 40 X 200 ml (AGM)469050</v>
      </c>
      <c r="B72" t="s">
        <v>9891</v>
      </c>
      <c r="C72" t="s">
        <v>14454</v>
      </c>
      <c r="D72" t="s">
        <v>11975</v>
      </c>
      <c r="E72" t="s">
        <v>113</v>
      </c>
      <c r="F72">
        <v>40</v>
      </c>
      <c r="G72">
        <v>1</v>
      </c>
      <c r="H72">
        <v>1</v>
      </c>
      <c r="I72">
        <v>40</v>
      </c>
      <c r="J72">
        <v>303</v>
      </c>
      <c r="K72">
        <f t="shared" si="4"/>
        <v>7</v>
      </c>
      <c r="L72">
        <f t="shared" si="5"/>
        <v>23</v>
      </c>
      <c r="M72">
        <v>303</v>
      </c>
      <c r="N72" s="3">
        <v>46905</v>
      </c>
      <c r="O72" s="6">
        <v>0</v>
      </c>
    </row>
    <row r="73" spans="1:15">
      <c r="A73" t="str">
        <f t="shared" si="3"/>
        <v>Alfatox 50 EC 40 X 200 ml (AGM)470880</v>
      </c>
      <c r="B73" t="s">
        <v>9892</v>
      </c>
      <c r="C73" t="s">
        <v>14455</v>
      </c>
      <c r="D73" t="s">
        <v>11976</v>
      </c>
      <c r="E73" t="s">
        <v>113</v>
      </c>
      <c r="F73">
        <v>40</v>
      </c>
      <c r="G73">
        <v>1</v>
      </c>
      <c r="H73">
        <v>1</v>
      </c>
      <c r="I73">
        <v>40</v>
      </c>
      <c r="J73">
        <v>3400</v>
      </c>
      <c r="K73">
        <f t="shared" si="4"/>
        <v>85</v>
      </c>
      <c r="L73">
        <f t="shared" si="5"/>
        <v>0</v>
      </c>
      <c r="M73">
        <v>3400</v>
      </c>
      <c r="N73" s="3">
        <v>47088</v>
      </c>
      <c r="O73" s="6">
        <v>0</v>
      </c>
    </row>
    <row r="74" spans="1:15">
      <c r="A74" t="str">
        <f t="shared" si="3"/>
        <v>Alfatox 50 EC 50 X 80 ml (AGM)471780</v>
      </c>
      <c r="B74" t="s">
        <v>9893</v>
      </c>
      <c r="C74" t="s">
        <v>14456</v>
      </c>
      <c r="D74" t="s">
        <v>11977</v>
      </c>
      <c r="E74" t="s">
        <v>116</v>
      </c>
      <c r="F74">
        <v>50</v>
      </c>
      <c r="G74">
        <v>1</v>
      </c>
      <c r="H74">
        <v>1</v>
      </c>
      <c r="I74">
        <v>50</v>
      </c>
      <c r="J74">
        <v>5644</v>
      </c>
      <c r="K74">
        <f t="shared" si="4"/>
        <v>112</v>
      </c>
      <c r="L74">
        <f t="shared" si="5"/>
        <v>44</v>
      </c>
      <c r="M74">
        <v>5644</v>
      </c>
      <c r="N74" s="3">
        <v>47178</v>
      </c>
      <c r="O74" s="6">
        <v>0</v>
      </c>
    </row>
    <row r="75" spans="1:15">
      <c r="A75" t="str">
        <f t="shared" si="3"/>
        <v>Alika 247 ZC 100 X 50 ml458390</v>
      </c>
      <c r="B75" t="s">
        <v>9894</v>
      </c>
      <c r="C75" t="s">
        <v>14457</v>
      </c>
      <c r="D75" t="s">
        <v>11978</v>
      </c>
      <c r="E75" t="s">
        <v>118</v>
      </c>
      <c r="F75">
        <v>100</v>
      </c>
      <c r="G75">
        <v>1</v>
      </c>
      <c r="H75">
        <v>1</v>
      </c>
      <c r="I75">
        <v>100</v>
      </c>
      <c r="J75">
        <v>957</v>
      </c>
      <c r="K75">
        <f t="shared" si="4"/>
        <v>9</v>
      </c>
      <c r="L75">
        <f t="shared" si="5"/>
        <v>57</v>
      </c>
      <c r="M75">
        <v>957</v>
      </c>
      <c r="N75" s="3">
        <v>45839</v>
      </c>
      <c r="O75" s="6">
        <v>0</v>
      </c>
    </row>
    <row r="76" spans="1:15">
      <c r="A76" t="str">
        <f t="shared" si="3"/>
        <v>Alika 247 ZC 40 X 250 ml458390</v>
      </c>
      <c r="B76" t="s">
        <v>9895</v>
      </c>
      <c r="C76" t="s">
        <v>14458</v>
      </c>
      <c r="D76" t="s">
        <v>11979</v>
      </c>
      <c r="E76" t="s">
        <v>122</v>
      </c>
      <c r="F76">
        <v>40</v>
      </c>
      <c r="G76">
        <v>1</v>
      </c>
      <c r="H76">
        <v>1</v>
      </c>
      <c r="I76">
        <v>40</v>
      </c>
      <c r="J76">
        <v>28</v>
      </c>
      <c r="K76">
        <f t="shared" si="4"/>
        <v>0</v>
      </c>
      <c r="L76">
        <f t="shared" si="5"/>
        <v>28</v>
      </c>
      <c r="M76">
        <v>28</v>
      </c>
      <c r="N76" s="3">
        <v>45839</v>
      </c>
      <c r="O76" s="6">
        <v>0</v>
      </c>
    </row>
    <row r="77" spans="1:15">
      <c r="A77" t="str">
        <f t="shared" si="3"/>
        <v>Alika 247 ZC 40 X 250 ml458090</v>
      </c>
      <c r="B77" t="s">
        <v>9896</v>
      </c>
      <c r="C77" t="s">
        <v>14459</v>
      </c>
      <c r="D77" t="s">
        <v>11980</v>
      </c>
      <c r="E77" t="s">
        <v>122</v>
      </c>
      <c r="F77">
        <v>40</v>
      </c>
      <c r="G77">
        <v>1</v>
      </c>
      <c r="H77">
        <v>1</v>
      </c>
      <c r="I77">
        <v>40</v>
      </c>
      <c r="J77">
        <v>2131</v>
      </c>
      <c r="K77">
        <f t="shared" si="4"/>
        <v>53</v>
      </c>
      <c r="L77">
        <f t="shared" si="5"/>
        <v>11</v>
      </c>
      <c r="M77">
        <v>2131</v>
      </c>
      <c r="N77" s="3">
        <v>45809</v>
      </c>
      <c r="O77" s="6">
        <v>0</v>
      </c>
    </row>
    <row r="78" spans="1:15">
      <c r="A78" t="str">
        <f t="shared" si="3"/>
        <v>Alika 247 ZC 50 X 100 ml458090</v>
      </c>
      <c r="B78" t="s">
        <v>9897</v>
      </c>
      <c r="C78" t="s">
        <v>14460</v>
      </c>
      <c r="D78" t="s">
        <v>11981</v>
      </c>
      <c r="E78" t="s">
        <v>126</v>
      </c>
      <c r="F78">
        <v>50</v>
      </c>
      <c r="G78">
        <v>1</v>
      </c>
      <c r="H78">
        <v>1</v>
      </c>
      <c r="I78">
        <v>50</v>
      </c>
      <c r="J78">
        <v>48</v>
      </c>
      <c r="K78">
        <f t="shared" si="4"/>
        <v>0</v>
      </c>
      <c r="L78">
        <f t="shared" si="5"/>
        <v>48</v>
      </c>
      <c r="M78">
        <v>48</v>
      </c>
      <c r="N78" s="3">
        <v>45809</v>
      </c>
      <c r="O78" s="6">
        <v>0</v>
      </c>
    </row>
    <row r="79" spans="1:15">
      <c r="A79" t="str">
        <f t="shared" si="3"/>
        <v>Alika 247 ZC 50 X 100 ml458390</v>
      </c>
      <c r="B79" t="s">
        <v>9898</v>
      </c>
      <c r="C79" t="s">
        <v>14461</v>
      </c>
      <c r="D79" t="s">
        <v>11982</v>
      </c>
      <c r="E79" t="s">
        <v>126</v>
      </c>
      <c r="F79">
        <v>50</v>
      </c>
      <c r="G79">
        <v>1</v>
      </c>
      <c r="H79">
        <v>1</v>
      </c>
      <c r="I79">
        <v>50</v>
      </c>
      <c r="J79">
        <v>6050</v>
      </c>
      <c r="K79">
        <f t="shared" si="4"/>
        <v>121</v>
      </c>
      <c r="L79">
        <f t="shared" si="5"/>
        <v>0</v>
      </c>
      <c r="M79">
        <v>6050</v>
      </c>
      <c r="N79" s="3">
        <v>45839</v>
      </c>
      <c r="O79" s="6">
        <v>0</v>
      </c>
    </row>
    <row r="80" spans="1:15">
      <c r="A80" t="str">
        <f t="shared" si="3"/>
        <v>Amabas 500 EC 16 X 1 ltr471500</v>
      </c>
      <c r="B80" t="s">
        <v>9899</v>
      </c>
      <c r="C80" t="s">
        <v>14462</v>
      </c>
      <c r="D80" t="s">
        <v>11983</v>
      </c>
      <c r="E80" t="s">
        <v>129</v>
      </c>
      <c r="F80">
        <v>16</v>
      </c>
      <c r="G80">
        <v>1</v>
      </c>
      <c r="H80">
        <v>1</v>
      </c>
      <c r="I80">
        <v>16</v>
      </c>
      <c r="J80">
        <v>13</v>
      </c>
      <c r="K80">
        <f t="shared" si="4"/>
        <v>0</v>
      </c>
      <c r="L80">
        <f t="shared" si="5"/>
        <v>13</v>
      </c>
      <c r="M80">
        <v>13</v>
      </c>
      <c r="N80" s="3">
        <v>47150</v>
      </c>
      <c r="O80" s="6">
        <v>0</v>
      </c>
    </row>
    <row r="81" spans="1:15">
      <c r="A81" t="str">
        <f t="shared" si="3"/>
        <v>Amabas 500 EC 16 X 1 ltr471780</v>
      </c>
      <c r="B81" t="s">
        <v>9900</v>
      </c>
      <c r="C81" t="s">
        <v>14463</v>
      </c>
      <c r="D81" t="s">
        <v>11984</v>
      </c>
      <c r="E81" t="s">
        <v>129</v>
      </c>
      <c r="F81">
        <v>16</v>
      </c>
      <c r="G81">
        <v>1</v>
      </c>
      <c r="H81">
        <v>1</v>
      </c>
      <c r="I81">
        <v>16</v>
      </c>
      <c r="J81">
        <v>16</v>
      </c>
      <c r="K81">
        <f t="shared" si="4"/>
        <v>1</v>
      </c>
      <c r="L81">
        <f t="shared" si="5"/>
        <v>0</v>
      </c>
      <c r="M81">
        <v>16</v>
      </c>
      <c r="N81" s="3">
        <v>47178</v>
      </c>
      <c r="O81" s="6">
        <v>0</v>
      </c>
    </row>
    <row r="82" spans="1:15">
      <c r="A82" t="str">
        <f t="shared" si="3"/>
        <v>Amabas 500 EC 16 X 1 ltr472090</v>
      </c>
      <c r="B82" t="s">
        <v>9901</v>
      </c>
      <c r="C82" t="s">
        <v>14464</v>
      </c>
      <c r="D82" t="s">
        <v>11985</v>
      </c>
      <c r="E82" t="s">
        <v>129</v>
      </c>
      <c r="F82">
        <v>16</v>
      </c>
      <c r="G82">
        <v>1</v>
      </c>
      <c r="H82">
        <v>1</v>
      </c>
      <c r="I82">
        <v>16</v>
      </c>
      <c r="J82">
        <v>1568</v>
      </c>
      <c r="K82">
        <f t="shared" si="4"/>
        <v>98</v>
      </c>
      <c r="L82">
        <f t="shared" si="5"/>
        <v>0</v>
      </c>
      <c r="M82">
        <v>1568</v>
      </c>
      <c r="N82" s="3">
        <v>47209</v>
      </c>
      <c r="O82" s="6">
        <v>0</v>
      </c>
    </row>
    <row r="83" spans="1:15">
      <c r="A83" t="str">
        <f t="shared" si="3"/>
        <v>Amabas 500 EC 20 X 400 ml472090</v>
      </c>
      <c r="B83" t="s">
        <v>9902</v>
      </c>
      <c r="C83" t="s">
        <v>14465</v>
      </c>
      <c r="D83" t="s">
        <v>11986</v>
      </c>
      <c r="E83" t="s">
        <v>130</v>
      </c>
      <c r="F83">
        <v>20</v>
      </c>
      <c r="G83">
        <v>1</v>
      </c>
      <c r="H83">
        <v>1</v>
      </c>
      <c r="I83">
        <v>20</v>
      </c>
      <c r="J83">
        <v>517</v>
      </c>
      <c r="K83">
        <f t="shared" si="4"/>
        <v>25</v>
      </c>
      <c r="L83">
        <f t="shared" si="5"/>
        <v>17</v>
      </c>
      <c r="M83">
        <v>517</v>
      </c>
      <c r="N83" s="3">
        <v>47209</v>
      </c>
      <c r="O83" s="6">
        <v>0</v>
      </c>
    </row>
    <row r="84" spans="1:15">
      <c r="A84" t="str">
        <f t="shared" si="3"/>
        <v>Amazone 80 EC 40 X 200 ml469970</v>
      </c>
      <c r="B84" t="s">
        <v>9903</v>
      </c>
      <c r="C84" t="s">
        <v>14466</v>
      </c>
      <c r="D84" t="s">
        <v>11987</v>
      </c>
      <c r="E84" t="s">
        <v>131</v>
      </c>
      <c r="F84">
        <v>40</v>
      </c>
      <c r="G84">
        <v>1</v>
      </c>
      <c r="H84">
        <v>1</v>
      </c>
      <c r="I84">
        <v>40</v>
      </c>
      <c r="J84">
        <v>532</v>
      </c>
      <c r="K84">
        <f t="shared" si="4"/>
        <v>13</v>
      </c>
      <c r="L84">
        <f t="shared" si="5"/>
        <v>12</v>
      </c>
      <c r="M84">
        <v>532</v>
      </c>
      <c r="N84" s="3">
        <v>46997</v>
      </c>
      <c r="O84" s="6">
        <v>0</v>
      </c>
    </row>
    <row r="85" spans="1:15">
      <c r="A85" t="str">
        <f t="shared" si="3"/>
        <v>Ambest 100 ME 40 X 250 ml467530</v>
      </c>
      <c r="B85" t="s">
        <v>9904</v>
      </c>
      <c r="C85" t="s">
        <v>14467</v>
      </c>
      <c r="D85" t="s">
        <v>11988</v>
      </c>
      <c r="E85" t="s">
        <v>132</v>
      </c>
      <c r="F85">
        <v>40</v>
      </c>
      <c r="G85">
        <v>1</v>
      </c>
      <c r="H85">
        <v>1</v>
      </c>
      <c r="I85">
        <v>40</v>
      </c>
      <c r="J85">
        <v>211</v>
      </c>
      <c r="K85">
        <f t="shared" si="4"/>
        <v>5</v>
      </c>
      <c r="L85">
        <f t="shared" si="5"/>
        <v>11</v>
      </c>
      <c r="M85">
        <v>211</v>
      </c>
      <c r="N85" s="3">
        <v>46753</v>
      </c>
      <c r="O85" s="6">
        <v>0</v>
      </c>
    </row>
    <row r="86" spans="1:15">
      <c r="A86" t="str">
        <f t="shared" si="3"/>
        <v>Ambest 100 ME 50 X 100 ml467530</v>
      </c>
      <c r="B86" t="s">
        <v>9905</v>
      </c>
      <c r="C86" t="s">
        <v>14468</v>
      </c>
      <c r="D86" t="s">
        <v>11989</v>
      </c>
      <c r="E86" t="s">
        <v>133</v>
      </c>
      <c r="F86">
        <v>50</v>
      </c>
      <c r="G86">
        <v>1</v>
      </c>
      <c r="H86">
        <v>1</v>
      </c>
      <c r="I86">
        <v>50</v>
      </c>
      <c r="J86">
        <v>363</v>
      </c>
      <c r="K86">
        <f t="shared" si="4"/>
        <v>7</v>
      </c>
      <c r="L86">
        <f t="shared" si="5"/>
        <v>13</v>
      </c>
      <c r="M86">
        <v>363</v>
      </c>
      <c r="N86" s="3">
        <v>46753</v>
      </c>
      <c r="O86" s="6">
        <v>0</v>
      </c>
    </row>
    <row r="87" spans="1:15">
      <c r="A87" t="str">
        <f t="shared" si="3"/>
        <v>Amco Up 486 SL 20 ltr470580</v>
      </c>
      <c r="B87" t="s">
        <v>9906</v>
      </c>
      <c r="C87" t="s">
        <v>14469</v>
      </c>
      <c r="D87" t="s">
        <v>11990</v>
      </c>
      <c r="E87" t="s">
        <v>134</v>
      </c>
      <c r="F87">
        <v>1</v>
      </c>
      <c r="G87">
        <v>1</v>
      </c>
      <c r="H87">
        <v>1</v>
      </c>
      <c r="I87">
        <v>1</v>
      </c>
      <c r="J87">
        <v>225</v>
      </c>
      <c r="K87">
        <f t="shared" si="4"/>
        <v>225</v>
      </c>
      <c r="L87">
        <f t="shared" si="5"/>
        <v>0</v>
      </c>
      <c r="M87">
        <v>225</v>
      </c>
      <c r="N87" s="3">
        <v>47058</v>
      </c>
      <c r="O87" s="6">
        <v>0</v>
      </c>
    </row>
    <row r="88" spans="1:15">
      <c r="A88" t="str">
        <f t="shared" si="3"/>
        <v>Amco Up 486 SL 20 X 1 ltr470270</v>
      </c>
      <c r="B88" t="s">
        <v>9907</v>
      </c>
      <c r="C88" t="s">
        <v>14470</v>
      </c>
      <c r="D88" t="s">
        <v>11991</v>
      </c>
      <c r="E88" t="s">
        <v>135</v>
      </c>
      <c r="F88">
        <v>20</v>
      </c>
      <c r="G88">
        <v>1</v>
      </c>
      <c r="H88">
        <v>1</v>
      </c>
      <c r="I88">
        <v>20</v>
      </c>
      <c r="J88">
        <v>380</v>
      </c>
      <c r="K88">
        <f t="shared" si="4"/>
        <v>19</v>
      </c>
      <c r="L88">
        <f t="shared" si="5"/>
        <v>0</v>
      </c>
      <c r="M88">
        <v>380</v>
      </c>
      <c r="N88" s="3">
        <v>47027</v>
      </c>
      <c r="O88" s="6">
        <v>0</v>
      </c>
    </row>
    <row r="89" spans="1:15">
      <c r="A89" t="str">
        <f t="shared" si="3"/>
        <v>Amco Up 486 SL 20 X 1 ltr470580</v>
      </c>
      <c r="B89" t="s">
        <v>9908</v>
      </c>
      <c r="C89" t="s">
        <v>14471</v>
      </c>
      <c r="D89" t="s">
        <v>11992</v>
      </c>
      <c r="E89" t="s">
        <v>135</v>
      </c>
      <c r="F89">
        <v>20</v>
      </c>
      <c r="G89">
        <v>1</v>
      </c>
      <c r="H89">
        <v>1</v>
      </c>
      <c r="I89">
        <v>20</v>
      </c>
      <c r="J89">
        <v>10000</v>
      </c>
      <c r="K89">
        <f t="shared" si="4"/>
        <v>500</v>
      </c>
      <c r="L89">
        <f t="shared" si="5"/>
        <v>0</v>
      </c>
      <c r="M89">
        <v>10000</v>
      </c>
      <c r="N89" s="3">
        <v>47058</v>
      </c>
      <c r="O89" s="6">
        <v>0</v>
      </c>
    </row>
    <row r="90" spans="1:15">
      <c r="A90" t="str">
        <f t="shared" si="3"/>
        <v>Amco Up 486 SL 4 X 5 ltr470580</v>
      </c>
      <c r="B90" t="s">
        <v>9909</v>
      </c>
      <c r="C90" t="s">
        <v>14472</v>
      </c>
      <c r="D90" t="s">
        <v>11993</v>
      </c>
      <c r="E90" t="s">
        <v>136</v>
      </c>
      <c r="F90">
        <v>4</v>
      </c>
      <c r="G90">
        <v>1</v>
      </c>
      <c r="H90">
        <v>1</v>
      </c>
      <c r="I90">
        <v>4</v>
      </c>
      <c r="J90">
        <v>904</v>
      </c>
      <c r="K90">
        <f t="shared" si="4"/>
        <v>226</v>
      </c>
      <c r="L90">
        <f t="shared" si="5"/>
        <v>0</v>
      </c>
      <c r="M90">
        <v>904</v>
      </c>
      <c r="N90" s="3">
        <v>47058</v>
      </c>
      <c r="O90" s="6">
        <v>0</v>
      </c>
    </row>
    <row r="91" spans="1:15">
      <c r="A91" t="str">
        <f t="shared" si="3"/>
        <v>Amcoron 80 WP 20 X 1 kg462960</v>
      </c>
      <c r="B91" t="s">
        <v>9910</v>
      </c>
      <c r="C91" t="s">
        <v>14473</v>
      </c>
      <c r="D91" t="s">
        <v>11994</v>
      </c>
      <c r="E91" t="s">
        <v>137</v>
      </c>
      <c r="F91">
        <v>20</v>
      </c>
      <c r="G91">
        <v>1</v>
      </c>
      <c r="H91">
        <v>1</v>
      </c>
      <c r="I91">
        <v>20</v>
      </c>
      <c r="J91">
        <v>86</v>
      </c>
      <c r="K91">
        <f t="shared" si="4"/>
        <v>4</v>
      </c>
      <c r="L91">
        <f t="shared" si="5"/>
        <v>6</v>
      </c>
      <c r="M91">
        <v>86</v>
      </c>
      <c r="N91" s="3">
        <v>46296</v>
      </c>
      <c r="O91" s="6">
        <v>0</v>
      </c>
    </row>
    <row r="92" spans="1:15">
      <c r="A92" t="str">
        <f t="shared" si="3"/>
        <v>Amegu 200 SL 20 X 1 ltr470270</v>
      </c>
      <c r="B92" t="s">
        <v>9911</v>
      </c>
      <c r="C92" t="s">
        <v>14474</v>
      </c>
      <c r="D92" t="s">
        <v>11995</v>
      </c>
      <c r="E92" t="s">
        <v>138</v>
      </c>
      <c r="F92">
        <v>20</v>
      </c>
      <c r="G92">
        <v>1</v>
      </c>
      <c r="H92">
        <v>1</v>
      </c>
      <c r="I92">
        <v>20</v>
      </c>
      <c r="J92">
        <v>3741</v>
      </c>
      <c r="K92">
        <f t="shared" si="4"/>
        <v>187</v>
      </c>
      <c r="L92">
        <f t="shared" si="5"/>
        <v>1</v>
      </c>
      <c r="M92">
        <v>3741</v>
      </c>
      <c r="N92" s="3">
        <v>47027</v>
      </c>
      <c r="O92" s="6">
        <v>0</v>
      </c>
    </row>
    <row r="93" spans="1:15">
      <c r="A93" t="str">
        <f t="shared" si="3"/>
        <v>Amiboost Anti Stress 10 X 1 ltr458700</v>
      </c>
      <c r="B93" t="s">
        <v>9912</v>
      </c>
      <c r="C93" t="s">
        <v>14475</v>
      </c>
      <c r="D93" t="s">
        <v>11996</v>
      </c>
      <c r="E93" t="s">
        <v>139</v>
      </c>
      <c r="F93">
        <v>10</v>
      </c>
      <c r="G93">
        <v>1</v>
      </c>
      <c r="H93">
        <v>1</v>
      </c>
      <c r="I93">
        <v>10</v>
      </c>
      <c r="J93">
        <v>387</v>
      </c>
      <c r="K93">
        <f t="shared" si="4"/>
        <v>38</v>
      </c>
      <c r="L93">
        <f t="shared" si="5"/>
        <v>7</v>
      </c>
      <c r="M93">
        <v>387</v>
      </c>
      <c r="N93" s="3">
        <v>45870</v>
      </c>
      <c r="O93" s="6">
        <v>0</v>
      </c>
    </row>
    <row r="94" spans="1:15">
      <c r="A94" t="str">
        <f t="shared" si="3"/>
        <v>Amiboost Anti Stress 20 X 250 ml (Sample)458700</v>
      </c>
      <c r="B94" t="s">
        <v>9913</v>
      </c>
      <c r="C94" t="s">
        <v>14476</v>
      </c>
      <c r="D94" t="s">
        <v>11997</v>
      </c>
      <c r="E94" t="s">
        <v>140</v>
      </c>
      <c r="F94">
        <v>20</v>
      </c>
      <c r="G94">
        <v>1</v>
      </c>
      <c r="H94">
        <v>1</v>
      </c>
      <c r="I94">
        <v>20</v>
      </c>
      <c r="J94">
        <v>336</v>
      </c>
      <c r="K94">
        <f t="shared" si="4"/>
        <v>16</v>
      </c>
      <c r="L94">
        <f t="shared" si="5"/>
        <v>16</v>
      </c>
      <c r="M94">
        <v>336</v>
      </c>
      <c r="N94" s="3">
        <v>45870</v>
      </c>
      <c r="O94" s="6">
        <v>0</v>
      </c>
    </row>
    <row r="95" spans="1:15">
      <c r="A95" t="str">
        <f t="shared" si="3"/>
        <v>Amiboost Anti Stress 20 X 500 ml458700</v>
      </c>
      <c r="B95" t="s">
        <v>9914</v>
      </c>
      <c r="C95" t="s">
        <v>14477</v>
      </c>
      <c r="D95" t="s">
        <v>11998</v>
      </c>
      <c r="E95" t="s">
        <v>141</v>
      </c>
      <c r="F95">
        <v>20</v>
      </c>
      <c r="G95">
        <v>1</v>
      </c>
      <c r="H95">
        <v>1</v>
      </c>
      <c r="I95">
        <v>20</v>
      </c>
      <c r="J95">
        <v>701</v>
      </c>
      <c r="K95">
        <f t="shared" si="4"/>
        <v>35</v>
      </c>
      <c r="L95">
        <f t="shared" si="5"/>
        <v>1</v>
      </c>
      <c r="M95">
        <v>701</v>
      </c>
      <c r="N95" s="3">
        <v>45870</v>
      </c>
      <c r="O95" s="6">
        <v>0</v>
      </c>
    </row>
    <row r="96" spans="1:15">
      <c r="A96" t="str">
        <f t="shared" si="3"/>
        <v>Amiboost Generative 10 X 1 ltr458700</v>
      </c>
      <c r="B96" t="s">
        <v>9915</v>
      </c>
      <c r="C96" t="s">
        <v>14478</v>
      </c>
      <c r="D96" t="s">
        <v>11999</v>
      </c>
      <c r="E96" t="s">
        <v>142</v>
      </c>
      <c r="F96">
        <v>10</v>
      </c>
      <c r="G96">
        <v>1</v>
      </c>
      <c r="H96">
        <v>1</v>
      </c>
      <c r="I96">
        <v>10</v>
      </c>
      <c r="J96">
        <v>325</v>
      </c>
      <c r="K96">
        <f t="shared" si="4"/>
        <v>32</v>
      </c>
      <c r="L96">
        <f t="shared" si="5"/>
        <v>5</v>
      </c>
      <c r="M96">
        <v>325</v>
      </c>
      <c r="N96" s="3">
        <v>45870</v>
      </c>
      <c r="O96" s="6">
        <v>0</v>
      </c>
    </row>
    <row r="97" spans="1:15">
      <c r="A97" t="str">
        <f t="shared" si="3"/>
        <v>Amiboost Generative 20 X 250 ml458700</v>
      </c>
      <c r="B97" t="s">
        <v>9916</v>
      </c>
      <c r="C97" t="s">
        <v>14479</v>
      </c>
      <c r="D97" t="s">
        <v>12000</v>
      </c>
      <c r="E97" t="s">
        <v>143</v>
      </c>
      <c r="F97">
        <v>20</v>
      </c>
      <c r="G97">
        <v>1</v>
      </c>
      <c r="H97">
        <v>1</v>
      </c>
      <c r="I97">
        <v>20</v>
      </c>
      <c r="J97">
        <v>266</v>
      </c>
      <c r="K97">
        <f t="shared" si="4"/>
        <v>13</v>
      </c>
      <c r="L97">
        <f t="shared" si="5"/>
        <v>6</v>
      </c>
      <c r="M97">
        <v>266</v>
      </c>
      <c r="N97" s="3">
        <v>45870</v>
      </c>
      <c r="O97" s="6">
        <v>0</v>
      </c>
    </row>
    <row r="98" spans="1:15">
      <c r="A98" t="str">
        <f t="shared" si="3"/>
        <v>Amiboost Generative 20 X 500 ml458700</v>
      </c>
      <c r="B98" t="s">
        <v>9917</v>
      </c>
      <c r="C98" t="s">
        <v>14480</v>
      </c>
      <c r="D98" t="s">
        <v>12001</v>
      </c>
      <c r="E98" t="s">
        <v>144</v>
      </c>
      <c r="F98">
        <v>20</v>
      </c>
      <c r="G98">
        <v>1</v>
      </c>
      <c r="H98">
        <v>1</v>
      </c>
      <c r="I98">
        <v>20</v>
      </c>
      <c r="J98">
        <v>589</v>
      </c>
      <c r="K98">
        <f t="shared" si="4"/>
        <v>29</v>
      </c>
      <c r="L98">
        <f t="shared" si="5"/>
        <v>9</v>
      </c>
      <c r="M98">
        <v>589</v>
      </c>
      <c r="N98" s="3">
        <v>45870</v>
      </c>
      <c r="O98" s="6">
        <v>0</v>
      </c>
    </row>
    <row r="99" spans="1:15">
      <c r="A99" t="str">
        <f t="shared" si="3"/>
        <v>Amiboost Vegetative 10 X 1 ltr459920</v>
      </c>
      <c r="B99" t="s">
        <v>9918</v>
      </c>
      <c r="C99" t="s">
        <v>14481</v>
      </c>
      <c r="D99" t="s">
        <v>12002</v>
      </c>
      <c r="E99" t="s">
        <v>145</v>
      </c>
      <c r="F99">
        <v>10</v>
      </c>
      <c r="G99">
        <v>1</v>
      </c>
      <c r="H99">
        <v>1</v>
      </c>
      <c r="I99">
        <v>10</v>
      </c>
      <c r="J99">
        <v>2</v>
      </c>
      <c r="K99">
        <f t="shared" si="4"/>
        <v>0</v>
      </c>
      <c r="L99">
        <f t="shared" si="5"/>
        <v>2</v>
      </c>
      <c r="M99">
        <v>2</v>
      </c>
      <c r="N99" s="3">
        <v>45992</v>
      </c>
      <c r="O99" s="6">
        <v>0</v>
      </c>
    </row>
    <row r="100" spans="1:15">
      <c r="A100" t="str">
        <f t="shared" si="3"/>
        <v>Amiboost Vegetative 10 X 1 ltr458700</v>
      </c>
      <c r="B100" t="s">
        <v>9919</v>
      </c>
      <c r="C100" t="s">
        <v>14482</v>
      </c>
      <c r="D100" t="s">
        <v>12003</v>
      </c>
      <c r="E100" t="s">
        <v>145</v>
      </c>
      <c r="F100">
        <v>10</v>
      </c>
      <c r="G100">
        <v>1</v>
      </c>
      <c r="H100">
        <v>1</v>
      </c>
      <c r="I100">
        <v>10</v>
      </c>
      <c r="J100">
        <v>332</v>
      </c>
      <c r="K100">
        <f t="shared" si="4"/>
        <v>33</v>
      </c>
      <c r="L100">
        <f t="shared" si="5"/>
        <v>2</v>
      </c>
      <c r="M100">
        <v>332</v>
      </c>
      <c r="N100" s="3">
        <v>45870</v>
      </c>
      <c r="O100" s="6">
        <v>0</v>
      </c>
    </row>
    <row r="101" spans="1:15">
      <c r="A101" t="str">
        <f t="shared" si="3"/>
        <v>Amiboost Vegetative 20 X 250 ml458700</v>
      </c>
      <c r="B101" t="s">
        <v>9920</v>
      </c>
      <c r="C101" t="s">
        <v>14483</v>
      </c>
      <c r="D101" t="s">
        <v>12004</v>
      </c>
      <c r="E101" t="s">
        <v>146</v>
      </c>
      <c r="F101">
        <v>20</v>
      </c>
      <c r="G101">
        <v>1</v>
      </c>
      <c r="H101">
        <v>1</v>
      </c>
      <c r="I101">
        <v>20</v>
      </c>
      <c r="J101">
        <v>186</v>
      </c>
      <c r="K101">
        <f t="shared" si="4"/>
        <v>9</v>
      </c>
      <c r="L101">
        <f t="shared" si="5"/>
        <v>6</v>
      </c>
      <c r="M101">
        <v>186</v>
      </c>
      <c r="N101" s="3">
        <v>45870</v>
      </c>
      <c r="O101" s="6">
        <v>0</v>
      </c>
    </row>
    <row r="102" spans="1:15">
      <c r="A102" t="str">
        <f t="shared" si="3"/>
        <v>Amiboost Vegetative 20 X 500 ml458700</v>
      </c>
      <c r="B102" t="s">
        <v>9921</v>
      </c>
      <c r="C102" t="s">
        <v>14484</v>
      </c>
      <c r="D102" t="s">
        <v>12005</v>
      </c>
      <c r="E102" t="s">
        <v>147</v>
      </c>
      <c r="F102">
        <v>20</v>
      </c>
      <c r="G102">
        <v>1</v>
      </c>
      <c r="H102">
        <v>1</v>
      </c>
      <c r="I102">
        <v>20</v>
      </c>
      <c r="J102">
        <v>467</v>
      </c>
      <c r="K102">
        <f t="shared" si="4"/>
        <v>23</v>
      </c>
      <c r="L102">
        <f t="shared" si="5"/>
        <v>7</v>
      </c>
      <c r="M102">
        <v>467</v>
      </c>
      <c r="N102" s="3">
        <v>45870</v>
      </c>
      <c r="O102" s="6">
        <v>0</v>
      </c>
    </row>
    <row r="103" spans="1:15">
      <c r="A103" t="str">
        <f t="shared" si="3"/>
        <v>Amichlor 400 EC 100 ml1/1/10000</v>
      </c>
      <c r="B103" t="s">
        <v>9922</v>
      </c>
      <c r="C103" t="s">
        <v>14485</v>
      </c>
      <c r="D103" t="s">
        <v>12006</v>
      </c>
      <c r="E103" t="s">
        <v>148</v>
      </c>
      <c r="F103">
        <v>1</v>
      </c>
      <c r="G103">
        <v>1</v>
      </c>
      <c r="H103">
        <v>1</v>
      </c>
      <c r="I103">
        <v>1</v>
      </c>
      <c r="J103">
        <v>11</v>
      </c>
      <c r="K103">
        <f t="shared" si="4"/>
        <v>11</v>
      </c>
      <c r="L103">
        <f t="shared" si="5"/>
        <v>0</v>
      </c>
      <c r="M103">
        <v>11</v>
      </c>
      <c r="N103" s="3" t="s">
        <v>2222</v>
      </c>
      <c r="O103" s="6">
        <v>0</v>
      </c>
    </row>
    <row r="104" spans="1:15">
      <c r="A104" t="str">
        <f t="shared" si="3"/>
        <v>Aminosong 20 X 500 ml (AGM)471500</v>
      </c>
      <c r="B104" t="s">
        <v>9923</v>
      </c>
      <c r="C104" t="s">
        <v>14486</v>
      </c>
      <c r="D104" t="s">
        <v>12007</v>
      </c>
      <c r="E104" t="s">
        <v>149</v>
      </c>
      <c r="F104">
        <v>20</v>
      </c>
      <c r="G104">
        <v>1</v>
      </c>
      <c r="H104">
        <v>1</v>
      </c>
      <c r="I104">
        <v>20</v>
      </c>
      <c r="J104">
        <v>545</v>
      </c>
      <c r="K104">
        <f t="shared" si="4"/>
        <v>27</v>
      </c>
      <c r="L104">
        <f t="shared" si="5"/>
        <v>5</v>
      </c>
      <c r="M104">
        <v>545</v>
      </c>
      <c r="N104" s="3">
        <v>47150</v>
      </c>
      <c r="O104" s="6">
        <v>0</v>
      </c>
    </row>
    <row r="105" spans="1:15">
      <c r="A105" t="str">
        <f t="shared" si="3"/>
        <v>Aminosong Mango 500 ml (AGM) (Sample)471500</v>
      </c>
      <c r="B105" t="s">
        <v>9924</v>
      </c>
      <c r="C105" t="s">
        <v>14487</v>
      </c>
      <c r="D105" t="s">
        <v>12008</v>
      </c>
      <c r="E105" t="s">
        <v>152</v>
      </c>
      <c r="F105">
        <v>1</v>
      </c>
      <c r="G105">
        <v>1</v>
      </c>
      <c r="H105">
        <v>1</v>
      </c>
      <c r="I105">
        <v>1</v>
      </c>
      <c r="J105">
        <v>4</v>
      </c>
      <c r="K105">
        <f t="shared" si="4"/>
        <v>4</v>
      </c>
      <c r="L105">
        <f t="shared" si="5"/>
        <v>0</v>
      </c>
      <c r="M105">
        <v>4</v>
      </c>
      <c r="N105" s="3">
        <v>47150</v>
      </c>
      <c r="O105" s="6">
        <v>0</v>
      </c>
    </row>
    <row r="106" spans="1:15">
      <c r="A106" t="str">
        <f t="shared" si="3"/>
        <v>Amistartop 325 SC 100 X 50 ml461130</v>
      </c>
      <c r="B106" t="s">
        <v>9925</v>
      </c>
      <c r="C106" t="s">
        <v>14488</v>
      </c>
      <c r="D106" t="s">
        <v>12009</v>
      </c>
      <c r="E106" t="s">
        <v>154</v>
      </c>
      <c r="F106">
        <v>100</v>
      </c>
      <c r="G106">
        <v>1</v>
      </c>
      <c r="H106">
        <v>1</v>
      </c>
      <c r="I106">
        <v>100</v>
      </c>
      <c r="J106">
        <v>10441</v>
      </c>
      <c r="K106">
        <f t="shared" si="4"/>
        <v>104</v>
      </c>
      <c r="L106">
        <f t="shared" si="5"/>
        <v>41</v>
      </c>
      <c r="M106">
        <v>10441</v>
      </c>
      <c r="N106" s="3">
        <v>46113</v>
      </c>
      <c r="O106" s="6">
        <v>0</v>
      </c>
    </row>
    <row r="107" spans="1:15">
      <c r="A107" t="str">
        <f t="shared" si="3"/>
        <v>Amistartop 325 SC 100 X 50 ml462660</v>
      </c>
      <c r="B107" t="s">
        <v>9926</v>
      </c>
      <c r="C107" t="s">
        <v>14489</v>
      </c>
      <c r="D107" t="s">
        <v>12010</v>
      </c>
      <c r="E107" t="s">
        <v>154</v>
      </c>
      <c r="F107">
        <v>100</v>
      </c>
      <c r="G107">
        <v>1</v>
      </c>
      <c r="H107">
        <v>1</v>
      </c>
      <c r="I107">
        <v>100</v>
      </c>
      <c r="J107">
        <v>10000</v>
      </c>
      <c r="K107">
        <f t="shared" si="4"/>
        <v>100</v>
      </c>
      <c r="L107">
        <f t="shared" si="5"/>
        <v>0</v>
      </c>
      <c r="M107">
        <v>10000</v>
      </c>
      <c r="N107" s="3">
        <v>46266</v>
      </c>
      <c r="O107" s="6">
        <v>0</v>
      </c>
    </row>
    <row r="108" spans="1:15">
      <c r="A108" t="str">
        <f t="shared" si="3"/>
        <v>Amistartop 325 SC 20 X 250 ml461740</v>
      </c>
      <c r="B108" t="s">
        <v>9927</v>
      </c>
      <c r="C108" t="s">
        <v>14490</v>
      </c>
      <c r="D108" t="s">
        <v>12011</v>
      </c>
      <c r="E108" t="s">
        <v>158</v>
      </c>
      <c r="F108">
        <v>20</v>
      </c>
      <c r="G108">
        <v>1</v>
      </c>
      <c r="H108">
        <v>1</v>
      </c>
      <c r="I108">
        <v>20</v>
      </c>
      <c r="J108">
        <v>1397</v>
      </c>
      <c r="K108">
        <f t="shared" si="4"/>
        <v>69</v>
      </c>
      <c r="L108">
        <f t="shared" si="5"/>
        <v>17</v>
      </c>
      <c r="M108">
        <v>1397</v>
      </c>
      <c r="N108" s="3">
        <v>46174</v>
      </c>
      <c r="O108" s="6">
        <v>0</v>
      </c>
    </row>
    <row r="109" spans="1:15">
      <c r="A109" t="str">
        <f t="shared" si="3"/>
        <v>Amistartop 325 SC 20 X 250 ml462660</v>
      </c>
      <c r="B109" t="s">
        <v>9928</v>
      </c>
      <c r="C109" t="s">
        <v>14491</v>
      </c>
      <c r="D109" t="s">
        <v>12012</v>
      </c>
      <c r="E109" t="s">
        <v>158</v>
      </c>
      <c r="F109">
        <v>20</v>
      </c>
      <c r="G109">
        <v>1</v>
      </c>
      <c r="H109">
        <v>1</v>
      </c>
      <c r="I109">
        <v>20</v>
      </c>
      <c r="J109">
        <v>24000</v>
      </c>
      <c r="K109">
        <f t="shared" si="4"/>
        <v>1200</v>
      </c>
      <c r="L109">
        <f t="shared" si="5"/>
        <v>0</v>
      </c>
      <c r="M109">
        <v>24000</v>
      </c>
      <c r="N109" s="3">
        <v>46266</v>
      </c>
      <c r="O109" s="6">
        <v>0</v>
      </c>
    </row>
    <row r="110" spans="1:15">
      <c r="A110" t="str">
        <f t="shared" si="3"/>
        <v>Amistartop 325 SC 50 X 100 ml462660</v>
      </c>
      <c r="B110" t="s">
        <v>9929</v>
      </c>
      <c r="C110" t="s">
        <v>14492</v>
      </c>
      <c r="D110" t="s">
        <v>12013</v>
      </c>
      <c r="E110" t="s">
        <v>163</v>
      </c>
      <c r="F110">
        <v>50</v>
      </c>
      <c r="G110">
        <v>1</v>
      </c>
      <c r="H110">
        <v>1</v>
      </c>
      <c r="I110">
        <v>50</v>
      </c>
      <c r="J110">
        <v>10332</v>
      </c>
      <c r="K110">
        <f t="shared" si="4"/>
        <v>206</v>
      </c>
      <c r="L110">
        <f t="shared" si="5"/>
        <v>32</v>
      </c>
      <c r="M110">
        <v>10332</v>
      </c>
      <c r="N110" s="3">
        <v>46266</v>
      </c>
      <c r="O110" s="6">
        <v>0</v>
      </c>
    </row>
    <row r="111" spans="1:15">
      <c r="A111" t="str">
        <f t="shared" si="3"/>
        <v>Amolin 300 EC 100 X 100 ml461130</v>
      </c>
      <c r="B111" t="s">
        <v>9930</v>
      </c>
      <c r="C111" t="s">
        <v>14493</v>
      </c>
      <c r="D111" t="s">
        <v>12014</v>
      </c>
      <c r="E111" t="s">
        <v>167</v>
      </c>
      <c r="F111">
        <v>100</v>
      </c>
      <c r="G111">
        <v>1</v>
      </c>
      <c r="H111">
        <v>1</v>
      </c>
      <c r="I111">
        <v>100</v>
      </c>
      <c r="J111">
        <v>19</v>
      </c>
      <c r="K111">
        <f t="shared" si="4"/>
        <v>0</v>
      </c>
      <c r="L111">
        <f t="shared" si="5"/>
        <v>19</v>
      </c>
      <c r="M111">
        <v>19</v>
      </c>
      <c r="N111" s="3">
        <v>46113</v>
      </c>
      <c r="O111" s="6">
        <v>0</v>
      </c>
    </row>
    <row r="112" spans="1:15">
      <c r="A112" t="str">
        <f t="shared" si="3"/>
        <v>Amolin 300 EC 100 X 100 ml462960</v>
      </c>
      <c r="B112" t="s">
        <v>9931</v>
      </c>
      <c r="C112" t="s">
        <v>14494</v>
      </c>
      <c r="D112" t="s">
        <v>12015</v>
      </c>
      <c r="E112" t="s">
        <v>167</v>
      </c>
      <c r="F112">
        <v>100</v>
      </c>
      <c r="G112">
        <v>1</v>
      </c>
      <c r="H112">
        <v>1</v>
      </c>
      <c r="I112">
        <v>100</v>
      </c>
      <c r="J112">
        <v>2800</v>
      </c>
      <c r="K112">
        <f t="shared" si="4"/>
        <v>28</v>
      </c>
      <c r="L112">
        <f t="shared" si="5"/>
        <v>0</v>
      </c>
      <c r="M112">
        <v>2800</v>
      </c>
      <c r="N112" s="3">
        <v>46296</v>
      </c>
      <c r="O112" s="6">
        <v>0</v>
      </c>
    </row>
    <row r="113" spans="1:15">
      <c r="A113" t="str">
        <f t="shared" si="3"/>
        <v>Amolin 300 EC 100 X 100 ml467530</v>
      </c>
      <c r="B113" t="s">
        <v>9932</v>
      </c>
      <c r="C113" t="s">
        <v>14495</v>
      </c>
      <c r="D113" t="s">
        <v>12016</v>
      </c>
      <c r="E113" t="s">
        <v>167</v>
      </c>
      <c r="F113">
        <v>100</v>
      </c>
      <c r="G113">
        <v>1</v>
      </c>
      <c r="H113">
        <v>1</v>
      </c>
      <c r="I113">
        <v>100</v>
      </c>
      <c r="J113">
        <v>1100</v>
      </c>
      <c r="K113">
        <f t="shared" si="4"/>
        <v>11</v>
      </c>
      <c r="L113">
        <f t="shared" si="5"/>
        <v>0</v>
      </c>
      <c r="M113">
        <v>1100</v>
      </c>
      <c r="N113" s="3">
        <v>46753</v>
      </c>
      <c r="O113" s="6">
        <v>0</v>
      </c>
    </row>
    <row r="114" spans="1:15">
      <c r="A114" t="str">
        <f t="shared" si="3"/>
        <v>Amolin 300 EC 100 X 100 ml470270</v>
      </c>
      <c r="B114" t="s">
        <v>9933</v>
      </c>
      <c r="C114" t="s">
        <v>14496</v>
      </c>
      <c r="D114" t="s">
        <v>12017</v>
      </c>
      <c r="E114" t="s">
        <v>167</v>
      </c>
      <c r="F114">
        <v>100</v>
      </c>
      <c r="G114">
        <v>1</v>
      </c>
      <c r="H114">
        <v>1</v>
      </c>
      <c r="I114">
        <v>100</v>
      </c>
      <c r="J114">
        <v>1900</v>
      </c>
      <c r="K114">
        <f t="shared" si="4"/>
        <v>19</v>
      </c>
      <c r="L114">
        <f t="shared" si="5"/>
        <v>0</v>
      </c>
      <c r="M114">
        <v>1900</v>
      </c>
      <c r="N114" s="3">
        <v>47027</v>
      </c>
      <c r="O114" s="6">
        <v>0</v>
      </c>
    </row>
    <row r="115" spans="1:15">
      <c r="A115" t="str">
        <f t="shared" si="3"/>
        <v>Amolin 300 EC 100 X 100 ml462350</v>
      </c>
      <c r="B115" t="s">
        <v>9934</v>
      </c>
      <c r="C115" t="s">
        <v>14497</v>
      </c>
      <c r="D115" t="s">
        <v>12018</v>
      </c>
      <c r="E115" t="s">
        <v>167</v>
      </c>
      <c r="F115">
        <v>100</v>
      </c>
      <c r="G115">
        <v>1</v>
      </c>
      <c r="H115">
        <v>1</v>
      </c>
      <c r="I115">
        <v>100</v>
      </c>
      <c r="J115">
        <v>6000</v>
      </c>
      <c r="K115">
        <f t="shared" si="4"/>
        <v>60</v>
      </c>
      <c r="L115">
        <f t="shared" si="5"/>
        <v>0</v>
      </c>
      <c r="M115">
        <v>6000</v>
      </c>
      <c r="N115" s="3">
        <v>46235</v>
      </c>
      <c r="O115" s="6">
        <v>0</v>
      </c>
    </row>
    <row r="116" spans="1:15">
      <c r="A116" t="str">
        <f t="shared" si="3"/>
        <v>Amolin 300 EC 40 X 250 ml464470</v>
      </c>
      <c r="B116" t="s">
        <v>9935</v>
      </c>
      <c r="C116" t="s">
        <v>14498</v>
      </c>
      <c r="D116" t="s">
        <v>12019</v>
      </c>
      <c r="E116" t="s">
        <v>173</v>
      </c>
      <c r="F116">
        <v>40</v>
      </c>
      <c r="G116">
        <v>1</v>
      </c>
      <c r="H116">
        <v>1</v>
      </c>
      <c r="I116">
        <v>40</v>
      </c>
      <c r="J116">
        <v>3</v>
      </c>
      <c r="K116">
        <f t="shared" si="4"/>
        <v>0</v>
      </c>
      <c r="L116">
        <f t="shared" si="5"/>
        <v>3</v>
      </c>
      <c r="M116">
        <v>3</v>
      </c>
      <c r="N116" s="3">
        <v>46447</v>
      </c>
      <c r="O116" s="6">
        <v>0</v>
      </c>
    </row>
    <row r="117" spans="1:15">
      <c r="A117" t="str">
        <f t="shared" si="3"/>
        <v>Amolin 300 EC 40 X 250 ml470270</v>
      </c>
      <c r="B117" t="s">
        <v>9936</v>
      </c>
      <c r="C117" t="s">
        <v>14499</v>
      </c>
      <c r="D117" t="s">
        <v>12020</v>
      </c>
      <c r="E117" t="s">
        <v>173</v>
      </c>
      <c r="F117">
        <v>40</v>
      </c>
      <c r="G117">
        <v>1</v>
      </c>
      <c r="H117">
        <v>1</v>
      </c>
      <c r="I117">
        <v>40</v>
      </c>
      <c r="J117">
        <v>1640</v>
      </c>
      <c r="K117">
        <f t="shared" si="4"/>
        <v>41</v>
      </c>
      <c r="L117">
        <f t="shared" si="5"/>
        <v>0</v>
      </c>
      <c r="M117">
        <v>1640</v>
      </c>
      <c r="N117" s="3">
        <v>47027</v>
      </c>
      <c r="O117" s="6">
        <v>0</v>
      </c>
    </row>
    <row r="118" spans="1:15">
      <c r="A118" t="str">
        <f t="shared" si="3"/>
        <v>Amotan Gold 325 SC 100 X 100 ml459010</v>
      </c>
      <c r="B118" t="s">
        <v>9937</v>
      </c>
      <c r="C118" t="s">
        <v>14500</v>
      </c>
      <c r="D118" t="s">
        <v>12021</v>
      </c>
      <c r="E118" t="s">
        <v>176</v>
      </c>
      <c r="F118">
        <v>100</v>
      </c>
      <c r="G118">
        <v>1</v>
      </c>
      <c r="H118">
        <v>1</v>
      </c>
      <c r="I118">
        <v>100</v>
      </c>
      <c r="J118">
        <v>800</v>
      </c>
      <c r="K118">
        <f t="shared" si="4"/>
        <v>8</v>
      </c>
      <c r="L118">
        <f t="shared" si="5"/>
        <v>0</v>
      </c>
      <c r="M118">
        <v>800</v>
      </c>
      <c r="N118" s="3">
        <v>45901</v>
      </c>
      <c r="O118" s="6">
        <v>0</v>
      </c>
    </row>
    <row r="119" spans="1:15">
      <c r="A119" t="str">
        <f t="shared" si="3"/>
        <v>Amotan Gold 40 X 250 ml455360</v>
      </c>
      <c r="B119" t="s">
        <v>9938</v>
      </c>
      <c r="C119" t="s">
        <v>14501</v>
      </c>
      <c r="D119" t="s">
        <v>12022</v>
      </c>
      <c r="E119" t="s">
        <v>178</v>
      </c>
      <c r="F119">
        <v>40</v>
      </c>
      <c r="G119">
        <v>1</v>
      </c>
      <c r="H119">
        <v>1</v>
      </c>
      <c r="I119">
        <v>40</v>
      </c>
      <c r="J119">
        <v>36</v>
      </c>
      <c r="K119">
        <f t="shared" si="4"/>
        <v>0</v>
      </c>
      <c r="L119">
        <f t="shared" si="5"/>
        <v>36</v>
      </c>
      <c r="M119">
        <v>36</v>
      </c>
      <c r="N119" s="3">
        <v>45536</v>
      </c>
      <c r="O119" s="6">
        <v>0</v>
      </c>
    </row>
    <row r="120" spans="1:15">
      <c r="A120" t="str">
        <f t="shared" si="3"/>
        <v>Amotan Gold 40 X 250 ml458090</v>
      </c>
      <c r="B120" t="s">
        <v>9939</v>
      </c>
      <c r="C120" t="s">
        <v>14502</v>
      </c>
      <c r="D120" t="s">
        <v>12023</v>
      </c>
      <c r="E120" t="s">
        <v>178</v>
      </c>
      <c r="F120">
        <v>40</v>
      </c>
      <c r="G120">
        <v>1</v>
      </c>
      <c r="H120">
        <v>1</v>
      </c>
      <c r="I120">
        <v>40</v>
      </c>
      <c r="J120">
        <v>960</v>
      </c>
      <c r="K120">
        <f t="shared" si="4"/>
        <v>24</v>
      </c>
      <c r="L120">
        <f t="shared" si="5"/>
        <v>0</v>
      </c>
      <c r="M120">
        <v>960</v>
      </c>
      <c r="N120" s="3">
        <v>45809</v>
      </c>
      <c r="O120" s="6">
        <v>0</v>
      </c>
    </row>
    <row r="121" spans="1:15">
      <c r="A121" t="str">
        <f t="shared" si="3"/>
        <v>Amotan Gold 40 X 250 ml459310</v>
      </c>
      <c r="B121" t="s">
        <v>9940</v>
      </c>
      <c r="C121" t="s">
        <v>14503</v>
      </c>
      <c r="D121" t="s">
        <v>12024</v>
      </c>
      <c r="E121" t="s">
        <v>178</v>
      </c>
      <c r="F121">
        <v>40</v>
      </c>
      <c r="G121">
        <v>1</v>
      </c>
      <c r="H121">
        <v>1</v>
      </c>
      <c r="I121">
        <v>40</v>
      </c>
      <c r="J121">
        <v>1040</v>
      </c>
      <c r="K121">
        <f t="shared" si="4"/>
        <v>26</v>
      </c>
      <c r="L121">
        <f t="shared" si="5"/>
        <v>0</v>
      </c>
      <c r="M121">
        <v>1040</v>
      </c>
      <c r="N121" s="3">
        <v>45931</v>
      </c>
      <c r="O121" s="6">
        <v>0</v>
      </c>
    </row>
    <row r="122" spans="1:15">
      <c r="A122" t="str">
        <f t="shared" si="3"/>
        <v>Ampang 240 SL 20 ltr472390</v>
      </c>
      <c r="B122" t="s">
        <v>9941</v>
      </c>
      <c r="C122" t="s">
        <v>14504</v>
      </c>
      <c r="D122" t="s">
        <v>12025</v>
      </c>
      <c r="E122" t="s">
        <v>182</v>
      </c>
      <c r="F122">
        <v>1</v>
      </c>
      <c r="G122">
        <v>1</v>
      </c>
      <c r="H122">
        <v>1</v>
      </c>
      <c r="I122">
        <v>1</v>
      </c>
      <c r="J122">
        <v>12</v>
      </c>
      <c r="K122">
        <f t="shared" si="4"/>
        <v>12</v>
      </c>
      <c r="L122">
        <f t="shared" si="5"/>
        <v>0</v>
      </c>
      <c r="M122">
        <v>12</v>
      </c>
      <c r="N122" s="3">
        <v>47239</v>
      </c>
      <c r="O122" s="6">
        <v>0</v>
      </c>
    </row>
    <row r="123" spans="1:15">
      <c r="A123" t="str">
        <f t="shared" si="3"/>
        <v>Ampang 240 SL 20 X 1 ltr469660</v>
      </c>
      <c r="B123" t="s">
        <v>9942</v>
      </c>
      <c r="C123" t="s">
        <v>14505</v>
      </c>
      <c r="D123" t="s">
        <v>12026</v>
      </c>
      <c r="E123" t="s">
        <v>183</v>
      </c>
      <c r="F123">
        <v>20</v>
      </c>
      <c r="G123">
        <v>1</v>
      </c>
      <c r="H123">
        <v>1</v>
      </c>
      <c r="I123">
        <v>20</v>
      </c>
      <c r="J123">
        <v>11</v>
      </c>
      <c r="K123">
        <f t="shared" si="4"/>
        <v>0</v>
      </c>
      <c r="L123">
        <f t="shared" si="5"/>
        <v>11</v>
      </c>
      <c r="M123">
        <v>11</v>
      </c>
      <c r="N123" s="3">
        <v>46966</v>
      </c>
      <c r="O123" s="6">
        <v>0</v>
      </c>
    </row>
    <row r="124" spans="1:15">
      <c r="A124" t="str">
        <f t="shared" si="3"/>
        <v>Ampang 240 SL 20 X 1 ltr471780</v>
      </c>
      <c r="B124" t="s">
        <v>9943</v>
      </c>
      <c r="C124" t="s">
        <v>14506</v>
      </c>
      <c r="D124" t="s">
        <v>12027</v>
      </c>
      <c r="E124" t="s">
        <v>183</v>
      </c>
      <c r="F124">
        <v>20</v>
      </c>
      <c r="G124">
        <v>1</v>
      </c>
      <c r="H124">
        <v>1</v>
      </c>
      <c r="I124">
        <v>20</v>
      </c>
      <c r="J124">
        <v>420</v>
      </c>
      <c r="K124">
        <f t="shared" si="4"/>
        <v>21</v>
      </c>
      <c r="L124">
        <f t="shared" si="5"/>
        <v>0</v>
      </c>
      <c r="M124">
        <v>420</v>
      </c>
      <c r="N124" s="3">
        <v>47178</v>
      </c>
      <c r="O124" s="6">
        <v>0</v>
      </c>
    </row>
    <row r="125" spans="1:15">
      <c r="A125" t="str">
        <f t="shared" si="3"/>
        <v>Ampang 240 SL 4 X 5 ltr470880</v>
      </c>
      <c r="B125" t="s">
        <v>9944</v>
      </c>
      <c r="C125" t="s">
        <v>14507</v>
      </c>
      <c r="D125" t="s">
        <v>12028</v>
      </c>
      <c r="E125" t="s">
        <v>184</v>
      </c>
      <c r="F125">
        <v>4</v>
      </c>
      <c r="G125">
        <v>1</v>
      </c>
      <c r="H125">
        <v>1</v>
      </c>
      <c r="I125">
        <v>4</v>
      </c>
      <c r="J125">
        <v>56</v>
      </c>
      <c r="K125">
        <f t="shared" si="4"/>
        <v>14</v>
      </c>
      <c r="L125">
        <f t="shared" si="5"/>
        <v>0</v>
      </c>
      <c r="M125">
        <v>56</v>
      </c>
      <c r="N125" s="3">
        <v>47088</v>
      </c>
      <c r="O125" s="6">
        <v>0</v>
      </c>
    </row>
    <row r="126" spans="1:15">
      <c r="A126" t="str">
        <f t="shared" si="3"/>
        <v>Ampang 240 SL 4 X 5 ltr470580</v>
      </c>
      <c r="B126" t="s">
        <v>9945</v>
      </c>
      <c r="C126" t="s">
        <v>14508</v>
      </c>
      <c r="D126" t="s">
        <v>12029</v>
      </c>
      <c r="E126" t="s">
        <v>184</v>
      </c>
      <c r="F126">
        <v>4</v>
      </c>
      <c r="G126">
        <v>1</v>
      </c>
      <c r="H126">
        <v>1</v>
      </c>
      <c r="I126">
        <v>4</v>
      </c>
      <c r="J126">
        <v>284</v>
      </c>
      <c r="K126">
        <f t="shared" si="4"/>
        <v>71</v>
      </c>
      <c r="L126">
        <f t="shared" si="5"/>
        <v>0</v>
      </c>
      <c r="M126">
        <v>284</v>
      </c>
      <c r="N126" s="3">
        <v>47058</v>
      </c>
      <c r="O126" s="6">
        <v>0</v>
      </c>
    </row>
    <row r="127" spans="1:15">
      <c r="A127" t="str">
        <f t="shared" si="3"/>
        <v>Amuron 70 EC 100 X 100 ml461740</v>
      </c>
      <c r="B127" t="s">
        <v>9946</v>
      </c>
      <c r="C127" t="s">
        <v>14509</v>
      </c>
      <c r="D127" t="s">
        <v>12030</v>
      </c>
      <c r="E127" t="s">
        <v>185</v>
      </c>
      <c r="F127">
        <v>100</v>
      </c>
      <c r="G127">
        <v>1</v>
      </c>
      <c r="H127">
        <v>1</v>
      </c>
      <c r="I127">
        <v>100</v>
      </c>
      <c r="J127">
        <v>1387</v>
      </c>
      <c r="K127">
        <f t="shared" si="4"/>
        <v>13</v>
      </c>
      <c r="L127">
        <f t="shared" si="5"/>
        <v>87</v>
      </c>
      <c r="M127">
        <v>1387</v>
      </c>
      <c r="N127" s="3">
        <v>46174</v>
      </c>
      <c r="O127" s="6">
        <v>0</v>
      </c>
    </row>
    <row r="128" spans="1:15">
      <c r="A128" t="str">
        <f t="shared" si="3"/>
        <v>Amuron 70 EC 40 X 250 ml465390</v>
      </c>
      <c r="B128" t="s">
        <v>9947</v>
      </c>
      <c r="C128" t="s">
        <v>14510</v>
      </c>
      <c r="D128" t="s">
        <v>12031</v>
      </c>
      <c r="E128" t="s">
        <v>187</v>
      </c>
      <c r="F128">
        <v>40</v>
      </c>
      <c r="G128">
        <v>1</v>
      </c>
      <c r="H128">
        <v>1</v>
      </c>
      <c r="I128">
        <v>40</v>
      </c>
      <c r="J128">
        <v>10394</v>
      </c>
      <c r="K128">
        <f t="shared" si="4"/>
        <v>259</v>
      </c>
      <c r="L128">
        <f t="shared" si="5"/>
        <v>34</v>
      </c>
      <c r="M128">
        <v>10394</v>
      </c>
      <c r="N128" s="3">
        <v>46539</v>
      </c>
      <c r="O128" s="6">
        <v>0</v>
      </c>
    </row>
    <row r="129" spans="1:15">
      <c r="A129" t="str">
        <f t="shared" si="3"/>
        <v>Android 72 EC 20 X 200 ml457480</v>
      </c>
      <c r="B129" t="s">
        <v>9948</v>
      </c>
      <c r="C129" t="s">
        <v>14511</v>
      </c>
      <c r="D129" t="s">
        <v>12032</v>
      </c>
      <c r="E129" t="s">
        <v>189</v>
      </c>
      <c r="F129">
        <v>20</v>
      </c>
      <c r="G129">
        <v>1</v>
      </c>
      <c r="H129">
        <v>1</v>
      </c>
      <c r="I129">
        <v>20</v>
      </c>
      <c r="J129">
        <v>10</v>
      </c>
      <c r="K129">
        <f t="shared" si="4"/>
        <v>0</v>
      </c>
      <c r="L129">
        <f t="shared" si="5"/>
        <v>10</v>
      </c>
      <c r="M129">
        <v>10</v>
      </c>
      <c r="N129" s="3">
        <v>45748</v>
      </c>
      <c r="O129" s="6">
        <v>0</v>
      </c>
    </row>
    <row r="130" spans="1:15">
      <c r="A130" t="str">
        <f t="shared" si="3"/>
        <v>Android 72 EC 20 X 200 ml459310</v>
      </c>
      <c r="B130" t="s">
        <v>9949</v>
      </c>
      <c r="C130" t="s">
        <v>14512</v>
      </c>
      <c r="D130" t="s">
        <v>12033</v>
      </c>
      <c r="E130" t="s">
        <v>189</v>
      </c>
      <c r="F130">
        <v>20</v>
      </c>
      <c r="G130">
        <v>1</v>
      </c>
      <c r="H130">
        <v>1</v>
      </c>
      <c r="I130">
        <v>20</v>
      </c>
      <c r="J130">
        <v>660</v>
      </c>
      <c r="K130">
        <f t="shared" si="4"/>
        <v>33</v>
      </c>
      <c r="L130">
        <f t="shared" si="5"/>
        <v>0</v>
      </c>
      <c r="M130">
        <v>660</v>
      </c>
      <c r="N130" s="3">
        <v>45931</v>
      </c>
      <c r="O130" s="6">
        <v>0</v>
      </c>
    </row>
    <row r="131" spans="1:15">
      <c r="A131" t="str">
        <f t="shared" ref="A131:A194" si="6">E131&amp;N131&amp;O131</f>
        <v>Android 72 EC 20 X 400 ml459310</v>
      </c>
      <c r="B131" t="s">
        <v>9950</v>
      </c>
      <c r="C131" t="s">
        <v>14513</v>
      </c>
      <c r="D131" t="s">
        <v>12034</v>
      </c>
      <c r="E131" t="s">
        <v>190</v>
      </c>
      <c r="F131">
        <v>20</v>
      </c>
      <c r="G131">
        <v>1</v>
      </c>
      <c r="H131">
        <v>1</v>
      </c>
      <c r="I131">
        <v>20</v>
      </c>
      <c r="J131">
        <v>340</v>
      </c>
      <c r="K131">
        <f t="shared" ref="K131:K194" si="7">ROUNDDOWN(J131/I131,0)</f>
        <v>17</v>
      </c>
      <c r="L131">
        <f t="shared" ref="L131:L194" si="8">J131-K131*I131</f>
        <v>0</v>
      </c>
      <c r="M131">
        <v>340</v>
      </c>
      <c r="N131" s="3">
        <v>45931</v>
      </c>
      <c r="O131" s="6">
        <v>0</v>
      </c>
    </row>
    <row r="132" spans="1:15">
      <c r="A132" t="str">
        <f t="shared" si="6"/>
        <v>Android 72 EC 50 X 80 ml454130</v>
      </c>
      <c r="B132" t="s">
        <v>9951</v>
      </c>
      <c r="C132" t="s">
        <v>14514</v>
      </c>
      <c r="D132" t="s">
        <v>12035</v>
      </c>
      <c r="E132" t="s">
        <v>191</v>
      </c>
      <c r="F132">
        <v>50</v>
      </c>
      <c r="G132">
        <v>1</v>
      </c>
      <c r="H132">
        <v>1</v>
      </c>
      <c r="I132">
        <v>50</v>
      </c>
      <c r="J132">
        <v>1115</v>
      </c>
      <c r="K132">
        <f t="shared" si="7"/>
        <v>22</v>
      </c>
      <c r="L132">
        <f t="shared" si="8"/>
        <v>15</v>
      </c>
      <c r="M132">
        <v>1115</v>
      </c>
      <c r="N132" s="3">
        <v>45413</v>
      </c>
      <c r="O132" s="6">
        <v>0</v>
      </c>
    </row>
    <row r="133" spans="1:15">
      <c r="A133" t="str">
        <f t="shared" si="6"/>
        <v>Aneto 0.5 G 10 X 1 kg (M2U)460540</v>
      </c>
      <c r="B133" t="s">
        <v>9952</v>
      </c>
      <c r="C133" t="s">
        <v>14515</v>
      </c>
      <c r="D133" t="s">
        <v>12036</v>
      </c>
      <c r="E133" t="s">
        <v>193</v>
      </c>
      <c r="F133">
        <v>10</v>
      </c>
      <c r="G133">
        <v>1</v>
      </c>
      <c r="H133">
        <v>1</v>
      </c>
      <c r="I133">
        <v>10</v>
      </c>
      <c r="J133">
        <v>90</v>
      </c>
      <c r="K133">
        <f t="shared" si="7"/>
        <v>9</v>
      </c>
      <c r="L133">
        <f t="shared" si="8"/>
        <v>0</v>
      </c>
      <c r="M133">
        <v>90</v>
      </c>
      <c r="N133" s="3">
        <v>46054</v>
      </c>
      <c r="O133" s="6">
        <v>0</v>
      </c>
    </row>
    <row r="134" spans="1:15">
      <c r="A134" t="str">
        <f t="shared" si="6"/>
        <v>Aneto 50 EC 30 X 500 ml + Neptune 8 gr (M2U)462350</v>
      </c>
      <c r="B134" t="s">
        <v>9953</v>
      </c>
      <c r="C134" t="s">
        <v>14516</v>
      </c>
      <c r="D134" t="s">
        <v>12037</v>
      </c>
      <c r="E134" t="s">
        <v>195</v>
      </c>
      <c r="F134">
        <v>30</v>
      </c>
      <c r="G134">
        <v>1</v>
      </c>
      <c r="H134">
        <v>1</v>
      </c>
      <c r="I134">
        <v>30</v>
      </c>
      <c r="J134">
        <v>30</v>
      </c>
      <c r="K134">
        <f t="shared" si="7"/>
        <v>1</v>
      </c>
      <c r="L134">
        <f t="shared" si="8"/>
        <v>0</v>
      </c>
      <c r="M134">
        <v>30</v>
      </c>
      <c r="N134" s="3">
        <v>46235</v>
      </c>
      <c r="O134" s="6">
        <v>0</v>
      </c>
    </row>
    <row r="135" spans="1:15">
      <c r="A135" t="str">
        <f t="shared" si="6"/>
        <v>Aneto 50 EC 30 X 500 ml + Neptune 8 gr (M2U)463570</v>
      </c>
      <c r="B135" t="s">
        <v>9954</v>
      </c>
      <c r="C135" t="s">
        <v>14517</v>
      </c>
      <c r="D135" t="s">
        <v>12038</v>
      </c>
      <c r="E135" t="s">
        <v>195</v>
      </c>
      <c r="F135">
        <v>30</v>
      </c>
      <c r="G135">
        <v>1</v>
      </c>
      <c r="H135">
        <v>1</v>
      </c>
      <c r="I135">
        <v>30</v>
      </c>
      <c r="J135">
        <v>1258</v>
      </c>
      <c r="K135">
        <f t="shared" si="7"/>
        <v>41</v>
      </c>
      <c r="L135">
        <f t="shared" si="8"/>
        <v>28</v>
      </c>
      <c r="M135">
        <v>1258</v>
      </c>
      <c r="N135" s="3">
        <v>46357</v>
      </c>
      <c r="O135" s="6">
        <v>0</v>
      </c>
    </row>
    <row r="136" spans="1:15">
      <c r="A136" t="str">
        <f t="shared" si="6"/>
        <v>Aneto 50 EC 50 X 100 ml (M2U)461430</v>
      </c>
      <c r="B136" t="s">
        <v>9955</v>
      </c>
      <c r="C136" t="s">
        <v>14518</v>
      </c>
      <c r="D136" t="s">
        <v>12039</v>
      </c>
      <c r="E136" t="s">
        <v>196</v>
      </c>
      <c r="F136">
        <v>50</v>
      </c>
      <c r="G136">
        <v>1</v>
      </c>
      <c r="H136">
        <v>1</v>
      </c>
      <c r="I136">
        <v>50</v>
      </c>
      <c r="J136">
        <v>118</v>
      </c>
      <c r="K136">
        <f t="shared" si="7"/>
        <v>2</v>
      </c>
      <c r="L136">
        <f t="shared" si="8"/>
        <v>18</v>
      </c>
      <c r="M136">
        <v>118</v>
      </c>
      <c r="N136" s="3">
        <v>46143</v>
      </c>
      <c r="O136" s="6">
        <v>0</v>
      </c>
    </row>
    <row r="137" spans="1:15">
      <c r="A137" t="str">
        <f t="shared" si="6"/>
        <v>Aneto 50 EC 50 X 100 ml (M2U)465080</v>
      </c>
      <c r="B137" t="s">
        <v>9956</v>
      </c>
      <c r="C137" t="s">
        <v>14519</v>
      </c>
      <c r="D137" t="s">
        <v>12040</v>
      </c>
      <c r="E137" t="s">
        <v>196</v>
      </c>
      <c r="F137">
        <v>50</v>
      </c>
      <c r="G137">
        <v>1</v>
      </c>
      <c r="H137">
        <v>1</v>
      </c>
      <c r="I137">
        <v>50</v>
      </c>
      <c r="J137">
        <v>1250</v>
      </c>
      <c r="K137">
        <f t="shared" si="7"/>
        <v>25</v>
      </c>
      <c r="L137">
        <f t="shared" si="8"/>
        <v>0</v>
      </c>
      <c r="M137">
        <v>1250</v>
      </c>
      <c r="N137" s="3">
        <v>46508</v>
      </c>
      <c r="O137" s="6">
        <v>0</v>
      </c>
    </row>
    <row r="138" spans="1:15">
      <c r="A138" t="str">
        <f t="shared" si="6"/>
        <v>Aneto 50 EC 50 X 250 ml + Neptune 8 gr (M2U)459010</v>
      </c>
      <c r="B138" t="s">
        <v>9957</v>
      </c>
      <c r="C138" t="s">
        <v>14520</v>
      </c>
      <c r="D138" t="s">
        <v>12041</v>
      </c>
      <c r="E138" t="s">
        <v>197</v>
      </c>
      <c r="F138">
        <v>50</v>
      </c>
      <c r="G138">
        <v>1</v>
      </c>
      <c r="H138">
        <v>1</v>
      </c>
      <c r="I138">
        <v>50</v>
      </c>
      <c r="J138">
        <v>476</v>
      </c>
      <c r="K138">
        <f t="shared" si="7"/>
        <v>9</v>
      </c>
      <c r="L138">
        <f t="shared" si="8"/>
        <v>26</v>
      </c>
      <c r="M138">
        <v>476</v>
      </c>
      <c r="N138" s="3">
        <v>45901</v>
      </c>
      <c r="O138" s="6">
        <v>0</v>
      </c>
    </row>
    <row r="139" spans="1:15">
      <c r="A139" t="str">
        <f t="shared" si="6"/>
        <v>Aneto 50 EC 50 X 250 ml + Neptune 8 gr (M2U)460820</v>
      </c>
      <c r="B139" t="s">
        <v>9958</v>
      </c>
      <c r="C139" t="s">
        <v>14521</v>
      </c>
      <c r="D139" t="s">
        <v>12042</v>
      </c>
      <c r="E139" t="s">
        <v>197</v>
      </c>
      <c r="F139">
        <v>50</v>
      </c>
      <c r="G139">
        <v>1</v>
      </c>
      <c r="H139">
        <v>1</v>
      </c>
      <c r="I139">
        <v>50</v>
      </c>
      <c r="J139">
        <v>500</v>
      </c>
      <c r="K139">
        <f t="shared" si="7"/>
        <v>10</v>
      </c>
      <c r="L139">
        <f t="shared" si="8"/>
        <v>0</v>
      </c>
      <c r="M139">
        <v>500</v>
      </c>
      <c r="N139" s="3">
        <v>46082</v>
      </c>
      <c r="O139" s="6">
        <v>0</v>
      </c>
    </row>
    <row r="140" spans="1:15">
      <c r="A140" t="str">
        <f t="shared" si="6"/>
        <v>Antracol 70 WP 12 X 1 kg457170</v>
      </c>
      <c r="B140" t="s">
        <v>9959</v>
      </c>
      <c r="C140" t="s">
        <v>14522</v>
      </c>
      <c r="D140" t="s">
        <v>12043</v>
      </c>
      <c r="E140" t="s">
        <v>198</v>
      </c>
      <c r="F140">
        <v>12</v>
      </c>
      <c r="G140">
        <v>1</v>
      </c>
      <c r="H140">
        <v>1</v>
      </c>
      <c r="I140">
        <v>12</v>
      </c>
      <c r="J140">
        <v>354</v>
      </c>
      <c r="K140">
        <f t="shared" si="7"/>
        <v>29</v>
      </c>
      <c r="L140">
        <f t="shared" si="8"/>
        <v>6</v>
      </c>
      <c r="M140">
        <v>354</v>
      </c>
      <c r="N140" s="3">
        <v>45717</v>
      </c>
      <c r="O140" s="6">
        <v>0</v>
      </c>
    </row>
    <row r="141" spans="1:15">
      <c r="A141" t="str">
        <f t="shared" si="6"/>
        <v>Antracol 70 WP 20 X 500 gr464470</v>
      </c>
      <c r="B141" t="s">
        <v>9960</v>
      </c>
      <c r="C141" t="s">
        <v>14523</v>
      </c>
      <c r="D141" t="s">
        <v>12044</v>
      </c>
      <c r="E141" t="s">
        <v>201</v>
      </c>
      <c r="F141">
        <v>20</v>
      </c>
      <c r="G141">
        <v>1</v>
      </c>
      <c r="H141">
        <v>1</v>
      </c>
      <c r="I141">
        <v>20</v>
      </c>
      <c r="J141">
        <v>1</v>
      </c>
      <c r="K141">
        <f t="shared" si="7"/>
        <v>0</v>
      </c>
      <c r="L141">
        <f t="shared" si="8"/>
        <v>1</v>
      </c>
      <c r="M141">
        <v>1</v>
      </c>
      <c r="N141" s="3">
        <v>46447</v>
      </c>
      <c r="O141" s="6">
        <v>0</v>
      </c>
    </row>
    <row r="142" spans="1:15">
      <c r="A142" t="str">
        <f t="shared" si="6"/>
        <v>Antracol 70 WP 20 X 500 gr464780</v>
      </c>
      <c r="B142" t="s">
        <v>9961</v>
      </c>
      <c r="C142" t="s">
        <v>14524</v>
      </c>
      <c r="D142" t="s">
        <v>12045</v>
      </c>
      <c r="E142" t="s">
        <v>201</v>
      </c>
      <c r="F142">
        <v>20</v>
      </c>
      <c r="G142">
        <v>1</v>
      </c>
      <c r="H142">
        <v>1</v>
      </c>
      <c r="I142">
        <v>20</v>
      </c>
      <c r="J142">
        <v>1255</v>
      </c>
      <c r="K142">
        <f t="shared" si="7"/>
        <v>62</v>
      </c>
      <c r="L142">
        <f t="shared" si="8"/>
        <v>15</v>
      </c>
      <c r="M142">
        <v>1255</v>
      </c>
      <c r="N142" s="3">
        <v>46478</v>
      </c>
      <c r="O142" s="6">
        <v>0</v>
      </c>
    </row>
    <row r="143" spans="1:15">
      <c r="A143" t="str">
        <f t="shared" si="6"/>
        <v>Antracol 70 WP 40 X 250 gr462660</v>
      </c>
      <c r="B143" t="s">
        <v>9962</v>
      </c>
      <c r="C143" t="s">
        <v>14525</v>
      </c>
      <c r="D143" t="s">
        <v>12046</v>
      </c>
      <c r="E143" t="s">
        <v>204</v>
      </c>
      <c r="F143">
        <v>40</v>
      </c>
      <c r="G143">
        <v>1</v>
      </c>
      <c r="H143">
        <v>1</v>
      </c>
      <c r="I143">
        <v>40</v>
      </c>
      <c r="J143">
        <v>886</v>
      </c>
      <c r="K143">
        <f t="shared" si="7"/>
        <v>22</v>
      </c>
      <c r="L143">
        <f t="shared" si="8"/>
        <v>6</v>
      </c>
      <c r="M143">
        <v>886</v>
      </c>
      <c r="N143" s="3">
        <v>46266</v>
      </c>
      <c r="O143" s="6">
        <v>0</v>
      </c>
    </row>
    <row r="144" spans="1:15">
      <c r="A144" t="str">
        <f t="shared" si="6"/>
        <v>Anvil 50 SC 10 X 1 ltr458700</v>
      </c>
      <c r="B144" t="s">
        <v>9963</v>
      </c>
      <c r="C144" t="s">
        <v>14526</v>
      </c>
      <c r="D144" t="s">
        <v>12047</v>
      </c>
      <c r="E144" t="s">
        <v>206</v>
      </c>
      <c r="F144">
        <v>10</v>
      </c>
      <c r="G144">
        <v>1</v>
      </c>
      <c r="H144">
        <v>1</v>
      </c>
      <c r="I144">
        <v>10</v>
      </c>
      <c r="J144">
        <v>1170</v>
      </c>
      <c r="K144">
        <f t="shared" si="7"/>
        <v>117</v>
      </c>
      <c r="L144">
        <f t="shared" si="8"/>
        <v>0</v>
      </c>
      <c r="M144">
        <v>1170</v>
      </c>
      <c r="N144" s="3">
        <v>45870</v>
      </c>
      <c r="O144" s="6">
        <v>0</v>
      </c>
    </row>
    <row r="145" spans="1:15">
      <c r="A145" t="str">
        <f t="shared" si="6"/>
        <v>Anvil 50 SC 40 X 250 ml458700</v>
      </c>
      <c r="B145" t="s">
        <v>9964</v>
      </c>
      <c r="C145" t="s">
        <v>14527</v>
      </c>
      <c r="D145" t="s">
        <v>12048</v>
      </c>
      <c r="E145" t="s">
        <v>210</v>
      </c>
      <c r="F145">
        <v>40</v>
      </c>
      <c r="G145">
        <v>1</v>
      </c>
      <c r="H145">
        <v>1</v>
      </c>
      <c r="I145">
        <v>40</v>
      </c>
      <c r="J145">
        <v>6958</v>
      </c>
      <c r="K145">
        <f t="shared" si="7"/>
        <v>173</v>
      </c>
      <c r="L145">
        <f t="shared" si="8"/>
        <v>38</v>
      </c>
      <c r="M145">
        <v>6958</v>
      </c>
      <c r="N145" s="3">
        <v>45870</v>
      </c>
      <c r="O145" s="6">
        <v>0</v>
      </c>
    </row>
    <row r="146" spans="1:15">
      <c r="A146" t="str">
        <f t="shared" si="6"/>
        <v>Applaud 10 WP 20 X 5 X 100 gr467840</v>
      </c>
      <c r="B146" t="s">
        <v>9965</v>
      </c>
      <c r="C146" t="s">
        <v>14528</v>
      </c>
      <c r="D146" t="s">
        <v>12049</v>
      </c>
      <c r="E146" t="s">
        <v>214</v>
      </c>
      <c r="F146">
        <v>20</v>
      </c>
      <c r="G146">
        <v>5</v>
      </c>
      <c r="H146">
        <v>1</v>
      </c>
      <c r="I146">
        <v>100</v>
      </c>
      <c r="J146">
        <v>7576</v>
      </c>
      <c r="K146">
        <f t="shared" si="7"/>
        <v>75</v>
      </c>
      <c r="L146">
        <f t="shared" si="8"/>
        <v>76</v>
      </c>
      <c r="M146">
        <v>7576</v>
      </c>
      <c r="N146" s="3">
        <v>46784</v>
      </c>
      <c r="O146" s="6">
        <v>0</v>
      </c>
    </row>
    <row r="147" spans="1:15">
      <c r="A147" t="str">
        <f t="shared" si="6"/>
        <v>Apropo 200 SE 100 X 60 ml457480</v>
      </c>
      <c r="B147" t="s">
        <v>9966</v>
      </c>
      <c r="C147" t="s">
        <v>14529</v>
      </c>
      <c r="D147" t="s">
        <v>12050</v>
      </c>
      <c r="E147" t="s">
        <v>215</v>
      </c>
      <c r="F147">
        <v>100</v>
      </c>
      <c r="G147">
        <v>1</v>
      </c>
      <c r="H147">
        <v>1</v>
      </c>
      <c r="I147">
        <v>100</v>
      </c>
      <c r="J147">
        <v>90</v>
      </c>
      <c r="K147">
        <f t="shared" si="7"/>
        <v>0</v>
      </c>
      <c r="L147">
        <f t="shared" si="8"/>
        <v>90</v>
      </c>
      <c r="M147">
        <v>90</v>
      </c>
      <c r="N147" s="3">
        <v>45748</v>
      </c>
      <c r="O147" s="6">
        <v>0</v>
      </c>
    </row>
    <row r="148" spans="1:15">
      <c r="A148" t="str">
        <f t="shared" si="6"/>
        <v>Apropo 200 SE 40 X 250 ml1/1/10000</v>
      </c>
      <c r="B148" t="s">
        <v>9967</v>
      </c>
      <c r="C148" t="s">
        <v>14530</v>
      </c>
      <c r="D148" t="s">
        <v>12051</v>
      </c>
      <c r="E148" t="s">
        <v>216</v>
      </c>
      <c r="F148">
        <v>40</v>
      </c>
      <c r="G148">
        <v>1</v>
      </c>
      <c r="H148">
        <v>1</v>
      </c>
      <c r="I148">
        <v>40</v>
      </c>
      <c r="J148">
        <v>9</v>
      </c>
      <c r="K148">
        <f t="shared" si="7"/>
        <v>0</v>
      </c>
      <c r="L148">
        <f t="shared" si="8"/>
        <v>9</v>
      </c>
      <c r="M148">
        <v>9</v>
      </c>
      <c r="N148" s="3" t="s">
        <v>2222</v>
      </c>
      <c r="O148" s="6">
        <v>0</v>
      </c>
    </row>
    <row r="149" spans="1:15">
      <c r="A149" t="str">
        <f t="shared" si="6"/>
        <v>Arendi 20/10 WP 20 X 20 X 25 gr471500</v>
      </c>
      <c r="B149" t="s">
        <v>9968</v>
      </c>
      <c r="C149" t="s">
        <v>14531</v>
      </c>
      <c r="D149" t="s">
        <v>12052</v>
      </c>
      <c r="E149" t="s">
        <v>217</v>
      </c>
      <c r="F149">
        <v>20</v>
      </c>
      <c r="G149">
        <v>20</v>
      </c>
      <c r="H149">
        <v>1</v>
      </c>
      <c r="I149">
        <v>400</v>
      </c>
      <c r="J149">
        <v>9200</v>
      </c>
      <c r="K149">
        <f t="shared" si="7"/>
        <v>23</v>
      </c>
      <c r="L149">
        <f t="shared" si="8"/>
        <v>0</v>
      </c>
      <c r="M149">
        <v>9200</v>
      </c>
      <c r="N149" s="3">
        <v>47150</v>
      </c>
      <c r="O149" s="6">
        <v>0</v>
      </c>
    </row>
    <row r="150" spans="1:15">
      <c r="A150" t="str">
        <f t="shared" si="6"/>
        <v>Arendi 20/10 WP 20 X 20 X 25 gr468130</v>
      </c>
      <c r="B150" t="s">
        <v>9969</v>
      </c>
      <c r="C150" t="s">
        <v>14532</v>
      </c>
      <c r="D150" t="s">
        <v>12053</v>
      </c>
      <c r="E150" t="s">
        <v>217</v>
      </c>
      <c r="F150">
        <v>20</v>
      </c>
      <c r="G150">
        <v>20</v>
      </c>
      <c r="H150">
        <v>1</v>
      </c>
      <c r="I150">
        <v>400</v>
      </c>
      <c r="J150">
        <v>36975</v>
      </c>
      <c r="K150">
        <f t="shared" si="7"/>
        <v>92</v>
      </c>
      <c r="L150">
        <f t="shared" si="8"/>
        <v>175</v>
      </c>
      <c r="M150">
        <v>36975</v>
      </c>
      <c r="N150" s="3">
        <v>46813</v>
      </c>
      <c r="O150" s="6">
        <v>0</v>
      </c>
    </row>
    <row r="151" spans="1:15">
      <c r="A151" t="str">
        <f t="shared" si="6"/>
        <v>Arizona 55 EC 50 X 80 ml459310</v>
      </c>
      <c r="B151" t="s">
        <v>9970</v>
      </c>
      <c r="C151" t="s">
        <v>14533</v>
      </c>
      <c r="D151" t="s">
        <v>12054</v>
      </c>
      <c r="E151" t="s">
        <v>220</v>
      </c>
      <c r="F151">
        <v>50</v>
      </c>
      <c r="G151">
        <v>1</v>
      </c>
      <c r="H151">
        <v>1</v>
      </c>
      <c r="I151">
        <v>50</v>
      </c>
      <c r="J151">
        <v>11</v>
      </c>
      <c r="K151">
        <f t="shared" si="7"/>
        <v>0</v>
      </c>
      <c r="L151">
        <f t="shared" si="8"/>
        <v>11</v>
      </c>
      <c r="M151">
        <v>11</v>
      </c>
      <c r="N151" s="3">
        <v>45931</v>
      </c>
      <c r="O151" s="6">
        <v>0</v>
      </c>
    </row>
    <row r="152" spans="1:15">
      <c r="A152" t="str">
        <f t="shared" si="6"/>
        <v>Arizona 55 EC 80 ml (Sample)1/1/10000</v>
      </c>
      <c r="B152" t="s">
        <v>9971</v>
      </c>
      <c r="C152" t="s">
        <v>14534</v>
      </c>
      <c r="D152" t="s">
        <v>12055</v>
      </c>
      <c r="E152" t="s">
        <v>222</v>
      </c>
      <c r="F152">
        <v>1</v>
      </c>
      <c r="G152">
        <v>1</v>
      </c>
      <c r="H152">
        <v>1</v>
      </c>
      <c r="I152">
        <v>1</v>
      </c>
      <c r="J152">
        <v>2</v>
      </c>
      <c r="K152">
        <f t="shared" si="7"/>
        <v>2</v>
      </c>
      <c r="L152">
        <f t="shared" si="8"/>
        <v>0</v>
      </c>
      <c r="M152">
        <v>2</v>
      </c>
      <c r="N152" s="3" t="s">
        <v>2222</v>
      </c>
      <c r="O152" s="6">
        <v>0</v>
      </c>
    </row>
    <row r="153" spans="1:15">
      <c r="A153" t="str">
        <f t="shared" si="6"/>
        <v>Arma 48/4 WP 20 X 500 gr458390</v>
      </c>
      <c r="B153" t="s">
        <v>9972</v>
      </c>
      <c r="C153" t="s">
        <v>14535</v>
      </c>
      <c r="D153" t="s">
        <v>12056</v>
      </c>
      <c r="E153" t="s">
        <v>223</v>
      </c>
      <c r="F153">
        <v>20</v>
      </c>
      <c r="G153">
        <v>1</v>
      </c>
      <c r="H153">
        <v>1</v>
      </c>
      <c r="I153">
        <v>20</v>
      </c>
      <c r="J153">
        <v>1491</v>
      </c>
      <c r="K153">
        <f t="shared" si="7"/>
        <v>74</v>
      </c>
      <c r="L153">
        <f t="shared" si="8"/>
        <v>11</v>
      </c>
      <c r="M153">
        <v>1491</v>
      </c>
      <c r="N153" s="3">
        <v>45839</v>
      </c>
      <c r="O153" s="6">
        <v>0</v>
      </c>
    </row>
    <row r="154" spans="1:15">
      <c r="A154" t="str">
        <f t="shared" si="6"/>
        <v>Arma 52 WP 20 X 500 gr (Sample)458390</v>
      </c>
      <c r="B154" t="s">
        <v>9973</v>
      </c>
      <c r="C154" t="s">
        <v>14536</v>
      </c>
      <c r="D154" t="s">
        <v>12057</v>
      </c>
      <c r="E154" t="s">
        <v>225</v>
      </c>
      <c r="F154">
        <v>20</v>
      </c>
      <c r="G154">
        <v>1</v>
      </c>
      <c r="H154">
        <v>1</v>
      </c>
      <c r="I154">
        <v>20</v>
      </c>
      <c r="J154">
        <v>7</v>
      </c>
      <c r="K154">
        <f t="shared" si="7"/>
        <v>0</v>
      </c>
      <c r="L154">
        <f t="shared" si="8"/>
        <v>7</v>
      </c>
      <c r="M154">
        <v>7</v>
      </c>
      <c r="N154" s="3">
        <v>45839</v>
      </c>
      <c r="O154" s="6">
        <v>0</v>
      </c>
    </row>
    <row r="155" spans="1:15">
      <c r="A155" t="str">
        <f t="shared" si="6"/>
        <v>Armeira 30 WG 10 X 20 X 50 gr458090</v>
      </c>
      <c r="B155" t="s">
        <v>9974</v>
      </c>
      <c r="C155" t="s">
        <v>14537</v>
      </c>
      <c r="D155" t="s">
        <v>12058</v>
      </c>
      <c r="E155" t="s">
        <v>227</v>
      </c>
      <c r="F155">
        <v>10</v>
      </c>
      <c r="G155">
        <v>20</v>
      </c>
      <c r="H155">
        <v>1</v>
      </c>
      <c r="I155">
        <v>200</v>
      </c>
      <c r="J155">
        <v>298</v>
      </c>
      <c r="K155">
        <f t="shared" si="7"/>
        <v>1</v>
      </c>
      <c r="L155">
        <f t="shared" si="8"/>
        <v>98</v>
      </c>
      <c r="M155">
        <v>298</v>
      </c>
      <c r="N155" s="3">
        <v>45809</v>
      </c>
      <c r="O155" s="6">
        <v>0</v>
      </c>
    </row>
    <row r="156" spans="1:15">
      <c r="A156" t="str">
        <f t="shared" si="6"/>
        <v>Armeira 30 WG 10 X 20 X 50 gr459310</v>
      </c>
      <c r="B156" t="s">
        <v>9975</v>
      </c>
      <c r="C156" t="s">
        <v>14538</v>
      </c>
      <c r="D156" t="s">
        <v>12059</v>
      </c>
      <c r="E156" t="s">
        <v>227</v>
      </c>
      <c r="F156">
        <v>10</v>
      </c>
      <c r="G156">
        <v>20</v>
      </c>
      <c r="H156">
        <v>1</v>
      </c>
      <c r="I156">
        <v>200</v>
      </c>
      <c r="J156">
        <v>24600</v>
      </c>
      <c r="K156">
        <f t="shared" si="7"/>
        <v>123</v>
      </c>
      <c r="L156">
        <f t="shared" si="8"/>
        <v>0</v>
      </c>
      <c r="M156">
        <v>24600</v>
      </c>
      <c r="N156" s="3">
        <v>45931</v>
      </c>
      <c r="O156" s="6">
        <v>0</v>
      </c>
    </row>
    <row r="157" spans="1:15">
      <c r="A157" t="str">
        <f t="shared" si="6"/>
        <v>Asetop 30 EC 20 X 500 ml458700</v>
      </c>
      <c r="B157" t="s">
        <v>9976</v>
      </c>
      <c r="C157" t="s">
        <v>14539</v>
      </c>
      <c r="D157" t="s">
        <v>12060</v>
      </c>
      <c r="E157" t="s">
        <v>228</v>
      </c>
      <c r="F157">
        <v>20</v>
      </c>
      <c r="G157">
        <v>1</v>
      </c>
      <c r="H157">
        <v>1</v>
      </c>
      <c r="I157">
        <v>20</v>
      </c>
      <c r="J157">
        <v>100</v>
      </c>
      <c r="K157">
        <f t="shared" si="7"/>
        <v>5</v>
      </c>
      <c r="L157">
        <f t="shared" si="8"/>
        <v>0</v>
      </c>
      <c r="M157">
        <v>100</v>
      </c>
      <c r="N157" s="3">
        <v>45870</v>
      </c>
      <c r="O157" s="6">
        <v>0</v>
      </c>
    </row>
    <row r="158" spans="1:15">
      <c r="A158" t="str">
        <f t="shared" si="6"/>
        <v>Asetop 30 EC 20 X 500 ml463570</v>
      </c>
      <c r="B158" t="s">
        <v>9977</v>
      </c>
      <c r="C158" t="s">
        <v>14540</v>
      </c>
      <c r="D158" t="s">
        <v>12061</v>
      </c>
      <c r="E158" t="s">
        <v>228</v>
      </c>
      <c r="F158">
        <v>20</v>
      </c>
      <c r="G158">
        <v>1</v>
      </c>
      <c r="H158">
        <v>1</v>
      </c>
      <c r="I158">
        <v>20</v>
      </c>
      <c r="J158">
        <v>460</v>
      </c>
      <c r="K158">
        <f t="shared" si="7"/>
        <v>23</v>
      </c>
      <c r="L158">
        <f t="shared" si="8"/>
        <v>0</v>
      </c>
      <c r="M158">
        <v>460</v>
      </c>
      <c r="N158" s="3">
        <v>46357</v>
      </c>
      <c r="O158" s="6">
        <v>0</v>
      </c>
    </row>
    <row r="159" spans="1:15">
      <c r="A159" t="str">
        <f t="shared" si="6"/>
        <v>Asetop 30 EC 40 X 100 ml458700</v>
      </c>
      <c r="B159" t="s">
        <v>9978</v>
      </c>
      <c r="C159" t="s">
        <v>14541</v>
      </c>
      <c r="D159" t="s">
        <v>12062</v>
      </c>
      <c r="E159" t="s">
        <v>232</v>
      </c>
      <c r="F159">
        <v>40</v>
      </c>
      <c r="G159">
        <v>1</v>
      </c>
      <c r="H159">
        <v>1</v>
      </c>
      <c r="I159">
        <v>40</v>
      </c>
      <c r="J159">
        <v>1050</v>
      </c>
      <c r="K159">
        <f t="shared" si="7"/>
        <v>26</v>
      </c>
      <c r="L159">
        <f t="shared" si="8"/>
        <v>10</v>
      </c>
      <c r="M159">
        <v>1050</v>
      </c>
      <c r="N159" s="3">
        <v>45870</v>
      </c>
      <c r="O159" s="6">
        <v>0</v>
      </c>
    </row>
    <row r="160" spans="1:15">
      <c r="A160" t="str">
        <f t="shared" si="6"/>
        <v>Asetor 250 EC 40 X 250 ml459310</v>
      </c>
      <c r="B160" t="s">
        <v>9979</v>
      </c>
      <c r="C160" t="s">
        <v>14542</v>
      </c>
      <c r="D160" t="s">
        <v>12063</v>
      </c>
      <c r="E160" t="s">
        <v>235</v>
      </c>
      <c r="F160">
        <v>40</v>
      </c>
      <c r="G160">
        <v>1</v>
      </c>
      <c r="H160">
        <v>1</v>
      </c>
      <c r="I160">
        <v>40</v>
      </c>
      <c r="J160">
        <v>1</v>
      </c>
      <c r="K160">
        <f t="shared" si="7"/>
        <v>0</v>
      </c>
      <c r="L160">
        <f t="shared" si="8"/>
        <v>1</v>
      </c>
      <c r="M160">
        <v>1</v>
      </c>
      <c r="N160" s="3">
        <v>45931</v>
      </c>
      <c r="O160" s="6">
        <v>0</v>
      </c>
    </row>
    <row r="161" spans="1:15">
      <c r="A161" t="str">
        <f t="shared" si="6"/>
        <v>Asetor 250 EC 40 X 250 ml460820</v>
      </c>
      <c r="B161" t="s">
        <v>9980</v>
      </c>
      <c r="C161" t="s">
        <v>14543</v>
      </c>
      <c r="D161" t="s">
        <v>12064</v>
      </c>
      <c r="E161" t="s">
        <v>235</v>
      </c>
      <c r="F161">
        <v>40</v>
      </c>
      <c r="G161">
        <v>1</v>
      </c>
      <c r="H161">
        <v>1</v>
      </c>
      <c r="I161">
        <v>40</v>
      </c>
      <c r="J161">
        <v>5</v>
      </c>
      <c r="K161">
        <f t="shared" si="7"/>
        <v>0</v>
      </c>
      <c r="L161">
        <f t="shared" si="8"/>
        <v>5</v>
      </c>
      <c r="M161">
        <v>5</v>
      </c>
      <c r="N161" s="3">
        <v>46082</v>
      </c>
      <c r="O161" s="6">
        <v>0</v>
      </c>
    </row>
    <row r="162" spans="1:15">
      <c r="A162" t="str">
        <f t="shared" si="6"/>
        <v>Asetor 250 EC 40 X 250 ml471780</v>
      </c>
      <c r="B162" t="s">
        <v>9981</v>
      </c>
      <c r="C162" t="s">
        <v>14544</v>
      </c>
      <c r="D162" t="s">
        <v>12065</v>
      </c>
      <c r="E162" t="s">
        <v>235</v>
      </c>
      <c r="F162">
        <v>40</v>
      </c>
      <c r="G162">
        <v>1</v>
      </c>
      <c r="H162">
        <v>1</v>
      </c>
      <c r="I162">
        <v>40</v>
      </c>
      <c r="J162">
        <v>1295</v>
      </c>
      <c r="K162">
        <f t="shared" si="7"/>
        <v>32</v>
      </c>
      <c r="L162">
        <f t="shared" si="8"/>
        <v>15</v>
      </c>
      <c r="M162">
        <v>1295</v>
      </c>
      <c r="N162" s="3">
        <v>47178</v>
      </c>
      <c r="O162" s="6">
        <v>0</v>
      </c>
    </row>
    <row r="163" spans="1:15">
      <c r="A163" t="str">
        <f t="shared" si="6"/>
        <v>Asia Top 288 SL 20 ltr471190</v>
      </c>
      <c r="B163" t="s">
        <v>9982</v>
      </c>
      <c r="C163" t="s">
        <v>14545</v>
      </c>
      <c r="D163" t="s">
        <v>12066</v>
      </c>
      <c r="E163" t="s">
        <v>236</v>
      </c>
      <c r="F163">
        <v>1</v>
      </c>
      <c r="G163">
        <v>1</v>
      </c>
      <c r="H163">
        <v>1</v>
      </c>
      <c r="I163">
        <v>1</v>
      </c>
      <c r="J163">
        <v>24</v>
      </c>
      <c r="K163">
        <f t="shared" si="7"/>
        <v>24</v>
      </c>
      <c r="L163">
        <f t="shared" si="8"/>
        <v>0</v>
      </c>
      <c r="M163">
        <v>24</v>
      </c>
      <c r="N163" s="3">
        <v>47119</v>
      </c>
      <c r="O163" s="6">
        <v>0</v>
      </c>
    </row>
    <row r="164" spans="1:15">
      <c r="A164" t="str">
        <f t="shared" si="6"/>
        <v>Asia Top 288 SL 20 ltr472700</v>
      </c>
      <c r="B164" t="s">
        <v>9983</v>
      </c>
      <c r="C164" t="s">
        <v>14546</v>
      </c>
      <c r="D164" t="s">
        <v>12067</v>
      </c>
      <c r="E164" t="s">
        <v>236</v>
      </c>
      <c r="F164">
        <v>1</v>
      </c>
      <c r="G164">
        <v>1</v>
      </c>
      <c r="H164">
        <v>1</v>
      </c>
      <c r="I164">
        <v>1</v>
      </c>
      <c r="J164">
        <v>246</v>
      </c>
      <c r="K164">
        <f t="shared" si="7"/>
        <v>246</v>
      </c>
      <c r="L164">
        <f t="shared" si="8"/>
        <v>0</v>
      </c>
      <c r="M164">
        <v>246</v>
      </c>
      <c r="N164" s="3">
        <v>47270</v>
      </c>
      <c r="O164" s="6">
        <v>0</v>
      </c>
    </row>
    <row r="165" spans="1:15">
      <c r="A165" t="str">
        <f t="shared" si="6"/>
        <v>Asia Top 288 SL 20 X 1 ltr472700</v>
      </c>
      <c r="B165" t="s">
        <v>9984</v>
      </c>
      <c r="C165" t="s">
        <v>14547</v>
      </c>
      <c r="D165" t="s">
        <v>12068</v>
      </c>
      <c r="E165" t="s">
        <v>237</v>
      </c>
      <c r="F165">
        <v>20</v>
      </c>
      <c r="G165">
        <v>1</v>
      </c>
      <c r="H165">
        <v>1</v>
      </c>
      <c r="I165">
        <v>20</v>
      </c>
      <c r="J165">
        <v>2240</v>
      </c>
      <c r="K165">
        <f t="shared" si="7"/>
        <v>112</v>
      </c>
      <c r="L165">
        <f t="shared" si="8"/>
        <v>0</v>
      </c>
      <c r="M165">
        <v>2240</v>
      </c>
      <c r="N165" s="3">
        <v>47270</v>
      </c>
      <c r="O165" s="6">
        <v>0</v>
      </c>
    </row>
    <row r="166" spans="1:15">
      <c r="A166" t="str">
        <f t="shared" si="6"/>
        <v>Asia Top 288 SL 4 X 5 ltr472700</v>
      </c>
      <c r="B166" t="s">
        <v>9985</v>
      </c>
      <c r="C166" t="s">
        <v>14548</v>
      </c>
      <c r="D166" t="s">
        <v>12069</v>
      </c>
      <c r="E166" t="s">
        <v>238</v>
      </c>
      <c r="F166">
        <v>4</v>
      </c>
      <c r="G166">
        <v>1</v>
      </c>
      <c r="H166">
        <v>1</v>
      </c>
      <c r="I166">
        <v>4</v>
      </c>
      <c r="J166">
        <v>347</v>
      </c>
      <c r="K166">
        <f t="shared" si="7"/>
        <v>86</v>
      </c>
      <c r="L166">
        <f t="shared" si="8"/>
        <v>3</v>
      </c>
      <c r="M166">
        <v>347</v>
      </c>
      <c r="N166" s="3">
        <v>47270</v>
      </c>
      <c r="O166" s="6">
        <v>0</v>
      </c>
    </row>
    <row r="167" spans="1:15">
      <c r="A167" t="str">
        <f t="shared" si="6"/>
        <v>Asia Top 288 SL 40 X 500 ml464780</v>
      </c>
      <c r="B167" t="s">
        <v>9986</v>
      </c>
      <c r="C167" t="s">
        <v>14549</v>
      </c>
      <c r="D167" t="s">
        <v>12070</v>
      </c>
      <c r="E167" t="s">
        <v>239</v>
      </c>
      <c r="F167">
        <v>40</v>
      </c>
      <c r="G167">
        <v>1</v>
      </c>
      <c r="H167">
        <v>1</v>
      </c>
      <c r="I167">
        <v>40</v>
      </c>
      <c r="J167">
        <v>413</v>
      </c>
      <c r="K167">
        <f t="shared" si="7"/>
        <v>10</v>
      </c>
      <c r="L167">
        <f t="shared" si="8"/>
        <v>13</v>
      </c>
      <c r="M167">
        <v>413</v>
      </c>
      <c r="N167" s="3">
        <v>46478</v>
      </c>
      <c r="O167" s="6">
        <v>0</v>
      </c>
    </row>
    <row r="168" spans="1:15">
      <c r="A168" t="str">
        <f t="shared" si="6"/>
        <v>Asiacol 70 WP 12 X 1 kg469350</v>
      </c>
      <c r="B168" t="s">
        <v>9987</v>
      </c>
      <c r="C168" t="s">
        <v>14550</v>
      </c>
      <c r="D168" t="s">
        <v>12071</v>
      </c>
      <c r="E168" t="s">
        <v>240</v>
      </c>
      <c r="F168">
        <v>12</v>
      </c>
      <c r="G168">
        <v>1</v>
      </c>
      <c r="H168">
        <v>1</v>
      </c>
      <c r="I168">
        <v>12</v>
      </c>
      <c r="J168">
        <v>204</v>
      </c>
      <c r="K168">
        <f t="shared" si="7"/>
        <v>17</v>
      </c>
      <c r="L168">
        <f t="shared" si="8"/>
        <v>0</v>
      </c>
      <c r="M168">
        <v>204</v>
      </c>
      <c r="N168" s="3">
        <v>46935</v>
      </c>
      <c r="O168" s="6">
        <v>0</v>
      </c>
    </row>
    <row r="169" spans="1:15">
      <c r="A169" t="str">
        <f t="shared" si="6"/>
        <v>Asiacol 70 WP 20 X 250 gr458700</v>
      </c>
      <c r="B169" t="s">
        <v>9988</v>
      </c>
      <c r="C169" t="s">
        <v>14551</v>
      </c>
      <c r="D169" t="s">
        <v>12072</v>
      </c>
      <c r="E169" t="s">
        <v>241</v>
      </c>
      <c r="F169">
        <v>20</v>
      </c>
      <c r="G169">
        <v>1</v>
      </c>
      <c r="H169">
        <v>1</v>
      </c>
      <c r="I169">
        <v>20</v>
      </c>
      <c r="J169">
        <v>121</v>
      </c>
      <c r="K169">
        <f t="shared" si="7"/>
        <v>6</v>
      </c>
      <c r="L169">
        <f t="shared" si="8"/>
        <v>1</v>
      </c>
      <c r="M169">
        <v>121</v>
      </c>
      <c r="N169" s="3">
        <v>45870</v>
      </c>
      <c r="O169" s="6">
        <v>0</v>
      </c>
    </row>
    <row r="170" spans="1:15">
      <c r="A170" t="str">
        <f t="shared" si="6"/>
        <v>Asiacol 70 WP 20 X 250 gr459920</v>
      </c>
      <c r="B170" t="s">
        <v>9989</v>
      </c>
      <c r="C170" t="s">
        <v>14552</v>
      </c>
      <c r="D170" t="s">
        <v>12073</v>
      </c>
      <c r="E170" t="s">
        <v>241</v>
      </c>
      <c r="F170">
        <v>20</v>
      </c>
      <c r="G170">
        <v>1</v>
      </c>
      <c r="H170">
        <v>1</v>
      </c>
      <c r="I170">
        <v>20</v>
      </c>
      <c r="J170">
        <v>340</v>
      </c>
      <c r="K170">
        <f t="shared" si="7"/>
        <v>17</v>
      </c>
      <c r="L170">
        <f t="shared" si="8"/>
        <v>0</v>
      </c>
      <c r="M170">
        <v>340</v>
      </c>
      <c r="N170" s="3">
        <v>45992</v>
      </c>
      <c r="O170" s="6">
        <v>0</v>
      </c>
    </row>
    <row r="171" spans="1:15">
      <c r="A171" t="str">
        <f t="shared" si="6"/>
        <v>Asiacol 70 WP 20 X 500 gr469660</v>
      </c>
      <c r="B171" t="s">
        <v>9990</v>
      </c>
      <c r="C171" t="s">
        <v>14553</v>
      </c>
      <c r="D171" t="s">
        <v>12074</v>
      </c>
      <c r="E171" t="s">
        <v>242</v>
      </c>
      <c r="F171">
        <v>20</v>
      </c>
      <c r="G171">
        <v>1</v>
      </c>
      <c r="H171">
        <v>1</v>
      </c>
      <c r="I171">
        <v>20</v>
      </c>
      <c r="J171">
        <v>172</v>
      </c>
      <c r="K171">
        <f t="shared" si="7"/>
        <v>8</v>
      </c>
      <c r="L171">
        <f t="shared" si="8"/>
        <v>12</v>
      </c>
      <c r="M171">
        <v>172</v>
      </c>
      <c r="N171" s="3">
        <v>46966</v>
      </c>
      <c r="O171" s="6">
        <v>0</v>
      </c>
    </row>
    <row r="172" spans="1:15">
      <c r="A172" t="str">
        <f t="shared" si="6"/>
        <v>Aslinya 75 WP 100 X 100 gr458700</v>
      </c>
      <c r="B172" t="s">
        <v>9991</v>
      </c>
      <c r="C172" t="s">
        <v>14554</v>
      </c>
      <c r="D172" t="s">
        <v>12075</v>
      </c>
      <c r="E172" t="s">
        <v>243</v>
      </c>
      <c r="F172">
        <v>100</v>
      </c>
      <c r="G172">
        <v>1</v>
      </c>
      <c r="H172">
        <v>1</v>
      </c>
      <c r="I172">
        <v>100</v>
      </c>
      <c r="J172">
        <v>2401</v>
      </c>
      <c r="K172">
        <f t="shared" si="7"/>
        <v>24</v>
      </c>
      <c r="L172">
        <f t="shared" si="8"/>
        <v>1</v>
      </c>
      <c r="M172">
        <v>2401</v>
      </c>
      <c r="N172" s="3">
        <v>45870</v>
      </c>
      <c r="O172" s="6">
        <v>0</v>
      </c>
    </row>
    <row r="173" spans="1:15">
      <c r="A173" t="str">
        <f t="shared" si="6"/>
        <v>Aslinya 75 WP 20 X 20 X 25 gr460230</v>
      </c>
      <c r="B173" t="s">
        <v>9992</v>
      </c>
      <c r="C173" t="s">
        <v>14555</v>
      </c>
      <c r="D173" t="s">
        <v>12076</v>
      </c>
      <c r="E173" t="s">
        <v>246</v>
      </c>
      <c r="F173">
        <v>20</v>
      </c>
      <c r="G173">
        <v>20</v>
      </c>
      <c r="H173">
        <v>1</v>
      </c>
      <c r="I173">
        <v>400</v>
      </c>
      <c r="J173">
        <v>10903</v>
      </c>
      <c r="K173">
        <f t="shared" si="7"/>
        <v>27</v>
      </c>
      <c r="L173">
        <f t="shared" si="8"/>
        <v>103</v>
      </c>
      <c r="M173">
        <v>10903</v>
      </c>
      <c r="N173" s="3">
        <v>46023</v>
      </c>
      <c r="O173" s="6">
        <v>0</v>
      </c>
    </row>
    <row r="174" spans="1:15">
      <c r="A174" t="str">
        <f t="shared" si="6"/>
        <v>Associate 200 SC 20 X 250 ml459310</v>
      </c>
      <c r="B174" t="s">
        <v>9993</v>
      </c>
      <c r="C174" t="s">
        <v>14556</v>
      </c>
      <c r="D174" t="s">
        <v>12077</v>
      </c>
      <c r="E174" t="s">
        <v>249</v>
      </c>
      <c r="F174">
        <v>20</v>
      </c>
      <c r="G174">
        <v>1</v>
      </c>
      <c r="H174">
        <v>1</v>
      </c>
      <c r="I174">
        <v>20</v>
      </c>
      <c r="J174">
        <v>1216</v>
      </c>
      <c r="K174">
        <f t="shared" si="7"/>
        <v>60</v>
      </c>
      <c r="L174">
        <f t="shared" si="8"/>
        <v>16</v>
      </c>
      <c r="M174">
        <v>1216</v>
      </c>
      <c r="N174" s="3">
        <v>45931</v>
      </c>
      <c r="O174" s="6">
        <v>0</v>
      </c>
    </row>
    <row r="175" spans="1:15">
      <c r="A175" t="str">
        <f t="shared" si="6"/>
        <v>Associate 200 SC 20 X 250 ml462660</v>
      </c>
      <c r="B175" t="s">
        <v>9994</v>
      </c>
      <c r="C175" t="s">
        <v>14557</v>
      </c>
      <c r="D175" t="s">
        <v>12078</v>
      </c>
      <c r="E175" t="s">
        <v>249</v>
      </c>
      <c r="F175">
        <v>20</v>
      </c>
      <c r="G175">
        <v>1</v>
      </c>
      <c r="H175">
        <v>1</v>
      </c>
      <c r="I175">
        <v>20</v>
      </c>
      <c r="J175">
        <v>3920</v>
      </c>
      <c r="K175">
        <f t="shared" si="7"/>
        <v>196</v>
      </c>
      <c r="L175">
        <f t="shared" si="8"/>
        <v>0</v>
      </c>
      <c r="M175">
        <v>3920</v>
      </c>
      <c r="N175" s="3">
        <v>46266</v>
      </c>
      <c r="O175" s="6">
        <v>0</v>
      </c>
    </row>
    <row r="176" spans="1:15">
      <c r="A176" t="str">
        <f t="shared" si="6"/>
        <v>Associate 200 SC 20 X 250 ml (Sample)455970</v>
      </c>
      <c r="B176" t="s">
        <v>9995</v>
      </c>
      <c r="C176" t="s">
        <v>14558</v>
      </c>
      <c r="D176" t="s">
        <v>12079</v>
      </c>
      <c r="E176" t="s">
        <v>248</v>
      </c>
      <c r="F176">
        <v>20</v>
      </c>
      <c r="G176">
        <v>1</v>
      </c>
      <c r="H176">
        <v>1</v>
      </c>
      <c r="I176">
        <v>20</v>
      </c>
      <c r="J176">
        <v>1</v>
      </c>
      <c r="K176">
        <f t="shared" si="7"/>
        <v>0</v>
      </c>
      <c r="L176">
        <f t="shared" si="8"/>
        <v>1</v>
      </c>
      <c r="M176">
        <v>1</v>
      </c>
      <c r="N176" s="3">
        <v>45597</v>
      </c>
      <c r="O176" s="6">
        <v>0</v>
      </c>
    </row>
    <row r="177" spans="1:15">
      <c r="A177" t="str">
        <f t="shared" si="6"/>
        <v>Associate 200 SC 50 X 80 ml456890</v>
      </c>
      <c r="B177" t="s">
        <v>9996</v>
      </c>
      <c r="C177" t="s">
        <v>14559</v>
      </c>
      <c r="D177" t="s">
        <v>12080</v>
      </c>
      <c r="E177" t="s">
        <v>250</v>
      </c>
      <c r="F177">
        <v>50</v>
      </c>
      <c r="G177">
        <v>1</v>
      </c>
      <c r="H177">
        <v>1</v>
      </c>
      <c r="I177">
        <v>50</v>
      </c>
      <c r="J177">
        <v>6466</v>
      </c>
      <c r="K177">
        <f t="shared" si="7"/>
        <v>129</v>
      </c>
      <c r="L177">
        <f t="shared" si="8"/>
        <v>16</v>
      </c>
      <c r="M177">
        <v>6466</v>
      </c>
      <c r="N177" s="3">
        <v>45689</v>
      </c>
      <c r="O177" s="6">
        <v>0</v>
      </c>
    </row>
    <row r="178" spans="1:15">
      <c r="A178" t="str">
        <f t="shared" si="6"/>
        <v>Astana 85 WP 50 X 100 gr470580</v>
      </c>
      <c r="B178" t="s">
        <v>9997</v>
      </c>
      <c r="C178" t="s">
        <v>14560</v>
      </c>
      <c r="D178" t="s">
        <v>12081</v>
      </c>
      <c r="E178" t="s">
        <v>251</v>
      </c>
      <c r="F178">
        <v>50</v>
      </c>
      <c r="G178">
        <v>1</v>
      </c>
      <c r="H178">
        <v>1</v>
      </c>
      <c r="I178">
        <v>50</v>
      </c>
      <c r="J178">
        <v>849</v>
      </c>
      <c r="K178">
        <f t="shared" si="7"/>
        <v>16</v>
      </c>
      <c r="L178">
        <f t="shared" si="8"/>
        <v>49</v>
      </c>
      <c r="M178">
        <v>849</v>
      </c>
      <c r="N178" s="3">
        <v>47058</v>
      </c>
      <c r="O178" s="6">
        <v>0</v>
      </c>
    </row>
    <row r="179" spans="1:15">
      <c r="A179" t="str">
        <f t="shared" si="6"/>
        <v>Atnimes 200/20/40 OD 10 X 1 ltr467220</v>
      </c>
      <c r="B179" t="s">
        <v>9998</v>
      </c>
      <c r="C179" t="s">
        <v>14561</v>
      </c>
      <c r="D179" t="s">
        <v>12082</v>
      </c>
      <c r="E179" t="s">
        <v>252</v>
      </c>
      <c r="F179">
        <v>10</v>
      </c>
      <c r="G179">
        <v>1</v>
      </c>
      <c r="H179">
        <v>1</v>
      </c>
      <c r="I179">
        <v>10</v>
      </c>
      <c r="J179">
        <v>530</v>
      </c>
      <c r="K179">
        <f t="shared" si="7"/>
        <v>53</v>
      </c>
      <c r="L179">
        <f t="shared" si="8"/>
        <v>0</v>
      </c>
      <c r="M179">
        <v>530</v>
      </c>
      <c r="N179" s="3">
        <v>46722</v>
      </c>
      <c r="O179" s="6">
        <v>0</v>
      </c>
    </row>
    <row r="180" spans="1:15">
      <c r="A180" t="str">
        <f t="shared" si="6"/>
        <v>Atnimes 200/20/40 OD 20 X 500 ml467220</v>
      </c>
      <c r="B180" t="s">
        <v>9999</v>
      </c>
      <c r="C180" t="s">
        <v>14562</v>
      </c>
      <c r="D180" t="s">
        <v>12083</v>
      </c>
      <c r="E180" t="s">
        <v>254</v>
      </c>
      <c r="F180">
        <v>20</v>
      </c>
      <c r="G180">
        <v>1</v>
      </c>
      <c r="H180">
        <v>1</v>
      </c>
      <c r="I180">
        <v>20</v>
      </c>
      <c r="J180">
        <v>1865</v>
      </c>
      <c r="K180">
        <f t="shared" si="7"/>
        <v>93</v>
      </c>
      <c r="L180">
        <f t="shared" si="8"/>
        <v>5</v>
      </c>
      <c r="M180">
        <v>1865</v>
      </c>
      <c r="N180" s="3">
        <v>46722</v>
      </c>
      <c r="O180" s="6">
        <v>0</v>
      </c>
    </row>
    <row r="181" spans="1:15">
      <c r="A181" t="str">
        <f t="shared" si="6"/>
        <v>Atnimes 200/20/40 OD 40 X 250 ml467220</v>
      </c>
      <c r="B181" t="s">
        <v>10000</v>
      </c>
      <c r="C181" t="s">
        <v>14563</v>
      </c>
      <c r="D181" t="s">
        <v>12084</v>
      </c>
      <c r="E181" t="s">
        <v>255</v>
      </c>
      <c r="F181">
        <v>40</v>
      </c>
      <c r="G181">
        <v>1</v>
      </c>
      <c r="H181">
        <v>1</v>
      </c>
      <c r="I181">
        <v>40</v>
      </c>
      <c r="J181">
        <v>409</v>
      </c>
      <c r="K181">
        <f t="shared" si="7"/>
        <v>10</v>
      </c>
      <c r="L181">
        <f t="shared" si="8"/>
        <v>9</v>
      </c>
      <c r="M181">
        <v>409</v>
      </c>
      <c r="N181" s="3">
        <v>46722</v>
      </c>
      <c r="O181" s="6">
        <v>0</v>
      </c>
    </row>
    <row r="182" spans="1:15">
      <c r="A182" t="str">
        <f t="shared" si="6"/>
        <v>Atonik 6.0 L 15 X 500 ml471190</v>
      </c>
      <c r="B182" t="s">
        <v>10001</v>
      </c>
      <c r="C182" t="s">
        <v>14564</v>
      </c>
      <c r="D182" t="s">
        <v>12085</v>
      </c>
      <c r="E182" t="s">
        <v>256</v>
      </c>
      <c r="F182">
        <v>15</v>
      </c>
      <c r="G182">
        <v>1</v>
      </c>
      <c r="H182">
        <v>1</v>
      </c>
      <c r="I182">
        <v>15</v>
      </c>
      <c r="J182">
        <v>5</v>
      </c>
      <c r="K182">
        <f t="shared" si="7"/>
        <v>0</v>
      </c>
      <c r="L182">
        <f t="shared" si="8"/>
        <v>5</v>
      </c>
      <c r="M182">
        <v>5</v>
      </c>
      <c r="N182" s="3">
        <v>47119</v>
      </c>
      <c r="O182" s="6">
        <v>0</v>
      </c>
    </row>
    <row r="183" spans="1:15">
      <c r="A183" t="str">
        <f t="shared" si="6"/>
        <v>Atonik 6.0 L 15 X 500 ml472390</v>
      </c>
      <c r="B183" t="s">
        <v>10002</v>
      </c>
      <c r="C183" t="s">
        <v>14565</v>
      </c>
      <c r="D183" t="s">
        <v>12086</v>
      </c>
      <c r="E183" t="s">
        <v>256</v>
      </c>
      <c r="F183">
        <v>15</v>
      </c>
      <c r="G183">
        <v>1</v>
      </c>
      <c r="H183">
        <v>1</v>
      </c>
      <c r="I183">
        <v>15</v>
      </c>
      <c r="J183">
        <v>3105</v>
      </c>
      <c r="K183">
        <f t="shared" si="7"/>
        <v>207</v>
      </c>
      <c r="L183">
        <f t="shared" si="8"/>
        <v>0</v>
      </c>
      <c r="M183">
        <v>3105</v>
      </c>
      <c r="N183" s="3">
        <v>47239</v>
      </c>
      <c r="O183" s="6">
        <v>0</v>
      </c>
    </row>
    <row r="184" spans="1:15">
      <c r="A184" t="str">
        <f t="shared" si="6"/>
        <v>Atonik 6.0 L 30 X 250 ml472390</v>
      </c>
      <c r="B184" t="s">
        <v>10003</v>
      </c>
      <c r="C184" t="s">
        <v>14566</v>
      </c>
      <c r="D184" t="s">
        <v>12087</v>
      </c>
      <c r="E184" t="s">
        <v>257</v>
      </c>
      <c r="F184">
        <v>30</v>
      </c>
      <c r="G184">
        <v>1</v>
      </c>
      <c r="H184">
        <v>1</v>
      </c>
      <c r="I184">
        <v>30</v>
      </c>
      <c r="J184">
        <v>4410</v>
      </c>
      <c r="K184">
        <f t="shared" si="7"/>
        <v>147</v>
      </c>
      <c r="L184">
        <f t="shared" si="8"/>
        <v>0</v>
      </c>
      <c r="M184">
        <v>4410</v>
      </c>
      <c r="N184" s="3">
        <v>47239</v>
      </c>
      <c r="O184" s="6">
        <v>0</v>
      </c>
    </row>
    <row r="185" spans="1:15">
      <c r="A185" t="str">
        <f t="shared" si="6"/>
        <v>Atonik 6.0 L 50 X 100 ml471500</v>
      </c>
      <c r="B185" t="s">
        <v>10004</v>
      </c>
      <c r="C185" t="s">
        <v>14567</v>
      </c>
      <c r="D185" t="s">
        <v>12088</v>
      </c>
      <c r="E185" t="s">
        <v>258</v>
      </c>
      <c r="F185">
        <v>50</v>
      </c>
      <c r="G185">
        <v>1</v>
      </c>
      <c r="H185">
        <v>1</v>
      </c>
      <c r="I185">
        <v>50</v>
      </c>
      <c r="J185">
        <v>33</v>
      </c>
      <c r="K185">
        <f t="shared" si="7"/>
        <v>0</v>
      </c>
      <c r="L185">
        <f t="shared" si="8"/>
        <v>33</v>
      </c>
      <c r="M185">
        <v>33</v>
      </c>
      <c r="N185" s="3">
        <v>47150</v>
      </c>
      <c r="O185" s="6">
        <v>0</v>
      </c>
    </row>
    <row r="186" spans="1:15">
      <c r="A186" t="str">
        <f t="shared" si="6"/>
        <v>Atonik 6.0 L 50 X 100 ml472390</v>
      </c>
      <c r="B186" t="s">
        <v>10005</v>
      </c>
      <c r="C186" t="s">
        <v>14568</v>
      </c>
      <c r="D186" t="s">
        <v>12089</v>
      </c>
      <c r="E186" t="s">
        <v>258</v>
      </c>
      <c r="F186">
        <v>50</v>
      </c>
      <c r="G186">
        <v>1</v>
      </c>
      <c r="H186">
        <v>1</v>
      </c>
      <c r="I186">
        <v>50</v>
      </c>
      <c r="J186">
        <v>2200</v>
      </c>
      <c r="K186">
        <f t="shared" si="7"/>
        <v>44</v>
      </c>
      <c r="L186">
        <f t="shared" si="8"/>
        <v>0</v>
      </c>
      <c r="M186">
        <v>2200</v>
      </c>
      <c r="N186" s="3">
        <v>47239</v>
      </c>
      <c r="O186" s="6">
        <v>0</v>
      </c>
    </row>
    <row r="187" spans="1:15">
      <c r="A187" t="str">
        <f t="shared" si="6"/>
        <v>Aurora 70 WP 20 X 800 gr459920</v>
      </c>
      <c r="B187" t="s">
        <v>10006</v>
      </c>
      <c r="C187" t="s">
        <v>14569</v>
      </c>
      <c r="D187" t="s">
        <v>12090</v>
      </c>
      <c r="E187" t="s">
        <v>259</v>
      </c>
      <c r="F187">
        <v>20</v>
      </c>
      <c r="G187">
        <v>1</v>
      </c>
      <c r="H187">
        <v>1</v>
      </c>
      <c r="I187">
        <v>20</v>
      </c>
      <c r="J187">
        <v>266</v>
      </c>
      <c r="K187">
        <f t="shared" si="7"/>
        <v>13</v>
      </c>
      <c r="L187">
        <f t="shared" si="8"/>
        <v>6</v>
      </c>
      <c r="M187">
        <v>266</v>
      </c>
      <c r="N187" s="3">
        <v>45992</v>
      </c>
      <c r="O187" s="6">
        <v>0</v>
      </c>
    </row>
    <row r="188" spans="1:15">
      <c r="A188" t="str">
        <f t="shared" si="6"/>
        <v>Avidor 25 WP 4 X 25 X 100 gr472090</v>
      </c>
      <c r="B188" t="s">
        <v>10007</v>
      </c>
      <c r="C188" t="s">
        <v>14570</v>
      </c>
      <c r="D188" t="s">
        <v>12091</v>
      </c>
      <c r="E188" t="s">
        <v>261</v>
      </c>
      <c r="F188">
        <v>4</v>
      </c>
      <c r="G188">
        <v>25</v>
      </c>
      <c r="H188">
        <v>1</v>
      </c>
      <c r="I188">
        <v>100</v>
      </c>
      <c r="J188">
        <v>8592</v>
      </c>
      <c r="K188">
        <f t="shared" si="7"/>
        <v>85</v>
      </c>
      <c r="L188">
        <f t="shared" si="8"/>
        <v>92</v>
      </c>
      <c r="M188">
        <v>8592</v>
      </c>
      <c r="N188" s="3">
        <v>47209</v>
      </c>
      <c r="O188" s="6">
        <v>0</v>
      </c>
    </row>
    <row r="189" spans="1:15">
      <c r="A189" t="str">
        <f t="shared" si="6"/>
        <v>Avor 40 X 100 ml464190</v>
      </c>
      <c r="B189" t="s">
        <v>10008</v>
      </c>
      <c r="C189" t="s">
        <v>14571</v>
      </c>
      <c r="D189" t="s">
        <v>12092</v>
      </c>
      <c r="E189" t="s">
        <v>262</v>
      </c>
      <c r="F189">
        <v>40</v>
      </c>
      <c r="G189">
        <v>1</v>
      </c>
      <c r="H189">
        <v>1</v>
      </c>
      <c r="I189">
        <v>40</v>
      </c>
      <c r="J189">
        <v>1</v>
      </c>
      <c r="K189">
        <f t="shared" si="7"/>
        <v>0</v>
      </c>
      <c r="L189">
        <f t="shared" si="8"/>
        <v>1</v>
      </c>
      <c r="M189">
        <v>1</v>
      </c>
      <c r="N189" s="3">
        <v>46419</v>
      </c>
      <c r="O189" s="6">
        <v>0</v>
      </c>
    </row>
    <row r="190" spans="1:15">
      <c r="A190" t="str">
        <f t="shared" si="6"/>
        <v>Avor 40 X 100 ml462040</v>
      </c>
      <c r="B190" t="s">
        <v>10009</v>
      </c>
      <c r="C190" t="s">
        <v>14572</v>
      </c>
      <c r="D190" t="s">
        <v>12093</v>
      </c>
      <c r="E190" t="s">
        <v>262</v>
      </c>
      <c r="F190">
        <v>40</v>
      </c>
      <c r="G190">
        <v>1</v>
      </c>
      <c r="H190">
        <v>1</v>
      </c>
      <c r="I190">
        <v>40</v>
      </c>
      <c r="J190">
        <v>127</v>
      </c>
      <c r="K190">
        <f t="shared" si="7"/>
        <v>3</v>
      </c>
      <c r="L190">
        <f t="shared" si="8"/>
        <v>7</v>
      </c>
      <c r="M190">
        <v>127</v>
      </c>
      <c r="N190" s="3">
        <v>46204</v>
      </c>
      <c r="O190" s="6">
        <v>0</v>
      </c>
    </row>
    <row r="191" spans="1:15">
      <c r="A191" t="str">
        <f t="shared" si="6"/>
        <v>Ayuna 50 EC 40 X 250 ml458090</v>
      </c>
      <c r="B191" t="s">
        <v>10010</v>
      </c>
      <c r="C191" t="s">
        <v>14573</v>
      </c>
      <c r="D191" t="s">
        <v>12094</v>
      </c>
      <c r="E191" t="s">
        <v>265</v>
      </c>
      <c r="F191">
        <v>40</v>
      </c>
      <c r="G191">
        <v>1</v>
      </c>
      <c r="H191">
        <v>1</v>
      </c>
      <c r="I191">
        <v>40</v>
      </c>
      <c r="J191">
        <v>132</v>
      </c>
      <c r="K191">
        <f t="shared" si="7"/>
        <v>3</v>
      </c>
      <c r="L191">
        <f t="shared" si="8"/>
        <v>12</v>
      </c>
      <c r="M191">
        <v>132</v>
      </c>
      <c r="N191" s="3">
        <v>45809</v>
      </c>
      <c r="O191" s="6">
        <v>0</v>
      </c>
    </row>
    <row r="192" spans="1:15">
      <c r="A192" t="str">
        <f t="shared" si="6"/>
        <v>Aziziah 300/10 SC 20 X 500 ml468130</v>
      </c>
      <c r="B192" t="s">
        <v>10011</v>
      </c>
      <c r="C192" t="s">
        <v>14574</v>
      </c>
      <c r="D192" t="s">
        <v>12095</v>
      </c>
      <c r="E192" t="s">
        <v>267</v>
      </c>
      <c r="F192">
        <v>20</v>
      </c>
      <c r="G192">
        <v>1</v>
      </c>
      <c r="H192">
        <v>1</v>
      </c>
      <c r="I192">
        <v>20</v>
      </c>
      <c r="J192">
        <v>300</v>
      </c>
      <c r="K192">
        <f t="shared" si="7"/>
        <v>15</v>
      </c>
      <c r="L192">
        <f t="shared" si="8"/>
        <v>0</v>
      </c>
      <c r="M192">
        <v>300</v>
      </c>
      <c r="N192" s="3">
        <v>46813</v>
      </c>
      <c r="O192" s="6">
        <v>0</v>
      </c>
    </row>
    <row r="193" spans="1:15">
      <c r="A193" t="str">
        <f t="shared" si="6"/>
        <v>Aztro 80 WP 10 X 10 X 50 gr456580</v>
      </c>
      <c r="B193" t="s">
        <v>10012</v>
      </c>
      <c r="C193" t="s">
        <v>14575</v>
      </c>
      <c r="D193" t="s">
        <v>12096</v>
      </c>
      <c r="E193" t="s">
        <v>269</v>
      </c>
      <c r="F193">
        <v>10</v>
      </c>
      <c r="G193">
        <v>10</v>
      </c>
      <c r="H193">
        <v>1</v>
      </c>
      <c r="I193">
        <v>100</v>
      </c>
      <c r="J193">
        <v>604</v>
      </c>
      <c r="K193">
        <f t="shared" si="7"/>
        <v>6</v>
      </c>
      <c r="L193">
        <f t="shared" si="8"/>
        <v>4</v>
      </c>
      <c r="M193">
        <v>604</v>
      </c>
      <c r="N193" s="3">
        <v>45658</v>
      </c>
      <c r="O193" s="6">
        <v>0</v>
      </c>
    </row>
    <row r="194" spans="1:15">
      <c r="A194" t="str">
        <f t="shared" si="6"/>
        <v>Baalpoint Kompas1/1/10000</v>
      </c>
      <c r="B194" t="s">
        <v>10013</v>
      </c>
      <c r="C194" t="s">
        <v>14576</v>
      </c>
      <c r="D194" t="s">
        <v>12097</v>
      </c>
      <c r="E194" t="s">
        <v>270</v>
      </c>
      <c r="F194">
        <v>1</v>
      </c>
      <c r="G194">
        <v>1</v>
      </c>
      <c r="H194">
        <v>1</v>
      </c>
      <c r="I194">
        <v>1</v>
      </c>
      <c r="J194">
        <v>350</v>
      </c>
      <c r="K194">
        <f t="shared" si="7"/>
        <v>350</v>
      </c>
      <c r="L194">
        <f t="shared" si="8"/>
        <v>0</v>
      </c>
      <c r="M194">
        <v>350</v>
      </c>
      <c r="N194" s="3" t="s">
        <v>2222</v>
      </c>
      <c r="O194" s="6">
        <v>0</v>
      </c>
    </row>
    <row r="195" spans="1:15">
      <c r="A195" t="str">
        <f t="shared" ref="A195:A258" si="9">E195&amp;N195&amp;O195</f>
        <v>Bactocyn 150 AL 100 X 100 ml474530</v>
      </c>
      <c r="B195" t="s">
        <v>10014</v>
      </c>
      <c r="C195" t="s">
        <v>14577</v>
      </c>
      <c r="D195" t="s">
        <v>12098</v>
      </c>
      <c r="E195" t="s">
        <v>271</v>
      </c>
      <c r="F195">
        <v>100</v>
      </c>
      <c r="G195">
        <v>1</v>
      </c>
      <c r="H195">
        <v>1</v>
      </c>
      <c r="I195">
        <v>100</v>
      </c>
      <c r="J195">
        <v>2576</v>
      </c>
      <c r="K195">
        <f t="shared" ref="K195:K258" si="10">ROUNDDOWN(J195/I195,0)</f>
        <v>25</v>
      </c>
      <c r="L195">
        <f t="shared" ref="L195:L258" si="11">J195-K195*I195</f>
        <v>76</v>
      </c>
      <c r="M195">
        <v>2576</v>
      </c>
      <c r="N195" s="3">
        <v>47453</v>
      </c>
      <c r="O195" s="6">
        <v>0</v>
      </c>
    </row>
    <row r="196" spans="1:15">
      <c r="A196" t="str">
        <f t="shared" si="9"/>
        <v>Bag Jagung Q235 - 1 kg1/1/10000</v>
      </c>
      <c r="B196" t="s">
        <v>10015</v>
      </c>
      <c r="C196" t="s">
        <v>14578</v>
      </c>
      <c r="D196" t="s">
        <v>12099</v>
      </c>
      <c r="E196" t="s">
        <v>272</v>
      </c>
      <c r="F196">
        <v>1</v>
      </c>
      <c r="G196">
        <v>1</v>
      </c>
      <c r="H196">
        <v>1</v>
      </c>
      <c r="I196">
        <v>1</v>
      </c>
      <c r="J196">
        <v>72000</v>
      </c>
      <c r="K196">
        <f t="shared" si="10"/>
        <v>72000</v>
      </c>
      <c r="L196">
        <f t="shared" si="11"/>
        <v>0</v>
      </c>
      <c r="M196">
        <v>72000</v>
      </c>
      <c r="N196" s="3" t="s">
        <v>2222</v>
      </c>
      <c r="O196" s="6">
        <v>0</v>
      </c>
    </row>
    <row r="197" spans="1:15">
      <c r="A197" t="str">
        <f t="shared" si="9"/>
        <v>Bag NPK Novatec 5 Kg1/1/10000</v>
      </c>
      <c r="B197" t="s">
        <v>10016</v>
      </c>
      <c r="C197" t="s">
        <v>14579</v>
      </c>
      <c r="D197" t="s">
        <v>12100</v>
      </c>
      <c r="E197" t="s">
        <v>274</v>
      </c>
      <c r="F197">
        <v>1</v>
      </c>
      <c r="G197">
        <v>1</v>
      </c>
      <c r="H197">
        <v>1</v>
      </c>
      <c r="I197">
        <v>1</v>
      </c>
      <c r="J197">
        <v>66607</v>
      </c>
      <c r="K197">
        <f t="shared" si="10"/>
        <v>66607</v>
      </c>
      <c r="L197">
        <f t="shared" si="11"/>
        <v>0</v>
      </c>
      <c r="M197">
        <v>66607</v>
      </c>
      <c r="N197" s="3" t="s">
        <v>2222</v>
      </c>
      <c r="O197" s="6">
        <v>0</v>
      </c>
    </row>
    <row r="198" spans="1:15">
      <c r="A198" t="str">
        <f t="shared" si="9"/>
        <v>Baju Batik1/1/10000</v>
      </c>
      <c r="B198" t="s">
        <v>10017</v>
      </c>
      <c r="C198" t="s">
        <v>14580</v>
      </c>
      <c r="D198" t="s">
        <v>12101</v>
      </c>
      <c r="E198" t="s">
        <v>275</v>
      </c>
      <c r="F198">
        <v>1</v>
      </c>
      <c r="G198">
        <v>1</v>
      </c>
      <c r="H198">
        <v>1</v>
      </c>
      <c r="I198">
        <v>1</v>
      </c>
      <c r="J198">
        <v>155</v>
      </c>
      <c r="K198">
        <f t="shared" si="10"/>
        <v>155</v>
      </c>
      <c r="L198">
        <f t="shared" si="11"/>
        <v>0</v>
      </c>
      <c r="M198">
        <v>155</v>
      </c>
      <c r="N198" s="3" t="s">
        <v>2222</v>
      </c>
      <c r="O198" s="6">
        <v>0</v>
      </c>
    </row>
    <row r="199" spans="1:15">
      <c r="A199" t="str">
        <f t="shared" si="9"/>
        <v>Baju Koko1/1/10000</v>
      </c>
      <c r="B199" t="s">
        <v>10018</v>
      </c>
      <c r="C199" t="s">
        <v>14581</v>
      </c>
      <c r="D199" t="s">
        <v>12102</v>
      </c>
      <c r="E199" t="s">
        <v>276</v>
      </c>
      <c r="F199">
        <v>1</v>
      </c>
      <c r="G199">
        <v>1</v>
      </c>
      <c r="H199">
        <v>1</v>
      </c>
      <c r="I199">
        <v>1</v>
      </c>
      <c r="J199">
        <v>29</v>
      </c>
      <c r="K199">
        <f t="shared" si="10"/>
        <v>29</v>
      </c>
      <c r="L199">
        <f t="shared" si="11"/>
        <v>0</v>
      </c>
      <c r="M199">
        <v>29</v>
      </c>
      <c r="N199" s="3" t="s">
        <v>2222</v>
      </c>
      <c r="O199" s="6">
        <v>0</v>
      </c>
    </row>
    <row r="200" spans="1:15">
      <c r="A200" t="str">
        <f t="shared" si="9"/>
        <v>Baledo 250/50 SC 40 X 100 ml458700</v>
      </c>
      <c r="B200" t="s">
        <v>10019</v>
      </c>
      <c r="C200" t="s">
        <v>14582</v>
      </c>
      <c r="D200" t="s">
        <v>12103</v>
      </c>
      <c r="E200" t="s">
        <v>277</v>
      </c>
      <c r="F200">
        <v>40</v>
      </c>
      <c r="G200">
        <v>1</v>
      </c>
      <c r="H200">
        <v>1</v>
      </c>
      <c r="I200">
        <v>40</v>
      </c>
      <c r="J200">
        <v>892</v>
      </c>
      <c r="K200">
        <f t="shared" si="10"/>
        <v>22</v>
      </c>
      <c r="L200">
        <f t="shared" si="11"/>
        <v>12</v>
      </c>
      <c r="M200">
        <v>892</v>
      </c>
      <c r="N200" s="3">
        <v>45870</v>
      </c>
      <c r="O200" s="6">
        <v>0</v>
      </c>
    </row>
    <row r="201" spans="1:15">
      <c r="A201" t="str">
        <f t="shared" si="9"/>
        <v>Baledo 250/50 SC 40 X 250 ml470880</v>
      </c>
      <c r="B201" t="s">
        <v>10020</v>
      </c>
      <c r="C201" t="s">
        <v>14583</v>
      </c>
      <c r="D201" t="s">
        <v>12104</v>
      </c>
      <c r="E201" t="s">
        <v>278</v>
      </c>
      <c r="F201">
        <v>40</v>
      </c>
      <c r="G201">
        <v>1</v>
      </c>
      <c r="H201">
        <v>1</v>
      </c>
      <c r="I201">
        <v>40</v>
      </c>
      <c r="J201">
        <v>1400</v>
      </c>
      <c r="K201">
        <f t="shared" si="10"/>
        <v>35</v>
      </c>
      <c r="L201">
        <f t="shared" si="11"/>
        <v>0</v>
      </c>
      <c r="M201">
        <v>1400</v>
      </c>
      <c r="N201" s="3">
        <v>47088</v>
      </c>
      <c r="O201" s="6">
        <v>0</v>
      </c>
    </row>
    <row r="202" spans="1:15">
      <c r="A202" t="str">
        <f t="shared" si="9"/>
        <v>Bamex 18 EC 100 X 50 ml (M2U)462040</v>
      </c>
      <c r="B202" t="s">
        <v>10021</v>
      </c>
      <c r="C202" t="s">
        <v>14584</v>
      </c>
      <c r="D202" t="s">
        <v>12105</v>
      </c>
      <c r="E202" t="s">
        <v>279</v>
      </c>
      <c r="F202">
        <v>100</v>
      </c>
      <c r="G202">
        <v>1</v>
      </c>
      <c r="H202">
        <v>1</v>
      </c>
      <c r="I202">
        <v>100</v>
      </c>
      <c r="J202">
        <v>2847</v>
      </c>
      <c r="K202">
        <f t="shared" si="10"/>
        <v>28</v>
      </c>
      <c r="L202">
        <f t="shared" si="11"/>
        <v>47</v>
      </c>
      <c r="M202">
        <v>2847</v>
      </c>
      <c r="N202" s="3">
        <v>46204</v>
      </c>
      <c r="O202" s="6">
        <v>0</v>
      </c>
    </row>
    <row r="203" spans="1:15">
      <c r="A203" t="str">
        <f t="shared" si="9"/>
        <v>Bamex 18 EC 100 X 50 ml (M2U)462660</v>
      </c>
      <c r="B203" t="s">
        <v>10022</v>
      </c>
      <c r="C203" t="s">
        <v>14585</v>
      </c>
      <c r="D203" t="s">
        <v>12106</v>
      </c>
      <c r="E203" t="s">
        <v>279</v>
      </c>
      <c r="F203">
        <v>100</v>
      </c>
      <c r="G203">
        <v>1</v>
      </c>
      <c r="H203">
        <v>1</v>
      </c>
      <c r="I203">
        <v>100</v>
      </c>
      <c r="J203">
        <v>1400</v>
      </c>
      <c r="K203">
        <f t="shared" si="10"/>
        <v>14</v>
      </c>
      <c r="L203">
        <f t="shared" si="11"/>
        <v>0</v>
      </c>
      <c r="M203">
        <v>1400</v>
      </c>
      <c r="N203" s="3">
        <v>46266</v>
      </c>
      <c r="O203" s="6">
        <v>0</v>
      </c>
    </row>
    <row r="204" spans="1:15">
      <c r="A204" t="str">
        <f t="shared" si="9"/>
        <v>Bamex 18 EC 100 X 50 ml (M2U)464190</v>
      </c>
      <c r="B204" t="s">
        <v>10023</v>
      </c>
      <c r="C204" t="s">
        <v>14586</v>
      </c>
      <c r="D204" t="s">
        <v>12107</v>
      </c>
      <c r="E204" t="s">
        <v>279</v>
      </c>
      <c r="F204">
        <v>100</v>
      </c>
      <c r="G204">
        <v>1</v>
      </c>
      <c r="H204">
        <v>1</v>
      </c>
      <c r="I204">
        <v>100</v>
      </c>
      <c r="J204">
        <v>2900</v>
      </c>
      <c r="K204">
        <f t="shared" si="10"/>
        <v>29</v>
      </c>
      <c r="L204">
        <f t="shared" si="11"/>
        <v>0</v>
      </c>
      <c r="M204">
        <v>2900</v>
      </c>
      <c r="N204" s="3">
        <v>46419</v>
      </c>
      <c r="O204" s="6">
        <v>0</v>
      </c>
    </row>
    <row r="205" spans="1:15">
      <c r="A205" t="str">
        <f t="shared" si="9"/>
        <v>Bamex 18 EC 20 X 200 ml (M2U)464190</v>
      </c>
      <c r="B205" t="s">
        <v>10024</v>
      </c>
      <c r="C205" t="s">
        <v>14587</v>
      </c>
      <c r="D205" t="s">
        <v>12108</v>
      </c>
      <c r="E205" t="s">
        <v>280</v>
      </c>
      <c r="F205">
        <v>20</v>
      </c>
      <c r="G205">
        <v>1</v>
      </c>
      <c r="H205">
        <v>1</v>
      </c>
      <c r="I205">
        <v>20</v>
      </c>
      <c r="J205">
        <v>607</v>
      </c>
      <c r="K205">
        <f t="shared" si="10"/>
        <v>30</v>
      </c>
      <c r="L205">
        <f t="shared" si="11"/>
        <v>7</v>
      </c>
      <c r="M205">
        <v>607</v>
      </c>
      <c r="N205" s="3">
        <v>46419</v>
      </c>
      <c r="O205" s="6">
        <v>0</v>
      </c>
    </row>
    <row r="206" spans="1:15">
      <c r="A206" t="str">
        <f t="shared" si="9"/>
        <v>Bamex 18 EC 20 X 200 ml (M2U)465080</v>
      </c>
      <c r="B206" t="s">
        <v>10025</v>
      </c>
      <c r="C206" t="s">
        <v>14588</v>
      </c>
      <c r="D206" t="s">
        <v>12109</v>
      </c>
      <c r="E206" t="s">
        <v>280</v>
      </c>
      <c r="F206">
        <v>20</v>
      </c>
      <c r="G206">
        <v>1</v>
      </c>
      <c r="H206">
        <v>1</v>
      </c>
      <c r="I206">
        <v>20</v>
      </c>
      <c r="J206">
        <v>1060</v>
      </c>
      <c r="K206">
        <f t="shared" si="10"/>
        <v>53</v>
      </c>
      <c r="L206">
        <f t="shared" si="11"/>
        <v>0</v>
      </c>
      <c r="M206">
        <v>1060</v>
      </c>
      <c r="N206" s="3">
        <v>46508</v>
      </c>
      <c r="O206" s="6">
        <v>0</v>
      </c>
    </row>
    <row r="207" spans="1:15">
      <c r="A207" t="str">
        <f t="shared" si="9"/>
        <v>Bamex 18 EC 50 X 100 ml (M2U)462040</v>
      </c>
      <c r="B207" t="s">
        <v>10026</v>
      </c>
      <c r="C207" t="s">
        <v>14589</v>
      </c>
      <c r="D207" t="s">
        <v>12110</v>
      </c>
      <c r="E207" t="s">
        <v>281</v>
      </c>
      <c r="F207">
        <v>50</v>
      </c>
      <c r="G207">
        <v>1</v>
      </c>
      <c r="H207">
        <v>1</v>
      </c>
      <c r="I207">
        <v>50</v>
      </c>
      <c r="J207">
        <v>2893</v>
      </c>
      <c r="K207">
        <f t="shared" si="10"/>
        <v>57</v>
      </c>
      <c r="L207">
        <f t="shared" si="11"/>
        <v>43</v>
      </c>
      <c r="M207">
        <v>2893</v>
      </c>
      <c r="N207" s="3">
        <v>46204</v>
      </c>
      <c r="O207" s="6">
        <v>0</v>
      </c>
    </row>
    <row r="208" spans="1:15">
      <c r="A208" t="str">
        <f t="shared" si="9"/>
        <v>Bamex 18 EC 50 X 100 ml (M2U)461430</v>
      </c>
      <c r="B208" t="s">
        <v>10027</v>
      </c>
      <c r="C208" t="s">
        <v>14590</v>
      </c>
      <c r="D208" t="s">
        <v>12111</v>
      </c>
      <c r="E208" t="s">
        <v>281</v>
      </c>
      <c r="F208">
        <v>50</v>
      </c>
      <c r="G208">
        <v>1</v>
      </c>
      <c r="H208">
        <v>1</v>
      </c>
      <c r="I208">
        <v>50</v>
      </c>
      <c r="J208">
        <v>50</v>
      </c>
      <c r="K208">
        <f t="shared" si="10"/>
        <v>1</v>
      </c>
      <c r="L208">
        <f t="shared" si="11"/>
        <v>0</v>
      </c>
      <c r="M208">
        <v>50</v>
      </c>
      <c r="N208" s="3">
        <v>46143</v>
      </c>
      <c r="O208" s="6">
        <v>0</v>
      </c>
    </row>
    <row r="209" spans="1:15">
      <c r="A209" t="str">
        <f t="shared" si="9"/>
        <v>Bamex 18 EC 50 X 100 ml (M2U)463570</v>
      </c>
      <c r="B209" t="s">
        <v>10028</v>
      </c>
      <c r="C209" t="s">
        <v>14591</v>
      </c>
      <c r="D209" t="s">
        <v>12112</v>
      </c>
      <c r="E209" t="s">
        <v>281</v>
      </c>
      <c r="F209">
        <v>50</v>
      </c>
      <c r="G209">
        <v>1</v>
      </c>
      <c r="H209">
        <v>1</v>
      </c>
      <c r="I209">
        <v>50</v>
      </c>
      <c r="J209">
        <v>50</v>
      </c>
      <c r="K209">
        <f t="shared" si="10"/>
        <v>1</v>
      </c>
      <c r="L209">
        <f t="shared" si="11"/>
        <v>0</v>
      </c>
      <c r="M209">
        <v>50</v>
      </c>
      <c r="N209" s="3">
        <v>46357</v>
      </c>
      <c r="O209" s="6">
        <v>0</v>
      </c>
    </row>
    <row r="210" spans="1:15">
      <c r="A210" t="str">
        <f t="shared" si="9"/>
        <v>Bamex 18 EC 50 X 100 ml (M2U)462350</v>
      </c>
      <c r="B210" t="s">
        <v>10029</v>
      </c>
      <c r="C210" t="s">
        <v>14592</v>
      </c>
      <c r="D210" t="s">
        <v>12113</v>
      </c>
      <c r="E210" t="s">
        <v>281</v>
      </c>
      <c r="F210">
        <v>50</v>
      </c>
      <c r="G210">
        <v>1</v>
      </c>
      <c r="H210">
        <v>1</v>
      </c>
      <c r="I210">
        <v>50</v>
      </c>
      <c r="J210">
        <v>1700</v>
      </c>
      <c r="K210">
        <f t="shared" si="10"/>
        <v>34</v>
      </c>
      <c r="L210">
        <f t="shared" si="11"/>
        <v>0</v>
      </c>
      <c r="M210">
        <v>1700</v>
      </c>
      <c r="N210" s="3">
        <v>46235</v>
      </c>
      <c r="O210" s="6">
        <v>0</v>
      </c>
    </row>
    <row r="211" spans="1:15">
      <c r="A211" t="str">
        <f t="shared" si="9"/>
        <v>Bamex 18 EC 50 X 100 ml (M2U)462960</v>
      </c>
      <c r="B211" t="s">
        <v>10030</v>
      </c>
      <c r="C211" t="s">
        <v>14593</v>
      </c>
      <c r="D211" t="s">
        <v>12114</v>
      </c>
      <c r="E211" t="s">
        <v>281</v>
      </c>
      <c r="F211">
        <v>50</v>
      </c>
      <c r="G211">
        <v>1</v>
      </c>
      <c r="H211">
        <v>1</v>
      </c>
      <c r="I211">
        <v>50</v>
      </c>
      <c r="J211">
        <v>4650</v>
      </c>
      <c r="K211">
        <f t="shared" si="10"/>
        <v>93</v>
      </c>
      <c r="L211">
        <f t="shared" si="11"/>
        <v>0</v>
      </c>
      <c r="M211">
        <v>4650</v>
      </c>
      <c r="N211" s="3">
        <v>46296</v>
      </c>
      <c r="O211" s="6">
        <v>0</v>
      </c>
    </row>
    <row r="212" spans="1:15">
      <c r="A212" t="str">
        <f t="shared" si="9"/>
        <v>Banner Gamectin1/1/10000</v>
      </c>
      <c r="B212" t="s">
        <v>10031</v>
      </c>
      <c r="C212" t="s">
        <v>14594</v>
      </c>
      <c r="D212" t="s">
        <v>12115</v>
      </c>
      <c r="E212" t="s">
        <v>282</v>
      </c>
      <c r="F212">
        <v>1</v>
      </c>
      <c r="G212">
        <v>1</v>
      </c>
      <c r="H212">
        <v>1</v>
      </c>
      <c r="I212">
        <v>1</v>
      </c>
      <c r="J212">
        <v>6</v>
      </c>
      <c r="K212">
        <f t="shared" si="10"/>
        <v>6</v>
      </c>
      <c r="L212">
        <f t="shared" si="11"/>
        <v>0</v>
      </c>
      <c r="M212">
        <v>6</v>
      </c>
      <c r="N212" s="3" t="s">
        <v>2222</v>
      </c>
      <c r="O212" s="6">
        <v>0</v>
      </c>
    </row>
    <row r="213" spans="1:15">
      <c r="A213" t="str">
        <f t="shared" si="9"/>
        <v>Banner Kecil Icemut441530</v>
      </c>
      <c r="B213" t="s">
        <v>10032</v>
      </c>
      <c r="C213" t="s">
        <v>14595</v>
      </c>
      <c r="D213" t="s">
        <v>12116</v>
      </c>
      <c r="E213" t="s">
        <v>283</v>
      </c>
      <c r="F213">
        <v>1</v>
      </c>
      <c r="G213">
        <v>1</v>
      </c>
      <c r="H213">
        <v>1</v>
      </c>
      <c r="I213">
        <v>1</v>
      </c>
      <c r="J213">
        <v>27</v>
      </c>
      <c r="K213">
        <f t="shared" si="10"/>
        <v>27</v>
      </c>
      <c r="L213">
        <f t="shared" si="11"/>
        <v>0</v>
      </c>
      <c r="M213">
        <v>27</v>
      </c>
      <c r="N213" s="3">
        <v>44153</v>
      </c>
      <c r="O213" s="6">
        <v>0</v>
      </c>
    </row>
    <row r="214" spans="1:15">
      <c r="A214" t="str">
        <f t="shared" si="9"/>
        <v>Basfoliar Aktif 20 X 500 ml467530</v>
      </c>
      <c r="B214" t="s">
        <v>10033</v>
      </c>
      <c r="C214" t="s">
        <v>14596</v>
      </c>
      <c r="D214" t="s">
        <v>12117</v>
      </c>
      <c r="E214" t="s">
        <v>284</v>
      </c>
      <c r="F214">
        <v>20</v>
      </c>
      <c r="G214">
        <v>1</v>
      </c>
      <c r="H214">
        <v>1</v>
      </c>
      <c r="I214">
        <v>20</v>
      </c>
      <c r="J214">
        <v>414</v>
      </c>
      <c r="K214">
        <f t="shared" si="10"/>
        <v>20</v>
      </c>
      <c r="L214">
        <f t="shared" si="11"/>
        <v>14</v>
      </c>
      <c r="M214">
        <v>414</v>
      </c>
      <c r="N214" s="3">
        <v>46753</v>
      </c>
      <c r="O214" s="6">
        <v>0</v>
      </c>
    </row>
    <row r="215" spans="1:15">
      <c r="A215" t="str">
        <f t="shared" si="9"/>
        <v>Basfoliar Combi Stipp 20 X 500 ml469970</v>
      </c>
      <c r="B215" t="s">
        <v>10034</v>
      </c>
      <c r="C215" t="s">
        <v>14597</v>
      </c>
      <c r="D215" t="s">
        <v>12118</v>
      </c>
      <c r="E215" t="s">
        <v>285</v>
      </c>
      <c r="F215">
        <v>20</v>
      </c>
      <c r="G215">
        <v>1</v>
      </c>
      <c r="H215">
        <v>1</v>
      </c>
      <c r="I215">
        <v>20</v>
      </c>
      <c r="J215">
        <v>946</v>
      </c>
      <c r="K215">
        <f t="shared" si="10"/>
        <v>47</v>
      </c>
      <c r="L215">
        <f t="shared" si="11"/>
        <v>6</v>
      </c>
      <c r="M215">
        <v>946</v>
      </c>
      <c r="N215" s="3">
        <v>46997</v>
      </c>
      <c r="O215" s="6">
        <v>0</v>
      </c>
    </row>
    <row r="216" spans="1:15">
      <c r="A216" t="str">
        <f t="shared" si="9"/>
        <v>Basfoliar Combi Stipp 20 X 500 ml472390</v>
      </c>
      <c r="B216" t="s">
        <v>10035</v>
      </c>
      <c r="C216" t="s">
        <v>14598</v>
      </c>
      <c r="D216" t="s">
        <v>12119</v>
      </c>
      <c r="E216" t="s">
        <v>285</v>
      </c>
      <c r="F216">
        <v>20</v>
      </c>
      <c r="G216">
        <v>1</v>
      </c>
      <c r="H216">
        <v>1</v>
      </c>
      <c r="I216">
        <v>20</v>
      </c>
      <c r="J216">
        <v>2000</v>
      </c>
      <c r="K216">
        <f t="shared" si="10"/>
        <v>100</v>
      </c>
      <c r="L216">
        <f t="shared" si="11"/>
        <v>0</v>
      </c>
      <c r="M216">
        <v>2000</v>
      </c>
      <c r="N216" s="3">
        <v>47239</v>
      </c>
      <c r="O216" s="6">
        <v>0</v>
      </c>
    </row>
    <row r="217" spans="1:15">
      <c r="A217" t="str">
        <f t="shared" si="9"/>
        <v>Basfoliar Klep Premium 20 X 500 ml467530</v>
      </c>
      <c r="B217" t="s">
        <v>10036</v>
      </c>
      <c r="C217" t="s">
        <v>14599</v>
      </c>
      <c r="D217" t="s">
        <v>12120</v>
      </c>
      <c r="E217" t="s">
        <v>286</v>
      </c>
      <c r="F217">
        <v>20</v>
      </c>
      <c r="G217">
        <v>1</v>
      </c>
      <c r="H217">
        <v>1</v>
      </c>
      <c r="I217">
        <v>20</v>
      </c>
      <c r="J217">
        <v>339</v>
      </c>
      <c r="K217">
        <f t="shared" si="10"/>
        <v>16</v>
      </c>
      <c r="L217">
        <f t="shared" si="11"/>
        <v>19</v>
      </c>
      <c r="M217">
        <v>339</v>
      </c>
      <c r="N217" s="3">
        <v>46753</v>
      </c>
      <c r="O217" s="6">
        <v>0</v>
      </c>
    </row>
    <row r="218" spans="1:15">
      <c r="A218" t="str">
        <f t="shared" si="9"/>
        <v>Basgent 55 SC 100 X 50 ml470580</v>
      </c>
      <c r="B218" t="s">
        <v>10037</v>
      </c>
      <c r="C218" t="s">
        <v>14600</v>
      </c>
      <c r="D218" t="s">
        <v>12121</v>
      </c>
      <c r="E218" t="s">
        <v>288</v>
      </c>
      <c r="F218">
        <v>100</v>
      </c>
      <c r="G218">
        <v>1</v>
      </c>
      <c r="H218">
        <v>1</v>
      </c>
      <c r="I218">
        <v>100</v>
      </c>
      <c r="J218">
        <v>2175</v>
      </c>
      <c r="K218">
        <f t="shared" si="10"/>
        <v>21</v>
      </c>
      <c r="L218">
        <f t="shared" si="11"/>
        <v>75</v>
      </c>
      <c r="M218">
        <v>2175</v>
      </c>
      <c r="N218" s="3">
        <v>47058</v>
      </c>
      <c r="O218" s="6">
        <v>0</v>
      </c>
    </row>
    <row r="219" spans="1:15">
      <c r="A219" t="str">
        <f t="shared" si="9"/>
        <v>Basgent 55 SC 20 X 500 ml469970</v>
      </c>
      <c r="B219" t="s">
        <v>10038</v>
      </c>
      <c r="C219" t="s">
        <v>14601</v>
      </c>
      <c r="D219" t="s">
        <v>12122</v>
      </c>
      <c r="E219" t="s">
        <v>291</v>
      </c>
      <c r="F219">
        <v>20</v>
      </c>
      <c r="G219">
        <v>1</v>
      </c>
      <c r="H219">
        <v>1</v>
      </c>
      <c r="I219">
        <v>20</v>
      </c>
      <c r="J219">
        <v>485</v>
      </c>
      <c r="K219">
        <f t="shared" si="10"/>
        <v>24</v>
      </c>
      <c r="L219">
        <f t="shared" si="11"/>
        <v>5</v>
      </c>
      <c r="M219">
        <v>485</v>
      </c>
      <c r="N219" s="3">
        <v>46997</v>
      </c>
      <c r="O219" s="6">
        <v>0</v>
      </c>
    </row>
    <row r="220" spans="1:15">
      <c r="A220" t="str">
        <f t="shared" si="9"/>
        <v>Basgent 55 SC 50 X 100 ml470580</v>
      </c>
      <c r="B220" t="s">
        <v>10039</v>
      </c>
      <c r="C220" t="s">
        <v>14602</v>
      </c>
      <c r="D220" t="s">
        <v>12123</v>
      </c>
      <c r="E220" t="s">
        <v>293</v>
      </c>
      <c r="F220">
        <v>50</v>
      </c>
      <c r="G220">
        <v>1</v>
      </c>
      <c r="H220">
        <v>1</v>
      </c>
      <c r="I220">
        <v>50</v>
      </c>
      <c r="J220">
        <v>1500</v>
      </c>
      <c r="K220">
        <f t="shared" si="10"/>
        <v>30</v>
      </c>
      <c r="L220">
        <f t="shared" si="11"/>
        <v>0</v>
      </c>
      <c r="M220">
        <v>1500</v>
      </c>
      <c r="N220" s="3">
        <v>47058</v>
      </c>
      <c r="O220" s="6">
        <v>0</v>
      </c>
    </row>
    <row r="221" spans="1:15">
      <c r="A221" t="str">
        <f t="shared" si="9"/>
        <v>Basgent 55 SC 50 X 250 ml469970</v>
      </c>
      <c r="B221" t="s">
        <v>10040</v>
      </c>
      <c r="C221" t="s">
        <v>14603</v>
      </c>
      <c r="D221" t="s">
        <v>12124</v>
      </c>
      <c r="E221" t="s">
        <v>295</v>
      </c>
      <c r="F221">
        <v>50</v>
      </c>
      <c r="G221">
        <v>1</v>
      </c>
      <c r="H221">
        <v>1</v>
      </c>
      <c r="I221">
        <v>50</v>
      </c>
      <c r="J221">
        <v>419</v>
      </c>
      <c r="K221">
        <f t="shared" si="10"/>
        <v>8</v>
      </c>
      <c r="L221">
        <f t="shared" si="11"/>
        <v>19</v>
      </c>
      <c r="M221">
        <v>419</v>
      </c>
      <c r="N221" s="3">
        <v>46997</v>
      </c>
      <c r="O221" s="6">
        <v>0</v>
      </c>
    </row>
    <row r="222" spans="1:15">
      <c r="A222" t="str">
        <f t="shared" si="9"/>
        <v>Basgent 55 SC 50 X 250 ml470880</v>
      </c>
      <c r="B222" t="s">
        <v>10041</v>
      </c>
      <c r="C222" t="s">
        <v>14604</v>
      </c>
      <c r="D222" t="s">
        <v>12125</v>
      </c>
      <c r="E222" t="s">
        <v>295</v>
      </c>
      <c r="F222">
        <v>50</v>
      </c>
      <c r="G222">
        <v>1</v>
      </c>
      <c r="H222">
        <v>1</v>
      </c>
      <c r="I222">
        <v>50</v>
      </c>
      <c r="J222">
        <v>2500</v>
      </c>
      <c r="K222">
        <f t="shared" si="10"/>
        <v>50</v>
      </c>
      <c r="L222">
        <f t="shared" si="11"/>
        <v>0</v>
      </c>
      <c r="M222">
        <v>2500</v>
      </c>
      <c r="N222" s="3">
        <v>47088</v>
      </c>
      <c r="O222" s="6">
        <v>0</v>
      </c>
    </row>
    <row r="223" spans="1:15">
      <c r="A223" t="str">
        <f t="shared" si="9"/>
        <v>Basrata 150 SL 20 X 1 ltr470580</v>
      </c>
      <c r="B223" t="s">
        <v>10042</v>
      </c>
      <c r="C223" t="s">
        <v>14605</v>
      </c>
      <c r="D223" t="s">
        <v>12126</v>
      </c>
      <c r="E223" t="s">
        <v>298</v>
      </c>
      <c r="F223">
        <v>20</v>
      </c>
      <c r="G223">
        <v>1</v>
      </c>
      <c r="H223">
        <v>1</v>
      </c>
      <c r="I223">
        <v>20</v>
      </c>
      <c r="J223">
        <v>8</v>
      </c>
      <c r="K223">
        <f t="shared" si="10"/>
        <v>0</v>
      </c>
      <c r="L223">
        <f t="shared" si="11"/>
        <v>8</v>
      </c>
      <c r="M223">
        <v>8</v>
      </c>
      <c r="N223" s="3">
        <v>47058</v>
      </c>
      <c r="O223" s="6">
        <v>0</v>
      </c>
    </row>
    <row r="224" spans="1:15">
      <c r="A224" t="str">
        <f t="shared" si="9"/>
        <v>Basrata 150 SL 20 X 1 ltr472390</v>
      </c>
      <c r="B224" t="s">
        <v>10043</v>
      </c>
      <c r="C224" t="s">
        <v>14606</v>
      </c>
      <c r="D224" t="s">
        <v>12127</v>
      </c>
      <c r="E224" t="s">
        <v>298</v>
      </c>
      <c r="F224">
        <v>20</v>
      </c>
      <c r="G224">
        <v>1</v>
      </c>
      <c r="H224">
        <v>1</v>
      </c>
      <c r="I224">
        <v>20</v>
      </c>
      <c r="J224">
        <v>440</v>
      </c>
      <c r="K224">
        <f t="shared" si="10"/>
        <v>22</v>
      </c>
      <c r="L224">
        <f t="shared" si="11"/>
        <v>0</v>
      </c>
      <c r="M224">
        <v>440</v>
      </c>
      <c r="N224" s="3">
        <v>47239</v>
      </c>
      <c r="O224" s="6">
        <v>0</v>
      </c>
    </row>
    <row r="225" spans="1:15">
      <c r="A225" t="str">
        <f t="shared" si="9"/>
        <v>Basrata 150 SL 20 X 1 ltr472700</v>
      </c>
      <c r="B225" t="s">
        <v>10044</v>
      </c>
      <c r="C225" t="s">
        <v>14607</v>
      </c>
      <c r="D225" t="s">
        <v>12128</v>
      </c>
      <c r="E225" t="s">
        <v>298</v>
      </c>
      <c r="F225">
        <v>20</v>
      </c>
      <c r="G225">
        <v>1</v>
      </c>
      <c r="H225">
        <v>1</v>
      </c>
      <c r="I225">
        <v>20</v>
      </c>
      <c r="J225">
        <v>1000</v>
      </c>
      <c r="K225">
        <f t="shared" si="10"/>
        <v>50</v>
      </c>
      <c r="L225">
        <f t="shared" si="11"/>
        <v>0</v>
      </c>
      <c r="M225">
        <v>1000</v>
      </c>
      <c r="N225" s="3">
        <v>47270</v>
      </c>
      <c r="O225" s="6">
        <v>0</v>
      </c>
    </row>
    <row r="226" spans="1:15">
      <c r="A226" t="str">
        <f t="shared" si="9"/>
        <v>Basrata 150 SL 20 X 500 ml470580</v>
      </c>
      <c r="B226" t="s">
        <v>10045</v>
      </c>
      <c r="C226" t="s">
        <v>14608</v>
      </c>
      <c r="D226" t="s">
        <v>12129</v>
      </c>
      <c r="E226" t="s">
        <v>301</v>
      </c>
      <c r="F226">
        <v>20</v>
      </c>
      <c r="G226">
        <v>1</v>
      </c>
      <c r="H226">
        <v>1</v>
      </c>
      <c r="I226">
        <v>20</v>
      </c>
      <c r="J226">
        <v>289</v>
      </c>
      <c r="K226">
        <f t="shared" si="10"/>
        <v>14</v>
      </c>
      <c r="L226">
        <f t="shared" si="11"/>
        <v>9</v>
      </c>
      <c r="M226">
        <v>289</v>
      </c>
      <c r="N226" s="3">
        <v>47058</v>
      </c>
      <c r="O226" s="6">
        <v>0</v>
      </c>
    </row>
    <row r="227" spans="1:15">
      <c r="A227" t="str">
        <f t="shared" si="9"/>
        <v>Basrata 150 SL 50 X 250 ml470580</v>
      </c>
      <c r="B227" t="s">
        <v>10046</v>
      </c>
      <c r="C227" t="s">
        <v>14609</v>
      </c>
      <c r="D227" t="s">
        <v>12130</v>
      </c>
      <c r="E227" t="s">
        <v>303</v>
      </c>
      <c r="F227">
        <v>50</v>
      </c>
      <c r="G227">
        <v>1</v>
      </c>
      <c r="H227">
        <v>1</v>
      </c>
      <c r="I227">
        <v>50</v>
      </c>
      <c r="J227">
        <v>830</v>
      </c>
      <c r="K227">
        <f t="shared" si="10"/>
        <v>16</v>
      </c>
      <c r="L227">
        <f t="shared" si="11"/>
        <v>30</v>
      </c>
      <c r="M227">
        <v>830</v>
      </c>
      <c r="N227" s="3">
        <v>47058</v>
      </c>
      <c r="O227" s="6">
        <v>0</v>
      </c>
    </row>
    <row r="228" spans="1:15">
      <c r="A228" t="str">
        <f t="shared" si="9"/>
        <v>Bastnate 200 SL 12 X 1 ltr463270</v>
      </c>
      <c r="B228" t="s">
        <v>10047</v>
      </c>
      <c r="C228" t="s">
        <v>14610</v>
      </c>
      <c r="D228" t="s">
        <v>12131</v>
      </c>
      <c r="E228" t="s">
        <v>305</v>
      </c>
      <c r="F228">
        <v>12</v>
      </c>
      <c r="G228">
        <v>1</v>
      </c>
      <c r="H228">
        <v>1</v>
      </c>
      <c r="I228">
        <v>12</v>
      </c>
      <c r="J228">
        <v>1067</v>
      </c>
      <c r="K228">
        <f t="shared" si="10"/>
        <v>88</v>
      </c>
      <c r="L228">
        <f t="shared" si="11"/>
        <v>11</v>
      </c>
      <c r="M228">
        <v>1067</v>
      </c>
      <c r="N228" s="3">
        <v>46327</v>
      </c>
      <c r="O228" s="6">
        <v>0</v>
      </c>
    </row>
    <row r="229" spans="1:15">
      <c r="A229" t="str">
        <f t="shared" si="9"/>
        <v>Battery 12V1, 3AH/20HR1/1/10000</v>
      </c>
      <c r="B229" t="s">
        <v>10048</v>
      </c>
      <c r="C229" t="s">
        <v>14611</v>
      </c>
      <c r="D229" t="s">
        <v>12132</v>
      </c>
      <c r="E229" t="s">
        <v>307</v>
      </c>
      <c r="F229">
        <v>1</v>
      </c>
      <c r="G229">
        <v>1</v>
      </c>
      <c r="H229">
        <v>1</v>
      </c>
      <c r="I229">
        <v>1</v>
      </c>
      <c r="J229">
        <v>10</v>
      </c>
      <c r="K229">
        <f t="shared" si="10"/>
        <v>10</v>
      </c>
      <c r="L229">
        <f t="shared" si="11"/>
        <v>0</v>
      </c>
      <c r="M229">
        <v>10</v>
      </c>
      <c r="N229" s="3" t="s">
        <v>2222</v>
      </c>
      <c r="O229" s="6">
        <v>0</v>
      </c>
    </row>
    <row r="230" spans="1:15">
      <c r="A230" t="str">
        <f t="shared" si="9"/>
        <v>Baut Bersayap/Kipas1/1/10000</v>
      </c>
      <c r="B230" t="s">
        <v>10049</v>
      </c>
      <c r="C230" t="s">
        <v>14612</v>
      </c>
      <c r="D230" t="s">
        <v>12133</v>
      </c>
      <c r="E230" t="s">
        <v>308</v>
      </c>
      <c r="F230">
        <v>1</v>
      </c>
      <c r="G230">
        <v>1</v>
      </c>
      <c r="H230">
        <v>1</v>
      </c>
      <c r="I230">
        <v>1</v>
      </c>
      <c r="J230">
        <v>100</v>
      </c>
      <c r="K230">
        <f t="shared" si="10"/>
        <v>100</v>
      </c>
      <c r="L230">
        <f t="shared" si="11"/>
        <v>0</v>
      </c>
      <c r="M230">
        <v>100</v>
      </c>
      <c r="N230" s="3" t="s">
        <v>2222</v>
      </c>
      <c r="O230" s="6">
        <v>0</v>
      </c>
    </row>
    <row r="231" spans="1:15">
      <c r="A231" t="str">
        <f t="shared" si="9"/>
        <v>Baut Bintang 17 Lt1/1/10000</v>
      </c>
      <c r="B231" t="s">
        <v>10050</v>
      </c>
      <c r="C231" t="s">
        <v>14613</v>
      </c>
      <c r="D231" t="s">
        <v>12134</v>
      </c>
      <c r="E231" t="s">
        <v>309</v>
      </c>
      <c r="F231">
        <v>1</v>
      </c>
      <c r="G231">
        <v>1</v>
      </c>
      <c r="H231">
        <v>1</v>
      </c>
      <c r="I231">
        <v>1</v>
      </c>
      <c r="J231">
        <v>18</v>
      </c>
      <c r="K231">
        <f t="shared" si="10"/>
        <v>18</v>
      </c>
      <c r="L231">
        <f t="shared" si="11"/>
        <v>0</v>
      </c>
      <c r="M231">
        <v>18</v>
      </c>
      <c r="N231" s="3" t="s">
        <v>2222</v>
      </c>
      <c r="O231" s="6">
        <v>0</v>
      </c>
    </row>
    <row r="232" spans="1:15">
      <c r="A232" t="str">
        <f t="shared" si="9"/>
        <v>Baut Kupu-Kupu1/1/10000</v>
      </c>
      <c r="B232" t="s">
        <v>10051</v>
      </c>
      <c r="C232" t="s">
        <v>14614</v>
      </c>
      <c r="D232" t="s">
        <v>12135</v>
      </c>
      <c r="E232" t="s">
        <v>310</v>
      </c>
      <c r="F232">
        <v>1</v>
      </c>
      <c r="G232">
        <v>1</v>
      </c>
      <c r="H232">
        <v>1</v>
      </c>
      <c r="I232">
        <v>1</v>
      </c>
      <c r="J232">
        <v>6</v>
      </c>
      <c r="K232">
        <f t="shared" si="10"/>
        <v>6</v>
      </c>
      <c r="L232">
        <f t="shared" si="11"/>
        <v>0</v>
      </c>
      <c r="M232">
        <v>6</v>
      </c>
      <c r="N232" s="3" t="s">
        <v>2222</v>
      </c>
      <c r="O232" s="6">
        <v>0</v>
      </c>
    </row>
    <row r="233" spans="1:15">
      <c r="A233" t="str">
        <f t="shared" si="9"/>
        <v>Baycarb 500 EC 20 X 500 ml457780</v>
      </c>
      <c r="B233" t="s">
        <v>10052</v>
      </c>
      <c r="C233" t="s">
        <v>14615</v>
      </c>
      <c r="D233" t="s">
        <v>12136</v>
      </c>
      <c r="E233" t="s">
        <v>315</v>
      </c>
      <c r="F233">
        <v>20</v>
      </c>
      <c r="G233">
        <v>1</v>
      </c>
      <c r="H233">
        <v>1</v>
      </c>
      <c r="I233">
        <v>20</v>
      </c>
      <c r="J233">
        <v>4429</v>
      </c>
      <c r="K233">
        <f t="shared" si="10"/>
        <v>221</v>
      </c>
      <c r="L233">
        <f t="shared" si="11"/>
        <v>9</v>
      </c>
      <c r="M233">
        <v>4429</v>
      </c>
      <c r="N233" s="3">
        <v>45778</v>
      </c>
      <c r="O233" s="6">
        <v>0</v>
      </c>
    </row>
    <row r="234" spans="1:15">
      <c r="A234" t="str">
        <f t="shared" si="9"/>
        <v>Baycarb 500 EC 20 X 500 ml458090</v>
      </c>
      <c r="B234" t="s">
        <v>10053</v>
      </c>
      <c r="C234" t="s">
        <v>14616</v>
      </c>
      <c r="D234" t="s">
        <v>12137</v>
      </c>
      <c r="E234" t="s">
        <v>315</v>
      </c>
      <c r="F234">
        <v>20</v>
      </c>
      <c r="G234">
        <v>1</v>
      </c>
      <c r="H234">
        <v>1</v>
      </c>
      <c r="I234">
        <v>20</v>
      </c>
      <c r="J234">
        <v>2000</v>
      </c>
      <c r="K234">
        <f t="shared" si="10"/>
        <v>100</v>
      </c>
      <c r="L234">
        <f t="shared" si="11"/>
        <v>0</v>
      </c>
      <c r="M234">
        <v>2000</v>
      </c>
      <c r="N234" s="3">
        <v>45809</v>
      </c>
      <c r="O234" s="6">
        <v>0</v>
      </c>
    </row>
    <row r="235" spans="1:15">
      <c r="A235" t="str">
        <f t="shared" si="9"/>
        <v>Bayfolan 40 X 250 ml457780</v>
      </c>
      <c r="B235" t="s">
        <v>10054</v>
      </c>
      <c r="C235" t="s">
        <v>14617</v>
      </c>
      <c r="D235" t="s">
        <v>12138</v>
      </c>
      <c r="E235" t="s">
        <v>319</v>
      </c>
      <c r="F235">
        <v>40</v>
      </c>
      <c r="G235">
        <v>1</v>
      </c>
      <c r="H235">
        <v>1</v>
      </c>
      <c r="I235">
        <v>40</v>
      </c>
      <c r="J235">
        <v>5</v>
      </c>
      <c r="K235">
        <f t="shared" si="10"/>
        <v>0</v>
      </c>
      <c r="L235">
        <f t="shared" si="11"/>
        <v>5</v>
      </c>
      <c r="M235">
        <v>5</v>
      </c>
      <c r="N235" s="3">
        <v>45778</v>
      </c>
      <c r="O235" s="6">
        <v>0</v>
      </c>
    </row>
    <row r="236" spans="1:15">
      <c r="A236" t="str">
        <f t="shared" si="9"/>
        <v>Been Toxcer 40 X 250 ml468740</v>
      </c>
      <c r="B236" t="s">
        <v>10055</v>
      </c>
      <c r="C236" t="s">
        <v>14618</v>
      </c>
      <c r="D236" t="s">
        <v>12139</v>
      </c>
      <c r="E236" t="s">
        <v>321</v>
      </c>
      <c r="F236">
        <v>40</v>
      </c>
      <c r="G236">
        <v>1</v>
      </c>
      <c r="H236">
        <v>1</v>
      </c>
      <c r="I236">
        <v>40</v>
      </c>
      <c r="J236">
        <v>80</v>
      </c>
      <c r="K236">
        <f t="shared" si="10"/>
        <v>2</v>
      </c>
      <c r="L236">
        <f t="shared" si="11"/>
        <v>0</v>
      </c>
      <c r="M236">
        <v>80</v>
      </c>
      <c r="N236" s="3">
        <v>46874</v>
      </c>
      <c r="O236" s="6">
        <v>0</v>
      </c>
    </row>
    <row r="237" spans="1:15">
      <c r="A237" t="str">
        <f t="shared" si="9"/>
        <v>Beensae EM9 Tambak 20 X 1 ltr469970</v>
      </c>
      <c r="B237" t="s">
        <v>10056</v>
      </c>
      <c r="C237" t="s">
        <v>14619</v>
      </c>
      <c r="D237" t="s">
        <v>12140</v>
      </c>
      <c r="E237" t="s">
        <v>322</v>
      </c>
      <c r="F237">
        <v>20</v>
      </c>
      <c r="G237">
        <v>1</v>
      </c>
      <c r="H237">
        <v>1</v>
      </c>
      <c r="I237">
        <v>20</v>
      </c>
      <c r="J237">
        <v>379</v>
      </c>
      <c r="K237">
        <f t="shared" si="10"/>
        <v>18</v>
      </c>
      <c r="L237">
        <f t="shared" si="11"/>
        <v>19</v>
      </c>
      <c r="M237">
        <v>379</v>
      </c>
      <c r="N237" s="3">
        <v>46997</v>
      </c>
      <c r="O237" s="6">
        <v>0</v>
      </c>
    </row>
    <row r="238" spans="1:15">
      <c r="A238" t="str">
        <f t="shared" si="9"/>
        <v>Beensae EM9 Tani 20 X 1 ltr469050</v>
      </c>
      <c r="B238" t="s">
        <v>10057</v>
      </c>
      <c r="C238" t="s">
        <v>14620</v>
      </c>
      <c r="D238" t="s">
        <v>12141</v>
      </c>
      <c r="E238" t="s">
        <v>323</v>
      </c>
      <c r="F238">
        <v>20</v>
      </c>
      <c r="G238">
        <v>1</v>
      </c>
      <c r="H238">
        <v>1</v>
      </c>
      <c r="I238">
        <v>20</v>
      </c>
      <c r="J238">
        <v>3</v>
      </c>
      <c r="K238">
        <f t="shared" si="10"/>
        <v>0</v>
      </c>
      <c r="L238">
        <f t="shared" si="11"/>
        <v>3</v>
      </c>
      <c r="M238">
        <v>3</v>
      </c>
      <c r="N238" s="3">
        <v>46905</v>
      </c>
      <c r="O238" s="6">
        <v>0</v>
      </c>
    </row>
    <row r="239" spans="1:15">
      <c r="A239" t="str">
        <f t="shared" si="9"/>
        <v>Beensae EM9 Tani 20 X 1 ltr469970</v>
      </c>
      <c r="B239" t="s">
        <v>10058</v>
      </c>
      <c r="C239" t="s">
        <v>14621</v>
      </c>
      <c r="D239" t="s">
        <v>12142</v>
      </c>
      <c r="E239" t="s">
        <v>323</v>
      </c>
      <c r="F239">
        <v>20</v>
      </c>
      <c r="G239">
        <v>1</v>
      </c>
      <c r="H239">
        <v>1</v>
      </c>
      <c r="I239">
        <v>20</v>
      </c>
      <c r="J239">
        <v>588</v>
      </c>
      <c r="K239">
        <f t="shared" si="10"/>
        <v>29</v>
      </c>
      <c r="L239">
        <f t="shared" si="11"/>
        <v>8</v>
      </c>
      <c r="M239">
        <v>588</v>
      </c>
      <c r="N239" s="3">
        <v>46997</v>
      </c>
      <c r="O239" s="6">
        <v>0</v>
      </c>
    </row>
    <row r="240" spans="1:15">
      <c r="A240" t="str">
        <f t="shared" si="9"/>
        <v>Beensae KCL Cair 20 X 1 ltr472090</v>
      </c>
      <c r="B240" t="s">
        <v>10059</v>
      </c>
      <c r="C240" t="s">
        <v>14622</v>
      </c>
      <c r="D240" t="s">
        <v>12143</v>
      </c>
      <c r="E240" t="s">
        <v>324</v>
      </c>
      <c r="F240">
        <v>20</v>
      </c>
      <c r="G240">
        <v>1</v>
      </c>
      <c r="H240">
        <v>1</v>
      </c>
      <c r="I240">
        <v>20</v>
      </c>
      <c r="J240">
        <v>160</v>
      </c>
      <c r="K240">
        <f t="shared" si="10"/>
        <v>8</v>
      </c>
      <c r="L240">
        <f t="shared" si="11"/>
        <v>0</v>
      </c>
      <c r="M240">
        <v>160</v>
      </c>
      <c r="N240" s="3">
        <v>47209</v>
      </c>
      <c r="O240" s="6">
        <v>0</v>
      </c>
    </row>
    <row r="241" spans="1:15">
      <c r="A241" t="str">
        <f t="shared" si="9"/>
        <v>Beensae Khatrol 20 X 20 X 10 ml469050</v>
      </c>
      <c r="B241" t="s">
        <v>10060</v>
      </c>
      <c r="C241" t="s">
        <v>14623</v>
      </c>
      <c r="D241" t="s">
        <v>12144</v>
      </c>
      <c r="E241" t="s">
        <v>325</v>
      </c>
      <c r="F241">
        <v>20</v>
      </c>
      <c r="G241">
        <v>20</v>
      </c>
      <c r="H241">
        <v>1</v>
      </c>
      <c r="I241">
        <v>400</v>
      </c>
      <c r="J241">
        <v>348</v>
      </c>
      <c r="K241">
        <f t="shared" si="10"/>
        <v>0</v>
      </c>
      <c r="L241">
        <f t="shared" si="11"/>
        <v>348</v>
      </c>
      <c r="M241">
        <v>348</v>
      </c>
      <c r="N241" s="3">
        <v>46905</v>
      </c>
      <c r="O241" s="6">
        <v>0</v>
      </c>
    </row>
    <row r="242" spans="1:15">
      <c r="A242" t="str">
        <f t="shared" si="9"/>
        <v>Beka Biang Kompos 25 X 250 ml442560</v>
      </c>
      <c r="B242" t="s">
        <v>10061</v>
      </c>
      <c r="C242" t="s">
        <v>14624</v>
      </c>
      <c r="D242" t="s">
        <v>12145</v>
      </c>
      <c r="E242" t="s">
        <v>326</v>
      </c>
      <c r="F242">
        <v>25</v>
      </c>
      <c r="G242">
        <v>1</v>
      </c>
      <c r="H242">
        <v>1</v>
      </c>
      <c r="I242">
        <v>25</v>
      </c>
      <c r="J242">
        <v>656</v>
      </c>
      <c r="K242">
        <f t="shared" si="10"/>
        <v>26</v>
      </c>
      <c r="L242">
        <f t="shared" si="11"/>
        <v>6</v>
      </c>
      <c r="M242">
        <v>656</v>
      </c>
      <c r="N242" s="3">
        <v>44256</v>
      </c>
      <c r="O242" s="6">
        <v>0</v>
      </c>
    </row>
    <row r="243" spans="1:15">
      <c r="A243" t="str">
        <f t="shared" si="9"/>
        <v>Bellator 265 SC 20 X 100 ml459310</v>
      </c>
      <c r="B243" t="s">
        <v>10062</v>
      </c>
      <c r="C243" t="s">
        <v>14625</v>
      </c>
      <c r="D243" t="s">
        <v>12146</v>
      </c>
      <c r="E243" t="s">
        <v>328</v>
      </c>
      <c r="F243">
        <v>20</v>
      </c>
      <c r="G243">
        <v>1</v>
      </c>
      <c r="H243">
        <v>1</v>
      </c>
      <c r="I243">
        <v>20</v>
      </c>
      <c r="J243">
        <v>810</v>
      </c>
      <c r="K243">
        <f t="shared" si="10"/>
        <v>40</v>
      </c>
      <c r="L243">
        <f t="shared" si="11"/>
        <v>10</v>
      </c>
      <c r="M243">
        <v>810</v>
      </c>
      <c r="N243" s="3">
        <v>45931</v>
      </c>
      <c r="O243" s="6">
        <v>0</v>
      </c>
    </row>
    <row r="244" spans="1:15">
      <c r="A244" t="str">
        <f t="shared" si="9"/>
        <v>Belt Yamaha1/1/10000</v>
      </c>
      <c r="B244" t="s">
        <v>10063</v>
      </c>
      <c r="C244" t="s">
        <v>14626</v>
      </c>
      <c r="D244" t="s">
        <v>12147</v>
      </c>
      <c r="E244" t="s">
        <v>329</v>
      </c>
      <c r="F244">
        <v>1</v>
      </c>
      <c r="G244">
        <v>1</v>
      </c>
      <c r="H244">
        <v>1</v>
      </c>
      <c r="I244">
        <v>1</v>
      </c>
      <c r="J244">
        <v>9</v>
      </c>
      <c r="K244">
        <f t="shared" si="10"/>
        <v>9</v>
      </c>
      <c r="L244">
        <f t="shared" si="11"/>
        <v>0</v>
      </c>
      <c r="M244">
        <v>9</v>
      </c>
      <c r="N244" s="3" t="s">
        <v>2222</v>
      </c>
      <c r="O244" s="6">
        <v>0</v>
      </c>
    </row>
    <row r="245" spans="1:15">
      <c r="A245" t="str">
        <f t="shared" si="9"/>
        <v>Benang Pe mlg1/1/10000</v>
      </c>
      <c r="B245" t="s">
        <v>10064</v>
      </c>
      <c r="C245" t="s">
        <v>14627</v>
      </c>
      <c r="D245" t="s">
        <v>12148</v>
      </c>
      <c r="E245" t="s">
        <v>330</v>
      </c>
      <c r="F245">
        <v>1</v>
      </c>
      <c r="G245">
        <v>1</v>
      </c>
      <c r="H245">
        <v>1</v>
      </c>
      <c r="I245">
        <v>1</v>
      </c>
      <c r="J245">
        <v>1942</v>
      </c>
      <c r="K245">
        <f t="shared" si="10"/>
        <v>1942</v>
      </c>
      <c r="L245">
        <f t="shared" si="11"/>
        <v>0</v>
      </c>
      <c r="M245">
        <v>1942</v>
      </c>
      <c r="N245" s="3" t="s">
        <v>2222</v>
      </c>
      <c r="O245" s="6">
        <v>0</v>
      </c>
    </row>
    <row r="246" spans="1:15">
      <c r="A246" t="str">
        <f t="shared" si="9"/>
        <v>Bencore 250 EC 20 X 200 ml469660</v>
      </c>
      <c r="B246" t="s">
        <v>10065</v>
      </c>
      <c r="C246" t="s">
        <v>14628</v>
      </c>
      <c r="D246" t="s">
        <v>12149</v>
      </c>
      <c r="E246" t="s">
        <v>331</v>
      </c>
      <c r="F246">
        <v>20</v>
      </c>
      <c r="G246">
        <v>1</v>
      </c>
      <c r="H246">
        <v>1</v>
      </c>
      <c r="I246">
        <v>20</v>
      </c>
      <c r="J246">
        <v>171</v>
      </c>
      <c r="K246">
        <f t="shared" si="10"/>
        <v>8</v>
      </c>
      <c r="L246">
        <f t="shared" si="11"/>
        <v>11</v>
      </c>
      <c r="M246">
        <v>171</v>
      </c>
      <c r="N246" s="3">
        <v>46966</v>
      </c>
      <c r="O246" s="6">
        <v>0</v>
      </c>
    </row>
    <row r="247" spans="1:15">
      <c r="A247" t="str">
        <f t="shared" si="9"/>
        <v>Bencore 250 EC 20 X 400 ml465080</v>
      </c>
      <c r="B247" t="s">
        <v>10066</v>
      </c>
      <c r="C247" t="s">
        <v>14629</v>
      </c>
      <c r="D247" t="s">
        <v>12150</v>
      </c>
      <c r="E247" t="s">
        <v>332</v>
      </c>
      <c r="F247">
        <v>20</v>
      </c>
      <c r="G247">
        <v>1</v>
      </c>
      <c r="H247">
        <v>1</v>
      </c>
      <c r="I247">
        <v>20</v>
      </c>
      <c r="J247">
        <v>156</v>
      </c>
      <c r="K247">
        <f t="shared" si="10"/>
        <v>7</v>
      </c>
      <c r="L247">
        <f t="shared" si="11"/>
        <v>16</v>
      </c>
      <c r="M247">
        <v>156</v>
      </c>
      <c r="N247" s="3">
        <v>46508</v>
      </c>
      <c r="O247" s="6">
        <v>0</v>
      </c>
    </row>
    <row r="248" spans="1:15">
      <c r="A248" t="str">
        <f t="shared" si="9"/>
        <v>Bentpipe No. 451/1/10000</v>
      </c>
      <c r="B248" t="s">
        <v>10067</v>
      </c>
      <c r="C248" t="s">
        <v>14630</v>
      </c>
      <c r="D248" t="s">
        <v>12151</v>
      </c>
      <c r="E248" t="s">
        <v>333</v>
      </c>
      <c r="F248">
        <v>1</v>
      </c>
      <c r="G248">
        <v>1</v>
      </c>
      <c r="H248">
        <v>1</v>
      </c>
      <c r="I248">
        <v>1</v>
      </c>
      <c r="J248">
        <v>8</v>
      </c>
      <c r="K248">
        <f t="shared" si="10"/>
        <v>8</v>
      </c>
      <c r="L248">
        <f t="shared" si="11"/>
        <v>0</v>
      </c>
      <c r="M248">
        <v>8</v>
      </c>
      <c r="N248" s="3" t="s">
        <v>2222</v>
      </c>
      <c r="O248" s="6">
        <v>0</v>
      </c>
    </row>
    <row r="249" spans="1:15">
      <c r="A249" t="str">
        <f t="shared" si="9"/>
        <v>Bernas 250 EC 50 X 100 ml (M2U)462040</v>
      </c>
      <c r="B249" t="s">
        <v>10068</v>
      </c>
      <c r="C249" t="s">
        <v>14631</v>
      </c>
      <c r="D249" t="s">
        <v>12152</v>
      </c>
      <c r="E249" t="s">
        <v>334</v>
      </c>
      <c r="F249">
        <v>50</v>
      </c>
      <c r="G249">
        <v>1</v>
      </c>
      <c r="H249">
        <v>1</v>
      </c>
      <c r="I249">
        <v>50</v>
      </c>
      <c r="J249">
        <v>150</v>
      </c>
      <c r="K249">
        <f t="shared" si="10"/>
        <v>3</v>
      </c>
      <c r="L249">
        <f t="shared" si="11"/>
        <v>0</v>
      </c>
      <c r="M249">
        <v>150</v>
      </c>
      <c r="N249" s="3">
        <v>46204</v>
      </c>
      <c r="O249" s="6">
        <v>0</v>
      </c>
    </row>
    <row r="250" spans="1:15">
      <c r="A250" t="str">
        <f t="shared" si="9"/>
        <v>Bernas 250 EC 50 X 250 ml (M2U)459920</v>
      </c>
      <c r="B250" t="s">
        <v>10069</v>
      </c>
      <c r="C250" t="s">
        <v>14632</v>
      </c>
      <c r="D250" t="s">
        <v>12153</v>
      </c>
      <c r="E250" t="s">
        <v>335</v>
      </c>
      <c r="F250">
        <v>50</v>
      </c>
      <c r="G250">
        <v>1</v>
      </c>
      <c r="H250">
        <v>1</v>
      </c>
      <c r="I250">
        <v>50</v>
      </c>
      <c r="J250">
        <v>40</v>
      </c>
      <c r="K250">
        <f t="shared" si="10"/>
        <v>0</v>
      </c>
      <c r="L250">
        <f t="shared" si="11"/>
        <v>40</v>
      </c>
      <c r="M250">
        <v>40</v>
      </c>
      <c r="N250" s="3">
        <v>45992</v>
      </c>
      <c r="O250" s="6">
        <v>0</v>
      </c>
    </row>
    <row r="251" spans="1:15">
      <c r="A251" t="str">
        <f t="shared" si="9"/>
        <v>Bernas 250 EC 50 X 250 ml (M2U)460540</v>
      </c>
      <c r="B251" t="s">
        <v>10070</v>
      </c>
      <c r="C251" t="s">
        <v>14633</v>
      </c>
      <c r="D251" t="s">
        <v>12154</v>
      </c>
      <c r="E251" t="s">
        <v>335</v>
      </c>
      <c r="F251">
        <v>50</v>
      </c>
      <c r="G251">
        <v>1</v>
      </c>
      <c r="H251">
        <v>1</v>
      </c>
      <c r="I251">
        <v>50</v>
      </c>
      <c r="J251">
        <v>1100</v>
      </c>
      <c r="K251">
        <f t="shared" si="10"/>
        <v>22</v>
      </c>
      <c r="L251">
        <f t="shared" si="11"/>
        <v>0</v>
      </c>
      <c r="M251">
        <v>1100</v>
      </c>
      <c r="N251" s="3">
        <v>46054</v>
      </c>
      <c r="O251" s="6">
        <v>0</v>
      </c>
    </row>
    <row r="252" spans="1:15">
      <c r="A252" t="str">
        <f t="shared" si="9"/>
        <v>Best Up 480 SL 20 X 1 ltr456890</v>
      </c>
      <c r="B252" t="s">
        <v>10071</v>
      </c>
      <c r="C252" t="s">
        <v>14634</v>
      </c>
      <c r="D252" t="s">
        <v>12155</v>
      </c>
      <c r="E252" t="s">
        <v>336</v>
      </c>
      <c r="F252">
        <v>20</v>
      </c>
      <c r="G252">
        <v>1</v>
      </c>
      <c r="H252">
        <v>1</v>
      </c>
      <c r="I252">
        <v>20</v>
      </c>
      <c r="J252">
        <v>1779</v>
      </c>
      <c r="K252">
        <f t="shared" si="10"/>
        <v>88</v>
      </c>
      <c r="L252">
        <f t="shared" si="11"/>
        <v>19</v>
      </c>
      <c r="M252">
        <v>1779</v>
      </c>
      <c r="N252" s="3">
        <v>45689</v>
      </c>
      <c r="O252" s="6">
        <v>0</v>
      </c>
    </row>
    <row r="253" spans="1:15">
      <c r="A253" t="str">
        <f t="shared" si="9"/>
        <v>Better One 40 X 200 ml470880</v>
      </c>
      <c r="B253" t="s">
        <v>10072</v>
      </c>
      <c r="C253" t="s">
        <v>14635</v>
      </c>
      <c r="D253" t="s">
        <v>12156</v>
      </c>
      <c r="E253" t="s">
        <v>337</v>
      </c>
      <c r="F253">
        <v>40</v>
      </c>
      <c r="G253">
        <v>1</v>
      </c>
      <c r="H253">
        <v>1</v>
      </c>
      <c r="I253">
        <v>40</v>
      </c>
      <c r="J253">
        <v>941</v>
      </c>
      <c r="K253">
        <f t="shared" si="10"/>
        <v>23</v>
      </c>
      <c r="L253">
        <f t="shared" si="11"/>
        <v>21</v>
      </c>
      <c r="M253">
        <v>941</v>
      </c>
      <c r="N253" s="3">
        <v>47088</v>
      </c>
      <c r="O253" s="6">
        <v>0</v>
      </c>
    </row>
    <row r="254" spans="1:15">
      <c r="A254" t="str">
        <f t="shared" si="9"/>
        <v>Biggrow 20 WP 6 X 50 X 5 gr474530</v>
      </c>
      <c r="B254" t="s">
        <v>10073</v>
      </c>
      <c r="C254" t="s">
        <v>14636</v>
      </c>
      <c r="D254" t="s">
        <v>12157</v>
      </c>
      <c r="E254" t="s">
        <v>338</v>
      </c>
      <c r="F254">
        <v>6</v>
      </c>
      <c r="G254">
        <v>50</v>
      </c>
      <c r="H254">
        <v>1</v>
      </c>
      <c r="I254">
        <v>300</v>
      </c>
      <c r="J254">
        <v>108424</v>
      </c>
      <c r="K254">
        <f t="shared" si="10"/>
        <v>361</v>
      </c>
      <c r="L254">
        <f t="shared" si="11"/>
        <v>124</v>
      </c>
      <c r="M254">
        <v>108424</v>
      </c>
      <c r="N254" s="3">
        <v>47453</v>
      </c>
      <c r="O254" s="6">
        <v>0</v>
      </c>
    </row>
    <row r="255" spans="1:15">
      <c r="A255" t="str">
        <f t="shared" si="9"/>
        <v>Biggrow Forte 6 X 200 X 1 gr474530</v>
      </c>
      <c r="B255" t="s">
        <v>10074</v>
      </c>
      <c r="C255" t="s">
        <v>14637</v>
      </c>
      <c r="D255" t="s">
        <v>12158</v>
      </c>
      <c r="E255" t="s">
        <v>339</v>
      </c>
      <c r="F255">
        <v>6</v>
      </c>
      <c r="G255">
        <v>200</v>
      </c>
      <c r="H255">
        <v>1</v>
      </c>
      <c r="I255">
        <v>1200</v>
      </c>
      <c r="J255">
        <v>28492</v>
      </c>
      <c r="K255">
        <f t="shared" si="10"/>
        <v>23</v>
      </c>
      <c r="L255">
        <f t="shared" si="11"/>
        <v>892</v>
      </c>
      <c r="M255">
        <v>28492</v>
      </c>
      <c r="N255" s="3">
        <v>47453</v>
      </c>
      <c r="O255" s="6">
        <v>0</v>
      </c>
    </row>
    <row r="256" spans="1:15">
      <c r="A256" t="str">
        <f t="shared" si="9"/>
        <v>Bigxone 135 SL 20 X 1 ltr470880</v>
      </c>
      <c r="B256" t="s">
        <v>10075</v>
      </c>
      <c r="C256" t="s">
        <v>14638</v>
      </c>
      <c r="D256" t="s">
        <v>12159</v>
      </c>
      <c r="E256" t="s">
        <v>340</v>
      </c>
      <c r="F256">
        <v>20</v>
      </c>
      <c r="G256">
        <v>1</v>
      </c>
      <c r="H256">
        <v>1</v>
      </c>
      <c r="I256">
        <v>20</v>
      </c>
      <c r="J256">
        <v>600</v>
      </c>
      <c r="K256">
        <f t="shared" si="10"/>
        <v>30</v>
      </c>
      <c r="L256">
        <f t="shared" si="11"/>
        <v>0</v>
      </c>
      <c r="M256">
        <v>600</v>
      </c>
      <c r="N256" s="3">
        <v>47088</v>
      </c>
      <c r="O256" s="6">
        <v>0</v>
      </c>
    </row>
    <row r="257" spans="1:15">
      <c r="A257" t="str">
        <f t="shared" si="9"/>
        <v>Biochem Padi/ Tikus 30 X 500 ml456270</v>
      </c>
      <c r="B257" t="s">
        <v>10076</v>
      </c>
      <c r="C257" t="s">
        <v>14639</v>
      </c>
      <c r="D257" t="s">
        <v>12160</v>
      </c>
      <c r="E257" t="s">
        <v>341</v>
      </c>
      <c r="F257">
        <v>30</v>
      </c>
      <c r="G257">
        <v>1</v>
      </c>
      <c r="H257">
        <v>1</v>
      </c>
      <c r="I257">
        <v>30</v>
      </c>
      <c r="J257">
        <v>95</v>
      </c>
      <c r="K257">
        <f t="shared" si="10"/>
        <v>3</v>
      </c>
      <c r="L257">
        <f t="shared" si="11"/>
        <v>5</v>
      </c>
      <c r="M257">
        <v>95</v>
      </c>
      <c r="N257" s="3">
        <v>45627</v>
      </c>
      <c r="O257" s="6">
        <v>0</v>
      </c>
    </row>
    <row r="258" spans="1:15">
      <c r="A258" t="str">
        <f t="shared" si="9"/>
        <v>Biochem Umum 20 X 1 ltr456270</v>
      </c>
      <c r="B258" t="s">
        <v>10077</v>
      </c>
      <c r="C258" t="s">
        <v>14640</v>
      </c>
      <c r="D258" t="s">
        <v>12161</v>
      </c>
      <c r="E258" t="s">
        <v>342</v>
      </c>
      <c r="F258">
        <v>20</v>
      </c>
      <c r="G258">
        <v>1</v>
      </c>
      <c r="H258">
        <v>1</v>
      </c>
      <c r="I258">
        <v>20</v>
      </c>
      <c r="J258">
        <v>11</v>
      </c>
      <c r="K258">
        <f t="shared" si="10"/>
        <v>0</v>
      </c>
      <c r="L258">
        <f t="shared" si="11"/>
        <v>11</v>
      </c>
      <c r="M258">
        <v>11</v>
      </c>
      <c r="N258" s="3">
        <v>45627</v>
      </c>
      <c r="O258" s="6">
        <v>0</v>
      </c>
    </row>
    <row r="259" spans="1:15">
      <c r="A259" t="str">
        <f t="shared" ref="A259:A322" si="12">E259&amp;N259&amp;O259</f>
        <v>Biochem Umum 30 X 500 ml456270</v>
      </c>
      <c r="B259" t="s">
        <v>10078</v>
      </c>
      <c r="C259" t="s">
        <v>14641</v>
      </c>
      <c r="D259" t="s">
        <v>12162</v>
      </c>
      <c r="E259" t="s">
        <v>343</v>
      </c>
      <c r="F259">
        <v>30</v>
      </c>
      <c r="G259">
        <v>1</v>
      </c>
      <c r="H259">
        <v>1</v>
      </c>
      <c r="I259">
        <v>30</v>
      </c>
      <c r="J259">
        <v>540</v>
      </c>
      <c r="K259">
        <f t="shared" ref="K259:K322" si="13">ROUNDDOWN(J259/I259,0)</f>
        <v>18</v>
      </c>
      <c r="L259">
        <f t="shared" ref="L259:L322" si="14">J259-K259*I259</f>
        <v>0</v>
      </c>
      <c r="M259">
        <v>540</v>
      </c>
      <c r="N259" s="3">
        <v>45627</v>
      </c>
      <c r="O259" s="6">
        <v>0</v>
      </c>
    </row>
    <row r="260" spans="1:15">
      <c r="A260" t="str">
        <f t="shared" si="12"/>
        <v>Bion M 1/48 WP 20 X 500 gr457780</v>
      </c>
      <c r="B260" t="s">
        <v>10079</v>
      </c>
      <c r="C260" t="s">
        <v>14642</v>
      </c>
      <c r="D260" t="s">
        <v>12163</v>
      </c>
      <c r="E260" t="s">
        <v>344</v>
      </c>
      <c r="F260">
        <v>20</v>
      </c>
      <c r="G260">
        <v>1</v>
      </c>
      <c r="H260">
        <v>1</v>
      </c>
      <c r="I260">
        <v>20</v>
      </c>
      <c r="J260">
        <v>7188</v>
      </c>
      <c r="K260">
        <f t="shared" si="13"/>
        <v>359</v>
      </c>
      <c r="L260">
        <f t="shared" si="14"/>
        <v>8</v>
      </c>
      <c r="M260">
        <v>7188</v>
      </c>
      <c r="N260" s="3">
        <v>45778</v>
      </c>
      <c r="O260" s="6">
        <v>0</v>
      </c>
    </row>
    <row r="261" spans="1:15">
      <c r="A261" t="str">
        <f t="shared" si="12"/>
        <v>Bion M 1/48 WP 20 X 500 gr459310</v>
      </c>
      <c r="B261" t="s">
        <v>10080</v>
      </c>
      <c r="C261" t="s">
        <v>14643</v>
      </c>
      <c r="D261" t="s">
        <v>12164</v>
      </c>
      <c r="E261" t="s">
        <v>344</v>
      </c>
      <c r="F261">
        <v>20</v>
      </c>
      <c r="G261">
        <v>1</v>
      </c>
      <c r="H261">
        <v>1</v>
      </c>
      <c r="I261">
        <v>20</v>
      </c>
      <c r="J261">
        <v>2200</v>
      </c>
      <c r="K261">
        <f t="shared" si="13"/>
        <v>110</v>
      </c>
      <c r="L261">
        <f t="shared" si="14"/>
        <v>0</v>
      </c>
      <c r="M261">
        <v>2200</v>
      </c>
      <c r="N261" s="3">
        <v>45931</v>
      </c>
      <c r="O261" s="6">
        <v>0</v>
      </c>
    </row>
    <row r="262" spans="1:15">
      <c r="A262" t="str">
        <f t="shared" si="12"/>
        <v>Bionik 400 EC 20 X 500 ml471190</v>
      </c>
      <c r="B262" t="s">
        <v>10081</v>
      </c>
      <c r="C262" t="s">
        <v>14644</v>
      </c>
      <c r="D262" t="s">
        <v>12165</v>
      </c>
      <c r="E262" t="s">
        <v>351</v>
      </c>
      <c r="F262">
        <v>20</v>
      </c>
      <c r="G262">
        <v>1</v>
      </c>
      <c r="H262">
        <v>1</v>
      </c>
      <c r="I262">
        <v>20</v>
      </c>
      <c r="J262">
        <v>2</v>
      </c>
      <c r="K262">
        <f t="shared" si="13"/>
        <v>0</v>
      </c>
      <c r="L262">
        <f t="shared" si="14"/>
        <v>2</v>
      </c>
      <c r="M262">
        <v>2</v>
      </c>
      <c r="N262" s="3">
        <v>47119</v>
      </c>
      <c r="O262" s="6">
        <v>0</v>
      </c>
    </row>
    <row r="263" spans="1:15">
      <c r="A263" t="str">
        <f t="shared" si="12"/>
        <v>Bionik 400 EC 20 X 500 ml472090</v>
      </c>
      <c r="B263" t="s">
        <v>10082</v>
      </c>
      <c r="C263" t="s">
        <v>14645</v>
      </c>
      <c r="D263" t="s">
        <v>12166</v>
      </c>
      <c r="E263" t="s">
        <v>351</v>
      </c>
      <c r="F263">
        <v>20</v>
      </c>
      <c r="G263">
        <v>1</v>
      </c>
      <c r="H263">
        <v>1</v>
      </c>
      <c r="I263">
        <v>20</v>
      </c>
      <c r="J263">
        <v>820</v>
      </c>
      <c r="K263">
        <f t="shared" si="13"/>
        <v>41</v>
      </c>
      <c r="L263">
        <f t="shared" si="14"/>
        <v>0</v>
      </c>
      <c r="M263">
        <v>820</v>
      </c>
      <c r="N263" s="3">
        <v>47209</v>
      </c>
      <c r="O263" s="6">
        <v>0</v>
      </c>
    </row>
    <row r="264" spans="1:15">
      <c r="A264" t="str">
        <f t="shared" si="12"/>
        <v>Bionik 400 EC 50 X 100 ml472090</v>
      </c>
      <c r="B264" t="s">
        <v>10083</v>
      </c>
      <c r="C264" t="s">
        <v>14646</v>
      </c>
      <c r="D264" t="s">
        <v>12167</v>
      </c>
      <c r="E264" t="s">
        <v>352</v>
      </c>
      <c r="F264">
        <v>50</v>
      </c>
      <c r="G264">
        <v>1</v>
      </c>
      <c r="H264">
        <v>1</v>
      </c>
      <c r="I264">
        <v>50</v>
      </c>
      <c r="J264">
        <v>1445</v>
      </c>
      <c r="K264">
        <f t="shared" si="13"/>
        <v>28</v>
      </c>
      <c r="L264">
        <f t="shared" si="14"/>
        <v>45</v>
      </c>
      <c r="M264">
        <v>1445</v>
      </c>
      <c r="N264" s="3">
        <v>47209</v>
      </c>
      <c r="O264" s="6">
        <v>0</v>
      </c>
    </row>
    <row r="265" spans="1:15">
      <c r="A265" t="str">
        <f t="shared" si="12"/>
        <v>Bionik 400 EC 50 X 100 ml472390</v>
      </c>
      <c r="B265" t="s">
        <v>10084</v>
      </c>
      <c r="C265" t="s">
        <v>14647</v>
      </c>
      <c r="D265" t="s">
        <v>12168</v>
      </c>
      <c r="E265" t="s">
        <v>352</v>
      </c>
      <c r="F265">
        <v>50</v>
      </c>
      <c r="G265">
        <v>1</v>
      </c>
      <c r="H265">
        <v>1</v>
      </c>
      <c r="I265">
        <v>50</v>
      </c>
      <c r="J265">
        <v>4300</v>
      </c>
      <c r="K265">
        <f t="shared" si="13"/>
        <v>86</v>
      </c>
      <c r="L265">
        <f t="shared" si="14"/>
        <v>0</v>
      </c>
      <c r="M265">
        <v>4300</v>
      </c>
      <c r="N265" s="3">
        <v>47239</v>
      </c>
      <c r="O265" s="6">
        <v>0</v>
      </c>
    </row>
    <row r="266" spans="1:15">
      <c r="A266" t="str">
        <f t="shared" si="12"/>
        <v>Bionta BSA 100 ml (S)1/1/10000</v>
      </c>
      <c r="B266" t="s">
        <v>10085</v>
      </c>
      <c r="C266" t="s">
        <v>14648</v>
      </c>
      <c r="D266" t="s">
        <v>12169</v>
      </c>
      <c r="E266" t="s">
        <v>353</v>
      </c>
      <c r="F266">
        <v>1</v>
      </c>
      <c r="G266">
        <v>1</v>
      </c>
      <c r="H266">
        <v>1</v>
      </c>
      <c r="I266">
        <v>1</v>
      </c>
      <c r="J266">
        <v>99</v>
      </c>
      <c r="K266">
        <f t="shared" si="13"/>
        <v>99</v>
      </c>
      <c r="L266">
        <f t="shared" si="14"/>
        <v>0</v>
      </c>
      <c r="M266">
        <v>99</v>
      </c>
      <c r="N266" s="3" t="s">
        <v>2222</v>
      </c>
      <c r="O266" s="6">
        <v>0</v>
      </c>
    </row>
    <row r="267" spans="1:15">
      <c r="A267" t="str">
        <f t="shared" si="12"/>
        <v>Bionta45 250 ml (Sample)455970</v>
      </c>
      <c r="B267" t="s">
        <v>10086</v>
      </c>
      <c r="C267" t="s">
        <v>14649</v>
      </c>
      <c r="D267" t="s">
        <v>12170</v>
      </c>
      <c r="E267" t="s">
        <v>354</v>
      </c>
      <c r="F267">
        <v>1</v>
      </c>
      <c r="G267">
        <v>1</v>
      </c>
      <c r="H267">
        <v>1</v>
      </c>
      <c r="I267">
        <v>1</v>
      </c>
      <c r="J267">
        <v>2</v>
      </c>
      <c r="K267">
        <f t="shared" si="13"/>
        <v>2</v>
      </c>
      <c r="L267">
        <f t="shared" si="14"/>
        <v>0</v>
      </c>
      <c r="M267">
        <v>2</v>
      </c>
      <c r="N267" s="3">
        <v>45597</v>
      </c>
      <c r="O267" s="6">
        <v>0</v>
      </c>
    </row>
    <row r="268" spans="1:15">
      <c r="A268" t="str">
        <f t="shared" si="12"/>
        <v>Biosoft 20 X 1 ltr463570</v>
      </c>
      <c r="B268" t="s">
        <v>10087</v>
      </c>
      <c r="C268" t="s">
        <v>14650</v>
      </c>
      <c r="D268" t="s">
        <v>12171</v>
      </c>
      <c r="E268" t="s">
        <v>355</v>
      </c>
      <c r="F268">
        <v>20</v>
      </c>
      <c r="G268">
        <v>1</v>
      </c>
      <c r="H268">
        <v>1</v>
      </c>
      <c r="I268">
        <v>20</v>
      </c>
      <c r="J268">
        <v>1</v>
      </c>
      <c r="K268">
        <f t="shared" si="13"/>
        <v>0</v>
      </c>
      <c r="L268">
        <f t="shared" si="14"/>
        <v>1</v>
      </c>
      <c r="M268">
        <v>1</v>
      </c>
      <c r="N268" s="3">
        <v>46357</v>
      </c>
      <c r="O268" s="6">
        <v>0</v>
      </c>
    </row>
    <row r="269" spans="1:15">
      <c r="A269" t="str">
        <f t="shared" si="12"/>
        <v>Biosoft 20 X 500 ml463570</v>
      </c>
      <c r="B269" t="s">
        <v>10088</v>
      </c>
      <c r="C269" t="s">
        <v>14651</v>
      </c>
      <c r="D269" t="s">
        <v>12172</v>
      </c>
      <c r="E269" t="s">
        <v>356</v>
      </c>
      <c r="F269">
        <v>20</v>
      </c>
      <c r="G269">
        <v>1</v>
      </c>
      <c r="H269">
        <v>1</v>
      </c>
      <c r="I269">
        <v>20</v>
      </c>
      <c r="J269">
        <v>199</v>
      </c>
      <c r="K269">
        <f t="shared" si="13"/>
        <v>9</v>
      </c>
      <c r="L269">
        <f t="shared" si="14"/>
        <v>19</v>
      </c>
      <c r="M269">
        <v>199</v>
      </c>
      <c r="N269" s="3">
        <v>46357</v>
      </c>
      <c r="O269" s="6">
        <v>0</v>
      </c>
    </row>
    <row r="270" spans="1:15">
      <c r="A270" t="str">
        <f t="shared" si="12"/>
        <v>Biosoft 50 X 100 ml455970</v>
      </c>
      <c r="B270" t="s">
        <v>10089</v>
      </c>
      <c r="C270" t="s">
        <v>14652</v>
      </c>
      <c r="D270" t="s">
        <v>12173</v>
      </c>
      <c r="E270" t="s">
        <v>357</v>
      </c>
      <c r="F270">
        <v>50</v>
      </c>
      <c r="G270">
        <v>1</v>
      </c>
      <c r="H270">
        <v>1</v>
      </c>
      <c r="I270">
        <v>50</v>
      </c>
      <c r="J270">
        <v>80</v>
      </c>
      <c r="K270">
        <f t="shared" si="13"/>
        <v>1</v>
      </c>
      <c r="L270">
        <f t="shared" si="14"/>
        <v>30</v>
      </c>
      <c r="M270">
        <v>80</v>
      </c>
      <c r="N270" s="3">
        <v>45597</v>
      </c>
      <c r="O270" s="6">
        <v>0</v>
      </c>
    </row>
    <row r="271" spans="1:15">
      <c r="A271" t="str">
        <f t="shared" si="12"/>
        <v>Blacer Booster Buah 25.79 L 24 X 500 ml456270</v>
      </c>
      <c r="B271" t="s">
        <v>10090</v>
      </c>
      <c r="C271" t="s">
        <v>14653</v>
      </c>
      <c r="D271" t="s">
        <v>12174</v>
      </c>
      <c r="E271" t="s">
        <v>358</v>
      </c>
      <c r="F271">
        <v>24</v>
      </c>
      <c r="G271">
        <v>1</v>
      </c>
      <c r="H271">
        <v>1</v>
      </c>
      <c r="I271">
        <v>24</v>
      </c>
      <c r="J271">
        <v>24</v>
      </c>
      <c r="K271">
        <f t="shared" si="13"/>
        <v>1</v>
      </c>
      <c r="L271">
        <f t="shared" si="14"/>
        <v>0</v>
      </c>
      <c r="M271">
        <v>24</v>
      </c>
      <c r="N271" s="3">
        <v>45627</v>
      </c>
      <c r="O271" s="6">
        <v>0</v>
      </c>
    </row>
    <row r="272" spans="1:15">
      <c r="A272" t="str">
        <f t="shared" si="12"/>
        <v>Blacer Booster Daun 16.85 L 24 X 500 ml456270</v>
      </c>
      <c r="B272" t="s">
        <v>10091</v>
      </c>
      <c r="C272" t="s">
        <v>14654</v>
      </c>
      <c r="D272" t="s">
        <v>12175</v>
      </c>
      <c r="E272" t="s">
        <v>360</v>
      </c>
      <c r="F272">
        <v>24</v>
      </c>
      <c r="G272">
        <v>1</v>
      </c>
      <c r="H272">
        <v>1</v>
      </c>
      <c r="I272">
        <v>24</v>
      </c>
      <c r="J272">
        <v>319</v>
      </c>
      <c r="K272">
        <f t="shared" si="13"/>
        <v>13</v>
      </c>
      <c r="L272">
        <f t="shared" si="14"/>
        <v>7</v>
      </c>
      <c r="M272">
        <v>319</v>
      </c>
      <c r="N272" s="3">
        <v>45627</v>
      </c>
      <c r="O272" s="6">
        <v>0</v>
      </c>
    </row>
    <row r="273" spans="1:15">
      <c r="A273" t="str">
        <f t="shared" si="12"/>
        <v>Black Rubber Tube1/1/10000</v>
      </c>
      <c r="B273" t="s">
        <v>10092</v>
      </c>
      <c r="C273" t="s">
        <v>14655</v>
      </c>
      <c r="D273" t="s">
        <v>12176</v>
      </c>
      <c r="E273" t="s">
        <v>361</v>
      </c>
      <c r="F273">
        <v>1</v>
      </c>
      <c r="G273">
        <v>1</v>
      </c>
      <c r="H273">
        <v>1</v>
      </c>
      <c r="I273">
        <v>1</v>
      </c>
      <c r="J273">
        <v>83</v>
      </c>
      <c r="K273">
        <f t="shared" si="13"/>
        <v>83</v>
      </c>
      <c r="L273">
        <f t="shared" si="14"/>
        <v>0</v>
      </c>
      <c r="M273">
        <v>83</v>
      </c>
      <c r="N273" s="3" t="s">
        <v>2222</v>
      </c>
      <c r="O273" s="6">
        <v>0</v>
      </c>
    </row>
    <row r="274" spans="1:15">
      <c r="A274" t="str">
        <f t="shared" si="12"/>
        <v>Blast 200 SC 20 X 500 ml468740</v>
      </c>
      <c r="B274" t="s">
        <v>10093</v>
      </c>
      <c r="C274" t="s">
        <v>14656</v>
      </c>
      <c r="D274" t="s">
        <v>12177</v>
      </c>
      <c r="E274" t="s">
        <v>362</v>
      </c>
      <c r="F274">
        <v>20</v>
      </c>
      <c r="G274">
        <v>1</v>
      </c>
      <c r="H274">
        <v>1</v>
      </c>
      <c r="I274">
        <v>20</v>
      </c>
      <c r="J274">
        <v>1655</v>
      </c>
      <c r="K274">
        <f t="shared" si="13"/>
        <v>82</v>
      </c>
      <c r="L274">
        <f t="shared" si="14"/>
        <v>15</v>
      </c>
      <c r="M274">
        <v>1655</v>
      </c>
      <c r="N274" s="3">
        <v>46874</v>
      </c>
      <c r="O274" s="6">
        <v>0</v>
      </c>
    </row>
    <row r="275" spans="1:15">
      <c r="A275" t="str">
        <f t="shared" si="12"/>
        <v>Blast 200 SC 48 X 100 ml461740</v>
      </c>
      <c r="B275" t="s">
        <v>10094</v>
      </c>
      <c r="C275" t="s">
        <v>14657</v>
      </c>
      <c r="D275" t="s">
        <v>12178</v>
      </c>
      <c r="E275" t="s">
        <v>365</v>
      </c>
      <c r="F275">
        <v>48</v>
      </c>
      <c r="G275">
        <v>1</v>
      </c>
      <c r="H275">
        <v>1</v>
      </c>
      <c r="I275">
        <v>48</v>
      </c>
      <c r="J275">
        <v>18</v>
      </c>
      <c r="K275">
        <f t="shared" si="13"/>
        <v>0</v>
      </c>
      <c r="L275">
        <f t="shared" si="14"/>
        <v>18</v>
      </c>
      <c r="M275">
        <v>18</v>
      </c>
      <c r="N275" s="3">
        <v>46174</v>
      </c>
      <c r="O275" s="6">
        <v>0</v>
      </c>
    </row>
    <row r="276" spans="1:15">
      <c r="A276" t="str">
        <f t="shared" si="12"/>
        <v>Blast 200 SC 48 X 100 ml468440</v>
      </c>
      <c r="B276" t="s">
        <v>10095</v>
      </c>
      <c r="C276" t="s">
        <v>14658</v>
      </c>
      <c r="D276" t="s">
        <v>12179</v>
      </c>
      <c r="E276" t="s">
        <v>365</v>
      </c>
      <c r="F276">
        <v>48</v>
      </c>
      <c r="G276">
        <v>1</v>
      </c>
      <c r="H276">
        <v>1</v>
      </c>
      <c r="I276">
        <v>48</v>
      </c>
      <c r="J276">
        <v>624</v>
      </c>
      <c r="K276">
        <f t="shared" si="13"/>
        <v>13</v>
      </c>
      <c r="L276">
        <f t="shared" si="14"/>
        <v>0</v>
      </c>
      <c r="M276">
        <v>624</v>
      </c>
      <c r="N276" s="3">
        <v>46844</v>
      </c>
      <c r="O276" s="6">
        <v>0</v>
      </c>
    </row>
    <row r="277" spans="1:15">
      <c r="A277" t="str">
        <f t="shared" si="12"/>
        <v>Bluezeb 80 WP 20 X 1 kg463270</v>
      </c>
      <c r="B277" t="s">
        <v>10096</v>
      </c>
      <c r="C277" t="s">
        <v>14659</v>
      </c>
      <c r="D277" t="s">
        <v>12180</v>
      </c>
      <c r="E277" t="s">
        <v>368</v>
      </c>
      <c r="F277">
        <v>20</v>
      </c>
      <c r="G277">
        <v>1</v>
      </c>
      <c r="H277">
        <v>1</v>
      </c>
      <c r="I277">
        <v>20</v>
      </c>
      <c r="J277">
        <v>764</v>
      </c>
      <c r="K277">
        <f t="shared" si="13"/>
        <v>38</v>
      </c>
      <c r="L277">
        <f t="shared" si="14"/>
        <v>4</v>
      </c>
      <c r="M277">
        <v>764</v>
      </c>
      <c r="N277" s="3">
        <v>46327</v>
      </c>
      <c r="O277" s="6">
        <v>0</v>
      </c>
    </row>
    <row r="278" spans="1:15">
      <c r="A278" t="str">
        <f t="shared" si="12"/>
        <v>BM Flythrin 100 EC 20 X 500 ml465080</v>
      </c>
      <c r="B278" t="s">
        <v>10097</v>
      </c>
      <c r="C278" t="s">
        <v>14660</v>
      </c>
      <c r="D278" t="s">
        <v>12181</v>
      </c>
      <c r="E278" t="s">
        <v>373</v>
      </c>
      <c r="F278">
        <v>20</v>
      </c>
      <c r="G278">
        <v>1</v>
      </c>
      <c r="H278">
        <v>1</v>
      </c>
      <c r="I278">
        <v>20</v>
      </c>
      <c r="J278">
        <v>9</v>
      </c>
      <c r="K278">
        <f t="shared" si="13"/>
        <v>0</v>
      </c>
      <c r="L278">
        <f t="shared" si="14"/>
        <v>9</v>
      </c>
      <c r="M278">
        <v>9</v>
      </c>
      <c r="N278" s="3">
        <v>46508</v>
      </c>
      <c r="O278" s="6">
        <v>0</v>
      </c>
    </row>
    <row r="279" spans="1:15">
      <c r="A279" t="str">
        <f t="shared" si="12"/>
        <v>BM Flythrin 100 EC 20 X 500 ml466000</v>
      </c>
      <c r="B279" t="s">
        <v>10098</v>
      </c>
      <c r="C279" t="s">
        <v>14661</v>
      </c>
      <c r="D279" t="s">
        <v>12182</v>
      </c>
      <c r="E279" t="s">
        <v>373</v>
      </c>
      <c r="F279">
        <v>20</v>
      </c>
      <c r="G279">
        <v>1</v>
      </c>
      <c r="H279">
        <v>1</v>
      </c>
      <c r="I279">
        <v>20</v>
      </c>
      <c r="J279">
        <v>860</v>
      </c>
      <c r="K279">
        <f t="shared" si="13"/>
        <v>43</v>
      </c>
      <c r="L279">
        <f t="shared" si="14"/>
        <v>0</v>
      </c>
      <c r="M279">
        <v>860</v>
      </c>
      <c r="N279" s="3">
        <v>46600</v>
      </c>
      <c r="O279" s="6">
        <v>0</v>
      </c>
    </row>
    <row r="280" spans="1:15">
      <c r="A280" t="str">
        <f t="shared" si="12"/>
        <v>BM Flythrin 100 EC 20 X 500 ml471190</v>
      </c>
      <c r="B280" t="s">
        <v>10099</v>
      </c>
      <c r="C280" t="s">
        <v>14662</v>
      </c>
      <c r="D280" t="s">
        <v>12183</v>
      </c>
      <c r="E280" t="s">
        <v>373</v>
      </c>
      <c r="F280">
        <v>20</v>
      </c>
      <c r="G280">
        <v>1</v>
      </c>
      <c r="H280">
        <v>1</v>
      </c>
      <c r="I280">
        <v>20</v>
      </c>
      <c r="J280">
        <v>1140</v>
      </c>
      <c r="K280">
        <f t="shared" si="13"/>
        <v>57</v>
      </c>
      <c r="L280">
        <f t="shared" si="14"/>
        <v>0</v>
      </c>
      <c r="M280">
        <v>1140</v>
      </c>
      <c r="N280" s="3">
        <v>47119</v>
      </c>
      <c r="O280" s="6">
        <v>0</v>
      </c>
    </row>
    <row r="281" spans="1:15">
      <c r="A281" t="str">
        <f t="shared" si="12"/>
        <v>BM Lamda 50 EC 20 X 500 ml471190</v>
      </c>
      <c r="B281" t="s">
        <v>10100</v>
      </c>
      <c r="C281" t="s">
        <v>14663</v>
      </c>
      <c r="D281" t="s">
        <v>12184</v>
      </c>
      <c r="E281" t="s">
        <v>377</v>
      </c>
      <c r="F281">
        <v>20</v>
      </c>
      <c r="G281">
        <v>1</v>
      </c>
      <c r="H281">
        <v>1</v>
      </c>
      <c r="I281">
        <v>20</v>
      </c>
      <c r="J281">
        <v>14</v>
      </c>
      <c r="K281">
        <f t="shared" si="13"/>
        <v>0</v>
      </c>
      <c r="L281">
        <f t="shared" si="14"/>
        <v>14</v>
      </c>
      <c r="M281">
        <v>14</v>
      </c>
      <c r="N281" s="3">
        <v>47119</v>
      </c>
      <c r="O281" s="6">
        <v>0</v>
      </c>
    </row>
    <row r="282" spans="1:15">
      <c r="A282" t="str">
        <f t="shared" si="12"/>
        <v>BM Lamda 50 EC 20 X 500 ml472390</v>
      </c>
      <c r="B282" t="s">
        <v>10101</v>
      </c>
      <c r="C282" t="s">
        <v>14664</v>
      </c>
      <c r="D282" t="s">
        <v>12185</v>
      </c>
      <c r="E282" t="s">
        <v>377</v>
      </c>
      <c r="F282">
        <v>20</v>
      </c>
      <c r="G282">
        <v>1</v>
      </c>
      <c r="H282">
        <v>1</v>
      </c>
      <c r="I282">
        <v>20</v>
      </c>
      <c r="J282">
        <v>2000</v>
      </c>
      <c r="K282">
        <f t="shared" si="13"/>
        <v>100</v>
      </c>
      <c r="L282">
        <f t="shared" si="14"/>
        <v>0</v>
      </c>
      <c r="M282">
        <v>2000</v>
      </c>
      <c r="N282" s="3">
        <v>47239</v>
      </c>
      <c r="O282" s="6">
        <v>0</v>
      </c>
    </row>
    <row r="283" spans="1:15">
      <c r="A283" t="str">
        <f t="shared" si="12"/>
        <v>BM Promax 75 SP 100 X 100 gr472390</v>
      </c>
      <c r="B283" t="s">
        <v>10102</v>
      </c>
      <c r="C283" t="s">
        <v>14665</v>
      </c>
      <c r="D283" t="s">
        <v>12186</v>
      </c>
      <c r="E283" t="s">
        <v>378</v>
      </c>
      <c r="F283">
        <v>100</v>
      </c>
      <c r="G283">
        <v>1</v>
      </c>
      <c r="H283">
        <v>1</v>
      </c>
      <c r="I283">
        <v>100</v>
      </c>
      <c r="J283">
        <v>10000</v>
      </c>
      <c r="K283">
        <f t="shared" si="13"/>
        <v>100</v>
      </c>
      <c r="L283">
        <f t="shared" si="14"/>
        <v>0</v>
      </c>
      <c r="M283">
        <v>10000</v>
      </c>
      <c r="N283" s="3">
        <v>47239</v>
      </c>
      <c r="O283" s="6">
        <v>0</v>
      </c>
    </row>
    <row r="284" spans="1:15">
      <c r="A284" t="str">
        <f t="shared" si="12"/>
        <v>BM Promax 75 SP 20 X 500 gr472390</v>
      </c>
      <c r="B284" t="s">
        <v>10103</v>
      </c>
      <c r="C284" t="s">
        <v>14666</v>
      </c>
      <c r="D284" t="s">
        <v>12187</v>
      </c>
      <c r="E284" t="s">
        <v>380</v>
      </c>
      <c r="F284">
        <v>20</v>
      </c>
      <c r="G284">
        <v>1</v>
      </c>
      <c r="H284">
        <v>1</v>
      </c>
      <c r="I284">
        <v>20</v>
      </c>
      <c r="J284">
        <v>1140</v>
      </c>
      <c r="K284">
        <f t="shared" si="13"/>
        <v>57</v>
      </c>
      <c r="L284">
        <f t="shared" si="14"/>
        <v>0</v>
      </c>
      <c r="M284">
        <v>1140</v>
      </c>
      <c r="N284" s="3">
        <v>47239</v>
      </c>
      <c r="O284" s="6">
        <v>0</v>
      </c>
    </row>
    <row r="285" spans="1:15">
      <c r="A285" t="str">
        <f t="shared" si="12"/>
        <v>BM Zebco 80 WP 20 X 1 kg467840</v>
      </c>
      <c r="B285" t="s">
        <v>10104</v>
      </c>
      <c r="C285" t="s">
        <v>14667</v>
      </c>
      <c r="D285" t="s">
        <v>12188</v>
      </c>
      <c r="E285" t="s">
        <v>381</v>
      </c>
      <c r="F285">
        <v>20</v>
      </c>
      <c r="G285">
        <v>1</v>
      </c>
      <c r="H285">
        <v>1</v>
      </c>
      <c r="I285">
        <v>20</v>
      </c>
      <c r="J285">
        <v>2533</v>
      </c>
      <c r="K285">
        <f t="shared" si="13"/>
        <v>126</v>
      </c>
      <c r="L285">
        <f t="shared" si="14"/>
        <v>13</v>
      </c>
      <c r="M285">
        <v>2533</v>
      </c>
      <c r="N285" s="3">
        <v>46784</v>
      </c>
      <c r="O285" s="6">
        <v>0</v>
      </c>
    </row>
    <row r="286" spans="1:15">
      <c r="A286" t="str">
        <f t="shared" si="12"/>
        <v>Body YT 5L1/1/10000</v>
      </c>
      <c r="B286" t="s">
        <v>10105</v>
      </c>
      <c r="C286" t="s">
        <v>14668</v>
      </c>
      <c r="D286" t="s">
        <v>12189</v>
      </c>
      <c r="E286" t="s">
        <v>383</v>
      </c>
      <c r="F286">
        <v>1</v>
      </c>
      <c r="G286">
        <v>1</v>
      </c>
      <c r="H286">
        <v>1</v>
      </c>
      <c r="I286">
        <v>1</v>
      </c>
      <c r="J286">
        <v>5</v>
      </c>
      <c r="K286">
        <f t="shared" si="13"/>
        <v>5</v>
      </c>
      <c r="L286">
        <f t="shared" si="14"/>
        <v>0</v>
      </c>
      <c r="M286">
        <v>5</v>
      </c>
      <c r="N286" s="3" t="s">
        <v>2222</v>
      </c>
      <c r="O286" s="6">
        <v>0</v>
      </c>
    </row>
    <row r="287" spans="1:15">
      <c r="A287" t="str">
        <f t="shared" si="12"/>
        <v>Boral 480 SC 48 X 100 ml459010</v>
      </c>
      <c r="B287" t="s">
        <v>10106</v>
      </c>
      <c r="C287" t="s">
        <v>14669</v>
      </c>
      <c r="D287" t="s">
        <v>12190</v>
      </c>
      <c r="E287" t="s">
        <v>384</v>
      </c>
      <c r="F287">
        <v>48</v>
      </c>
      <c r="G287">
        <v>1</v>
      </c>
      <c r="H287">
        <v>1</v>
      </c>
      <c r="I287">
        <v>48</v>
      </c>
      <c r="J287">
        <v>2059</v>
      </c>
      <c r="K287">
        <f t="shared" si="13"/>
        <v>42</v>
      </c>
      <c r="L287">
        <f t="shared" si="14"/>
        <v>43</v>
      </c>
      <c r="M287">
        <v>2059</v>
      </c>
      <c r="N287" s="3">
        <v>45901</v>
      </c>
      <c r="O287" s="6">
        <v>0</v>
      </c>
    </row>
    <row r="288" spans="1:15">
      <c r="A288" t="str">
        <f t="shared" si="12"/>
        <v>Boron 6 X 200 X 1 gr465690</v>
      </c>
      <c r="B288" t="s">
        <v>10107</v>
      </c>
      <c r="C288" t="s">
        <v>14670</v>
      </c>
      <c r="D288" t="s">
        <v>12191</v>
      </c>
      <c r="E288" t="s">
        <v>386</v>
      </c>
      <c r="F288">
        <v>6</v>
      </c>
      <c r="G288">
        <v>200</v>
      </c>
      <c r="H288">
        <v>1</v>
      </c>
      <c r="I288">
        <v>1200</v>
      </c>
      <c r="J288">
        <v>133</v>
      </c>
      <c r="K288">
        <f t="shared" si="13"/>
        <v>0</v>
      </c>
      <c r="L288">
        <f t="shared" si="14"/>
        <v>133</v>
      </c>
      <c r="M288">
        <v>133</v>
      </c>
      <c r="N288" s="3">
        <v>46569</v>
      </c>
      <c r="O288" s="6">
        <v>0</v>
      </c>
    </row>
    <row r="289" spans="1:15">
      <c r="A289" t="str">
        <f t="shared" si="12"/>
        <v>Boron 6 X 200 X 1 gr1/1/10000</v>
      </c>
      <c r="B289" t="s">
        <v>10108</v>
      </c>
      <c r="C289" t="s">
        <v>14671</v>
      </c>
      <c r="D289" t="s">
        <v>12192</v>
      </c>
      <c r="E289" t="s">
        <v>386</v>
      </c>
      <c r="F289">
        <v>6</v>
      </c>
      <c r="G289">
        <v>200</v>
      </c>
      <c r="H289">
        <v>1</v>
      </c>
      <c r="I289">
        <v>1200</v>
      </c>
      <c r="J289">
        <v>43270</v>
      </c>
      <c r="K289">
        <f t="shared" si="13"/>
        <v>36</v>
      </c>
      <c r="L289">
        <f t="shared" si="14"/>
        <v>70</v>
      </c>
      <c r="M289">
        <v>43270</v>
      </c>
      <c r="N289" s="3" t="s">
        <v>2222</v>
      </c>
      <c r="O289" s="6">
        <v>0</v>
      </c>
    </row>
    <row r="290" spans="1:15">
      <c r="A290" t="str">
        <f t="shared" si="12"/>
        <v>Botol EM-4 Pertanian (LK) Sample1/1/10000</v>
      </c>
      <c r="B290" t="s">
        <v>10109</v>
      </c>
      <c r="C290" t="s">
        <v>14672</v>
      </c>
      <c r="D290" t="s">
        <v>12193</v>
      </c>
      <c r="E290" t="s">
        <v>387</v>
      </c>
      <c r="F290">
        <v>1</v>
      </c>
      <c r="G290">
        <v>1</v>
      </c>
      <c r="H290">
        <v>1</v>
      </c>
      <c r="I290">
        <v>1</v>
      </c>
      <c r="J290">
        <v>2</v>
      </c>
      <c r="K290">
        <f t="shared" si="13"/>
        <v>2</v>
      </c>
      <c r="L290">
        <f t="shared" si="14"/>
        <v>0</v>
      </c>
      <c r="M290">
        <v>2</v>
      </c>
      <c r="N290" s="3" t="s">
        <v>2222</v>
      </c>
      <c r="O290" s="6">
        <v>0</v>
      </c>
    </row>
    <row r="291" spans="1:15">
      <c r="A291" t="str">
        <f t="shared" si="12"/>
        <v>Botol EM-4 Tambak (LM) Sample1/1/10000</v>
      </c>
      <c r="B291" t="s">
        <v>10110</v>
      </c>
      <c r="C291" t="s">
        <v>14673</v>
      </c>
      <c r="D291" t="s">
        <v>12194</v>
      </c>
      <c r="E291" t="s">
        <v>388</v>
      </c>
      <c r="F291">
        <v>1</v>
      </c>
      <c r="G291">
        <v>1</v>
      </c>
      <c r="H291">
        <v>1</v>
      </c>
      <c r="I291">
        <v>1</v>
      </c>
      <c r="J291">
        <v>2</v>
      </c>
      <c r="K291">
        <f t="shared" si="13"/>
        <v>2</v>
      </c>
      <c r="L291">
        <f t="shared" si="14"/>
        <v>0</v>
      </c>
      <c r="M291">
        <v>2</v>
      </c>
      <c r="N291" s="3" t="s">
        <v>2222</v>
      </c>
      <c r="O291" s="6">
        <v>0</v>
      </c>
    </row>
    <row r="292" spans="1:15">
      <c r="A292" t="str">
        <f t="shared" si="12"/>
        <v>Botol EM-4 Ternak (LC) Sample1/1/10000</v>
      </c>
      <c r="B292" t="s">
        <v>10111</v>
      </c>
      <c r="C292" t="s">
        <v>14674</v>
      </c>
      <c r="D292" t="s">
        <v>12195</v>
      </c>
      <c r="E292" t="s">
        <v>389</v>
      </c>
      <c r="F292">
        <v>1</v>
      </c>
      <c r="G292">
        <v>1</v>
      </c>
      <c r="H292">
        <v>1</v>
      </c>
      <c r="I292">
        <v>1</v>
      </c>
      <c r="J292">
        <v>2</v>
      </c>
      <c r="K292">
        <f t="shared" si="13"/>
        <v>2</v>
      </c>
      <c r="L292">
        <f t="shared" si="14"/>
        <v>0</v>
      </c>
      <c r="M292">
        <v>2</v>
      </c>
      <c r="N292" s="3" t="s">
        <v>2222</v>
      </c>
      <c r="O292" s="6">
        <v>0</v>
      </c>
    </row>
    <row r="293" spans="1:15">
      <c r="A293" t="str">
        <f t="shared" si="12"/>
        <v>Botol EM-4 Toilet Sample1/1/10000</v>
      </c>
      <c r="B293" t="s">
        <v>10112</v>
      </c>
      <c r="C293" t="s">
        <v>14675</v>
      </c>
      <c r="D293" t="s">
        <v>12196</v>
      </c>
      <c r="E293" t="s">
        <v>390</v>
      </c>
      <c r="F293">
        <v>1</v>
      </c>
      <c r="G293">
        <v>1</v>
      </c>
      <c r="H293">
        <v>1</v>
      </c>
      <c r="I293">
        <v>1</v>
      </c>
      <c r="J293">
        <v>2</v>
      </c>
      <c r="K293">
        <f t="shared" si="13"/>
        <v>2</v>
      </c>
      <c r="L293">
        <f t="shared" si="14"/>
        <v>0</v>
      </c>
      <c r="M293">
        <v>2</v>
      </c>
      <c r="N293" s="3" t="s">
        <v>2222</v>
      </c>
      <c r="O293" s="6">
        <v>0</v>
      </c>
    </row>
    <row r="294" spans="1:15">
      <c r="A294" t="str">
        <f t="shared" si="12"/>
        <v>Braphon 488 SL 50 X 100 ml469970</v>
      </c>
      <c r="B294" t="s">
        <v>10113</v>
      </c>
      <c r="C294" t="s">
        <v>14676</v>
      </c>
      <c r="D294" t="s">
        <v>12197</v>
      </c>
      <c r="E294" t="s">
        <v>391</v>
      </c>
      <c r="F294">
        <v>50</v>
      </c>
      <c r="G294">
        <v>1</v>
      </c>
      <c r="H294">
        <v>1</v>
      </c>
      <c r="I294">
        <v>50</v>
      </c>
      <c r="J294">
        <v>491</v>
      </c>
      <c r="K294">
        <f t="shared" si="13"/>
        <v>9</v>
      </c>
      <c r="L294">
        <f t="shared" si="14"/>
        <v>41</v>
      </c>
      <c r="M294">
        <v>491</v>
      </c>
      <c r="N294" s="3">
        <v>46997</v>
      </c>
      <c r="O294" s="6">
        <v>0</v>
      </c>
    </row>
    <row r="295" spans="1:15">
      <c r="A295" t="str">
        <f t="shared" si="12"/>
        <v>Brasso 250 EC 20 X 250 ml461130</v>
      </c>
      <c r="B295" t="s">
        <v>10114</v>
      </c>
      <c r="C295" t="s">
        <v>14677</v>
      </c>
      <c r="D295" t="s">
        <v>12198</v>
      </c>
      <c r="E295" t="s">
        <v>393</v>
      </c>
      <c r="F295">
        <v>20</v>
      </c>
      <c r="G295">
        <v>1</v>
      </c>
      <c r="H295">
        <v>1</v>
      </c>
      <c r="I295">
        <v>20</v>
      </c>
      <c r="J295">
        <v>380</v>
      </c>
      <c r="K295">
        <f t="shared" si="13"/>
        <v>19</v>
      </c>
      <c r="L295">
        <f t="shared" si="14"/>
        <v>0</v>
      </c>
      <c r="M295">
        <v>380</v>
      </c>
      <c r="N295" s="3">
        <v>46113</v>
      </c>
      <c r="O295" s="6">
        <v>0</v>
      </c>
    </row>
    <row r="296" spans="1:15">
      <c r="A296" t="str">
        <f t="shared" si="12"/>
        <v>Brasso 250 EC 20 X 250 ml459620</v>
      </c>
      <c r="B296" t="s">
        <v>10115</v>
      </c>
      <c r="C296" t="s">
        <v>14678</v>
      </c>
      <c r="D296" t="s">
        <v>12199</v>
      </c>
      <c r="E296" t="s">
        <v>393</v>
      </c>
      <c r="F296">
        <v>20</v>
      </c>
      <c r="G296">
        <v>1</v>
      </c>
      <c r="H296">
        <v>1</v>
      </c>
      <c r="I296">
        <v>20</v>
      </c>
      <c r="J296">
        <v>77</v>
      </c>
      <c r="K296">
        <f t="shared" si="13"/>
        <v>3</v>
      </c>
      <c r="L296">
        <f t="shared" si="14"/>
        <v>17</v>
      </c>
      <c r="M296">
        <v>77</v>
      </c>
      <c r="N296" s="3">
        <v>45962</v>
      </c>
      <c r="O296" s="6">
        <v>0</v>
      </c>
    </row>
    <row r="297" spans="1:15">
      <c r="A297" t="str">
        <f t="shared" si="12"/>
        <v>Brasso 250 EC 20 X 400 ml466000</v>
      </c>
      <c r="B297" t="s">
        <v>10116</v>
      </c>
      <c r="C297" t="s">
        <v>14679</v>
      </c>
      <c r="D297" t="s">
        <v>12200</v>
      </c>
      <c r="E297" t="s">
        <v>394</v>
      </c>
      <c r="F297">
        <v>20</v>
      </c>
      <c r="G297">
        <v>1</v>
      </c>
      <c r="H297">
        <v>1</v>
      </c>
      <c r="I297">
        <v>20</v>
      </c>
      <c r="J297">
        <v>2</v>
      </c>
      <c r="K297">
        <f t="shared" si="13"/>
        <v>0</v>
      </c>
      <c r="L297">
        <f t="shared" si="14"/>
        <v>2</v>
      </c>
      <c r="M297">
        <v>2</v>
      </c>
      <c r="N297" s="3">
        <v>46600</v>
      </c>
      <c r="O297" s="6">
        <v>0</v>
      </c>
    </row>
    <row r="298" spans="1:15">
      <c r="A298" t="str">
        <f t="shared" si="12"/>
        <v>Brasso 250 EC 20 X 400 ml467840</v>
      </c>
      <c r="B298" t="s">
        <v>10117</v>
      </c>
      <c r="C298" t="s">
        <v>14680</v>
      </c>
      <c r="D298" t="s">
        <v>12201</v>
      </c>
      <c r="E298" t="s">
        <v>394</v>
      </c>
      <c r="F298">
        <v>20</v>
      </c>
      <c r="G298">
        <v>1</v>
      </c>
      <c r="H298">
        <v>1</v>
      </c>
      <c r="I298">
        <v>20</v>
      </c>
      <c r="J298">
        <v>265</v>
      </c>
      <c r="K298">
        <f t="shared" si="13"/>
        <v>13</v>
      </c>
      <c r="L298">
        <f t="shared" si="14"/>
        <v>5</v>
      </c>
      <c r="M298">
        <v>265</v>
      </c>
      <c r="N298" s="3">
        <v>46784</v>
      </c>
      <c r="O298" s="6">
        <v>0</v>
      </c>
    </row>
    <row r="299" spans="1:15">
      <c r="A299" t="str">
        <f t="shared" si="12"/>
        <v>Brasso 250 EC 20 X 400 ml468130</v>
      </c>
      <c r="B299" t="s">
        <v>10118</v>
      </c>
      <c r="C299" t="s">
        <v>14681</v>
      </c>
      <c r="D299" t="s">
        <v>12202</v>
      </c>
      <c r="E299" t="s">
        <v>394</v>
      </c>
      <c r="F299">
        <v>20</v>
      </c>
      <c r="G299">
        <v>1</v>
      </c>
      <c r="H299">
        <v>1</v>
      </c>
      <c r="I299">
        <v>20</v>
      </c>
      <c r="J299">
        <v>1000</v>
      </c>
      <c r="K299">
        <f t="shared" si="13"/>
        <v>50</v>
      </c>
      <c r="L299">
        <f t="shared" si="14"/>
        <v>0</v>
      </c>
      <c r="M299">
        <v>1000</v>
      </c>
      <c r="N299" s="3">
        <v>46813</v>
      </c>
      <c r="O299" s="6">
        <v>0</v>
      </c>
    </row>
    <row r="300" spans="1:15">
      <c r="A300" t="str">
        <f t="shared" si="12"/>
        <v>Brasso 250 EC 50 X 80 ml459310</v>
      </c>
      <c r="B300" t="s">
        <v>10119</v>
      </c>
      <c r="C300" t="s">
        <v>14682</v>
      </c>
      <c r="D300" t="s">
        <v>12203</v>
      </c>
      <c r="E300" t="s">
        <v>395</v>
      </c>
      <c r="F300">
        <v>50</v>
      </c>
      <c r="G300">
        <v>1</v>
      </c>
      <c r="H300">
        <v>1</v>
      </c>
      <c r="I300">
        <v>50</v>
      </c>
      <c r="J300">
        <v>10</v>
      </c>
      <c r="K300">
        <f t="shared" si="13"/>
        <v>0</v>
      </c>
      <c r="L300">
        <f t="shared" si="14"/>
        <v>10</v>
      </c>
      <c r="M300">
        <v>10</v>
      </c>
      <c r="N300" s="3">
        <v>45931</v>
      </c>
      <c r="O300" s="6">
        <v>0</v>
      </c>
    </row>
    <row r="301" spans="1:15">
      <c r="A301" t="str">
        <f t="shared" si="12"/>
        <v>Brasso 250 EC 50 X 80 ml460540</v>
      </c>
      <c r="B301" t="s">
        <v>10120</v>
      </c>
      <c r="C301" t="s">
        <v>14683</v>
      </c>
      <c r="D301" t="s">
        <v>12204</v>
      </c>
      <c r="E301" t="s">
        <v>395</v>
      </c>
      <c r="F301">
        <v>50</v>
      </c>
      <c r="G301">
        <v>1</v>
      </c>
      <c r="H301">
        <v>1</v>
      </c>
      <c r="I301">
        <v>50</v>
      </c>
      <c r="J301">
        <v>700</v>
      </c>
      <c r="K301">
        <f t="shared" si="13"/>
        <v>14</v>
      </c>
      <c r="L301">
        <f t="shared" si="14"/>
        <v>0</v>
      </c>
      <c r="M301">
        <v>700</v>
      </c>
      <c r="N301" s="3">
        <v>46054</v>
      </c>
      <c r="O301" s="6">
        <v>0</v>
      </c>
    </row>
    <row r="302" spans="1:15">
      <c r="A302" t="str">
        <f t="shared" si="12"/>
        <v>Bravoxone 276 SL 20 ltr (Label Kuda)470580</v>
      </c>
      <c r="B302" t="s">
        <v>10121</v>
      </c>
      <c r="C302" t="s">
        <v>14684</v>
      </c>
      <c r="D302" t="s">
        <v>12205</v>
      </c>
      <c r="E302" t="s">
        <v>396</v>
      </c>
      <c r="F302">
        <v>1</v>
      </c>
      <c r="G302">
        <v>1</v>
      </c>
      <c r="H302">
        <v>1</v>
      </c>
      <c r="I302">
        <v>1</v>
      </c>
      <c r="J302">
        <v>116</v>
      </c>
      <c r="K302">
        <f t="shared" si="13"/>
        <v>116</v>
      </c>
      <c r="L302">
        <f t="shared" si="14"/>
        <v>0</v>
      </c>
      <c r="M302">
        <v>116</v>
      </c>
      <c r="N302" s="3">
        <v>47058</v>
      </c>
      <c r="O302" s="6">
        <v>0</v>
      </c>
    </row>
    <row r="303" spans="1:15">
      <c r="A303" t="str">
        <f t="shared" si="12"/>
        <v>Bravoxone 276 SL 20 X 1 ltr (Label Kuda)470270</v>
      </c>
      <c r="B303" t="s">
        <v>10122</v>
      </c>
      <c r="C303" t="s">
        <v>14685</v>
      </c>
      <c r="D303" t="s">
        <v>12206</v>
      </c>
      <c r="E303" t="s">
        <v>397</v>
      </c>
      <c r="F303">
        <v>20</v>
      </c>
      <c r="G303">
        <v>1</v>
      </c>
      <c r="H303">
        <v>1</v>
      </c>
      <c r="I303">
        <v>20</v>
      </c>
      <c r="J303">
        <v>2719</v>
      </c>
      <c r="K303">
        <f t="shared" si="13"/>
        <v>135</v>
      </c>
      <c r="L303">
        <f t="shared" si="14"/>
        <v>19</v>
      </c>
      <c r="M303">
        <v>2719</v>
      </c>
      <c r="N303" s="3">
        <v>47027</v>
      </c>
      <c r="O303" s="6">
        <v>0</v>
      </c>
    </row>
    <row r="304" spans="1:15">
      <c r="A304" t="str">
        <f t="shared" si="12"/>
        <v>Bravoxone 276 SL 20 X 1 ltr (Label Kuda)470580</v>
      </c>
      <c r="B304" t="s">
        <v>10123</v>
      </c>
      <c r="C304" t="s">
        <v>14686</v>
      </c>
      <c r="D304" t="s">
        <v>12207</v>
      </c>
      <c r="E304" t="s">
        <v>397</v>
      </c>
      <c r="F304">
        <v>20</v>
      </c>
      <c r="G304">
        <v>1</v>
      </c>
      <c r="H304">
        <v>1</v>
      </c>
      <c r="I304">
        <v>20</v>
      </c>
      <c r="J304">
        <v>2740</v>
      </c>
      <c r="K304">
        <f t="shared" si="13"/>
        <v>137</v>
      </c>
      <c r="L304">
        <f t="shared" si="14"/>
        <v>0</v>
      </c>
      <c r="M304">
        <v>2740</v>
      </c>
      <c r="N304" s="3">
        <v>47058</v>
      </c>
      <c r="O304" s="6">
        <v>0</v>
      </c>
    </row>
    <row r="305" spans="1:15">
      <c r="A305" t="str">
        <f t="shared" si="12"/>
        <v>Bravoxone 276 SL 4 X 5 ltr (Label Kuda)470270</v>
      </c>
      <c r="B305" t="s">
        <v>10124</v>
      </c>
      <c r="C305" t="s">
        <v>14687</v>
      </c>
      <c r="D305" t="s">
        <v>12208</v>
      </c>
      <c r="E305" t="s">
        <v>398</v>
      </c>
      <c r="F305">
        <v>4</v>
      </c>
      <c r="G305">
        <v>1</v>
      </c>
      <c r="H305">
        <v>1</v>
      </c>
      <c r="I305">
        <v>4</v>
      </c>
      <c r="J305">
        <v>717</v>
      </c>
      <c r="K305">
        <f t="shared" si="13"/>
        <v>179</v>
      </c>
      <c r="L305">
        <f t="shared" si="14"/>
        <v>1</v>
      </c>
      <c r="M305">
        <v>717</v>
      </c>
      <c r="N305" s="3">
        <v>47027</v>
      </c>
      <c r="O305" s="6">
        <v>0</v>
      </c>
    </row>
    <row r="306" spans="1:15">
      <c r="A306" t="str">
        <f t="shared" si="12"/>
        <v>Brosur Armeira/Vishaka443870</v>
      </c>
      <c r="B306" t="s">
        <v>10125</v>
      </c>
      <c r="C306" t="s">
        <v>14688</v>
      </c>
      <c r="D306" t="s">
        <v>12209</v>
      </c>
      <c r="E306" t="s">
        <v>399</v>
      </c>
      <c r="F306">
        <v>1</v>
      </c>
      <c r="G306">
        <v>1</v>
      </c>
      <c r="H306">
        <v>1</v>
      </c>
      <c r="I306">
        <v>1</v>
      </c>
      <c r="J306">
        <v>13450</v>
      </c>
      <c r="K306">
        <f t="shared" si="13"/>
        <v>13450</v>
      </c>
      <c r="L306">
        <f t="shared" si="14"/>
        <v>0</v>
      </c>
      <c r="M306">
        <v>13450</v>
      </c>
      <c r="N306" s="3">
        <v>44387</v>
      </c>
      <c r="O306" s="6">
        <v>0</v>
      </c>
    </row>
    <row r="307" spans="1:15">
      <c r="A307" t="str">
        <f t="shared" si="12"/>
        <v>Brosur Associate1/1/10000</v>
      </c>
      <c r="B307" t="s">
        <v>10126</v>
      </c>
      <c r="C307" t="s">
        <v>14689</v>
      </c>
      <c r="D307" t="s">
        <v>12210</v>
      </c>
      <c r="E307" t="s">
        <v>400</v>
      </c>
      <c r="F307">
        <v>1</v>
      </c>
      <c r="G307">
        <v>1</v>
      </c>
      <c r="H307">
        <v>1</v>
      </c>
      <c r="I307">
        <v>1</v>
      </c>
      <c r="J307">
        <v>2600</v>
      </c>
      <c r="K307">
        <f t="shared" si="13"/>
        <v>2600</v>
      </c>
      <c r="L307">
        <f t="shared" si="14"/>
        <v>0</v>
      </c>
      <c r="M307">
        <v>2600</v>
      </c>
      <c r="N307" s="3" t="s">
        <v>2222</v>
      </c>
      <c r="O307" s="6">
        <v>0</v>
      </c>
    </row>
    <row r="308" spans="1:15">
      <c r="A308" t="str">
        <f t="shared" si="12"/>
        <v>Brosur Desanto/Piraklo1/1/10000</v>
      </c>
      <c r="B308" t="s">
        <v>10127</v>
      </c>
      <c r="C308" t="s">
        <v>14690</v>
      </c>
      <c r="D308" t="s">
        <v>12211</v>
      </c>
      <c r="E308" t="s">
        <v>401</v>
      </c>
      <c r="F308">
        <v>1</v>
      </c>
      <c r="G308">
        <v>1</v>
      </c>
      <c r="H308">
        <v>1</v>
      </c>
      <c r="I308">
        <v>1</v>
      </c>
      <c r="J308">
        <v>33119</v>
      </c>
      <c r="K308">
        <f t="shared" si="13"/>
        <v>33119</v>
      </c>
      <c r="L308">
        <f t="shared" si="14"/>
        <v>0</v>
      </c>
      <c r="M308">
        <v>33119</v>
      </c>
      <c r="N308" s="3" t="s">
        <v>2222</v>
      </c>
      <c r="O308" s="6">
        <v>0</v>
      </c>
    </row>
    <row r="309" spans="1:15">
      <c r="A309" t="str">
        <f t="shared" si="12"/>
        <v>Brosur Elazaro/Castora1/1/10000</v>
      </c>
      <c r="B309" t="s">
        <v>10128</v>
      </c>
      <c r="C309" t="s">
        <v>14691</v>
      </c>
      <c r="D309" t="s">
        <v>12212</v>
      </c>
      <c r="E309" t="s">
        <v>402</v>
      </c>
      <c r="F309">
        <v>1</v>
      </c>
      <c r="G309">
        <v>1</v>
      </c>
      <c r="H309">
        <v>1</v>
      </c>
      <c r="I309">
        <v>1</v>
      </c>
      <c r="J309">
        <v>34047</v>
      </c>
      <c r="K309">
        <f t="shared" si="13"/>
        <v>34047</v>
      </c>
      <c r="L309">
        <f t="shared" si="14"/>
        <v>0</v>
      </c>
      <c r="M309">
        <v>34047</v>
      </c>
      <c r="N309" s="3" t="s">
        <v>2222</v>
      </c>
      <c r="O309" s="6">
        <v>0</v>
      </c>
    </row>
    <row r="310" spans="1:15">
      <c r="A310" t="str">
        <f t="shared" si="12"/>
        <v>Brosur RPSM1/1/10000</v>
      </c>
      <c r="B310" t="s">
        <v>10129</v>
      </c>
      <c r="C310" t="s">
        <v>14692</v>
      </c>
      <c r="D310" t="s">
        <v>12213</v>
      </c>
      <c r="E310" t="s">
        <v>403</v>
      </c>
      <c r="F310">
        <v>1</v>
      </c>
      <c r="G310">
        <v>1</v>
      </c>
      <c r="H310">
        <v>1</v>
      </c>
      <c r="I310">
        <v>1</v>
      </c>
      <c r="J310">
        <v>12400</v>
      </c>
      <c r="K310">
        <f t="shared" si="13"/>
        <v>12400</v>
      </c>
      <c r="L310">
        <f t="shared" si="14"/>
        <v>0</v>
      </c>
      <c r="M310">
        <v>12400</v>
      </c>
      <c r="N310" s="3" t="s">
        <v>2222</v>
      </c>
      <c r="O310" s="6">
        <v>0</v>
      </c>
    </row>
    <row r="311" spans="1:15">
      <c r="A311" t="str">
        <f t="shared" si="12"/>
        <v>Buku Agenda1/1/10000</v>
      </c>
      <c r="B311" t="s">
        <v>10130</v>
      </c>
      <c r="C311" t="s">
        <v>14693</v>
      </c>
      <c r="D311" t="s">
        <v>12214</v>
      </c>
      <c r="E311" t="s">
        <v>404</v>
      </c>
      <c r="F311">
        <v>1</v>
      </c>
      <c r="G311">
        <v>1</v>
      </c>
      <c r="H311">
        <v>1</v>
      </c>
      <c r="I311">
        <v>1</v>
      </c>
      <c r="J311">
        <v>20</v>
      </c>
      <c r="K311">
        <f t="shared" si="13"/>
        <v>20</v>
      </c>
      <c r="L311">
        <f t="shared" si="14"/>
        <v>0</v>
      </c>
      <c r="M311">
        <v>20</v>
      </c>
      <c r="N311" s="3" t="s">
        <v>2222</v>
      </c>
      <c r="O311" s="6">
        <v>0</v>
      </c>
    </row>
    <row r="312" spans="1:15">
      <c r="A312" t="str">
        <f t="shared" si="12"/>
        <v>Buku Agenda FMC1/1/10000</v>
      </c>
      <c r="B312" t="s">
        <v>10131</v>
      </c>
      <c r="C312" t="s">
        <v>14694</v>
      </c>
      <c r="D312" t="s">
        <v>12215</v>
      </c>
      <c r="E312" t="s">
        <v>405</v>
      </c>
      <c r="F312">
        <v>1</v>
      </c>
      <c r="G312">
        <v>1</v>
      </c>
      <c r="H312">
        <v>1</v>
      </c>
      <c r="I312">
        <v>1</v>
      </c>
      <c r="J312">
        <v>20</v>
      </c>
      <c r="K312">
        <f t="shared" si="13"/>
        <v>20</v>
      </c>
      <c r="L312">
        <f t="shared" si="14"/>
        <v>0</v>
      </c>
      <c r="M312">
        <v>20</v>
      </c>
      <c r="N312" s="3" t="s">
        <v>2222</v>
      </c>
      <c r="O312" s="6">
        <v>0</v>
      </c>
    </row>
    <row r="313" spans="1:15">
      <c r="A313" t="str">
        <f t="shared" si="12"/>
        <v>Buku Agenda Java Karlos1/1/10000</v>
      </c>
      <c r="B313" t="s">
        <v>10132</v>
      </c>
      <c r="C313" t="s">
        <v>14695</v>
      </c>
      <c r="D313" t="s">
        <v>12216</v>
      </c>
      <c r="E313" t="s">
        <v>406</v>
      </c>
      <c r="F313">
        <v>1</v>
      </c>
      <c r="G313">
        <v>1</v>
      </c>
      <c r="H313">
        <v>1</v>
      </c>
      <c r="I313">
        <v>1</v>
      </c>
      <c r="J313">
        <v>5</v>
      </c>
      <c r="K313">
        <f t="shared" si="13"/>
        <v>5</v>
      </c>
      <c r="L313">
        <f t="shared" si="14"/>
        <v>0</v>
      </c>
      <c r="M313">
        <v>5</v>
      </c>
      <c r="N313" s="3" t="s">
        <v>2222</v>
      </c>
      <c r="O313" s="6">
        <v>0</v>
      </c>
    </row>
    <row r="314" spans="1:15">
      <c r="A314" t="str">
        <f t="shared" si="12"/>
        <v>Buku Saku MIA1/1/10000</v>
      </c>
      <c r="B314" t="s">
        <v>10133</v>
      </c>
      <c r="C314" t="s">
        <v>14696</v>
      </c>
      <c r="D314" t="s">
        <v>12217</v>
      </c>
      <c r="E314" t="s">
        <v>407</v>
      </c>
      <c r="F314">
        <v>1</v>
      </c>
      <c r="G314">
        <v>1</v>
      </c>
      <c r="H314">
        <v>1</v>
      </c>
      <c r="I314">
        <v>1</v>
      </c>
      <c r="J314">
        <v>1302</v>
      </c>
      <c r="K314">
        <f t="shared" si="13"/>
        <v>1302</v>
      </c>
      <c r="L314">
        <f t="shared" si="14"/>
        <v>0</v>
      </c>
      <c r="M314">
        <v>1302</v>
      </c>
      <c r="N314" s="3" t="s">
        <v>2222</v>
      </c>
      <c r="O314" s="6">
        <v>0</v>
      </c>
    </row>
    <row r="315" spans="1:15">
      <c r="A315" t="str">
        <f t="shared" si="12"/>
        <v>Buku Tulis Cymax1/1/10000</v>
      </c>
      <c r="B315" t="s">
        <v>10134</v>
      </c>
      <c r="C315" t="s">
        <v>14697</v>
      </c>
      <c r="D315" t="s">
        <v>12218</v>
      </c>
      <c r="E315" t="s">
        <v>408</v>
      </c>
      <c r="F315">
        <v>1</v>
      </c>
      <c r="G315">
        <v>1</v>
      </c>
      <c r="H315">
        <v>1</v>
      </c>
      <c r="I315">
        <v>1</v>
      </c>
      <c r="J315">
        <v>2235</v>
      </c>
      <c r="K315">
        <f t="shared" si="13"/>
        <v>2235</v>
      </c>
      <c r="L315">
        <f t="shared" si="14"/>
        <v>0</v>
      </c>
      <c r="M315">
        <v>2235</v>
      </c>
      <c r="N315" s="3" t="s">
        <v>2222</v>
      </c>
      <c r="O315" s="6">
        <v>0</v>
      </c>
    </row>
    <row r="316" spans="1:15">
      <c r="A316" t="str">
        <f t="shared" si="12"/>
        <v>Buniken 60/10 WP 20 X 100 gr467220</v>
      </c>
      <c r="B316" t="s">
        <v>10135</v>
      </c>
      <c r="C316" t="s">
        <v>14698</v>
      </c>
      <c r="D316" t="s">
        <v>12219</v>
      </c>
      <c r="E316" t="s">
        <v>410</v>
      </c>
      <c r="F316">
        <v>20</v>
      </c>
      <c r="G316">
        <v>1</v>
      </c>
      <c r="H316">
        <v>1</v>
      </c>
      <c r="I316">
        <v>20</v>
      </c>
      <c r="J316">
        <v>80</v>
      </c>
      <c r="K316">
        <f t="shared" si="13"/>
        <v>4</v>
      </c>
      <c r="L316">
        <f t="shared" si="14"/>
        <v>0</v>
      </c>
      <c r="M316">
        <v>80</v>
      </c>
      <c r="N316" s="3">
        <v>46722</v>
      </c>
      <c r="O316" s="6">
        <v>0</v>
      </c>
    </row>
    <row r="317" spans="1:15">
      <c r="A317" t="str">
        <f t="shared" si="12"/>
        <v>Buniken 60/10 WP 20 X 100 gr466920</v>
      </c>
      <c r="B317" t="s">
        <v>10136</v>
      </c>
      <c r="C317" t="s">
        <v>14699</v>
      </c>
      <c r="D317" t="s">
        <v>12220</v>
      </c>
      <c r="E317" t="s">
        <v>410</v>
      </c>
      <c r="F317">
        <v>20</v>
      </c>
      <c r="G317">
        <v>1</v>
      </c>
      <c r="H317">
        <v>1</v>
      </c>
      <c r="I317">
        <v>20</v>
      </c>
      <c r="J317">
        <v>193</v>
      </c>
      <c r="K317">
        <f t="shared" si="13"/>
        <v>9</v>
      </c>
      <c r="L317">
        <f t="shared" si="14"/>
        <v>13</v>
      </c>
      <c r="M317">
        <v>193</v>
      </c>
      <c r="N317" s="3">
        <v>46692</v>
      </c>
      <c r="O317" s="6">
        <v>0</v>
      </c>
    </row>
    <row r="318" spans="1:15">
      <c r="A318" t="str">
        <f t="shared" si="12"/>
        <v>Busi Star Metal1/1/10000</v>
      </c>
      <c r="B318" t="s">
        <v>10137</v>
      </c>
      <c r="C318" t="s">
        <v>14700</v>
      </c>
      <c r="D318" t="s">
        <v>12221</v>
      </c>
      <c r="E318" t="s">
        <v>411</v>
      </c>
      <c r="F318">
        <v>1</v>
      </c>
      <c r="G318">
        <v>1</v>
      </c>
      <c r="H318">
        <v>1</v>
      </c>
      <c r="I318">
        <v>1</v>
      </c>
      <c r="J318">
        <v>5</v>
      </c>
      <c r="K318">
        <f t="shared" si="13"/>
        <v>5</v>
      </c>
      <c r="L318">
        <f t="shared" si="14"/>
        <v>0</v>
      </c>
      <c r="M318">
        <v>5</v>
      </c>
      <c r="N318" s="3" t="s">
        <v>2222</v>
      </c>
      <c r="O318" s="6">
        <v>0</v>
      </c>
    </row>
    <row r="319" spans="1:15">
      <c r="A319" t="str">
        <f t="shared" si="12"/>
        <v>Cabrio 250 EC 24 X 250 ml458700</v>
      </c>
      <c r="B319" t="s">
        <v>10138</v>
      </c>
      <c r="C319" t="s">
        <v>14701</v>
      </c>
      <c r="D319" t="s">
        <v>12222</v>
      </c>
      <c r="E319" t="s">
        <v>427</v>
      </c>
      <c r="F319">
        <v>24</v>
      </c>
      <c r="G319">
        <v>1</v>
      </c>
      <c r="H319">
        <v>1</v>
      </c>
      <c r="I319">
        <v>24</v>
      </c>
      <c r="J319">
        <v>25</v>
      </c>
      <c r="K319">
        <f t="shared" si="13"/>
        <v>1</v>
      </c>
      <c r="L319">
        <f t="shared" si="14"/>
        <v>1</v>
      </c>
      <c r="M319">
        <v>25</v>
      </c>
      <c r="N319" s="3">
        <v>45870</v>
      </c>
      <c r="O319" s="6">
        <v>0</v>
      </c>
    </row>
    <row r="320" spans="1:15">
      <c r="A320" t="str">
        <f t="shared" si="12"/>
        <v>Cabrio 250 EC 24 X 250 ml460820</v>
      </c>
      <c r="B320" t="s">
        <v>10139</v>
      </c>
      <c r="C320" t="s">
        <v>14702</v>
      </c>
      <c r="D320" t="s">
        <v>12223</v>
      </c>
      <c r="E320" t="s">
        <v>427</v>
      </c>
      <c r="F320">
        <v>24</v>
      </c>
      <c r="G320">
        <v>1</v>
      </c>
      <c r="H320">
        <v>1</v>
      </c>
      <c r="I320">
        <v>24</v>
      </c>
      <c r="J320">
        <v>3936</v>
      </c>
      <c r="K320">
        <f t="shared" si="13"/>
        <v>164</v>
      </c>
      <c r="L320">
        <f t="shared" si="14"/>
        <v>0</v>
      </c>
      <c r="M320">
        <v>3936</v>
      </c>
      <c r="N320" s="3">
        <v>46082</v>
      </c>
      <c r="O320" s="6">
        <v>0</v>
      </c>
    </row>
    <row r="321" spans="1:15">
      <c r="A321" t="str">
        <f t="shared" si="12"/>
        <v>Cabrio 250 EC 48 X 100 ml460230</v>
      </c>
      <c r="B321" t="s">
        <v>10140</v>
      </c>
      <c r="C321" t="s">
        <v>14703</v>
      </c>
      <c r="D321" t="s">
        <v>12224</v>
      </c>
      <c r="E321" t="s">
        <v>434</v>
      </c>
      <c r="F321">
        <v>48</v>
      </c>
      <c r="G321">
        <v>1</v>
      </c>
      <c r="H321">
        <v>1</v>
      </c>
      <c r="I321">
        <v>48</v>
      </c>
      <c r="J321">
        <v>28</v>
      </c>
      <c r="K321">
        <f t="shared" si="13"/>
        <v>0</v>
      </c>
      <c r="L321">
        <f t="shared" si="14"/>
        <v>28</v>
      </c>
      <c r="M321">
        <v>28</v>
      </c>
      <c r="N321" s="3">
        <v>46023</v>
      </c>
      <c r="O321" s="6">
        <v>0</v>
      </c>
    </row>
    <row r="322" spans="1:15">
      <c r="A322" t="str">
        <f t="shared" si="12"/>
        <v>Cabrio 250 EC 48 X 100 ml460820</v>
      </c>
      <c r="B322" t="s">
        <v>10141</v>
      </c>
      <c r="C322" t="s">
        <v>14704</v>
      </c>
      <c r="D322" t="s">
        <v>12225</v>
      </c>
      <c r="E322" t="s">
        <v>434</v>
      </c>
      <c r="F322">
        <v>48</v>
      </c>
      <c r="G322">
        <v>1</v>
      </c>
      <c r="H322">
        <v>1</v>
      </c>
      <c r="I322">
        <v>48</v>
      </c>
      <c r="J322">
        <v>1344</v>
      </c>
      <c r="K322">
        <f t="shared" si="13"/>
        <v>28</v>
      </c>
      <c r="L322">
        <f t="shared" si="14"/>
        <v>0</v>
      </c>
      <c r="M322">
        <v>1344</v>
      </c>
      <c r="N322" s="3">
        <v>46082</v>
      </c>
      <c r="O322" s="6">
        <v>0</v>
      </c>
    </row>
    <row r="323" spans="1:15">
      <c r="A323" t="str">
        <f t="shared" ref="A323:A386" si="15">E323&amp;N323&amp;O323</f>
        <v>Calaris 550 SC 10 X 1 ltr458700</v>
      </c>
      <c r="B323" t="s">
        <v>10142</v>
      </c>
      <c r="C323" t="s">
        <v>14705</v>
      </c>
      <c r="D323" t="s">
        <v>12226</v>
      </c>
      <c r="E323" t="s">
        <v>437</v>
      </c>
      <c r="F323">
        <v>10</v>
      </c>
      <c r="G323">
        <v>1</v>
      </c>
      <c r="H323">
        <v>1</v>
      </c>
      <c r="I323">
        <v>10</v>
      </c>
      <c r="J323">
        <v>5</v>
      </c>
      <c r="K323">
        <f t="shared" ref="K323:K386" si="16">ROUNDDOWN(J323/I323,0)</f>
        <v>0</v>
      </c>
      <c r="L323">
        <f t="shared" ref="L323:L386" si="17">J323-K323*I323</f>
        <v>5</v>
      </c>
      <c r="M323">
        <v>5</v>
      </c>
      <c r="N323" s="3">
        <v>45870</v>
      </c>
      <c r="O323" s="6">
        <v>0</v>
      </c>
    </row>
    <row r="324" spans="1:15">
      <c r="A324" t="str">
        <f t="shared" si="15"/>
        <v>Calaris 550 SC 10 X 1 ltr459010</v>
      </c>
      <c r="B324" t="s">
        <v>10143</v>
      </c>
      <c r="C324" t="s">
        <v>14706</v>
      </c>
      <c r="D324" t="s">
        <v>12227</v>
      </c>
      <c r="E324" t="s">
        <v>437</v>
      </c>
      <c r="F324">
        <v>10</v>
      </c>
      <c r="G324">
        <v>1</v>
      </c>
      <c r="H324">
        <v>1</v>
      </c>
      <c r="I324">
        <v>10</v>
      </c>
      <c r="J324">
        <v>150</v>
      </c>
      <c r="K324">
        <f t="shared" si="16"/>
        <v>15</v>
      </c>
      <c r="L324">
        <f t="shared" si="17"/>
        <v>0</v>
      </c>
      <c r="M324">
        <v>150</v>
      </c>
      <c r="N324" s="3">
        <v>45901</v>
      </c>
      <c r="O324" s="6">
        <v>0</v>
      </c>
    </row>
    <row r="325" spans="1:15">
      <c r="A325" t="str">
        <f t="shared" si="15"/>
        <v>Calaris 550 SC 20 X 250 ml459010</v>
      </c>
      <c r="B325" t="s">
        <v>10144</v>
      </c>
      <c r="C325" t="s">
        <v>14707</v>
      </c>
      <c r="D325" t="s">
        <v>12228</v>
      </c>
      <c r="E325" t="s">
        <v>440</v>
      </c>
      <c r="F325">
        <v>20</v>
      </c>
      <c r="G325">
        <v>1</v>
      </c>
      <c r="H325">
        <v>1</v>
      </c>
      <c r="I325">
        <v>20</v>
      </c>
      <c r="J325">
        <v>23</v>
      </c>
      <c r="K325">
        <f t="shared" si="16"/>
        <v>1</v>
      </c>
      <c r="L325">
        <f t="shared" si="17"/>
        <v>3</v>
      </c>
      <c r="M325">
        <v>23</v>
      </c>
      <c r="N325" s="3">
        <v>45901</v>
      </c>
      <c r="O325" s="6">
        <v>0</v>
      </c>
    </row>
    <row r="326" spans="1:15">
      <c r="A326" t="str">
        <f t="shared" si="15"/>
        <v>Calaris 550 SC 20 X 250 ml460540</v>
      </c>
      <c r="B326" t="s">
        <v>10145</v>
      </c>
      <c r="C326" t="s">
        <v>14708</v>
      </c>
      <c r="D326" t="s">
        <v>12229</v>
      </c>
      <c r="E326" t="s">
        <v>440</v>
      </c>
      <c r="F326">
        <v>20</v>
      </c>
      <c r="G326">
        <v>1</v>
      </c>
      <c r="H326">
        <v>1</v>
      </c>
      <c r="I326">
        <v>20</v>
      </c>
      <c r="J326">
        <v>21840</v>
      </c>
      <c r="K326">
        <f t="shared" si="16"/>
        <v>1092</v>
      </c>
      <c r="L326">
        <f t="shared" si="17"/>
        <v>0</v>
      </c>
      <c r="M326">
        <v>21840</v>
      </c>
      <c r="N326" s="3">
        <v>46054</v>
      </c>
      <c r="O326" s="6">
        <v>0</v>
      </c>
    </row>
    <row r="327" spans="1:15">
      <c r="A327" t="str">
        <f t="shared" si="15"/>
        <v>Calaris 550 SC 20 X 500 ml459010</v>
      </c>
      <c r="B327" t="s">
        <v>10146</v>
      </c>
      <c r="C327" t="s">
        <v>14709</v>
      </c>
      <c r="D327" t="s">
        <v>12230</v>
      </c>
      <c r="E327" t="s">
        <v>448</v>
      </c>
      <c r="F327">
        <v>20</v>
      </c>
      <c r="G327">
        <v>1</v>
      </c>
      <c r="H327">
        <v>1</v>
      </c>
      <c r="I327">
        <v>20</v>
      </c>
      <c r="J327">
        <v>24534</v>
      </c>
      <c r="K327">
        <f t="shared" si="16"/>
        <v>1226</v>
      </c>
      <c r="L327">
        <f t="shared" si="17"/>
        <v>14</v>
      </c>
      <c r="M327">
        <v>24534</v>
      </c>
      <c r="N327" s="3">
        <v>45901</v>
      </c>
      <c r="O327" s="6">
        <v>0</v>
      </c>
    </row>
    <row r="328" spans="1:15">
      <c r="A328" t="str">
        <f t="shared" si="15"/>
        <v>Calaris 550 SC 20 X 500 ml460540</v>
      </c>
      <c r="B328" t="s">
        <v>10147</v>
      </c>
      <c r="C328" t="s">
        <v>14710</v>
      </c>
      <c r="D328" t="s">
        <v>12231</v>
      </c>
      <c r="E328" t="s">
        <v>448</v>
      </c>
      <c r="F328">
        <v>20</v>
      </c>
      <c r="G328">
        <v>1</v>
      </c>
      <c r="H328">
        <v>1</v>
      </c>
      <c r="I328">
        <v>20</v>
      </c>
      <c r="J328">
        <v>720</v>
      </c>
      <c r="K328">
        <f t="shared" si="16"/>
        <v>36</v>
      </c>
      <c r="L328">
        <f t="shared" si="17"/>
        <v>0</v>
      </c>
      <c r="M328">
        <v>720</v>
      </c>
      <c r="N328" s="3">
        <v>46054</v>
      </c>
      <c r="O328" s="6">
        <v>0</v>
      </c>
    </row>
    <row r="329" spans="1:15">
      <c r="A329" t="str">
        <f t="shared" si="15"/>
        <v>Calaris 550 SC 20 X 500 ml460820</v>
      </c>
      <c r="B329" t="s">
        <v>10148</v>
      </c>
      <c r="C329" t="s">
        <v>14711</v>
      </c>
      <c r="D329" t="s">
        <v>12232</v>
      </c>
      <c r="E329" t="s">
        <v>448</v>
      </c>
      <c r="F329">
        <v>20</v>
      </c>
      <c r="G329">
        <v>1</v>
      </c>
      <c r="H329">
        <v>1</v>
      </c>
      <c r="I329">
        <v>20</v>
      </c>
      <c r="J329">
        <v>9600</v>
      </c>
      <c r="K329">
        <f t="shared" si="16"/>
        <v>480</v>
      </c>
      <c r="L329">
        <f t="shared" si="17"/>
        <v>0</v>
      </c>
      <c r="M329">
        <v>9600</v>
      </c>
      <c r="N329" s="3">
        <v>46082</v>
      </c>
      <c r="O329" s="6">
        <v>0</v>
      </c>
    </row>
    <row r="330" spans="1:15">
      <c r="A330" t="str">
        <f t="shared" si="15"/>
        <v>Calcium 99 20 X 1 kg471780</v>
      </c>
      <c r="B330" t="s">
        <v>10149</v>
      </c>
      <c r="C330" t="s">
        <v>14712</v>
      </c>
      <c r="D330" t="s">
        <v>12233</v>
      </c>
      <c r="E330" t="s">
        <v>464</v>
      </c>
      <c r="F330">
        <v>20</v>
      </c>
      <c r="G330">
        <v>1</v>
      </c>
      <c r="H330">
        <v>1</v>
      </c>
      <c r="I330">
        <v>20</v>
      </c>
      <c r="J330">
        <v>28</v>
      </c>
      <c r="K330">
        <f t="shared" si="16"/>
        <v>1</v>
      </c>
      <c r="L330">
        <f t="shared" si="17"/>
        <v>8</v>
      </c>
      <c r="M330">
        <v>28</v>
      </c>
      <c r="N330" s="3">
        <v>47178</v>
      </c>
      <c r="O330" s="6">
        <v>0</v>
      </c>
    </row>
    <row r="331" spans="1:15">
      <c r="A331" t="str">
        <f t="shared" si="15"/>
        <v>Calcium 99 20 X 1 kg472700</v>
      </c>
      <c r="B331" t="s">
        <v>10150</v>
      </c>
      <c r="C331" t="s">
        <v>14713</v>
      </c>
      <c r="D331" t="s">
        <v>12234</v>
      </c>
      <c r="E331" t="s">
        <v>464</v>
      </c>
      <c r="F331">
        <v>20</v>
      </c>
      <c r="G331">
        <v>1</v>
      </c>
      <c r="H331">
        <v>1</v>
      </c>
      <c r="I331">
        <v>20</v>
      </c>
      <c r="J331">
        <v>2500</v>
      </c>
      <c r="K331">
        <f t="shared" si="16"/>
        <v>125</v>
      </c>
      <c r="L331">
        <f t="shared" si="17"/>
        <v>0</v>
      </c>
      <c r="M331">
        <v>2500</v>
      </c>
      <c r="N331" s="3">
        <v>47270</v>
      </c>
      <c r="O331" s="6">
        <v>0</v>
      </c>
    </row>
    <row r="332" spans="1:15">
      <c r="A332" t="str">
        <f t="shared" si="15"/>
        <v>Calcium 99 20 X 1 kg472390</v>
      </c>
      <c r="B332" t="s">
        <v>10151</v>
      </c>
      <c r="C332" t="s">
        <v>14714</v>
      </c>
      <c r="D332" t="s">
        <v>12235</v>
      </c>
      <c r="E332" t="s">
        <v>464</v>
      </c>
      <c r="F332">
        <v>20</v>
      </c>
      <c r="G332">
        <v>1</v>
      </c>
      <c r="H332">
        <v>1</v>
      </c>
      <c r="I332">
        <v>20</v>
      </c>
      <c r="J332">
        <v>3200</v>
      </c>
      <c r="K332">
        <f t="shared" si="16"/>
        <v>160</v>
      </c>
      <c r="L332">
        <f t="shared" si="17"/>
        <v>0</v>
      </c>
      <c r="M332">
        <v>3200</v>
      </c>
      <c r="N332" s="3">
        <v>47239</v>
      </c>
      <c r="O332" s="6">
        <v>0</v>
      </c>
    </row>
    <row r="333" spans="1:15">
      <c r="A333" t="str">
        <f t="shared" si="15"/>
        <v>Calcium D-Diana 20 X 1 kg468440</v>
      </c>
      <c r="B333" t="s">
        <v>10152</v>
      </c>
      <c r="C333" t="s">
        <v>14715</v>
      </c>
      <c r="D333" t="s">
        <v>12236</v>
      </c>
      <c r="E333" t="s">
        <v>465</v>
      </c>
      <c r="F333">
        <v>20</v>
      </c>
      <c r="G333">
        <v>1</v>
      </c>
      <c r="H333">
        <v>1</v>
      </c>
      <c r="I333">
        <v>20</v>
      </c>
      <c r="J333">
        <v>6</v>
      </c>
      <c r="K333">
        <f t="shared" si="16"/>
        <v>0</v>
      </c>
      <c r="L333">
        <f t="shared" si="17"/>
        <v>6</v>
      </c>
      <c r="M333">
        <v>6</v>
      </c>
      <c r="N333" s="3">
        <v>46844</v>
      </c>
      <c r="O333" s="6">
        <v>0</v>
      </c>
    </row>
    <row r="334" spans="1:15">
      <c r="A334" t="str">
        <f t="shared" si="15"/>
        <v>Calcium D-Diana 20 X 1 kg472390</v>
      </c>
      <c r="B334" t="s">
        <v>10153</v>
      </c>
      <c r="C334" t="s">
        <v>14716</v>
      </c>
      <c r="D334" t="s">
        <v>12237</v>
      </c>
      <c r="E334" t="s">
        <v>465</v>
      </c>
      <c r="F334">
        <v>20</v>
      </c>
      <c r="G334">
        <v>1</v>
      </c>
      <c r="H334">
        <v>1</v>
      </c>
      <c r="I334">
        <v>20</v>
      </c>
      <c r="J334">
        <v>1840</v>
      </c>
      <c r="K334">
        <f t="shared" si="16"/>
        <v>92</v>
      </c>
      <c r="L334">
        <f t="shared" si="17"/>
        <v>0</v>
      </c>
      <c r="M334">
        <v>1840</v>
      </c>
      <c r="N334" s="3">
        <v>47239</v>
      </c>
      <c r="O334" s="6">
        <v>0</v>
      </c>
    </row>
    <row r="335" spans="1:15">
      <c r="A335" t="str">
        <f t="shared" si="15"/>
        <v>Calgary 480 SL 20 ltr464190</v>
      </c>
      <c r="B335" t="s">
        <v>10154</v>
      </c>
      <c r="C335" t="s">
        <v>14717</v>
      </c>
      <c r="D335" t="s">
        <v>12238</v>
      </c>
      <c r="E335" t="s">
        <v>466</v>
      </c>
      <c r="F335">
        <v>1</v>
      </c>
      <c r="G335">
        <v>1</v>
      </c>
      <c r="H335">
        <v>1</v>
      </c>
      <c r="I335">
        <v>1</v>
      </c>
      <c r="J335">
        <v>47</v>
      </c>
      <c r="K335">
        <f t="shared" si="16"/>
        <v>47</v>
      </c>
      <c r="L335">
        <f t="shared" si="17"/>
        <v>0</v>
      </c>
      <c r="M335">
        <v>47</v>
      </c>
      <c r="N335" s="3">
        <v>46419</v>
      </c>
      <c r="O335" s="6">
        <v>0</v>
      </c>
    </row>
    <row r="336" spans="1:15">
      <c r="A336" t="str">
        <f t="shared" si="15"/>
        <v>Calgary 480 SL 20 X 1 ltr459620</v>
      </c>
      <c r="B336" t="s">
        <v>10155</v>
      </c>
      <c r="C336" t="s">
        <v>14718</v>
      </c>
      <c r="D336" t="s">
        <v>12239</v>
      </c>
      <c r="E336" t="s">
        <v>468</v>
      </c>
      <c r="F336">
        <v>20</v>
      </c>
      <c r="G336">
        <v>1</v>
      </c>
      <c r="H336">
        <v>1</v>
      </c>
      <c r="I336">
        <v>20</v>
      </c>
      <c r="J336">
        <v>472</v>
      </c>
      <c r="K336">
        <f t="shared" si="16"/>
        <v>23</v>
      </c>
      <c r="L336">
        <f t="shared" si="17"/>
        <v>12</v>
      </c>
      <c r="M336">
        <v>472</v>
      </c>
      <c r="N336" s="3">
        <v>45962</v>
      </c>
      <c r="O336" s="6">
        <v>0</v>
      </c>
    </row>
    <row r="337" spans="1:15">
      <c r="A337" t="str">
        <f t="shared" si="15"/>
        <v>Calgary 480 SL 20 X 1 ltr464190</v>
      </c>
      <c r="B337" t="s">
        <v>10156</v>
      </c>
      <c r="C337" t="s">
        <v>14719</v>
      </c>
      <c r="D337" t="s">
        <v>12240</v>
      </c>
      <c r="E337" t="s">
        <v>468</v>
      </c>
      <c r="F337">
        <v>20</v>
      </c>
      <c r="G337">
        <v>1</v>
      </c>
      <c r="H337">
        <v>1</v>
      </c>
      <c r="I337">
        <v>20</v>
      </c>
      <c r="J337">
        <v>1820</v>
      </c>
      <c r="K337">
        <f t="shared" si="16"/>
        <v>91</v>
      </c>
      <c r="L337">
        <f t="shared" si="17"/>
        <v>0</v>
      </c>
      <c r="M337">
        <v>1820</v>
      </c>
      <c r="N337" s="3">
        <v>46419</v>
      </c>
      <c r="O337" s="6">
        <v>0</v>
      </c>
    </row>
    <row r="338" spans="1:15">
      <c r="A338" t="str">
        <f t="shared" si="15"/>
        <v>Calgary 480 SL 4 X 5 ltr457480</v>
      </c>
      <c r="B338" t="s">
        <v>10157</v>
      </c>
      <c r="C338" t="s">
        <v>14720</v>
      </c>
      <c r="D338" t="s">
        <v>12241</v>
      </c>
      <c r="E338" t="s">
        <v>469</v>
      </c>
      <c r="F338">
        <v>4</v>
      </c>
      <c r="G338">
        <v>1</v>
      </c>
      <c r="H338">
        <v>1</v>
      </c>
      <c r="I338">
        <v>4</v>
      </c>
      <c r="J338">
        <v>1</v>
      </c>
      <c r="K338">
        <f t="shared" si="16"/>
        <v>0</v>
      </c>
      <c r="L338">
        <f t="shared" si="17"/>
        <v>1</v>
      </c>
      <c r="M338">
        <v>1</v>
      </c>
      <c r="N338" s="3">
        <v>45748</v>
      </c>
      <c r="O338" s="6">
        <v>0</v>
      </c>
    </row>
    <row r="339" spans="1:15">
      <c r="A339" t="str">
        <f t="shared" si="15"/>
        <v>Caliwa 80 WP 20 X 0.9 kg470580</v>
      </c>
      <c r="B339" t="s">
        <v>10158</v>
      </c>
      <c r="C339" t="s">
        <v>14721</v>
      </c>
      <c r="D339" t="s">
        <v>12242</v>
      </c>
      <c r="E339" t="s">
        <v>470</v>
      </c>
      <c r="F339">
        <v>20</v>
      </c>
      <c r="G339">
        <v>1</v>
      </c>
      <c r="H339">
        <v>1</v>
      </c>
      <c r="I339">
        <v>20</v>
      </c>
      <c r="J339">
        <v>500</v>
      </c>
      <c r="K339">
        <f t="shared" si="16"/>
        <v>25</v>
      </c>
      <c r="L339">
        <f t="shared" si="17"/>
        <v>0</v>
      </c>
      <c r="M339">
        <v>500</v>
      </c>
      <c r="N339" s="3">
        <v>47058</v>
      </c>
      <c r="O339" s="6">
        <v>0</v>
      </c>
    </row>
    <row r="340" spans="1:15">
      <c r="A340" t="str">
        <f t="shared" si="15"/>
        <v>Caliwa 80 WP 20 X 0.9 kg469660</v>
      </c>
      <c r="B340" t="s">
        <v>10159</v>
      </c>
      <c r="C340" t="s">
        <v>14722</v>
      </c>
      <c r="D340" t="s">
        <v>12243</v>
      </c>
      <c r="E340" t="s">
        <v>470</v>
      </c>
      <c r="F340">
        <v>20</v>
      </c>
      <c r="G340">
        <v>1</v>
      </c>
      <c r="H340">
        <v>1</v>
      </c>
      <c r="I340">
        <v>20</v>
      </c>
      <c r="J340">
        <v>1374</v>
      </c>
      <c r="K340">
        <f t="shared" si="16"/>
        <v>68</v>
      </c>
      <c r="L340">
        <f t="shared" si="17"/>
        <v>14</v>
      </c>
      <c r="M340">
        <v>1374</v>
      </c>
      <c r="N340" s="3">
        <v>46966</v>
      </c>
      <c r="O340" s="6">
        <v>0</v>
      </c>
    </row>
    <row r="341" spans="1:15">
      <c r="A341" t="str">
        <f t="shared" si="15"/>
        <v>Camix Gold 200 SL 20 ltr471780</v>
      </c>
      <c r="B341" t="s">
        <v>10160</v>
      </c>
      <c r="C341" t="s">
        <v>14723</v>
      </c>
      <c r="D341" t="s">
        <v>12244</v>
      </c>
      <c r="E341" t="s">
        <v>471</v>
      </c>
      <c r="F341">
        <v>1</v>
      </c>
      <c r="G341">
        <v>1</v>
      </c>
      <c r="H341">
        <v>1</v>
      </c>
      <c r="I341">
        <v>1</v>
      </c>
      <c r="J341">
        <v>30</v>
      </c>
      <c r="K341">
        <f t="shared" si="16"/>
        <v>30</v>
      </c>
      <c r="L341">
        <f t="shared" si="17"/>
        <v>0</v>
      </c>
      <c r="M341">
        <v>30</v>
      </c>
      <c r="N341" s="3">
        <v>47178</v>
      </c>
      <c r="O341" s="6">
        <v>0</v>
      </c>
    </row>
    <row r="342" spans="1:15">
      <c r="A342" t="str">
        <f t="shared" si="15"/>
        <v>Camix Gold 200 SL 20 X 1 ltr471780</v>
      </c>
      <c r="B342" t="s">
        <v>10161</v>
      </c>
      <c r="C342" t="s">
        <v>14724</v>
      </c>
      <c r="D342" t="s">
        <v>12245</v>
      </c>
      <c r="E342" t="s">
        <v>473</v>
      </c>
      <c r="F342">
        <v>20</v>
      </c>
      <c r="G342">
        <v>1</v>
      </c>
      <c r="H342">
        <v>1</v>
      </c>
      <c r="I342">
        <v>20</v>
      </c>
      <c r="J342">
        <v>1860</v>
      </c>
      <c r="K342">
        <f t="shared" si="16"/>
        <v>93</v>
      </c>
      <c r="L342">
        <f t="shared" si="17"/>
        <v>0</v>
      </c>
      <c r="M342">
        <v>1860</v>
      </c>
      <c r="N342" s="3">
        <v>47178</v>
      </c>
      <c r="O342" s="6">
        <v>0</v>
      </c>
    </row>
    <row r="343" spans="1:15">
      <c r="A343" t="str">
        <f t="shared" si="15"/>
        <v>Camix Gold 200 SL 4 X 5 ltr471190</v>
      </c>
      <c r="B343" t="s">
        <v>10162</v>
      </c>
      <c r="C343" t="s">
        <v>14725</v>
      </c>
      <c r="D343" t="s">
        <v>12246</v>
      </c>
      <c r="E343" t="s">
        <v>474</v>
      </c>
      <c r="F343">
        <v>4</v>
      </c>
      <c r="G343">
        <v>1</v>
      </c>
      <c r="H343">
        <v>1</v>
      </c>
      <c r="I343">
        <v>4</v>
      </c>
      <c r="J343">
        <v>120</v>
      </c>
      <c r="K343">
        <f t="shared" si="16"/>
        <v>30</v>
      </c>
      <c r="L343">
        <f t="shared" si="17"/>
        <v>0</v>
      </c>
      <c r="M343">
        <v>120</v>
      </c>
      <c r="N343" s="3">
        <v>47119</v>
      </c>
      <c r="O343" s="6">
        <v>0</v>
      </c>
    </row>
    <row r="344" spans="1:15">
      <c r="A344" t="str">
        <f t="shared" si="15"/>
        <v>Castora 40 SP 10 X 10 X 100 gr465690</v>
      </c>
      <c r="B344" t="s">
        <v>10163</v>
      </c>
      <c r="C344" t="s">
        <v>14726</v>
      </c>
      <c r="D344" t="s">
        <v>12247</v>
      </c>
      <c r="E344" t="s">
        <v>476</v>
      </c>
      <c r="F344">
        <v>10</v>
      </c>
      <c r="G344">
        <v>10</v>
      </c>
      <c r="H344">
        <v>1</v>
      </c>
      <c r="I344">
        <v>100</v>
      </c>
      <c r="J344">
        <v>98990</v>
      </c>
      <c r="K344">
        <f t="shared" si="16"/>
        <v>989</v>
      </c>
      <c r="L344">
        <f t="shared" si="17"/>
        <v>90</v>
      </c>
      <c r="M344">
        <v>98990</v>
      </c>
      <c r="N344" s="3">
        <v>46569</v>
      </c>
      <c r="O344" s="6">
        <v>0</v>
      </c>
    </row>
    <row r="345" spans="1:15">
      <c r="A345" t="str">
        <f t="shared" si="15"/>
        <v>Castora 40 SP 24 X 400 gr466000</v>
      </c>
      <c r="B345" t="s">
        <v>10164</v>
      </c>
      <c r="C345" t="s">
        <v>14727</v>
      </c>
      <c r="D345" t="s">
        <v>12248</v>
      </c>
      <c r="E345" t="s">
        <v>477</v>
      </c>
      <c r="F345">
        <v>24</v>
      </c>
      <c r="G345">
        <v>1</v>
      </c>
      <c r="H345">
        <v>1</v>
      </c>
      <c r="I345">
        <v>24</v>
      </c>
      <c r="J345">
        <v>3133</v>
      </c>
      <c r="K345">
        <f t="shared" si="16"/>
        <v>130</v>
      </c>
      <c r="L345">
        <f t="shared" si="17"/>
        <v>13</v>
      </c>
      <c r="M345">
        <v>3133</v>
      </c>
      <c r="N345" s="3">
        <v>46600</v>
      </c>
      <c r="O345" s="6">
        <v>0</v>
      </c>
    </row>
    <row r="346" spans="1:15">
      <c r="A346" t="str">
        <f t="shared" si="15"/>
        <v>Castora 40 SP 8 X 50 X 15 gr466000</v>
      </c>
      <c r="B346" t="s">
        <v>10165</v>
      </c>
      <c r="C346" t="s">
        <v>14728</v>
      </c>
      <c r="D346" t="s">
        <v>12249</v>
      </c>
      <c r="E346" t="s">
        <v>478</v>
      </c>
      <c r="F346">
        <v>8</v>
      </c>
      <c r="G346">
        <v>50</v>
      </c>
      <c r="H346">
        <v>1</v>
      </c>
      <c r="I346">
        <v>400</v>
      </c>
      <c r="J346">
        <v>48986</v>
      </c>
      <c r="K346">
        <f t="shared" si="16"/>
        <v>122</v>
      </c>
      <c r="L346">
        <f t="shared" si="17"/>
        <v>186</v>
      </c>
      <c r="M346">
        <v>48986</v>
      </c>
      <c r="N346" s="3">
        <v>46600</v>
      </c>
      <c r="O346" s="6">
        <v>0</v>
      </c>
    </row>
    <row r="347" spans="1:15">
      <c r="A347" t="str">
        <f t="shared" si="15"/>
        <v>Ceba 125 EC 20 X 200 ml467220</v>
      </c>
      <c r="B347" t="s">
        <v>10166</v>
      </c>
      <c r="C347" t="s">
        <v>14729</v>
      </c>
      <c r="D347" t="s">
        <v>12250</v>
      </c>
      <c r="E347" t="s">
        <v>481</v>
      </c>
      <c r="F347">
        <v>20</v>
      </c>
      <c r="G347">
        <v>1</v>
      </c>
      <c r="H347">
        <v>1</v>
      </c>
      <c r="I347">
        <v>20</v>
      </c>
      <c r="J347">
        <v>691</v>
      </c>
      <c r="K347">
        <f t="shared" si="16"/>
        <v>34</v>
      </c>
      <c r="L347">
        <f t="shared" si="17"/>
        <v>11</v>
      </c>
      <c r="M347">
        <v>691</v>
      </c>
      <c r="N347" s="3">
        <v>46722</v>
      </c>
      <c r="O347" s="6">
        <v>0</v>
      </c>
    </row>
    <row r="348" spans="1:15">
      <c r="A348" t="str">
        <f t="shared" si="15"/>
        <v>Ceba 125 EC 20 X 400 ml463570</v>
      </c>
      <c r="B348" t="s">
        <v>10167</v>
      </c>
      <c r="C348" t="s">
        <v>14730</v>
      </c>
      <c r="D348" t="s">
        <v>12251</v>
      </c>
      <c r="E348" t="s">
        <v>482</v>
      </c>
      <c r="F348">
        <v>20</v>
      </c>
      <c r="G348">
        <v>1</v>
      </c>
      <c r="H348">
        <v>1</v>
      </c>
      <c r="I348">
        <v>20</v>
      </c>
      <c r="J348">
        <v>120</v>
      </c>
      <c r="K348">
        <f t="shared" si="16"/>
        <v>6</v>
      </c>
      <c r="L348">
        <f t="shared" si="17"/>
        <v>0</v>
      </c>
      <c r="M348">
        <v>120</v>
      </c>
      <c r="N348" s="3">
        <v>46357</v>
      </c>
      <c r="O348" s="6">
        <v>0</v>
      </c>
    </row>
    <row r="349" spans="1:15">
      <c r="A349" t="str">
        <f t="shared" si="15"/>
        <v>Ceba 125 EC 20 X 400 ml462960</v>
      </c>
      <c r="B349" t="s">
        <v>10168</v>
      </c>
      <c r="C349" t="s">
        <v>14731</v>
      </c>
      <c r="D349" t="s">
        <v>12252</v>
      </c>
      <c r="E349" t="s">
        <v>482</v>
      </c>
      <c r="F349">
        <v>20</v>
      </c>
      <c r="G349">
        <v>1</v>
      </c>
      <c r="H349">
        <v>1</v>
      </c>
      <c r="I349">
        <v>20</v>
      </c>
      <c r="J349">
        <v>435</v>
      </c>
      <c r="K349">
        <f t="shared" si="16"/>
        <v>21</v>
      </c>
      <c r="L349">
        <f t="shared" si="17"/>
        <v>15</v>
      </c>
      <c r="M349">
        <v>435</v>
      </c>
      <c r="N349" s="3">
        <v>46296</v>
      </c>
      <c r="O349" s="6">
        <v>0</v>
      </c>
    </row>
    <row r="350" spans="1:15">
      <c r="A350" t="str">
        <f t="shared" si="15"/>
        <v>Ceba 125 EC 20 X 400 ml464190</v>
      </c>
      <c r="B350" t="s">
        <v>10169</v>
      </c>
      <c r="C350" t="s">
        <v>14732</v>
      </c>
      <c r="D350" t="s">
        <v>12253</v>
      </c>
      <c r="E350" t="s">
        <v>482</v>
      </c>
      <c r="F350">
        <v>20</v>
      </c>
      <c r="G350">
        <v>1</v>
      </c>
      <c r="H350">
        <v>1</v>
      </c>
      <c r="I350">
        <v>20</v>
      </c>
      <c r="J350">
        <v>1100</v>
      </c>
      <c r="K350">
        <f t="shared" si="16"/>
        <v>55</v>
      </c>
      <c r="L350">
        <f t="shared" si="17"/>
        <v>0</v>
      </c>
      <c r="M350">
        <v>1100</v>
      </c>
      <c r="N350" s="3">
        <v>46419</v>
      </c>
      <c r="O350" s="6">
        <v>0</v>
      </c>
    </row>
    <row r="351" spans="1:15">
      <c r="A351" t="str">
        <f t="shared" si="15"/>
        <v>Ceba 125 EC 50 X 100 ml464470</v>
      </c>
      <c r="B351" t="s">
        <v>10170</v>
      </c>
      <c r="C351" t="s">
        <v>14733</v>
      </c>
      <c r="D351" t="s">
        <v>12254</v>
      </c>
      <c r="E351" t="s">
        <v>483</v>
      </c>
      <c r="F351">
        <v>50</v>
      </c>
      <c r="G351">
        <v>1</v>
      </c>
      <c r="H351">
        <v>1</v>
      </c>
      <c r="I351">
        <v>50</v>
      </c>
      <c r="J351">
        <v>13</v>
      </c>
      <c r="K351">
        <f t="shared" si="16"/>
        <v>0</v>
      </c>
      <c r="L351">
        <f t="shared" si="17"/>
        <v>13</v>
      </c>
      <c r="M351">
        <v>13</v>
      </c>
      <c r="N351" s="3">
        <v>46447</v>
      </c>
      <c r="O351" s="6">
        <v>0</v>
      </c>
    </row>
    <row r="352" spans="1:15">
      <c r="A352" t="str">
        <f t="shared" si="15"/>
        <v>Ceba 125 EC 50 X 100 ml464190</v>
      </c>
      <c r="B352" t="s">
        <v>10171</v>
      </c>
      <c r="C352" t="s">
        <v>14734</v>
      </c>
      <c r="D352" t="s">
        <v>12255</v>
      </c>
      <c r="E352" t="s">
        <v>483</v>
      </c>
      <c r="F352">
        <v>50</v>
      </c>
      <c r="G352">
        <v>1</v>
      </c>
      <c r="H352">
        <v>1</v>
      </c>
      <c r="I352">
        <v>50</v>
      </c>
      <c r="J352">
        <v>1134</v>
      </c>
      <c r="K352">
        <f t="shared" si="16"/>
        <v>22</v>
      </c>
      <c r="L352">
        <f t="shared" si="17"/>
        <v>34</v>
      </c>
      <c r="M352">
        <v>1134</v>
      </c>
      <c r="N352" s="3">
        <v>46419</v>
      </c>
      <c r="O352" s="6">
        <v>0</v>
      </c>
    </row>
    <row r="353" spans="1:15">
      <c r="A353" t="str">
        <f t="shared" si="15"/>
        <v>Celana Furadan1/1/10000</v>
      </c>
      <c r="B353" t="s">
        <v>10172</v>
      </c>
      <c r="C353" t="s">
        <v>14735</v>
      </c>
      <c r="D353" t="s">
        <v>12256</v>
      </c>
      <c r="E353" t="s">
        <v>484</v>
      </c>
      <c r="F353">
        <v>1</v>
      </c>
      <c r="G353">
        <v>1</v>
      </c>
      <c r="H353">
        <v>1</v>
      </c>
      <c r="I353">
        <v>1</v>
      </c>
      <c r="J353">
        <v>28</v>
      </c>
      <c r="K353">
        <f t="shared" si="16"/>
        <v>28</v>
      </c>
      <c r="L353">
        <f t="shared" si="17"/>
        <v>0</v>
      </c>
      <c r="M353">
        <v>28</v>
      </c>
      <c r="N353" s="3" t="s">
        <v>2222</v>
      </c>
      <c r="O353" s="6">
        <v>0</v>
      </c>
    </row>
    <row r="354" spans="1:15">
      <c r="A354" t="str">
        <f t="shared" si="15"/>
        <v>Celana Prevathon1/1/10000</v>
      </c>
      <c r="B354" t="s">
        <v>10173</v>
      </c>
      <c r="C354" t="s">
        <v>14736</v>
      </c>
      <c r="D354" t="s">
        <v>12257</v>
      </c>
      <c r="E354" t="s">
        <v>485</v>
      </c>
      <c r="F354">
        <v>1</v>
      </c>
      <c r="G354">
        <v>1</v>
      </c>
      <c r="H354">
        <v>1</v>
      </c>
      <c r="I354">
        <v>1</v>
      </c>
      <c r="J354">
        <v>485</v>
      </c>
      <c r="K354">
        <f t="shared" si="16"/>
        <v>485</v>
      </c>
      <c r="L354">
        <f t="shared" si="17"/>
        <v>0</v>
      </c>
      <c r="M354">
        <v>485</v>
      </c>
      <c r="N354" s="3" t="s">
        <v>2222</v>
      </c>
      <c r="O354" s="6">
        <v>0</v>
      </c>
    </row>
    <row r="355" spans="1:15">
      <c r="A355" t="str">
        <f t="shared" si="15"/>
        <v>Celquat 276 SL 10 X 1 ltr461740</v>
      </c>
      <c r="B355" t="s">
        <v>10174</v>
      </c>
      <c r="C355" t="s">
        <v>14737</v>
      </c>
      <c r="D355" t="s">
        <v>12258</v>
      </c>
      <c r="E355" t="s">
        <v>486</v>
      </c>
      <c r="F355">
        <v>10</v>
      </c>
      <c r="G355">
        <v>1</v>
      </c>
      <c r="H355">
        <v>1</v>
      </c>
      <c r="I355">
        <v>10</v>
      </c>
      <c r="J355">
        <v>230</v>
      </c>
      <c r="K355">
        <f t="shared" si="16"/>
        <v>23</v>
      </c>
      <c r="L355">
        <f t="shared" si="17"/>
        <v>0</v>
      </c>
      <c r="M355">
        <v>230</v>
      </c>
      <c r="N355" s="3">
        <v>46174</v>
      </c>
      <c r="O355" s="6">
        <v>0</v>
      </c>
    </row>
    <row r="356" spans="1:15">
      <c r="A356" t="str">
        <f t="shared" si="15"/>
        <v>Celquat 276 SL 10 X 1 ltr462040</v>
      </c>
      <c r="B356" t="s">
        <v>10175</v>
      </c>
      <c r="C356" t="s">
        <v>14738</v>
      </c>
      <c r="D356" t="s">
        <v>12259</v>
      </c>
      <c r="E356" t="s">
        <v>486</v>
      </c>
      <c r="F356">
        <v>10</v>
      </c>
      <c r="G356">
        <v>1</v>
      </c>
      <c r="H356">
        <v>1</v>
      </c>
      <c r="I356">
        <v>10</v>
      </c>
      <c r="J356">
        <v>10000</v>
      </c>
      <c r="K356">
        <f t="shared" si="16"/>
        <v>1000</v>
      </c>
      <c r="L356">
        <f t="shared" si="17"/>
        <v>0</v>
      </c>
      <c r="M356">
        <v>10000</v>
      </c>
      <c r="N356" s="3">
        <v>46204</v>
      </c>
      <c r="O356" s="6">
        <v>0</v>
      </c>
    </row>
    <row r="357" spans="1:15">
      <c r="A357" t="str">
        <f t="shared" si="15"/>
        <v>Celquat 276 SL 4 X 5 ltr469350</v>
      </c>
      <c r="B357" t="s">
        <v>10176</v>
      </c>
      <c r="C357" t="s">
        <v>14739</v>
      </c>
      <c r="D357" t="s">
        <v>12260</v>
      </c>
      <c r="E357" t="s">
        <v>487</v>
      </c>
      <c r="F357">
        <v>4</v>
      </c>
      <c r="G357">
        <v>1</v>
      </c>
      <c r="H357">
        <v>1</v>
      </c>
      <c r="I357">
        <v>4</v>
      </c>
      <c r="J357">
        <v>60</v>
      </c>
      <c r="K357">
        <f t="shared" si="16"/>
        <v>15</v>
      </c>
      <c r="L357">
        <f t="shared" si="17"/>
        <v>0</v>
      </c>
      <c r="M357">
        <v>60</v>
      </c>
      <c r="N357" s="3">
        <v>46935</v>
      </c>
      <c r="O357" s="6">
        <v>0</v>
      </c>
    </row>
    <row r="358" spans="1:15">
      <c r="A358" t="str">
        <f t="shared" si="15"/>
        <v>Centaxone 135 SL 20 X 1 ltr464470</v>
      </c>
      <c r="B358" t="s">
        <v>10177</v>
      </c>
      <c r="C358" t="s">
        <v>14740</v>
      </c>
      <c r="D358" t="s">
        <v>12261</v>
      </c>
      <c r="E358" t="s">
        <v>488</v>
      </c>
      <c r="F358">
        <v>20</v>
      </c>
      <c r="G358">
        <v>1</v>
      </c>
      <c r="H358">
        <v>1</v>
      </c>
      <c r="I358">
        <v>20</v>
      </c>
      <c r="J358">
        <v>320</v>
      </c>
      <c r="K358">
        <f t="shared" si="16"/>
        <v>16</v>
      </c>
      <c r="L358">
        <f t="shared" si="17"/>
        <v>0</v>
      </c>
      <c r="M358">
        <v>320</v>
      </c>
      <c r="N358" s="3">
        <v>46447</v>
      </c>
      <c r="O358" s="6">
        <v>0</v>
      </c>
    </row>
    <row r="359" spans="1:15">
      <c r="A359" t="str">
        <f t="shared" si="15"/>
        <v>Centaxone 135 SL 20 X 1 ltr467530</v>
      </c>
      <c r="B359" t="s">
        <v>10178</v>
      </c>
      <c r="C359" t="s">
        <v>14741</v>
      </c>
      <c r="D359" t="s">
        <v>12262</v>
      </c>
      <c r="E359" t="s">
        <v>488</v>
      </c>
      <c r="F359">
        <v>20</v>
      </c>
      <c r="G359">
        <v>1</v>
      </c>
      <c r="H359">
        <v>1</v>
      </c>
      <c r="I359">
        <v>20</v>
      </c>
      <c r="J359">
        <v>1920</v>
      </c>
      <c r="K359">
        <f t="shared" si="16"/>
        <v>96</v>
      </c>
      <c r="L359">
        <f t="shared" si="17"/>
        <v>0</v>
      </c>
      <c r="M359">
        <v>1920</v>
      </c>
      <c r="N359" s="3">
        <v>46753</v>
      </c>
      <c r="O359" s="6">
        <v>0</v>
      </c>
    </row>
    <row r="360" spans="1:15">
      <c r="A360" t="str">
        <f t="shared" si="15"/>
        <v>Champion 77 WP 10 X 1 kg472090</v>
      </c>
      <c r="B360" t="s">
        <v>10179</v>
      </c>
      <c r="C360" t="s">
        <v>14742</v>
      </c>
      <c r="D360" t="s">
        <v>12263</v>
      </c>
      <c r="E360" t="s">
        <v>489</v>
      </c>
      <c r="F360">
        <v>10</v>
      </c>
      <c r="G360">
        <v>1</v>
      </c>
      <c r="H360">
        <v>1</v>
      </c>
      <c r="I360">
        <v>10</v>
      </c>
      <c r="J360">
        <v>1320</v>
      </c>
      <c r="K360">
        <f t="shared" si="16"/>
        <v>132</v>
      </c>
      <c r="L360">
        <f t="shared" si="17"/>
        <v>0</v>
      </c>
      <c r="M360">
        <v>1320</v>
      </c>
      <c r="N360" s="3">
        <v>47209</v>
      </c>
      <c r="O360" s="6">
        <v>0</v>
      </c>
    </row>
    <row r="361" spans="1:15">
      <c r="A361" t="str">
        <f t="shared" si="15"/>
        <v>Charger1/1/10000</v>
      </c>
      <c r="B361" t="s">
        <v>10180</v>
      </c>
      <c r="C361" t="s">
        <v>14743</v>
      </c>
      <c r="D361" t="s">
        <v>12264</v>
      </c>
      <c r="E361" t="s">
        <v>490</v>
      </c>
      <c r="F361">
        <v>1</v>
      </c>
      <c r="G361">
        <v>1</v>
      </c>
      <c r="H361">
        <v>1</v>
      </c>
      <c r="I361">
        <v>1</v>
      </c>
      <c r="J361">
        <v>10</v>
      </c>
      <c r="K361">
        <f t="shared" si="16"/>
        <v>10</v>
      </c>
      <c r="L361">
        <f t="shared" si="17"/>
        <v>0</v>
      </c>
      <c r="M361">
        <v>10</v>
      </c>
      <c r="N361" s="3" t="s">
        <v>2222</v>
      </c>
      <c r="O361" s="6">
        <v>0</v>
      </c>
    </row>
    <row r="362" spans="1:15">
      <c r="A362" t="str">
        <f t="shared" si="15"/>
        <v>Charger Tangki Excel 16 ltr1/1/10000</v>
      </c>
      <c r="B362" t="s">
        <v>10181</v>
      </c>
      <c r="C362" t="s">
        <v>14744</v>
      </c>
      <c r="D362" t="s">
        <v>12265</v>
      </c>
      <c r="E362" t="s">
        <v>491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f t="shared" si="16"/>
        <v>1</v>
      </c>
      <c r="L362">
        <f t="shared" si="17"/>
        <v>0</v>
      </c>
      <c r="M362">
        <v>1</v>
      </c>
      <c r="N362" s="3" t="s">
        <v>2222</v>
      </c>
      <c r="O362" s="6">
        <v>0</v>
      </c>
    </row>
    <row r="363" spans="1:15">
      <c r="A363" t="str">
        <f t="shared" si="15"/>
        <v>Chief 480 SL 4 X 5 ltr471780</v>
      </c>
      <c r="B363" t="s">
        <v>10182</v>
      </c>
      <c r="C363" t="s">
        <v>14745</v>
      </c>
      <c r="D363" t="s">
        <v>12266</v>
      </c>
      <c r="E363" t="s">
        <v>492</v>
      </c>
      <c r="F363">
        <v>4</v>
      </c>
      <c r="G363">
        <v>1</v>
      </c>
      <c r="H363">
        <v>1</v>
      </c>
      <c r="I363">
        <v>4</v>
      </c>
      <c r="J363">
        <v>124</v>
      </c>
      <c r="K363">
        <f t="shared" si="16"/>
        <v>31</v>
      </c>
      <c r="L363">
        <f t="shared" si="17"/>
        <v>0</v>
      </c>
      <c r="M363">
        <v>124</v>
      </c>
      <c r="N363" s="3">
        <v>47178</v>
      </c>
      <c r="O363" s="6">
        <v>0</v>
      </c>
    </row>
    <row r="364" spans="1:15">
      <c r="A364" t="str">
        <f t="shared" si="15"/>
        <v>Cobra 15 EC 20 X 1 ltr456580</v>
      </c>
      <c r="B364" t="s">
        <v>10183</v>
      </c>
      <c r="C364" t="s">
        <v>14746</v>
      </c>
      <c r="D364" t="s">
        <v>12267</v>
      </c>
      <c r="E364" t="s">
        <v>494</v>
      </c>
      <c r="F364">
        <v>20</v>
      </c>
      <c r="G364">
        <v>1</v>
      </c>
      <c r="H364">
        <v>1</v>
      </c>
      <c r="I364">
        <v>20</v>
      </c>
      <c r="J364">
        <v>2</v>
      </c>
      <c r="K364">
        <f t="shared" si="16"/>
        <v>0</v>
      </c>
      <c r="L364">
        <f t="shared" si="17"/>
        <v>2</v>
      </c>
      <c r="M364">
        <v>2</v>
      </c>
      <c r="N364" s="3">
        <v>45658</v>
      </c>
      <c r="O364" s="6">
        <v>0</v>
      </c>
    </row>
    <row r="365" spans="1:15">
      <c r="A365" t="str">
        <f t="shared" si="15"/>
        <v>Cobra 15 EC 20 X 1 ltr458700</v>
      </c>
      <c r="B365" t="s">
        <v>10184</v>
      </c>
      <c r="C365" t="s">
        <v>14747</v>
      </c>
      <c r="D365" t="s">
        <v>12268</v>
      </c>
      <c r="E365" t="s">
        <v>494</v>
      </c>
      <c r="F365">
        <v>20</v>
      </c>
      <c r="G365">
        <v>1</v>
      </c>
      <c r="H365">
        <v>1</v>
      </c>
      <c r="I365">
        <v>20</v>
      </c>
      <c r="J365">
        <v>440</v>
      </c>
      <c r="K365">
        <f t="shared" si="16"/>
        <v>22</v>
      </c>
      <c r="L365">
        <f t="shared" si="17"/>
        <v>0</v>
      </c>
      <c r="M365">
        <v>440</v>
      </c>
      <c r="N365" s="3">
        <v>45870</v>
      </c>
      <c r="O365" s="6">
        <v>0</v>
      </c>
    </row>
    <row r="366" spans="1:15">
      <c r="A366" t="str">
        <f t="shared" si="15"/>
        <v>Cobra 15 EC 20 X 200 ml456580</v>
      </c>
      <c r="B366" t="s">
        <v>10185</v>
      </c>
      <c r="C366" t="s">
        <v>14748</v>
      </c>
      <c r="D366" t="s">
        <v>12269</v>
      </c>
      <c r="E366" t="s">
        <v>496</v>
      </c>
      <c r="F366">
        <v>20</v>
      </c>
      <c r="G366">
        <v>1</v>
      </c>
      <c r="H366">
        <v>1</v>
      </c>
      <c r="I366">
        <v>20</v>
      </c>
      <c r="J366">
        <v>110</v>
      </c>
      <c r="K366">
        <f t="shared" si="16"/>
        <v>5</v>
      </c>
      <c r="L366">
        <f t="shared" si="17"/>
        <v>10</v>
      </c>
      <c r="M366">
        <v>110</v>
      </c>
      <c r="N366" s="3">
        <v>45658</v>
      </c>
      <c r="O366" s="6">
        <v>0</v>
      </c>
    </row>
    <row r="367" spans="1:15">
      <c r="A367" t="str">
        <f t="shared" si="15"/>
        <v>Cobra 15 EC 20 X 500 ml464470</v>
      </c>
      <c r="B367" t="s">
        <v>10186</v>
      </c>
      <c r="C367" t="s">
        <v>14749</v>
      </c>
      <c r="D367" t="s">
        <v>12270</v>
      </c>
      <c r="E367" t="s">
        <v>497</v>
      </c>
      <c r="F367">
        <v>20</v>
      </c>
      <c r="G367">
        <v>1</v>
      </c>
      <c r="H367">
        <v>1</v>
      </c>
      <c r="I367">
        <v>20</v>
      </c>
      <c r="J367">
        <v>938</v>
      </c>
      <c r="K367">
        <f t="shared" si="16"/>
        <v>46</v>
      </c>
      <c r="L367">
        <f t="shared" si="17"/>
        <v>18</v>
      </c>
      <c r="M367">
        <v>938</v>
      </c>
      <c r="N367" s="3">
        <v>46447</v>
      </c>
      <c r="O367" s="6">
        <v>0</v>
      </c>
    </row>
    <row r="368" spans="1:15">
      <c r="A368" t="str">
        <f t="shared" si="15"/>
        <v>Cobra 15 EC 50 X 50 ml ( Sampel )1/1/10000</v>
      </c>
      <c r="B368" t="s">
        <v>10187</v>
      </c>
      <c r="C368" t="s">
        <v>14750</v>
      </c>
      <c r="D368" t="s">
        <v>12271</v>
      </c>
      <c r="E368" t="s">
        <v>498</v>
      </c>
      <c r="F368">
        <v>50</v>
      </c>
      <c r="G368">
        <v>1</v>
      </c>
      <c r="H368">
        <v>1</v>
      </c>
      <c r="I368">
        <v>50</v>
      </c>
      <c r="J368">
        <v>22</v>
      </c>
      <c r="K368">
        <f t="shared" si="16"/>
        <v>0</v>
      </c>
      <c r="L368">
        <f t="shared" si="17"/>
        <v>22</v>
      </c>
      <c r="M368">
        <v>22</v>
      </c>
      <c r="N368" s="3" t="s">
        <v>2222</v>
      </c>
      <c r="O368" s="6">
        <v>0</v>
      </c>
    </row>
    <row r="369" spans="1:15">
      <c r="A369" t="str">
        <f t="shared" si="15"/>
        <v>Confidor 200 SL 100 X 60 ml465690</v>
      </c>
      <c r="B369" t="s">
        <v>10188</v>
      </c>
      <c r="C369" t="s">
        <v>14751</v>
      </c>
      <c r="D369" t="s">
        <v>12272</v>
      </c>
      <c r="E369" t="s">
        <v>499</v>
      </c>
      <c r="F369">
        <v>100</v>
      </c>
      <c r="G369">
        <v>1</v>
      </c>
      <c r="H369">
        <v>1</v>
      </c>
      <c r="I369">
        <v>100</v>
      </c>
      <c r="J369">
        <v>42</v>
      </c>
      <c r="K369">
        <f t="shared" si="16"/>
        <v>0</v>
      </c>
      <c r="L369">
        <f t="shared" si="17"/>
        <v>42</v>
      </c>
      <c r="M369">
        <v>42</v>
      </c>
      <c r="N369" s="3">
        <v>46569</v>
      </c>
      <c r="O369" s="6">
        <v>0</v>
      </c>
    </row>
    <row r="370" spans="1:15">
      <c r="A370" t="str">
        <f t="shared" si="15"/>
        <v>Confidor 200 SL 100 X 60 ml466920</v>
      </c>
      <c r="B370" t="s">
        <v>10189</v>
      </c>
      <c r="C370" t="s">
        <v>14752</v>
      </c>
      <c r="D370" t="s">
        <v>12273</v>
      </c>
      <c r="E370" t="s">
        <v>499</v>
      </c>
      <c r="F370">
        <v>100</v>
      </c>
      <c r="G370">
        <v>1</v>
      </c>
      <c r="H370">
        <v>1</v>
      </c>
      <c r="I370">
        <v>100</v>
      </c>
      <c r="J370">
        <v>2000</v>
      </c>
      <c r="K370">
        <f t="shared" si="16"/>
        <v>20</v>
      </c>
      <c r="L370">
        <f t="shared" si="17"/>
        <v>0</v>
      </c>
      <c r="M370">
        <v>2000</v>
      </c>
      <c r="N370" s="3">
        <v>46692</v>
      </c>
      <c r="O370" s="6">
        <v>0</v>
      </c>
    </row>
    <row r="371" spans="1:15">
      <c r="A371" t="str">
        <f t="shared" si="15"/>
        <v>Confidor 200 SL 100 X 60 ml466610</v>
      </c>
      <c r="B371" t="s">
        <v>10190</v>
      </c>
      <c r="C371" t="s">
        <v>14753</v>
      </c>
      <c r="D371" t="s">
        <v>12274</v>
      </c>
      <c r="E371" t="s">
        <v>499</v>
      </c>
      <c r="F371">
        <v>100</v>
      </c>
      <c r="G371">
        <v>1</v>
      </c>
      <c r="H371">
        <v>1</v>
      </c>
      <c r="I371">
        <v>100</v>
      </c>
      <c r="J371">
        <v>2200</v>
      </c>
      <c r="K371">
        <f t="shared" si="16"/>
        <v>22</v>
      </c>
      <c r="L371">
        <f t="shared" si="17"/>
        <v>0</v>
      </c>
      <c r="M371">
        <v>2200</v>
      </c>
      <c r="N371" s="3">
        <v>46661</v>
      </c>
      <c r="O371" s="6">
        <v>0</v>
      </c>
    </row>
    <row r="372" spans="1:15">
      <c r="A372" t="str">
        <f t="shared" si="15"/>
        <v>Confidor Extra 350 SC 100 X 100 ml459620</v>
      </c>
      <c r="B372" t="s">
        <v>10191</v>
      </c>
      <c r="C372" t="s">
        <v>14754</v>
      </c>
      <c r="D372" t="s">
        <v>12275</v>
      </c>
      <c r="E372" t="s">
        <v>503</v>
      </c>
      <c r="F372">
        <v>100</v>
      </c>
      <c r="G372">
        <v>1</v>
      </c>
      <c r="H372">
        <v>1</v>
      </c>
      <c r="I372">
        <v>100</v>
      </c>
      <c r="J372">
        <v>1120</v>
      </c>
      <c r="K372">
        <f t="shared" si="16"/>
        <v>11</v>
      </c>
      <c r="L372">
        <f t="shared" si="17"/>
        <v>20</v>
      </c>
      <c r="M372">
        <v>1120</v>
      </c>
      <c r="N372" s="3">
        <v>45962</v>
      </c>
      <c r="O372" s="6">
        <v>0</v>
      </c>
    </row>
    <row r="373" spans="1:15">
      <c r="A373" t="str">
        <f t="shared" si="15"/>
        <v>Contac Nil 75 WP 16 X 500 gr466610</v>
      </c>
      <c r="B373" t="s">
        <v>10192</v>
      </c>
      <c r="C373" t="s">
        <v>14755</v>
      </c>
      <c r="D373" t="s">
        <v>12276</v>
      </c>
      <c r="E373" t="s">
        <v>505</v>
      </c>
      <c r="F373">
        <v>16</v>
      </c>
      <c r="G373">
        <v>1</v>
      </c>
      <c r="H373">
        <v>1</v>
      </c>
      <c r="I373">
        <v>16</v>
      </c>
      <c r="J373">
        <v>585</v>
      </c>
      <c r="K373">
        <f t="shared" si="16"/>
        <v>36</v>
      </c>
      <c r="L373">
        <f t="shared" si="17"/>
        <v>9</v>
      </c>
      <c r="M373">
        <v>585</v>
      </c>
      <c r="N373" s="3">
        <v>46661</v>
      </c>
      <c r="O373" s="6">
        <v>0</v>
      </c>
    </row>
    <row r="374" spans="1:15">
      <c r="A374" t="str">
        <f t="shared" si="15"/>
        <v>Corida 50 SC 20 X 500 ml470580</v>
      </c>
      <c r="B374" t="s">
        <v>10193</v>
      </c>
      <c r="C374" t="s">
        <v>14756</v>
      </c>
      <c r="D374" t="s">
        <v>12277</v>
      </c>
      <c r="E374" t="s">
        <v>507</v>
      </c>
      <c r="F374">
        <v>20</v>
      </c>
      <c r="G374">
        <v>1</v>
      </c>
      <c r="H374">
        <v>1</v>
      </c>
      <c r="I374">
        <v>20</v>
      </c>
      <c r="J374">
        <v>1000</v>
      </c>
      <c r="K374">
        <f t="shared" si="16"/>
        <v>50</v>
      </c>
      <c r="L374">
        <f t="shared" si="17"/>
        <v>0</v>
      </c>
      <c r="M374">
        <v>1000</v>
      </c>
      <c r="N374" s="3">
        <v>47058</v>
      </c>
      <c r="O374" s="6">
        <v>0</v>
      </c>
    </row>
    <row r="375" spans="1:15">
      <c r="A375" t="str">
        <f t="shared" si="15"/>
        <v>Corida 50 SC 20 X 500 ml470880</v>
      </c>
      <c r="B375" t="s">
        <v>10194</v>
      </c>
      <c r="C375" t="s">
        <v>14757</v>
      </c>
      <c r="D375" t="s">
        <v>12278</v>
      </c>
      <c r="E375" t="s">
        <v>507</v>
      </c>
      <c r="F375">
        <v>20</v>
      </c>
      <c r="G375">
        <v>1</v>
      </c>
      <c r="H375">
        <v>1</v>
      </c>
      <c r="I375">
        <v>20</v>
      </c>
      <c r="J375">
        <v>3000</v>
      </c>
      <c r="K375">
        <f t="shared" si="16"/>
        <v>150</v>
      </c>
      <c r="L375">
        <f t="shared" si="17"/>
        <v>0</v>
      </c>
      <c r="M375">
        <v>3000</v>
      </c>
      <c r="N375" s="3">
        <v>47088</v>
      </c>
      <c r="O375" s="6">
        <v>0</v>
      </c>
    </row>
    <row r="376" spans="1:15">
      <c r="A376" t="str">
        <f t="shared" si="15"/>
        <v>Corida 50 SC 40 X 250 ml471190</v>
      </c>
      <c r="B376" t="s">
        <v>10195</v>
      </c>
      <c r="C376" t="s">
        <v>14758</v>
      </c>
      <c r="D376" t="s">
        <v>12279</v>
      </c>
      <c r="E376" t="s">
        <v>508</v>
      </c>
      <c r="F376">
        <v>40</v>
      </c>
      <c r="G376">
        <v>1</v>
      </c>
      <c r="H376">
        <v>1</v>
      </c>
      <c r="I376">
        <v>40</v>
      </c>
      <c r="J376">
        <v>680</v>
      </c>
      <c r="K376">
        <f t="shared" si="16"/>
        <v>17</v>
      </c>
      <c r="L376">
        <f t="shared" si="17"/>
        <v>0</v>
      </c>
      <c r="M376">
        <v>680</v>
      </c>
      <c r="N376" s="3">
        <v>47119</v>
      </c>
      <c r="O376" s="6">
        <v>0</v>
      </c>
    </row>
    <row r="377" spans="1:15">
      <c r="A377" t="str">
        <f t="shared" si="15"/>
        <v>Corida 50 SC 40 X 250 ml470580</v>
      </c>
      <c r="B377" t="s">
        <v>10196</v>
      </c>
      <c r="C377" t="s">
        <v>14759</v>
      </c>
      <c r="D377" t="s">
        <v>12280</v>
      </c>
      <c r="E377" t="s">
        <v>508</v>
      </c>
      <c r="F377">
        <v>40</v>
      </c>
      <c r="G377">
        <v>1</v>
      </c>
      <c r="H377">
        <v>1</v>
      </c>
      <c r="I377">
        <v>40</v>
      </c>
      <c r="J377">
        <v>1920</v>
      </c>
      <c r="K377">
        <f t="shared" si="16"/>
        <v>48</v>
      </c>
      <c r="L377">
        <f t="shared" si="17"/>
        <v>0</v>
      </c>
      <c r="M377">
        <v>1920</v>
      </c>
      <c r="N377" s="3">
        <v>47058</v>
      </c>
      <c r="O377" s="6">
        <v>0</v>
      </c>
    </row>
    <row r="378" spans="1:15">
      <c r="A378" t="str">
        <f t="shared" si="15"/>
        <v>Corida 50 SC 40 X 250 ml470880</v>
      </c>
      <c r="B378" t="s">
        <v>10197</v>
      </c>
      <c r="C378" t="s">
        <v>14760</v>
      </c>
      <c r="D378" t="s">
        <v>12281</v>
      </c>
      <c r="E378" t="s">
        <v>508</v>
      </c>
      <c r="F378">
        <v>40</v>
      </c>
      <c r="G378">
        <v>1</v>
      </c>
      <c r="H378">
        <v>1</v>
      </c>
      <c r="I378">
        <v>40</v>
      </c>
      <c r="J378">
        <v>4000</v>
      </c>
      <c r="K378">
        <f t="shared" si="16"/>
        <v>100</v>
      </c>
      <c r="L378">
        <f t="shared" si="17"/>
        <v>0</v>
      </c>
      <c r="M378">
        <v>4000</v>
      </c>
      <c r="N378" s="3">
        <v>47088</v>
      </c>
      <c r="O378" s="6">
        <v>0</v>
      </c>
    </row>
    <row r="379" spans="1:15">
      <c r="A379" t="str">
        <f t="shared" si="15"/>
        <v>Council Complete SC 300 50 X 100 ml457480</v>
      </c>
      <c r="B379" t="s">
        <v>10198</v>
      </c>
      <c r="C379" t="s">
        <v>14761</v>
      </c>
      <c r="D379" t="s">
        <v>12282</v>
      </c>
      <c r="E379" t="s">
        <v>509</v>
      </c>
      <c r="F379">
        <v>50</v>
      </c>
      <c r="G379">
        <v>1</v>
      </c>
      <c r="H379">
        <v>1</v>
      </c>
      <c r="I379">
        <v>50</v>
      </c>
      <c r="J379">
        <v>2190</v>
      </c>
      <c r="K379">
        <f t="shared" si="16"/>
        <v>43</v>
      </c>
      <c r="L379">
        <f t="shared" si="17"/>
        <v>40</v>
      </c>
      <c r="M379">
        <v>2190</v>
      </c>
      <c r="N379" s="3">
        <v>45748</v>
      </c>
      <c r="O379" s="6">
        <v>0</v>
      </c>
    </row>
    <row r="380" spans="1:15">
      <c r="A380" t="str">
        <f t="shared" si="15"/>
        <v>Council Complete SC 300 50 X 50 ml456270</v>
      </c>
      <c r="B380" t="s">
        <v>10199</v>
      </c>
      <c r="C380" t="s">
        <v>14762</v>
      </c>
      <c r="D380" t="s">
        <v>12283</v>
      </c>
      <c r="E380" t="s">
        <v>511</v>
      </c>
      <c r="F380">
        <v>50</v>
      </c>
      <c r="G380">
        <v>1</v>
      </c>
      <c r="H380">
        <v>1</v>
      </c>
      <c r="I380">
        <v>50</v>
      </c>
      <c r="J380">
        <v>75</v>
      </c>
      <c r="K380">
        <f t="shared" si="16"/>
        <v>1</v>
      </c>
      <c r="L380">
        <f t="shared" si="17"/>
        <v>25</v>
      </c>
      <c r="M380">
        <v>75</v>
      </c>
      <c r="N380" s="3">
        <v>45627</v>
      </c>
      <c r="O380" s="6">
        <v>0</v>
      </c>
    </row>
    <row r="381" spans="1:15">
      <c r="A381" t="str">
        <f t="shared" si="15"/>
        <v>Cowin 550 EC 25 X 400 ml466000</v>
      </c>
      <c r="B381" t="s">
        <v>10200</v>
      </c>
      <c r="C381" t="s">
        <v>14763</v>
      </c>
      <c r="D381" t="s">
        <v>12284</v>
      </c>
      <c r="E381" t="s">
        <v>513</v>
      </c>
      <c r="F381">
        <v>25</v>
      </c>
      <c r="G381">
        <v>1</v>
      </c>
      <c r="H381">
        <v>1</v>
      </c>
      <c r="I381">
        <v>25</v>
      </c>
      <c r="J381">
        <v>780</v>
      </c>
      <c r="K381">
        <f t="shared" si="16"/>
        <v>31</v>
      </c>
      <c r="L381">
        <f t="shared" si="17"/>
        <v>5</v>
      </c>
      <c r="M381">
        <v>780</v>
      </c>
      <c r="N381" s="3">
        <v>46600</v>
      </c>
      <c r="O381" s="6">
        <v>0</v>
      </c>
    </row>
    <row r="382" spans="1:15">
      <c r="A382" t="str">
        <f t="shared" si="15"/>
        <v>Coyote 400/40 SE 20 X 500 ml463570</v>
      </c>
      <c r="B382" t="s">
        <v>10201</v>
      </c>
      <c r="C382" t="s">
        <v>14764</v>
      </c>
      <c r="D382" t="s">
        <v>12285</v>
      </c>
      <c r="E382" t="s">
        <v>515</v>
      </c>
      <c r="F382">
        <v>20</v>
      </c>
      <c r="G382">
        <v>1</v>
      </c>
      <c r="H382">
        <v>1</v>
      </c>
      <c r="I382">
        <v>20</v>
      </c>
      <c r="J382">
        <v>250</v>
      </c>
      <c r="K382">
        <f t="shared" si="16"/>
        <v>12</v>
      </c>
      <c r="L382">
        <f t="shared" si="17"/>
        <v>10</v>
      </c>
      <c r="M382">
        <v>250</v>
      </c>
      <c r="N382" s="3">
        <v>46357</v>
      </c>
      <c r="O382" s="6">
        <v>0</v>
      </c>
    </row>
    <row r="383" spans="1:15">
      <c r="A383" t="str">
        <f t="shared" si="15"/>
        <v>Coyote 400/40 SE 40 X 250 ml464190</v>
      </c>
      <c r="B383" t="s">
        <v>10202</v>
      </c>
      <c r="C383" t="s">
        <v>14765</v>
      </c>
      <c r="D383" t="s">
        <v>12286</v>
      </c>
      <c r="E383" t="s">
        <v>517</v>
      </c>
      <c r="F383">
        <v>40</v>
      </c>
      <c r="G383">
        <v>1</v>
      </c>
      <c r="H383">
        <v>1</v>
      </c>
      <c r="I383">
        <v>40</v>
      </c>
      <c r="J383">
        <v>299</v>
      </c>
      <c r="K383">
        <f t="shared" si="16"/>
        <v>7</v>
      </c>
      <c r="L383">
        <f t="shared" si="17"/>
        <v>19</v>
      </c>
      <c r="M383">
        <v>299</v>
      </c>
      <c r="N383" s="3">
        <v>46419</v>
      </c>
      <c r="O383" s="6">
        <v>0</v>
      </c>
    </row>
    <row r="384" spans="1:15">
      <c r="A384" t="str">
        <f t="shared" si="15"/>
        <v>Curacron 500 EC 20 X 500 ml456890</v>
      </c>
      <c r="B384" t="s">
        <v>10203</v>
      </c>
      <c r="C384" t="s">
        <v>14766</v>
      </c>
      <c r="D384" t="s">
        <v>12287</v>
      </c>
      <c r="E384" t="s">
        <v>519</v>
      </c>
      <c r="F384">
        <v>20</v>
      </c>
      <c r="G384">
        <v>1</v>
      </c>
      <c r="H384">
        <v>1</v>
      </c>
      <c r="I384">
        <v>20</v>
      </c>
      <c r="J384">
        <v>12</v>
      </c>
      <c r="K384">
        <f t="shared" si="16"/>
        <v>0</v>
      </c>
      <c r="L384">
        <f t="shared" si="17"/>
        <v>12</v>
      </c>
      <c r="M384">
        <v>12</v>
      </c>
      <c r="N384" s="3">
        <v>45689</v>
      </c>
      <c r="O384" s="6">
        <v>0</v>
      </c>
    </row>
    <row r="385" spans="1:15">
      <c r="A385" t="str">
        <f t="shared" si="15"/>
        <v>Curacron 500 EC 20 X 500 ml457480</v>
      </c>
      <c r="B385" t="s">
        <v>10204</v>
      </c>
      <c r="C385" t="s">
        <v>14767</v>
      </c>
      <c r="D385" t="s">
        <v>12288</v>
      </c>
      <c r="E385" t="s">
        <v>519</v>
      </c>
      <c r="F385">
        <v>20</v>
      </c>
      <c r="G385">
        <v>1</v>
      </c>
      <c r="H385">
        <v>1</v>
      </c>
      <c r="I385">
        <v>20</v>
      </c>
      <c r="J385">
        <v>3480</v>
      </c>
      <c r="K385">
        <f t="shared" si="16"/>
        <v>174</v>
      </c>
      <c r="L385">
        <f t="shared" si="17"/>
        <v>0</v>
      </c>
      <c r="M385">
        <v>3480</v>
      </c>
      <c r="N385" s="3">
        <v>45748</v>
      </c>
      <c r="O385" s="6">
        <v>0</v>
      </c>
    </row>
    <row r="386" spans="1:15">
      <c r="A386" t="str">
        <f t="shared" si="15"/>
        <v>Curacron 500 EC 40 X 250 ml456890</v>
      </c>
      <c r="B386" t="s">
        <v>10205</v>
      </c>
      <c r="C386" t="s">
        <v>14768</v>
      </c>
      <c r="D386" t="s">
        <v>12289</v>
      </c>
      <c r="E386" t="s">
        <v>522</v>
      </c>
      <c r="F386">
        <v>40</v>
      </c>
      <c r="G386">
        <v>1</v>
      </c>
      <c r="H386">
        <v>1</v>
      </c>
      <c r="I386">
        <v>40</v>
      </c>
      <c r="J386">
        <v>3476</v>
      </c>
      <c r="K386">
        <f t="shared" si="16"/>
        <v>86</v>
      </c>
      <c r="L386">
        <f t="shared" si="17"/>
        <v>36</v>
      </c>
      <c r="M386">
        <v>3476</v>
      </c>
      <c r="N386" s="3">
        <v>45689</v>
      </c>
      <c r="O386" s="6">
        <v>0</v>
      </c>
    </row>
    <row r="387" spans="1:15">
      <c r="A387" t="str">
        <f t="shared" ref="A387:A450" si="18">E387&amp;N387&amp;O387</f>
        <v>Curaterr 3 GR 10 X 2 kg463880</v>
      </c>
      <c r="B387" t="s">
        <v>10206</v>
      </c>
      <c r="C387" t="s">
        <v>14769</v>
      </c>
      <c r="D387" t="s">
        <v>12290</v>
      </c>
      <c r="E387" t="s">
        <v>526</v>
      </c>
      <c r="F387">
        <v>10</v>
      </c>
      <c r="G387">
        <v>1</v>
      </c>
      <c r="H387">
        <v>1</v>
      </c>
      <c r="I387">
        <v>10</v>
      </c>
      <c r="J387">
        <v>310</v>
      </c>
      <c r="K387">
        <f t="shared" ref="K387:K450" si="19">ROUNDDOWN(J387/I387,0)</f>
        <v>31</v>
      </c>
      <c r="L387">
        <f t="shared" ref="L387:L450" si="20">J387-K387*I387</f>
        <v>0</v>
      </c>
      <c r="M387">
        <v>310</v>
      </c>
      <c r="N387" s="3">
        <v>46388</v>
      </c>
      <c r="O387" s="6">
        <v>0</v>
      </c>
    </row>
    <row r="388" spans="1:15">
      <c r="A388" t="str">
        <f t="shared" si="18"/>
        <v>Cymbush 50 EC 40 X 250 ml460230</v>
      </c>
      <c r="B388" t="s">
        <v>10207</v>
      </c>
      <c r="C388" t="s">
        <v>14770</v>
      </c>
      <c r="D388" t="s">
        <v>12291</v>
      </c>
      <c r="E388" t="s">
        <v>527</v>
      </c>
      <c r="F388">
        <v>40</v>
      </c>
      <c r="G388">
        <v>1</v>
      </c>
      <c r="H388">
        <v>1</v>
      </c>
      <c r="I388">
        <v>40</v>
      </c>
      <c r="J388">
        <v>80</v>
      </c>
      <c r="K388">
        <f t="shared" si="19"/>
        <v>2</v>
      </c>
      <c r="L388">
        <f t="shared" si="20"/>
        <v>0</v>
      </c>
      <c r="M388">
        <v>80</v>
      </c>
      <c r="N388" s="3">
        <v>46023</v>
      </c>
      <c r="O388" s="6">
        <v>0</v>
      </c>
    </row>
    <row r="389" spans="1:15">
      <c r="A389" t="str">
        <f t="shared" si="18"/>
        <v>Cymbush 50 EC 40 X 250 ml458090</v>
      </c>
      <c r="B389" t="s">
        <v>10208</v>
      </c>
      <c r="C389" t="s">
        <v>14771</v>
      </c>
      <c r="D389" t="s">
        <v>12292</v>
      </c>
      <c r="E389" t="s">
        <v>527</v>
      </c>
      <c r="F389">
        <v>40</v>
      </c>
      <c r="G389">
        <v>1</v>
      </c>
      <c r="H389">
        <v>1</v>
      </c>
      <c r="I389">
        <v>40</v>
      </c>
      <c r="J389">
        <v>1040</v>
      </c>
      <c r="K389">
        <f t="shared" si="19"/>
        <v>26</v>
      </c>
      <c r="L389">
        <f t="shared" si="20"/>
        <v>0</v>
      </c>
      <c r="M389">
        <v>1040</v>
      </c>
      <c r="N389" s="3">
        <v>45809</v>
      </c>
      <c r="O389" s="6">
        <v>0</v>
      </c>
    </row>
    <row r="390" spans="1:15">
      <c r="A390" t="str">
        <f t="shared" si="18"/>
        <v>Cymoxan 15 WP 40 X 250 gr461130</v>
      </c>
      <c r="B390" t="s">
        <v>10209</v>
      </c>
      <c r="C390" t="s">
        <v>14772</v>
      </c>
      <c r="D390" t="s">
        <v>12293</v>
      </c>
      <c r="E390" t="s">
        <v>530</v>
      </c>
      <c r="F390">
        <v>40</v>
      </c>
      <c r="G390">
        <v>1</v>
      </c>
      <c r="H390">
        <v>1</v>
      </c>
      <c r="I390">
        <v>40</v>
      </c>
      <c r="J390">
        <v>5</v>
      </c>
      <c r="K390">
        <f t="shared" si="19"/>
        <v>0</v>
      </c>
      <c r="L390">
        <f t="shared" si="20"/>
        <v>5</v>
      </c>
      <c r="M390">
        <v>5</v>
      </c>
      <c r="N390" s="3">
        <v>46113</v>
      </c>
      <c r="O390" s="6">
        <v>0</v>
      </c>
    </row>
    <row r="391" spans="1:15">
      <c r="A391" t="str">
        <f t="shared" si="18"/>
        <v>Cymoxan 15 WP 40 X 250 gr470270</v>
      </c>
      <c r="B391" t="s">
        <v>10210</v>
      </c>
      <c r="C391" t="s">
        <v>14773</v>
      </c>
      <c r="D391" t="s">
        <v>12294</v>
      </c>
      <c r="E391" t="s">
        <v>530</v>
      </c>
      <c r="F391">
        <v>40</v>
      </c>
      <c r="G391">
        <v>1</v>
      </c>
      <c r="H391">
        <v>1</v>
      </c>
      <c r="I391">
        <v>40</v>
      </c>
      <c r="J391">
        <v>40</v>
      </c>
      <c r="K391">
        <f t="shared" si="19"/>
        <v>1</v>
      </c>
      <c r="L391">
        <f t="shared" si="20"/>
        <v>0</v>
      </c>
      <c r="M391">
        <v>40</v>
      </c>
      <c r="N391" s="3">
        <v>47027</v>
      </c>
      <c r="O391" s="6">
        <v>0</v>
      </c>
    </row>
    <row r="392" spans="1:15">
      <c r="A392" t="str">
        <f t="shared" si="18"/>
        <v>Cymoxan 15 WP 40 X 250 gr470880</v>
      </c>
      <c r="B392" t="s">
        <v>10211</v>
      </c>
      <c r="C392" t="s">
        <v>14774</v>
      </c>
      <c r="D392" t="s">
        <v>12295</v>
      </c>
      <c r="E392" t="s">
        <v>530</v>
      </c>
      <c r="F392">
        <v>40</v>
      </c>
      <c r="G392">
        <v>1</v>
      </c>
      <c r="H392">
        <v>1</v>
      </c>
      <c r="I392">
        <v>40</v>
      </c>
      <c r="J392">
        <v>3600</v>
      </c>
      <c r="K392">
        <f t="shared" si="19"/>
        <v>90</v>
      </c>
      <c r="L392">
        <f t="shared" si="20"/>
        <v>0</v>
      </c>
      <c r="M392">
        <v>3600</v>
      </c>
      <c r="N392" s="3">
        <v>47088</v>
      </c>
      <c r="O392" s="6">
        <v>0</v>
      </c>
    </row>
    <row r="393" spans="1:15">
      <c r="A393" t="str">
        <f t="shared" si="18"/>
        <v>Cypertop 200 EW 20 X 1 ltr1/1/10000</v>
      </c>
      <c r="B393" t="s">
        <v>10212</v>
      </c>
      <c r="C393" t="s">
        <v>14775</v>
      </c>
      <c r="D393" t="s">
        <v>12296</v>
      </c>
      <c r="E393" t="s">
        <v>534</v>
      </c>
      <c r="F393">
        <v>20</v>
      </c>
      <c r="G393">
        <v>1</v>
      </c>
      <c r="H393">
        <v>1</v>
      </c>
      <c r="I393">
        <v>20</v>
      </c>
      <c r="J393">
        <v>32</v>
      </c>
      <c r="K393">
        <f t="shared" si="19"/>
        <v>1</v>
      </c>
      <c r="L393">
        <f t="shared" si="20"/>
        <v>12</v>
      </c>
      <c r="M393">
        <v>32</v>
      </c>
      <c r="N393" s="3" t="s">
        <v>2222</v>
      </c>
      <c r="O393" s="6">
        <v>0</v>
      </c>
    </row>
    <row r="394" spans="1:15">
      <c r="A394" t="str">
        <f t="shared" si="18"/>
        <v>Damazeb 80 WP Blue 20 X 800 gr454740</v>
      </c>
      <c r="B394" t="s">
        <v>10213</v>
      </c>
      <c r="C394" t="s">
        <v>14776</v>
      </c>
      <c r="D394" t="s">
        <v>12297</v>
      </c>
      <c r="E394" t="s">
        <v>535</v>
      </c>
      <c r="F394">
        <v>20</v>
      </c>
      <c r="G394">
        <v>1</v>
      </c>
      <c r="H394">
        <v>1</v>
      </c>
      <c r="I394">
        <v>20</v>
      </c>
      <c r="J394">
        <v>648</v>
      </c>
      <c r="K394">
        <f t="shared" si="19"/>
        <v>32</v>
      </c>
      <c r="L394">
        <f t="shared" si="20"/>
        <v>8</v>
      </c>
      <c r="M394">
        <v>648</v>
      </c>
      <c r="N394" s="3">
        <v>45474</v>
      </c>
      <c r="O394" s="6">
        <v>0</v>
      </c>
    </row>
    <row r="395" spans="1:15">
      <c r="A395" t="str">
        <f t="shared" si="18"/>
        <v>Damex 18 EC 10 X 1 ltr454740</v>
      </c>
      <c r="B395" t="s">
        <v>10214</v>
      </c>
      <c r="C395" t="s">
        <v>14777</v>
      </c>
      <c r="D395" t="s">
        <v>12298</v>
      </c>
      <c r="E395" t="s">
        <v>536</v>
      </c>
      <c r="F395">
        <v>10</v>
      </c>
      <c r="G395">
        <v>1</v>
      </c>
      <c r="H395">
        <v>1</v>
      </c>
      <c r="I395">
        <v>10</v>
      </c>
      <c r="J395">
        <v>9</v>
      </c>
      <c r="K395">
        <f t="shared" si="19"/>
        <v>0</v>
      </c>
      <c r="L395">
        <f t="shared" si="20"/>
        <v>9</v>
      </c>
      <c r="M395">
        <v>9</v>
      </c>
      <c r="N395" s="3">
        <v>45474</v>
      </c>
      <c r="O395" s="6">
        <v>0</v>
      </c>
    </row>
    <row r="396" spans="1:15">
      <c r="A396" t="str">
        <f t="shared" si="18"/>
        <v>Damex 18 EC 10 X 1 ltr456890</v>
      </c>
      <c r="B396" t="s">
        <v>10215</v>
      </c>
      <c r="C396" t="s">
        <v>14778</v>
      </c>
      <c r="D396" t="s">
        <v>12299</v>
      </c>
      <c r="E396" t="s">
        <v>536</v>
      </c>
      <c r="F396">
        <v>10</v>
      </c>
      <c r="G396">
        <v>1</v>
      </c>
      <c r="H396">
        <v>1</v>
      </c>
      <c r="I396">
        <v>10</v>
      </c>
      <c r="J396">
        <v>210</v>
      </c>
      <c r="K396">
        <f t="shared" si="19"/>
        <v>21</v>
      </c>
      <c r="L396">
        <f t="shared" si="20"/>
        <v>0</v>
      </c>
      <c r="M396">
        <v>210</v>
      </c>
      <c r="N396" s="3">
        <v>45689</v>
      </c>
      <c r="O396" s="6">
        <v>0</v>
      </c>
    </row>
    <row r="397" spans="1:15">
      <c r="A397" t="str">
        <f t="shared" si="18"/>
        <v>Damex 18 EC 30 X 500 ml459310</v>
      </c>
      <c r="B397" t="s">
        <v>10216</v>
      </c>
      <c r="C397" t="s">
        <v>14779</v>
      </c>
      <c r="D397" t="s">
        <v>12300</v>
      </c>
      <c r="E397" t="s">
        <v>537</v>
      </c>
      <c r="F397">
        <v>30</v>
      </c>
      <c r="G397">
        <v>1</v>
      </c>
      <c r="H397">
        <v>1</v>
      </c>
      <c r="I397">
        <v>30</v>
      </c>
      <c r="J397">
        <v>90</v>
      </c>
      <c r="K397">
        <f t="shared" si="19"/>
        <v>3</v>
      </c>
      <c r="L397">
        <f t="shared" si="20"/>
        <v>0</v>
      </c>
      <c r="M397">
        <v>90</v>
      </c>
      <c r="N397" s="3">
        <v>45931</v>
      </c>
      <c r="O397" s="6">
        <v>0</v>
      </c>
    </row>
    <row r="398" spans="1:15">
      <c r="A398" t="str">
        <f t="shared" si="18"/>
        <v>Damex 18 EC 30 X 500 ml456270</v>
      </c>
      <c r="B398" t="s">
        <v>10217</v>
      </c>
      <c r="C398" t="s">
        <v>14780</v>
      </c>
      <c r="D398" t="s">
        <v>12301</v>
      </c>
      <c r="E398" t="s">
        <v>537</v>
      </c>
      <c r="F398">
        <v>30</v>
      </c>
      <c r="G398">
        <v>1</v>
      </c>
      <c r="H398">
        <v>1</v>
      </c>
      <c r="I398">
        <v>30</v>
      </c>
      <c r="J398">
        <v>180</v>
      </c>
      <c r="K398">
        <f t="shared" si="19"/>
        <v>6</v>
      </c>
      <c r="L398">
        <f t="shared" si="20"/>
        <v>0</v>
      </c>
      <c r="M398">
        <v>180</v>
      </c>
      <c r="N398" s="3">
        <v>45627</v>
      </c>
      <c r="O398" s="6">
        <v>0</v>
      </c>
    </row>
    <row r="399" spans="1:15">
      <c r="A399" t="str">
        <f t="shared" si="18"/>
        <v>Damex 18 EC 30 X 500 ml459620</v>
      </c>
      <c r="B399" t="s">
        <v>10218</v>
      </c>
      <c r="C399" t="s">
        <v>14781</v>
      </c>
      <c r="D399" t="s">
        <v>12302</v>
      </c>
      <c r="E399" t="s">
        <v>537</v>
      </c>
      <c r="F399">
        <v>30</v>
      </c>
      <c r="G399">
        <v>1</v>
      </c>
      <c r="H399">
        <v>1</v>
      </c>
      <c r="I399">
        <v>30</v>
      </c>
      <c r="J399">
        <v>228</v>
      </c>
      <c r="K399">
        <f t="shared" si="19"/>
        <v>7</v>
      </c>
      <c r="L399">
        <f t="shared" si="20"/>
        <v>18</v>
      </c>
      <c r="M399">
        <v>228</v>
      </c>
      <c r="N399" s="3">
        <v>45962</v>
      </c>
      <c r="O399" s="6">
        <v>0</v>
      </c>
    </row>
    <row r="400" spans="1:15">
      <c r="A400" t="str">
        <f t="shared" si="18"/>
        <v>Danaxone 135 SL 20 ltr471190</v>
      </c>
      <c r="B400" t="s">
        <v>10219</v>
      </c>
      <c r="C400" t="s">
        <v>14782</v>
      </c>
      <c r="D400" t="s">
        <v>12303</v>
      </c>
      <c r="E400" t="s">
        <v>538</v>
      </c>
      <c r="F400">
        <v>1</v>
      </c>
      <c r="G400">
        <v>1</v>
      </c>
      <c r="H400">
        <v>1</v>
      </c>
      <c r="I400">
        <v>1</v>
      </c>
      <c r="J400">
        <v>40</v>
      </c>
      <c r="K400">
        <f t="shared" si="19"/>
        <v>40</v>
      </c>
      <c r="L400">
        <f t="shared" si="20"/>
        <v>0</v>
      </c>
      <c r="M400">
        <v>40</v>
      </c>
      <c r="N400" s="3">
        <v>47119</v>
      </c>
      <c r="O400" s="6">
        <v>0</v>
      </c>
    </row>
    <row r="401" spans="1:15">
      <c r="A401" t="str">
        <f t="shared" si="18"/>
        <v>Danaxone 135 SL 20 X 1 ltr471190</v>
      </c>
      <c r="B401" t="s">
        <v>10220</v>
      </c>
      <c r="C401" t="s">
        <v>14783</v>
      </c>
      <c r="D401" t="s">
        <v>12304</v>
      </c>
      <c r="E401" t="s">
        <v>540</v>
      </c>
      <c r="F401">
        <v>20</v>
      </c>
      <c r="G401">
        <v>1</v>
      </c>
      <c r="H401">
        <v>1</v>
      </c>
      <c r="I401">
        <v>20</v>
      </c>
      <c r="J401">
        <v>2150</v>
      </c>
      <c r="K401">
        <f t="shared" si="19"/>
        <v>107</v>
      </c>
      <c r="L401">
        <f t="shared" si="20"/>
        <v>10</v>
      </c>
      <c r="M401">
        <v>2150</v>
      </c>
      <c r="N401" s="3">
        <v>47119</v>
      </c>
      <c r="O401" s="6">
        <v>0</v>
      </c>
    </row>
    <row r="402" spans="1:15">
      <c r="A402" t="str">
        <f t="shared" si="18"/>
        <v>Danaxone 135 SL 4 X 5 ltr470880</v>
      </c>
      <c r="B402" t="s">
        <v>10221</v>
      </c>
      <c r="C402" t="s">
        <v>14784</v>
      </c>
      <c r="D402" t="s">
        <v>12305</v>
      </c>
      <c r="E402" t="s">
        <v>542</v>
      </c>
      <c r="F402">
        <v>4</v>
      </c>
      <c r="G402">
        <v>1</v>
      </c>
      <c r="H402">
        <v>1</v>
      </c>
      <c r="I402">
        <v>4</v>
      </c>
      <c r="J402">
        <v>152</v>
      </c>
      <c r="K402">
        <f t="shared" si="19"/>
        <v>38</v>
      </c>
      <c r="L402">
        <f t="shared" si="20"/>
        <v>0</v>
      </c>
      <c r="M402">
        <v>152</v>
      </c>
      <c r="N402" s="3">
        <v>47088</v>
      </c>
      <c r="O402" s="6">
        <v>0</v>
      </c>
    </row>
    <row r="403" spans="1:15">
      <c r="A403" t="str">
        <f t="shared" si="18"/>
        <v>Decis 2.5 EC 100 X 100 ml468440</v>
      </c>
      <c r="B403" t="s">
        <v>10222</v>
      </c>
      <c r="C403" t="s">
        <v>14785</v>
      </c>
      <c r="D403" t="s">
        <v>12306</v>
      </c>
      <c r="E403" t="s">
        <v>544</v>
      </c>
      <c r="F403">
        <v>100</v>
      </c>
      <c r="G403">
        <v>1</v>
      </c>
      <c r="H403">
        <v>1</v>
      </c>
      <c r="I403">
        <v>100</v>
      </c>
      <c r="J403">
        <v>22980</v>
      </c>
      <c r="K403">
        <f t="shared" si="19"/>
        <v>229</v>
      </c>
      <c r="L403">
        <f t="shared" si="20"/>
        <v>80</v>
      </c>
      <c r="M403">
        <v>22980</v>
      </c>
      <c r="N403" s="3">
        <v>46844</v>
      </c>
      <c r="O403" s="6">
        <v>0</v>
      </c>
    </row>
    <row r="404" spans="1:15">
      <c r="A404" t="str">
        <f t="shared" si="18"/>
        <v>Decis 2.5 EC 100 X 50 ml468740</v>
      </c>
      <c r="B404" t="s">
        <v>10223</v>
      </c>
      <c r="C404" t="s">
        <v>14786</v>
      </c>
      <c r="D404" t="s">
        <v>12307</v>
      </c>
      <c r="E404" t="s">
        <v>547</v>
      </c>
      <c r="F404">
        <v>100</v>
      </c>
      <c r="G404">
        <v>1</v>
      </c>
      <c r="H404">
        <v>1</v>
      </c>
      <c r="I404">
        <v>100</v>
      </c>
      <c r="J404">
        <v>39977</v>
      </c>
      <c r="K404">
        <f t="shared" si="19"/>
        <v>399</v>
      </c>
      <c r="L404">
        <f t="shared" si="20"/>
        <v>77</v>
      </c>
      <c r="M404">
        <v>39977</v>
      </c>
      <c r="N404" s="3">
        <v>46874</v>
      </c>
      <c r="O404" s="6">
        <v>0</v>
      </c>
    </row>
    <row r="405" spans="1:15">
      <c r="A405" t="str">
        <f t="shared" si="18"/>
        <v>Decis 2.5 EC 20 X 500 ml467530</v>
      </c>
      <c r="B405" t="s">
        <v>10224</v>
      </c>
      <c r="C405" t="s">
        <v>14787</v>
      </c>
      <c r="D405" t="s">
        <v>12308</v>
      </c>
      <c r="E405" t="s">
        <v>551</v>
      </c>
      <c r="F405">
        <v>20</v>
      </c>
      <c r="G405">
        <v>1</v>
      </c>
      <c r="H405">
        <v>1</v>
      </c>
      <c r="I405">
        <v>20</v>
      </c>
      <c r="J405">
        <v>2129</v>
      </c>
      <c r="K405">
        <f t="shared" si="19"/>
        <v>106</v>
      </c>
      <c r="L405">
        <f t="shared" si="20"/>
        <v>9</v>
      </c>
      <c r="M405">
        <v>2129</v>
      </c>
      <c r="N405" s="3">
        <v>46753</v>
      </c>
      <c r="O405" s="6">
        <v>0</v>
      </c>
    </row>
    <row r="406" spans="1:15">
      <c r="A406" t="str">
        <f t="shared" si="18"/>
        <v>Decis 2.5 EC 40 X 250 ml467840</v>
      </c>
      <c r="B406" t="s">
        <v>10225</v>
      </c>
      <c r="C406" t="s">
        <v>14788</v>
      </c>
      <c r="D406" t="s">
        <v>12309</v>
      </c>
      <c r="E406" t="s">
        <v>554</v>
      </c>
      <c r="F406">
        <v>40</v>
      </c>
      <c r="G406">
        <v>1</v>
      </c>
      <c r="H406">
        <v>1</v>
      </c>
      <c r="I406">
        <v>40</v>
      </c>
      <c r="J406">
        <v>3410</v>
      </c>
      <c r="K406">
        <f t="shared" si="19"/>
        <v>85</v>
      </c>
      <c r="L406">
        <f t="shared" si="20"/>
        <v>10</v>
      </c>
      <c r="M406">
        <v>3410</v>
      </c>
      <c r="N406" s="3">
        <v>46784</v>
      </c>
      <c r="O406" s="6">
        <v>0</v>
      </c>
    </row>
    <row r="407" spans="1:15">
      <c r="A407" t="str">
        <f t="shared" si="18"/>
        <v>Decis 2.5 EC 40 X 250 ml468440</v>
      </c>
      <c r="B407" t="s">
        <v>10226</v>
      </c>
      <c r="C407" t="s">
        <v>14789</v>
      </c>
      <c r="D407" t="s">
        <v>12310</v>
      </c>
      <c r="E407" t="s">
        <v>554</v>
      </c>
      <c r="F407">
        <v>40</v>
      </c>
      <c r="G407">
        <v>1</v>
      </c>
      <c r="H407">
        <v>1</v>
      </c>
      <c r="I407">
        <v>40</v>
      </c>
      <c r="J407">
        <v>1360</v>
      </c>
      <c r="K407">
        <f t="shared" si="19"/>
        <v>34</v>
      </c>
      <c r="L407">
        <f t="shared" si="20"/>
        <v>0</v>
      </c>
      <c r="M407">
        <v>1360</v>
      </c>
      <c r="N407" s="3">
        <v>46844</v>
      </c>
      <c r="O407" s="6">
        <v>0</v>
      </c>
    </row>
    <row r="408" spans="1:15">
      <c r="A408" t="str">
        <f t="shared" si="18"/>
        <v>Dekamon 22,43 L 50 X 100 ml462960</v>
      </c>
      <c r="B408" t="s">
        <v>10227</v>
      </c>
      <c r="C408" t="s">
        <v>14790</v>
      </c>
      <c r="D408" t="s">
        <v>12311</v>
      </c>
      <c r="E408" t="s">
        <v>558</v>
      </c>
      <c r="F408">
        <v>50</v>
      </c>
      <c r="G408">
        <v>1</v>
      </c>
      <c r="H408">
        <v>1</v>
      </c>
      <c r="I408">
        <v>50</v>
      </c>
      <c r="J408">
        <v>1031</v>
      </c>
      <c r="K408">
        <f t="shared" si="19"/>
        <v>20</v>
      </c>
      <c r="L408">
        <f t="shared" si="20"/>
        <v>31</v>
      </c>
      <c r="M408">
        <v>1031</v>
      </c>
      <c r="N408" s="3">
        <v>46296</v>
      </c>
      <c r="O408" s="6">
        <v>0</v>
      </c>
    </row>
    <row r="409" spans="1:15">
      <c r="A409" t="str">
        <f t="shared" si="18"/>
        <v>Dekamon 22.43 L 12 X 1 ltr461740</v>
      </c>
      <c r="B409" t="s">
        <v>10228</v>
      </c>
      <c r="C409" t="s">
        <v>14791</v>
      </c>
      <c r="D409" t="s">
        <v>12312</v>
      </c>
      <c r="E409" t="s">
        <v>561</v>
      </c>
      <c r="F409">
        <v>12</v>
      </c>
      <c r="G409">
        <v>1</v>
      </c>
      <c r="H409">
        <v>1</v>
      </c>
      <c r="I409">
        <v>12</v>
      </c>
      <c r="J409">
        <v>661</v>
      </c>
      <c r="K409">
        <f t="shared" si="19"/>
        <v>55</v>
      </c>
      <c r="L409">
        <f t="shared" si="20"/>
        <v>1</v>
      </c>
      <c r="M409">
        <v>661</v>
      </c>
      <c r="N409" s="3">
        <v>46174</v>
      </c>
      <c r="O409" s="6">
        <v>0</v>
      </c>
    </row>
    <row r="410" spans="1:15">
      <c r="A410" t="str">
        <f t="shared" si="18"/>
        <v>Dekapirim 400 SC 20 X 500 ml460540</v>
      </c>
      <c r="B410" t="s">
        <v>10229</v>
      </c>
      <c r="C410" t="s">
        <v>14792</v>
      </c>
      <c r="D410" t="s">
        <v>12313</v>
      </c>
      <c r="E410" t="s">
        <v>563</v>
      </c>
      <c r="F410">
        <v>20</v>
      </c>
      <c r="G410">
        <v>1</v>
      </c>
      <c r="H410">
        <v>1</v>
      </c>
      <c r="I410">
        <v>20</v>
      </c>
      <c r="J410">
        <v>4</v>
      </c>
      <c r="K410">
        <f t="shared" si="19"/>
        <v>0</v>
      </c>
      <c r="L410">
        <f t="shared" si="20"/>
        <v>4</v>
      </c>
      <c r="M410">
        <v>4</v>
      </c>
      <c r="N410" s="3">
        <v>46054</v>
      </c>
      <c r="O410" s="6">
        <v>0</v>
      </c>
    </row>
    <row r="411" spans="1:15">
      <c r="A411" t="str">
        <f t="shared" si="18"/>
        <v>Dekapirim 400 SC 20 X 500 ml461740</v>
      </c>
      <c r="B411" t="s">
        <v>10230</v>
      </c>
      <c r="C411" t="s">
        <v>14793</v>
      </c>
      <c r="D411" t="s">
        <v>12314</v>
      </c>
      <c r="E411" t="s">
        <v>563</v>
      </c>
      <c r="F411">
        <v>20</v>
      </c>
      <c r="G411">
        <v>1</v>
      </c>
      <c r="H411">
        <v>1</v>
      </c>
      <c r="I411">
        <v>20</v>
      </c>
      <c r="J411">
        <v>53</v>
      </c>
      <c r="K411">
        <f t="shared" si="19"/>
        <v>2</v>
      </c>
      <c r="L411">
        <f t="shared" si="20"/>
        <v>13</v>
      </c>
      <c r="M411">
        <v>53</v>
      </c>
      <c r="N411" s="3">
        <v>46174</v>
      </c>
      <c r="O411" s="6">
        <v>0</v>
      </c>
    </row>
    <row r="412" spans="1:15">
      <c r="A412" t="str">
        <f t="shared" si="18"/>
        <v>Dekapirim 400 SC 50 X 100 ml464190</v>
      </c>
      <c r="B412" t="s">
        <v>10231</v>
      </c>
      <c r="C412" t="s">
        <v>14794</v>
      </c>
      <c r="D412" t="s">
        <v>12315</v>
      </c>
      <c r="E412" t="s">
        <v>566</v>
      </c>
      <c r="F412">
        <v>50</v>
      </c>
      <c r="G412">
        <v>1</v>
      </c>
      <c r="H412">
        <v>1</v>
      </c>
      <c r="I412">
        <v>50</v>
      </c>
      <c r="J412">
        <v>2</v>
      </c>
      <c r="K412">
        <f t="shared" si="19"/>
        <v>0</v>
      </c>
      <c r="L412">
        <f t="shared" si="20"/>
        <v>2</v>
      </c>
      <c r="M412">
        <v>2</v>
      </c>
      <c r="N412" s="3">
        <v>46419</v>
      </c>
      <c r="O412" s="6">
        <v>0</v>
      </c>
    </row>
    <row r="413" spans="1:15">
      <c r="A413" t="str">
        <f t="shared" si="18"/>
        <v>Dektin 30 WG 12 X 500 gr456270</v>
      </c>
      <c r="B413" t="s">
        <v>10232</v>
      </c>
      <c r="C413" t="s">
        <v>14795</v>
      </c>
      <c r="D413" t="s">
        <v>12316</v>
      </c>
      <c r="E413" t="s">
        <v>568</v>
      </c>
      <c r="F413">
        <v>12</v>
      </c>
      <c r="G413">
        <v>1</v>
      </c>
      <c r="H413">
        <v>1</v>
      </c>
      <c r="I413">
        <v>12</v>
      </c>
      <c r="J413">
        <v>318</v>
      </c>
      <c r="K413">
        <f t="shared" si="19"/>
        <v>26</v>
      </c>
      <c r="L413">
        <f t="shared" si="20"/>
        <v>6</v>
      </c>
      <c r="M413">
        <v>318</v>
      </c>
      <c r="N413" s="3">
        <v>45627</v>
      </c>
      <c r="O413" s="6">
        <v>0</v>
      </c>
    </row>
    <row r="414" spans="1:15">
      <c r="A414" t="str">
        <f t="shared" si="18"/>
        <v>Dektin 30 WG 20 X 200 gr455660</v>
      </c>
      <c r="B414" t="s">
        <v>10233</v>
      </c>
      <c r="C414" t="s">
        <v>14796</v>
      </c>
      <c r="D414" t="s">
        <v>12317</v>
      </c>
      <c r="E414" t="s">
        <v>570</v>
      </c>
      <c r="F414">
        <v>20</v>
      </c>
      <c r="G414">
        <v>1</v>
      </c>
      <c r="H414">
        <v>1</v>
      </c>
      <c r="I414">
        <v>20</v>
      </c>
      <c r="J414">
        <v>60</v>
      </c>
      <c r="K414">
        <f t="shared" si="19"/>
        <v>3</v>
      </c>
      <c r="L414">
        <f t="shared" si="20"/>
        <v>0</v>
      </c>
      <c r="M414">
        <v>60</v>
      </c>
      <c r="N414" s="3">
        <v>45566</v>
      </c>
      <c r="O414" s="6">
        <v>0</v>
      </c>
    </row>
    <row r="415" spans="1:15">
      <c r="A415" t="str">
        <f t="shared" si="18"/>
        <v>Dektin 30 WG 20 X 200 gr462350</v>
      </c>
      <c r="B415" t="s">
        <v>10234</v>
      </c>
      <c r="C415" t="s">
        <v>14797</v>
      </c>
      <c r="D415" t="s">
        <v>12318</v>
      </c>
      <c r="E415" t="s">
        <v>570</v>
      </c>
      <c r="F415">
        <v>20</v>
      </c>
      <c r="G415">
        <v>1</v>
      </c>
      <c r="H415">
        <v>1</v>
      </c>
      <c r="I415">
        <v>20</v>
      </c>
      <c r="J415">
        <v>104</v>
      </c>
      <c r="K415">
        <f t="shared" si="19"/>
        <v>5</v>
      </c>
      <c r="L415">
        <f t="shared" si="20"/>
        <v>4</v>
      </c>
      <c r="M415">
        <v>104</v>
      </c>
      <c r="N415" s="3">
        <v>46235</v>
      </c>
      <c r="O415" s="6">
        <v>0</v>
      </c>
    </row>
    <row r="416" spans="1:15">
      <c r="A416" t="str">
        <f t="shared" si="18"/>
        <v>Dektin 30 WG 50 X 50 gr462350</v>
      </c>
      <c r="B416" t="s">
        <v>10235</v>
      </c>
      <c r="C416" t="s">
        <v>14798</v>
      </c>
      <c r="D416" t="s">
        <v>12319</v>
      </c>
      <c r="E416" t="s">
        <v>573</v>
      </c>
      <c r="F416">
        <v>50</v>
      </c>
      <c r="G416">
        <v>1</v>
      </c>
      <c r="H416">
        <v>1</v>
      </c>
      <c r="I416">
        <v>50</v>
      </c>
      <c r="J416">
        <v>11</v>
      </c>
      <c r="K416">
        <f t="shared" si="19"/>
        <v>0</v>
      </c>
      <c r="L416">
        <f t="shared" si="20"/>
        <v>11</v>
      </c>
      <c r="M416">
        <v>11</v>
      </c>
      <c r="N416" s="3">
        <v>46235</v>
      </c>
      <c r="O416" s="6">
        <v>0</v>
      </c>
    </row>
    <row r="417" spans="1:15">
      <c r="A417" t="str">
        <f t="shared" si="18"/>
        <v>Dektin 30 WG 50 X 50 gr465390</v>
      </c>
      <c r="B417" t="s">
        <v>10236</v>
      </c>
      <c r="C417" t="s">
        <v>14799</v>
      </c>
      <c r="D417" t="s">
        <v>12320</v>
      </c>
      <c r="E417" t="s">
        <v>573</v>
      </c>
      <c r="F417">
        <v>50</v>
      </c>
      <c r="G417">
        <v>1</v>
      </c>
      <c r="H417">
        <v>1</v>
      </c>
      <c r="I417">
        <v>50</v>
      </c>
      <c r="J417">
        <v>800</v>
      </c>
      <c r="K417">
        <f t="shared" si="19"/>
        <v>16</v>
      </c>
      <c r="L417">
        <f t="shared" si="20"/>
        <v>0</v>
      </c>
      <c r="M417">
        <v>800</v>
      </c>
      <c r="N417" s="3">
        <v>46539</v>
      </c>
      <c r="O417" s="6">
        <v>0</v>
      </c>
    </row>
    <row r="418" spans="1:15">
      <c r="A418" t="str">
        <f t="shared" si="18"/>
        <v>Dellacid 525 EC 20 x 1 ltr466000</v>
      </c>
      <c r="B418" t="s">
        <v>10237</v>
      </c>
      <c r="C418" t="s">
        <v>14800</v>
      </c>
      <c r="D418" t="s">
        <v>12321</v>
      </c>
      <c r="E418" t="s">
        <v>576</v>
      </c>
      <c r="F418">
        <v>20</v>
      </c>
      <c r="G418">
        <v>1</v>
      </c>
      <c r="H418">
        <v>1</v>
      </c>
      <c r="I418">
        <v>20</v>
      </c>
      <c r="J418">
        <v>20</v>
      </c>
      <c r="K418">
        <f t="shared" si="19"/>
        <v>1</v>
      </c>
      <c r="L418">
        <f t="shared" si="20"/>
        <v>0</v>
      </c>
      <c r="M418">
        <v>20</v>
      </c>
      <c r="N418" s="3">
        <v>46600</v>
      </c>
      <c r="O418" s="6">
        <v>0</v>
      </c>
    </row>
    <row r="419" spans="1:15">
      <c r="A419" t="str">
        <f t="shared" si="18"/>
        <v>Dellacid 525 EC 25 X 500 ml461740</v>
      </c>
      <c r="B419" t="s">
        <v>10238</v>
      </c>
      <c r="C419" t="s">
        <v>14801</v>
      </c>
      <c r="D419" t="s">
        <v>12322</v>
      </c>
      <c r="E419" t="s">
        <v>577</v>
      </c>
      <c r="F419">
        <v>25</v>
      </c>
      <c r="G419">
        <v>1</v>
      </c>
      <c r="H419">
        <v>1</v>
      </c>
      <c r="I419">
        <v>25</v>
      </c>
      <c r="J419">
        <v>22</v>
      </c>
      <c r="K419">
        <f t="shared" si="19"/>
        <v>0</v>
      </c>
      <c r="L419">
        <f t="shared" si="20"/>
        <v>22</v>
      </c>
      <c r="M419">
        <v>22</v>
      </c>
      <c r="N419" s="3">
        <v>46174</v>
      </c>
      <c r="O419" s="6">
        <v>0</v>
      </c>
    </row>
    <row r="420" spans="1:15">
      <c r="A420" t="str">
        <f t="shared" si="18"/>
        <v>Dellacid 525 EC 25 X 500 ml467840</v>
      </c>
      <c r="B420" t="s">
        <v>10239</v>
      </c>
      <c r="C420" t="s">
        <v>14802</v>
      </c>
      <c r="D420" t="s">
        <v>12323</v>
      </c>
      <c r="E420" t="s">
        <v>577</v>
      </c>
      <c r="F420">
        <v>25</v>
      </c>
      <c r="G420">
        <v>1</v>
      </c>
      <c r="H420">
        <v>1</v>
      </c>
      <c r="I420">
        <v>25</v>
      </c>
      <c r="J420">
        <v>625</v>
      </c>
      <c r="K420">
        <f t="shared" si="19"/>
        <v>25</v>
      </c>
      <c r="L420">
        <f t="shared" si="20"/>
        <v>0</v>
      </c>
      <c r="M420">
        <v>625</v>
      </c>
      <c r="N420" s="3">
        <v>46784</v>
      </c>
      <c r="O420" s="6">
        <v>0</v>
      </c>
    </row>
    <row r="421" spans="1:15">
      <c r="A421" t="str">
        <f t="shared" si="18"/>
        <v>Dellacid 525 EC 40 x 200 ml461740</v>
      </c>
      <c r="B421" t="s">
        <v>10240</v>
      </c>
      <c r="C421" t="s">
        <v>14803</v>
      </c>
      <c r="D421" t="s">
        <v>12324</v>
      </c>
      <c r="E421" t="s">
        <v>578</v>
      </c>
      <c r="F421">
        <v>40</v>
      </c>
      <c r="G421">
        <v>1</v>
      </c>
      <c r="H421">
        <v>1</v>
      </c>
      <c r="I421">
        <v>40</v>
      </c>
      <c r="J421">
        <v>5</v>
      </c>
      <c r="K421">
        <f t="shared" si="19"/>
        <v>0</v>
      </c>
      <c r="L421">
        <f t="shared" si="20"/>
        <v>5</v>
      </c>
      <c r="M421">
        <v>5</v>
      </c>
      <c r="N421" s="3">
        <v>46174</v>
      </c>
      <c r="O421" s="6">
        <v>0</v>
      </c>
    </row>
    <row r="422" spans="1:15">
      <c r="A422" t="str">
        <f t="shared" si="18"/>
        <v>Demoflag Armeira1/1/10000</v>
      </c>
      <c r="B422" t="s">
        <v>10241</v>
      </c>
      <c r="C422" t="s">
        <v>14804</v>
      </c>
      <c r="D422" t="s">
        <v>12325</v>
      </c>
      <c r="E422" t="s">
        <v>579</v>
      </c>
      <c r="F422">
        <v>1</v>
      </c>
      <c r="G422">
        <v>1</v>
      </c>
      <c r="H422">
        <v>1</v>
      </c>
      <c r="I422">
        <v>1</v>
      </c>
      <c r="J422">
        <v>610</v>
      </c>
      <c r="K422">
        <f t="shared" si="19"/>
        <v>610</v>
      </c>
      <c r="L422">
        <f t="shared" si="20"/>
        <v>0</v>
      </c>
      <c r="M422">
        <v>610</v>
      </c>
      <c r="N422" s="3" t="s">
        <v>2222</v>
      </c>
      <c r="O422" s="6">
        <v>0</v>
      </c>
    </row>
    <row r="423" spans="1:15">
      <c r="A423" t="str">
        <f t="shared" si="18"/>
        <v>Demoflag Castora1/1/10000</v>
      </c>
      <c r="B423" t="s">
        <v>10242</v>
      </c>
      <c r="C423" t="s">
        <v>14805</v>
      </c>
      <c r="D423" t="s">
        <v>12326</v>
      </c>
      <c r="E423" t="s">
        <v>580</v>
      </c>
      <c r="F423">
        <v>1</v>
      </c>
      <c r="G423">
        <v>1</v>
      </c>
      <c r="H423">
        <v>1</v>
      </c>
      <c r="I423">
        <v>1</v>
      </c>
      <c r="J423">
        <v>790</v>
      </c>
      <c r="K423">
        <f t="shared" si="19"/>
        <v>790</v>
      </c>
      <c r="L423">
        <f t="shared" si="20"/>
        <v>0</v>
      </c>
      <c r="M423">
        <v>790</v>
      </c>
      <c r="N423" s="3" t="s">
        <v>2222</v>
      </c>
      <c r="O423" s="6">
        <v>0</v>
      </c>
    </row>
    <row r="424" spans="1:15">
      <c r="A424" t="str">
        <f t="shared" si="18"/>
        <v>Demoflag Desanto1/1/10000</v>
      </c>
      <c r="B424" t="s">
        <v>10243</v>
      </c>
      <c r="C424" t="s">
        <v>14806</v>
      </c>
      <c r="D424" t="s">
        <v>12327</v>
      </c>
      <c r="E424" t="s">
        <v>581</v>
      </c>
      <c r="F424">
        <v>1</v>
      </c>
      <c r="G424">
        <v>1</v>
      </c>
      <c r="H424">
        <v>1</v>
      </c>
      <c r="I424">
        <v>1</v>
      </c>
      <c r="J424">
        <v>5105</v>
      </c>
      <c r="K424">
        <f t="shared" si="19"/>
        <v>5105</v>
      </c>
      <c r="L424">
        <f t="shared" si="20"/>
        <v>0</v>
      </c>
      <c r="M424">
        <v>5105</v>
      </c>
      <c r="N424" s="3" t="s">
        <v>2222</v>
      </c>
      <c r="O424" s="6">
        <v>0</v>
      </c>
    </row>
    <row r="425" spans="1:15">
      <c r="A425" t="str">
        <f t="shared" si="18"/>
        <v>Demoflag Elazaro1/1/10000</v>
      </c>
      <c r="B425" t="s">
        <v>10244</v>
      </c>
      <c r="C425" t="s">
        <v>14807</v>
      </c>
      <c r="D425" t="s">
        <v>12328</v>
      </c>
      <c r="E425" t="s">
        <v>582</v>
      </c>
      <c r="F425">
        <v>1</v>
      </c>
      <c r="G425">
        <v>1</v>
      </c>
      <c r="H425">
        <v>1</v>
      </c>
      <c r="I425">
        <v>1</v>
      </c>
      <c r="J425">
        <v>5205</v>
      </c>
      <c r="K425">
        <f t="shared" si="19"/>
        <v>5205</v>
      </c>
      <c r="L425">
        <f t="shared" si="20"/>
        <v>0</v>
      </c>
      <c r="M425">
        <v>5205</v>
      </c>
      <c r="N425" s="3" t="s">
        <v>2222</v>
      </c>
      <c r="O425" s="6">
        <v>0</v>
      </c>
    </row>
    <row r="426" spans="1:15">
      <c r="A426" t="str">
        <f t="shared" si="18"/>
        <v>Demoflag Gardara1/1/10000</v>
      </c>
      <c r="B426" t="s">
        <v>10245</v>
      </c>
      <c r="C426" t="s">
        <v>14808</v>
      </c>
      <c r="D426" t="s">
        <v>12329</v>
      </c>
      <c r="E426" t="s">
        <v>583</v>
      </c>
      <c r="F426">
        <v>1</v>
      </c>
      <c r="G426">
        <v>1</v>
      </c>
      <c r="H426">
        <v>1</v>
      </c>
      <c r="I426">
        <v>1</v>
      </c>
      <c r="J426">
        <v>450</v>
      </c>
      <c r="K426">
        <f t="shared" si="19"/>
        <v>450</v>
      </c>
      <c r="L426">
        <f t="shared" si="20"/>
        <v>0</v>
      </c>
      <c r="M426">
        <v>450</v>
      </c>
      <c r="N426" s="3" t="s">
        <v>2222</v>
      </c>
      <c r="O426" s="6">
        <v>0</v>
      </c>
    </row>
    <row r="427" spans="1:15">
      <c r="A427" t="str">
        <f t="shared" si="18"/>
        <v>Demoflag Piraklo1/1/10000</v>
      </c>
      <c r="B427" t="s">
        <v>10246</v>
      </c>
      <c r="C427" t="s">
        <v>14809</v>
      </c>
      <c r="D427" t="s">
        <v>12330</v>
      </c>
      <c r="E427" t="s">
        <v>584</v>
      </c>
      <c r="F427">
        <v>1</v>
      </c>
      <c r="G427">
        <v>1</v>
      </c>
      <c r="H427">
        <v>1</v>
      </c>
      <c r="I427">
        <v>1</v>
      </c>
      <c r="J427">
        <v>4715</v>
      </c>
      <c r="K427">
        <f t="shared" si="19"/>
        <v>4715</v>
      </c>
      <c r="L427">
        <f t="shared" si="20"/>
        <v>0</v>
      </c>
      <c r="M427">
        <v>4715</v>
      </c>
      <c r="N427" s="3" t="s">
        <v>2222</v>
      </c>
      <c r="O427" s="6">
        <v>0</v>
      </c>
    </row>
    <row r="428" spans="1:15">
      <c r="A428" t="str">
        <f t="shared" si="18"/>
        <v>Demoflag Vishaka1/1/10000</v>
      </c>
      <c r="B428" t="s">
        <v>10247</v>
      </c>
      <c r="C428" t="s">
        <v>14810</v>
      </c>
      <c r="D428" t="s">
        <v>12331</v>
      </c>
      <c r="E428" t="s">
        <v>585</v>
      </c>
      <c r="F428">
        <v>1</v>
      </c>
      <c r="G428">
        <v>1</v>
      </c>
      <c r="H428">
        <v>1</v>
      </c>
      <c r="I428">
        <v>1</v>
      </c>
      <c r="J428">
        <v>355</v>
      </c>
      <c r="K428">
        <f t="shared" si="19"/>
        <v>355</v>
      </c>
      <c r="L428">
        <f t="shared" si="20"/>
        <v>0</v>
      </c>
      <c r="M428">
        <v>355</v>
      </c>
      <c r="N428" s="3" t="s">
        <v>2222</v>
      </c>
      <c r="O428" s="6">
        <v>0</v>
      </c>
    </row>
    <row r="429" spans="1:15">
      <c r="A429" t="str">
        <f t="shared" si="18"/>
        <v>Desanto 200 SL 100 X 100 ml456580</v>
      </c>
      <c r="B429" t="s">
        <v>10248</v>
      </c>
      <c r="C429" t="s">
        <v>14811</v>
      </c>
      <c r="D429" t="s">
        <v>12332</v>
      </c>
      <c r="E429" t="s">
        <v>586</v>
      </c>
      <c r="F429">
        <v>100</v>
      </c>
      <c r="G429">
        <v>1</v>
      </c>
      <c r="H429">
        <v>1</v>
      </c>
      <c r="I429">
        <v>100</v>
      </c>
      <c r="J429">
        <v>105</v>
      </c>
      <c r="K429">
        <f t="shared" si="19"/>
        <v>1</v>
      </c>
      <c r="L429">
        <f t="shared" si="20"/>
        <v>5</v>
      </c>
      <c r="M429">
        <v>105</v>
      </c>
      <c r="N429" s="3">
        <v>45658</v>
      </c>
      <c r="O429" s="6">
        <v>0</v>
      </c>
    </row>
    <row r="430" spans="1:15">
      <c r="A430" t="str">
        <f t="shared" si="18"/>
        <v>Desanto 200 SL 40 X 250 ml469350</v>
      </c>
      <c r="B430" t="s">
        <v>10249</v>
      </c>
      <c r="C430" t="s">
        <v>14812</v>
      </c>
      <c r="D430" t="s">
        <v>12333</v>
      </c>
      <c r="E430" t="s">
        <v>588</v>
      </c>
      <c r="F430">
        <v>40</v>
      </c>
      <c r="G430">
        <v>1</v>
      </c>
      <c r="H430">
        <v>1</v>
      </c>
      <c r="I430">
        <v>40</v>
      </c>
      <c r="J430">
        <v>26589</v>
      </c>
      <c r="K430">
        <f t="shared" si="19"/>
        <v>664</v>
      </c>
      <c r="L430">
        <f t="shared" si="20"/>
        <v>29</v>
      </c>
      <c r="M430">
        <v>26589</v>
      </c>
      <c r="N430" s="3">
        <v>46935</v>
      </c>
      <c r="O430" s="6">
        <v>0</v>
      </c>
    </row>
    <row r="431" spans="1:15">
      <c r="A431" t="str">
        <f t="shared" si="18"/>
        <v>Desanto 200 SL 40 X 250 ml1/1/10000</v>
      </c>
      <c r="B431" t="s">
        <v>10250</v>
      </c>
      <c r="C431" t="s">
        <v>14813</v>
      </c>
      <c r="D431" t="s">
        <v>12334</v>
      </c>
      <c r="E431" t="s">
        <v>588</v>
      </c>
      <c r="F431">
        <v>40</v>
      </c>
      <c r="G431">
        <v>1</v>
      </c>
      <c r="H431">
        <v>1</v>
      </c>
      <c r="I431">
        <v>40</v>
      </c>
      <c r="J431">
        <v>1</v>
      </c>
      <c r="K431">
        <f t="shared" si="19"/>
        <v>0</v>
      </c>
      <c r="L431">
        <f t="shared" si="20"/>
        <v>1</v>
      </c>
      <c r="M431">
        <v>1</v>
      </c>
      <c r="N431" s="3" t="s">
        <v>2222</v>
      </c>
      <c r="O431" s="6">
        <v>0</v>
      </c>
    </row>
    <row r="432" spans="1:15">
      <c r="A432" t="str">
        <f t="shared" si="18"/>
        <v>Desanto 200 SL 40 X 250 ml458090</v>
      </c>
      <c r="B432" t="s">
        <v>10251</v>
      </c>
      <c r="C432" t="s">
        <v>14814</v>
      </c>
      <c r="D432" t="s">
        <v>12335</v>
      </c>
      <c r="E432" t="s">
        <v>588</v>
      </c>
      <c r="F432">
        <v>40</v>
      </c>
      <c r="G432">
        <v>1</v>
      </c>
      <c r="H432">
        <v>1</v>
      </c>
      <c r="I432">
        <v>40</v>
      </c>
      <c r="J432">
        <v>109</v>
      </c>
      <c r="K432">
        <f t="shared" si="19"/>
        <v>2</v>
      </c>
      <c r="L432">
        <f t="shared" si="20"/>
        <v>29</v>
      </c>
      <c r="M432">
        <v>109</v>
      </c>
      <c r="N432" s="3">
        <v>45809</v>
      </c>
      <c r="O432" s="6">
        <v>0</v>
      </c>
    </row>
    <row r="433" spans="1:15">
      <c r="A433" t="str">
        <f t="shared" si="18"/>
        <v>Dewa Dewi 15 X 1 ltr472390</v>
      </c>
      <c r="B433" t="s">
        <v>10252</v>
      </c>
      <c r="C433" t="s">
        <v>14815</v>
      </c>
      <c r="D433" t="s">
        <v>12336</v>
      </c>
      <c r="E433" t="s">
        <v>590</v>
      </c>
      <c r="F433">
        <v>15</v>
      </c>
      <c r="G433">
        <v>1</v>
      </c>
      <c r="H433">
        <v>1</v>
      </c>
      <c r="I433">
        <v>15</v>
      </c>
      <c r="J433">
        <v>2164</v>
      </c>
      <c r="K433">
        <f t="shared" si="19"/>
        <v>144</v>
      </c>
      <c r="L433">
        <f t="shared" si="20"/>
        <v>4</v>
      </c>
      <c r="M433">
        <v>2164</v>
      </c>
      <c r="N433" s="3">
        <v>47239</v>
      </c>
      <c r="O433" s="6">
        <v>0</v>
      </c>
    </row>
    <row r="434" spans="1:15">
      <c r="A434" t="str">
        <f t="shared" si="18"/>
        <v>Dewa Dewi 20 X 500 ml467530</v>
      </c>
      <c r="B434" t="s">
        <v>10253</v>
      </c>
      <c r="C434" t="s">
        <v>14816</v>
      </c>
      <c r="D434" t="s">
        <v>12337</v>
      </c>
      <c r="E434" t="s">
        <v>591</v>
      </c>
      <c r="F434">
        <v>20</v>
      </c>
      <c r="G434">
        <v>1</v>
      </c>
      <c r="H434">
        <v>1</v>
      </c>
      <c r="I434">
        <v>20</v>
      </c>
      <c r="J434">
        <v>237</v>
      </c>
      <c r="K434">
        <f t="shared" si="19"/>
        <v>11</v>
      </c>
      <c r="L434">
        <f t="shared" si="20"/>
        <v>17</v>
      </c>
      <c r="M434">
        <v>237</v>
      </c>
      <c r="N434" s="3">
        <v>46753</v>
      </c>
      <c r="O434" s="6">
        <v>0</v>
      </c>
    </row>
    <row r="435" spans="1:15">
      <c r="A435" t="str">
        <f t="shared" si="18"/>
        <v>Dewa Dewi 20 X 500 ml471780</v>
      </c>
      <c r="B435" t="s">
        <v>10254</v>
      </c>
      <c r="C435" t="s">
        <v>14817</v>
      </c>
      <c r="D435" t="s">
        <v>12338</v>
      </c>
      <c r="E435" t="s">
        <v>591</v>
      </c>
      <c r="F435">
        <v>20</v>
      </c>
      <c r="G435">
        <v>1</v>
      </c>
      <c r="H435">
        <v>1</v>
      </c>
      <c r="I435">
        <v>20</v>
      </c>
      <c r="J435">
        <v>1000</v>
      </c>
      <c r="K435">
        <f t="shared" si="19"/>
        <v>50</v>
      </c>
      <c r="L435">
        <f t="shared" si="20"/>
        <v>0</v>
      </c>
      <c r="M435">
        <v>1000</v>
      </c>
      <c r="N435" s="3">
        <v>47178</v>
      </c>
      <c r="O435" s="6">
        <v>0</v>
      </c>
    </row>
    <row r="436" spans="1:15">
      <c r="A436" t="str">
        <f t="shared" si="18"/>
        <v>Dewa Dewi 250 ml452000</v>
      </c>
      <c r="B436" t="s">
        <v>10255</v>
      </c>
      <c r="C436" t="s">
        <v>14818</v>
      </c>
      <c r="D436" t="s">
        <v>12339</v>
      </c>
      <c r="E436" t="s">
        <v>592</v>
      </c>
      <c r="F436">
        <v>1</v>
      </c>
      <c r="G436">
        <v>1</v>
      </c>
      <c r="H436">
        <v>1</v>
      </c>
      <c r="I436">
        <v>1</v>
      </c>
      <c r="J436">
        <v>3</v>
      </c>
      <c r="K436">
        <f t="shared" si="19"/>
        <v>3</v>
      </c>
      <c r="L436">
        <f t="shared" si="20"/>
        <v>0</v>
      </c>
      <c r="M436">
        <v>3</v>
      </c>
      <c r="N436" s="3">
        <v>45200</v>
      </c>
      <c r="O436" s="6">
        <v>0</v>
      </c>
    </row>
    <row r="437" spans="1:15">
      <c r="A437" t="str">
        <f t="shared" si="18"/>
        <v>Dinamo Basata Electrik1/1/10000</v>
      </c>
      <c r="B437" t="s">
        <v>10256</v>
      </c>
      <c r="C437" t="s">
        <v>14819</v>
      </c>
      <c r="D437" t="s">
        <v>12340</v>
      </c>
      <c r="E437" t="s">
        <v>594</v>
      </c>
      <c r="F437">
        <v>1</v>
      </c>
      <c r="G437">
        <v>1</v>
      </c>
      <c r="H437">
        <v>1</v>
      </c>
      <c r="I437">
        <v>1</v>
      </c>
      <c r="J437">
        <v>1</v>
      </c>
      <c r="K437">
        <f t="shared" si="19"/>
        <v>1</v>
      </c>
      <c r="L437">
        <f t="shared" si="20"/>
        <v>0</v>
      </c>
      <c r="M437">
        <v>1</v>
      </c>
      <c r="N437" s="3" t="s">
        <v>2222</v>
      </c>
      <c r="O437" s="6">
        <v>0</v>
      </c>
    </row>
    <row r="438" spans="1:15">
      <c r="A438" t="str">
        <f t="shared" si="18"/>
        <v>Dinamo Sprayer Elektrik 5L 12V 1.3A1/1/10000</v>
      </c>
      <c r="B438" t="s">
        <v>10257</v>
      </c>
      <c r="C438" t="s">
        <v>14820</v>
      </c>
      <c r="D438" t="s">
        <v>12341</v>
      </c>
      <c r="E438" t="s">
        <v>595</v>
      </c>
      <c r="F438">
        <v>1</v>
      </c>
      <c r="G438">
        <v>1</v>
      </c>
      <c r="H438">
        <v>1</v>
      </c>
      <c r="I438">
        <v>1</v>
      </c>
      <c r="J438">
        <v>100</v>
      </c>
      <c r="K438">
        <f t="shared" si="19"/>
        <v>100</v>
      </c>
      <c r="L438">
        <f t="shared" si="20"/>
        <v>0</v>
      </c>
      <c r="M438">
        <v>100</v>
      </c>
      <c r="N438" s="3" t="s">
        <v>2222</v>
      </c>
      <c r="O438" s="6">
        <v>0</v>
      </c>
    </row>
    <row r="439" spans="1:15">
      <c r="A439" t="str">
        <f t="shared" si="18"/>
        <v>Dinamo Yama Power 16 ltr1/1/10000</v>
      </c>
      <c r="B439" t="s">
        <v>10258</v>
      </c>
      <c r="C439" t="s">
        <v>14821</v>
      </c>
      <c r="D439" t="s">
        <v>12342</v>
      </c>
      <c r="E439" t="s">
        <v>596</v>
      </c>
      <c r="F439">
        <v>1</v>
      </c>
      <c r="G439">
        <v>1</v>
      </c>
      <c r="H439">
        <v>1</v>
      </c>
      <c r="I439">
        <v>1</v>
      </c>
      <c r="J439">
        <v>4</v>
      </c>
      <c r="K439">
        <f t="shared" si="19"/>
        <v>4</v>
      </c>
      <c r="L439">
        <f t="shared" si="20"/>
        <v>0</v>
      </c>
      <c r="M439">
        <v>4</v>
      </c>
      <c r="N439" s="3" t="s">
        <v>2222</v>
      </c>
      <c r="O439" s="6">
        <v>0</v>
      </c>
    </row>
    <row r="440" spans="1:15">
      <c r="A440" t="str">
        <f t="shared" si="18"/>
        <v>Dinamo Yoto Elektrik 16 ltr1/1/10000</v>
      </c>
      <c r="B440" t="s">
        <v>10259</v>
      </c>
      <c r="C440" t="s">
        <v>14822</v>
      </c>
      <c r="D440" t="s">
        <v>12343</v>
      </c>
      <c r="E440" t="s">
        <v>597</v>
      </c>
      <c r="F440">
        <v>1</v>
      </c>
      <c r="G440">
        <v>1</v>
      </c>
      <c r="H440">
        <v>1</v>
      </c>
      <c r="I440">
        <v>1</v>
      </c>
      <c r="J440">
        <v>12</v>
      </c>
      <c r="K440">
        <f t="shared" si="19"/>
        <v>12</v>
      </c>
      <c r="L440">
        <f t="shared" si="20"/>
        <v>0</v>
      </c>
      <c r="M440">
        <v>12</v>
      </c>
      <c r="N440" s="3" t="s">
        <v>2222</v>
      </c>
      <c r="O440" s="6">
        <v>0</v>
      </c>
    </row>
    <row r="441" spans="1:15">
      <c r="A441" t="str">
        <f t="shared" si="18"/>
        <v>Dinda Booster 40 X 500 gr468740</v>
      </c>
      <c r="B441" t="s">
        <v>10260</v>
      </c>
      <c r="C441" t="s">
        <v>14823</v>
      </c>
      <c r="D441" t="s">
        <v>12344</v>
      </c>
      <c r="E441" t="s">
        <v>598</v>
      </c>
      <c r="F441">
        <v>40</v>
      </c>
      <c r="G441">
        <v>1</v>
      </c>
      <c r="H441">
        <v>1</v>
      </c>
      <c r="I441">
        <v>40</v>
      </c>
      <c r="J441">
        <v>120</v>
      </c>
      <c r="K441">
        <f t="shared" si="19"/>
        <v>3</v>
      </c>
      <c r="L441">
        <f t="shared" si="20"/>
        <v>0</v>
      </c>
      <c r="M441">
        <v>120</v>
      </c>
      <c r="N441" s="3">
        <v>46874</v>
      </c>
      <c r="O441" s="6">
        <v>0</v>
      </c>
    </row>
    <row r="442" spans="1:15">
      <c r="A442" t="str">
        <f t="shared" si="18"/>
        <v>Dispenser Berdiri (Bawah)1/1/10000</v>
      </c>
      <c r="B442" t="s">
        <v>10261</v>
      </c>
      <c r="C442" t="s">
        <v>14824</v>
      </c>
      <c r="D442" t="s">
        <v>12345</v>
      </c>
      <c r="E442" t="s">
        <v>599</v>
      </c>
      <c r="F442">
        <v>1</v>
      </c>
      <c r="G442">
        <v>1</v>
      </c>
      <c r="H442">
        <v>1</v>
      </c>
      <c r="I442">
        <v>1</v>
      </c>
      <c r="J442">
        <v>1</v>
      </c>
      <c r="K442">
        <f t="shared" si="19"/>
        <v>1</v>
      </c>
      <c r="L442">
        <f t="shared" si="20"/>
        <v>0</v>
      </c>
      <c r="M442">
        <v>1</v>
      </c>
      <c r="N442" s="3" t="s">
        <v>2222</v>
      </c>
      <c r="O442" s="6">
        <v>0</v>
      </c>
    </row>
    <row r="443" spans="1:15">
      <c r="A443" t="str">
        <f t="shared" si="18"/>
        <v>DK Duopro 490 EC 40 X 250 ml456890</v>
      </c>
      <c r="B443" t="s">
        <v>10262</v>
      </c>
      <c r="C443" t="s">
        <v>14825</v>
      </c>
      <c r="D443" t="s">
        <v>12346</v>
      </c>
      <c r="E443" t="s">
        <v>600</v>
      </c>
      <c r="F443">
        <v>40</v>
      </c>
      <c r="G443">
        <v>1</v>
      </c>
      <c r="H443">
        <v>1</v>
      </c>
      <c r="I443">
        <v>40</v>
      </c>
      <c r="J443">
        <v>200</v>
      </c>
      <c r="K443">
        <f t="shared" si="19"/>
        <v>5</v>
      </c>
      <c r="L443">
        <f t="shared" si="20"/>
        <v>0</v>
      </c>
      <c r="M443">
        <v>200</v>
      </c>
      <c r="N443" s="3">
        <v>45689</v>
      </c>
      <c r="O443" s="6">
        <v>0</v>
      </c>
    </row>
    <row r="444" spans="1:15">
      <c r="A444" t="str">
        <f t="shared" si="18"/>
        <v>DK Duopro 490 EC 40 X 250 ml467530</v>
      </c>
      <c r="B444" t="s">
        <v>10263</v>
      </c>
      <c r="C444" t="s">
        <v>14826</v>
      </c>
      <c r="D444" t="s">
        <v>12347</v>
      </c>
      <c r="E444" t="s">
        <v>600</v>
      </c>
      <c r="F444">
        <v>40</v>
      </c>
      <c r="G444">
        <v>1</v>
      </c>
      <c r="H444">
        <v>1</v>
      </c>
      <c r="I444">
        <v>40</v>
      </c>
      <c r="J444">
        <v>400</v>
      </c>
      <c r="K444">
        <f t="shared" si="19"/>
        <v>10</v>
      </c>
      <c r="L444">
        <f t="shared" si="20"/>
        <v>0</v>
      </c>
      <c r="M444">
        <v>400</v>
      </c>
      <c r="N444" s="3">
        <v>46753</v>
      </c>
      <c r="O444" s="6">
        <v>0</v>
      </c>
    </row>
    <row r="445" spans="1:15">
      <c r="A445" t="str">
        <f t="shared" si="18"/>
        <v>DK Fenzo 120 SC 20 X 500 ml469970</v>
      </c>
      <c r="B445" t="s">
        <v>10264</v>
      </c>
      <c r="C445" t="s">
        <v>14827</v>
      </c>
      <c r="D445" t="s">
        <v>12348</v>
      </c>
      <c r="E445" t="s">
        <v>602</v>
      </c>
      <c r="F445">
        <v>20</v>
      </c>
      <c r="G445">
        <v>1</v>
      </c>
      <c r="H445">
        <v>1</v>
      </c>
      <c r="I445">
        <v>20</v>
      </c>
      <c r="J445">
        <v>151</v>
      </c>
      <c r="K445">
        <f t="shared" si="19"/>
        <v>7</v>
      </c>
      <c r="L445">
        <f t="shared" si="20"/>
        <v>11</v>
      </c>
      <c r="M445">
        <v>151</v>
      </c>
      <c r="N445" s="3">
        <v>46997</v>
      </c>
      <c r="O445" s="6">
        <v>0</v>
      </c>
    </row>
    <row r="446" spans="1:15">
      <c r="A446" t="str">
        <f t="shared" si="18"/>
        <v>DK Fenzo 120 SC 20 X 500 ml471500</v>
      </c>
      <c r="B446" t="s">
        <v>10265</v>
      </c>
      <c r="C446" t="s">
        <v>14828</v>
      </c>
      <c r="D446" t="s">
        <v>12349</v>
      </c>
      <c r="E446" t="s">
        <v>602</v>
      </c>
      <c r="F446">
        <v>20</v>
      </c>
      <c r="G446">
        <v>1</v>
      </c>
      <c r="H446">
        <v>1</v>
      </c>
      <c r="I446">
        <v>20</v>
      </c>
      <c r="J446">
        <v>980</v>
      </c>
      <c r="K446">
        <f t="shared" si="19"/>
        <v>49</v>
      </c>
      <c r="L446">
        <f t="shared" si="20"/>
        <v>0</v>
      </c>
      <c r="M446">
        <v>980</v>
      </c>
      <c r="N446" s="3">
        <v>47150</v>
      </c>
      <c r="O446" s="6">
        <v>0</v>
      </c>
    </row>
    <row r="447" spans="1:15">
      <c r="A447" t="str">
        <f t="shared" si="18"/>
        <v>DK Fenzo 120 SC 40 X 250 ml470880</v>
      </c>
      <c r="B447" t="s">
        <v>10266</v>
      </c>
      <c r="C447" t="s">
        <v>14829</v>
      </c>
      <c r="D447" t="s">
        <v>12350</v>
      </c>
      <c r="E447" t="s">
        <v>604</v>
      </c>
      <c r="F447">
        <v>40</v>
      </c>
      <c r="G447">
        <v>1</v>
      </c>
      <c r="H447">
        <v>1</v>
      </c>
      <c r="I447">
        <v>40</v>
      </c>
      <c r="J447">
        <v>32</v>
      </c>
      <c r="K447">
        <f t="shared" si="19"/>
        <v>0</v>
      </c>
      <c r="L447">
        <f t="shared" si="20"/>
        <v>32</v>
      </c>
      <c r="M447">
        <v>32</v>
      </c>
      <c r="N447" s="3">
        <v>47088</v>
      </c>
      <c r="O447" s="6">
        <v>0</v>
      </c>
    </row>
    <row r="448" spans="1:15">
      <c r="A448" t="str">
        <f t="shared" si="18"/>
        <v>DK Fenzo 120 SC 50 X 100 ml471500</v>
      </c>
      <c r="B448" t="s">
        <v>10267</v>
      </c>
      <c r="C448" t="s">
        <v>14830</v>
      </c>
      <c r="D448" t="s">
        <v>12351</v>
      </c>
      <c r="E448" t="s">
        <v>605</v>
      </c>
      <c r="F448">
        <v>50</v>
      </c>
      <c r="G448">
        <v>1</v>
      </c>
      <c r="H448">
        <v>1</v>
      </c>
      <c r="I448">
        <v>50</v>
      </c>
      <c r="J448">
        <v>3172</v>
      </c>
      <c r="K448">
        <f t="shared" si="19"/>
        <v>63</v>
      </c>
      <c r="L448">
        <f t="shared" si="20"/>
        <v>22</v>
      </c>
      <c r="M448">
        <v>3172</v>
      </c>
      <c r="N448" s="3">
        <v>47150</v>
      </c>
      <c r="O448" s="6">
        <v>0</v>
      </c>
    </row>
    <row r="449" spans="1:15">
      <c r="A449" t="str">
        <f t="shared" si="18"/>
        <v>Done 200 EC 4 X 25 X 100 ml (S)1/1/10000</v>
      </c>
      <c r="B449" t="s">
        <v>10268</v>
      </c>
      <c r="C449" t="s">
        <v>14831</v>
      </c>
      <c r="D449" t="s">
        <v>12352</v>
      </c>
      <c r="E449" t="s">
        <v>607</v>
      </c>
      <c r="F449">
        <v>4</v>
      </c>
      <c r="G449">
        <v>25</v>
      </c>
      <c r="H449">
        <v>1</v>
      </c>
      <c r="I449">
        <v>100</v>
      </c>
      <c r="J449">
        <v>15</v>
      </c>
      <c r="K449">
        <f t="shared" si="19"/>
        <v>0</v>
      </c>
      <c r="L449">
        <f t="shared" si="20"/>
        <v>15</v>
      </c>
      <c r="M449">
        <v>15</v>
      </c>
      <c r="N449" s="3" t="s">
        <v>2222</v>
      </c>
      <c r="O449" s="6">
        <v>0</v>
      </c>
    </row>
    <row r="450" spans="1:15">
      <c r="A450" t="str">
        <f t="shared" si="18"/>
        <v>Donkey 40 WP 100 X 100 gr (sampel)454740</v>
      </c>
      <c r="B450" t="s">
        <v>10269</v>
      </c>
      <c r="C450" t="s">
        <v>14832</v>
      </c>
      <c r="D450" t="s">
        <v>12353</v>
      </c>
      <c r="E450" t="s">
        <v>608</v>
      </c>
      <c r="F450">
        <v>100</v>
      </c>
      <c r="G450">
        <v>1</v>
      </c>
      <c r="H450">
        <v>1</v>
      </c>
      <c r="I450">
        <v>100</v>
      </c>
      <c r="J450">
        <v>16</v>
      </c>
      <c r="K450">
        <f t="shared" si="19"/>
        <v>0</v>
      </c>
      <c r="L450">
        <f t="shared" si="20"/>
        <v>16</v>
      </c>
      <c r="M450">
        <v>16</v>
      </c>
      <c r="N450" s="3">
        <v>45474</v>
      </c>
      <c r="O450" s="6">
        <v>0</v>
      </c>
    </row>
    <row r="451" spans="1:15">
      <c r="A451" t="str">
        <f t="shared" ref="A451:A514" si="21">E451&amp;N451&amp;O451</f>
        <v>Double Nozzle Yamaha1/1/10000</v>
      </c>
      <c r="B451" t="s">
        <v>10270</v>
      </c>
      <c r="C451" t="s">
        <v>14833</v>
      </c>
      <c r="D451" t="s">
        <v>12354</v>
      </c>
      <c r="E451" t="s">
        <v>609</v>
      </c>
      <c r="F451">
        <v>1</v>
      </c>
      <c r="G451">
        <v>1</v>
      </c>
      <c r="H451">
        <v>1</v>
      </c>
      <c r="I451">
        <v>1</v>
      </c>
      <c r="J451">
        <v>60</v>
      </c>
      <c r="K451">
        <f t="shared" ref="K451:K514" si="22">ROUNDDOWN(J451/I451,0)</f>
        <v>60</v>
      </c>
      <c r="L451">
        <f t="shared" ref="L451:L514" si="23">J451-K451*I451</f>
        <v>0</v>
      </c>
      <c r="M451">
        <v>60</v>
      </c>
      <c r="N451" s="3" t="s">
        <v>2222</v>
      </c>
      <c r="O451" s="6">
        <v>0</v>
      </c>
    </row>
    <row r="452" spans="1:15">
      <c r="A452" t="str">
        <f t="shared" si="21"/>
        <v>Durus 70 WG 20 X 100 gr460230</v>
      </c>
      <c r="B452" t="s">
        <v>10271</v>
      </c>
      <c r="C452" t="s">
        <v>14834</v>
      </c>
      <c r="D452" t="s">
        <v>12355</v>
      </c>
      <c r="E452" t="s">
        <v>610</v>
      </c>
      <c r="F452">
        <v>20</v>
      </c>
      <c r="G452">
        <v>1</v>
      </c>
      <c r="H452">
        <v>1</v>
      </c>
      <c r="I452">
        <v>20</v>
      </c>
      <c r="J452">
        <v>403</v>
      </c>
      <c r="K452">
        <f t="shared" si="22"/>
        <v>20</v>
      </c>
      <c r="L452">
        <f t="shared" si="23"/>
        <v>3</v>
      </c>
      <c r="M452">
        <v>403</v>
      </c>
      <c r="N452" s="3">
        <v>46023</v>
      </c>
      <c r="O452" s="6">
        <v>0</v>
      </c>
    </row>
    <row r="453" spans="1:15">
      <c r="A453" t="str">
        <f t="shared" si="21"/>
        <v>Durus 70 WG 80 X 25 gr460230</v>
      </c>
      <c r="B453" t="s">
        <v>10272</v>
      </c>
      <c r="C453" t="s">
        <v>14835</v>
      </c>
      <c r="D453" t="s">
        <v>12356</v>
      </c>
      <c r="E453" t="s">
        <v>611</v>
      </c>
      <c r="F453">
        <v>80</v>
      </c>
      <c r="G453">
        <v>1</v>
      </c>
      <c r="H453">
        <v>1</v>
      </c>
      <c r="I453">
        <v>80</v>
      </c>
      <c r="J453">
        <v>2693</v>
      </c>
      <c r="K453">
        <f t="shared" si="22"/>
        <v>33</v>
      </c>
      <c r="L453">
        <f t="shared" si="23"/>
        <v>53</v>
      </c>
      <c r="M453">
        <v>2693</v>
      </c>
      <c r="N453" s="3">
        <v>46023</v>
      </c>
      <c r="O453" s="6">
        <v>0</v>
      </c>
    </row>
    <row r="454" spans="1:15">
      <c r="A454" t="str">
        <f t="shared" si="21"/>
        <v>Edo 25 WG 100 X 100 gr469050</v>
      </c>
      <c r="B454" t="s">
        <v>10273</v>
      </c>
      <c r="C454" t="s">
        <v>14836</v>
      </c>
      <c r="D454" t="s">
        <v>12357</v>
      </c>
      <c r="E454" t="s">
        <v>612</v>
      </c>
      <c r="F454">
        <v>100</v>
      </c>
      <c r="G454">
        <v>1</v>
      </c>
      <c r="H454">
        <v>1</v>
      </c>
      <c r="I454">
        <v>100</v>
      </c>
      <c r="J454">
        <v>191</v>
      </c>
      <c r="K454">
        <f t="shared" si="22"/>
        <v>1</v>
      </c>
      <c r="L454">
        <f t="shared" si="23"/>
        <v>91</v>
      </c>
      <c r="M454">
        <v>191</v>
      </c>
      <c r="N454" s="3">
        <v>46905</v>
      </c>
      <c r="O454" s="6">
        <v>0</v>
      </c>
    </row>
    <row r="455" spans="1:15">
      <c r="A455" t="str">
        <f t="shared" si="21"/>
        <v>Elazaro 17/8 WG 10 X 20 X 10 gr466610</v>
      </c>
      <c r="B455" t="s">
        <v>10274</v>
      </c>
      <c r="C455" t="s">
        <v>14837</v>
      </c>
      <c r="D455" t="s">
        <v>12358</v>
      </c>
      <c r="E455" t="s">
        <v>613</v>
      </c>
      <c r="F455">
        <v>10</v>
      </c>
      <c r="G455">
        <v>20</v>
      </c>
      <c r="H455">
        <v>1</v>
      </c>
      <c r="I455">
        <v>200</v>
      </c>
      <c r="J455">
        <v>54804</v>
      </c>
      <c r="K455">
        <f t="shared" si="22"/>
        <v>274</v>
      </c>
      <c r="L455">
        <f t="shared" si="23"/>
        <v>4</v>
      </c>
      <c r="M455">
        <v>54804</v>
      </c>
      <c r="N455" s="3">
        <v>46661</v>
      </c>
      <c r="O455" s="6">
        <v>0</v>
      </c>
    </row>
    <row r="456" spans="1:15">
      <c r="A456" t="str">
        <f t="shared" si="21"/>
        <v>Elazaro 17/8 WG 10 X 20 X 50 gr466920</v>
      </c>
      <c r="B456" t="s">
        <v>10275</v>
      </c>
      <c r="C456" t="s">
        <v>14838</v>
      </c>
      <c r="D456" t="s">
        <v>12359</v>
      </c>
      <c r="E456" t="s">
        <v>614</v>
      </c>
      <c r="F456">
        <v>10</v>
      </c>
      <c r="G456">
        <v>20</v>
      </c>
      <c r="H456">
        <v>1</v>
      </c>
      <c r="I456">
        <v>200</v>
      </c>
      <c r="J456">
        <v>21532</v>
      </c>
      <c r="K456">
        <f t="shared" si="22"/>
        <v>107</v>
      </c>
      <c r="L456">
        <f t="shared" si="23"/>
        <v>132</v>
      </c>
      <c r="M456">
        <v>21532</v>
      </c>
      <c r="N456" s="3">
        <v>46692</v>
      </c>
      <c r="O456" s="6">
        <v>0</v>
      </c>
    </row>
    <row r="457" spans="1:15">
      <c r="A457" t="str">
        <f t="shared" si="21"/>
        <v>Elazaro 17/8 WG 10 X 20 X 50 gr469350</v>
      </c>
      <c r="B457" t="s">
        <v>10276</v>
      </c>
      <c r="C457" t="s">
        <v>14839</v>
      </c>
      <c r="D457" t="s">
        <v>12360</v>
      </c>
      <c r="E457" t="s">
        <v>614</v>
      </c>
      <c r="F457">
        <v>10</v>
      </c>
      <c r="G457">
        <v>20</v>
      </c>
      <c r="H457">
        <v>1</v>
      </c>
      <c r="I457">
        <v>200</v>
      </c>
      <c r="J457">
        <v>39600</v>
      </c>
      <c r="K457">
        <f t="shared" si="22"/>
        <v>198</v>
      </c>
      <c r="L457">
        <f t="shared" si="23"/>
        <v>0</v>
      </c>
      <c r="M457">
        <v>39600</v>
      </c>
      <c r="N457" s="3">
        <v>46935</v>
      </c>
      <c r="O457" s="6">
        <v>0</v>
      </c>
    </row>
    <row r="458" spans="1:15">
      <c r="A458" t="str">
        <f t="shared" si="21"/>
        <v>EM-4 Pertanian (LK) 15 X 1 ltr460820</v>
      </c>
      <c r="B458" t="s">
        <v>10277</v>
      </c>
      <c r="C458" t="s">
        <v>14840</v>
      </c>
      <c r="D458" t="s">
        <v>12361</v>
      </c>
      <c r="E458" t="s">
        <v>616</v>
      </c>
      <c r="F458">
        <v>15</v>
      </c>
      <c r="G458">
        <v>1</v>
      </c>
      <c r="H458">
        <v>1</v>
      </c>
      <c r="I458">
        <v>15</v>
      </c>
      <c r="J458">
        <v>4</v>
      </c>
      <c r="K458">
        <f t="shared" si="22"/>
        <v>0</v>
      </c>
      <c r="L458">
        <f t="shared" si="23"/>
        <v>4</v>
      </c>
      <c r="M458">
        <v>4</v>
      </c>
      <c r="N458" s="3">
        <v>46082</v>
      </c>
      <c r="O458" s="6">
        <v>0</v>
      </c>
    </row>
    <row r="459" spans="1:15">
      <c r="A459" t="str">
        <f t="shared" si="21"/>
        <v>EM-4 Pertanian (LK) 15 X 1 ltr461130</v>
      </c>
      <c r="B459" t="s">
        <v>10278</v>
      </c>
      <c r="C459" t="s">
        <v>14841</v>
      </c>
      <c r="D459" t="s">
        <v>12362</v>
      </c>
      <c r="E459" t="s">
        <v>616</v>
      </c>
      <c r="F459">
        <v>15</v>
      </c>
      <c r="G459">
        <v>1</v>
      </c>
      <c r="H459">
        <v>1</v>
      </c>
      <c r="I459">
        <v>15</v>
      </c>
      <c r="J459">
        <v>2775</v>
      </c>
      <c r="K459">
        <f t="shared" si="22"/>
        <v>185</v>
      </c>
      <c r="L459">
        <f t="shared" si="23"/>
        <v>0</v>
      </c>
      <c r="M459">
        <v>2775</v>
      </c>
      <c r="N459" s="3">
        <v>46113</v>
      </c>
      <c r="O459" s="6">
        <v>0</v>
      </c>
    </row>
    <row r="460" spans="1:15">
      <c r="A460" t="str">
        <f t="shared" si="21"/>
        <v>EM-4 Tambak (LM) 15 X 1 ltr460820</v>
      </c>
      <c r="B460" t="s">
        <v>10279</v>
      </c>
      <c r="C460" t="s">
        <v>14842</v>
      </c>
      <c r="D460" t="s">
        <v>12363</v>
      </c>
      <c r="E460" t="s">
        <v>617</v>
      </c>
      <c r="F460">
        <v>15</v>
      </c>
      <c r="G460">
        <v>1</v>
      </c>
      <c r="H460">
        <v>1</v>
      </c>
      <c r="I460">
        <v>15</v>
      </c>
      <c r="J460">
        <v>2130</v>
      </c>
      <c r="K460">
        <f t="shared" si="22"/>
        <v>142</v>
      </c>
      <c r="L460">
        <f t="shared" si="23"/>
        <v>0</v>
      </c>
      <c r="M460">
        <v>2130</v>
      </c>
      <c r="N460" s="3">
        <v>46082</v>
      </c>
      <c r="O460" s="6">
        <v>0</v>
      </c>
    </row>
    <row r="461" spans="1:15">
      <c r="A461" t="str">
        <f t="shared" si="21"/>
        <v>EM-4 Ternak (LC) 15 X 1 ltr460820</v>
      </c>
      <c r="B461" t="s">
        <v>10280</v>
      </c>
      <c r="C461" t="s">
        <v>14843</v>
      </c>
      <c r="D461" t="s">
        <v>12364</v>
      </c>
      <c r="E461" t="s">
        <v>618</v>
      </c>
      <c r="F461">
        <v>15</v>
      </c>
      <c r="G461">
        <v>1</v>
      </c>
      <c r="H461">
        <v>1</v>
      </c>
      <c r="I461">
        <v>15</v>
      </c>
      <c r="J461">
        <v>9</v>
      </c>
      <c r="K461">
        <f t="shared" si="22"/>
        <v>0</v>
      </c>
      <c r="L461">
        <f t="shared" si="23"/>
        <v>9</v>
      </c>
      <c r="M461">
        <v>9</v>
      </c>
      <c r="N461" s="3">
        <v>46082</v>
      </c>
      <c r="O461" s="6">
        <v>0</v>
      </c>
    </row>
    <row r="462" spans="1:15">
      <c r="A462" t="str">
        <f t="shared" si="21"/>
        <v>EM-4 Ternak (LC) 15 X 1 ltr461130</v>
      </c>
      <c r="B462" t="s">
        <v>10281</v>
      </c>
      <c r="C462" t="s">
        <v>14844</v>
      </c>
      <c r="D462" t="s">
        <v>12365</v>
      </c>
      <c r="E462" t="s">
        <v>618</v>
      </c>
      <c r="F462">
        <v>15</v>
      </c>
      <c r="G462">
        <v>1</v>
      </c>
      <c r="H462">
        <v>1</v>
      </c>
      <c r="I462">
        <v>15</v>
      </c>
      <c r="J462">
        <v>1860</v>
      </c>
      <c r="K462">
        <f t="shared" si="22"/>
        <v>124</v>
      </c>
      <c r="L462">
        <f t="shared" si="23"/>
        <v>0</v>
      </c>
      <c r="M462">
        <v>1860</v>
      </c>
      <c r="N462" s="3">
        <v>46113</v>
      </c>
      <c r="O462" s="6">
        <v>0</v>
      </c>
    </row>
    <row r="463" spans="1:15">
      <c r="A463" t="str">
        <f t="shared" si="21"/>
        <v>Emacel 30 EC 10 X 1 ltr458090</v>
      </c>
      <c r="B463" t="s">
        <v>10282</v>
      </c>
      <c r="C463" t="s">
        <v>14845</v>
      </c>
      <c r="D463" t="s">
        <v>12366</v>
      </c>
      <c r="E463" t="s">
        <v>619</v>
      </c>
      <c r="F463">
        <v>10</v>
      </c>
      <c r="G463">
        <v>1</v>
      </c>
      <c r="H463">
        <v>1</v>
      </c>
      <c r="I463">
        <v>10</v>
      </c>
      <c r="J463">
        <v>120</v>
      </c>
      <c r="K463">
        <f t="shared" si="22"/>
        <v>12</v>
      </c>
      <c r="L463">
        <f t="shared" si="23"/>
        <v>0</v>
      </c>
      <c r="M463">
        <v>120</v>
      </c>
      <c r="N463" s="3">
        <v>45809</v>
      </c>
      <c r="O463" s="6">
        <v>0</v>
      </c>
    </row>
    <row r="464" spans="1:15">
      <c r="A464" t="str">
        <f t="shared" si="21"/>
        <v>Emacel 30 EC 10 X 1 ltr462350</v>
      </c>
      <c r="B464" t="s">
        <v>10283</v>
      </c>
      <c r="C464" t="s">
        <v>14846</v>
      </c>
      <c r="D464" t="s">
        <v>12367</v>
      </c>
      <c r="E464" t="s">
        <v>619</v>
      </c>
      <c r="F464">
        <v>10</v>
      </c>
      <c r="G464">
        <v>1</v>
      </c>
      <c r="H464">
        <v>1</v>
      </c>
      <c r="I464">
        <v>10</v>
      </c>
      <c r="J464">
        <v>739</v>
      </c>
      <c r="K464">
        <f t="shared" si="22"/>
        <v>73</v>
      </c>
      <c r="L464">
        <f t="shared" si="23"/>
        <v>9</v>
      </c>
      <c r="M464">
        <v>739</v>
      </c>
      <c r="N464" s="3">
        <v>46235</v>
      </c>
      <c r="O464" s="6">
        <v>0</v>
      </c>
    </row>
    <row r="465" spans="1:15">
      <c r="A465" t="str">
        <f t="shared" si="21"/>
        <v>Emacel 30 EC 20 X 500 ml461430</v>
      </c>
      <c r="B465" t="s">
        <v>10284</v>
      </c>
      <c r="C465" t="s">
        <v>14847</v>
      </c>
      <c r="D465" t="s">
        <v>12368</v>
      </c>
      <c r="E465" t="s">
        <v>620</v>
      </c>
      <c r="F465">
        <v>20</v>
      </c>
      <c r="G465">
        <v>1</v>
      </c>
      <c r="H465">
        <v>1</v>
      </c>
      <c r="I465">
        <v>20</v>
      </c>
      <c r="J465">
        <v>771</v>
      </c>
      <c r="K465">
        <f t="shared" si="22"/>
        <v>38</v>
      </c>
      <c r="L465">
        <f t="shared" si="23"/>
        <v>11</v>
      </c>
      <c r="M465">
        <v>771</v>
      </c>
      <c r="N465" s="3">
        <v>46143</v>
      </c>
      <c r="O465" s="6">
        <v>0</v>
      </c>
    </row>
    <row r="466" spans="1:15">
      <c r="A466" t="str">
        <f t="shared" si="21"/>
        <v>Emacel 30 EC 40 X 250 ml462350</v>
      </c>
      <c r="B466" t="s">
        <v>10285</v>
      </c>
      <c r="C466" t="s">
        <v>14848</v>
      </c>
      <c r="D466" t="s">
        <v>12369</v>
      </c>
      <c r="E466" t="s">
        <v>621</v>
      </c>
      <c r="F466">
        <v>40</v>
      </c>
      <c r="G466">
        <v>1</v>
      </c>
      <c r="H466">
        <v>1</v>
      </c>
      <c r="I466">
        <v>40</v>
      </c>
      <c r="J466">
        <v>1445</v>
      </c>
      <c r="K466">
        <f t="shared" si="22"/>
        <v>36</v>
      </c>
      <c r="L466">
        <f t="shared" si="23"/>
        <v>5</v>
      </c>
      <c r="M466">
        <v>1445</v>
      </c>
      <c r="N466" s="3">
        <v>46235</v>
      </c>
      <c r="O466" s="6">
        <v>0</v>
      </c>
    </row>
    <row r="467" spans="1:15">
      <c r="A467" t="str">
        <f t="shared" si="21"/>
        <v>Emacel 30 EC 50 X 100 ml462660</v>
      </c>
      <c r="B467" t="s">
        <v>10286</v>
      </c>
      <c r="C467" t="s">
        <v>14849</v>
      </c>
      <c r="D467" t="s">
        <v>12370</v>
      </c>
      <c r="E467" t="s">
        <v>622</v>
      </c>
      <c r="F467">
        <v>50</v>
      </c>
      <c r="G467">
        <v>1</v>
      </c>
      <c r="H467">
        <v>1</v>
      </c>
      <c r="I467">
        <v>50</v>
      </c>
      <c r="J467">
        <v>2935</v>
      </c>
      <c r="K467">
        <f t="shared" si="22"/>
        <v>58</v>
      </c>
      <c r="L467">
        <f t="shared" si="23"/>
        <v>35</v>
      </c>
      <c r="M467">
        <v>2935</v>
      </c>
      <c r="N467" s="3">
        <v>46266</v>
      </c>
      <c r="O467" s="6">
        <v>0</v>
      </c>
    </row>
    <row r="468" spans="1:15">
      <c r="A468" t="str">
        <f t="shared" si="21"/>
        <v>Emaplus 50 EC 20 X 1 ltr455360</v>
      </c>
      <c r="B468" t="s">
        <v>10287</v>
      </c>
      <c r="C468" t="s">
        <v>14850</v>
      </c>
      <c r="D468" t="s">
        <v>12371</v>
      </c>
      <c r="E468" t="s">
        <v>623</v>
      </c>
      <c r="F468">
        <v>20</v>
      </c>
      <c r="G468">
        <v>1</v>
      </c>
      <c r="H468">
        <v>1</v>
      </c>
      <c r="I468">
        <v>20</v>
      </c>
      <c r="J468">
        <v>375</v>
      </c>
      <c r="K468">
        <f t="shared" si="22"/>
        <v>18</v>
      </c>
      <c r="L468">
        <f t="shared" si="23"/>
        <v>15</v>
      </c>
      <c r="M468">
        <v>375</v>
      </c>
      <c r="N468" s="3">
        <v>45536</v>
      </c>
      <c r="O468" s="6">
        <v>0</v>
      </c>
    </row>
    <row r="469" spans="1:15">
      <c r="A469" t="str">
        <f t="shared" si="21"/>
        <v>Emaplus 50 EC 20 X 400 ml458700</v>
      </c>
      <c r="B469" t="s">
        <v>10288</v>
      </c>
      <c r="C469" t="s">
        <v>14851</v>
      </c>
      <c r="D469" t="s">
        <v>12372</v>
      </c>
      <c r="E469" t="s">
        <v>624</v>
      </c>
      <c r="F469">
        <v>20</v>
      </c>
      <c r="G469">
        <v>1</v>
      </c>
      <c r="H469">
        <v>1</v>
      </c>
      <c r="I469">
        <v>20</v>
      </c>
      <c r="J469">
        <v>180</v>
      </c>
      <c r="K469">
        <f t="shared" si="22"/>
        <v>9</v>
      </c>
      <c r="L469">
        <f t="shared" si="23"/>
        <v>0</v>
      </c>
      <c r="M469">
        <v>180</v>
      </c>
      <c r="N469" s="3">
        <v>45870</v>
      </c>
      <c r="O469" s="6">
        <v>0</v>
      </c>
    </row>
    <row r="470" spans="1:15">
      <c r="A470" t="str">
        <f t="shared" si="21"/>
        <v>Emaplus 50 EC 20 X 400 ml459010</v>
      </c>
      <c r="B470" t="s">
        <v>10289</v>
      </c>
      <c r="C470" t="s">
        <v>14852</v>
      </c>
      <c r="D470" t="s">
        <v>12373</v>
      </c>
      <c r="E470" t="s">
        <v>624</v>
      </c>
      <c r="F470">
        <v>20</v>
      </c>
      <c r="G470">
        <v>1</v>
      </c>
      <c r="H470">
        <v>1</v>
      </c>
      <c r="I470">
        <v>20</v>
      </c>
      <c r="J470">
        <v>340</v>
      </c>
      <c r="K470">
        <f t="shared" si="22"/>
        <v>17</v>
      </c>
      <c r="L470">
        <f t="shared" si="23"/>
        <v>0</v>
      </c>
      <c r="M470">
        <v>340</v>
      </c>
      <c r="N470" s="3">
        <v>45901</v>
      </c>
      <c r="O470" s="6">
        <v>0</v>
      </c>
    </row>
    <row r="471" spans="1:15">
      <c r="A471" t="str">
        <f t="shared" si="21"/>
        <v>Emaplus 50 EC 30 X 200 ml + ergostim457170</v>
      </c>
      <c r="B471" t="s">
        <v>10290</v>
      </c>
      <c r="C471" t="s">
        <v>14853</v>
      </c>
      <c r="D471" t="s">
        <v>12374</v>
      </c>
      <c r="E471" t="s">
        <v>625</v>
      </c>
      <c r="F471">
        <v>30</v>
      </c>
      <c r="G471">
        <v>1</v>
      </c>
      <c r="H471">
        <v>1</v>
      </c>
      <c r="I471">
        <v>30</v>
      </c>
      <c r="J471">
        <v>9</v>
      </c>
      <c r="K471">
        <f t="shared" si="22"/>
        <v>0</v>
      </c>
      <c r="L471">
        <f t="shared" si="23"/>
        <v>9</v>
      </c>
      <c r="M471">
        <v>9</v>
      </c>
      <c r="N471" s="3">
        <v>45717</v>
      </c>
      <c r="O471" s="6">
        <v>0</v>
      </c>
    </row>
    <row r="472" spans="1:15">
      <c r="A472" t="str">
        <f t="shared" si="21"/>
        <v>Emaplus 50 EC 40 X 200 ml463270</v>
      </c>
      <c r="B472" t="s">
        <v>10291</v>
      </c>
      <c r="C472" t="s">
        <v>14854</v>
      </c>
      <c r="D472" t="s">
        <v>12375</v>
      </c>
      <c r="E472" t="s">
        <v>626</v>
      </c>
      <c r="F472">
        <v>40</v>
      </c>
      <c r="G472">
        <v>1</v>
      </c>
      <c r="H472">
        <v>1</v>
      </c>
      <c r="I472">
        <v>40</v>
      </c>
      <c r="J472">
        <v>1029</v>
      </c>
      <c r="K472">
        <f t="shared" si="22"/>
        <v>25</v>
      </c>
      <c r="L472">
        <f t="shared" si="23"/>
        <v>29</v>
      </c>
      <c r="M472">
        <v>1029</v>
      </c>
      <c r="N472" s="3">
        <v>46327</v>
      </c>
      <c r="O472" s="6">
        <v>0</v>
      </c>
    </row>
    <row r="473" spans="1:15">
      <c r="A473" t="str">
        <f t="shared" si="21"/>
        <v>Emaplus 50 EC 50 X 50 ml1/1/10000</v>
      </c>
      <c r="B473" t="s">
        <v>10292</v>
      </c>
      <c r="C473" t="s">
        <v>14855</v>
      </c>
      <c r="D473" t="s">
        <v>12376</v>
      </c>
      <c r="E473" t="s">
        <v>627</v>
      </c>
      <c r="F473">
        <v>50</v>
      </c>
      <c r="G473">
        <v>1</v>
      </c>
      <c r="H473">
        <v>1</v>
      </c>
      <c r="I473">
        <v>50</v>
      </c>
      <c r="J473">
        <v>194</v>
      </c>
      <c r="K473">
        <f t="shared" si="22"/>
        <v>3</v>
      </c>
      <c r="L473">
        <f t="shared" si="23"/>
        <v>44</v>
      </c>
      <c r="M473">
        <v>194</v>
      </c>
      <c r="N473" s="3" t="s">
        <v>2222</v>
      </c>
      <c r="O473" s="6">
        <v>0</v>
      </c>
    </row>
    <row r="474" spans="1:15">
      <c r="A474" t="str">
        <f t="shared" si="21"/>
        <v>Emaplus 50 EC 50 X 80 ml463880</v>
      </c>
      <c r="B474" t="s">
        <v>10293</v>
      </c>
      <c r="C474" t="s">
        <v>14856</v>
      </c>
      <c r="D474" t="s">
        <v>12377</v>
      </c>
      <c r="E474" t="s">
        <v>628</v>
      </c>
      <c r="F474">
        <v>50</v>
      </c>
      <c r="G474">
        <v>1</v>
      </c>
      <c r="H474">
        <v>1</v>
      </c>
      <c r="I474">
        <v>50</v>
      </c>
      <c r="J474">
        <v>1320</v>
      </c>
      <c r="K474">
        <f t="shared" si="22"/>
        <v>26</v>
      </c>
      <c r="L474">
        <f t="shared" si="23"/>
        <v>20</v>
      </c>
      <c r="M474">
        <v>1320</v>
      </c>
      <c r="N474" s="3">
        <v>46388</v>
      </c>
      <c r="O474" s="6">
        <v>0</v>
      </c>
    </row>
    <row r="475" spans="1:15">
      <c r="A475" t="str">
        <f t="shared" si="21"/>
        <v>Emapro 20/160 OD 20 X 250 ml462350</v>
      </c>
      <c r="B475" t="s">
        <v>10294</v>
      </c>
      <c r="C475" t="s">
        <v>14857</v>
      </c>
      <c r="D475" t="s">
        <v>12378</v>
      </c>
      <c r="E475" t="s">
        <v>629</v>
      </c>
      <c r="F475">
        <v>20</v>
      </c>
      <c r="G475">
        <v>1</v>
      </c>
      <c r="H475">
        <v>1</v>
      </c>
      <c r="I475">
        <v>20</v>
      </c>
      <c r="J475">
        <v>800</v>
      </c>
      <c r="K475">
        <f t="shared" si="22"/>
        <v>40</v>
      </c>
      <c r="L475">
        <f t="shared" si="23"/>
        <v>0</v>
      </c>
      <c r="M475">
        <v>800</v>
      </c>
      <c r="N475" s="3">
        <v>46235</v>
      </c>
      <c r="O475" s="6">
        <v>0</v>
      </c>
    </row>
    <row r="476" spans="1:15">
      <c r="A476" t="str">
        <f t="shared" si="21"/>
        <v>Emapro 20/160 OD 20 X 250 ml463570</v>
      </c>
      <c r="B476" t="s">
        <v>10295</v>
      </c>
      <c r="C476" t="s">
        <v>14858</v>
      </c>
      <c r="D476" t="s">
        <v>12379</v>
      </c>
      <c r="E476" t="s">
        <v>629</v>
      </c>
      <c r="F476">
        <v>20</v>
      </c>
      <c r="G476">
        <v>1</v>
      </c>
      <c r="H476">
        <v>1</v>
      </c>
      <c r="I476">
        <v>20</v>
      </c>
      <c r="J476">
        <v>40</v>
      </c>
      <c r="K476">
        <f t="shared" si="22"/>
        <v>2</v>
      </c>
      <c r="L476">
        <f t="shared" si="23"/>
        <v>0</v>
      </c>
      <c r="M476">
        <v>40</v>
      </c>
      <c r="N476" s="3">
        <v>46357</v>
      </c>
      <c r="O476" s="6">
        <v>0</v>
      </c>
    </row>
    <row r="477" spans="1:15">
      <c r="A477" t="str">
        <f t="shared" si="21"/>
        <v>Emapro 20/160 OD 20 X 250 ml461130</v>
      </c>
      <c r="B477" t="s">
        <v>10296</v>
      </c>
      <c r="C477" t="s">
        <v>14859</v>
      </c>
      <c r="D477" t="s">
        <v>12380</v>
      </c>
      <c r="E477" t="s">
        <v>629</v>
      </c>
      <c r="F477">
        <v>20</v>
      </c>
      <c r="G477">
        <v>1</v>
      </c>
      <c r="H477">
        <v>1</v>
      </c>
      <c r="I477">
        <v>20</v>
      </c>
      <c r="J477">
        <v>80</v>
      </c>
      <c r="K477">
        <f t="shared" si="22"/>
        <v>4</v>
      </c>
      <c r="L477">
        <f t="shared" si="23"/>
        <v>0</v>
      </c>
      <c r="M477">
        <v>80</v>
      </c>
      <c r="N477" s="3">
        <v>46113</v>
      </c>
      <c r="O477" s="6">
        <v>0</v>
      </c>
    </row>
    <row r="478" spans="1:15">
      <c r="A478" t="str">
        <f t="shared" si="21"/>
        <v>Emapro 20/160 OD 20 X 250 ml461740</v>
      </c>
      <c r="B478" t="s">
        <v>10297</v>
      </c>
      <c r="C478" t="s">
        <v>14860</v>
      </c>
      <c r="D478" t="s">
        <v>12381</v>
      </c>
      <c r="E478" t="s">
        <v>629</v>
      </c>
      <c r="F478">
        <v>20</v>
      </c>
      <c r="G478">
        <v>1</v>
      </c>
      <c r="H478">
        <v>1</v>
      </c>
      <c r="I478">
        <v>20</v>
      </c>
      <c r="J478">
        <v>120</v>
      </c>
      <c r="K478">
        <f t="shared" si="22"/>
        <v>6</v>
      </c>
      <c r="L478">
        <f t="shared" si="23"/>
        <v>0</v>
      </c>
      <c r="M478">
        <v>120</v>
      </c>
      <c r="N478" s="3">
        <v>46174</v>
      </c>
      <c r="O478" s="6">
        <v>0</v>
      </c>
    </row>
    <row r="479" spans="1:15">
      <c r="A479" t="str">
        <f t="shared" si="21"/>
        <v>Emapro 20/160 OD 20 X 250 ml460820</v>
      </c>
      <c r="B479" t="s">
        <v>10298</v>
      </c>
      <c r="C479" t="s">
        <v>14861</v>
      </c>
      <c r="D479" t="s">
        <v>12382</v>
      </c>
      <c r="E479" t="s">
        <v>629</v>
      </c>
      <c r="F479">
        <v>20</v>
      </c>
      <c r="G479">
        <v>1</v>
      </c>
      <c r="H479">
        <v>1</v>
      </c>
      <c r="I479">
        <v>20</v>
      </c>
      <c r="J479">
        <v>140</v>
      </c>
      <c r="K479">
        <f t="shared" si="22"/>
        <v>7</v>
      </c>
      <c r="L479">
        <f t="shared" si="23"/>
        <v>0</v>
      </c>
      <c r="M479">
        <v>140</v>
      </c>
      <c r="N479" s="3">
        <v>46082</v>
      </c>
      <c r="O479" s="6">
        <v>0</v>
      </c>
    </row>
    <row r="480" spans="1:15">
      <c r="A480" t="str">
        <f t="shared" si="21"/>
        <v>Emapro 20/160 OD 20 X 250 ml462040</v>
      </c>
      <c r="B480" t="s">
        <v>10299</v>
      </c>
      <c r="C480" t="s">
        <v>14862</v>
      </c>
      <c r="D480" t="s">
        <v>12383</v>
      </c>
      <c r="E480" t="s">
        <v>629</v>
      </c>
      <c r="F480">
        <v>20</v>
      </c>
      <c r="G480">
        <v>1</v>
      </c>
      <c r="H480">
        <v>1</v>
      </c>
      <c r="I480">
        <v>20</v>
      </c>
      <c r="J480">
        <v>297</v>
      </c>
      <c r="K480">
        <f t="shared" si="22"/>
        <v>14</v>
      </c>
      <c r="L480">
        <f t="shared" si="23"/>
        <v>17</v>
      </c>
      <c r="M480">
        <v>297</v>
      </c>
      <c r="N480" s="3">
        <v>46204</v>
      </c>
      <c r="O480" s="6">
        <v>0</v>
      </c>
    </row>
    <row r="481" spans="1:15">
      <c r="A481" t="str">
        <f t="shared" si="21"/>
        <v>Ember Regent1/1/10000</v>
      </c>
      <c r="B481" t="s">
        <v>10300</v>
      </c>
      <c r="C481" t="s">
        <v>14863</v>
      </c>
      <c r="D481" t="s">
        <v>12384</v>
      </c>
      <c r="E481" t="s">
        <v>630</v>
      </c>
      <c r="F481">
        <v>1</v>
      </c>
      <c r="G481">
        <v>1</v>
      </c>
      <c r="H481">
        <v>1</v>
      </c>
      <c r="I481">
        <v>1</v>
      </c>
      <c r="J481">
        <v>44</v>
      </c>
      <c r="K481">
        <f t="shared" si="22"/>
        <v>44</v>
      </c>
      <c r="L481">
        <f t="shared" si="23"/>
        <v>0</v>
      </c>
      <c r="M481">
        <v>44</v>
      </c>
      <c r="N481" s="3" t="s">
        <v>2222</v>
      </c>
      <c r="O481" s="6">
        <v>0</v>
      </c>
    </row>
    <row r="482" spans="1:15">
      <c r="A482" t="str">
        <f t="shared" si="21"/>
        <v>Emclopir 300/20 EC 20 X 250 ml458700</v>
      </c>
      <c r="B482" t="s">
        <v>10301</v>
      </c>
      <c r="C482" t="s">
        <v>14864</v>
      </c>
      <c r="D482" t="s">
        <v>12385</v>
      </c>
      <c r="E482" t="s">
        <v>631</v>
      </c>
      <c r="F482">
        <v>20</v>
      </c>
      <c r="G482">
        <v>1</v>
      </c>
      <c r="H482">
        <v>1</v>
      </c>
      <c r="I482">
        <v>20</v>
      </c>
      <c r="J482">
        <v>27</v>
      </c>
      <c r="K482">
        <f t="shared" si="22"/>
        <v>1</v>
      </c>
      <c r="L482">
        <f t="shared" si="23"/>
        <v>7</v>
      </c>
      <c r="M482">
        <v>27</v>
      </c>
      <c r="N482" s="3">
        <v>45870</v>
      </c>
      <c r="O482" s="6">
        <v>0</v>
      </c>
    </row>
    <row r="483" spans="1:15">
      <c r="A483" t="str">
        <f t="shared" si="21"/>
        <v>Emclopir 300/20 EC 20 X 250 ml462040</v>
      </c>
      <c r="B483" t="s">
        <v>10302</v>
      </c>
      <c r="C483" t="s">
        <v>14865</v>
      </c>
      <c r="D483" t="s">
        <v>12386</v>
      </c>
      <c r="E483" t="s">
        <v>631</v>
      </c>
      <c r="F483">
        <v>20</v>
      </c>
      <c r="G483">
        <v>1</v>
      </c>
      <c r="H483">
        <v>1</v>
      </c>
      <c r="I483">
        <v>20</v>
      </c>
      <c r="J483">
        <v>500</v>
      </c>
      <c r="K483">
        <f t="shared" si="22"/>
        <v>25</v>
      </c>
      <c r="L483">
        <f t="shared" si="23"/>
        <v>0</v>
      </c>
      <c r="M483">
        <v>500</v>
      </c>
      <c r="N483" s="3">
        <v>46204</v>
      </c>
      <c r="O483" s="6">
        <v>0</v>
      </c>
    </row>
    <row r="484" spans="1:15">
      <c r="A484" t="str">
        <f t="shared" si="21"/>
        <v>Emclopir 300/20 EC 50 X 100 ml459620</v>
      </c>
      <c r="B484" t="s">
        <v>10303</v>
      </c>
      <c r="C484" t="s">
        <v>14866</v>
      </c>
      <c r="D484" t="s">
        <v>12387</v>
      </c>
      <c r="E484" t="s">
        <v>632</v>
      </c>
      <c r="F484">
        <v>50</v>
      </c>
      <c r="G484">
        <v>1</v>
      </c>
      <c r="H484">
        <v>1</v>
      </c>
      <c r="I484">
        <v>50</v>
      </c>
      <c r="J484">
        <v>1833</v>
      </c>
      <c r="K484">
        <f t="shared" si="22"/>
        <v>36</v>
      </c>
      <c r="L484">
        <f t="shared" si="23"/>
        <v>33</v>
      </c>
      <c r="M484">
        <v>1833</v>
      </c>
      <c r="N484" s="3">
        <v>45962</v>
      </c>
      <c r="O484" s="6">
        <v>0</v>
      </c>
    </row>
    <row r="485" spans="1:15">
      <c r="A485" t="str">
        <f t="shared" si="21"/>
        <v>Empower 1 ltr436780</v>
      </c>
      <c r="B485" t="s">
        <v>10304</v>
      </c>
      <c r="C485" t="s">
        <v>14867</v>
      </c>
      <c r="D485" t="s">
        <v>12388</v>
      </c>
      <c r="E485" t="s">
        <v>634</v>
      </c>
      <c r="F485">
        <v>1</v>
      </c>
      <c r="G485">
        <v>1</v>
      </c>
      <c r="H485">
        <v>1</v>
      </c>
      <c r="I485">
        <v>1</v>
      </c>
      <c r="J485">
        <v>1</v>
      </c>
      <c r="K485">
        <f t="shared" si="22"/>
        <v>1</v>
      </c>
      <c r="L485">
        <f t="shared" si="23"/>
        <v>0</v>
      </c>
      <c r="M485">
        <v>1</v>
      </c>
      <c r="N485" s="3">
        <v>43678</v>
      </c>
      <c r="O485" s="6">
        <v>0</v>
      </c>
    </row>
    <row r="486" spans="1:15">
      <c r="A486" t="str">
        <f t="shared" si="21"/>
        <v>Ethrel 480 SL 100 X 100 ml465390</v>
      </c>
      <c r="B486" t="s">
        <v>10305</v>
      </c>
      <c r="C486" t="s">
        <v>14868</v>
      </c>
      <c r="D486" t="s">
        <v>12389</v>
      </c>
      <c r="E486" t="s">
        <v>635</v>
      </c>
      <c r="F486">
        <v>100</v>
      </c>
      <c r="G486">
        <v>1</v>
      </c>
      <c r="H486">
        <v>1</v>
      </c>
      <c r="I486">
        <v>100</v>
      </c>
      <c r="J486">
        <v>7519</v>
      </c>
      <c r="K486">
        <f t="shared" si="22"/>
        <v>75</v>
      </c>
      <c r="L486">
        <f t="shared" si="23"/>
        <v>19</v>
      </c>
      <c r="M486">
        <v>7519</v>
      </c>
      <c r="N486" s="3">
        <v>46539</v>
      </c>
      <c r="O486" s="6">
        <v>0</v>
      </c>
    </row>
    <row r="487" spans="1:15">
      <c r="A487" t="str">
        <f t="shared" si="21"/>
        <v>Ethrel 480 SL 100 X 100 ml465690</v>
      </c>
      <c r="B487" t="s">
        <v>10306</v>
      </c>
      <c r="C487" t="s">
        <v>14869</v>
      </c>
      <c r="D487" t="s">
        <v>12390</v>
      </c>
      <c r="E487" t="s">
        <v>635</v>
      </c>
      <c r="F487">
        <v>100</v>
      </c>
      <c r="G487">
        <v>1</v>
      </c>
      <c r="H487">
        <v>1</v>
      </c>
      <c r="I487">
        <v>100</v>
      </c>
      <c r="J487">
        <v>1300</v>
      </c>
      <c r="K487">
        <f t="shared" si="22"/>
        <v>13</v>
      </c>
      <c r="L487">
        <f t="shared" si="23"/>
        <v>0</v>
      </c>
      <c r="M487">
        <v>1300</v>
      </c>
      <c r="N487" s="3">
        <v>46569</v>
      </c>
      <c r="O487" s="6">
        <v>0</v>
      </c>
    </row>
    <row r="488" spans="1:15">
      <c r="A488" t="str">
        <f t="shared" si="21"/>
        <v>Extra One 680 SC 10 X 1 ltr469970</v>
      </c>
      <c r="B488" t="s">
        <v>10307</v>
      </c>
      <c r="C488" t="s">
        <v>14870</v>
      </c>
      <c r="D488" t="s">
        <v>12391</v>
      </c>
      <c r="E488" t="s">
        <v>639</v>
      </c>
      <c r="F488">
        <v>10</v>
      </c>
      <c r="G488">
        <v>1</v>
      </c>
      <c r="H488">
        <v>1</v>
      </c>
      <c r="I488">
        <v>10</v>
      </c>
      <c r="J488">
        <v>50</v>
      </c>
      <c r="K488">
        <f t="shared" si="22"/>
        <v>5</v>
      </c>
      <c r="L488">
        <f t="shared" si="23"/>
        <v>0</v>
      </c>
      <c r="M488">
        <v>50</v>
      </c>
      <c r="N488" s="3">
        <v>46997</v>
      </c>
      <c r="O488" s="6">
        <v>0</v>
      </c>
    </row>
    <row r="489" spans="1:15">
      <c r="A489" t="str">
        <f t="shared" si="21"/>
        <v>Fan Nozzle1/1/10000</v>
      </c>
      <c r="B489" t="s">
        <v>10308</v>
      </c>
      <c r="C489" t="s">
        <v>14871</v>
      </c>
      <c r="D489" t="s">
        <v>12392</v>
      </c>
      <c r="E489" t="s">
        <v>640</v>
      </c>
      <c r="F489">
        <v>1</v>
      </c>
      <c r="G489">
        <v>1</v>
      </c>
      <c r="H489">
        <v>1</v>
      </c>
      <c r="I489">
        <v>1</v>
      </c>
      <c r="J489">
        <v>25</v>
      </c>
      <c r="K489">
        <f t="shared" si="22"/>
        <v>25</v>
      </c>
      <c r="L489">
        <f t="shared" si="23"/>
        <v>0</v>
      </c>
      <c r="M489">
        <v>25</v>
      </c>
      <c r="N489" s="3" t="s">
        <v>2222</v>
      </c>
      <c r="O489" s="6">
        <v>0</v>
      </c>
    </row>
    <row r="490" spans="1:15">
      <c r="A490" t="str">
        <f t="shared" si="21"/>
        <v>Fastick 400 SL 12 X 1 ltr466000</v>
      </c>
      <c r="B490" t="s">
        <v>10309</v>
      </c>
      <c r="C490" t="s">
        <v>14872</v>
      </c>
      <c r="D490" t="s">
        <v>12393</v>
      </c>
      <c r="E490" t="s">
        <v>641</v>
      </c>
      <c r="F490">
        <v>12</v>
      </c>
      <c r="G490">
        <v>1</v>
      </c>
      <c r="H490">
        <v>1</v>
      </c>
      <c r="I490">
        <v>12</v>
      </c>
      <c r="J490">
        <v>10</v>
      </c>
      <c r="K490">
        <f t="shared" si="22"/>
        <v>0</v>
      </c>
      <c r="L490">
        <f t="shared" si="23"/>
        <v>10</v>
      </c>
      <c r="M490">
        <v>10</v>
      </c>
      <c r="N490" s="3">
        <v>46600</v>
      </c>
      <c r="O490" s="6">
        <v>0</v>
      </c>
    </row>
    <row r="491" spans="1:15">
      <c r="A491" t="str">
        <f t="shared" si="21"/>
        <v>Fastick 400 SL 12 X 1 ltr468440</v>
      </c>
      <c r="B491" t="s">
        <v>10310</v>
      </c>
      <c r="C491" t="s">
        <v>14873</v>
      </c>
      <c r="D491" t="s">
        <v>12394</v>
      </c>
      <c r="E491" t="s">
        <v>641</v>
      </c>
      <c r="F491">
        <v>12</v>
      </c>
      <c r="G491">
        <v>1</v>
      </c>
      <c r="H491">
        <v>1</v>
      </c>
      <c r="I491">
        <v>12</v>
      </c>
      <c r="J491">
        <v>2</v>
      </c>
      <c r="K491">
        <f t="shared" si="22"/>
        <v>0</v>
      </c>
      <c r="L491">
        <f t="shared" si="23"/>
        <v>2</v>
      </c>
      <c r="M491">
        <v>2</v>
      </c>
      <c r="N491" s="3">
        <v>46844</v>
      </c>
      <c r="O491" s="6">
        <v>0</v>
      </c>
    </row>
    <row r="492" spans="1:15">
      <c r="A492" t="str">
        <f t="shared" si="21"/>
        <v>Fastick 400 SL 12 X 1 ltr469660</v>
      </c>
      <c r="B492" t="s">
        <v>10311</v>
      </c>
      <c r="C492" t="s">
        <v>14874</v>
      </c>
      <c r="D492" t="s">
        <v>12395</v>
      </c>
      <c r="E492" t="s">
        <v>641</v>
      </c>
      <c r="F492">
        <v>12</v>
      </c>
      <c r="G492">
        <v>1</v>
      </c>
      <c r="H492">
        <v>1</v>
      </c>
      <c r="I492">
        <v>12</v>
      </c>
      <c r="J492">
        <v>444</v>
      </c>
      <c r="K492">
        <f t="shared" si="22"/>
        <v>37</v>
      </c>
      <c r="L492">
        <f t="shared" si="23"/>
        <v>0</v>
      </c>
      <c r="M492">
        <v>444</v>
      </c>
      <c r="N492" s="3">
        <v>46966</v>
      </c>
      <c r="O492" s="6">
        <v>0</v>
      </c>
    </row>
    <row r="493" spans="1:15">
      <c r="A493" t="str">
        <f t="shared" si="21"/>
        <v>Fastquat 276 SL 20 X 1 ltr458390</v>
      </c>
      <c r="B493" t="s">
        <v>10312</v>
      </c>
      <c r="C493" t="s">
        <v>14875</v>
      </c>
      <c r="D493" t="s">
        <v>12396</v>
      </c>
      <c r="E493" t="s">
        <v>642</v>
      </c>
      <c r="F493">
        <v>20</v>
      </c>
      <c r="G493">
        <v>1</v>
      </c>
      <c r="H493">
        <v>1</v>
      </c>
      <c r="I493">
        <v>20</v>
      </c>
      <c r="J493">
        <v>2995</v>
      </c>
      <c r="K493">
        <f t="shared" si="22"/>
        <v>149</v>
      </c>
      <c r="L493">
        <f t="shared" si="23"/>
        <v>15</v>
      </c>
      <c r="M493">
        <v>2995</v>
      </c>
      <c r="N493" s="3">
        <v>45839</v>
      </c>
      <c r="O493" s="6">
        <v>0</v>
      </c>
    </row>
    <row r="494" spans="1:15">
      <c r="A494" t="str">
        <f t="shared" si="21"/>
        <v>Fenprozole 500 EC 48 X 240 ml466000</v>
      </c>
      <c r="B494" t="s">
        <v>10313</v>
      </c>
      <c r="C494" t="s">
        <v>14876</v>
      </c>
      <c r="D494" t="s">
        <v>12397</v>
      </c>
      <c r="E494" t="s">
        <v>643</v>
      </c>
      <c r="F494">
        <v>48</v>
      </c>
      <c r="G494">
        <v>1</v>
      </c>
      <c r="H494">
        <v>1</v>
      </c>
      <c r="I494">
        <v>48</v>
      </c>
      <c r="J494">
        <v>948</v>
      </c>
      <c r="K494">
        <f t="shared" si="22"/>
        <v>19</v>
      </c>
      <c r="L494">
        <f t="shared" si="23"/>
        <v>36</v>
      </c>
      <c r="M494">
        <v>948</v>
      </c>
      <c r="N494" s="3">
        <v>46600</v>
      </c>
      <c r="O494" s="6">
        <v>0</v>
      </c>
    </row>
    <row r="495" spans="1:15">
      <c r="A495" t="str">
        <f t="shared" si="21"/>
        <v>Fenticide 200 EC 20 X 500 ml463880</v>
      </c>
      <c r="B495" t="s">
        <v>10314</v>
      </c>
      <c r="C495" t="s">
        <v>14877</v>
      </c>
      <c r="D495" t="s">
        <v>12398</v>
      </c>
      <c r="E495" t="s">
        <v>645</v>
      </c>
      <c r="F495">
        <v>20</v>
      </c>
      <c r="G495">
        <v>1</v>
      </c>
      <c r="H495">
        <v>1</v>
      </c>
      <c r="I495">
        <v>20</v>
      </c>
      <c r="J495">
        <v>649</v>
      </c>
      <c r="K495">
        <f t="shared" si="22"/>
        <v>32</v>
      </c>
      <c r="L495">
        <f t="shared" si="23"/>
        <v>9</v>
      </c>
      <c r="M495">
        <v>649</v>
      </c>
      <c r="N495" s="3">
        <v>46388</v>
      </c>
      <c r="O495" s="6">
        <v>0</v>
      </c>
    </row>
    <row r="496" spans="1:15">
      <c r="A496" t="str">
        <f t="shared" si="21"/>
        <v>Fentolin 200 EC 20 X 200 ml459010</v>
      </c>
      <c r="B496" t="s">
        <v>10315</v>
      </c>
      <c r="C496" t="s">
        <v>14878</v>
      </c>
      <c r="D496" t="s">
        <v>12399</v>
      </c>
      <c r="E496" t="s">
        <v>647</v>
      </c>
      <c r="F496">
        <v>20</v>
      </c>
      <c r="G496">
        <v>1</v>
      </c>
      <c r="H496">
        <v>1</v>
      </c>
      <c r="I496">
        <v>20</v>
      </c>
      <c r="J496">
        <v>5</v>
      </c>
      <c r="K496">
        <f t="shared" si="22"/>
        <v>0</v>
      </c>
      <c r="L496">
        <f t="shared" si="23"/>
        <v>5</v>
      </c>
      <c r="M496">
        <v>5</v>
      </c>
      <c r="N496" s="3">
        <v>45901</v>
      </c>
      <c r="O496" s="6">
        <v>0</v>
      </c>
    </row>
    <row r="497" spans="1:15">
      <c r="A497" t="str">
        <f t="shared" si="21"/>
        <v>Fentolin 200 EC 20 X 500 ml468740</v>
      </c>
      <c r="B497" t="s">
        <v>10316</v>
      </c>
      <c r="C497" t="s">
        <v>14879</v>
      </c>
      <c r="D497" t="s">
        <v>12400</v>
      </c>
      <c r="E497" t="s">
        <v>648</v>
      </c>
      <c r="F497">
        <v>20</v>
      </c>
      <c r="G497">
        <v>1</v>
      </c>
      <c r="H497">
        <v>1</v>
      </c>
      <c r="I497">
        <v>20</v>
      </c>
      <c r="J497">
        <v>103</v>
      </c>
      <c r="K497">
        <f t="shared" si="22"/>
        <v>5</v>
      </c>
      <c r="L497">
        <f t="shared" si="23"/>
        <v>3</v>
      </c>
      <c r="M497">
        <v>103</v>
      </c>
      <c r="N497" s="3">
        <v>46874</v>
      </c>
      <c r="O497" s="6">
        <v>0</v>
      </c>
    </row>
    <row r="498" spans="1:15">
      <c r="A498" t="str">
        <f t="shared" si="21"/>
        <v>Fenval 200 EC 15 X 1 ltr468740</v>
      </c>
      <c r="B498" t="s">
        <v>10317</v>
      </c>
      <c r="C498" t="s">
        <v>14880</v>
      </c>
      <c r="D498" t="s">
        <v>12401</v>
      </c>
      <c r="E498" t="s">
        <v>649</v>
      </c>
      <c r="F498">
        <v>15</v>
      </c>
      <c r="G498">
        <v>1</v>
      </c>
      <c r="H498">
        <v>1</v>
      </c>
      <c r="I498">
        <v>15</v>
      </c>
      <c r="J498">
        <v>5</v>
      </c>
      <c r="K498">
        <f t="shared" si="22"/>
        <v>0</v>
      </c>
      <c r="L498">
        <f t="shared" si="23"/>
        <v>5</v>
      </c>
      <c r="M498">
        <v>5</v>
      </c>
      <c r="N498" s="3">
        <v>46874</v>
      </c>
      <c r="O498" s="6">
        <v>0</v>
      </c>
    </row>
    <row r="499" spans="1:15">
      <c r="A499" t="str">
        <f t="shared" si="21"/>
        <v>Fenval 200 EC 15 X 1 ltr469970</v>
      </c>
      <c r="B499" t="s">
        <v>10318</v>
      </c>
      <c r="C499" t="s">
        <v>14881</v>
      </c>
      <c r="D499" t="s">
        <v>12402</v>
      </c>
      <c r="E499" t="s">
        <v>649</v>
      </c>
      <c r="F499">
        <v>15</v>
      </c>
      <c r="G499">
        <v>1</v>
      </c>
      <c r="H499">
        <v>1</v>
      </c>
      <c r="I499">
        <v>15</v>
      </c>
      <c r="J499">
        <v>150</v>
      </c>
      <c r="K499">
        <f t="shared" si="22"/>
        <v>10</v>
      </c>
      <c r="L499">
        <f t="shared" si="23"/>
        <v>0</v>
      </c>
      <c r="M499">
        <v>150</v>
      </c>
      <c r="N499" s="3">
        <v>46997</v>
      </c>
      <c r="O499" s="6">
        <v>0</v>
      </c>
    </row>
    <row r="500" spans="1:15">
      <c r="A500" t="str">
        <f t="shared" si="21"/>
        <v>Fenval 200 EC 15 X 1 ltr470880</v>
      </c>
      <c r="B500" t="s">
        <v>10319</v>
      </c>
      <c r="C500" t="s">
        <v>14882</v>
      </c>
      <c r="D500" t="s">
        <v>12403</v>
      </c>
      <c r="E500" t="s">
        <v>649</v>
      </c>
      <c r="F500">
        <v>15</v>
      </c>
      <c r="G500">
        <v>1</v>
      </c>
      <c r="H500">
        <v>1</v>
      </c>
      <c r="I500">
        <v>15</v>
      </c>
      <c r="J500">
        <v>1050</v>
      </c>
      <c r="K500">
        <f t="shared" si="22"/>
        <v>70</v>
      </c>
      <c r="L500">
        <f t="shared" si="23"/>
        <v>0</v>
      </c>
      <c r="M500">
        <v>1050</v>
      </c>
      <c r="N500" s="3">
        <v>47088</v>
      </c>
      <c r="O500" s="6">
        <v>0</v>
      </c>
    </row>
    <row r="501" spans="1:15">
      <c r="A501" t="str">
        <f t="shared" si="21"/>
        <v>Fenval 200 EC 20 X 250 ml461740</v>
      </c>
      <c r="B501" t="s">
        <v>10320</v>
      </c>
      <c r="C501" t="s">
        <v>14883</v>
      </c>
      <c r="D501" t="s">
        <v>12404</v>
      </c>
      <c r="E501" t="s">
        <v>650</v>
      </c>
      <c r="F501">
        <v>20</v>
      </c>
      <c r="G501">
        <v>1</v>
      </c>
      <c r="H501">
        <v>1</v>
      </c>
      <c r="I501">
        <v>20</v>
      </c>
      <c r="J501">
        <v>9</v>
      </c>
      <c r="K501">
        <f t="shared" si="22"/>
        <v>0</v>
      </c>
      <c r="L501">
        <f t="shared" si="23"/>
        <v>9</v>
      </c>
      <c r="M501">
        <v>9</v>
      </c>
      <c r="N501" s="3">
        <v>46174</v>
      </c>
      <c r="O501" s="6">
        <v>0</v>
      </c>
    </row>
    <row r="502" spans="1:15">
      <c r="A502" t="str">
        <f t="shared" si="21"/>
        <v>Fenval 200 EC 20 X 250 ml469970</v>
      </c>
      <c r="B502" t="s">
        <v>10321</v>
      </c>
      <c r="C502" t="s">
        <v>14884</v>
      </c>
      <c r="D502" t="s">
        <v>12405</v>
      </c>
      <c r="E502" t="s">
        <v>650</v>
      </c>
      <c r="F502">
        <v>20</v>
      </c>
      <c r="G502">
        <v>1</v>
      </c>
      <c r="H502">
        <v>1</v>
      </c>
      <c r="I502">
        <v>20</v>
      </c>
      <c r="J502">
        <v>820</v>
      </c>
      <c r="K502">
        <f t="shared" si="22"/>
        <v>41</v>
      </c>
      <c r="L502">
        <f t="shared" si="23"/>
        <v>0</v>
      </c>
      <c r="M502">
        <v>820</v>
      </c>
      <c r="N502" s="3">
        <v>46997</v>
      </c>
      <c r="O502" s="6">
        <v>0</v>
      </c>
    </row>
    <row r="503" spans="1:15">
      <c r="A503" t="str">
        <f t="shared" si="21"/>
        <v>Fenval 200 EC 20 X 250 ml470880</v>
      </c>
      <c r="B503" t="s">
        <v>10322</v>
      </c>
      <c r="C503" t="s">
        <v>14885</v>
      </c>
      <c r="D503" t="s">
        <v>12406</v>
      </c>
      <c r="E503" t="s">
        <v>650</v>
      </c>
      <c r="F503">
        <v>20</v>
      </c>
      <c r="G503">
        <v>1</v>
      </c>
      <c r="H503">
        <v>1</v>
      </c>
      <c r="I503">
        <v>20</v>
      </c>
      <c r="J503">
        <v>1120</v>
      </c>
      <c r="K503">
        <f t="shared" si="22"/>
        <v>56</v>
      </c>
      <c r="L503">
        <f t="shared" si="23"/>
        <v>0</v>
      </c>
      <c r="M503">
        <v>1120</v>
      </c>
      <c r="N503" s="3">
        <v>47088</v>
      </c>
      <c r="O503" s="6">
        <v>0</v>
      </c>
    </row>
    <row r="504" spans="1:15">
      <c r="A504" t="str">
        <f t="shared" si="21"/>
        <v>Fenval 200 EC 20 X 500 ml470880</v>
      </c>
      <c r="B504" t="s">
        <v>10323</v>
      </c>
      <c r="C504" t="s">
        <v>14886</v>
      </c>
      <c r="D504" t="s">
        <v>12407</v>
      </c>
      <c r="E504" t="s">
        <v>651</v>
      </c>
      <c r="F504">
        <v>20</v>
      </c>
      <c r="G504">
        <v>1</v>
      </c>
      <c r="H504">
        <v>1</v>
      </c>
      <c r="I504">
        <v>20</v>
      </c>
      <c r="J504">
        <v>759</v>
      </c>
      <c r="K504">
        <f t="shared" si="22"/>
        <v>37</v>
      </c>
      <c r="L504">
        <f t="shared" si="23"/>
        <v>19</v>
      </c>
      <c r="M504">
        <v>759</v>
      </c>
      <c r="N504" s="3">
        <v>47088</v>
      </c>
      <c r="O504" s="6">
        <v>0</v>
      </c>
    </row>
    <row r="505" spans="1:15">
      <c r="A505" t="str">
        <f t="shared" si="21"/>
        <v>Fenval 200 EC 50 X 100 ml465390</v>
      </c>
      <c r="B505" t="s">
        <v>10324</v>
      </c>
      <c r="C505" t="s">
        <v>14887</v>
      </c>
      <c r="D505" t="s">
        <v>12408</v>
      </c>
      <c r="E505" t="s">
        <v>652</v>
      </c>
      <c r="F505">
        <v>50</v>
      </c>
      <c r="G505">
        <v>1</v>
      </c>
      <c r="H505">
        <v>1</v>
      </c>
      <c r="I505">
        <v>50</v>
      </c>
      <c r="J505">
        <v>13</v>
      </c>
      <c r="K505">
        <f t="shared" si="22"/>
        <v>0</v>
      </c>
      <c r="L505">
        <f t="shared" si="23"/>
        <v>13</v>
      </c>
      <c r="M505">
        <v>13</v>
      </c>
      <c r="N505" s="3">
        <v>46539</v>
      </c>
      <c r="O505" s="6">
        <v>0</v>
      </c>
    </row>
    <row r="506" spans="1:15">
      <c r="A506" t="str">
        <f t="shared" si="21"/>
        <v>Fenval 200 EC 50 X 100 ml471500</v>
      </c>
      <c r="B506" t="s">
        <v>10325</v>
      </c>
      <c r="C506" t="s">
        <v>14888</v>
      </c>
      <c r="D506" t="s">
        <v>12409</v>
      </c>
      <c r="E506" t="s">
        <v>652</v>
      </c>
      <c r="F506">
        <v>50</v>
      </c>
      <c r="G506">
        <v>1</v>
      </c>
      <c r="H506">
        <v>1</v>
      </c>
      <c r="I506">
        <v>50</v>
      </c>
      <c r="J506">
        <v>750</v>
      </c>
      <c r="K506">
        <f t="shared" si="22"/>
        <v>15</v>
      </c>
      <c r="L506">
        <f t="shared" si="23"/>
        <v>0</v>
      </c>
      <c r="M506">
        <v>750</v>
      </c>
      <c r="N506" s="3">
        <v>47150</v>
      </c>
      <c r="O506" s="6">
        <v>0</v>
      </c>
    </row>
    <row r="507" spans="1:15">
      <c r="A507" t="str">
        <f t="shared" si="21"/>
        <v>Fenval 200 EC 50 X 100 ml470880</v>
      </c>
      <c r="B507" t="s">
        <v>10326</v>
      </c>
      <c r="C507" t="s">
        <v>14889</v>
      </c>
      <c r="D507" t="s">
        <v>12410</v>
      </c>
      <c r="E507" t="s">
        <v>652</v>
      </c>
      <c r="F507">
        <v>50</v>
      </c>
      <c r="G507">
        <v>1</v>
      </c>
      <c r="H507">
        <v>1</v>
      </c>
      <c r="I507">
        <v>50</v>
      </c>
      <c r="J507">
        <v>3500</v>
      </c>
      <c r="K507">
        <f t="shared" si="22"/>
        <v>70</v>
      </c>
      <c r="L507">
        <f t="shared" si="23"/>
        <v>0</v>
      </c>
      <c r="M507">
        <v>3500</v>
      </c>
      <c r="N507" s="3">
        <v>47088</v>
      </c>
      <c r="O507" s="6">
        <v>0</v>
      </c>
    </row>
    <row r="508" spans="1:15">
      <c r="A508" t="str">
        <f t="shared" si="21"/>
        <v>Ferancher 100 EC 40 X 200 ml467530</v>
      </c>
      <c r="B508" t="s">
        <v>10327</v>
      </c>
      <c r="C508" t="s">
        <v>14890</v>
      </c>
      <c r="D508" t="s">
        <v>12411</v>
      </c>
      <c r="E508" t="s">
        <v>653</v>
      </c>
      <c r="F508">
        <v>40</v>
      </c>
      <c r="G508">
        <v>1</v>
      </c>
      <c r="H508">
        <v>1</v>
      </c>
      <c r="I508">
        <v>40</v>
      </c>
      <c r="J508">
        <v>309</v>
      </c>
      <c r="K508">
        <f t="shared" si="22"/>
        <v>7</v>
      </c>
      <c r="L508">
        <f t="shared" si="23"/>
        <v>29</v>
      </c>
      <c r="M508">
        <v>309</v>
      </c>
      <c r="N508" s="3">
        <v>46753</v>
      </c>
      <c r="O508" s="6">
        <v>0</v>
      </c>
    </row>
    <row r="509" spans="1:15">
      <c r="A509" t="str">
        <f t="shared" si="21"/>
        <v>Fetrilon Combi 1 12 X 40 X 25 gr469660</v>
      </c>
      <c r="B509" t="s">
        <v>10328</v>
      </c>
      <c r="C509" t="s">
        <v>14891</v>
      </c>
      <c r="D509" t="s">
        <v>12412</v>
      </c>
      <c r="E509" t="s">
        <v>655</v>
      </c>
      <c r="F509">
        <v>12</v>
      </c>
      <c r="G509">
        <v>40</v>
      </c>
      <c r="H509">
        <v>1</v>
      </c>
      <c r="I509">
        <v>480</v>
      </c>
      <c r="J509">
        <v>1400</v>
      </c>
      <c r="K509">
        <f t="shared" si="22"/>
        <v>2</v>
      </c>
      <c r="L509">
        <f t="shared" si="23"/>
        <v>440</v>
      </c>
      <c r="M509">
        <v>1400</v>
      </c>
      <c r="N509" s="3">
        <v>46966</v>
      </c>
      <c r="O509" s="6">
        <v>0</v>
      </c>
    </row>
    <row r="510" spans="1:15">
      <c r="A510" t="str">
        <f t="shared" si="21"/>
        <v>Filia 525 SE 100 X 50 ml456890</v>
      </c>
      <c r="B510" t="s">
        <v>10329</v>
      </c>
      <c r="C510" t="s">
        <v>14892</v>
      </c>
      <c r="D510" t="s">
        <v>12413</v>
      </c>
      <c r="E510" t="s">
        <v>656</v>
      </c>
      <c r="F510">
        <v>100</v>
      </c>
      <c r="G510">
        <v>1</v>
      </c>
      <c r="H510">
        <v>1</v>
      </c>
      <c r="I510">
        <v>100</v>
      </c>
      <c r="J510">
        <v>84</v>
      </c>
      <c r="K510">
        <f t="shared" si="22"/>
        <v>0</v>
      </c>
      <c r="L510">
        <f t="shared" si="23"/>
        <v>84</v>
      </c>
      <c r="M510">
        <v>84</v>
      </c>
      <c r="N510" s="3">
        <v>45689</v>
      </c>
      <c r="O510" s="6">
        <v>0</v>
      </c>
    </row>
    <row r="511" spans="1:15">
      <c r="A511" t="str">
        <f t="shared" si="21"/>
        <v>Filia 525 SE 100 X 50 ml460540</v>
      </c>
      <c r="B511" t="s">
        <v>10330</v>
      </c>
      <c r="C511" t="s">
        <v>14893</v>
      </c>
      <c r="D511" t="s">
        <v>12414</v>
      </c>
      <c r="E511" t="s">
        <v>656</v>
      </c>
      <c r="F511">
        <v>100</v>
      </c>
      <c r="G511">
        <v>1</v>
      </c>
      <c r="H511">
        <v>1</v>
      </c>
      <c r="I511">
        <v>100</v>
      </c>
      <c r="J511">
        <v>14300</v>
      </c>
      <c r="K511">
        <f t="shared" si="22"/>
        <v>143</v>
      </c>
      <c r="L511">
        <f t="shared" si="23"/>
        <v>0</v>
      </c>
      <c r="M511">
        <v>14300</v>
      </c>
      <c r="N511" s="3">
        <v>46054</v>
      </c>
      <c r="O511" s="6">
        <v>0</v>
      </c>
    </row>
    <row r="512" spans="1:15">
      <c r="A512" t="str">
        <f t="shared" si="21"/>
        <v>Filia 525 SE 20 X 250 ml463270</v>
      </c>
      <c r="B512" t="s">
        <v>10331</v>
      </c>
      <c r="C512" t="s">
        <v>14894</v>
      </c>
      <c r="D512" t="s">
        <v>12415</v>
      </c>
      <c r="E512" t="s">
        <v>660</v>
      </c>
      <c r="F512">
        <v>20</v>
      </c>
      <c r="G512">
        <v>1</v>
      </c>
      <c r="H512">
        <v>1</v>
      </c>
      <c r="I512">
        <v>20</v>
      </c>
      <c r="J512">
        <v>800</v>
      </c>
      <c r="K512">
        <f t="shared" si="22"/>
        <v>40</v>
      </c>
      <c r="L512">
        <f t="shared" si="23"/>
        <v>0</v>
      </c>
      <c r="M512">
        <v>800</v>
      </c>
      <c r="N512" s="3">
        <v>46327</v>
      </c>
      <c r="O512" s="6">
        <v>0</v>
      </c>
    </row>
    <row r="513" spans="1:15">
      <c r="A513" t="str">
        <f t="shared" si="21"/>
        <v>Filia 525 SE 20 X 250 ml465080</v>
      </c>
      <c r="B513" t="s">
        <v>10332</v>
      </c>
      <c r="C513" t="s">
        <v>14895</v>
      </c>
      <c r="D513" t="s">
        <v>12416</v>
      </c>
      <c r="E513" t="s">
        <v>660</v>
      </c>
      <c r="F513">
        <v>20</v>
      </c>
      <c r="G513">
        <v>1</v>
      </c>
      <c r="H513">
        <v>1</v>
      </c>
      <c r="I513">
        <v>20</v>
      </c>
      <c r="J513">
        <v>20</v>
      </c>
      <c r="K513">
        <f t="shared" si="22"/>
        <v>1</v>
      </c>
      <c r="L513">
        <f t="shared" si="23"/>
        <v>0</v>
      </c>
      <c r="M513">
        <v>20</v>
      </c>
      <c r="N513" s="3">
        <v>46508</v>
      </c>
      <c r="O513" s="6">
        <v>0</v>
      </c>
    </row>
    <row r="514" spans="1:15">
      <c r="A514" t="str">
        <f t="shared" si="21"/>
        <v>Filia 525 SE 20 X 250 ml464470</v>
      </c>
      <c r="B514" t="s">
        <v>10333</v>
      </c>
      <c r="C514" t="s">
        <v>14896</v>
      </c>
      <c r="D514" t="s">
        <v>12417</v>
      </c>
      <c r="E514" t="s">
        <v>660</v>
      </c>
      <c r="F514">
        <v>20</v>
      </c>
      <c r="G514">
        <v>1</v>
      </c>
      <c r="H514">
        <v>1</v>
      </c>
      <c r="I514">
        <v>20</v>
      </c>
      <c r="J514">
        <v>16440</v>
      </c>
      <c r="K514">
        <f t="shared" si="22"/>
        <v>822</v>
      </c>
      <c r="L514">
        <f t="shared" si="23"/>
        <v>0</v>
      </c>
      <c r="M514">
        <v>16440</v>
      </c>
      <c r="N514" s="3">
        <v>46447</v>
      </c>
      <c r="O514" s="6">
        <v>0</v>
      </c>
    </row>
    <row r="515" spans="1:15">
      <c r="A515" t="str">
        <f t="shared" ref="A515:A578" si="24">E515&amp;N515&amp;O515</f>
        <v>Flash 40 X 100 ml460540</v>
      </c>
      <c r="B515" t="s">
        <v>10334</v>
      </c>
      <c r="C515" t="s">
        <v>14897</v>
      </c>
      <c r="D515" t="s">
        <v>12418</v>
      </c>
      <c r="E515" t="s">
        <v>665</v>
      </c>
      <c r="F515">
        <v>40</v>
      </c>
      <c r="G515">
        <v>1</v>
      </c>
      <c r="H515">
        <v>1</v>
      </c>
      <c r="I515">
        <v>40</v>
      </c>
      <c r="J515">
        <v>200</v>
      </c>
      <c r="K515">
        <f t="shared" ref="K515:K578" si="25">ROUNDDOWN(J515/I515,0)</f>
        <v>5</v>
      </c>
      <c r="L515">
        <f t="shared" ref="L515:L578" si="26">J515-K515*I515</f>
        <v>0</v>
      </c>
      <c r="M515">
        <v>200</v>
      </c>
      <c r="N515" s="3">
        <v>46054</v>
      </c>
      <c r="O515" s="6">
        <v>0</v>
      </c>
    </row>
    <row r="516" spans="1:15">
      <c r="A516" t="str">
        <f t="shared" si="24"/>
        <v>Flash 40 X 100 ml460230</v>
      </c>
      <c r="B516" t="s">
        <v>10335</v>
      </c>
      <c r="C516" t="s">
        <v>14898</v>
      </c>
      <c r="D516" t="s">
        <v>12419</v>
      </c>
      <c r="E516" t="s">
        <v>665</v>
      </c>
      <c r="F516">
        <v>40</v>
      </c>
      <c r="G516">
        <v>1</v>
      </c>
      <c r="H516">
        <v>1</v>
      </c>
      <c r="I516">
        <v>40</v>
      </c>
      <c r="J516">
        <v>640</v>
      </c>
      <c r="K516">
        <f t="shared" si="25"/>
        <v>16</v>
      </c>
      <c r="L516">
        <f t="shared" si="26"/>
        <v>0</v>
      </c>
      <c r="M516">
        <v>640</v>
      </c>
      <c r="N516" s="3">
        <v>46023</v>
      </c>
      <c r="O516" s="6">
        <v>0</v>
      </c>
    </row>
    <row r="517" spans="1:15">
      <c r="A517" t="str">
        <f t="shared" si="24"/>
        <v>Folirfos 400 SL 15 X 1 ltr470580</v>
      </c>
      <c r="B517" t="s">
        <v>10336</v>
      </c>
      <c r="C517" t="s">
        <v>14899</v>
      </c>
      <c r="D517" t="s">
        <v>12420</v>
      </c>
      <c r="E517" t="s">
        <v>666</v>
      </c>
      <c r="F517">
        <v>15</v>
      </c>
      <c r="G517">
        <v>1</v>
      </c>
      <c r="H517">
        <v>1</v>
      </c>
      <c r="I517">
        <v>15</v>
      </c>
      <c r="J517">
        <v>2298</v>
      </c>
      <c r="K517">
        <f t="shared" si="25"/>
        <v>153</v>
      </c>
      <c r="L517">
        <f t="shared" si="26"/>
        <v>3</v>
      </c>
      <c r="M517">
        <v>2298</v>
      </c>
      <c r="N517" s="3">
        <v>47058</v>
      </c>
      <c r="O517" s="6">
        <v>0</v>
      </c>
    </row>
    <row r="518" spans="1:15">
      <c r="A518" t="str">
        <f t="shared" si="24"/>
        <v>Folirfos 400 SL 20 X 500 ml468440</v>
      </c>
      <c r="B518" t="s">
        <v>10337</v>
      </c>
      <c r="C518" t="s">
        <v>14900</v>
      </c>
      <c r="D518" t="s">
        <v>12421</v>
      </c>
      <c r="E518" t="s">
        <v>667</v>
      </c>
      <c r="F518">
        <v>20</v>
      </c>
      <c r="G518">
        <v>1</v>
      </c>
      <c r="H518">
        <v>1</v>
      </c>
      <c r="I518">
        <v>20</v>
      </c>
      <c r="J518">
        <v>327</v>
      </c>
      <c r="K518">
        <f t="shared" si="25"/>
        <v>16</v>
      </c>
      <c r="L518">
        <f t="shared" si="26"/>
        <v>7</v>
      </c>
      <c r="M518">
        <v>327</v>
      </c>
      <c r="N518" s="3">
        <v>46844</v>
      </c>
      <c r="O518" s="6">
        <v>0</v>
      </c>
    </row>
    <row r="519" spans="1:15">
      <c r="A519" t="str">
        <f t="shared" si="24"/>
        <v>Folirfos 400 SL 20 X 500 ml469350</v>
      </c>
      <c r="B519" t="s">
        <v>10338</v>
      </c>
      <c r="C519" t="s">
        <v>14901</v>
      </c>
      <c r="D519" t="s">
        <v>12422</v>
      </c>
      <c r="E519" t="s">
        <v>667</v>
      </c>
      <c r="F519">
        <v>20</v>
      </c>
      <c r="G519">
        <v>1</v>
      </c>
      <c r="H519">
        <v>1</v>
      </c>
      <c r="I519">
        <v>20</v>
      </c>
      <c r="J519">
        <v>340</v>
      </c>
      <c r="K519">
        <f t="shared" si="25"/>
        <v>17</v>
      </c>
      <c r="L519">
        <f t="shared" si="26"/>
        <v>0</v>
      </c>
      <c r="M519">
        <v>340</v>
      </c>
      <c r="N519" s="3">
        <v>46935</v>
      </c>
      <c r="O519" s="6">
        <v>0</v>
      </c>
    </row>
    <row r="520" spans="1:15">
      <c r="A520" t="str">
        <f t="shared" si="24"/>
        <v>Folirfos 400 SL 4 X 5 ltr458700</v>
      </c>
      <c r="B520" t="s">
        <v>10339</v>
      </c>
      <c r="C520" t="s">
        <v>14902</v>
      </c>
      <c r="D520" t="s">
        <v>12423</v>
      </c>
      <c r="E520" t="s">
        <v>668</v>
      </c>
      <c r="F520">
        <v>4</v>
      </c>
      <c r="G520">
        <v>1</v>
      </c>
      <c r="H520">
        <v>1</v>
      </c>
      <c r="I520">
        <v>4</v>
      </c>
      <c r="J520">
        <v>31</v>
      </c>
      <c r="K520">
        <f t="shared" si="25"/>
        <v>7</v>
      </c>
      <c r="L520">
        <f t="shared" si="26"/>
        <v>3</v>
      </c>
      <c r="M520">
        <v>31</v>
      </c>
      <c r="N520" s="3">
        <v>45870</v>
      </c>
      <c r="O520" s="6">
        <v>0</v>
      </c>
    </row>
    <row r="521" spans="1:15">
      <c r="A521" t="str">
        <f t="shared" si="24"/>
        <v>Format 360/120 SL 20 X 1 ltr470580</v>
      </c>
      <c r="B521" t="s">
        <v>10340</v>
      </c>
      <c r="C521" t="s">
        <v>14903</v>
      </c>
      <c r="D521" t="s">
        <v>12424</v>
      </c>
      <c r="E521" t="s">
        <v>669</v>
      </c>
      <c r="F521">
        <v>20</v>
      </c>
      <c r="G521">
        <v>1</v>
      </c>
      <c r="H521">
        <v>1</v>
      </c>
      <c r="I521">
        <v>20</v>
      </c>
      <c r="J521">
        <v>1980</v>
      </c>
      <c r="K521">
        <f t="shared" si="25"/>
        <v>99</v>
      </c>
      <c r="L521">
        <f t="shared" si="26"/>
        <v>0</v>
      </c>
      <c r="M521">
        <v>1980</v>
      </c>
      <c r="N521" s="3">
        <v>47058</v>
      </c>
      <c r="O521" s="6">
        <v>0</v>
      </c>
    </row>
    <row r="522" spans="1:15">
      <c r="A522" t="str">
        <f t="shared" si="24"/>
        <v>Forsil 20 X 250 ml467840</v>
      </c>
      <c r="B522" t="s">
        <v>10341</v>
      </c>
      <c r="C522" t="s">
        <v>14904</v>
      </c>
      <c r="D522" t="s">
        <v>12425</v>
      </c>
      <c r="E522" t="s">
        <v>670</v>
      </c>
      <c r="F522">
        <v>20</v>
      </c>
      <c r="G522">
        <v>1</v>
      </c>
      <c r="H522">
        <v>1</v>
      </c>
      <c r="I522">
        <v>20</v>
      </c>
      <c r="J522">
        <v>4</v>
      </c>
      <c r="K522">
        <f t="shared" si="25"/>
        <v>0</v>
      </c>
      <c r="L522">
        <f t="shared" si="26"/>
        <v>4</v>
      </c>
      <c r="M522">
        <v>4</v>
      </c>
      <c r="N522" s="3">
        <v>46784</v>
      </c>
      <c r="O522" s="6">
        <v>0</v>
      </c>
    </row>
    <row r="523" spans="1:15">
      <c r="A523" t="str">
        <f t="shared" si="24"/>
        <v>Forsil 20 X 500 ml469970</v>
      </c>
      <c r="B523" t="s">
        <v>10342</v>
      </c>
      <c r="C523" t="s">
        <v>14905</v>
      </c>
      <c r="D523" t="s">
        <v>12426</v>
      </c>
      <c r="E523" t="s">
        <v>671</v>
      </c>
      <c r="F523">
        <v>20</v>
      </c>
      <c r="G523">
        <v>1</v>
      </c>
      <c r="H523">
        <v>1</v>
      </c>
      <c r="I523">
        <v>20</v>
      </c>
      <c r="J523">
        <v>5</v>
      </c>
      <c r="K523">
        <f t="shared" si="25"/>
        <v>0</v>
      </c>
      <c r="L523">
        <f t="shared" si="26"/>
        <v>5</v>
      </c>
      <c r="M523">
        <v>5</v>
      </c>
      <c r="N523" s="3">
        <v>46997</v>
      </c>
      <c r="O523" s="6">
        <v>0</v>
      </c>
    </row>
    <row r="524" spans="1:15">
      <c r="A524" t="str">
        <f t="shared" si="24"/>
        <v>Forsil 20 X 500 ml470580</v>
      </c>
      <c r="B524" t="s">
        <v>10343</v>
      </c>
      <c r="C524" t="s">
        <v>14906</v>
      </c>
      <c r="D524" t="s">
        <v>12427</v>
      </c>
      <c r="E524" t="s">
        <v>671</v>
      </c>
      <c r="F524">
        <v>20</v>
      </c>
      <c r="G524">
        <v>1</v>
      </c>
      <c r="H524">
        <v>1</v>
      </c>
      <c r="I524">
        <v>20</v>
      </c>
      <c r="J524">
        <v>94</v>
      </c>
      <c r="K524">
        <f t="shared" si="25"/>
        <v>4</v>
      </c>
      <c r="L524">
        <f t="shared" si="26"/>
        <v>14</v>
      </c>
      <c r="M524">
        <v>94</v>
      </c>
      <c r="N524" s="3">
        <v>47058</v>
      </c>
      <c r="O524" s="6">
        <v>0</v>
      </c>
    </row>
    <row r="525" spans="1:15">
      <c r="A525" t="str">
        <f t="shared" si="24"/>
        <v>Fortune 250 ml451700</v>
      </c>
      <c r="B525" t="s">
        <v>10344</v>
      </c>
      <c r="C525" t="s">
        <v>14907</v>
      </c>
      <c r="D525" t="s">
        <v>12428</v>
      </c>
      <c r="E525" t="s">
        <v>672</v>
      </c>
      <c r="F525">
        <v>1</v>
      </c>
      <c r="G525">
        <v>1</v>
      </c>
      <c r="H525">
        <v>1</v>
      </c>
      <c r="I525">
        <v>1</v>
      </c>
      <c r="J525">
        <v>5</v>
      </c>
      <c r="K525">
        <f t="shared" si="25"/>
        <v>5</v>
      </c>
      <c r="L525">
        <f t="shared" si="26"/>
        <v>0</v>
      </c>
      <c r="M525">
        <v>5</v>
      </c>
      <c r="N525" s="3">
        <v>45170</v>
      </c>
      <c r="O525" s="6">
        <v>0</v>
      </c>
    </row>
    <row r="526" spans="1:15">
      <c r="A526" t="str">
        <f t="shared" si="24"/>
        <v>Fungidex 40 WP 50 X 500 gr468130</v>
      </c>
      <c r="B526" t="s">
        <v>10345</v>
      </c>
      <c r="C526" t="s">
        <v>14908</v>
      </c>
      <c r="D526" t="s">
        <v>12429</v>
      </c>
      <c r="E526" t="s">
        <v>674</v>
      </c>
      <c r="F526">
        <v>50</v>
      </c>
      <c r="G526">
        <v>1</v>
      </c>
      <c r="H526">
        <v>1</v>
      </c>
      <c r="I526">
        <v>50</v>
      </c>
      <c r="J526">
        <v>5883</v>
      </c>
      <c r="K526">
        <f t="shared" si="25"/>
        <v>117</v>
      </c>
      <c r="L526">
        <f t="shared" si="26"/>
        <v>33</v>
      </c>
      <c r="M526">
        <v>5883</v>
      </c>
      <c r="N526" s="3">
        <v>46813</v>
      </c>
      <c r="O526" s="6">
        <v>0</v>
      </c>
    </row>
    <row r="527" spans="1:15">
      <c r="A527" t="str">
        <f t="shared" si="24"/>
        <v>GA Bunga Buah 20 X 500 ml462350</v>
      </c>
      <c r="B527" t="s">
        <v>10346</v>
      </c>
      <c r="C527" t="s">
        <v>14909</v>
      </c>
      <c r="D527" t="s">
        <v>12430</v>
      </c>
      <c r="E527" t="s">
        <v>675</v>
      </c>
      <c r="F527">
        <v>20</v>
      </c>
      <c r="G527">
        <v>1</v>
      </c>
      <c r="H527">
        <v>1</v>
      </c>
      <c r="I527">
        <v>20</v>
      </c>
      <c r="J527">
        <v>877</v>
      </c>
      <c r="K527">
        <f t="shared" si="25"/>
        <v>43</v>
      </c>
      <c r="L527">
        <f t="shared" si="26"/>
        <v>17</v>
      </c>
      <c r="M527">
        <v>877</v>
      </c>
      <c r="N527" s="3">
        <v>46235</v>
      </c>
      <c r="O527" s="6">
        <v>0</v>
      </c>
    </row>
    <row r="528" spans="1:15">
      <c r="A528" t="str">
        <f t="shared" si="24"/>
        <v>GA Cabe 20 X 500 ml459010</v>
      </c>
      <c r="B528" t="s">
        <v>10347</v>
      </c>
      <c r="C528" t="s">
        <v>14910</v>
      </c>
      <c r="D528" t="s">
        <v>12431</v>
      </c>
      <c r="E528" t="s">
        <v>676</v>
      </c>
      <c r="F528">
        <v>20</v>
      </c>
      <c r="G528">
        <v>1</v>
      </c>
      <c r="H528">
        <v>1</v>
      </c>
      <c r="I528">
        <v>20</v>
      </c>
      <c r="J528">
        <v>245</v>
      </c>
      <c r="K528">
        <f t="shared" si="25"/>
        <v>12</v>
      </c>
      <c r="L528">
        <f t="shared" si="26"/>
        <v>5</v>
      </c>
      <c r="M528">
        <v>245</v>
      </c>
      <c r="N528" s="3">
        <v>45901</v>
      </c>
      <c r="O528" s="6">
        <v>0</v>
      </c>
    </row>
    <row r="529" spans="1:15">
      <c r="A529" t="str">
        <f t="shared" si="24"/>
        <v>GA Jagung 20 X 500 ml460540</v>
      </c>
      <c r="B529" t="s">
        <v>10348</v>
      </c>
      <c r="C529" t="s">
        <v>14911</v>
      </c>
      <c r="D529" t="s">
        <v>12432</v>
      </c>
      <c r="E529" t="s">
        <v>677</v>
      </c>
      <c r="F529">
        <v>20</v>
      </c>
      <c r="G529">
        <v>1</v>
      </c>
      <c r="H529">
        <v>1</v>
      </c>
      <c r="I529">
        <v>20</v>
      </c>
      <c r="J529">
        <v>160</v>
      </c>
      <c r="K529">
        <f t="shared" si="25"/>
        <v>8</v>
      </c>
      <c r="L529">
        <f t="shared" si="26"/>
        <v>0</v>
      </c>
      <c r="M529">
        <v>160</v>
      </c>
      <c r="N529" s="3">
        <v>46054</v>
      </c>
      <c r="O529" s="6">
        <v>0</v>
      </c>
    </row>
    <row r="530" spans="1:15">
      <c r="A530" t="str">
        <f t="shared" si="24"/>
        <v>GA Jagung 20 X 500 ml (Sample)462040</v>
      </c>
      <c r="B530" t="s">
        <v>10349</v>
      </c>
      <c r="C530" t="s">
        <v>14912</v>
      </c>
      <c r="D530" t="s">
        <v>12433</v>
      </c>
      <c r="E530" t="s">
        <v>678</v>
      </c>
      <c r="F530">
        <v>20</v>
      </c>
      <c r="G530">
        <v>1</v>
      </c>
      <c r="H530">
        <v>1</v>
      </c>
      <c r="I530">
        <v>20</v>
      </c>
      <c r="J530">
        <v>40</v>
      </c>
      <c r="K530">
        <f t="shared" si="25"/>
        <v>2</v>
      </c>
      <c r="L530">
        <f t="shared" si="26"/>
        <v>0</v>
      </c>
      <c r="M530">
        <v>40</v>
      </c>
      <c r="N530" s="3">
        <v>46204</v>
      </c>
      <c r="O530" s="6">
        <v>0</v>
      </c>
    </row>
    <row r="531" spans="1:15">
      <c r="A531" t="str">
        <f t="shared" si="24"/>
        <v>GA Jeruk 20 X 500 ml462960</v>
      </c>
      <c r="B531" t="s">
        <v>10350</v>
      </c>
      <c r="C531" t="s">
        <v>14913</v>
      </c>
      <c r="D531" t="s">
        <v>12434</v>
      </c>
      <c r="E531" t="s">
        <v>679</v>
      </c>
      <c r="F531">
        <v>20</v>
      </c>
      <c r="G531">
        <v>1</v>
      </c>
      <c r="H531">
        <v>1</v>
      </c>
      <c r="I531">
        <v>20</v>
      </c>
      <c r="J531">
        <v>100</v>
      </c>
      <c r="K531">
        <f t="shared" si="25"/>
        <v>5</v>
      </c>
      <c r="L531">
        <f t="shared" si="26"/>
        <v>0</v>
      </c>
      <c r="M531">
        <v>100</v>
      </c>
      <c r="N531" s="3">
        <v>46296</v>
      </c>
      <c r="O531" s="6">
        <v>0</v>
      </c>
    </row>
    <row r="532" spans="1:15">
      <c r="A532" t="str">
        <f t="shared" si="24"/>
        <v>GA Jeruk 20 X 500 ml461430</v>
      </c>
      <c r="B532" t="s">
        <v>10351</v>
      </c>
      <c r="C532" t="s">
        <v>14914</v>
      </c>
      <c r="D532" t="s">
        <v>12435</v>
      </c>
      <c r="E532" t="s">
        <v>679</v>
      </c>
      <c r="F532">
        <v>20</v>
      </c>
      <c r="G532">
        <v>1</v>
      </c>
      <c r="H532">
        <v>1</v>
      </c>
      <c r="I532">
        <v>20</v>
      </c>
      <c r="J532">
        <v>760</v>
      </c>
      <c r="K532">
        <f t="shared" si="25"/>
        <v>38</v>
      </c>
      <c r="L532">
        <f t="shared" si="26"/>
        <v>0</v>
      </c>
      <c r="M532">
        <v>760</v>
      </c>
      <c r="N532" s="3">
        <v>46143</v>
      </c>
      <c r="O532" s="6">
        <v>0</v>
      </c>
    </row>
    <row r="533" spans="1:15">
      <c r="A533" t="str">
        <f t="shared" si="24"/>
        <v>GA Padi 20 X 500 ml461430</v>
      </c>
      <c r="B533" t="s">
        <v>10352</v>
      </c>
      <c r="C533" t="s">
        <v>14915</v>
      </c>
      <c r="D533" t="s">
        <v>12436</v>
      </c>
      <c r="E533" t="s">
        <v>680</v>
      </c>
      <c r="F533">
        <v>20</v>
      </c>
      <c r="G533">
        <v>1</v>
      </c>
      <c r="H533">
        <v>1</v>
      </c>
      <c r="I533">
        <v>20</v>
      </c>
      <c r="J533">
        <v>120</v>
      </c>
      <c r="K533">
        <f t="shared" si="25"/>
        <v>6</v>
      </c>
      <c r="L533">
        <f t="shared" si="26"/>
        <v>0</v>
      </c>
      <c r="M533">
        <v>120</v>
      </c>
      <c r="N533" s="3">
        <v>46143</v>
      </c>
      <c r="O533" s="6">
        <v>0</v>
      </c>
    </row>
    <row r="534" spans="1:15">
      <c r="A534" t="str">
        <f t="shared" si="24"/>
        <v>GA Padi 20 X 500 ml459920</v>
      </c>
      <c r="B534" t="s">
        <v>10353</v>
      </c>
      <c r="C534" t="s">
        <v>14916</v>
      </c>
      <c r="D534" t="s">
        <v>12437</v>
      </c>
      <c r="E534" t="s">
        <v>680</v>
      </c>
      <c r="F534">
        <v>20</v>
      </c>
      <c r="G534">
        <v>1</v>
      </c>
      <c r="H534">
        <v>1</v>
      </c>
      <c r="I534">
        <v>20</v>
      </c>
      <c r="J534">
        <v>390</v>
      </c>
      <c r="K534">
        <f t="shared" si="25"/>
        <v>19</v>
      </c>
      <c r="L534">
        <f t="shared" si="26"/>
        <v>10</v>
      </c>
      <c r="M534">
        <v>390</v>
      </c>
      <c r="N534" s="3">
        <v>45992</v>
      </c>
      <c r="O534" s="6">
        <v>0</v>
      </c>
    </row>
    <row r="535" spans="1:15">
      <c r="A535" t="str">
        <f t="shared" si="24"/>
        <v>Ga Plus 20TB 35 X 10 X 5 gr468130</v>
      </c>
      <c r="B535" t="s">
        <v>10354</v>
      </c>
      <c r="C535" t="s">
        <v>14917</v>
      </c>
      <c r="D535" t="s">
        <v>12438</v>
      </c>
      <c r="E535" t="s">
        <v>681</v>
      </c>
      <c r="F535">
        <v>35</v>
      </c>
      <c r="G535">
        <v>10</v>
      </c>
      <c r="H535">
        <v>1</v>
      </c>
      <c r="I535">
        <v>350</v>
      </c>
      <c r="J535">
        <v>3150</v>
      </c>
      <c r="K535">
        <f t="shared" si="25"/>
        <v>9</v>
      </c>
      <c r="L535">
        <f t="shared" si="26"/>
        <v>0</v>
      </c>
      <c r="M535">
        <v>3150</v>
      </c>
      <c r="N535" s="3">
        <v>46813</v>
      </c>
      <c r="O535" s="6">
        <v>0</v>
      </c>
    </row>
    <row r="536" spans="1:15">
      <c r="A536" t="str">
        <f t="shared" si="24"/>
        <v>GA Recovery 20 X 500 ml467220</v>
      </c>
      <c r="B536" t="s">
        <v>10355</v>
      </c>
      <c r="C536" t="s">
        <v>14918</v>
      </c>
      <c r="D536" t="s">
        <v>12439</v>
      </c>
      <c r="E536" t="s">
        <v>683</v>
      </c>
      <c r="F536">
        <v>20</v>
      </c>
      <c r="G536">
        <v>1</v>
      </c>
      <c r="H536">
        <v>1</v>
      </c>
      <c r="I536">
        <v>20</v>
      </c>
      <c r="J536">
        <v>119</v>
      </c>
      <c r="K536">
        <f t="shared" si="25"/>
        <v>5</v>
      </c>
      <c r="L536">
        <f t="shared" si="26"/>
        <v>19</v>
      </c>
      <c r="M536">
        <v>119</v>
      </c>
      <c r="N536" s="3">
        <v>46722</v>
      </c>
      <c r="O536" s="6">
        <v>0</v>
      </c>
    </row>
    <row r="537" spans="1:15">
      <c r="A537" t="str">
        <f t="shared" si="24"/>
        <v>GA Sayur Daun 20 X 500 ml459620</v>
      </c>
      <c r="B537" t="s">
        <v>10356</v>
      </c>
      <c r="C537" t="s">
        <v>14919</v>
      </c>
      <c r="D537" t="s">
        <v>12440</v>
      </c>
      <c r="E537" t="s">
        <v>684</v>
      </c>
      <c r="F537">
        <v>20</v>
      </c>
      <c r="G537">
        <v>1</v>
      </c>
      <c r="H537">
        <v>1</v>
      </c>
      <c r="I537">
        <v>20</v>
      </c>
      <c r="J537">
        <v>140</v>
      </c>
      <c r="K537">
        <f t="shared" si="25"/>
        <v>7</v>
      </c>
      <c r="L537">
        <f t="shared" si="26"/>
        <v>0</v>
      </c>
      <c r="M537">
        <v>140</v>
      </c>
      <c r="N537" s="3">
        <v>45962</v>
      </c>
      <c r="O537" s="6">
        <v>0</v>
      </c>
    </row>
    <row r="538" spans="1:15">
      <c r="A538" t="str">
        <f t="shared" si="24"/>
        <v>GA Sayur Daun 20 X 500 ml462350</v>
      </c>
      <c r="B538" t="s">
        <v>10357</v>
      </c>
      <c r="C538" t="s">
        <v>14920</v>
      </c>
      <c r="D538" t="s">
        <v>12441</v>
      </c>
      <c r="E538" t="s">
        <v>684</v>
      </c>
      <c r="F538">
        <v>20</v>
      </c>
      <c r="G538">
        <v>1</v>
      </c>
      <c r="H538">
        <v>1</v>
      </c>
      <c r="I538">
        <v>20</v>
      </c>
      <c r="J538">
        <v>300</v>
      </c>
      <c r="K538">
        <f t="shared" si="25"/>
        <v>15</v>
      </c>
      <c r="L538">
        <f t="shared" si="26"/>
        <v>0</v>
      </c>
      <c r="M538">
        <v>300</v>
      </c>
      <c r="N538" s="3">
        <v>46235</v>
      </c>
      <c r="O538" s="6">
        <v>0</v>
      </c>
    </row>
    <row r="539" spans="1:15">
      <c r="A539" t="str">
        <f t="shared" si="24"/>
        <v>Gallery 403 SL 10 X 1 ltr + SG.02 100 gr461430</v>
      </c>
      <c r="B539" t="s">
        <v>10358</v>
      </c>
      <c r="C539" t="s">
        <v>14921</v>
      </c>
      <c r="D539" t="s">
        <v>12442</v>
      </c>
      <c r="E539" t="s">
        <v>685</v>
      </c>
      <c r="F539">
        <v>10</v>
      </c>
      <c r="G539">
        <v>1</v>
      </c>
      <c r="H539">
        <v>1</v>
      </c>
      <c r="I539">
        <v>10</v>
      </c>
      <c r="J539">
        <v>149</v>
      </c>
      <c r="K539">
        <f t="shared" si="25"/>
        <v>14</v>
      </c>
      <c r="L539">
        <f t="shared" si="26"/>
        <v>9</v>
      </c>
      <c r="M539">
        <v>149</v>
      </c>
      <c r="N539" s="3">
        <v>46143</v>
      </c>
      <c r="O539" s="6">
        <v>0</v>
      </c>
    </row>
    <row r="540" spans="1:15">
      <c r="A540" t="str">
        <f t="shared" si="24"/>
        <v>Gallery 403 SL 10 X 1 ltr + SG.02 100 gr462350</v>
      </c>
      <c r="B540" t="s">
        <v>10359</v>
      </c>
      <c r="C540" t="s">
        <v>14922</v>
      </c>
      <c r="D540" t="s">
        <v>12443</v>
      </c>
      <c r="E540" t="s">
        <v>685</v>
      </c>
      <c r="F540">
        <v>10</v>
      </c>
      <c r="G540">
        <v>1</v>
      </c>
      <c r="H540">
        <v>1</v>
      </c>
      <c r="I540">
        <v>10</v>
      </c>
      <c r="J540">
        <v>590</v>
      </c>
      <c r="K540">
        <f t="shared" si="25"/>
        <v>59</v>
      </c>
      <c r="L540">
        <f t="shared" si="26"/>
        <v>0</v>
      </c>
      <c r="M540">
        <v>590</v>
      </c>
      <c r="N540" s="3">
        <v>46235</v>
      </c>
      <c r="O540" s="6">
        <v>0</v>
      </c>
    </row>
    <row r="541" spans="1:15">
      <c r="A541" t="str">
        <f t="shared" si="24"/>
        <v>Gallery 403 SL 30 X 500 ml + SG.02 100 gr (M2U)462960</v>
      </c>
      <c r="B541" t="s">
        <v>10360</v>
      </c>
      <c r="C541" t="s">
        <v>14923</v>
      </c>
      <c r="D541" t="s">
        <v>12444</v>
      </c>
      <c r="E541" t="s">
        <v>686</v>
      </c>
      <c r="F541">
        <v>30</v>
      </c>
      <c r="G541">
        <v>1</v>
      </c>
      <c r="H541">
        <v>1</v>
      </c>
      <c r="I541">
        <v>30</v>
      </c>
      <c r="J541">
        <v>419</v>
      </c>
      <c r="K541">
        <f t="shared" si="25"/>
        <v>13</v>
      </c>
      <c r="L541">
        <f t="shared" si="26"/>
        <v>29</v>
      </c>
      <c r="M541">
        <v>419</v>
      </c>
      <c r="N541" s="3">
        <v>46296</v>
      </c>
      <c r="O541" s="6">
        <v>0</v>
      </c>
    </row>
    <row r="542" spans="1:15">
      <c r="A542" t="str">
        <f t="shared" si="24"/>
        <v>Gallery 403 SL 50 X 200 ml (M2U)462660</v>
      </c>
      <c r="B542" t="s">
        <v>10361</v>
      </c>
      <c r="C542" t="s">
        <v>14924</v>
      </c>
      <c r="D542" t="s">
        <v>12445</v>
      </c>
      <c r="E542" t="s">
        <v>687</v>
      </c>
      <c r="F542">
        <v>50</v>
      </c>
      <c r="G542">
        <v>1</v>
      </c>
      <c r="H542">
        <v>1</v>
      </c>
      <c r="I542">
        <v>50</v>
      </c>
      <c r="J542">
        <v>147</v>
      </c>
      <c r="K542">
        <f t="shared" si="25"/>
        <v>2</v>
      </c>
      <c r="L542">
        <f t="shared" si="26"/>
        <v>47</v>
      </c>
      <c r="M542">
        <v>147</v>
      </c>
      <c r="N542" s="3">
        <v>46266</v>
      </c>
      <c r="O542" s="6">
        <v>0</v>
      </c>
    </row>
    <row r="543" spans="1:15">
      <c r="A543" t="str">
        <f t="shared" si="24"/>
        <v>Gallery 403 SL 50 X 200 ml (M2U)464190</v>
      </c>
      <c r="B543" t="s">
        <v>10362</v>
      </c>
      <c r="C543" t="s">
        <v>14925</v>
      </c>
      <c r="D543" t="s">
        <v>12446</v>
      </c>
      <c r="E543" t="s">
        <v>687</v>
      </c>
      <c r="F543">
        <v>50</v>
      </c>
      <c r="G543">
        <v>1</v>
      </c>
      <c r="H543">
        <v>1</v>
      </c>
      <c r="I543">
        <v>50</v>
      </c>
      <c r="J543">
        <v>1250</v>
      </c>
      <c r="K543">
        <f t="shared" si="25"/>
        <v>25</v>
      </c>
      <c r="L543">
        <f t="shared" si="26"/>
        <v>0</v>
      </c>
      <c r="M543">
        <v>1250</v>
      </c>
      <c r="N543" s="3">
        <v>46419</v>
      </c>
      <c r="O543" s="6">
        <v>0</v>
      </c>
    </row>
    <row r="544" spans="1:15">
      <c r="A544" t="str">
        <f t="shared" si="24"/>
        <v>Gamectin 30 EC 100 X 100 ml462960</v>
      </c>
      <c r="B544" t="s">
        <v>10363</v>
      </c>
      <c r="C544" t="s">
        <v>14926</v>
      </c>
      <c r="D544" t="s">
        <v>12447</v>
      </c>
      <c r="E544" t="s">
        <v>688</v>
      </c>
      <c r="F544">
        <v>100</v>
      </c>
      <c r="G544">
        <v>1</v>
      </c>
      <c r="H544">
        <v>1</v>
      </c>
      <c r="I544">
        <v>100</v>
      </c>
      <c r="J544">
        <v>2261</v>
      </c>
      <c r="K544">
        <f t="shared" si="25"/>
        <v>22</v>
      </c>
      <c r="L544">
        <f t="shared" si="26"/>
        <v>61</v>
      </c>
      <c r="M544">
        <v>2261</v>
      </c>
      <c r="N544" s="3">
        <v>46296</v>
      </c>
      <c r="O544" s="6">
        <v>0</v>
      </c>
    </row>
    <row r="545" spans="1:15">
      <c r="A545" t="str">
        <f t="shared" si="24"/>
        <v>Gamectin 30 EC 20 X 500 ml462960</v>
      </c>
      <c r="B545" t="s">
        <v>10364</v>
      </c>
      <c r="C545" t="s">
        <v>14927</v>
      </c>
      <c r="D545" t="s">
        <v>12448</v>
      </c>
      <c r="E545" t="s">
        <v>690</v>
      </c>
      <c r="F545">
        <v>20</v>
      </c>
      <c r="G545">
        <v>1</v>
      </c>
      <c r="H545">
        <v>1</v>
      </c>
      <c r="I545">
        <v>20</v>
      </c>
      <c r="J545">
        <v>3</v>
      </c>
      <c r="K545">
        <f t="shared" si="25"/>
        <v>0</v>
      </c>
      <c r="L545">
        <f t="shared" si="26"/>
        <v>3</v>
      </c>
      <c r="M545">
        <v>3</v>
      </c>
      <c r="N545" s="3">
        <v>46296</v>
      </c>
      <c r="O545" s="6">
        <v>0</v>
      </c>
    </row>
    <row r="546" spans="1:15">
      <c r="A546" t="str">
        <f t="shared" si="24"/>
        <v>Gamectin 30 EC 20 X 500 ml469050</v>
      </c>
      <c r="B546" t="s">
        <v>10365</v>
      </c>
      <c r="C546" t="s">
        <v>14928</v>
      </c>
      <c r="D546" t="s">
        <v>12449</v>
      </c>
      <c r="E546" t="s">
        <v>690</v>
      </c>
      <c r="F546">
        <v>20</v>
      </c>
      <c r="G546">
        <v>1</v>
      </c>
      <c r="H546">
        <v>1</v>
      </c>
      <c r="I546">
        <v>20</v>
      </c>
      <c r="J546">
        <v>1167</v>
      </c>
      <c r="K546">
        <f t="shared" si="25"/>
        <v>58</v>
      </c>
      <c r="L546">
        <f t="shared" si="26"/>
        <v>7</v>
      </c>
      <c r="M546">
        <v>1167</v>
      </c>
      <c r="N546" s="3">
        <v>46905</v>
      </c>
      <c r="O546" s="6">
        <v>0</v>
      </c>
    </row>
    <row r="547" spans="1:15">
      <c r="A547" t="str">
        <f t="shared" si="24"/>
        <v>Gamectin 30 EC 40 X 250 ml470270</v>
      </c>
      <c r="B547" t="s">
        <v>10366</v>
      </c>
      <c r="C547" t="s">
        <v>14929</v>
      </c>
      <c r="D547" t="s">
        <v>12450</v>
      </c>
      <c r="E547" t="s">
        <v>693</v>
      </c>
      <c r="F547">
        <v>40</v>
      </c>
      <c r="G547">
        <v>1</v>
      </c>
      <c r="H547">
        <v>1</v>
      </c>
      <c r="I547">
        <v>40</v>
      </c>
      <c r="J547">
        <v>2008</v>
      </c>
      <c r="K547">
        <f t="shared" si="25"/>
        <v>50</v>
      </c>
      <c r="L547">
        <f t="shared" si="26"/>
        <v>8</v>
      </c>
      <c r="M547">
        <v>2008</v>
      </c>
      <c r="N547" s="3">
        <v>47027</v>
      </c>
      <c r="O547" s="6">
        <v>0</v>
      </c>
    </row>
    <row r="548" spans="1:15">
      <c r="A548" t="str">
        <f t="shared" si="24"/>
        <v>Gandasil B/K 144 X 100 gr462350</v>
      </c>
      <c r="B548" t="s">
        <v>10367</v>
      </c>
      <c r="C548" t="s">
        <v>14930</v>
      </c>
      <c r="D548" t="s">
        <v>12451</v>
      </c>
      <c r="E548" t="s">
        <v>695</v>
      </c>
      <c r="F548">
        <v>144</v>
      </c>
      <c r="G548">
        <v>1</v>
      </c>
      <c r="H548">
        <v>1</v>
      </c>
      <c r="I548">
        <v>144</v>
      </c>
      <c r="J548">
        <v>8</v>
      </c>
      <c r="K548">
        <f t="shared" si="25"/>
        <v>0</v>
      </c>
      <c r="L548">
        <f t="shared" si="26"/>
        <v>8</v>
      </c>
      <c r="M548">
        <v>8</v>
      </c>
      <c r="N548" s="3">
        <v>46235</v>
      </c>
      <c r="O548" s="6">
        <v>0</v>
      </c>
    </row>
    <row r="549" spans="1:15">
      <c r="A549" t="str">
        <f t="shared" si="24"/>
        <v>Gandasil B/K 144 X 100 gr463880</v>
      </c>
      <c r="B549" t="s">
        <v>10368</v>
      </c>
      <c r="C549" t="s">
        <v>14931</v>
      </c>
      <c r="D549" t="s">
        <v>12452</v>
      </c>
      <c r="E549" t="s">
        <v>695</v>
      </c>
      <c r="F549">
        <v>144</v>
      </c>
      <c r="G549">
        <v>1</v>
      </c>
      <c r="H549">
        <v>1</v>
      </c>
      <c r="I549">
        <v>144</v>
      </c>
      <c r="J549">
        <v>36000</v>
      </c>
      <c r="K549">
        <f t="shared" si="25"/>
        <v>250</v>
      </c>
      <c r="L549">
        <f t="shared" si="26"/>
        <v>0</v>
      </c>
      <c r="M549">
        <v>36000</v>
      </c>
      <c r="N549" s="3">
        <v>46388</v>
      </c>
      <c r="O549" s="6">
        <v>0</v>
      </c>
    </row>
    <row r="550" spans="1:15">
      <c r="A550" t="str">
        <f t="shared" si="24"/>
        <v>Gandasil B/K 144 X 100 gr462960</v>
      </c>
      <c r="B550" t="s">
        <v>10369</v>
      </c>
      <c r="C550" t="s">
        <v>14932</v>
      </c>
      <c r="D550" t="s">
        <v>12453</v>
      </c>
      <c r="E550" t="s">
        <v>695</v>
      </c>
      <c r="F550">
        <v>144</v>
      </c>
      <c r="G550">
        <v>1</v>
      </c>
      <c r="H550">
        <v>1</v>
      </c>
      <c r="I550">
        <v>144</v>
      </c>
      <c r="J550">
        <v>99280</v>
      </c>
      <c r="K550">
        <f t="shared" si="25"/>
        <v>689</v>
      </c>
      <c r="L550">
        <f t="shared" si="26"/>
        <v>64</v>
      </c>
      <c r="M550">
        <v>99280</v>
      </c>
      <c r="N550" s="3">
        <v>46296</v>
      </c>
      <c r="O550" s="6">
        <v>0</v>
      </c>
    </row>
    <row r="551" spans="1:15">
      <c r="A551" t="str">
        <f t="shared" si="24"/>
        <v>Gandasil B/K 24 X 500 gr464780</v>
      </c>
      <c r="B551" t="s">
        <v>10370</v>
      </c>
      <c r="C551" t="s">
        <v>14933</v>
      </c>
      <c r="D551" t="s">
        <v>12454</v>
      </c>
      <c r="E551" t="s">
        <v>705</v>
      </c>
      <c r="F551">
        <v>24</v>
      </c>
      <c r="G551">
        <v>1</v>
      </c>
      <c r="H551">
        <v>1</v>
      </c>
      <c r="I551">
        <v>24</v>
      </c>
      <c r="J551">
        <v>4318</v>
      </c>
      <c r="K551">
        <f t="shared" si="25"/>
        <v>179</v>
      </c>
      <c r="L551">
        <f t="shared" si="26"/>
        <v>22</v>
      </c>
      <c r="M551">
        <v>4318</v>
      </c>
      <c r="N551" s="3">
        <v>46478</v>
      </c>
      <c r="O551" s="6">
        <v>0</v>
      </c>
    </row>
    <row r="552" spans="1:15">
      <c r="A552" t="str">
        <f t="shared" si="24"/>
        <v>Gandasil D/H 144 X 100 gr463270</v>
      </c>
      <c r="B552" t="s">
        <v>10371</v>
      </c>
      <c r="C552" t="s">
        <v>14934</v>
      </c>
      <c r="D552" t="s">
        <v>12455</v>
      </c>
      <c r="E552" t="s">
        <v>709</v>
      </c>
      <c r="F552">
        <v>144</v>
      </c>
      <c r="G552">
        <v>1</v>
      </c>
      <c r="H552">
        <v>1</v>
      </c>
      <c r="I552">
        <v>144</v>
      </c>
      <c r="J552">
        <v>87264</v>
      </c>
      <c r="K552">
        <f t="shared" si="25"/>
        <v>606</v>
      </c>
      <c r="L552">
        <f t="shared" si="26"/>
        <v>0</v>
      </c>
      <c r="M552">
        <v>87264</v>
      </c>
      <c r="N552" s="3">
        <v>46327</v>
      </c>
      <c r="O552" s="6">
        <v>0</v>
      </c>
    </row>
    <row r="553" spans="1:15">
      <c r="A553" t="str">
        <f t="shared" si="24"/>
        <v>Gandasil D/H 144 X 100 gr462660</v>
      </c>
      <c r="B553" t="s">
        <v>10372</v>
      </c>
      <c r="C553" t="s">
        <v>14935</v>
      </c>
      <c r="D553" t="s">
        <v>12456</v>
      </c>
      <c r="E553" t="s">
        <v>709</v>
      </c>
      <c r="F553">
        <v>144</v>
      </c>
      <c r="G553">
        <v>1</v>
      </c>
      <c r="H553">
        <v>1</v>
      </c>
      <c r="I553">
        <v>144</v>
      </c>
      <c r="J553">
        <v>2736</v>
      </c>
      <c r="K553">
        <f t="shared" si="25"/>
        <v>19</v>
      </c>
      <c r="L553">
        <f t="shared" si="26"/>
        <v>0</v>
      </c>
      <c r="M553">
        <v>2736</v>
      </c>
      <c r="N553" s="3">
        <v>46266</v>
      </c>
      <c r="O553" s="6">
        <v>0</v>
      </c>
    </row>
    <row r="554" spans="1:15">
      <c r="A554" t="str">
        <f t="shared" si="24"/>
        <v>Gandasil D/H 144 X 100 gr462960</v>
      </c>
      <c r="B554" t="s">
        <v>10373</v>
      </c>
      <c r="C554" t="s">
        <v>14936</v>
      </c>
      <c r="D554" t="s">
        <v>12457</v>
      </c>
      <c r="E554" t="s">
        <v>709</v>
      </c>
      <c r="F554">
        <v>144</v>
      </c>
      <c r="G554">
        <v>1</v>
      </c>
      <c r="H554">
        <v>1</v>
      </c>
      <c r="I554">
        <v>144</v>
      </c>
      <c r="J554">
        <v>4320</v>
      </c>
      <c r="K554">
        <f t="shared" si="25"/>
        <v>30</v>
      </c>
      <c r="L554">
        <f t="shared" si="26"/>
        <v>0</v>
      </c>
      <c r="M554">
        <v>4320</v>
      </c>
      <c r="N554" s="3">
        <v>46296</v>
      </c>
      <c r="O554" s="6">
        <v>0</v>
      </c>
    </row>
    <row r="555" spans="1:15">
      <c r="A555" t="str">
        <f t="shared" si="24"/>
        <v>Gandasil D/H 144 X 100 gr461740</v>
      </c>
      <c r="B555" t="s">
        <v>10374</v>
      </c>
      <c r="C555" t="s">
        <v>14937</v>
      </c>
      <c r="D555" t="s">
        <v>12458</v>
      </c>
      <c r="E555" t="s">
        <v>709</v>
      </c>
      <c r="F555">
        <v>144</v>
      </c>
      <c r="G555">
        <v>1</v>
      </c>
      <c r="H555">
        <v>1</v>
      </c>
      <c r="I555">
        <v>144</v>
      </c>
      <c r="J555">
        <v>6192</v>
      </c>
      <c r="K555">
        <f t="shared" si="25"/>
        <v>43</v>
      </c>
      <c r="L555">
        <f t="shared" si="26"/>
        <v>0</v>
      </c>
      <c r="M555">
        <v>6192</v>
      </c>
      <c r="N555" s="3">
        <v>46174</v>
      </c>
      <c r="O555" s="6">
        <v>0</v>
      </c>
    </row>
    <row r="556" spans="1:15">
      <c r="A556" t="str">
        <f t="shared" si="24"/>
        <v>Gandasil D/H 144 X 100 gr463570</v>
      </c>
      <c r="B556" t="s">
        <v>10375</v>
      </c>
      <c r="C556" t="s">
        <v>14938</v>
      </c>
      <c r="D556" t="s">
        <v>12459</v>
      </c>
      <c r="E556" t="s">
        <v>709</v>
      </c>
      <c r="F556">
        <v>144</v>
      </c>
      <c r="G556">
        <v>1</v>
      </c>
      <c r="H556">
        <v>1</v>
      </c>
      <c r="I556">
        <v>144</v>
      </c>
      <c r="J556">
        <v>13680</v>
      </c>
      <c r="K556">
        <f t="shared" si="25"/>
        <v>95</v>
      </c>
      <c r="L556">
        <f t="shared" si="26"/>
        <v>0</v>
      </c>
      <c r="M556">
        <v>13680</v>
      </c>
      <c r="N556" s="3">
        <v>46357</v>
      </c>
      <c r="O556" s="6">
        <v>0</v>
      </c>
    </row>
    <row r="557" spans="1:15">
      <c r="A557" t="str">
        <f t="shared" si="24"/>
        <v>Gandasil D/H 144 X 100 gr461130</v>
      </c>
      <c r="B557" t="s">
        <v>10376</v>
      </c>
      <c r="C557" t="s">
        <v>14939</v>
      </c>
      <c r="D557" t="s">
        <v>12460</v>
      </c>
      <c r="E557" t="s">
        <v>709</v>
      </c>
      <c r="F557">
        <v>144</v>
      </c>
      <c r="G557">
        <v>1</v>
      </c>
      <c r="H557">
        <v>1</v>
      </c>
      <c r="I557">
        <v>144</v>
      </c>
      <c r="J557">
        <v>11741</v>
      </c>
      <c r="K557">
        <f t="shared" si="25"/>
        <v>81</v>
      </c>
      <c r="L557">
        <f t="shared" si="26"/>
        <v>77</v>
      </c>
      <c r="M557">
        <v>11741</v>
      </c>
      <c r="N557" s="3">
        <v>46113</v>
      </c>
      <c r="O557" s="6">
        <v>0</v>
      </c>
    </row>
    <row r="558" spans="1:15">
      <c r="A558" t="str">
        <f t="shared" si="24"/>
        <v>Gandasil D/H 24 X 500 gr464190</v>
      </c>
      <c r="B558" t="s">
        <v>10377</v>
      </c>
      <c r="C558" t="s">
        <v>14940</v>
      </c>
      <c r="D558" t="s">
        <v>12461</v>
      </c>
      <c r="E558" t="s">
        <v>726</v>
      </c>
      <c r="F558">
        <v>24</v>
      </c>
      <c r="G558">
        <v>1</v>
      </c>
      <c r="H558">
        <v>1</v>
      </c>
      <c r="I558">
        <v>24</v>
      </c>
      <c r="J558">
        <v>8</v>
      </c>
      <c r="K558">
        <f t="shared" si="25"/>
        <v>0</v>
      </c>
      <c r="L558">
        <f t="shared" si="26"/>
        <v>8</v>
      </c>
      <c r="M558">
        <v>8</v>
      </c>
      <c r="N558" s="3">
        <v>46419</v>
      </c>
      <c r="O558" s="6">
        <v>0</v>
      </c>
    </row>
    <row r="559" spans="1:15">
      <c r="A559" t="str">
        <f t="shared" si="24"/>
        <v>Gandasil D/H 24 X 500 gr465080</v>
      </c>
      <c r="B559" t="s">
        <v>10378</v>
      </c>
      <c r="C559" t="s">
        <v>14941</v>
      </c>
      <c r="D559" t="s">
        <v>12462</v>
      </c>
      <c r="E559" t="s">
        <v>726</v>
      </c>
      <c r="F559">
        <v>24</v>
      </c>
      <c r="G559">
        <v>1</v>
      </c>
      <c r="H559">
        <v>1</v>
      </c>
      <c r="I559">
        <v>24</v>
      </c>
      <c r="J559">
        <v>1728</v>
      </c>
      <c r="K559">
        <f t="shared" si="25"/>
        <v>72</v>
      </c>
      <c r="L559">
        <f t="shared" si="26"/>
        <v>0</v>
      </c>
      <c r="M559">
        <v>1728</v>
      </c>
      <c r="N559" s="3">
        <v>46508</v>
      </c>
      <c r="O559" s="6">
        <v>0</v>
      </c>
    </row>
    <row r="560" spans="1:15">
      <c r="A560" t="str">
        <f t="shared" si="24"/>
        <v>Ganero 250 EC 34 X 250 ml455970</v>
      </c>
      <c r="B560" t="s">
        <v>10379</v>
      </c>
      <c r="C560" t="s">
        <v>14942</v>
      </c>
      <c r="D560" t="s">
        <v>12463</v>
      </c>
      <c r="E560" t="s">
        <v>730</v>
      </c>
      <c r="F560">
        <v>34</v>
      </c>
      <c r="G560">
        <v>1</v>
      </c>
      <c r="H560">
        <v>1</v>
      </c>
      <c r="I560">
        <v>34</v>
      </c>
      <c r="J560">
        <v>8</v>
      </c>
      <c r="K560">
        <f t="shared" si="25"/>
        <v>0</v>
      </c>
      <c r="L560">
        <f t="shared" si="26"/>
        <v>8</v>
      </c>
      <c r="M560">
        <v>8</v>
      </c>
      <c r="N560" s="3">
        <v>45597</v>
      </c>
      <c r="O560" s="6">
        <v>0</v>
      </c>
    </row>
    <row r="561" spans="1:15">
      <c r="A561" t="str">
        <f t="shared" si="24"/>
        <v>Ganero 250 EC 40 X 100 ml470880</v>
      </c>
      <c r="B561" t="s">
        <v>10380</v>
      </c>
      <c r="C561" t="s">
        <v>14943</v>
      </c>
      <c r="D561" t="s">
        <v>12464</v>
      </c>
      <c r="E561" t="s">
        <v>731</v>
      </c>
      <c r="F561">
        <v>40</v>
      </c>
      <c r="G561">
        <v>1</v>
      </c>
      <c r="H561">
        <v>1</v>
      </c>
      <c r="I561">
        <v>40</v>
      </c>
      <c r="J561">
        <v>1600</v>
      </c>
      <c r="K561">
        <f t="shared" si="25"/>
        <v>40</v>
      </c>
      <c r="L561">
        <f t="shared" si="26"/>
        <v>0</v>
      </c>
      <c r="M561">
        <v>1600</v>
      </c>
      <c r="N561" s="3">
        <v>47088</v>
      </c>
      <c r="O561" s="6">
        <v>0</v>
      </c>
    </row>
    <row r="562" spans="1:15">
      <c r="A562" t="str">
        <f t="shared" si="24"/>
        <v>Ganero 250 EC 40 X 250 ml466920</v>
      </c>
      <c r="B562" t="s">
        <v>10381</v>
      </c>
      <c r="C562" t="s">
        <v>14944</v>
      </c>
      <c r="D562" t="s">
        <v>12465</v>
      </c>
      <c r="E562" t="s">
        <v>732</v>
      </c>
      <c r="F562">
        <v>40</v>
      </c>
      <c r="G562">
        <v>1</v>
      </c>
      <c r="H562">
        <v>1</v>
      </c>
      <c r="I562">
        <v>40</v>
      </c>
      <c r="J562">
        <v>1080</v>
      </c>
      <c r="K562">
        <f t="shared" si="25"/>
        <v>27</v>
      </c>
      <c r="L562">
        <f t="shared" si="26"/>
        <v>0</v>
      </c>
      <c r="M562">
        <v>1080</v>
      </c>
      <c r="N562" s="3">
        <v>46692</v>
      </c>
      <c r="O562" s="6">
        <v>0</v>
      </c>
    </row>
    <row r="563" spans="1:15">
      <c r="A563" t="str">
        <f t="shared" si="24"/>
        <v>Gardara 10 SP 100 X 100 gr461130</v>
      </c>
      <c r="B563" t="s">
        <v>10382</v>
      </c>
      <c r="C563" t="s">
        <v>14945</v>
      </c>
      <c r="D563" t="s">
        <v>12466</v>
      </c>
      <c r="E563" t="s">
        <v>733</v>
      </c>
      <c r="F563">
        <v>100</v>
      </c>
      <c r="G563">
        <v>1</v>
      </c>
      <c r="H563">
        <v>1</v>
      </c>
      <c r="I563">
        <v>100</v>
      </c>
      <c r="J563">
        <v>7010</v>
      </c>
      <c r="K563">
        <f t="shared" si="25"/>
        <v>70</v>
      </c>
      <c r="L563">
        <f t="shared" si="26"/>
        <v>10</v>
      </c>
      <c r="M563">
        <v>7010</v>
      </c>
      <c r="N563" s="3">
        <v>46113</v>
      </c>
      <c r="O563" s="6">
        <v>0</v>
      </c>
    </row>
    <row r="564" spans="1:15">
      <c r="A564" t="str">
        <f t="shared" si="24"/>
        <v>Gelas Agricon1/1/10000</v>
      </c>
      <c r="B564" t="s">
        <v>10383</v>
      </c>
      <c r="C564" t="s">
        <v>14946</v>
      </c>
      <c r="D564" t="s">
        <v>12467</v>
      </c>
      <c r="E564" t="s">
        <v>734</v>
      </c>
      <c r="F564">
        <v>1</v>
      </c>
      <c r="G564">
        <v>1</v>
      </c>
      <c r="H564">
        <v>1</v>
      </c>
      <c r="I564">
        <v>1</v>
      </c>
      <c r="J564">
        <v>3230</v>
      </c>
      <c r="K564">
        <f t="shared" si="25"/>
        <v>3230</v>
      </c>
      <c r="L564">
        <f t="shared" si="26"/>
        <v>0</v>
      </c>
      <c r="M564">
        <v>3230</v>
      </c>
      <c r="N564" s="3" t="s">
        <v>2222</v>
      </c>
      <c r="O564" s="6">
        <v>0</v>
      </c>
    </row>
    <row r="565" spans="1:15">
      <c r="A565" t="str">
        <f t="shared" si="24"/>
        <v>Gelas Marshall1/1/10000</v>
      </c>
      <c r="B565" t="s">
        <v>10384</v>
      </c>
      <c r="C565" t="s">
        <v>14947</v>
      </c>
      <c r="D565" t="s">
        <v>12468</v>
      </c>
      <c r="E565" t="s">
        <v>735</v>
      </c>
      <c r="F565">
        <v>1</v>
      </c>
      <c r="G565">
        <v>1</v>
      </c>
      <c r="H565">
        <v>1</v>
      </c>
      <c r="I565">
        <v>1</v>
      </c>
      <c r="J565">
        <v>801</v>
      </c>
      <c r="K565">
        <f t="shared" si="25"/>
        <v>801</v>
      </c>
      <c r="L565">
        <f t="shared" si="26"/>
        <v>0</v>
      </c>
      <c r="M565">
        <v>801</v>
      </c>
      <c r="N565" s="3" t="s">
        <v>2222</v>
      </c>
      <c r="O565" s="6">
        <v>0</v>
      </c>
    </row>
    <row r="566" spans="1:15">
      <c r="A566" t="str">
        <f t="shared" si="24"/>
        <v>Gelas Polos HS-91/1/10000</v>
      </c>
      <c r="B566" t="s">
        <v>10385</v>
      </c>
      <c r="C566" t="s">
        <v>14948</v>
      </c>
      <c r="D566" t="s">
        <v>12469</v>
      </c>
      <c r="E566" t="s">
        <v>736</v>
      </c>
      <c r="F566">
        <v>1</v>
      </c>
      <c r="G566">
        <v>1</v>
      </c>
      <c r="H566">
        <v>1</v>
      </c>
      <c r="I566">
        <v>1</v>
      </c>
      <c r="J566">
        <v>228</v>
      </c>
      <c r="K566">
        <f t="shared" si="25"/>
        <v>228</v>
      </c>
      <c r="L566">
        <f t="shared" si="26"/>
        <v>0</v>
      </c>
      <c r="M566">
        <v>228</v>
      </c>
      <c r="N566" s="3" t="s">
        <v>2222</v>
      </c>
      <c r="O566" s="6">
        <v>0</v>
      </c>
    </row>
    <row r="567" spans="1:15">
      <c r="A567" t="str">
        <f t="shared" si="24"/>
        <v>Gelas Wine1/1/10000</v>
      </c>
      <c r="B567" t="s">
        <v>10386</v>
      </c>
      <c r="C567" t="s">
        <v>14949</v>
      </c>
      <c r="D567" t="s">
        <v>12470</v>
      </c>
      <c r="E567" t="s">
        <v>737</v>
      </c>
      <c r="F567">
        <v>1</v>
      </c>
      <c r="G567">
        <v>1</v>
      </c>
      <c r="H567">
        <v>1</v>
      </c>
      <c r="I567">
        <v>1</v>
      </c>
      <c r="J567">
        <v>36</v>
      </c>
      <c r="K567">
        <f t="shared" si="25"/>
        <v>36</v>
      </c>
      <c r="L567">
        <f t="shared" si="26"/>
        <v>0</v>
      </c>
      <c r="M567">
        <v>36</v>
      </c>
      <c r="N567" s="3" t="s">
        <v>2222</v>
      </c>
      <c r="O567" s="6">
        <v>0</v>
      </c>
    </row>
    <row r="568" spans="1:15">
      <c r="A568" t="str">
        <f t="shared" si="24"/>
        <v>Gemilang 110 EC 16 X 1 ltr465390</v>
      </c>
      <c r="B568" t="s">
        <v>10387</v>
      </c>
      <c r="C568" t="s">
        <v>14950</v>
      </c>
      <c r="D568" t="s">
        <v>12471</v>
      </c>
      <c r="E568" t="s">
        <v>738</v>
      </c>
      <c r="F568">
        <v>16</v>
      </c>
      <c r="G568">
        <v>1</v>
      </c>
      <c r="H568">
        <v>1</v>
      </c>
      <c r="I568">
        <v>16</v>
      </c>
      <c r="J568">
        <v>13</v>
      </c>
      <c r="K568">
        <f t="shared" si="25"/>
        <v>0</v>
      </c>
      <c r="L568">
        <f t="shared" si="26"/>
        <v>13</v>
      </c>
      <c r="M568">
        <v>13</v>
      </c>
      <c r="N568" s="3">
        <v>46539</v>
      </c>
      <c r="O568" s="6">
        <v>0</v>
      </c>
    </row>
    <row r="569" spans="1:15">
      <c r="A569" t="str">
        <f t="shared" si="24"/>
        <v>Gemilang 110 EC 16 X 1 ltr469660</v>
      </c>
      <c r="B569" t="s">
        <v>10388</v>
      </c>
      <c r="C569" t="s">
        <v>14951</v>
      </c>
      <c r="D569" t="s">
        <v>12472</v>
      </c>
      <c r="E569" t="s">
        <v>738</v>
      </c>
      <c r="F569">
        <v>16</v>
      </c>
      <c r="G569">
        <v>1</v>
      </c>
      <c r="H569">
        <v>1</v>
      </c>
      <c r="I569">
        <v>16</v>
      </c>
      <c r="J569">
        <v>224</v>
      </c>
      <c r="K569">
        <f t="shared" si="25"/>
        <v>14</v>
      </c>
      <c r="L569">
        <f t="shared" si="26"/>
        <v>0</v>
      </c>
      <c r="M569">
        <v>224</v>
      </c>
      <c r="N569" s="3">
        <v>46966</v>
      </c>
      <c r="O569" s="6">
        <v>0</v>
      </c>
    </row>
    <row r="570" spans="1:15">
      <c r="A570" t="str">
        <f t="shared" si="24"/>
        <v>Genitop 138 SL 20 ltr469660</v>
      </c>
      <c r="B570" t="s">
        <v>10389</v>
      </c>
      <c r="C570" t="s">
        <v>14952</v>
      </c>
      <c r="D570" t="s">
        <v>12473</v>
      </c>
      <c r="E570" t="s">
        <v>739</v>
      </c>
      <c r="F570">
        <v>1</v>
      </c>
      <c r="G570">
        <v>1</v>
      </c>
      <c r="H570">
        <v>1</v>
      </c>
      <c r="I570">
        <v>1</v>
      </c>
      <c r="J570">
        <v>25</v>
      </c>
      <c r="K570">
        <f t="shared" si="25"/>
        <v>25</v>
      </c>
      <c r="L570">
        <f t="shared" si="26"/>
        <v>0</v>
      </c>
      <c r="M570">
        <v>25</v>
      </c>
      <c r="N570" s="3">
        <v>46966</v>
      </c>
      <c r="O570" s="6">
        <v>0</v>
      </c>
    </row>
    <row r="571" spans="1:15">
      <c r="A571" t="str">
        <f t="shared" si="24"/>
        <v>Genitop 138 SL 20 X 1 ltr464470</v>
      </c>
      <c r="B571" t="s">
        <v>10390</v>
      </c>
      <c r="C571" t="s">
        <v>14953</v>
      </c>
      <c r="D571" t="s">
        <v>12474</v>
      </c>
      <c r="E571" t="s">
        <v>740</v>
      </c>
      <c r="F571">
        <v>20</v>
      </c>
      <c r="G571">
        <v>1</v>
      </c>
      <c r="H571">
        <v>1</v>
      </c>
      <c r="I571">
        <v>20</v>
      </c>
      <c r="J571">
        <v>117</v>
      </c>
      <c r="K571">
        <f t="shared" si="25"/>
        <v>5</v>
      </c>
      <c r="L571">
        <f t="shared" si="26"/>
        <v>17</v>
      </c>
      <c r="M571">
        <v>117</v>
      </c>
      <c r="N571" s="3">
        <v>46447</v>
      </c>
      <c r="O571" s="6">
        <v>0</v>
      </c>
    </row>
    <row r="572" spans="1:15">
      <c r="A572" t="str">
        <f t="shared" si="24"/>
        <v>Genitop 138 SL 20 X 1 ltr469660</v>
      </c>
      <c r="B572" t="s">
        <v>10391</v>
      </c>
      <c r="C572" t="s">
        <v>14954</v>
      </c>
      <c r="D572" t="s">
        <v>12475</v>
      </c>
      <c r="E572" t="s">
        <v>740</v>
      </c>
      <c r="F572">
        <v>20</v>
      </c>
      <c r="G572">
        <v>1</v>
      </c>
      <c r="H572">
        <v>1</v>
      </c>
      <c r="I572">
        <v>20</v>
      </c>
      <c r="J572">
        <v>1600</v>
      </c>
      <c r="K572">
        <f t="shared" si="25"/>
        <v>80</v>
      </c>
      <c r="L572">
        <f t="shared" si="26"/>
        <v>0</v>
      </c>
      <c r="M572">
        <v>1600</v>
      </c>
      <c r="N572" s="3">
        <v>46966</v>
      </c>
      <c r="O572" s="6">
        <v>0</v>
      </c>
    </row>
    <row r="573" spans="1:15">
      <c r="A573" t="str">
        <f t="shared" si="24"/>
        <v>Genitop 138 SL 20 X 1 ltr469350</v>
      </c>
      <c r="B573" t="s">
        <v>10392</v>
      </c>
      <c r="C573" t="s">
        <v>14955</v>
      </c>
      <c r="D573" t="s">
        <v>12476</v>
      </c>
      <c r="E573" t="s">
        <v>740</v>
      </c>
      <c r="F573">
        <v>20</v>
      </c>
      <c r="G573">
        <v>1</v>
      </c>
      <c r="H573">
        <v>1</v>
      </c>
      <c r="I573">
        <v>20</v>
      </c>
      <c r="J573">
        <v>2360</v>
      </c>
      <c r="K573">
        <f t="shared" si="25"/>
        <v>118</v>
      </c>
      <c r="L573">
        <f t="shared" si="26"/>
        <v>0</v>
      </c>
      <c r="M573">
        <v>2360</v>
      </c>
      <c r="N573" s="3">
        <v>46935</v>
      </c>
      <c r="O573" s="6">
        <v>0</v>
      </c>
    </row>
    <row r="574" spans="1:15">
      <c r="A574" t="str">
        <f t="shared" si="24"/>
        <v>Genitop 138 SL 20 X 1 ltr467220</v>
      </c>
      <c r="B574" t="s">
        <v>10393</v>
      </c>
      <c r="C574" t="s">
        <v>14956</v>
      </c>
      <c r="D574" t="s">
        <v>12477</v>
      </c>
      <c r="E574" t="s">
        <v>740</v>
      </c>
      <c r="F574">
        <v>20</v>
      </c>
      <c r="G574">
        <v>1</v>
      </c>
      <c r="H574">
        <v>1</v>
      </c>
      <c r="I574">
        <v>20</v>
      </c>
      <c r="J574">
        <v>4540</v>
      </c>
      <c r="K574">
        <f t="shared" si="25"/>
        <v>227</v>
      </c>
      <c r="L574">
        <f t="shared" si="26"/>
        <v>0</v>
      </c>
      <c r="M574">
        <v>4540</v>
      </c>
      <c r="N574" s="3">
        <v>46722</v>
      </c>
      <c r="O574" s="6">
        <v>0</v>
      </c>
    </row>
    <row r="575" spans="1:15">
      <c r="A575" t="str">
        <f t="shared" si="24"/>
        <v>Genitop 138 SL 4 X 5 ltr460540</v>
      </c>
      <c r="B575" t="s">
        <v>10394</v>
      </c>
      <c r="C575" t="s">
        <v>14957</v>
      </c>
      <c r="D575" t="s">
        <v>12478</v>
      </c>
      <c r="E575" t="s">
        <v>741</v>
      </c>
      <c r="F575">
        <v>4</v>
      </c>
      <c r="G575">
        <v>1</v>
      </c>
      <c r="H575">
        <v>1</v>
      </c>
      <c r="I575">
        <v>4</v>
      </c>
      <c r="J575">
        <v>2</v>
      </c>
      <c r="K575">
        <f t="shared" si="25"/>
        <v>0</v>
      </c>
      <c r="L575">
        <f t="shared" si="26"/>
        <v>2</v>
      </c>
      <c r="M575">
        <v>2</v>
      </c>
      <c r="N575" s="3">
        <v>46054</v>
      </c>
      <c r="O575" s="6">
        <v>0</v>
      </c>
    </row>
    <row r="576" spans="1:15">
      <c r="A576" t="str">
        <f t="shared" si="24"/>
        <v>Genitop 138 SL 4 X 5 ltr466610</v>
      </c>
      <c r="B576" t="s">
        <v>10395</v>
      </c>
      <c r="C576" t="s">
        <v>14958</v>
      </c>
      <c r="D576" t="s">
        <v>12479</v>
      </c>
      <c r="E576" t="s">
        <v>741</v>
      </c>
      <c r="F576">
        <v>4</v>
      </c>
      <c r="G576">
        <v>1</v>
      </c>
      <c r="H576">
        <v>1</v>
      </c>
      <c r="I576">
        <v>4</v>
      </c>
      <c r="J576">
        <v>20</v>
      </c>
      <c r="K576">
        <f t="shared" si="25"/>
        <v>5</v>
      </c>
      <c r="L576">
        <f t="shared" si="26"/>
        <v>0</v>
      </c>
      <c r="M576">
        <v>20</v>
      </c>
      <c r="N576" s="3">
        <v>46661</v>
      </c>
      <c r="O576" s="6">
        <v>0</v>
      </c>
    </row>
    <row r="577" spans="1:15">
      <c r="A577" t="str">
        <f t="shared" si="24"/>
        <v>Genitop 138 SL 4 X 5 ltr469660</v>
      </c>
      <c r="B577" t="s">
        <v>10396</v>
      </c>
      <c r="C577" t="s">
        <v>14959</v>
      </c>
      <c r="D577" t="s">
        <v>12480</v>
      </c>
      <c r="E577" t="s">
        <v>741</v>
      </c>
      <c r="F577">
        <v>4</v>
      </c>
      <c r="G577">
        <v>1</v>
      </c>
      <c r="H577">
        <v>1</v>
      </c>
      <c r="I577">
        <v>4</v>
      </c>
      <c r="J577">
        <v>100</v>
      </c>
      <c r="K577">
        <f t="shared" si="25"/>
        <v>25</v>
      </c>
      <c r="L577">
        <f t="shared" si="26"/>
        <v>0</v>
      </c>
      <c r="M577">
        <v>100</v>
      </c>
      <c r="N577" s="3">
        <v>46966</v>
      </c>
      <c r="O577" s="6">
        <v>0</v>
      </c>
    </row>
    <row r="578" spans="1:15">
      <c r="A578" t="str">
        <f t="shared" si="24"/>
        <v>GG Akar 10 X 10 X 15 ml (M2U)460230</v>
      </c>
      <c r="B578" t="s">
        <v>10397</v>
      </c>
      <c r="C578" t="s">
        <v>14960</v>
      </c>
      <c r="D578" t="s">
        <v>12481</v>
      </c>
      <c r="E578" t="s">
        <v>742</v>
      </c>
      <c r="F578">
        <v>10</v>
      </c>
      <c r="G578">
        <v>10</v>
      </c>
      <c r="H578">
        <v>1</v>
      </c>
      <c r="I578">
        <v>100</v>
      </c>
      <c r="J578">
        <v>22</v>
      </c>
      <c r="K578">
        <f t="shared" si="25"/>
        <v>0</v>
      </c>
      <c r="L578">
        <f t="shared" si="26"/>
        <v>22</v>
      </c>
      <c r="M578">
        <v>22</v>
      </c>
      <c r="N578" s="3">
        <v>46023</v>
      </c>
      <c r="O578" s="6">
        <v>0</v>
      </c>
    </row>
    <row r="579" spans="1:15">
      <c r="A579" t="str">
        <f t="shared" ref="A579:A642" si="27">E579&amp;N579&amp;O579</f>
        <v>GG Akar 10 X 10 X 5 ml (M2U)461430</v>
      </c>
      <c r="B579" t="s">
        <v>10398</v>
      </c>
      <c r="C579" t="s">
        <v>14961</v>
      </c>
      <c r="D579" t="s">
        <v>12482</v>
      </c>
      <c r="E579" t="s">
        <v>743</v>
      </c>
      <c r="F579">
        <v>10</v>
      </c>
      <c r="G579">
        <v>10</v>
      </c>
      <c r="H579">
        <v>1</v>
      </c>
      <c r="I579">
        <v>100</v>
      </c>
      <c r="J579">
        <v>1170</v>
      </c>
      <c r="K579">
        <f t="shared" ref="K579:K642" si="28">ROUNDDOWN(J579/I579,0)</f>
        <v>11</v>
      </c>
      <c r="L579">
        <f t="shared" ref="L579:L642" si="29">J579-K579*I579</f>
        <v>70</v>
      </c>
      <c r="M579">
        <v>1170</v>
      </c>
      <c r="N579" s="3">
        <v>46143</v>
      </c>
      <c r="O579" s="6">
        <v>0</v>
      </c>
    </row>
    <row r="580" spans="1:15">
      <c r="A580" t="str">
        <f t="shared" si="27"/>
        <v>GG Akar 50 X 100 ml (M2U)463270</v>
      </c>
      <c r="B580" t="s">
        <v>10399</v>
      </c>
      <c r="C580" t="s">
        <v>14962</v>
      </c>
      <c r="D580" t="s">
        <v>12483</v>
      </c>
      <c r="E580" t="s">
        <v>744</v>
      </c>
      <c r="F580">
        <v>50</v>
      </c>
      <c r="G580">
        <v>1</v>
      </c>
      <c r="H580">
        <v>1</v>
      </c>
      <c r="I580">
        <v>50</v>
      </c>
      <c r="J580">
        <v>50</v>
      </c>
      <c r="K580">
        <f t="shared" si="28"/>
        <v>1</v>
      </c>
      <c r="L580">
        <f t="shared" si="29"/>
        <v>0</v>
      </c>
      <c r="M580">
        <v>50</v>
      </c>
      <c r="N580" s="3">
        <v>46327</v>
      </c>
      <c r="O580" s="6">
        <v>0</v>
      </c>
    </row>
    <row r="581" spans="1:15">
      <c r="A581" t="str">
        <f t="shared" si="27"/>
        <v>GG Akar 50 X 100 ml (M2U)462350</v>
      </c>
      <c r="B581" t="s">
        <v>10400</v>
      </c>
      <c r="C581" t="s">
        <v>14963</v>
      </c>
      <c r="D581" t="s">
        <v>12484</v>
      </c>
      <c r="E581" t="s">
        <v>744</v>
      </c>
      <c r="F581">
        <v>50</v>
      </c>
      <c r="G581">
        <v>1</v>
      </c>
      <c r="H581">
        <v>1</v>
      </c>
      <c r="I581">
        <v>50</v>
      </c>
      <c r="J581">
        <v>50</v>
      </c>
      <c r="K581">
        <f t="shared" si="28"/>
        <v>1</v>
      </c>
      <c r="L581">
        <f t="shared" si="29"/>
        <v>0</v>
      </c>
      <c r="M581">
        <v>50</v>
      </c>
      <c r="N581" s="3">
        <v>46235</v>
      </c>
      <c r="O581" s="6">
        <v>0</v>
      </c>
    </row>
    <row r="582" spans="1:15">
      <c r="A582" t="str">
        <f t="shared" si="27"/>
        <v>GG Akar 50 X 100 ml (M2U)459620</v>
      </c>
      <c r="B582" t="s">
        <v>10401</v>
      </c>
      <c r="C582" t="s">
        <v>14964</v>
      </c>
      <c r="D582" t="s">
        <v>12485</v>
      </c>
      <c r="E582" t="s">
        <v>744</v>
      </c>
      <c r="F582">
        <v>50</v>
      </c>
      <c r="G582">
        <v>1</v>
      </c>
      <c r="H582">
        <v>1</v>
      </c>
      <c r="I582">
        <v>50</v>
      </c>
      <c r="J582">
        <v>934</v>
      </c>
      <c r="K582">
        <f t="shared" si="28"/>
        <v>18</v>
      </c>
      <c r="L582">
        <f t="shared" si="29"/>
        <v>34</v>
      </c>
      <c r="M582">
        <v>934</v>
      </c>
      <c r="N582" s="3">
        <v>45962</v>
      </c>
      <c r="O582" s="6">
        <v>0</v>
      </c>
    </row>
    <row r="583" spans="1:15">
      <c r="A583" t="str">
        <f t="shared" si="27"/>
        <v>GG Akar 70 X 15 ml (M2U)465080</v>
      </c>
      <c r="B583" t="s">
        <v>10402</v>
      </c>
      <c r="C583" t="s">
        <v>14965</v>
      </c>
      <c r="D583" t="s">
        <v>12486</v>
      </c>
      <c r="E583" t="s">
        <v>745</v>
      </c>
      <c r="F583">
        <v>70</v>
      </c>
      <c r="G583">
        <v>1</v>
      </c>
      <c r="H583">
        <v>1</v>
      </c>
      <c r="I583">
        <v>70</v>
      </c>
      <c r="J583">
        <v>1400</v>
      </c>
      <c r="K583">
        <f t="shared" si="28"/>
        <v>20</v>
      </c>
      <c r="L583">
        <f t="shared" si="29"/>
        <v>0</v>
      </c>
      <c r="M583">
        <v>1400</v>
      </c>
      <c r="N583" s="3">
        <v>46508</v>
      </c>
      <c r="O583" s="6">
        <v>0</v>
      </c>
    </row>
    <row r="584" spans="1:15">
      <c r="A584" t="str">
        <f t="shared" si="27"/>
        <v>GG Akar 80 X 5 ml (M2U)462960</v>
      </c>
      <c r="B584" t="s">
        <v>10403</v>
      </c>
      <c r="C584" t="s">
        <v>14966</v>
      </c>
      <c r="D584" t="s">
        <v>12487</v>
      </c>
      <c r="E584" t="s">
        <v>746</v>
      </c>
      <c r="F584">
        <v>80</v>
      </c>
      <c r="G584">
        <v>1</v>
      </c>
      <c r="H584">
        <v>1</v>
      </c>
      <c r="I584">
        <v>80</v>
      </c>
      <c r="J584">
        <v>2854</v>
      </c>
      <c r="K584">
        <f t="shared" si="28"/>
        <v>35</v>
      </c>
      <c r="L584">
        <f t="shared" si="29"/>
        <v>54</v>
      </c>
      <c r="M584">
        <v>2854</v>
      </c>
      <c r="N584" s="3">
        <v>46296</v>
      </c>
      <c r="O584" s="6">
        <v>0</v>
      </c>
    </row>
    <row r="585" spans="1:15">
      <c r="A585" t="str">
        <f t="shared" si="27"/>
        <v>GG Amino 30 X 500 ml (M2U)462660</v>
      </c>
      <c r="B585" t="s">
        <v>10404</v>
      </c>
      <c r="C585" t="s">
        <v>14967</v>
      </c>
      <c r="D585" t="s">
        <v>12488</v>
      </c>
      <c r="E585" t="s">
        <v>747</v>
      </c>
      <c r="F585">
        <v>30</v>
      </c>
      <c r="G585">
        <v>1</v>
      </c>
      <c r="H585">
        <v>1</v>
      </c>
      <c r="I585">
        <v>30</v>
      </c>
      <c r="J585">
        <v>1649</v>
      </c>
      <c r="K585">
        <f t="shared" si="28"/>
        <v>54</v>
      </c>
      <c r="L585">
        <f t="shared" si="29"/>
        <v>29</v>
      </c>
      <c r="M585">
        <v>1649</v>
      </c>
      <c r="N585" s="3">
        <v>46266</v>
      </c>
      <c r="O585" s="6">
        <v>0</v>
      </c>
    </row>
    <row r="586" spans="1:15">
      <c r="A586" t="str">
        <f t="shared" si="27"/>
        <v>GG Bunga 10 X 10 X 15 ml (M2U)460230</v>
      </c>
      <c r="B586" t="s">
        <v>10405</v>
      </c>
      <c r="C586" t="s">
        <v>14968</v>
      </c>
      <c r="D586" t="s">
        <v>12489</v>
      </c>
      <c r="E586" t="s">
        <v>748</v>
      </c>
      <c r="F586">
        <v>10</v>
      </c>
      <c r="G586">
        <v>10</v>
      </c>
      <c r="H586">
        <v>1</v>
      </c>
      <c r="I586">
        <v>100</v>
      </c>
      <c r="J586">
        <v>13</v>
      </c>
      <c r="K586">
        <f t="shared" si="28"/>
        <v>0</v>
      </c>
      <c r="L586">
        <f t="shared" si="29"/>
        <v>13</v>
      </c>
      <c r="M586">
        <v>13</v>
      </c>
      <c r="N586" s="3">
        <v>46023</v>
      </c>
      <c r="O586" s="6">
        <v>0</v>
      </c>
    </row>
    <row r="587" spans="1:15">
      <c r="A587" t="str">
        <f t="shared" si="27"/>
        <v>GG Bunga 10 X 10 X 15 ml (M2U)461130</v>
      </c>
      <c r="B587" t="s">
        <v>10406</v>
      </c>
      <c r="C587" t="s">
        <v>14969</v>
      </c>
      <c r="D587" t="s">
        <v>12490</v>
      </c>
      <c r="E587" t="s">
        <v>748</v>
      </c>
      <c r="F587">
        <v>10</v>
      </c>
      <c r="G587">
        <v>10</v>
      </c>
      <c r="H587">
        <v>1</v>
      </c>
      <c r="I587">
        <v>100</v>
      </c>
      <c r="J587">
        <v>807</v>
      </c>
      <c r="K587">
        <f t="shared" si="28"/>
        <v>8</v>
      </c>
      <c r="L587">
        <f t="shared" si="29"/>
        <v>7</v>
      </c>
      <c r="M587">
        <v>807</v>
      </c>
      <c r="N587" s="3">
        <v>46113</v>
      </c>
      <c r="O587" s="6">
        <v>0</v>
      </c>
    </row>
    <row r="588" spans="1:15">
      <c r="A588" t="str">
        <f t="shared" si="27"/>
        <v>GG Bunga 50 X 100 ml463880</v>
      </c>
      <c r="B588" t="s">
        <v>10407</v>
      </c>
      <c r="C588" t="s">
        <v>14970</v>
      </c>
      <c r="D588" t="s">
        <v>12491</v>
      </c>
      <c r="E588" t="s">
        <v>749</v>
      </c>
      <c r="F588">
        <v>50</v>
      </c>
      <c r="G588">
        <v>1</v>
      </c>
      <c r="H588">
        <v>1</v>
      </c>
      <c r="I588">
        <v>50</v>
      </c>
      <c r="J588">
        <v>1070</v>
      </c>
      <c r="K588">
        <f t="shared" si="28"/>
        <v>21</v>
      </c>
      <c r="L588">
        <f t="shared" si="29"/>
        <v>20</v>
      </c>
      <c r="M588">
        <v>1070</v>
      </c>
      <c r="N588" s="3">
        <v>46388</v>
      </c>
      <c r="O588" s="6">
        <v>0</v>
      </c>
    </row>
    <row r="589" spans="1:15">
      <c r="A589" t="str">
        <f t="shared" si="27"/>
        <v>GG Cuaca 50 X 100 ml (M2U)459920</v>
      </c>
      <c r="B589" t="s">
        <v>10408</v>
      </c>
      <c r="C589" t="s">
        <v>14971</v>
      </c>
      <c r="D589" t="s">
        <v>12492</v>
      </c>
      <c r="E589" t="s">
        <v>750</v>
      </c>
      <c r="F589">
        <v>50</v>
      </c>
      <c r="G589">
        <v>1</v>
      </c>
      <c r="H589">
        <v>1</v>
      </c>
      <c r="I589">
        <v>50</v>
      </c>
      <c r="J589">
        <v>106</v>
      </c>
      <c r="K589">
        <f t="shared" si="28"/>
        <v>2</v>
      </c>
      <c r="L589">
        <f t="shared" si="29"/>
        <v>6</v>
      </c>
      <c r="M589">
        <v>106</v>
      </c>
      <c r="N589" s="3">
        <v>45992</v>
      </c>
      <c r="O589" s="6">
        <v>0</v>
      </c>
    </row>
    <row r="590" spans="1:15">
      <c r="A590" t="str">
        <f t="shared" si="27"/>
        <v>GG Daun 50 X 100 ml (M2U)464190</v>
      </c>
      <c r="B590" t="s">
        <v>10409</v>
      </c>
      <c r="C590" t="s">
        <v>14972</v>
      </c>
      <c r="D590" t="s">
        <v>12493</v>
      </c>
      <c r="E590" t="s">
        <v>751</v>
      </c>
      <c r="F590">
        <v>50</v>
      </c>
      <c r="G590">
        <v>1</v>
      </c>
      <c r="H590">
        <v>1</v>
      </c>
      <c r="I590">
        <v>50</v>
      </c>
      <c r="J590">
        <v>250</v>
      </c>
      <c r="K590">
        <f t="shared" si="28"/>
        <v>5</v>
      </c>
      <c r="L590">
        <f t="shared" si="29"/>
        <v>0</v>
      </c>
      <c r="M590">
        <v>250</v>
      </c>
      <c r="N590" s="3">
        <v>46419</v>
      </c>
      <c r="O590" s="6">
        <v>0</v>
      </c>
    </row>
    <row r="591" spans="1:15">
      <c r="A591" t="str">
        <f t="shared" si="27"/>
        <v>Gibas 240 SL 20 ltr471190</v>
      </c>
      <c r="B591" t="s">
        <v>10410</v>
      </c>
      <c r="C591" t="s">
        <v>14973</v>
      </c>
      <c r="D591" t="s">
        <v>12494</v>
      </c>
      <c r="E591" t="s">
        <v>752</v>
      </c>
      <c r="F591">
        <v>1</v>
      </c>
      <c r="G591">
        <v>1</v>
      </c>
      <c r="H591">
        <v>1</v>
      </c>
      <c r="I591">
        <v>1</v>
      </c>
      <c r="J591">
        <v>18</v>
      </c>
      <c r="K591">
        <f t="shared" si="28"/>
        <v>18</v>
      </c>
      <c r="L591">
        <f t="shared" si="29"/>
        <v>0</v>
      </c>
      <c r="M591">
        <v>18</v>
      </c>
      <c r="N591" s="3">
        <v>47119</v>
      </c>
      <c r="O591" s="6">
        <v>0</v>
      </c>
    </row>
    <row r="592" spans="1:15">
      <c r="A592" t="str">
        <f t="shared" si="27"/>
        <v>Gibas 240 SL 20 ltr471500</v>
      </c>
      <c r="B592" t="s">
        <v>10411</v>
      </c>
      <c r="C592" t="s">
        <v>14974</v>
      </c>
      <c r="D592" t="s">
        <v>12495</v>
      </c>
      <c r="E592" t="s">
        <v>752</v>
      </c>
      <c r="F592">
        <v>1</v>
      </c>
      <c r="G592">
        <v>1</v>
      </c>
      <c r="H592">
        <v>1</v>
      </c>
      <c r="I592">
        <v>1</v>
      </c>
      <c r="J592">
        <v>85</v>
      </c>
      <c r="K592">
        <f t="shared" si="28"/>
        <v>85</v>
      </c>
      <c r="L592">
        <f t="shared" si="29"/>
        <v>0</v>
      </c>
      <c r="M592">
        <v>85</v>
      </c>
      <c r="N592" s="3">
        <v>47150</v>
      </c>
      <c r="O592" s="6">
        <v>0</v>
      </c>
    </row>
    <row r="593" spans="1:15">
      <c r="A593" t="str">
        <f t="shared" si="27"/>
        <v>Gibas 240 SL 20 X 1 ltr467220</v>
      </c>
      <c r="B593" t="s">
        <v>10412</v>
      </c>
      <c r="C593" t="s">
        <v>14975</v>
      </c>
      <c r="D593" t="s">
        <v>12496</v>
      </c>
      <c r="E593" t="s">
        <v>753</v>
      </c>
      <c r="F593">
        <v>20</v>
      </c>
      <c r="G593">
        <v>1</v>
      </c>
      <c r="H593">
        <v>1</v>
      </c>
      <c r="I593">
        <v>20</v>
      </c>
      <c r="J593">
        <v>206</v>
      </c>
      <c r="K593">
        <f t="shared" si="28"/>
        <v>10</v>
      </c>
      <c r="L593">
        <f t="shared" si="29"/>
        <v>6</v>
      </c>
      <c r="M593">
        <v>206</v>
      </c>
      <c r="N593" s="3">
        <v>46722</v>
      </c>
      <c r="O593" s="6">
        <v>0</v>
      </c>
    </row>
    <row r="594" spans="1:15">
      <c r="A594" t="str">
        <f t="shared" si="27"/>
        <v>Gibas 240 SL 20 X 1 ltr467530</v>
      </c>
      <c r="B594" t="s">
        <v>10413</v>
      </c>
      <c r="C594" t="s">
        <v>14976</v>
      </c>
      <c r="D594" t="s">
        <v>12497</v>
      </c>
      <c r="E594" t="s">
        <v>753</v>
      </c>
      <c r="F594">
        <v>20</v>
      </c>
      <c r="G594">
        <v>1</v>
      </c>
      <c r="H594">
        <v>1</v>
      </c>
      <c r="I594">
        <v>20</v>
      </c>
      <c r="J594">
        <v>900</v>
      </c>
      <c r="K594">
        <f t="shared" si="28"/>
        <v>45</v>
      </c>
      <c r="L594">
        <f t="shared" si="29"/>
        <v>0</v>
      </c>
      <c r="M594">
        <v>900</v>
      </c>
      <c r="N594" s="3">
        <v>46753</v>
      </c>
      <c r="O594" s="6">
        <v>0</v>
      </c>
    </row>
    <row r="595" spans="1:15">
      <c r="A595" t="str">
        <f t="shared" si="27"/>
        <v>Gibas 240 SL 20 X 1 ltr469970</v>
      </c>
      <c r="B595" t="s">
        <v>10414</v>
      </c>
      <c r="C595" t="s">
        <v>14977</v>
      </c>
      <c r="D595" t="s">
        <v>12498</v>
      </c>
      <c r="E595" t="s">
        <v>753</v>
      </c>
      <c r="F595">
        <v>20</v>
      </c>
      <c r="G595">
        <v>1</v>
      </c>
      <c r="H595">
        <v>1</v>
      </c>
      <c r="I595">
        <v>20</v>
      </c>
      <c r="J595">
        <v>1960</v>
      </c>
      <c r="K595">
        <f t="shared" si="28"/>
        <v>98</v>
      </c>
      <c r="L595">
        <f t="shared" si="29"/>
        <v>0</v>
      </c>
      <c r="M595">
        <v>1960</v>
      </c>
      <c r="N595" s="3">
        <v>46997</v>
      </c>
      <c r="O595" s="6">
        <v>0</v>
      </c>
    </row>
    <row r="596" spans="1:15">
      <c r="A596" t="str">
        <f t="shared" si="27"/>
        <v>Gibgro 10 SP 25 X 40 X 1 gr470880</v>
      </c>
      <c r="B596" t="s">
        <v>10415</v>
      </c>
      <c r="C596" t="s">
        <v>14978</v>
      </c>
      <c r="D596" t="s">
        <v>12499</v>
      </c>
      <c r="E596" t="s">
        <v>754</v>
      </c>
      <c r="F596">
        <v>25</v>
      </c>
      <c r="G596">
        <v>40</v>
      </c>
      <c r="H596">
        <v>1</v>
      </c>
      <c r="I596">
        <v>1000</v>
      </c>
      <c r="J596">
        <v>80</v>
      </c>
      <c r="K596">
        <f t="shared" si="28"/>
        <v>0</v>
      </c>
      <c r="L596">
        <f t="shared" si="29"/>
        <v>80</v>
      </c>
      <c r="M596">
        <v>80</v>
      </c>
      <c r="N596" s="3">
        <v>47088</v>
      </c>
      <c r="O596" s="6">
        <v>0</v>
      </c>
    </row>
    <row r="597" spans="1:15">
      <c r="A597" t="str">
        <f t="shared" si="27"/>
        <v>Gibgro 10 SP 25 X 40 X 1 gr472390</v>
      </c>
      <c r="B597" t="s">
        <v>10416</v>
      </c>
      <c r="C597" t="s">
        <v>14979</v>
      </c>
      <c r="D597" t="s">
        <v>12500</v>
      </c>
      <c r="E597" t="s">
        <v>754</v>
      </c>
      <c r="F597">
        <v>25</v>
      </c>
      <c r="G597">
        <v>40</v>
      </c>
      <c r="H597">
        <v>1</v>
      </c>
      <c r="I597">
        <v>1000</v>
      </c>
      <c r="J597">
        <v>141000</v>
      </c>
      <c r="K597">
        <f t="shared" si="28"/>
        <v>141</v>
      </c>
      <c r="L597">
        <f t="shared" si="29"/>
        <v>0</v>
      </c>
      <c r="M597">
        <v>141000</v>
      </c>
      <c r="N597" s="3">
        <v>47239</v>
      </c>
      <c r="O597" s="6">
        <v>0</v>
      </c>
    </row>
    <row r="598" spans="1:15">
      <c r="A598" t="str">
        <f t="shared" si="27"/>
        <v>Gibgro 10 SP 25 X 40 X 1 gr472700</v>
      </c>
      <c r="B598" t="s">
        <v>10417</v>
      </c>
      <c r="C598" t="s">
        <v>14980</v>
      </c>
      <c r="D598" t="s">
        <v>12501</v>
      </c>
      <c r="E598" t="s">
        <v>754</v>
      </c>
      <c r="F598">
        <v>25</v>
      </c>
      <c r="G598">
        <v>40</v>
      </c>
      <c r="H598">
        <v>1</v>
      </c>
      <c r="I598">
        <v>1000</v>
      </c>
      <c r="J598">
        <v>118600</v>
      </c>
      <c r="K598">
        <f t="shared" si="28"/>
        <v>118</v>
      </c>
      <c r="L598">
        <f t="shared" si="29"/>
        <v>600</v>
      </c>
      <c r="M598">
        <v>118600</v>
      </c>
      <c r="N598" s="3">
        <v>47270</v>
      </c>
      <c r="O598" s="6">
        <v>0</v>
      </c>
    </row>
    <row r="599" spans="1:15">
      <c r="A599" t="str">
        <f t="shared" si="27"/>
        <v>Gibgro 20 T 25 X 10 X 5 gr472390</v>
      </c>
      <c r="B599" t="s">
        <v>10418</v>
      </c>
      <c r="C599" t="s">
        <v>14981</v>
      </c>
      <c r="D599" t="s">
        <v>12502</v>
      </c>
      <c r="E599" t="s">
        <v>755</v>
      </c>
      <c r="F599">
        <v>25</v>
      </c>
      <c r="G599">
        <v>10</v>
      </c>
      <c r="H599">
        <v>1</v>
      </c>
      <c r="I599">
        <v>250</v>
      </c>
      <c r="J599">
        <v>150</v>
      </c>
      <c r="K599">
        <f t="shared" si="28"/>
        <v>0</v>
      </c>
      <c r="L599">
        <f t="shared" si="29"/>
        <v>150</v>
      </c>
      <c r="M599">
        <v>150</v>
      </c>
      <c r="N599" s="3">
        <v>47239</v>
      </c>
      <c r="O599" s="6">
        <v>0</v>
      </c>
    </row>
    <row r="600" spans="1:15">
      <c r="A600" t="str">
        <f t="shared" si="27"/>
        <v>Gibgro 20 T 25 X 10 X 5 gr472700</v>
      </c>
      <c r="B600" t="s">
        <v>10419</v>
      </c>
      <c r="C600" t="s">
        <v>14982</v>
      </c>
      <c r="D600" t="s">
        <v>12503</v>
      </c>
      <c r="E600" t="s">
        <v>755</v>
      </c>
      <c r="F600">
        <v>25</v>
      </c>
      <c r="G600">
        <v>10</v>
      </c>
      <c r="H600">
        <v>1</v>
      </c>
      <c r="I600">
        <v>250</v>
      </c>
      <c r="J600">
        <v>250</v>
      </c>
      <c r="K600">
        <f t="shared" si="28"/>
        <v>1</v>
      </c>
      <c r="L600">
        <f t="shared" si="29"/>
        <v>0</v>
      </c>
      <c r="M600">
        <v>250</v>
      </c>
      <c r="N600" s="3">
        <v>47270</v>
      </c>
      <c r="O600" s="6">
        <v>0</v>
      </c>
    </row>
    <row r="601" spans="1:15">
      <c r="A601" t="str">
        <f t="shared" si="27"/>
        <v>Gibraz 20/125 OD 100 X 80 ml469970</v>
      </c>
      <c r="B601" t="s">
        <v>10420</v>
      </c>
      <c r="C601" t="s">
        <v>14983</v>
      </c>
      <c r="D601" t="s">
        <v>12504</v>
      </c>
      <c r="E601" t="s">
        <v>756</v>
      </c>
      <c r="F601">
        <v>100</v>
      </c>
      <c r="G601">
        <v>1</v>
      </c>
      <c r="H601">
        <v>1</v>
      </c>
      <c r="I601">
        <v>100</v>
      </c>
      <c r="J601">
        <v>4616</v>
      </c>
      <c r="K601">
        <f t="shared" si="28"/>
        <v>46</v>
      </c>
      <c r="L601">
        <f t="shared" si="29"/>
        <v>16</v>
      </c>
      <c r="M601">
        <v>4616</v>
      </c>
      <c r="N601" s="3">
        <v>46997</v>
      </c>
      <c r="O601" s="6">
        <v>0</v>
      </c>
    </row>
    <row r="602" spans="1:15">
      <c r="A602" t="str">
        <f t="shared" si="27"/>
        <v>Gibraz 20/125 OD 25 X 400 ml469970</v>
      </c>
      <c r="B602" t="s">
        <v>10421</v>
      </c>
      <c r="C602" t="s">
        <v>14984</v>
      </c>
      <c r="D602" t="s">
        <v>12505</v>
      </c>
      <c r="E602" t="s">
        <v>758</v>
      </c>
      <c r="F602">
        <v>25</v>
      </c>
      <c r="G602">
        <v>1</v>
      </c>
      <c r="H602">
        <v>1</v>
      </c>
      <c r="I602">
        <v>25</v>
      </c>
      <c r="J602">
        <v>375</v>
      </c>
      <c r="K602">
        <f t="shared" si="28"/>
        <v>15</v>
      </c>
      <c r="L602">
        <f t="shared" si="29"/>
        <v>0</v>
      </c>
      <c r="M602">
        <v>375</v>
      </c>
      <c r="N602" s="3">
        <v>46997</v>
      </c>
      <c r="O602" s="6">
        <v>0</v>
      </c>
    </row>
    <row r="603" spans="1:15">
      <c r="A603" t="str">
        <f t="shared" si="27"/>
        <v>Gibraz 20/125 OD 50 X 200 ml469970</v>
      </c>
      <c r="B603" t="s">
        <v>10422</v>
      </c>
      <c r="C603" t="s">
        <v>14985</v>
      </c>
      <c r="D603" t="s">
        <v>12506</v>
      </c>
      <c r="E603" t="s">
        <v>759</v>
      </c>
      <c r="F603">
        <v>50</v>
      </c>
      <c r="G603">
        <v>1</v>
      </c>
      <c r="H603">
        <v>1</v>
      </c>
      <c r="I603">
        <v>50</v>
      </c>
      <c r="J603">
        <v>830</v>
      </c>
      <c r="K603">
        <f t="shared" si="28"/>
        <v>16</v>
      </c>
      <c r="L603">
        <f t="shared" si="29"/>
        <v>30</v>
      </c>
      <c r="M603">
        <v>830</v>
      </c>
      <c r="N603" s="3">
        <v>46997</v>
      </c>
      <c r="O603" s="6">
        <v>0</v>
      </c>
    </row>
    <row r="604" spans="1:15">
      <c r="A604" t="str">
        <f t="shared" si="27"/>
        <v>Glifasco 530 SL 20 X 1 ltr472700</v>
      </c>
      <c r="B604" t="s">
        <v>10423</v>
      </c>
      <c r="C604" t="s">
        <v>14986</v>
      </c>
      <c r="D604" t="s">
        <v>12507</v>
      </c>
      <c r="E604" t="s">
        <v>760</v>
      </c>
      <c r="F604">
        <v>20</v>
      </c>
      <c r="G604">
        <v>1</v>
      </c>
      <c r="H604">
        <v>1</v>
      </c>
      <c r="I604">
        <v>20</v>
      </c>
      <c r="J604">
        <v>5000</v>
      </c>
      <c r="K604">
        <f t="shared" si="28"/>
        <v>250</v>
      </c>
      <c r="L604">
        <f t="shared" si="29"/>
        <v>0</v>
      </c>
      <c r="M604">
        <v>5000</v>
      </c>
      <c r="N604" s="3">
        <v>47270</v>
      </c>
      <c r="O604" s="6">
        <v>0</v>
      </c>
    </row>
    <row r="605" spans="1:15">
      <c r="A605" t="str">
        <f t="shared" si="27"/>
        <v>Glove 240 EC 20 X 500 ml463880</v>
      </c>
      <c r="B605" t="s">
        <v>10424</v>
      </c>
      <c r="C605" t="s">
        <v>14987</v>
      </c>
      <c r="D605" t="s">
        <v>12508</v>
      </c>
      <c r="E605" t="s">
        <v>762</v>
      </c>
      <c r="F605">
        <v>20</v>
      </c>
      <c r="G605">
        <v>1</v>
      </c>
      <c r="H605">
        <v>1</v>
      </c>
      <c r="I605">
        <v>20</v>
      </c>
      <c r="J605">
        <v>508</v>
      </c>
      <c r="K605">
        <f t="shared" si="28"/>
        <v>25</v>
      </c>
      <c r="L605">
        <f t="shared" si="29"/>
        <v>8</v>
      </c>
      <c r="M605">
        <v>508</v>
      </c>
      <c r="N605" s="3">
        <v>46388</v>
      </c>
      <c r="O605" s="6">
        <v>0</v>
      </c>
    </row>
    <row r="606" spans="1:15">
      <c r="A606" t="str">
        <f t="shared" si="27"/>
        <v>Glove 240 EC 40 X 250 ml463880</v>
      </c>
      <c r="B606" t="s">
        <v>10425</v>
      </c>
      <c r="C606" t="s">
        <v>14988</v>
      </c>
      <c r="D606" t="s">
        <v>12509</v>
      </c>
      <c r="E606" t="s">
        <v>763</v>
      </c>
      <c r="F606">
        <v>40</v>
      </c>
      <c r="G606">
        <v>1</v>
      </c>
      <c r="H606">
        <v>1</v>
      </c>
      <c r="I606">
        <v>40</v>
      </c>
      <c r="J606">
        <v>1180</v>
      </c>
      <c r="K606">
        <f t="shared" si="28"/>
        <v>29</v>
      </c>
      <c r="L606">
        <f t="shared" si="29"/>
        <v>20</v>
      </c>
      <c r="M606">
        <v>1180</v>
      </c>
      <c r="N606" s="3">
        <v>46388</v>
      </c>
      <c r="O606" s="6">
        <v>0</v>
      </c>
    </row>
    <row r="607" spans="1:15">
      <c r="A607" t="str">
        <f t="shared" si="27"/>
        <v>Glove 240 EC 50 X 100 ml467840</v>
      </c>
      <c r="B607" t="s">
        <v>10426</v>
      </c>
      <c r="C607" t="s">
        <v>14989</v>
      </c>
      <c r="D607" t="s">
        <v>12510</v>
      </c>
      <c r="E607" t="s">
        <v>764</v>
      </c>
      <c r="F607">
        <v>50</v>
      </c>
      <c r="G607">
        <v>1</v>
      </c>
      <c r="H607">
        <v>1</v>
      </c>
      <c r="I607">
        <v>50</v>
      </c>
      <c r="J607">
        <v>42</v>
      </c>
      <c r="K607">
        <f t="shared" si="28"/>
        <v>0</v>
      </c>
      <c r="L607">
        <f t="shared" si="29"/>
        <v>42</v>
      </c>
      <c r="M607">
        <v>42</v>
      </c>
      <c r="N607" s="3">
        <v>46784</v>
      </c>
      <c r="O607" s="6">
        <v>0</v>
      </c>
    </row>
    <row r="608" spans="1:15">
      <c r="A608" t="str">
        <f t="shared" si="27"/>
        <v>Glove 240 EC 50 X 100 ml470270</v>
      </c>
      <c r="B608" t="s">
        <v>10427</v>
      </c>
      <c r="C608" t="s">
        <v>14990</v>
      </c>
      <c r="D608" t="s">
        <v>12511</v>
      </c>
      <c r="E608" t="s">
        <v>764</v>
      </c>
      <c r="F608">
        <v>50</v>
      </c>
      <c r="G608">
        <v>1</v>
      </c>
      <c r="H608">
        <v>1</v>
      </c>
      <c r="I608">
        <v>50</v>
      </c>
      <c r="J608">
        <v>4700</v>
      </c>
      <c r="K608">
        <f t="shared" si="28"/>
        <v>94</v>
      </c>
      <c r="L608">
        <f t="shared" si="29"/>
        <v>0</v>
      </c>
      <c r="M608">
        <v>4700</v>
      </c>
      <c r="N608" s="3">
        <v>47027</v>
      </c>
      <c r="O608" s="6">
        <v>0</v>
      </c>
    </row>
    <row r="609" spans="1:15">
      <c r="A609" t="str">
        <f t="shared" si="27"/>
        <v>Glykill 480 SL 20 X 1 ltr467220</v>
      </c>
      <c r="B609" t="s">
        <v>10428</v>
      </c>
      <c r="C609" t="s">
        <v>14991</v>
      </c>
      <c r="D609" t="s">
        <v>12512</v>
      </c>
      <c r="E609" t="s">
        <v>765</v>
      </c>
      <c r="F609">
        <v>20</v>
      </c>
      <c r="G609">
        <v>1</v>
      </c>
      <c r="H609">
        <v>1</v>
      </c>
      <c r="I609">
        <v>20</v>
      </c>
      <c r="J609">
        <v>1870</v>
      </c>
      <c r="K609">
        <f t="shared" si="28"/>
        <v>93</v>
      </c>
      <c r="L609">
        <f t="shared" si="29"/>
        <v>10</v>
      </c>
      <c r="M609">
        <v>1870</v>
      </c>
      <c r="N609" s="3">
        <v>46722</v>
      </c>
      <c r="O609" s="6">
        <v>0</v>
      </c>
    </row>
    <row r="610" spans="1:15">
      <c r="A610" t="str">
        <f t="shared" si="27"/>
        <v>Goal 240 EC 50 X 100 ml471500</v>
      </c>
      <c r="B610" t="s">
        <v>10429</v>
      </c>
      <c r="C610" t="s">
        <v>14992</v>
      </c>
      <c r="D610" t="s">
        <v>12513</v>
      </c>
      <c r="E610" t="s">
        <v>766</v>
      </c>
      <c r="F610">
        <v>50</v>
      </c>
      <c r="G610">
        <v>1</v>
      </c>
      <c r="H610">
        <v>1</v>
      </c>
      <c r="I610">
        <v>50</v>
      </c>
      <c r="J610">
        <v>625</v>
      </c>
      <c r="K610">
        <f t="shared" si="28"/>
        <v>12</v>
      </c>
      <c r="L610">
        <f t="shared" si="29"/>
        <v>25</v>
      </c>
      <c r="M610">
        <v>625</v>
      </c>
      <c r="N610" s="3">
        <v>47150</v>
      </c>
      <c r="O610" s="6">
        <v>0</v>
      </c>
    </row>
    <row r="611" spans="1:15">
      <c r="A611" t="str">
        <f t="shared" si="27"/>
        <v>Gold Star 250 EC 40 X 250 ml471190</v>
      </c>
      <c r="B611" t="s">
        <v>10430</v>
      </c>
      <c r="C611" t="s">
        <v>14993</v>
      </c>
      <c r="D611" t="s">
        <v>12514</v>
      </c>
      <c r="E611" t="s">
        <v>767</v>
      </c>
      <c r="F611">
        <v>40</v>
      </c>
      <c r="G611">
        <v>1</v>
      </c>
      <c r="H611">
        <v>1</v>
      </c>
      <c r="I611">
        <v>40</v>
      </c>
      <c r="J611">
        <v>1240</v>
      </c>
      <c r="K611">
        <f t="shared" si="28"/>
        <v>31</v>
      </c>
      <c r="L611">
        <f t="shared" si="29"/>
        <v>0</v>
      </c>
      <c r="M611">
        <v>1240</v>
      </c>
      <c r="N611" s="3">
        <v>47119</v>
      </c>
      <c r="O611" s="6">
        <v>0</v>
      </c>
    </row>
    <row r="612" spans="1:15">
      <c r="A612" t="str">
        <f t="shared" si="27"/>
        <v>Gold Stick 20 X 1 ltr463570</v>
      </c>
      <c r="B612" t="s">
        <v>10431</v>
      </c>
      <c r="C612" t="s">
        <v>14994</v>
      </c>
      <c r="D612" t="s">
        <v>12515</v>
      </c>
      <c r="E612" t="s">
        <v>768</v>
      </c>
      <c r="F612">
        <v>20</v>
      </c>
      <c r="G612">
        <v>1</v>
      </c>
      <c r="H612">
        <v>1</v>
      </c>
      <c r="I612">
        <v>20</v>
      </c>
      <c r="J612">
        <v>44</v>
      </c>
      <c r="K612">
        <f t="shared" si="28"/>
        <v>2</v>
      </c>
      <c r="L612">
        <f t="shared" si="29"/>
        <v>4</v>
      </c>
      <c r="M612">
        <v>44</v>
      </c>
      <c r="N612" s="3">
        <v>46357</v>
      </c>
      <c r="O612" s="6">
        <v>0</v>
      </c>
    </row>
    <row r="613" spans="1:15">
      <c r="A613" t="str">
        <f t="shared" si="27"/>
        <v>Gold Stick 30 X 500 ml463570</v>
      </c>
      <c r="B613" t="s">
        <v>10432</v>
      </c>
      <c r="C613" t="s">
        <v>14995</v>
      </c>
      <c r="D613" t="s">
        <v>12516</v>
      </c>
      <c r="E613" t="s">
        <v>769</v>
      </c>
      <c r="F613">
        <v>30</v>
      </c>
      <c r="G613">
        <v>1</v>
      </c>
      <c r="H613">
        <v>1</v>
      </c>
      <c r="I613">
        <v>30</v>
      </c>
      <c r="J613">
        <v>1238</v>
      </c>
      <c r="K613">
        <f t="shared" si="28"/>
        <v>41</v>
      </c>
      <c r="L613">
        <f t="shared" si="29"/>
        <v>8</v>
      </c>
      <c r="M613">
        <v>1238</v>
      </c>
      <c r="N613" s="3">
        <v>46357</v>
      </c>
      <c r="O613" s="6">
        <v>0</v>
      </c>
    </row>
    <row r="614" spans="1:15">
      <c r="A614" t="str">
        <f t="shared" si="27"/>
        <v>Golden Star 100/300 SL 20 X 1 ltr467220</v>
      </c>
      <c r="B614" t="s">
        <v>10433</v>
      </c>
      <c r="C614" t="s">
        <v>14996</v>
      </c>
      <c r="D614" t="s">
        <v>12517</v>
      </c>
      <c r="E614" t="s">
        <v>770</v>
      </c>
      <c r="F614">
        <v>20</v>
      </c>
      <c r="G614">
        <v>1</v>
      </c>
      <c r="H614">
        <v>1</v>
      </c>
      <c r="I614">
        <v>20</v>
      </c>
      <c r="J614">
        <v>1714</v>
      </c>
      <c r="K614">
        <f t="shared" si="28"/>
        <v>85</v>
      </c>
      <c r="L614">
        <f t="shared" si="29"/>
        <v>14</v>
      </c>
      <c r="M614">
        <v>1714</v>
      </c>
      <c r="N614" s="3">
        <v>46722</v>
      </c>
      <c r="O614" s="6">
        <v>0</v>
      </c>
    </row>
    <row r="615" spans="1:15">
      <c r="A615" t="str">
        <f t="shared" si="27"/>
        <v>Granat 25 EC 80 Ml1/1/10000</v>
      </c>
      <c r="B615" t="s">
        <v>10434</v>
      </c>
      <c r="C615" t="s">
        <v>14997</v>
      </c>
      <c r="D615" t="s">
        <v>12518</v>
      </c>
      <c r="E615" t="s">
        <v>771</v>
      </c>
      <c r="F615">
        <v>1</v>
      </c>
      <c r="G615">
        <v>1</v>
      </c>
      <c r="H615">
        <v>1</v>
      </c>
      <c r="I615">
        <v>1</v>
      </c>
      <c r="J615">
        <v>56</v>
      </c>
      <c r="K615">
        <f t="shared" si="28"/>
        <v>56</v>
      </c>
      <c r="L615">
        <f t="shared" si="29"/>
        <v>0</v>
      </c>
      <c r="M615">
        <v>56</v>
      </c>
      <c r="N615" s="3" t="s">
        <v>2222</v>
      </c>
      <c r="O615" s="6">
        <v>0</v>
      </c>
    </row>
    <row r="616" spans="1:15">
      <c r="A616" t="str">
        <f t="shared" si="27"/>
        <v>Grandally 25 WP 25 gr1/1/10000</v>
      </c>
      <c r="B616" t="s">
        <v>10435</v>
      </c>
      <c r="C616" t="s">
        <v>14998</v>
      </c>
      <c r="D616" t="s">
        <v>12519</v>
      </c>
      <c r="E616" t="s">
        <v>772</v>
      </c>
      <c r="F616">
        <v>1</v>
      </c>
      <c r="G616">
        <v>1</v>
      </c>
      <c r="H616">
        <v>1</v>
      </c>
      <c r="I616">
        <v>1</v>
      </c>
      <c r="J616">
        <v>22734</v>
      </c>
      <c r="K616">
        <f t="shared" si="28"/>
        <v>22734</v>
      </c>
      <c r="L616">
        <f t="shared" si="29"/>
        <v>0</v>
      </c>
      <c r="M616">
        <v>22734</v>
      </c>
      <c r="N616" s="3" t="s">
        <v>2222</v>
      </c>
      <c r="O616" s="6">
        <v>0</v>
      </c>
    </row>
    <row r="617" spans="1:15">
      <c r="A617" t="str">
        <f t="shared" si="27"/>
        <v>Grandally 25 WP 5 gr1/1/10000</v>
      </c>
      <c r="B617" t="s">
        <v>10436</v>
      </c>
      <c r="C617" t="s">
        <v>14999</v>
      </c>
      <c r="D617" t="s">
        <v>12520</v>
      </c>
      <c r="E617" t="s">
        <v>773</v>
      </c>
      <c r="F617">
        <v>1</v>
      </c>
      <c r="G617">
        <v>1</v>
      </c>
      <c r="H617">
        <v>1</v>
      </c>
      <c r="I617">
        <v>1</v>
      </c>
      <c r="J617">
        <v>35330</v>
      </c>
      <c r="K617">
        <f t="shared" si="28"/>
        <v>35330</v>
      </c>
      <c r="L617">
        <f t="shared" si="29"/>
        <v>0</v>
      </c>
      <c r="M617">
        <v>35330</v>
      </c>
      <c r="N617" s="3" t="s">
        <v>2222</v>
      </c>
      <c r="O617" s="6">
        <v>0</v>
      </c>
    </row>
    <row r="618" spans="1:15">
      <c r="A618" t="str">
        <f t="shared" si="27"/>
        <v>Grasso 480 SL 20 ltr466310</v>
      </c>
      <c r="B618" t="s">
        <v>10437</v>
      </c>
      <c r="C618" t="s">
        <v>15000</v>
      </c>
      <c r="D618" t="s">
        <v>12521</v>
      </c>
      <c r="E618" t="s">
        <v>774</v>
      </c>
      <c r="F618">
        <v>1</v>
      </c>
      <c r="G618">
        <v>1</v>
      </c>
      <c r="H618">
        <v>1</v>
      </c>
      <c r="I618">
        <v>1</v>
      </c>
      <c r="J618">
        <v>47</v>
      </c>
      <c r="K618">
        <f t="shared" si="28"/>
        <v>47</v>
      </c>
      <c r="L618">
        <f t="shared" si="29"/>
        <v>0</v>
      </c>
      <c r="M618">
        <v>47</v>
      </c>
      <c r="N618" s="3">
        <v>46631</v>
      </c>
      <c r="O618" s="6">
        <v>0</v>
      </c>
    </row>
    <row r="619" spans="1:15">
      <c r="A619" t="str">
        <f t="shared" si="27"/>
        <v>Grasso 480 SL 20 X 1 ltr466610</v>
      </c>
      <c r="B619" t="s">
        <v>10438</v>
      </c>
      <c r="C619" t="s">
        <v>15001</v>
      </c>
      <c r="D619" t="s">
        <v>12522</v>
      </c>
      <c r="E619" t="s">
        <v>775</v>
      </c>
      <c r="F619">
        <v>20</v>
      </c>
      <c r="G619">
        <v>1</v>
      </c>
      <c r="H619">
        <v>1</v>
      </c>
      <c r="I619">
        <v>20</v>
      </c>
      <c r="J619">
        <v>4462</v>
      </c>
      <c r="K619">
        <f t="shared" si="28"/>
        <v>223</v>
      </c>
      <c r="L619">
        <f t="shared" si="29"/>
        <v>2</v>
      </c>
      <c r="M619">
        <v>4462</v>
      </c>
      <c r="N619" s="3">
        <v>46661</v>
      </c>
      <c r="O619" s="6">
        <v>0</v>
      </c>
    </row>
    <row r="620" spans="1:15">
      <c r="A620" t="str">
        <f t="shared" si="27"/>
        <v>Grasso 480 SL 20 X 1 ltr468740</v>
      </c>
      <c r="B620" t="s">
        <v>10439</v>
      </c>
      <c r="C620" t="s">
        <v>15002</v>
      </c>
      <c r="D620" t="s">
        <v>12523</v>
      </c>
      <c r="E620" t="s">
        <v>775</v>
      </c>
      <c r="F620">
        <v>20</v>
      </c>
      <c r="G620">
        <v>1</v>
      </c>
      <c r="H620">
        <v>1</v>
      </c>
      <c r="I620">
        <v>20</v>
      </c>
      <c r="J620">
        <v>480</v>
      </c>
      <c r="K620">
        <f t="shared" si="28"/>
        <v>24</v>
      </c>
      <c r="L620">
        <f t="shared" si="29"/>
        <v>0</v>
      </c>
      <c r="M620">
        <v>480</v>
      </c>
      <c r="N620" s="3">
        <v>46874</v>
      </c>
      <c r="O620" s="6">
        <v>0</v>
      </c>
    </row>
    <row r="621" spans="1:15">
      <c r="A621" t="str">
        <f t="shared" si="27"/>
        <v>Grasso 480 SL 20 X 1 ltr469970</v>
      </c>
      <c r="B621" t="s">
        <v>10440</v>
      </c>
      <c r="C621" t="s">
        <v>15003</v>
      </c>
      <c r="D621" t="s">
        <v>12524</v>
      </c>
      <c r="E621" t="s">
        <v>775</v>
      </c>
      <c r="F621">
        <v>20</v>
      </c>
      <c r="G621">
        <v>1</v>
      </c>
      <c r="H621">
        <v>1</v>
      </c>
      <c r="I621">
        <v>20</v>
      </c>
      <c r="J621">
        <v>7900</v>
      </c>
      <c r="K621">
        <f t="shared" si="28"/>
        <v>395</v>
      </c>
      <c r="L621">
        <f t="shared" si="29"/>
        <v>0</v>
      </c>
      <c r="M621">
        <v>7900</v>
      </c>
      <c r="N621" s="3">
        <v>46997</v>
      </c>
      <c r="O621" s="6">
        <v>0</v>
      </c>
    </row>
    <row r="622" spans="1:15">
      <c r="A622" t="str">
        <f t="shared" si="27"/>
        <v>Grasso 480 SL 20 X 1 ltr469660</v>
      </c>
      <c r="B622" t="s">
        <v>10441</v>
      </c>
      <c r="C622" t="s">
        <v>15004</v>
      </c>
      <c r="D622" t="s">
        <v>12525</v>
      </c>
      <c r="E622" t="s">
        <v>775</v>
      </c>
      <c r="F622">
        <v>20</v>
      </c>
      <c r="G622">
        <v>1</v>
      </c>
      <c r="H622">
        <v>1</v>
      </c>
      <c r="I622">
        <v>20</v>
      </c>
      <c r="J622">
        <v>9960</v>
      </c>
      <c r="K622">
        <f t="shared" si="28"/>
        <v>498</v>
      </c>
      <c r="L622">
        <f t="shared" si="29"/>
        <v>0</v>
      </c>
      <c r="M622">
        <v>9960</v>
      </c>
      <c r="N622" s="3">
        <v>46966</v>
      </c>
      <c r="O622" s="6">
        <v>0</v>
      </c>
    </row>
    <row r="623" spans="1:15">
      <c r="A623" t="str">
        <f t="shared" si="27"/>
        <v>Grasso 480 SL 4 X 5 ltr466610</v>
      </c>
      <c r="B623" t="s">
        <v>10442</v>
      </c>
      <c r="C623" t="s">
        <v>15005</v>
      </c>
      <c r="D623" t="s">
        <v>12526</v>
      </c>
      <c r="E623" t="s">
        <v>776</v>
      </c>
      <c r="F623">
        <v>4</v>
      </c>
      <c r="G623">
        <v>1</v>
      </c>
      <c r="H623">
        <v>1</v>
      </c>
      <c r="I623">
        <v>4</v>
      </c>
      <c r="J623">
        <v>335</v>
      </c>
      <c r="K623">
        <f t="shared" si="28"/>
        <v>83</v>
      </c>
      <c r="L623">
        <f t="shared" si="29"/>
        <v>3</v>
      </c>
      <c r="M623">
        <v>335</v>
      </c>
      <c r="N623" s="3">
        <v>46661</v>
      </c>
      <c r="O623" s="6">
        <v>0</v>
      </c>
    </row>
    <row r="624" spans="1:15">
      <c r="A624" t="str">
        <f t="shared" si="27"/>
        <v>Greentop 20 X 1 ltr468740</v>
      </c>
      <c r="B624" t="s">
        <v>10443</v>
      </c>
      <c r="C624" t="s">
        <v>15006</v>
      </c>
      <c r="D624" t="s">
        <v>12527</v>
      </c>
      <c r="E624" t="s">
        <v>777</v>
      </c>
      <c r="F624">
        <v>20</v>
      </c>
      <c r="G624">
        <v>1</v>
      </c>
      <c r="H624">
        <v>1</v>
      </c>
      <c r="I624">
        <v>20</v>
      </c>
      <c r="J624">
        <v>80</v>
      </c>
      <c r="K624">
        <f t="shared" si="28"/>
        <v>4</v>
      </c>
      <c r="L624">
        <f t="shared" si="29"/>
        <v>0</v>
      </c>
      <c r="M624">
        <v>80</v>
      </c>
      <c r="N624" s="3">
        <v>46874</v>
      </c>
      <c r="O624" s="6">
        <v>0</v>
      </c>
    </row>
    <row r="625" spans="1:15">
      <c r="A625" t="str">
        <f t="shared" si="27"/>
        <v>Greentop 20 X 1 ltr469350</v>
      </c>
      <c r="B625" t="s">
        <v>10444</v>
      </c>
      <c r="C625" t="s">
        <v>15007</v>
      </c>
      <c r="D625" t="s">
        <v>12528</v>
      </c>
      <c r="E625" t="s">
        <v>777</v>
      </c>
      <c r="F625">
        <v>20</v>
      </c>
      <c r="G625">
        <v>1</v>
      </c>
      <c r="H625">
        <v>1</v>
      </c>
      <c r="I625">
        <v>20</v>
      </c>
      <c r="J625">
        <v>200</v>
      </c>
      <c r="K625">
        <f t="shared" si="28"/>
        <v>10</v>
      </c>
      <c r="L625">
        <f t="shared" si="29"/>
        <v>0</v>
      </c>
      <c r="M625">
        <v>200</v>
      </c>
      <c r="N625" s="3">
        <v>46935</v>
      </c>
      <c r="O625" s="6">
        <v>0</v>
      </c>
    </row>
    <row r="626" spans="1:15">
      <c r="A626" t="str">
        <f t="shared" si="27"/>
        <v>Greentop 6 X 5 ltr469050</v>
      </c>
      <c r="B626" t="s">
        <v>10445</v>
      </c>
      <c r="C626" t="s">
        <v>15008</v>
      </c>
      <c r="D626" t="s">
        <v>12529</v>
      </c>
      <c r="E626" t="s">
        <v>778</v>
      </c>
      <c r="F626">
        <v>6</v>
      </c>
      <c r="G626">
        <v>1</v>
      </c>
      <c r="H626">
        <v>1</v>
      </c>
      <c r="I626">
        <v>6</v>
      </c>
      <c r="J626">
        <v>240</v>
      </c>
      <c r="K626">
        <f t="shared" si="28"/>
        <v>40</v>
      </c>
      <c r="L626">
        <f t="shared" si="29"/>
        <v>0</v>
      </c>
      <c r="M626">
        <v>240</v>
      </c>
      <c r="N626" s="3">
        <v>46905</v>
      </c>
      <c r="O626" s="6">
        <v>0</v>
      </c>
    </row>
    <row r="627" spans="1:15">
      <c r="A627" t="str">
        <f t="shared" si="27"/>
        <v>Gunting Gland 7" Lady Pruner 05-219 12 X 1 pcs1/1/10000</v>
      </c>
      <c r="B627" t="s">
        <v>10446</v>
      </c>
      <c r="C627" t="s">
        <v>15009</v>
      </c>
      <c r="D627" t="s">
        <v>12530</v>
      </c>
      <c r="E627" t="s">
        <v>779</v>
      </c>
      <c r="F627">
        <v>12</v>
      </c>
      <c r="G627">
        <v>1</v>
      </c>
      <c r="H627">
        <v>1</v>
      </c>
      <c r="I627">
        <v>12</v>
      </c>
      <c r="J627">
        <v>51</v>
      </c>
      <c r="K627">
        <f t="shared" si="28"/>
        <v>4</v>
      </c>
      <c r="L627">
        <f t="shared" si="29"/>
        <v>3</v>
      </c>
      <c r="M627">
        <v>51</v>
      </c>
      <c r="N627" s="3" t="s">
        <v>2222</v>
      </c>
      <c r="O627" s="6">
        <v>0</v>
      </c>
    </row>
    <row r="628" spans="1:15">
      <c r="A628" t="str">
        <f t="shared" si="27"/>
        <v>Gunting Gland 8" Bypass Pruner ,05-203 10 X 10 X 1 pcs1/1/10000</v>
      </c>
      <c r="B628" t="s">
        <v>10447</v>
      </c>
      <c r="C628" t="s">
        <v>15010</v>
      </c>
      <c r="D628" t="s">
        <v>12531</v>
      </c>
      <c r="E628" t="s">
        <v>780</v>
      </c>
      <c r="F628">
        <v>10</v>
      </c>
      <c r="G628">
        <v>10</v>
      </c>
      <c r="H628">
        <v>1</v>
      </c>
      <c r="I628">
        <v>100</v>
      </c>
      <c r="J628">
        <v>65</v>
      </c>
      <c r="K628">
        <f t="shared" si="28"/>
        <v>0</v>
      </c>
      <c r="L628">
        <f t="shared" si="29"/>
        <v>65</v>
      </c>
      <c r="M628">
        <v>65</v>
      </c>
      <c r="N628" s="3" t="s">
        <v>2222</v>
      </c>
      <c r="O628" s="6">
        <v>0</v>
      </c>
    </row>
    <row r="629" spans="1:15">
      <c r="A629" t="str">
        <f t="shared" si="27"/>
        <v>GW Magicgro G6 12 X 1 ltr467220</v>
      </c>
      <c r="B629" t="s">
        <v>10448</v>
      </c>
      <c r="C629" t="s">
        <v>15011</v>
      </c>
      <c r="D629" t="s">
        <v>12532</v>
      </c>
      <c r="E629" t="s">
        <v>781</v>
      </c>
      <c r="F629">
        <v>12</v>
      </c>
      <c r="G629">
        <v>1</v>
      </c>
      <c r="H629">
        <v>1</v>
      </c>
      <c r="I629">
        <v>12</v>
      </c>
      <c r="J629">
        <v>452</v>
      </c>
      <c r="K629">
        <f t="shared" si="28"/>
        <v>37</v>
      </c>
      <c r="L629">
        <f t="shared" si="29"/>
        <v>8</v>
      </c>
      <c r="M629">
        <v>452</v>
      </c>
      <c r="N629" s="3">
        <v>46722</v>
      </c>
      <c r="O629" s="6">
        <v>0</v>
      </c>
    </row>
    <row r="630" spans="1:15">
      <c r="A630" t="str">
        <f t="shared" si="27"/>
        <v>GW Magicgro G6 48 X 248 ml1/1/10000</v>
      </c>
      <c r="B630" t="s">
        <v>10449</v>
      </c>
      <c r="C630" t="s">
        <v>15012</v>
      </c>
      <c r="D630" t="s">
        <v>12533</v>
      </c>
      <c r="E630" t="s">
        <v>783</v>
      </c>
      <c r="F630">
        <v>48</v>
      </c>
      <c r="G630">
        <v>1</v>
      </c>
      <c r="H630">
        <v>1</v>
      </c>
      <c r="I630">
        <v>48</v>
      </c>
      <c r="J630">
        <v>1117</v>
      </c>
      <c r="K630">
        <f t="shared" si="28"/>
        <v>23</v>
      </c>
      <c r="L630">
        <f t="shared" si="29"/>
        <v>13</v>
      </c>
      <c r="M630">
        <v>1117</v>
      </c>
      <c r="N630" s="3" t="s">
        <v>2222</v>
      </c>
      <c r="O630" s="6">
        <v>0</v>
      </c>
    </row>
    <row r="631" spans="1:15">
      <c r="A631" t="str">
        <f t="shared" si="27"/>
        <v>GW Sanilan 12 X 998 ml1/1/10000</v>
      </c>
      <c r="B631" t="s">
        <v>10450</v>
      </c>
      <c r="C631" t="s">
        <v>15013</v>
      </c>
      <c r="D631" t="s">
        <v>12534</v>
      </c>
      <c r="E631" t="s">
        <v>784</v>
      </c>
      <c r="F631">
        <v>12</v>
      </c>
      <c r="G631">
        <v>1</v>
      </c>
      <c r="H631">
        <v>1</v>
      </c>
      <c r="I631">
        <v>12</v>
      </c>
      <c r="J631">
        <v>21</v>
      </c>
      <c r="K631">
        <f t="shared" si="28"/>
        <v>1</v>
      </c>
      <c r="L631">
        <f t="shared" si="29"/>
        <v>9</v>
      </c>
      <c r="M631">
        <v>21</v>
      </c>
      <c r="N631" s="3" t="s">
        <v>2222</v>
      </c>
      <c r="O631" s="6">
        <v>0</v>
      </c>
    </row>
    <row r="632" spans="1:15">
      <c r="A632" t="str">
        <f t="shared" si="27"/>
        <v>GW Vit B1+B6 100 X 100 ml1/1/10000</v>
      </c>
      <c r="B632" t="s">
        <v>10451</v>
      </c>
      <c r="C632" t="s">
        <v>15014</v>
      </c>
      <c r="D632" t="s">
        <v>12535</v>
      </c>
      <c r="E632" t="s">
        <v>785</v>
      </c>
      <c r="F632">
        <v>100</v>
      </c>
      <c r="G632">
        <v>1</v>
      </c>
      <c r="H632">
        <v>1</v>
      </c>
      <c r="I632">
        <v>100</v>
      </c>
      <c r="J632">
        <v>90</v>
      </c>
      <c r="K632">
        <f t="shared" si="28"/>
        <v>0</v>
      </c>
      <c r="L632">
        <f t="shared" si="29"/>
        <v>90</v>
      </c>
      <c r="M632">
        <v>90</v>
      </c>
      <c r="N632" s="3" t="s">
        <v>2222</v>
      </c>
      <c r="O632" s="6">
        <v>0</v>
      </c>
    </row>
    <row r="633" spans="1:15">
      <c r="A633" t="str">
        <f t="shared" si="27"/>
        <v>GW Vit B1+B6 12 X 1 ltr469970</v>
      </c>
      <c r="B633" t="s">
        <v>10452</v>
      </c>
      <c r="C633" t="s">
        <v>15015</v>
      </c>
      <c r="D633" t="s">
        <v>12536</v>
      </c>
      <c r="E633" t="s">
        <v>786</v>
      </c>
      <c r="F633">
        <v>12</v>
      </c>
      <c r="G633">
        <v>1</v>
      </c>
      <c r="H633">
        <v>1</v>
      </c>
      <c r="I633">
        <v>12</v>
      </c>
      <c r="J633">
        <v>8</v>
      </c>
      <c r="K633">
        <f t="shared" si="28"/>
        <v>0</v>
      </c>
      <c r="L633">
        <f t="shared" si="29"/>
        <v>8</v>
      </c>
      <c r="M633">
        <v>8</v>
      </c>
      <c r="N633" s="3">
        <v>46997</v>
      </c>
      <c r="O633" s="6">
        <v>0</v>
      </c>
    </row>
    <row r="634" spans="1:15">
      <c r="A634" t="str">
        <f t="shared" si="27"/>
        <v>GW Vit B1+B6 12 X 1 ltr471780</v>
      </c>
      <c r="B634" t="s">
        <v>10453</v>
      </c>
      <c r="C634" t="s">
        <v>15016</v>
      </c>
      <c r="D634" t="s">
        <v>12537</v>
      </c>
      <c r="E634" t="s">
        <v>786</v>
      </c>
      <c r="F634">
        <v>12</v>
      </c>
      <c r="G634">
        <v>1</v>
      </c>
      <c r="H634">
        <v>1</v>
      </c>
      <c r="I634">
        <v>12</v>
      </c>
      <c r="J634">
        <v>132</v>
      </c>
      <c r="K634">
        <f t="shared" si="28"/>
        <v>11</v>
      </c>
      <c r="L634">
        <f t="shared" si="29"/>
        <v>0</v>
      </c>
      <c r="M634">
        <v>132</v>
      </c>
      <c r="N634" s="3">
        <v>47178</v>
      </c>
      <c r="O634" s="6">
        <v>0</v>
      </c>
    </row>
    <row r="635" spans="1:15">
      <c r="A635" t="str">
        <f t="shared" si="27"/>
        <v>GW Vit B1+B6 24 X 500 ml469970</v>
      </c>
      <c r="B635" t="s">
        <v>10454</v>
      </c>
      <c r="C635" t="s">
        <v>15017</v>
      </c>
      <c r="D635" t="s">
        <v>12538</v>
      </c>
      <c r="E635" t="s">
        <v>789</v>
      </c>
      <c r="F635">
        <v>24</v>
      </c>
      <c r="G635">
        <v>1</v>
      </c>
      <c r="H635">
        <v>1</v>
      </c>
      <c r="I635">
        <v>24</v>
      </c>
      <c r="J635">
        <v>120</v>
      </c>
      <c r="K635">
        <f t="shared" si="28"/>
        <v>5</v>
      </c>
      <c r="L635">
        <f t="shared" si="29"/>
        <v>0</v>
      </c>
      <c r="M635">
        <v>120</v>
      </c>
      <c r="N635" s="3">
        <v>46997</v>
      </c>
      <c r="O635" s="6">
        <v>0</v>
      </c>
    </row>
    <row r="636" spans="1:15">
      <c r="A636" t="str">
        <f t="shared" si="27"/>
        <v>GW Vit B1+B6 24 X 500 ml468130</v>
      </c>
      <c r="B636" t="s">
        <v>10455</v>
      </c>
      <c r="C636" t="s">
        <v>15018</v>
      </c>
      <c r="D636" t="s">
        <v>12539</v>
      </c>
      <c r="E636" t="s">
        <v>789</v>
      </c>
      <c r="F636">
        <v>24</v>
      </c>
      <c r="G636">
        <v>1</v>
      </c>
      <c r="H636">
        <v>1</v>
      </c>
      <c r="I636">
        <v>24</v>
      </c>
      <c r="J636">
        <v>793</v>
      </c>
      <c r="K636">
        <f t="shared" si="28"/>
        <v>33</v>
      </c>
      <c r="L636">
        <f t="shared" si="29"/>
        <v>1</v>
      </c>
      <c r="M636">
        <v>793</v>
      </c>
      <c r="N636" s="3">
        <v>46813</v>
      </c>
      <c r="O636" s="6">
        <v>0</v>
      </c>
    </row>
    <row r="637" spans="1:15">
      <c r="A637" t="str">
        <f t="shared" si="27"/>
        <v>GW Vit B1+B6 50 X 250 ml472700</v>
      </c>
      <c r="B637" t="s">
        <v>10456</v>
      </c>
      <c r="C637" t="s">
        <v>15019</v>
      </c>
      <c r="D637" t="s">
        <v>12540</v>
      </c>
      <c r="E637" t="s">
        <v>792</v>
      </c>
      <c r="F637">
        <v>50</v>
      </c>
      <c r="G637">
        <v>1</v>
      </c>
      <c r="H637">
        <v>1</v>
      </c>
      <c r="I637">
        <v>50</v>
      </c>
      <c r="J637">
        <v>2505</v>
      </c>
      <c r="K637">
        <f t="shared" si="28"/>
        <v>50</v>
      </c>
      <c r="L637">
        <f t="shared" si="29"/>
        <v>5</v>
      </c>
      <c r="M637">
        <v>2505</v>
      </c>
      <c r="N637" s="3">
        <v>47270</v>
      </c>
      <c r="O637" s="6">
        <v>0</v>
      </c>
    </row>
    <row r="638" spans="1:15">
      <c r="A638" t="str">
        <f t="shared" si="27"/>
        <v>Handstarter Star Metal1/1/10000</v>
      </c>
      <c r="B638" t="s">
        <v>10457</v>
      </c>
      <c r="C638" t="s">
        <v>15020</v>
      </c>
      <c r="D638" t="s">
        <v>12541</v>
      </c>
      <c r="E638" t="s">
        <v>794</v>
      </c>
      <c r="F638">
        <v>1</v>
      </c>
      <c r="G638">
        <v>1</v>
      </c>
      <c r="H638">
        <v>1</v>
      </c>
      <c r="I638">
        <v>1</v>
      </c>
      <c r="J638">
        <v>11</v>
      </c>
      <c r="K638">
        <f t="shared" si="28"/>
        <v>11</v>
      </c>
      <c r="L638">
        <f t="shared" si="29"/>
        <v>0</v>
      </c>
      <c r="M638">
        <v>11</v>
      </c>
      <c r="N638" s="3" t="s">
        <v>2222</v>
      </c>
      <c r="O638" s="6">
        <v>0</v>
      </c>
    </row>
    <row r="639" spans="1:15">
      <c r="A639" t="str">
        <f t="shared" si="27"/>
        <v>Handuk BASF1/1/10000</v>
      </c>
      <c r="B639" t="s">
        <v>10458</v>
      </c>
      <c r="C639" t="s">
        <v>15021</v>
      </c>
      <c r="D639" t="s">
        <v>12542</v>
      </c>
      <c r="E639" t="s">
        <v>795</v>
      </c>
      <c r="F639">
        <v>1</v>
      </c>
      <c r="G639">
        <v>1</v>
      </c>
      <c r="H639">
        <v>1</v>
      </c>
      <c r="I639">
        <v>1</v>
      </c>
      <c r="J639">
        <v>95</v>
      </c>
      <c r="K639">
        <f t="shared" si="28"/>
        <v>95</v>
      </c>
      <c r="L639">
        <f t="shared" si="29"/>
        <v>0</v>
      </c>
      <c r="M639">
        <v>95</v>
      </c>
      <c r="N639" s="3" t="s">
        <v>2222</v>
      </c>
      <c r="O639" s="6">
        <v>0</v>
      </c>
    </row>
    <row r="640" spans="1:15">
      <c r="A640" t="str">
        <f t="shared" si="27"/>
        <v>Hara Garuda 20 X 1 kg472390</v>
      </c>
      <c r="B640" t="s">
        <v>10459</v>
      </c>
      <c r="C640" t="s">
        <v>15022</v>
      </c>
      <c r="D640" t="s">
        <v>12543</v>
      </c>
      <c r="E640" t="s">
        <v>796</v>
      </c>
      <c r="F640">
        <v>20</v>
      </c>
      <c r="G640">
        <v>1</v>
      </c>
      <c r="H640">
        <v>1</v>
      </c>
      <c r="I640">
        <v>20</v>
      </c>
      <c r="J640">
        <v>1158</v>
      </c>
      <c r="K640">
        <f t="shared" si="28"/>
        <v>57</v>
      </c>
      <c r="L640">
        <f t="shared" si="29"/>
        <v>18</v>
      </c>
      <c r="M640">
        <v>1158</v>
      </c>
      <c r="N640" s="3">
        <v>47239</v>
      </c>
      <c r="O640" s="6">
        <v>0</v>
      </c>
    </row>
    <row r="641" spans="1:15">
      <c r="A641" t="str">
        <f t="shared" si="27"/>
        <v>Herole 240 SC 48 X 250 ml465690</v>
      </c>
      <c r="B641" t="s">
        <v>10460</v>
      </c>
      <c r="C641" t="s">
        <v>15023</v>
      </c>
      <c r="D641" t="s">
        <v>12544</v>
      </c>
      <c r="E641" t="s">
        <v>797</v>
      </c>
      <c r="F641">
        <v>48</v>
      </c>
      <c r="G641">
        <v>1</v>
      </c>
      <c r="H641">
        <v>1</v>
      </c>
      <c r="I641">
        <v>48</v>
      </c>
      <c r="J641">
        <v>258</v>
      </c>
      <c r="K641">
        <f t="shared" si="28"/>
        <v>5</v>
      </c>
      <c r="L641">
        <f t="shared" si="29"/>
        <v>18</v>
      </c>
      <c r="M641">
        <v>258</v>
      </c>
      <c r="N641" s="3">
        <v>46569</v>
      </c>
      <c r="O641" s="6">
        <v>0</v>
      </c>
    </row>
    <row r="642" spans="1:15">
      <c r="A642" t="str">
        <f t="shared" si="27"/>
        <v>Herole 240 SC 48 X 250 ml466000</v>
      </c>
      <c r="B642" t="s">
        <v>10461</v>
      </c>
      <c r="C642" t="s">
        <v>15024</v>
      </c>
      <c r="D642" t="s">
        <v>12545</v>
      </c>
      <c r="E642" t="s">
        <v>797</v>
      </c>
      <c r="F642">
        <v>48</v>
      </c>
      <c r="G642">
        <v>1</v>
      </c>
      <c r="H642">
        <v>1</v>
      </c>
      <c r="I642">
        <v>48</v>
      </c>
      <c r="J642">
        <v>1344</v>
      </c>
      <c r="K642">
        <f t="shared" si="28"/>
        <v>28</v>
      </c>
      <c r="L642">
        <f t="shared" si="29"/>
        <v>0</v>
      </c>
      <c r="M642">
        <v>1344</v>
      </c>
      <c r="N642" s="3">
        <v>46600</v>
      </c>
      <c r="O642" s="6">
        <v>0</v>
      </c>
    </row>
    <row r="643" spans="1:15">
      <c r="A643" t="str">
        <f t="shared" ref="A643:A706" si="30">E643&amp;N643&amp;O643</f>
        <v>Herozeb 80 WP 10 X 1 kg455050</v>
      </c>
      <c r="B643" t="s">
        <v>10462</v>
      </c>
      <c r="C643" t="s">
        <v>15025</v>
      </c>
      <c r="D643" t="s">
        <v>12546</v>
      </c>
      <c r="E643" t="s">
        <v>800</v>
      </c>
      <c r="F643">
        <v>10</v>
      </c>
      <c r="G643">
        <v>1</v>
      </c>
      <c r="H643">
        <v>1</v>
      </c>
      <c r="I643">
        <v>10</v>
      </c>
      <c r="J643">
        <v>241</v>
      </c>
      <c r="K643">
        <f t="shared" ref="K643:K706" si="31">ROUNDDOWN(J643/I643,0)</f>
        <v>24</v>
      </c>
      <c r="L643">
        <f t="shared" ref="L643:L706" si="32">J643-K643*I643</f>
        <v>1</v>
      </c>
      <c r="M643">
        <v>241</v>
      </c>
      <c r="N643" s="3">
        <v>45505</v>
      </c>
      <c r="O643" s="6">
        <v>0</v>
      </c>
    </row>
    <row r="644" spans="1:15">
      <c r="A644" t="str">
        <f t="shared" si="30"/>
        <v>Hexacar 100 SC 100 X 100 ml471500</v>
      </c>
      <c r="B644" t="s">
        <v>10463</v>
      </c>
      <c r="C644" t="s">
        <v>15026</v>
      </c>
      <c r="D644" t="s">
        <v>12547</v>
      </c>
      <c r="E644" t="s">
        <v>802</v>
      </c>
      <c r="F644">
        <v>100</v>
      </c>
      <c r="G644">
        <v>1</v>
      </c>
      <c r="H644">
        <v>1</v>
      </c>
      <c r="I644">
        <v>100</v>
      </c>
      <c r="J644">
        <v>300</v>
      </c>
      <c r="K644">
        <f t="shared" si="31"/>
        <v>3</v>
      </c>
      <c r="L644">
        <f t="shared" si="32"/>
        <v>0</v>
      </c>
      <c r="M644">
        <v>300</v>
      </c>
      <c r="N644" s="3">
        <v>47150</v>
      </c>
      <c r="O644" s="6">
        <v>0</v>
      </c>
    </row>
    <row r="645" spans="1:15">
      <c r="A645" t="str">
        <f t="shared" si="30"/>
        <v>Hexacar 100 SC 100 X 100 ml463270</v>
      </c>
      <c r="B645" t="s">
        <v>10464</v>
      </c>
      <c r="C645" t="s">
        <v>15027</v>
      </c>
      <c r="D645" t="s">
        <v>12548</v>
      </c>
      <c r="E645" t="s">
        <v>802</v>
      </c>
      <c r="F645">
        <v>100</v>
      </c>
      <c r="G645">
        <v>1</v>
      </c>
      <c r="H645">
        <v>1</v>
      </c>
      <c r="I645">
        <v>100</v>
      </c>
      <c r="J645">
        <v>1863</v>
      </c>
      <c r="K645">
        <f t="shared" si="31"/>
        <v>18</v>
      </c>
      <c r="L645">
        <f t="shared" si="32"/>
        <v>63</v>
      </c>
      <c r="M645">
        <v>1863</v>
      </c>
      <c r="N645" s="3">
        <v>46327</v>
      </c>
      <c r="O645" s="6">
        <v>0</v>
      </c>
    </row>
    <row r="646" spans="1:15">
      <c r="A646" t="str">
        <f t="shared" si="30"/>
        <v>Hexacar 100 SC 20 X 1 ltr467220</v>
      </c>
      <c r="B646" t="s">
        <v>10465</v>
      </c>
      <c r="C646" t="s">
        <v>15028</v>
      </c>
      <c r="D646" t="s">
        <v>12549</v>
      </c>
      <c r="E646" t="s">
        <v>803</v>
      </c>
      <c r="F646">
        <v>20</v>
      </c>
      <c r="G646">
        <v>1</v>
      </c>
      <c r="H646">
        <v>1</v>
      </c>
      <c r="I646">
        <v>20</v>
      </c>
      <c r="J646">
        <v>4</v>
      </c>
      <c r="K646">
        <f t="shared" si="31"/>
        <v>0</v>
      </c>
      <c r="L646">
        <f t="shared" si="32"/>
        <v>4</v>
      </c>
      <c r="M646">
        <v>4</v>
      </c>
      <c r="N646" s="3">
        <v>46722</v>
      </c>
      <c r="O646" s="6">
        <v>0</v>
      </c>
    </row>
    <row r="647" spans="1:15">
      <c r="A647" t="str">
        <f t="shared" si="30"/>
        <v>Hexacar 100 SC 20 X 1 ltr468740</v>
      </c>
      <c r="B647" t="s">
        <v>10466</v>
      </c>
      <c r="C647" t="s">
        <v>15029</v>
      </c>
      <c r="D647" t="s">
        <v>12550</v>
      </c>
      <c r="E647" t="s">
        <v>803</v>
      </c>
      <c r="F647">
        <v>20</v>
      </c>
      <c r="G647">
        <v>1</v>
      </c>
      <c r="H647">
        <v>1</v>
      </c>
      <c r="I647">
        <v>20</v>
      </c>
      <c r="J647">
        <v>100</v>
      </c>
      <c r="K647">
        <f t="shared" si="31"/>
        <v>5</v>
      </c>
      <c r="L647">
        <f t="shared" si="32"/>
        <v>0</v>
      </c>
      <c r="M647">
        <v>100</v>
      </c>
      <c r="N647" s="3">
        <v>46874</v>
      </c>
      <c r="O647" s="6">
        <v>0</v>
      </c>
    </row>
    <row r="648" spans="1:15">
      <c r="A648" t="str">
        <f t="shared" si="30"/>
        <v>Hexacar 100 SC 20 X 1 ltr471780</v>
      </c>
      <c r="B648" t="s">
        <v>10467</v>
      </c>
      <c r="C648" t="s">
        <v>15030</v>
      </c>
      <c r="D648" t="s">
        <v>12551</v>
      </c>
      <c r="E648" t="s">
        <v>803</v>
      </c>
      <c r="F648">
        <v>20</v>
      </c>
      <c r="G648">
        <v>1</v>
      </c>
      <c r="H648">
        <v>1</v>
      </c>
      <c r="I648">
        <v>20</v>
      </c>
      <c r="J648">
        <v>500</v>
      </c>
      <c r="K648">
        <f t="shared" si="31"/>
        <v>25</v>
      </c>
      <c r="L648">
        <f t="shared" si="32"/>
        <v>0</v>
      </c>
      <c r="M648">
        <v>500</v>
      </c>
      <c r="N648" s="3">
        <v>47178</v>
      </c>
      <c r="O648" s="6">
        <v>0</v>
      </c>
    </row>
    <row r="649" spans="1:15">
      <c r="A649" t="str">
        <f t="shared" si="30"/>
        <v>Hexacar 100 SC 25 X 500 ml470580</v>
      </c>
      <c r="B649" t="s">
        <v>10468</v>
      </c>
      <c r="C649" t="s">
        <v>15031</v>
      </c>
      <c r="D649" t="s">
        <v>12552</v>
      </c>
      <c r="E649" t="s">
        <v>804</v>
      </c>
      <c r="F649">
        <v>25</v>
      </c>
      <c r="G649">
        <v>1</v>
      </c>
      <c r="H649">
        <v>1</v>
      </c>
      <c r="I649">
        <v>25</v>
      </c>
      <c r="J649">
        <v>750</v>
      </c>
      <c r="K649">
        <f t="shared" si="31"/>
        <v>30</v>
      </c>
      <c r="L649">
        <f t="shared" si="32"/>
        <v>0</v>
      </c>
      <c r="M649">
        <v>750</v>
      </c>
      <c r="N649" s="3">
        <v>47058</v>
      </c>
      <c r="O649" s="6">
        <v>0</v>
      </c>
    </row>
    <row r="650" spans="1:15">
      <c r="A650" t="str">
        <f t="shared" si="30"/>
        <v>Hexacar 100 SC 40 X 250 ml468440</v>
      </c>
      <c r="B650" t="s">
        <v>10469</v>
      </c>
      <c r="C650" t="s">
        <v>15032</v>
      </c>
      <c r="D650" t="s">
        <v>12553</v>
      </c>
      <c r="E650" t="s">
        <v>805</v>
      </c>
      <c r="F650">
        <v>40</v>
      </c>
      <c r="G650">
        <v>1</v>
      </c>
      <c r="H650">
        <v>1</v>
      </c>
      <c r="I650">
        <v>40</v>
      </c>
      <c r="J650">
        <v>2</v>
      </c>
      <c r="K650">
        <f t="shared" si="31"/>
        <v>0</v>
      </c>
      <c r="L650">
        <f t="shared" si="32"/>
        <v>2</v>
      </c>
      <c r="M650">
        <v>2</v>
      </c>
      <c r="N650" s="3">
        <v>46844</v>
      </c>
      <c r="O650" s="6">
        <v>0</v>
      </c>
    </row>
    <row r="651" spans="1:15">
      <c r="A651" t="str">
        <f t="shared" si="30"/>
        <v>Hexacar 100 SC 40 X 250 ml471780</v>
      </c>
      <c r="B651" t="s">
        <v>10470</v>
      </c>
      <c r="C651" t="s">
        <v>15033</v>
      </c>
      <c r="D651" t="s">
        <v>12554</v>
      </c>
      <c r="E651" t="s">
        <v>805</v>
      </c>
      <c r="F651">
        <v>40</v>
      </c>
      <c r="G651">
        <v>1</v>
      </c>
      <c r="H651">
        <v>1</v>
      </c>
      <c r="I651">
        <v>40</v>
      </c>
      <c r="J651">
        <v>240</v>
      </c>
      <c r="K651">
        <f t="shared" si="31"/>
        <v>6</v>
      </c>
      <c r="L651">
        <f t="shared" si="32"/>
        <v>0</v>
      </c>
      <c r="M651">
        <v>240</v>
      </c>
      <c r="N651" s="3">
        <v>47178</v>
      </c>
      <c r="O651" s="6">
        <v>0</v>
      </c>
    </row>
    <row r="652" spans="1:15">
      <c r="A652" t="str">
        <f t="shared" si="30"/>
        <v>Hexacar 100 SC 40 X 250 ml470270</v>
      </c>
      <c r="B652" t="s">
        <v>10471</v>
      </c>
      <c r="C652" t="s">
        <v>15034</v>
      </c>
      <c r="D652" t="s">
        <v>12555</v>
      </c>
      <c r="E652" t="s">
        <v>805</v>
      </c>
      <c r="F652">
        <v>40</v>
      </c>
      <c r="G652">
        <v>1</v>
      </c>
      <c r="H652">
        <v>1</v>
      </c>
      <c r="I652">
        <v>40</v>
      </c>
      <c r="J652">
        <v>640</v>
      </c>
      <c r="K652">
        <f t="shared" si="31"/>
        <v>16</v>
      </c>
      <c r="L652">
        <f t="shared" si="32"/>
        <v>0</v>
      </c>
      <c r="M652">
        <v>640</v>
      </c>
      <c r="N652" s="3">
        <v>47027</v>
      </c>
      <c r="O652" s="6">
        <v>0</v>
      </c>
    </row>
    <row r="653" spans="1:15">
      <c r="A653" t="str">
        <f t="shared" si="30"/>
        <v>Hexacar 100 SC 40 X 250 ml471500</v>
      </c>
      <c r="B653" t="s">
        <v>10472</v>
      </c>
      <c r="C653" t="s">
        <v>15035</v>
      </c>
      <c r="D653" t="s">
        <v>12556</v>
      </c>
      <c r="E653" t="s">
        <v>805</v>
      </c>
      <c r="F653">
        <v>40</v>
      </c>
      <c r="G653">
        <v>1</v>
      </c>
      <c r="H653">
        <v>1</v>
      </c>
      <c r="I653">
        <v>40</v>
      </c>
      <c r="J653">
        <v>1760</v>
      </c>
      <c r="K653">
        <f t="shared" si="31"/>
        <v>44</v>
      </c>
      <c r="L653">
        <f t="shared" si="32"/>
        <v>0</v>
      </c>
      <c r="M653">
        <v>1760</v>
      </c>
      <c r="N653" s="3">
        <v>47150</v>
      </c>
      <c r="O653" s="6">
        <v>0</v>
      </c>
    </row>
    <row r="654" spans="1:15">
      <c r="A654" t="str">
        <f t="shared" si="30"/>
        <v>Hexagold 75 WP 25 X 400 gr467220</v>
      </c>
      <c r="B654" t="s">
        <v>10473</v>
      </c>
      <c r="C654" t="s">
        <v>15036</v>
      </c>
      <c r="D654" t="s">
        <v>12557</v>
      </c>
      <c r="E654" t="s">
        <v>806</v>
      </c>
      <c r="F654">
        <v>25</v>
      </c>
      <c r="G654">
        <v>1</v>
      </c>
      <c r="H654">
        <v>1</v>
      </c>
      <c r="I654">
        <v>25</v>
      </c>
      <c r="J654">
        <v>18</v>
      </c>
      <c r="K654">
        <f t="shared" si="31"/>
        <v>0</v>
      </c>
      <c r="L654">
        <f t="shared" si="32"/>
        <v>18</v>
      </c>
      <c r="M654">
        <v>18</v>
      </c>
      <c r="N654" s="3">
        <v>46722</v>
      </c>
      <c r="O654" s="6">
        <v>0</v>
      </c>
    </row>
    <row r="655" spans="1:15">
      <c r="A655" t="str">
        <f t="shared" si="30"/>
        <v>Hexagold 75 WP 25 X 400 gr467530</v>
      </c>
      <c r="B655" t="s">
        <v>10474</v>
      </c>
      <c r="C655" t="s">
        <v>15037</v>
      </c>
      <c r="D655" t="s">
        <v>12558</v>
      </c>
      <c r="E655" t="s">
        <v>806</v>
      </c>
      <c r="F655">
        <v>25</v>
      </c>
      <c r="G655">
        <v>1</v>
      </c>
      <c r="H655">
        <v>1</v>
      </c>
      <c r="I655">
        <v>25</v>
      </c>
      <c r="J655">
        <v>200</v>
      </c>
      <c r="K655">
        <f t="shared" si="31"/>
        <v>8</v>
      </c>
      <c r="L655">
        <f t="shared" si="32"/>
        <v>0</v>
      </c>
      <c r="M655">
        <v>200</v>
      </c>
      <c r="N655" s="3">
        <v>46753</v>
      </c>
      <c r="O655" s="6">
        <v>0</v>
      </c>
    </row>
    <row r="656" spans="1:15">
      <c r="A656" t="str">
        <f t="shared" si="30"/>
        <v>Hexagold 75 WP 50 X 100 gr466920</v>
      </c>
      <c r="B656" t="s">
        <v>10475</v>
      </c>
      <c r="C656" t="s">
        <v>15038</v>
      </c>
      <c r="D656" t="s">
        <v>12559</v>
      </c>
      <c r="E656" t="s">
        <v>807</v>
      </c>
      <c r="F656">
        <v>50</v>
      </c>
      <c r="G656">
        <v>1</v>
      </c>
      <c r="H656">
        <v>1</v>
      </c>
      <c r="I656">
        <v>50</v>
      </c>
      <c r="J656">
        <v>285</v>
      </c>
      <c r="K656">
        <f t="shared" si="31"/>
        <v>5</v>
      </c>
      <c r="L656">
        <f t="shared" si="32"/>
        <v>35</v>
      </c>
      <c r="M656">
        <v>285</v>
      </c>
      <c r="N656" s="3">
        <v>46692</v>
      </c>
      <c r="O656" s="6">
        <v>0</v>
      </c>
    </row>
    <row r="657" spans="1:15">
      <c r="A657" t="str">
        <f t="shared" si="30"/>
        <v>Hidrofur 3 G 10 X 2 kg460820</v>
      </c>
      <c r="B657" t="s">
        <v>10476</v>
      </c>
      <c r="C657" t="s">
        <v>15039</v>
      </c>
      <c r="D657" t="s">
        <v>12560</v>
      </c>
      <c r="E657" t="s">
        <v>808</v>
      </c>
      <c r="F657">
        <v>10</v>
      </c>
      <c r="G657">
        <v>1</v>
      </c>
      <c r="H657">
        <v>1</v>
      </c>
      <c r="I657">
        <v>10</v>
      </c>
      <c r="J657">
        <v>1</v>
      </c>
      <c r="K657">
        <f t="shared" si="31"/>
        <v>0</v>
      </c>
      <c r="L657">
        <f t="shared" si="32"/>
        <v>1</v>
      </c>
      <c r="M657">
        <v>1</v>
      </c>
      <c r="N657" s="3">
        <v>46082</v>
      </c>
      <c r="O657" s="6">
        <v>0</v>
      </c>
    </row>
    <row r="658" spans="1:15">
      <c r="A658" t="str">
        <f t="shared" si="30"/>
        <v>Hidrofur 3 G 10 X 2 kg468130</v>
      </c>
      <c r="B658" t="s">
        <v>10477</v>
      </c>
      <c r="C658" t="s">
        <v>15040</v>
      </c>
      <c r="D658" t="s">
        <v>12561</v>
      </c>
      <c r="E658" t="s">
        <v>808</v>
      </c>
      <c r="F658">
        <v>10</v>
      </c>
      <c r="G658">
        <v>1</v>
      </c>
      <c r="H658">
        <v>1</v>
      </c>
      <c r="I658">
        <v>10</v>
      </c>
      <c r="J658">
        <v>510</v>
      </c>
      <c r="K658">
        <f t="shared" si="31"/>
        <v>51</v>
      </c>
      <c r="L658">
        <f t="shared" si="32"/>
        <v>0</v>
      </c>
      <c r="M658">
        <v>510</v>
      </c>
      <c r="N658" s="3">
        <v>46813</v>
      </c>
      <c r="O658" s="6">
        <v>0</v>
      </c>
    </row>
    <row r="659" spans="1:15">
      <c r="A659" t="str">
        <f t="shared" si="30"/>
        <v>Hijau 250 ml452000</v>
      </c>
      <c r="B659" t="s">
        <v>10478</v>
      </c>
      <c r="C659" t="s">
        <v>15041</v>
      </c>
      <c r="D659" t="s">
        <v>12562</v>
      </c>
      <c r="E659" t="s">
        <v>809</v>
      </c>
      <c r="F659">
        <v>1</v>
      </c>
      <c r="G659">
        <v>1</v>
      </c>
      <c r="H659">
        <v>1</v>
      </c>
      <c r="I659">
        <v>1</v>
      </c>
      <c r="J659">
        <v>4</v>
      </c>
      <c r="K659">
        <f t="shared" si="31"/>
        <v>4</v>
      </c>
      <c r="L659">
        <f t="shared" si="32"/>
        <v>0</v>
      </c>
      <c r="M659">
        <v>4</v>
      </c>
      <c r="N659" s="3">
        <v>45200</v>
      </c>
      <c r="O659" s="6">
        <v>0</v>
      </c>
    </row>
    <row r="660" spans="1:15">
      <c r="A660" t="str">
        <f t="shared" si="30"/>
        <v>HiPro Series 13-7-10 Powder 250 gr (Sample)1/1/10000</v>
      </c>
      <c r="B660" t="s">
        <v>10479</v>
      </c>
      <c r="C660" t="s">
        <v>15042</v>
      </c>
      <c r="D660" t="s">
        <v>12563</v>
      </c>
      <c r="E660" t="s">
        <v>810</v>
      </c>
      <c r="F660">
        <v>1</v>
      </c>
      <c r="G660">
        <v>1</v>
      </c>
      <c r="H660">
        <v>1</v>
      </c>
      <c r="I660">
        <v>1</v>
      </c>
      <c r="J660">
        <v>8</v>
      </c>
      <c r="K660">
        <f t="shared" si="31"/>
        <v>8</v>
      </c>
      <c r="L660">
        <f t="shared" si="32"/>
        <v>0</v>
      </c>
      <c r="M660">
        <v>8</v>
      </c>
      <c r="N660" s="3" t="s">
        <v>2222</v>
      </c>
      <c r="O660" s="6">
        <v>0</v>
      </c>
    </row>
    <row r="661" spans="1:15">
      <c r="A661" t="str">
        <f t="shared" si="30"/>
        <v>HiPro Series 13-7-10 Powder 40 X 250 gr460230</v>
      </c>
      <c r="B661" t="s">
        <v>10480</v>
      </c>
      <c r="C661" t="s">
        <v>15043</v>
      </c>
      <c r="D661" t="s">
        <v>12564</v>
      </c>
      <c r="E661" t="s">
        <v>811</v>
      </c>
      <c r="F661">
        <v>40</v>
      </c>
      <c r="G661">
        <v>1</v>
      </c>
      <c r="H661">
        <v>1</v>
      </c>
      <c r="I661">
        <v>40</v>
      </c>
      <c r="J661">
        <v>2800</v>
      </c>
      <c r="K661">
        <f t="shared" si="31"/>
        <v>70</v>
      </c>
      <c r="L661">
        <f t="shared" si="32"/>
        <v>0</v>
      </c>
      <c r="M661">
        <v>2800</v>
      </c>
      <c r="N661" s="3">
        <v>46023</v>
      </c>
      <c r="O661" s="6">
        <v>0</v>
      </c>
    </row>
    <row r="662" spans="1:15">
      <c r="A662" t="str">
        <f t="shared" si="30"/>
        <v>Hokky 30 EC 16 X 1 ltr470580</v>
      </c>
      <c r="B662" t="s">
        <v>10481</v>
      </c>
      <c r="C662" t="s">
        <v>15044</v>
      </c>
      <c r="D662" t="s">
        <v>12565</v>
      </c>
      <c r="E662" t="s">
        <v>812</v>
      </c>
      <c r="F662">
        <v>16</v>
      </c>
      <c r="G662">
        <v>1</v>
      </c>
      <c r="H662">
        <v>1</v>
      </c>
      <c r="I662">
        <v>16</v>
      </c>
      <c r="J662">
        <v>128</v>
      </c>
      <c r="K662">
        <f t="shared" si="31"/>
        <v>8</v>
      </c>
      <c r="L662">
        <f t="shared" si="32"/>
        <v>0</v>
      </c>
      <c r="M662">
        <v>128</v>
      </c>
      <c r="N662" s="3">
        <v>47058</v>
      </c>
      <c r="O662" s="6">
        <v>0</v>
      </c>
    </row>
    <row r="663" spans="1:15">
      <c r="A663" t="str">
        <f t="shared" si="30"/>
        <v>Hokky 30 EC 16 X 1 ltr471780</v>
      </c>
      <c r="B663" t="s">
        <v>10482</v>
      </c>
      <c r="C663" t="s">
        <v>15045</v>
      </c>
      <c r="D663" t="s">
        <v>12566</v>
      </c>
      <c r="E663" t="s">
        <v>812</v>
      </c>
      <c r="F663">
        <v>16</v>
      </c>
      <c r="G663">
        <v>1</v>
      </c>
      <c r="H663">
        <v>1</v>
      </c>
      <c r="I663">
        <v>16</v>
      </c>
      <c r="J663">
        <v>800</v>
      </c>
      <c r="K663">
        <f t="shared" si="31"/>
        <v>50</v>
      </c>
      <c r="L663">
        <f t="shared" si="32"/>
        <v>0</v>
      </c>
      <c r="M663">
        <v>800</v>
      </c>
      <c r="N663" s="3">
        <v>47178</v>
      </c>
      <c r="O663" s="6">
        <v>0</v>
      </c>
    </row>
    <row r="664" spans="1:15">
      <c r="A664" t="str">
        <f t="shared" si="30"/>
        <v>Hokky 30 EC 20 X 400 ml468740</v>
      </c>
      <c r="B664" t="s">
        <v>10483</v>
      </c>
      <c r="C664" t="s">
        <v>15046</v>
      </c>
      <c r="D664" t="s">
        <v>12567</v>
      </c>
      <c r="E664" t="s">
        <v>813</v>
      </c>
      <c r="F664">
        <v>20</v>
      </c>
      <c r="G664">
        <v>1</v>
      </c>
      <c r="H664">
        <v>1</v>
      </c>
      <c r="I664">
        <v>20</v>
      </c>
      <c r="J664">
        <v>430</v>
      </c>
      <c r="K664">
        <f t="shared" si="31"/>
        <v>21</v>
      </c>
      <c r="L664">
        <f t="shared" si="32"/>
        <v>10</v>
      </c>
      <c r="M664">
        <v>430</v>
      </c>
      <c r="N664" s="3">
        <v>46874</v>
      </c>
      <c r="O664" s="6">
        <v>0</v>
      </c>
    </row>
    <row r="665" spans="1:15">
      <c r="A665" t="str">
        <f t="shared" si="30"/>
        <v>Hokky 30 EC 20 X 400 ml469660</v>
      </c>
      <c r="B665" t="s">
        <v>10484</v>
      </c>
      <c r="C665" t="s">
        <v>15047</v>
      </c>
      <c r="D665" t="s">
        <v>12568</v>
      </c>
      <c r="E665" t="s">
        <v>813</v>
      </c>
      <c r="F665">
        <v>20</v>
      </c>
      <c r="G665">
        <v>1</v>
      </c>
      <c r="H665">
        <v>1</v>
      </c>
      <c r="I665">
        <v>20</v>
      </c>
      <c r="J665">
        <v>1000</v>
      </c>
      <c r="K665">
        <f t="shared" si="31"/>
        <v>50</v>
      </c>
      <c r="L665">
        <f t="shared" si="32"/>
        <v>0</v>
      </c>
      <c r="M665">
        <v>1000</v>
      </c>
      <c r="N665" s="3">
        <v>46966</v>
      </c>
      <c r="O665" s="6">
        <v>0</v>
      </c>
    </row>
    <row r="666" spans="1:15">
      <c r="A666" t="str">
        <f t="shared" si="30"/>
        <v>Hotshot 200 EC 15 X 1 ltr466610</v>
      </c>
      <c r="B666" t="s">
        <v>10485</v>
      </c>
      <c r="C666" t="s">
        <v>15048</v>
      </c>
      <c r="D666" t="s">
        <v>12569</v>
      </c>
      <c r="E666" t="s">
        <v>814</v>
      </c>
      <c r="F666">
        <v>15</v>
      </c>
      <c r="G666">
        <v>1</v>
      </c>
      <c r="H666">
        <v>1</v>
      </c>
      <c r="I666">
        <v>15</v>
      </c>
      <c r="J666">
        <v>340</v>
      </c>
      <c r="K666">
        <f t="shared" si="31"/>
        <v>22</v>
      </c>
      <c r="L666">
        <f t="shared" si="32"/>
        <v>10</v>
      </c>
      <c r="M666">
        <v>340</v>
      </c>
      <c r="N666" s="3">
        <v>46661</v>
      </c>
      <c r="O666" s="6">
        <v>0</v>
      </c>
    </row>
    <row r="667" spans="1:15">
      <c r="A667" t="str">
        <f t="shared" si="30"/>
        <v>Hotshot 200 EC 20 X 500 ml456580</v>
      </c>
      <c r="B667" t="s">
        <v>10486</v>
      </c>
      <c r="C667" t="s">
        <v>15049</v>
      </c>
      <c r="D667" t="s">
        <v>12570</v>
      </c>
      <c r="E667" t="s">
        <v>816</v>
      </c>
      <c r="F667">
        <v>20</v>
      </c>
      <c r="G667">
        <v>1</v>
      </c>
      <c r="H667">
        <v>1</v>
      </c>
      <c r="I667">
        <v>20</v>
      </c>
      <c r="J667">
        <v>60</v>
      </c>
      <c r="K667">
        <f t="shared" si="31"/>
        <v>3</v>
      </c>
      <c r="L667">
        <f t="shared" si="32"/>
        <v>0</v>
      </c>
      <c r="M667">
        <v>60</v>
      </c>
      <c r="N667" s="3">
        <v>45658</v>
      </c>
      <c r="O667" s="6">
        <v>0</v>
      </c>
    </row>
    <row r="668" spans="1:15">
      <c r="A668" t="str">
        <f t="shared" si="30"/>
        <v>Hotshot 200 EC 20 X 500 ml463880</v>
      </c>
      <c r="B668" t="s">
        <v>10487</v>
      </c>
      <c r="C668" t="s">
        <v>15050</v>
      </c>
      <c r="D668" t="s">
        <v>12571</v>
      </c>
      <c r="E668" t="s">
        <v>816</v>
      </c>
      <c r="F668">
        <v>20</v>
      </c>
      <c r="G668">
        <v>1</v>
      </c>
      <c r="H668">
        <v>1</v>
      </c>
      <c r="I668">
        <v>20</v>
      </c>
      <c r="J668">
        <v>400</v>
      </c>
      <c r="K668">
        <f t="shared" si="31"/>
        <v>20</v>
      </c>
      <c r="L668">
        <f t="shared" si="32"/>
        <v>0</v>
      </c>
      <c r="M668">
        <v>400</v>
      </c>
      <c r="N668" s="3">
        <v>46388</v>
      </c>
      <c r="O668" s="6">
        <v>0</v>
      </c>
    </row>
    <row r="669" spans="1:15">
      <c r="A669" t="str">
        <f t="shared" si="30"/>
        <v>Huang Mi F8 Note 3/16GB1/1/10000</v>
      </c>
      <c r="B669" t="s">
        <v>10488</v>
      </c>
      <c r="C669" t="s">
        <v>15051</v>
      </c>
      <c r="D669" t="s">
        <v>12572</v>
      </c>
      <c r="E669" t="s">
        <v>818</v>
      </c>
      <c r="F669">
        <v>1</v>
      </c>
      <c r="G669">
        <v>1</v>
      </c>
      <c r="H669">
        <v>1</v>
      </c>
      <c r="I669">
        <v>1</v>
      </c>
      <c r="J669">
        <v>5</v>
      </c>
      <c r="K669">
        <f t="shared" si="31"/>
        <v>5</v>
      </c>
      <c r="L669">
        <f t="shared" si="32"/>
        <v>0</v>
      </c>
      <c r="M669">
        <v>5</v>
      </c>
      <c r="N669" s="3" t="s">
        <v>2222</v>
      </c>
      <c r="O669" s="6">
        <v>0</v>
      </c>
    </row>
    <row r="670" spans="1:15">
      <c r="A670" t="str">
        <f t="shared" si="30"/>
        <v>Ijokabe 12 X 25 X 20 ml466920</v>
      </c>
      <c r="B670" t="s">
        <v>10489</v>
      </c>
      <c r="C670" t="s">
        <v>15052</v>
      </c>
      <c r="D670" t="s">
        <v>12573</v>
      </c>
      <c r="E670" t="s">
        <v>819</v>
      </c>
      <c r="F670">
        <v>12</v>
      </c>
      <c r="G670">
        <v>25</v>
      </c>
      <c r="H670">
        <v>1</v>
      </c>
      <c r="I670">
        <v>300</v>
      </c>
      <c r="J670">
        <v>20973</v>
      </c>
      <c r="K670">
        <f t="shared" si="31"/>
        <v>69</v>
      </c>
      <c r="L670">
        <f t="shared" si="32"/>
        <v>273</v>
      </c>
      <c r="M670">
        <v>20973</v>
      </c>
      <c r="N670" s="3">
        <v>46692</v>
      </c>
      <c r="O670" s="6">
        <v>0</v>
      </c>
    </row>
    <row r="671" spans="1:15">
      <c r="A671" t="str">
        <f t="shared" si="30"/>
        <v>Impetus 10-6-25 + MgO + B2O3 50 kg471190</v>
      </c>
      <c r="B671" t="s">
        <v>10490</v>
      </c>
      <c r="C671" t="s">
        <v>15053</v>
      </c>
      <c r="D671" t="s">
        <v>12574</v>
      </c>
      <c r="E671" t="s">
        <v>821</v>
      </c>
      <c r="F671">
        <v>1</v>
      </c>
      <c r="G671">
        <v>1</v>
      </c>
      <c r="H671">
        <v>1</v>
      </c>
      <c r="I671">
        <v>1</v>
      </c>
      <c r="J671">
        <v>219</v>
      </c>
      <c r="K671">
        <f t="shared" si="31"/>
        <v>219</v>
      </c>
      <c r="L671">
        <f t="shared" si="32"/>
        <v>0</v>
      </c>
      <c r="M671">
        <v>219</v>
      </c>
      <c r="N671" s="3">
        <v>47119</v>
      </c>
      <c r="O671" s="6">
        <v>0</v>
      </c>
    </row>
    <row r="672" spans="1:15">
      <c r="A672" t="str">
        <f t="shared" si="30"/>
        <v>Imuno 20 x 250 ml1/1/10000</v>
      </c>
      <c r="B672" t="s">
        <v>10491</v>
      </c>
      <c r="C672" t="s">
        <v>15054</v>
      </c>
      <c r="D672" t="s">
        <v>12575</v>
      </c>
      <c r="E672" t="s">
        <v>822</v>
      </c>
      <c r="F672">
        <v>1</v>
      </c>
      <c r="G672">
        <v>1</v>
      </c>
      <c r="H672">
        <v>1</v>
      </c>
      <c r="I672">
        <v>1</v>
      </c>
      <c r="J672">
        <v>13</v>
      </c>
      <c r="K672">
        <f t="shared" si="31"/>
        <v>13</v>
      </c>
      <c r="L672">
        <f t="shared" si="32"/>
        <v>0</v>
      </c>
      <c r="M672">
        <v>13</v>
      </c>
      <c r="N672" s="3" t="s">
        <v>2222</v>
      </c>
      <c r="O672" s="6">
        <v>0</v>
      </c>
    </row>
    <row r="673" spans="1:15">
      <c r="A673" t="str">
        <f t="shared" si="30"/>
        <v>Indoban 250 EC 20 X 250 ml469050</v>
      </c>
      <c r="B673" t="s">
        <v>10492</v>
      </c>
      <c r="C673" t="s">
        <v>15055</v>
      </c>
      <c r="D673" t="s">
        <v>12576</v>
      </c>
      <c r="E673" t="s">
        <v>823</v>
      </c>
      <c r="F673">
        <v>20</v>
      </c>
      <c r="G673">
        <v>1</v>
      </c>
      <c r="H673">
        <v>1</v>
      </c>
      <c r="I673">
        <v>20</v>
      </c>
      <c r="J673">
        <v>480</v>
      </c>
      <c r="K673">
        <f t="shared" si="31"/>
        <v>24</v>
      </c>
      <c r="L673">
        <f t="shared" si="32"/>
        <v>0</v>
      </c>
      <c r="M673">
        <v>480</v>
      </c>
      <c r="N673" s="3">
        <v>46905</v>
      </c>
      <c r="O673" s="6">
        <v>0</v>
      </c>
    </row>
    <row r="674" spans="1:15">
      <c r="A674" t="str">
        <f t="shared" si="30"/>
        <v>Infinito 687.5 SC 24 X 250 ml461740</v>
      </c>
      <c r="B674" t="s">
        <v>10493</v>
      </c>
      <c r="C674" t="s">
        <v>15056</v>
      </c>
      <c r="D674" t="s">
        <v>12577</v>
      </c>
      <c r="E674" t="s">
        <v>824</v>
      </c>
      <c r="F674">
        <v>24</v>
      </c>
      <c r="G674">
        <v>1</v>
      </c>
      <c r="H674">
        <v>1</v>
      </c>
      <c r="I674">
        <v>24</v>
      </c>
      <c r="J674">
        <v>432</v>
      </c>
      <c r="K674">
        <f t="shared" si="31"/>
        <v>18</v>
      </c>
      <c r="L674">
        <f t="shared" si="32"/>
        <v>0</v>
      </c>
      <c r="M674">
        <v>432</v>
      </c>
      <c r="N674" s="3">
        <v>46174</v>
      </c>
      <c r="O674" s="6">
        <v>0</v>
      </c>
    </row>
    <row r="675" spans="1:15">
      <c r="A675" t="str">
        <f t="shared" si="30"/>
        <v>Insure Max 510 FS 100 X 25 ml464780</v>
      </c>
      <c r="B675" t="s">
        <v>10494</v>
      </c>
      <c r="C675" t="s">
        <v>15057</v>
      </c>
      <c r="D675" t="s">
        <v>12578</v>
      </c>
      <c r="E675" t="s">
        <v>825</v>
      </c>
      <c r="F675">
        <v>100</v>
      </c>
      <c r="G675">
        <v>1</v>
      </c>
      <c r="H675">
        <v>1</v>
      </c>
      <c r="I675">
        <v>100</v>
      </c>
      <c r="J675">
        <v>100</v>
      </c>
      <c r="K675">
        <f t="shared" si="31"/>
        <v>1</v>
      </c>
      <c r="L675">
        <f t="shared" si="32"/>
        <v>0</v>
      </c>
      <c r="M675">
        <v>100</v>
      </c>
      <c r="N675" s="3">
        <v>46478</v>
      </c>
      <c r="O675" s="6">
        <v>0</v>
      </c>
    </row>
    <row r="676" spans="1:15">
      <c r="A676" t="str">
        <f t="shared" si="30"/>
        <v>Insure Max 510 FS 100 X 25 ml464470</v>
      </c>
      <c r="B676" t="s">
        <v>10495</v>
      </c>
      <c r="C676" t="s">
        <v>15058</v>
      </c>
      <c r="D676" t="s">
        <v>12579</v>
      </c>
      <c r="E676" t="s">
        <v>825</v>
      </c>
      <c r="F676">
        <v>100</v>
      </c>
      <c r="G676">
        <v>1</v>
      </c>
      <c r="H676">
        <v>1</v>
      </c>
      <c r="I676">
        <v>100</v>
      </c>
      <c r="J676">
        <v>47900</v>
      </c>
      <c r="K676">
        <f t="shared" si="31"/>
        <v>479</v>
      </c>
      <c r="L676">
        <f t="shared" si="32"/>
        <v>0</v>
      </c>
      <c r="M676">
        <v>47900</v>
      </c>
      <c r="N676" s="3">
        <v>46447</v>
      </c>
      <c r="O676" s="6">
        <v>0</v>
      </c>
    </row>
    <row r="677" spans="1:15">
      <c r="A677" t="str">
        <f t="shared" si="30"/>
        <v>Insure Max 510 FS 100 X 25 ml464190</v>
      </c>
      <c r="B677" t="s">
        <v>10496</v>
      </c>
      <c r="C677" t="s">
        <v>15059</v>
      </c>
      <c r="D677" t="s">
        <v>12580</v>
      </c>
      <c r="E677" t="s">
        <v>825</v>
      </c>
      <c r="F677">
        <v>100</v>
      </c>
      <c r="G677">
        <v>1</v>
      </c>
      <c r="H677">
        <v>1</v>
      </c>
      <c r="I677">
        <v>100</v>
      </c>
      <c r="J677">
        <v>78294</v>
      </c>
      <c r="K677">
        <f t="shared" si="31"/>
        <v>782</v>
      </c>
      <c r="L677">
        <f t="shared" si="32"/>
        <v>94</v>
      </c>
      <c r="M677">
        <v>78294</v>
      </c>
      <c r="N677" s="3">
        <v>46419</v>
      </c>
      <c r="O677" s="6">
        <v>0</v>
      </c>
    </row>
    <row r="678" spans="1:15">
      <c r="A678" t="str">
        <f t="shared" si="30"/>
        <v>Inter Spreading 50 X 20 X 5 gr1/1/10000</v>
      </c>
      <c r="B678" t="s">
        <v>10497</v>
      </c>
      <c r="C678" t="s">
        <v>15060</v>
      </c>
      <c r="D678" t="s">
        <v>12581</v>
      </c>
      <c r="E678" t="s">
        <v>833</v>
      </c>
      <c r="F678">
        <v>50</v>
      </c>
      <c r="G678">
        <v>20</v>
      </c>
      <c r="H678">
        <v>1</v>
      </c>
      <c r="I678">
        <v>1000</v>
      </c>
      <c r="J678">
        <v>10098</v>
      </c>
      <c r="K678">
        <f t="shared" si="31"/>
        <v>10</v>
      </c>
      <c r="L678">
        <f t="shared" si="32"/>
        <v>98</v>
      </c>
      <c r="M678">
        <v>10098</v>
      </c>
      <c r="N678" s="3" t="s">
        <v>2222</v>
      </c>
      <c r="O678" s="6">
        <v>0</v>
      </c>
    </row>
    <row r="679" spans="1:15">
      <c r="A679" t="str">
        <f t="shared" si="30"/>
        <v>Intergan 550 SC 20 X 500 ml466610</v>
      </c>
      <c r="B679" t="s">
        <v>10498</v>
      </c>
      <c r="C679" t="s">
        <v>15061</v>
      </c>
      <c r="D679" t="s">
        <v>12582</v>
      </c>
      <c r="E679" t="s">
        <v>834</v>
      </c>
      <c r="F679">
        <v>20</v>
      </c>
      <c r="G679">
        <v>1</v>
      </c>
      <c r="H679">
        <v>1</v>
      </c>
      <c r="I679">
        <v>20</v>
      </c>
      <c r="J679">
        <v>10</v>
      </c>
      <c r="K679">
        <f t="shared" si="31"/>
        <v>0</v>
      </c>
      <c r="L679">
        <f t="shared" si="32"/>
        <v>10</v>
      </c>
      <c r="M679">
        <v>10</v>
      </c>
      <c r="N679" s="3">
        <v>46661</v>
      </c>
      <c r="O679" s="6">
        <v>0</v>
      </c>
    </row>
    <row r="680" spans="1:15">
      <c r="A680" t="str">
        <f t="shared" si="30"/>
        <v>Intergan 550 SC 20 X 500 ml464780</v>
      </c>
      <c r="B680" t="s">
        <v>10499</v>
      </c>
      <c r="C680" t="s">
        <v>15062</v>
      </c>
      <c r="D680" t="s">
        <v>12583</v>
      </c>
      <c r="E680" t="s">
        <v>834</v>
      </c>
      <c r="F680">
        <v>20</v>
      </c>
      <c r="G680">
        <v>1</v>
      </c>
      <c r="H680">
        <v>1</v>
      </c>
      <c r="I680">
        <v>20</v>
      </c>
      <c r="J680">
        <v>250</v>
      </c>
      <c r="K680">
        <f t="shared" si="31"/>
        <v>12</v>
      </c>
      <c r="L680">
        <f t="shared" si="32"/>
        <v>10</v>
      </c>
      <c r="M680">
        <v>250</v>
      </c>
      <c r="N680" s="3">
        <v>46478</v>
      </c>
      <c r="O680" s="6">
        <v>0</v>
      </c>
    </row>
    <row r="681" spans="1:15">
      <c r="A681" t="str">
        <f t="shared" si="30"/>
        <v>Isi Staples Alat Pengikat Tanaman Yoto 10 X 1 pack1/1/10000</v>
      </c>
      <c r="B681" t="s">
        <v>10500</v>
      </c>
      <c r="C681" t="s">
        <v>15063</v>
      </c>
      <c r="D681" t="s">
        <v>12584</v>
      </c>
      <c r="E681" t="s">
        <v>835</v>
      </c>
      <c r="F681">
        <v>10</v>
      </c>
      <c r="G681">
        <v>1</v>
      </c>
      <c r="H681">
        <v>1</v>
      </c>
      <c r="I681">
        <v>10</v>
      </c>
      <c r="J681">
        <v>267</v>
      </c>
      <c r="K681">
        <f t="shared" si="31"/>
        <v>26</v>
      </c>
      <c r="L681">
        <f t="shared" si="32"/>
        <v>7</v>
      </c>
      <c r="M681">
        <v>267</v>
      </c>
      <c r="N681" s="3" t="s">
        <v>2222</v>
      </c>
      <c r="O681" s="6">
        <v>0</v>
      </c>
    </row>
    <row r="682" spans="1:15">
      <c r="A682" t="str">
        <f t="shared" si="30"/>
        <v>Jaket Bactocyn1/1/10000</v>
      </c>
      <c r="B682" t="s">
        <v>10501</v>
      </c>
      <c r="C682" t="s">
        <v>15064</v>
      </c>
      <c r="D682" t="s">
        <v>12585</v>
      </c>
      <c r="E682" t="s">
        <v>1026</v>
      </c>
      <c r="F682">
        <v>1</v>
      </c>
      <c r="G682">
        <v>1</v>
      </c>
      <c r="H682">
        <v>1</v>
      </c>
      <c r="I682">
        <v>1</v>
      </c>
      <c r="J682">
        <v>18</v>
      </c>
      <c r="K682">
        <f t="shared" si="31"/>
        <v>18</v>
      </c>
      <c r="L682">
        <f t="shared" si="32"/>
        <v>0</v>
      </c>
      <c r="M682">
        <v>18</v>
      </c>
      <c r="N682" s="3" t="s">
        <v>2222</v>
      </c>
      <c r="O682" s="6">
        <v>0</v>
      </c>
    </row>
    <row r="683" spans="1:15">
      <c r="A683" t="str">
        <f t="shared" si="30"/>
        <v>Jaket Java Karlos1/1/10000</v>
      </c>
      <c r="B683" t="s">
        <v>10502</v>
      </c>
      <c r="C683" t="s">
        <v>15065</v>
      </c>
      <c r="D683" t="s">
        <v>12586</v>
      </c>
      <c r="E683" t="s">
        <v>1027</v>
      </c>
      <c r="F683">
        <v>1</v>
      </c>
      <c r="G683">
        <v>1</v>
      </c>
      <c r="H683">
        <v>1</v>
      </c>
      <c r="I683">
        <v>1</v>
      </c>
      <c r="J683">
        <v>27</v>
      </c>
      <c r="K683">
        <f t="shared" si="31"/>
        <v>27</v>
      </c>
      <c r="L683">
        <f t="shared" si="32"/>
        <v>0</v>
      </c>
      <c r="M683">
        <v>27</v>
      </c>
      <c r="N683" s="3" t="s">
        <v>2222</v>
      </c>
      <c r="O683" s="6">
        <v>0</v>
      </c>
    </row>
    <row r="684" spans="1:15">
      <c r="A684" t="str">
        <f t="shared" si="30"/>
        <v>Jaket JJM ( Sortie )1/1/10000</v>
      </c>
      <c r="B684" t="s">
        <v>10503</v>
      </c>
      <c r="C684" t="s">
        <v>15066</v>
      </c>
      <c r="D684" t="s">
        <v>12587</v>
      </c>
      <c r="E684" t="s">
        <v>1028</v>
      </c>
      <c r="F684">
        <v>1</v>
      </c>
      <c r="G684">
        <v>1</v>
      </c>
      <c r="H684">
        <v>1</v>
      </c>
      <c r="I684">
        <v>1</v>
      </c>
      <c r="J684">
        <v>151</v>
      </c>
      <c r="K684">
        <f t="shared" si="31"/>
        <v>151</v>
      </c>
      <c r="L684">
        <f t="shared" si="32"/>
        <v>0</v>
      </c>
      <c r="M684">
        <v>151</v>
      </c>
      <c r="N684" s="3" t="s">
        <v>2222</v>
      </c>
      <c r="O684" s="6">
        <v>0</v>
      </c>
    </row>
    <row r="685" spans="1:15">
      <c r="A685" t="str">
        <f t="shared" si="30"/>
        <v>Jaket Shadow1/1/10000</v>
      </c>
      <c r="B685" t="s">
        <v>10504</v>
      </c>
      <c r="C685" t="s">
        <v>15067</v>
      </c>
      <c r="D685" t="s">
        <v>12588</v>
      </c>
      <c r="E685" t="s">
        <v>1029</v>
      </c>
      <c r="F685">
        <v>1</v>
      </c>
      <c r="G685">
        <v>1</v>
      </c>
      <c r="H685">
        <v>1</v>
      </c>
      <c r="I685">
        <v>1</v>
      </c>
      <c r="J685">
        <v>5</v>
      </c>
      <c r="K685">
        <f t="shared" si="31"/>
        <v>5</v>
      </c>
      <c r="L685">
        <f t="shared" si="32"/>
        <v>0</v>
      </c>
      <c r="M685">
        <v>5</v>
      </c>
      <c r="N685" s="3" t="s">
        <v>2222</v>
      </c>
      <c r="O685" s="6">
        <v>0</v>
      </c>
    </row>
    <row r="686" spans="1:15">
      <c r="A686" t="str">
        <f t="shared" si="30"/>
        <v>Jaket Syngenta ( Cruiser )1/1/10000</v>
      </c>
      <c r="B686" t="s">
        <v>10505</v>
      </c>
      <c r="C686" t="s">
        <v>15068</v>
      </c>
      <c r="D686" t="s">
        <v>12589</v>
      </c>
      <c r="E686" t="s">
        <v>1030</v>
      </c>
      <c r="F686">
        <v>1</v>
      </c>
      <c r="G686">
        <v>1</v>
      </c>
      <c r="H686">
        <v>1</v>
      </c>
      <c r="I686">
        <v>1</v>
      </c>
      <c r="J686">
        <v>204</v>
      </c>
      <c r="K686">
        <f t="shared" si="31"/>
        <v>204</v>
      </c>
      <c r="L686">
        <f t="shared" si="32"/>
        <v>0</v>
      </c>
      <c r="M686">
        <v>204</v>
      </c>
      <c r="N686" s="3" t="s">
        <v>2222</v>
      </c>
      <c r="O686" s="6">
        <v>0</v>
      </c>
    </row>
    <row r="687" spans="1:15">
      <c r="A687" t="str">
        <f t="shared" si="30"/>
        <v>Jam Dinding Bactocyn1/1/10000</v>
      </c>
      <c r="B687" t="s">
        <v>10506</v>
      </c>
      <c r="C687" t="s">
        <v>15069</v>
      </c>
      <c r="D687" t="s">
        <v>12590</v>
      </c>
      <c r="E687" t="s">
        <v>1031</v>
      </c>
      <c r="F687">
        <v>1</v>
      </c>
      <c r="G687">
        <v>1</v>
      </c>
      <c r="H687">
        <v>1</v>
      </c>
      <c r="I687">
        <v>1</v>
      </c>
      <c r="J687">
        <v>538</v>
      </c>
      <c r="K687">
        <f t="shared" si="31"/>
        <v>538</v>
      </c>
      <c r="L687">
        <f t="shared" si="32"/>
        <v>0</v>
      </c>
      <c r="M687">
        <v>538</v>
      </c>
      <c r="N687" s="3" t="s">
        <v>2222</v>
      </c>
      <c r="O687" s="6">
        <v>0</v>
      </c>
    </row>
    <row r="688" spans="1:15">
      <c r="A688" t="str">
        <f t="shared" si="30"/>
        <v>Jam Dinding Mirado MQ 8505 SL1/1/10000</v>
      </c>
      <c r="B688" t="s">
        <v>10507</v>
      </c>
      <c r="C688" t="s">
        <v>15070</v>
      </c>
      <c r="D688" t="s">
        <v>12591</v>
      </c>
      <c r="E688" t="s">
        <v>1032</v>
      </c>
      <c r="F688">
        <v>1</v>
      </c>
      <c r="G688">
        <v>1</v>
      </c>
      <c r="H688">
        <v>1</v>
      </c>
      <c r="I688">
        <v>1</v>
      </c>
      <c r="J688">
        <v>241</v>
      </c>
      <c r="K688">
        <f t="shared" si="31"/>
        <v>241</v>
      </c>
      <c r="L688">
        <f t="shared" si="32"/>
        <v>0</v>
      </c>
      <c r="M688">
        <v>241</v>
      </c>
      <c r="N688" s="3" t="s">
        <v>2222</v>
      </c>
      <c r="O688" s="6">
        <v>0</v>
      </c>
    </row>
    <row r="689" spans="1:15">
      <c r="A689" t="str">
        <f t="shared" si="30"/>
        <v>Jam Dinding Mirado MQ 8867 SL1/1/10000</v>
      </c>
      <c r="B689" t="s">
        <v>10508</v>
      </c>
      <c r="C689" t="s">
        <v>15071</v>
      </c>
      <c r="D689" t="s">
        <v>12592</v>
      </c>
      <c r="E689" t="s">
        <v>1033</v>
      </c>
      <c r="F689">
        <v>1</v>
      </c>
      <c r="G689">
        <v>1</v>
      </c>
      <c r="H689">
        <v>1</v>
      </c>
      <c r="I689">
        <v>1</v>
      </c>
      <c r="J689">
        <v>36</v>
      </c>
      <c r="K689">
        <f t="shared" si="31"/>
        <v>36</v>
      </c>
      <c r="L689">
        <f t="shared" si="32"/>
        <v>0</v>
      </c>
      <c r="M689">
        <v>36</v>
      </c>
      <c r="N689" s="3" t="s">
        <v>2222</v>
      </c>
      <c r="O689" s="6">
        <v>0</v>
      </c>
    </row>
    <row r="690" spans="1:15">
      <c r="A690" t="str">
        <f t="shared" si="30"/>
        <v>Jam Dinding Mirado MQ 8877 SL1/1/10000</v>
      </c>
      <c r="B690" t="s">
        <v>10509</v>
      </c>
      <c r="C690" t="s">
        <v>15072</v>
      </c>
      <c r="D690" t="s">
        <v>12593</v>
      </c>
      <c r="E690" t="s">
        <v>1034</v>
      </c>
      <c r="F690">
        <v>1</v>
      </c>
      <c r="G690">
        <v>1</v>
      </c>
      <c r="H690">
        <v>1</v>
      </c>
      <c r="I690">
        <v>1</v>
      </c>
      <c r="J690">
        <v>70</v>
      </c>
      <c r="K690">
        <f t="shared" si="31"/>
        <v>70</v>
      </c>
      <c r="L690">
        <f t="shared" si="32"/>
        <v>0</v>
      </c>
      <c r="M690">
        <v>70</v>
      </c>
      <c r="N690" s="3" t="s">
        <v>2222</v>
      </c>
      <c r="O690" s="6">
        <v>0</v>
      </c>
    </row>
    <row r="691" spans="1:15">
      <c r="A691" t="str">
        <f t="shared" si="30"/>
        <v>Jam Dinding Syngenta1/1/10000</v>
      </c>
      <c r="B691" t="s">
        <v>10510</v>
      </c>
      <c r="C691" t="s">
        <v>15073</v>
      </c>
      <c r="D691" t="s">
        <v>12594</v>
      </c>
      <c r="E691" t="s">
        <v>1035</v>
      </c>
      <c r="F691">
        <v>1</v>
      </c>
      <c r="G691">
        <v>1</v>
      </c>
      <c r="H691">
        <v>1</v>
      </c>
      <c r="I691">
        <v>1</v>
      </c>
      <c r="J691">
        <v>3</v>
      </c>
      <c r="K691">
        <f t="shared" si="31"/>
        <v>3</v>
      </c>
      <c r="L691">
        <f t="shared" si="32"/>
        <v>0</v>
      </c>
      <c r="M691">
        <v>3</v>
      </c>
      <c r="N691" s="3" t="s">
        <v>2222</v>
      </c>
      <c r="O691" s="6">
        <v>0</v>
      </c>
    </row>
    <row r="692" spans="1:15">
      <c r="A692" t="str">
        <f t="shared" si="30"/>
        <v>Japra 400 SE 30 X 500 ml (M2U)+2 pcs Borer462960</v>
      </c>
      <c r="B692" t="s">
        <v>10511</v>
      </c>
      <c r="C692" t="s">
        <v>15074</v>
      </c>
      <c r="D692" t="s">
        <v>12595</v>
      </c>
      <c r="E692" t="s">
        <v>1036</v>
      </c>
      <c r="F692">
        <v>30</v>
      </c>
      <c r="G692">
        <v>1</v>
      </c>
      <c r="H692">
        <v>1</v>
      </c>
      <c r="I692">
        <v>30</v>
      </c>
      <c r="J692">
        <v>360</v>
      </c>
      <c r="K692">
        <f t="shared" si="31"/>
        <v>12</v>
      </c>
      <c r="L692">
        <f t="shared" si="32"/>
        <v>0</v>
      </c>
      <c r="M692">
        <v>360</v>
      </c>
      <c r="N692" s="3">
        <v>46296</v>
      </c>
      <c r="O692" s="6">
        <v>0</v>
      </c>
    </row>
    <row r="693" spans="1:15">
      <c r="A693" t="str">
        <f t="shared" si="30"/>
        <v>Japra 400 SE 30 X 500 ml (M2U)+2 pcs Borer462350</v>
      </c>
      <c r="B693" t="s">
        <v>10512</v>
      </c>
      <c r="C693" t="s">
        <v>15075</v>
      </c>
      <c r="D693" t="s">
        <v>12596</v>
      </c>
      <c r="E693" t="s">
        <v>1036</v>
      </c>
      <c r="F693">
        <v>30</v>
      </c>
      <c r="G693">
        <v>1</v>
      </c>
      <c r="H693">
        <v>1</v>
      </c>
      <c r="I693">
        <v>30</v>
      </c>
      <c r="J693">
        <v>960</v>
      </c>
      <c r="K693">
        <f t="shared" si="31"/>
        <v>32</v>
      </c>
      <c r="L693">
        <f t="shared" si="32"/>
        <v>0</v>
      </c>
      <c r="M693">
        <v>960</v>
      </c>
      <c r="N693" s="3">
        <v>46235</v>
      </c>
      <c r="O693" s="6">
        <v>0</v>
      </c>
    </row>
    <row r="694" spans="1:15">
      <c r="A694" t="str">
        <f t="shared" si="30"/>
        <v>Japra 400 SE 50 X 250 ml (M2U)+1 pcs Borer462040</v>
      </c>
      <c r="B694" t="s">
        <v>10513</v>
      </c>
      <c r="C694" t="s">
        <v>15076</v>
      </c>
      <c r="D694" t="s">
        <v>12597</v>
      </c>
      <c r="E694" t="s">
        <v>1037</v>
      </c>
      <c r="F694">
        <v>50</v>
      </c>
      <c r="G694">
        <v>1</v>
      </c>
      <c r="H694">
        <v>1</v>
      </c>
      <c r="I694">
        <v>50</v>
      </c>
      <c r="J694">
        <v>300</v>
      </c>
      <c r="K694">
        <f t="shared" si="31"/>
        <v>6</v>
      </c>
      <c r="L694">
        <f t="shared" si="32"/>
        <v>0</v>
      </c>
      <c r="M694">
        <v>300</v>
      </c>
      <c r="N694" s="3">
        <v>46204</v>
      </c>
      <c r="O694" s="6">
        <v>0</v>
      </c>
    </row>
    <row r="695" spans="1:15">
      <c r="A695" t="str">
        <f t="shared" si="30"/>
        <v>Japra 400 SE 50 X 250 ml (M2U)+1 pcs Borer462660</v>
      </c>
      <c r="B695" t="s">
        <v>10514</v>
      </c>
      <c r="C695" t="s">
        <v>15077</v>
      </c>
      <c r="D695" t="s">
        <v>12598</v>
      </c>
      <c r="E695" t="s">
        <v>1037</v>
      </c>
      <c r="F695">
        <v>50</v>
      </c>
      <c r="G695">
        <v>1</v>
      </c>
      <c r="H695">
        <v>1</v>
      </c>
      <c r="I695">
        <v>50</v>
      </c>
      <c r="J695">
        <v>700</v>
      </c>
      <c r="K695">
        <f t="shared" si="31"/>
        <v>14</v>
      </c>
      <c r="L695">
        <f t="shared" si="32"/>
        <v>0</v>
      </c>
      <c r="M695">
        <v>700</v>
      </c>
      <c r="N695" s="3">
        <v>46266</v>
      </c>
      <c r="O695" s="6">
        <v>0</v>
      </c>
    </row>
    <row r="696" spans="1:15">
      <c r="A696" t="str">
        <f t="shared" si="30"/>
        <v>Jet Stik Sprayer1/1/10000</v>
      </c>
      <c r="B696" t="s">
        <v>10515</v>
      </c>
      <c r="C696" t="s">
        <v>15078</v>
      </c>
      <c r="D696" t="s">
        <v>12599</v>
      </c>
      <c r="E696" t="s">
        <v>1038</v>
      </c>
      <c r="F696">
        <v>1</v>
      </c>
      <c r="G696">
        <v>1</v>
      </c>
      <c r="H696">
        <v>1</v>
      </c>
      <c r="I696">
        <v>1</v>
      </c>
      <c r="J696">
        <v>8</v>
      </c>
      <c r="K696">
        <f t="shared" si="31"/>
        <v>8</v>
      </c>
      <c r="L696">
        <f t="shared" si="32"/>
        <v>0</v>
      </c>
      <c r="M696">
        <v>8</v>
      </c>
      <c r="N696" s="3" t="s">
        <v>2222</v>
      </c>
      <c r="O696" s="6">
        <v>0</v>
      </c>
    </row>
    <row r="697" spans="1:15">
      <c r="A697" t="str">
        <f t="shared" si="30"/>
        <v>Kaliandra 482 EC 10 X 1 ltr (AGM)467530</v>
      </c>
      <c r="B697" t="s">
        <v>10516</v>
      </c>
      <c r="C697" t="s">
        <v>15079</v>
      </c>
      <c r="D697" t="s">
        <v>12600</v>
      </c>
      <c r="E697" t="s">
        <v>1039</v>
      </c>
      <c r="F697">
        <v>10</v>
      </c>
      <c r="G697">
        <v>1</v>
      </c>
      <c r="H697">
        <v>1</v>
      </c>
      <c r="I697">
        <v>10</v>
      </c>
      <c r="J697">
        <v>1</v>
      </c>
      <c r="K697">
        <f t="shared" si="31"/>
        <v>0</v>
      </c>
      <c r="L697">
        <f t="shared" si="32"/>
        <v>1</v>
      </c>
      <c r="M697">
        <v>1</v>
      </c>
      <c r="N697" s="3">
        <v>46753</v>
      </c>
      <c r="O697" s="6">
        <v>0</v>
      </c>
    </row>
    <row r="698" spans="1:15">
      <c r="A698" t="str">
        <f t="shared" si="30"/>
        <v>Kaliandra 482 EC 10 X 1 ltr (AGM)471500</v>
      </c>
      <c r="B698" t="s">
        <v>10517</v>
      </c>
      <c r="C698" t="s">
        <v>15080</v>
      </c>
      <c r="D698" t="s">
        <v>12601</v>
      </c>
      <c r="E698" t="s">
        <v>1039</v>
      </c>
      <c r="F698">
        <v>10</v>
      </c>
      <c r="G698">
        <v>1</v>
      </c>
      <c r="H698">
        <v>1</v>
      </c>
      <c r="I698">
        <v>10</v>
      </c>
      <c r="J698">
        <v>5</v>
      </c>
      <c r="K698">
        <f t="shared" si="31"/>
        <v>0</v>
      </c>
      <c r="L698">
        <f t="shared" si="32"/>
        <v>5</v>
      </c>
      <c r="M698">
        <v>5</v>
      </c>
      <c r="N698" s="3">
        <v>47150</v>
      </c>
      <c r="O698" s="6">
        <v>0</v>
      </c>
    </row>
    <row r="699" spans="1:15">
      <c r="A699" t="str">
        <f t="shared" si="30"/>
        <v>Kaliandra 482 EC 10 X 1 ltr (AGM)471780</v>
      </c>
      <c r="B699" t="s">
        <v>10518</v>
      </c>
      <c r="C699" t="s">
        <v>15081</v>
      </c>
      <c r="D699" t="s">
        <v>12602</v>
      </c>
      <c r="E699" t="s">
        <v>1039</v>
      </c>
      <c r="F699">
        <v>10</v>
      </c>
      <c r="G699">
        <v>1</v>
      </c>
      <c r="H699">
        <v>1</v>
      </c>
      <c r="I699">
        <v>10</v>
      </c>
      <c r="J699">
        <v>350</v>
      </c>
      <c r="K699">
        <f t="shared" si="31"/>
        <v>35</v>
      </c>
      <c r="L699">
        <f t="shared" si="32"/>
        <v>0</v>
      </c>
      <c r="M699">
        <v>350</v>
      </c>
      <c r="N699" s="3">
        <v>47178</v>
      </c>
      <c r="O699" s="6">
        <v>0</v>
      </c>
    </row>
    <row r="700" spans="1:15">
      <c r="A700" t="str">
        <f t="shared" si="30"/>
        <v>Kaliandra 482 EC 20 X 400 ml (AGM)471500</v>
      </c>
      <c r="B700" t="s">
        <v>10519</v>
      </c>
      <c r="C700" t="s">
        <v>15082</v>
      </c>
      <c r="D700" t="s">
        <v>12603</v>
      </c>
      <c r="E700" t="s">
        <v>1043</v>
      </c>
      <c r="F700">
        <v>20</v>
      </c>
      <c r="G700">
        <v>1</v>
      </c>
      <c r="H700">
        <v>1</v>
      </c>
      <c r="I700">
        <v>20</v>
      </c>
      <c r="J700">
        <v>1</v>
      </c>
      <c r="K700">
        <f t="shared" si="31"/>
        <v>0</v>
      </c>
      <c r="L700">
        <f t="shared" si="32"/>
        <v>1</v>
      </c>
      <c r="M700">
        <v>1</v>
      </c>
      <c r="N700" s="3">
        <v>47150</v>
      </c>
      <c r="O700" s="6">
        <v>0</v>
      </c>
    </row>
    <row r="701" spans="1:15">
      <c r="A701" t="str">
        <f t="shared" si="30"/>
        <v>Kaliandra 482 EC 40 X 200 ml (AGM)469970</v>
      </c>
      <c r="B701" t="s">
        <v>10520</v>
      </c>
      <c r="C701" t="s">
        <v>15083</v>
      </c>
      <c r="D701" t="s">
        <v>12604</v>
      </c>
      <c r="E701" t="s">
        <v>1045</v>
      </c>
      <c r="F701">
        <v>40</v>
      </c>
      <c r="G701">
        <v>1</v>
      </c>
      <c r="H701">
        <v>1</v>
      </c>
      <c r="I701">
        <v>40</v>
      </c>
      <c r="J701">
        <v>14</v>
      </c>
      <c r="K701">
        <f t="shared" si="31"/>
        <v>0</v>
      </c>
      <c r="L701">
        <f t="shared" si="32"/>
        <v>14</v>
      </c>
      <c r="M701">
        <v>14</v>
      </c>
      <c r="N701" s="3">
        <v>46997</v>
      </c>
      <c r="O701" s="6">
        <v>0</v>
      </c>
    </row>
    <row r="702" spans="1:15">
      <c r="A702" t="str">
        <f t="shared" si="30"/>
        <v>Kaliandra 482 EC 40 X 200 ml (AGM)472390</v>
      </c>
      <c r="B702" t="s">
        <v>10521</v>
      </c>
      <c r="C702" t="s">
        <v>15084</v>
      </c>
      <c r="D702" t="s">
        <v>12605</v>
      </c>
      <c r="E702" t="s">
        <v>1045</v>
      </c>
      <c r="F702">
        <v>40</v>
      </c>
      <c r="G702">
        <v>1</v>
      </c>
      <c r="H702">
        <v>1</v>
      </c>
      <c r="I702">
        <v>40</v>
      </c>
      <c r="J702">
        <v>520</v>
      </c>
      <c r="K702">
        <f t="shared" si="31"/>
        <v>13</v>
      </c>
      <c r="L702">
        <f t="shared" si="32"/>
        <v>0</v>
      </c>
      <c r="M702">
        <v>520</v>
      </c>
      <c r="N702" s="3">
        <v>47239</v>
      </c>
      <c r="O702" s="6">
        <v>0</v>
      </c>
    </row>
    <row r="703" spans="1:15">
      <c r="A703" t="str">
        <f t="shared" si="30"/>
        <v>Kaliandra 482 EC 50 X 80 ml (AGM)472390</v>
      </c>
      <c r="B703" t="s">
        <v>10522</v>
      </c>
      <c r="C703" t="s">
        <v>15085</v>
      </c>
      <c r="D703" t="s">
        <v>12606</v>
      </c>
      <c r="E703" t="s">
        <v>1048</v>
      </c>
      <c r="F703">
        <v>50</v>
      </c>
      <c r="G703">
        <v>1</v>
      </c>
      <c r="H703">
        <v>1</v>
      </c>
      <c r="I703">
        <v>50</v>
      </c>
      <c r="J703">
        <v>7569</v>
      </c>
      <c r="K703">
        <f t="shared" si="31"/>
        <v>151</v>
      </c>
      <c r="L703">
        <f t="shared" si="32"/>
        <v>19</v>
      </c>
      <c r="M703">
        <v>7569</v>
      </c>
      <c r="N703" s="3">
        <v>47239</v>
      </c>
      <c r="O703" s="6">
        <v>0</v>
      </c>
    </row>
    <row r="704" spans="1:15">
      <c r="A704" t="str">
        <f t="shared" si="30"/>
        <v>Kamem1/1/10000</v>
      </c>
      <c r="B704" t="s">
        <v>10523</v>
      </c>
      <c r="C704" t="s">
        <v>15086</v>
      </c>
      <c r="D704" t="s">
        <v>12607</v>
      </c>
      <c r="E704" t="s">
        <v>1050</v>
      </c>
      <c r="F704">
        <v>1</v>
      </c>
      <c r="G704">
        <v>1</v>
      </c>
      <c r="H704">
        <v>1</v>
      </c>
      <c r="I704">
        <v>1</v>
      </c>
      <c r="J704">
        <v>4</v>
      </c>
      <c r="K704">
        <f t="shared" si="31"/>
        <v>4</v>
      </c>
      <c r="L704">
        <f t="shared" si="32"/>
        <v>0</v>
      </c>
      <c r="M704">
        <v>4</v>
      </c>
      <c r="N704" s="3" t="s">
        <v>2222</v>
      </c>
      <c r="O704" s="6">
        <v>0</v>
      </c>
    </row>
    <row r="705" spans="1:15">
      <c r="A705" t="str">
        <f t="shared" si="30"/>
        <v>Kantong Plastik Bening Besar (Sample)1/1/10000</v>
      </c>
      <c r="B705" t="s">
        <v>10524</v>
      </c>
      <c r="C705" t="s">
        <v>15087</v>
      </c>
      <c r="D705" t="s">
        <v>12608</v>
      </c>
      <c r="E705" t="s">
        <v>1055</v>
      </c>
      <c r="F705">
        <v>1</v>
      </c>
      <c r="G705">
        <v>1</v>
      </c>
      <c r="H705">
        <v>1</v>
      </c>
      <c r="I705">
        <v>1</v>
      </c>
      <c r="J705">
        <v>1</v>
      </c>
      <c r="K705">
        <f t="shared" si="31"/>
        <v>1</v>
      </c>
      <c r="L705">
        <f t="shared" si="32"/>
        <v>0</v>
      </c>
      <c r="M705">
        <v>1</v>
      </c>
      <c r="N705" s="3" t="s">
        <v>2222</v>
      </c>
      <c r="O705" s="6">
        <v>0</v>
      </c>
    </row>
    <row r="706" spans="1:15">
      <c r="A706" t="str">
        <f t="shared" si="30"/>
        <v>Kantong Plastik Bening Kecil (Sample)1/1/10000</v>
      </c>
      <c r="B706" t="s">
        <v>10525</v>
      </c>
      <c r="C706" t="s">
        <v>15088</v>
      </c>
      <c r="D706" t="s">
        <v>12609</v>
      </c>
      <c r="E706" t="s">
        <v>1056</v>
      </c>
      <c r="F706">
        <v>1</v>
      </c>
      <c r="G706">
        <v>1</v>
      </c>
      <c r="H706">
        <v>1</v>
      </c>
      <c r="I706">
        <v>1</v>
      </c>
      <c r="J706">
        <v>1</v>
      </c>
      <c r="K706">
        <f t="shared" si="31"/>
        <v>1</v>
      </c>
      <c r="L706">
        <f t="shared" si="32"/>
        <v>0</v>
      </c>
      <c r="M706">
        <v>1</v>
      </c>
      <c r="N706" s="3" t="s">
        <v>2222</v>
      </c>
      <c r="O706" s="6">
        <v>0</v>
      </c>
    </row>
    <row r="707" spans="1:15">
      <c r="A707" t="str">
        <f t="shared" ref="A707:A770" si="33">E707&amp;N707&amp;O707</f>
        <v>Kantong Plastik Hitam Besar (Sample)1/1/10000</v>
      </c>
      <c r="B707" t="s">
        <v>10526</v>
      </c>
      <c r="C707" t="s">
        <v>15089</v>
      </c>
      <c r="D707" t="s">
        <v>12610</v>
      </c>
      <c r="E707" t="s">
        <v>1057</v>
      </c>
      <c r="F707">
        <v>1</v>
      </c>
      <c r="G707">
        <v>1</v>
      </c>
      <c r="H707">
        <v>1</v>
      </c>
      <c r="I707">
        <v>1</v>
      </c>
      <c r="J707">
        <v>1</v>
      </c>
      <c r="K707">
        <f t="shared" ref="K707:K770" si="34">ROUNDDOWN(J707/I707,0)</f>
        <v>1</v>
      </c>
      <c r="L707">
        <f t="shared" ref="L707:L770" si="35">J707-K707*I707</f>
        <v>0</v>
      </c>
      <c r="M707">
        <v>1</v>
      </c>
      <c r="N707" s="3" t="s">
        <v>2222</v>
      </c>
      <c r="O707" s="6">
        <v>0</v>
      </c>
    </row>
    <row r="708" spans="1:15">
      <c r="A708" t="str">
        <f t="shared" si="33"/>
        <v>Kantong Plastik Hitam Kecil (Sample)1/1/10000</v>
      </c>
      <c r="B708" t="s">
        <v>10527</v>
      </c>
      <c r="C708" t="s">
        <v>15090</v>
      </c>
      <c r="D708" t="s">
        <v>12611</v>
      </c>
      <c r="E708" t="s">
        <v>1058</v>
      </c>
      <c r="F708">
        <v>1</v>
      </c>
      <c r="G708">
        <v>1</v>
      </c>
      <c r="H708">
        <v>1</v>
      </c>
      <c r="I708">
        <v>1</v>
      </c>
      <c r="J708">
        <v>1</v>
      </c>
      <c r="K708">
        <f t="shared" si="34"/>
        <v>1</v>
      </c>
      <c r="L708">
        <f t="shared" si="35"/>
        <v>0</v>
      </c>
      <c r="M708">
        <v>1</v>
      </c>
      <c r="N708" s="3" t="s">
        <v>2222</v>
      </c>
      <c r="O708" s="6">
        <v>0</v>
      </c>
    </row>
    <row r="709" spans="1:15">
      <c r="A709" t="str">
        <f t="shared" si="33"/>
        <v>Kantong Plastik Hitam Sedang (Sample)1/1/10000</v>
      </c>
      <c r="B709" t="s">
        <v>10528</v>
      </c>
      <c r="C709" t="s">
        <v>15091</v>
      </c>
      <c r="D709" t="s">
        <v>12612</v>
      </c>
      <c r="E709" t="s">
        <v>1059</v>
      </c>
      <c r="F709">
        <v>1</v>
      </c>
      <c r="G709">
        <v>1</v>
      </c>
      <c r="H709">
        <v>1</v>
      </c>
      <c r="I709">
        <v>1</v>
      </c>
      <c r="J709">
        <v>1</v>
      </c>
      <c r="K709">
        <f t="shared" si="34"/>
        <v>1</v>
      </c>
      <c r="L709">
        <f t="shared" si="35"/>
        <v>0</v>
      </c>
      <c r="M709">
        <v>1</v>
      </c>
      <c r="N709" s="3" t="s">
        <v>2222</v>
      </c>
      <c r="O709" s="6">
        <v>0</v>
      </c>
    </row>
    <row r="710" spans="1:15">
      <c r="A710" t="str">
        <f t="shared" si="33"/>
        <v>Kantong Plastik Kuning Besar (Sample)1/1/10000</v>
      </c>
      <c r="B710" t="s">
        <v>10529</v>
      </c>
      <c r="C710" t="s">
        <v>15092</v>
      </c>
      <c r="D710" t="s">
        <v>12613</v>
      </c>
      <c r="E710" t="s">
        <v>1060</v>
      </c>
      <c r="F710">
        <v>1</v>
      </c>
      <c r="G710">
        <v>1</v>
      </c>
      <c r="H710">
        <v>1</v>
      </c>
      <c r="I710">
        <v>1</v>
      </c>
      <c r="J710">
        <v>2</v>
      </c>
      <c r="K710">
        <f t="shared" si="34"/>
        <v>2</v>
      </c>
      <c r="L710">
        <f t="shared" si="35"/>
        <v>0</v>
      </c>
      <c r="M710">
        <v>2</v>
      </c>
      <c r="N710" s="3" t="s">
        <v>2222</v>
      </c>
      <c r="O710" s="6">
        <v>0</v>
      </c>
    </row>
    <row r="711" spans="1:15">
      <c r="A711" t="str">
        <f t="shared" si="33"/>
        <v>Kaos Amiboost1/1/10000</v>
      </c>
      <c r="B711" t="s">
        <v>10530</v>
      </c>
      <c r="C711" t="s">
        <v>15093</v>
      </c>
      <c r="D711" t="s">
        <v>12614</v>
      </c>
      <c r="E711" t="s">
        <v>1061</v>
      </c>
      <c r="F711">
        <v>1</v>
      </c>
      <c r="G711">
        <v>1</v>
      </c>
      <c r="H711">
        <v>1</v>
      </c>
      <c r="I711">
        <v>1</v>
      </c>
      <c r="J711">
        <v>2793</v>
      </c>
      <c r="K711">
        <f t="shared" si="34"/>
        <v>2793</v>
      </c>
      <c r="L711">
        <f t="shared" si="35"/>
        <v>0</v>
      </c>
      <c r="M711">
        <v>2793</v>
      </c>
      <c r="N711" s="3" t="s">
        <v>2222</v>
      </c>
      <c r="O711" s="6">
        <v>0</v>
      </c>
    </row>
    <row r="712" spans="1:15">
      <c r="A712" t="str">
        <f t="shared" si="33"/>
        <v>Kaos Arma1/1/10000</v>
      </c>
      <c r="B712" t="s">
        <v>10531</v>
      </c>
      <c r="C712" t="s">
        <v>15094</v>
      </c>
      <c r="D712" t="s">
        <v>12615</v>
      </c>
      <c r="E712" t="s">
        <v>1062</v>
      </c>
      <c r="F712">
        <v>1</v>
      </c>
      <c r="G712">
        <v>1</v>
      </c>
      <c r="H712">
        <v>1</v>
      </c>
      <c r="I712">
        <v>1</v>
      </c>
      <c r="J712">
        <v>740</v>
      </c>
      <c r="K712">
        <f t="shared" si="34"/>
        <v>740</v>
      </c>
      <c r="L712">
        <f t="shared" si="35"/>
        <v>0</v>
      </c>
      <c r="M712">
        <v>740</v>
      </c>
      <c r="N712" s="3" t="s">
        <v>2222</v>
      </c>
      <c r="O712" s="6">
        <v>0</v>
      </c>
    </row>
    <row r="713" spans="1:15">
      <c r="A713" t="str">
        <f t="shared" si="33"/>
        <v>Kaos Asetor1/1/10000</v>
      </c>
      <c r="B713" t="s">
        <v>10532</v>
      </c>
      <c r="C713" t="s">
        <v>15095</v>
      </c>
      <c r="D713" t="s">
        <v>12616</v>
      </c>
      <c r="E713" t="s">
        <v>1063</v>
      </c>
      <c r="F713">
        <v>1</v>
      </c>
      <c r="G713">
        <v>1</v>
      </c>
      <c r="H713">
        <v>1</v>
      </c>
      <c r="I713">
        <v>1</v>
      </c>
      <c r="J713">
        <v>850</v>
      </c>
      <c r="K713">
        <f t="shared" si="34"/>
        <v>850</v>
      </c>
      <c r="L713">
        <f t="shared" si="35"/>
        <v>0</v>
      </c>
      <c r="M713">
        <v>850</v>
      </c>
      <c r="N713" s="3" t="s">
        <v>2222</v>
      </c>
      <c r="O713" s="6">
        <v>0</v>
      </c>
    </row>
    <row r="714" spans="1:15">
      <c r="A714" t="str">
        <f t="shared" si="33"/>
        <v>Kaos Atonik1/1/10000</v>
      </c>
      <c r="B714" t="s">
        <v>10533</v>
      </c>
      <c r="C714" t="s">
        <v>15096</v>
      </c>
      <c r="D714" t="s">
        <v>12617</v>
      </c>
      <c r="E714" t="s">
        <v>1064</v>
      </c>
      <c r="F714">
        <v>1</v>
      </c>
      <c r="G714">
        <v>1</v>
      </c>
      <c r="H714">
        <v>1</v>
      </c>
      <c r="I714">
        <v>1</v>
      </c>
      <c r="J714">
        <v>225</v>
      </c>
      <c r="K714">
        <f t="shared" si="34"/>
        <v>225</v>
      </c>
      <c r="L714">
        <f t="shared" si="35"/>
        <v>0</v>
      </c>
      <c r="M714">
        <v>225</v>
      </c>
      <c r="N714" s="3" t="s">
        <v>2222</v>
      </c>
      <c r="O714" s="6">
        <v>0</v>
      </c>
    </row>
    <row r="715" spans="1:15">
      <c r="A715" t="str">
        <f t="shared" si="33"/>
        <v>Kaos Bactocyn Putih/New1/1/10000</v>
      </c>
      <c r="B715" t="s">
        <v>10534</v>
      </c>
      <c r="C715" t="s">
        <v>15097</v>
      </c>
      <c r="D715" t="s">
        <v>12618</v>
      </c>
      <c r="E715" t="s">
        <v>1065</v>
      </c>
      <c r="F715">
        <v>1</v>
      </c>
      <c r="G715">
        <v>1</v>
      </c>
      <c r="H715">
        <v>1</v>
      </c>
      <c r="I715">
        <v>1</v>
      </c>
      <c r="J715">
        <v>379</v>
      </c>
      <c r="K715">
        <f t="shared" si="34"/>
        <v>379</v>
      </c>
      <c r="L715">
        <f t="shared" si="35"/>
        <v>0</v>
      </c>
      <c r="M715">
        <v>379</v>
      </c>
      <c r="N715" s="3" t="s">
        <v>2222</v>
      </c>
      <c r="O715" s="6">
        <v>0</v>
      </c>
    </row>
    <row r="716" spans="1:15">
      <c r="A716" t="str">
        <f t="shared" si="33"/>
        <v>Kaos Bamex1/1/10000</v>
      </c>
      <c r="B716" t="s">
        <v>10535</v>
      </c>
      <c r="C716" t="s">
        <v>15098</v>
      </c>
      <c r="D716" t="s">
        <v>12619</v>
      </c>
      <c r="E716" t="s">
        <v>1066</v>
      </c>
      <c r="F716">
        <v>1</v>
      </c>
      <c r="G716">
        <v>1</v>
      </c>
      <c r="H716">
        <v>1</v>
      </c>
      <c r="I716">
        <v>1</v>
      </c>
      <c r="J716">
        <v>3699</v>
      </c>
      <c r="K716">
        <f t="shared" si="34"/>
        <v>3699</v>
      </c>
      <c r="L716">
        <f t="shared" si="35"/>
        <v>0</v>
      </c>
      <c r="M716">
        <v>3699</v>
      </c>
      <c r="N716" s="3" t="s">
        <v>2222</v>
      </c>
      <c r="O716" s="6">
        <v>0</v>
      </c>
    </row>
    <row r="717" spans="1:15">
      <c r="A717" t="str">
        <f t="shared" si="33"/>
        <v>Kaos Bayer1/1/10000</v>
      </c>
      <c r="B717" t="s">
        <v>10536</v>
      </c>
      <c r="C717" t="s">
        <v>15099</v>
      </c>
      <c r="D717" t="s">
        <v>12620</v>
      </c>
      <c r="E717" t="s">
        <v>1067</v>
      </c>
      <c r="F717">
        <v>1</v>
      </c>
      <c r="G717">
        <v>1</v>
      </c>
      <c r="H717">
        <v>1</v>
      </c>
      <c r="I717">
        <v>1</v>
      </c>
      <c r="J717">
        <v>1213</v>
      </c>
      <c r="K717">
        <f t="shared" si="34"/>
        <v>1213</v>
      </c>
      <c r="L717">
        <f t="shared" si="35"/>
        <v>0</v>
      </c>
      <c r="M717">
        <v>1213</v>
      </c>
      <c r="N717" s="3" t="s">
        <v>2222</v>
      </c>
      <c r="O717" s="6">
        <v>0</v>
      </c>
    </row>
    <row r="718" spans="1:15">
      <c r="A718" t="str">
        <f t="shared" si="33"/>
        <v>Kaos Bencore442150</v>
      </c>
      <c r="B718" t="s">
        <v>10537</v>
      </c>
      <c r="C718" t="s">
        <v>15100</v>
      </c>
      <c r="D718" t="s">
        <v>12621</v>
      </c>
      <c r="E718" t="s">
        <v>1068</v>
      </c>
      <c r="F718">
        <v>1</v>
      </c>
      <c r="G718">
        <v>1</v>
      </c>
      <c r="H718">
        <v>1</v>
      </c>
      <c r="I718">
        <v>1</v>
      </c>
      <c r="J718">
        <v>30</v>
      </c>
      <c r="K718">
        <f t="shared" si="34"/>
        <v>30</v>
      </c>
      <c r="L718">
        <f t="shared" si="35"/>
        <v>0</v>
      </c>
      <c r="M718">
        <v>30</v>
      </c>
      <c r="N718" s="3">
        <v>44215</v>
      </c>
      <c r="O718" s="6">
        <v>0</v>
      </c>
    </row>
    <row r="719" spans="1:15">
      <c r="A719" t="str">
        <f t="shared" si="33"/>
        <v>Kaos Bionik1/1/10000</v>
      </c>
      <c r="B719" t="s">
        <v>10538</v>
      </c>
      <c r="C719" t="s">
        <v>15101</v>
      </c>
      <c r="D719" t="s">
        <v>12622</v>
      </c>
      <c r="E719" t="s">
        <v>1069</v>
      </c>
      <c r="F719">
        <v>1</v>
      </c>
      <c r="G719">
        <v>1</v>
      </c>
      <c r="H719">
        <v>1</v>
      </c>
      <c r="I719">
        <v>1</v>
      </c>
      <c r="J719">
        <v>484</v>
      </c>
      <c r="K719">
        <f t="shared" si="34"/>
        <v>484</v>
      </c>
      <c r="L719">
        <f t="shared" si="35"/>
        <v>0</v>
      </c>
      <c r="M719">
        <v>484</v>
      </c>
      <c r="N719" s="3" t="s">
        <v>2222</v>
      </c>
      <c r="O719" s="6">
        <v>0</v>
      </c>
    </row>
    <row r="720" spans="1:15">
      <c r="A720" t="str">
        <f t="shared" si="33"/>
        <v>Kaos Bisi 99/791/1/10000</v>
      </c>
      <c r="B720" t="s">
        <v>10539</v>
      </c>
      <c r="C720" t="s">
        <v>15102</v>
      </c>
      <c r="D720" t="s">
        <v>12623</v>
      </c>
      <c r="E720" t="s">
        <v>1070</v>
      </c>
      <c r="F720">
        <v>1</v>
      </c>
      <c r="G720">
        <v>1</v>
      </c>
      <c r="H720">
        <v>1</v>
      </c>
      <c r="I720">
        <v>1</v>
      </c>
      <c r="J720">
        <v>2152</v>
      </c>
      <c r="K720">
        <f t="shared" si="34"/>
        <v>2152</v>
      </c>
      <c r="L720">
        <f t="shared" si="35"/>
        <v>0</v>
      </c>
      <c r="M720">
        <v>2152</v>
      </c>
      <c r="N720" s="3" t="s">
        <v>2222</v>
      </c>
      <c r="O720" s="6">
        <v>0</v>
      </c>
    </row>
    <row r="721" spans="1:15">
      <c r="A721" t="str">
        <f t="shared" si="33"/>
        <v>Kaos Bravoxone1/1/10000</v>
      </c>
      <c r="B721" t="s">
        <v>10540</v>
      </c>
      <c r="C721" t="s">
        <v>15103</v>
      </c>
      <c r="D721" t="s">
        <v>12624</v>
      </c>
      <c r="E721" t="s">
        <v>1071</v>
      </c>
      <c r="F721">
        <v>1</v>
      </c>
      <c r="G721">
        <v>1</v>
      </c>
      <c r="H721">
        <v>1</v>
      </c>
      <c r="I721">
        <v>1</v>
      </c>
      <c r="J721">
        <v>135</v>
      </c>
      <c r="K721">
        <f t="shared" si="34"/>
        <v>135</v>
      </c>
      <c r="L721">
        <f t="shared" si="35"/>
        <v>0</v>
      </c>
      <c r="M721">
        <v>135</v>
      </c>
      <c r="N721" s="3" t="s">
        <v>2222</v>
      </c>
      <c r="O721" s="6">
        <v>0</v>
      </c>
    </row>
    <row r="722" spans="1:15">
      <c r="A722" t="str">
        <f t="shared" si="33"/>
        <v>Kaos Cielo1/1/10000</v>
      </c>
      <c r="B722" t="s">
        <v>10541</v>
      </c>
      <c r="C722" t="s">
        <v>15104</v>
      </c>
      <c r="D722" t="s">
        <v>12625</v>
      </c>
      <c r="E722" t="s">
        <v>1072</v>
      </c>
      <c r="F722">
        <v>1</v>
      </c>
      <c r="G722">
        <v>1</v>
      </c>
      <c r="H722">
        <v>1</v>
      </c>
      <c r="I722">
        <v>1</v>
      </c>
      <c r="J722">
        <v>5</v>
      </c>
      <c r="K722">
        <f t="shared" si="34"/>
        <v>5</v>
      </c>
      <c r="L722">
        <f t="shared" si="35"/>
        <v>0</v>
      </c>
      <c r="M722">
        <v>5</v>
      </c>
      <c r="N722" s="3" t="s">
        <v>2222</v>
      </c>
      <c r="O722" s="6">
        <v>0</v>
      </c>
    </row>
    <row r="723" spans="1:15">
      <c r="A723" t="str">
        <f t="shared" si="33"/>
        <v>Kaos Cotton Combed Java Karlos1/1/10000</v>
      </c>
      <c r="B723" t="s">
        <v>10542</v>
      </c>
      <c r="C723" t="s">
        <v>15105</v>
      </c>
      <c r="D723" t="s">
        <v>12626</v>
      </c>
      <c r="E723" t="s">
        <v>1073</v>
      </c>
      <c r="F723">
        <v>1</v>
      </c>
      <c r="G723">
        <v>1</v>
      </c>
      <c r="H723">
        <v>1</v>
      </c>
      <c r="I723">
        <v>1</v>
      </c>
      <c r="J723">
        <v>140</v>
      </c>
      <c r="K723">
        <f t="shared" si="34"/>
        <v>140</v>
      </c>
      <c r="L723">
        <f t="shared" si="35"/>
        <v>0</v>
      </c>
      <c r="M723">
        <v>140</v>
      </c>
      <c r="N723" s="3" t="s">
        <v>2222</v>
      </c>
      <c r="O723" s="6">
        <v>0</v>
      </c>
    </row>
    <row r="724" spans="1:15">
      <c r="A724" t="str">
        <f t="shared" si="33"/>
        <v>Kaos dan Tas Boron &amp; Zinc1/1/10000</v>
      </c>
      <c r="B724" t="s">
        <v>10543</v>
      </c>
      <c r="C724" t="s">
        <v>15106</v>
      </c>
      <c r="D724" t="s">
        <v>12627</v>
      </c>
      <c r="E724" t="s">
        <v>1074</v>
      </c>
      <c r="F724">
        <v>1</v>
      </c>
      <c r="G724">
        <v>1</v>
      </c>
      <c r="H724">
        <v>1</v>
      </c>
      <c r="I724">
        <v>1</v>
      </c>
      <c r="J724">
        <v>100</v>
      </c>
      <c r="K724">
        <f t="shared" si="34"/>
        <v>100</v>
      </c>
      <c r="L724">
        <f t="shared" si="35"/>
        <v>0</v>
      </c>
      <c r="M724">
        <v>100</v>
      </c>
      <c r="N724" s="3" t="s">
        <v>2222</v>
      </c>
      <c r="O724" s="6">
        <v>0</v>
      </c>
    </row>
    <row r="725" spans="1:15">
      <c r="A725" t="str">
        <f t="shared" si="33"/>
        <v>Kaos Dekalb1/1/10000</v>
      </c>
      <c r="B725" t="s">
        <v>10544</v>
      </c>
      <c r="C725" t="s">
        <v>15107</v>
      </c>
      <c r="D725" t="s">
        <v>12628</v>
      </c>
      <c r="E725" t="s">
        <v>1075</v>
      </c>
      <c r="F725">
        <v>1</v>
      </c>
      <c r="G725">
        <v>1</v>
      </c>
      <c r="H725">
        <v>1</v>
      </c>
      <c r="I725">
        <v>1</v>
      </c>
      <c r="J725">
        <v>82</v>
      </c>
      <c r="K725">
        <f t="shared" si="34"/>
        <v>82</v>
      </c>
      <c r="L725">
        <f t="shared" si="35"/>
        <v>0</v>
      </c>
      <c r="M725">
        <v>82</v>
      </c>
      <c r="N725" s="3" t="s">
        <v>2222</v>
      </c>
      <c r="O725" s="6">
        <v>0</v>
      </c>
    </row>
    <row r="726" spans="1:15">
      <c r="A726" t="str">
        <f t="shared" si="33"/>
        <v>Kaos Dekalb ( T Shirt Anak )1/1/10000</v>
      </c>
      <c r="B726" t="s">
        <v>10545</v>
      </c>
      <c r="C726" t="s">
        <v>15108</v>
      </c>
      <c r="D726" t="s">
        <v>12629</v>
      </c>
      <c r="E726" t="s">
        <v>1076</v>
      </c>
      <c r="F726">
        <v>1</v>
      </c>
      <c r="G726">
        <v>1</v>
      </c>
      <c r="H726">
        <v>1</v>
      </c>
      <c r="I726">
        <v>1</v>
      </c>
      <c r="J726">
        <v>86</v>
      </c>
      <c r="K726">
        <f t="shared" si="34"/>
        <v>86</v>
      </c>
      <c r="L726">
        <f t="shared" si="35"/>
        <v>0</v>
      </c>
      <c r="M726">
        <v>86</v>
      </c>
      <c r="N726" s="3" t="s">
        <v>2222</v>
      </c>
      <c r="O726" s="6">
        <v>0</v>
      </c>
    </row>
    <row r="727" spans="1:15">
      <c r="A727" t="str">
        <f t="shared" si="33"/>
        <v>Kaos Demolish1/1/10000</v>
      </c>
      <c r="B727" t="s">
        <v>10546</v>
      </c>
      <c r="C727" t="s">
        <v>15109</v>
      </c>
      <c r="D727" t="s">
        <v>12630</v>
      </c>
      <c r="E727" t="s">
        <v>1077</v>
      </c>
      <c r="F727">
        <v>1</v>
      </c>
      <c r="G727">
        <v>1</v>
      </c>
      <c r="H727">
        <v>1</v>
      </c>
      <c r="I727">
        <v>1</v>
      </c>
      <c r="J727">
        <v>242</v>
      </c>
      <c r="K727">
        <f t="shared" si="34"/>
        <v>242</v>
      </c>
      <c r="L727">
        <f t="shared" si="35"/>
        <v>0</v>
      </c>
      <c r="M727">
        <v>242</v>
      </c>
      <c r="N727" s="3" t="s">
        <v>2222</v>
      </c>
      <c r="O727" s="6">
        <v>0</v>
      </c>
    </row>
    <row r="728" spans="1:15">
      <c r="A728" t="str">
        <f t="shared" si="33"/>
        <v>Kaos Dilan1/1/10000</v>
      </c>
      <c r="B728" t="s">
        <v>10547</v>
      </c>
      <c r="C728" t="s">
        <v>15110</v>
      </c>
      <c r="D728" t="s">
        <v>12631</v>
      </c>
      <c r="E728" t="s">
        <v>1078</v>
      </c>
      <c r="F728">
        <v>1</v>
      </c>
      <c r="G728">
        <v>1</v>
      </c>
      <c r="H728">
        <v>1</v>
      </c>
      <c r="I728">
        <v>1</v>
      </c>
      <c r="J728">
        <v>178</v>
      </c>
      <c r="K728">
        <f t="shared" si="34"/>
        <v>178</v>
      </c>
      <c r="L728">
        <f t="shared" si="35"/>
        <v>0</v>
      </c>
      <c r="M728">
        <v>178</v>
      </c>
      <c r="N728" s="3" t="s">
        <v>2222</v>
      </c>
      <c r="O728" s="6">
        <v>0</v>
      </c>
    </row>
    <row r="729" spans="1:15">
      <c r="A729" t="str">
        <f t="shared" si="33"/>
        <v>Kaos Dupont1/1/10000</v>
      </c>
      <c r="B729" t="s">
        <v>10548</v>
      </c>
      <c r="C729" t="s">
        <v>15111</v>
      </c>
      <c r="D729" t="s">
        <v>12632</v>
      </c>
      <c r="E729" t="s">
        <v>1079</v>
      </c>
      <c r="F729">
        <v>1</v>
      </c>
      <c r="G729">
        <v>1</v>
      </c>
      <c r="H729">
        <v>1</v>
      </c>
      <c r="I729">
        <v>1</v>
      </c>
      <c r="J729">
        <v>300</v>
      </c>
      <c r="K729">
        <f t="shared" si="34"/>
        <v>300</v>
      </c>
      <c r="L729">
        <f t="shared" si="35"/>
        <v>0</v>
      </c>
      <c r="M729">
        <v>300</v>
      </c>
      <c r="N729" s="3" t="s">
        <v>2222</v>
      </c>
      <c r="O729" s="6">
        <v>0</v>
      </c>
    </row>
    <row r="730" spans="1:15">
      <c r="A730" t="str">
        <f t="shared" si="33"/>
        <v>Kaos EM-41/1/10000</v>
      </c>
      <c r="B730" t="s">
        <v>10549</v>
      </c>
      <c r="C730" t="s">
        <v>15112</v>
      </c>
      <c r="D730" t="s">
        <v>12633</v>
      </c>
      <c r="E730" t="s">
        <v>1080</v>
      </c>
      <c r="F730">
        <v>1</v>
      </c>
      <c r="G730">
        <v>1</v>
      </c>
      <c r="H730">
        <v>1</v>
      </c>
      <c r="I730">
        <v>1</v>
      </c>
      <c r="J730">
        <v>2016</v>
      </c>
      <c r="K730">
        <f t="shared" si="34"/>
        <v>2016</v>
      </c>
      <c r="L730">
        <f t="shared" si="35"/>
        <v>0</v>
      </c>
      <c r="M730">
        <v>2016</v>
      </c>
      <c r="N730" s="3" t="s">
        <v>2222</v>
      </c>
      <c r="O730" s="6">
        <v>0</v>
      </c>
    </row>
    <row r="731" spans="1:15">
      <c r="A731" t="str">
        <f t="shared" si="33"/>
        <v>Kaos Evencio1/1/10000</v>
      </c>
      <c r="B731" t="s">
        <v>10550</v>
      </c>
      <c r="C731" t="s">
        <v>15113</v>
      </c>
      <c r="D731" t="s">
        <v>12634</v>
      </c>
      <c r="E731" t="s">
        <v>1081</v>
      </c>
      <c r="F731">
        <v>1</v>
      </c>
      <c r="G731">
        <v>1</v>
      </c>
      <c r="H731">
        <v>1</v>
      </c>
      <c r="I731">
        <v>1</v>
      </c>
      <c r="J731">
        <v>45</v>
      </c>
      <c r="K731">
        <f t="shared" si="34"/>
        <v>45</v>
      </c>
      <c r="L731">
        <f t="shared" si="35"/>
        <v>0</v>
      </c>
      <c r="M731">
        <v>45</v>
      </c>
      <c r="N731" s="3" t="s">
        <v>2222</v>
      </c>
      <c r="O731" s="6">
        <v>0</v>
      </c>
    </row>
    <row r="732" spans="1:15">
      <c r="A732" t="str">
        <f t="shared" si="33"/>
        <v>Kaos Excel1/1/10000</v>
      </c>
      <c r="B732" t="s">
        <v>10551</v>
      </c>
      <c r="C732" t="s">
        <v>15114</v>
      </c>
      <c r="D732" t="s">
        <v>12635</v>
      </c>
      <c r="E732" t="s">
        <v>1082</v>
      </c>
      <c r="F732">
        <v>1</v>
      </c>
      <c r="G732">
        <v>1</v>
      </c>
      <c r="H732">
        <v>1</v>
      </c>
      <c r="I732">
        <v>1</v>
      </c>
      <c r="J732">
        <v>102</v>
      </c>
      <c r="K732">
        <f t="shared" si="34"/>
        <v>102</v>
      </c>
      <c r="L732">
        <f t="shared" si="35"/>
        <v>0</v>
      </c>
      <c r="M732">
        <v>102</v>
      </c>
      <c r="N732" s="3" t="s">
        <v>2222</v>
      </c>
      <c r="O732" s="6">
        <v>0</v>
      </c>
    </row>
    <row r="733" spans="1:15">
      <c r="A733" t="str">
        <f t="shared" si="33"/>
        <v>Kaos Extra One1/1/10000</v>
      </c>
      <c r="B733" t="s">
        <v>10552</v>
      </c>
      <c r="C733" t="s">
        <v>15115</v>
      </c>
      <c r="D733" t="s">
        <v>12636</v>
      </c>
      <c r="E733" t="s">
        <v>1083</v>
      </c>
      <c r="F733">
        <v>1</v>
      </c>
      <c r="G733">
        <v>1</v>
      </c>
      <c r="H733">
        <v>1</v>
      </c>
      <c r="I733">
        <v>1</v>
      </c>
      <c r="J733">
        <v>70</v>
      </c>
      <c r="K733">
        <f t="shared" si="34"/>
        <v>70</v>
      </c>
      <c r="L733">
        <f t="shared" si="35"/>
        <v>0</v>
      </c>
      <c r="M733">
        <v>70</v>
      </c>
      <c r="N733" s="3" t="s">
        <v>2222</v>
      </c>
      <c r="O733" s="6">
        <v>0</v>
      </c>
    </row>
    <row r="734" spans="1:15">
      <c r="A734" t="str">
        <f t="shared" si="33"/>
        <v>Kaos Fitokarb1/1/10000</v>
      </c>
      <c r="B734" t="s">
        <v>10553</v>
      </c>
      <c r="C734" t="s">
        <v>15116</v>
      </c>
      <c r="D734" t="s">
        <v>12637</v>
      </c>
      <c r="E734" t="s">
        <v>1084</v>
      </c>
      <c r="F734">
        <v>1</v>
      </c>
      <c r="G734">
        <v>1</v>
      </c>
      <c r="H734">
        <v>1</v>
      </c>
      <c r="I734">
        <v>1</v>
      </c>
      <c r="J734">
        <v>95</v>
      </c>
      <c r="K734">
        <f t="shared" si="34"/>
        <v>95</v>
      </c>
      <c r="L734">
        <f t="shared" si="35"/>
        <v>0</v>
      </c>
      <c r="M734">
        <v>95</v>
      </c>
      <c r="N734" s="3" t="s">
        <v>2222</v>
      </c>
      <c r="O734" s="6">
        <v>0</v>
      </c>
    </row>
    <row r="735" spans="1:15">
      <c r="A735" t="str">
        <f t="shared" si="33"/>
        <v>Kaos Gamectin1/1/10000</v>
      </c>
      <c r="B735" t="s">
        <v>10554</v>
      </c>
      <c r="C735" t="s">
        <v>15117</v>
      </c>
      <c r="D735" t="s">
        <v>12638</v>
      </c>
      <c r="E735" t="s">
        <v>1085</v>
      </c>
      <c r="F735">
        <v>1</v>
      </c>
      <c r="G735">
        <v>1</v>
      </c>
      <c r="H735">
        <v>1</v>
      </c>
      <c r="I735">
        <v>1</v>
      </c>
      <c r="J735">
        <v>1605</v>
      </c>
      <c r="K735">
        <f t="shared" si="34"/>
        <v>1605</v>
      </c>
      <c r="L735">
        <f t="shared" si="35"/>
        <v>0</v>
      </c>
      <c r="M735">
        <v>1605</v>
      </c>
      <c r="N735" s="3" t="s">
        <v>2222</v>
      </c>
      <c r="O735" s="6">
        <v>0</v>
      </c>
    </row>
    <row r="736" spans="1:15">
      <c r="A736" t="str">
        <f t="shared" si="33"/>
        <v>Kaos Gibraz1/1/10000</v>
      </c>
      <c r="B736" t="s">
        <v>10555</v>
      </c>
      <c r="C736" t="s">
        <v>15118</v>
      </c>
      <c r="D736" t="s">
        <v>12639</v>
      </c>
      <c r="E736" t="s">
        <v>1086</v>
      </c>
      <c r="F736">
        <v>1</v>
      </c>
      <c r="G736">
        <v>1</v>
      </c>
      <c r="H736">
        <v>1</v>
      </c>
      <c r="I736">
        <v>1</v>
      </c>
      <c r="J736">
        <v>850</v>
      </c>
      <c r="K736">
        <f t="shared" si="34"/>
        <v>850</v>
      </c>
      <c r="L736">
        <f t="shared" si="35"/>
        <v>0</v>
      </c>
      <c r="M736">
        <v>850</v>
      </c>
      <c r="N736" s="3" t="s">
        <v>2222</v>
      </c>
      <c r="O736" s="6">
        <v>0</v>
      </c>
    </row>
    <row r="737" spans="1:15">
      <c r="A737" t="str">
        <f t="shared" si="33"/>
        <v>Kaos Hyget Panjang Super Java1/1/10000</v>
      </c>
      <c r="B737" t="s">
        <v>10556</v>
      </c>
      <c r="C737" t="s">
        <v>15119</v>
      </c>
      <c r="D737" t="s">
        <v>12640</v>
      </c>
      <c r="E737" t="s">
        <v>1087</v>
      </c>
      <c r="F737">
        <v>1</v>
      </c>
      <c r="G737">
        <v>1</v>
      </c>
      <c r="H737">
        <v>1</v>
      </c>
      <c r="I737">
        <v>1</v>
      </c>
      <c r="J737">
        <v>168</v>
      </c>
      <c r="K737">
        <f t="shared" si="34"/>
        <v>168</v>
      </c>
      <c r="L737">
        <f t="shared" si="35"/>
        <v>0</v>
      </c>
      <c r="M737">
        <v>168</v>
      </c>
      <c r="N737" s="3" t="s">
        <v>2222</v>
      </c>
      <c r="O737" s="6">
        <v>0</v>
      </c>
    </row>
    <row r="738" spans="1:15">
      <c r="A738" t="str">
        <f t="shared" si="33"/>
        <v>Kaos Intergan1/1/10000</v>
      </c>
      <c r="B738" t="s">
        <v>10557</v>
      </c>
      <c r="C738" t="s">
        <v>15120</v>
      </c>
      <c r="D738" t="s">
        <v>12641</v>
      </c>
      <c r="E738" t="s">
        <v>1088</v>
      </c>
      <c r="F738">
        <v>1</v>
      </c>
      <c r="G738">
        <v>1</v>
      </c>
      <c r="H738">
        <v>1</v>
      </c>
      <c r="I738">
        <v>1</v>
      </c>
      <c r="J738">
        <v>160</v>
      </c>
      <c r="K738">
        <f t="shared" si="34"/>
        <v>160</v>
      </c>
      <c r="L738">
        <f t="shared" si="35"/>
        <v>0</v>
      </c>
      <c r="M738">
        <v>160</v>
      </c>
      <c r="N738" s="3" t="s">
        <v>2222</v>
      </c>
      <c r="O738" s="6">
        <v>0</v>
      </c>
    </row>
    <row r="739" spans="1:15">
      <c r="A739" t="str">
        <f t="shared" si="33"/>
        <v>Kaos Jagung ADV 1321/1/10000</v>
      </c>
      <c r="B739" t="s">
        <v>10558</v>
      </c>
      <c r="C739" t="s">
        <v>15121</v>
      </c>
      <c r="D739" t="s">
        <v>12642</v>
      </c>
      <c r="E739" t="s">
        <v>1089</v>
      </c>
      <c r="F739">
        <v>1</v>
      </c>
      <c r="G739">
        <v>1</v>
      </c>
      <c r="H739">
        <v>1</v>
      </c>
      <c r="I739">
        <v>1</v>
      </c>
      <c r="J739">
        <v>1895</v>
      </c>
      <c r="K739">
        <f t="shared" si="34"/>
        <v>1895</v>
      </c>
      <c r="L739">
        <f t="shared" si="35"/>
        <v>0</v>
      </c>
      <c r="M739">
        <v>1895</v>
      </c>
      <c r="N739" s="3" t="s">
        <v>2222</v>
      </c>
      <c r="O739" s="6">
        <v>0</v>
      </c>
    </row>
    <row r="740" spans="1:15">
      <c r="A740" t="str">
        <f t="shared" si="33"/>
        <v>Kaos Jagung Janger1/1/10000</v>
      </c>
      <c r="B740" t="s">
        <v>10559</v>
      </c>
      <c r="C740" t="s">
        <v>15122</v>
      </c>
      <c r="D740" t="s">
        <v>12643</v>
      </c>
      <c r="E740" t="s">
        <v>1090</v>
      </c>
      <c r="F740">
        <v>1</v>
      </c>
      <c r="G740">
        <v>1</v>
      </c>
      <c r="H740">
        <v>1</v>
      </c>
      <c r="I740">
        <v>1</v>
      </c>
      <c r="J740">
        <v>788</v>
      </c>
      <c r="K740">
        <f t="shared" si="34"/>
        <v>788</v>
      </c>
      <c r="L740">
        <f t="shared" si="35"/>
        <v>0</v>
      </c>
      <c r="M740">
        <v>788</v>
      </c>
      <c r="N740" s="3" t="s">
        <v>2222</v>
      </c>
      <c r="O740" s="6">
        <v>0</v>
      </c>
    </row>
    <row r="741" spans="1:15">
      <c r="A741" t="str">
        <f t="shared" si="33"/>
        <v>Kaos Jagung Manis Golden Boy1/1/10000</v>
      </c>
      <c r="B741" t="s">
        <v>10560</v>
      </c>
      <c r="C741" t="s">
        <v>15123</v>
      </c>
      <c r="D741" t="s">
        <v>12644</v>
      </c>
      <c r="E741" t="s">
        <v>1091</v>
      </c>
      <c r="F741">
        <v>1</v>
      </c>
      <c r="G741">
        <v>1</v>
      </c>
      <c r="H741">
        <v>1</v>
      </c>
      <c r="I741">
        <v>1</v>
      </c>
      <c r="J741">
        <v>17</v>
      </c>
      <c r="K741">
        <f t="shared" si="34"/>
        <v>17</v>
      </c>
      <c r="L741">
        <f t="shared" si="35"/>
        <v>0</v>
      </c>
      <c r="M741">
        <v>17</v>
      </c>
      <c r="N741" s="3" t="s">
        <v>2222</v>
      </c>
      <c r="O741" s="6">
        <v>0</v>
      </c>
    </row>
    <row r="742" spans="1:15">
      <c r="A742" t="str">
        <f t="shared" si="33"/>
        <v>Kaos Jagung Manis Madu1/1/10000</v>
      </c>
      <c r="B742" t="s">
        <v>10561</v>
      </c>
      <c r="C742" t="s">
        <v>15124</v>
      </c>
      <c r="D742" t="s">
        <v>12645</v>
      </c>
      <c r="E742" t="s">
        <v>1092</v>
      </c>
      <c r="F742">
        <v>1</v>
      </c>
      <c r="G742">
        <v>1</v>
      </c>
      <c r="H742">
        <v>1</v>
      </c>
      <c r="I742">
        <v>1</v>
      </c>
      <c r="J742">
        <v>55</v>
      </c>
      <c r="K742">
        <f t="shared" si="34"/>
        <v>55</v>
      </c>
      <c r="L742">
        <f t="shared" si="35"/>
        <v>0</v>
      </c>
      <c r="M742">
        <v>55</v>
      </c>
      <c r="N742" s="3" t="s">
        <v>2222</v>
      </c>
      <c r="O742" s="6">
        <v>0</v>
      </c>
    </row>
    <row r="743" spans="1:15">
      <c r="A743" t="str">
        <f t="shared" si="33"/>
        <v>Kaos Jagung Pertiwi1/1/10000</v>
      </c>
      <c r="B743" t="s">
        <v>10562</v>
      </c>
      <c r="C743" t="s">
        <v>15125</v>
      </c>
      <c r="D743" t="s">
        <v>12646</v>
      </c>
      <c r="E743" t="s">
        <v>1093</v>
      </c>
      <c r="F743">
        <v>1</v>
      </c>
      <c r="G743">
        <v>1</v>
      </c>
      <c r="H743">
        <v>1</v>
      </c>
      <c r="I743">
        <v>1</v>
      </c>
      <c r="J743">
        <v>860</v>
      </c>
      <c r="K743">
        <f t="shared" si="34"/>
        <v>860</v>
      </c>
      <c r="L743">
        <f t="shared" si="35"/>
        <v>0</v>
      </c>
      <c r="M743">
        <v>860</v>
      </c>
      <c r="N743" s="3" t="s">
        <v>2222</v>
      </c>
      <c r="O743" s="6">
        <v>0</v>
      </c>
    </row>
    <row r="744" spans="1:15">
      <c r="A744" t="str">
        <f t="shared" si="33"/>
        <v>Kaos Java Karlos1/1/10000</v>
      </c>
      <c r="B744" t="s">
        <v>10563</v>
      </c>
      <c r="C744" t="s">
        <v>15126</v>
      </c>
      <c r="D744" t="s">
        <v>12647</v>
      </c>
      <c r="E744" t="s">
        <v>1094</v>
      </c>
      <c r="F744">
        <v>1</v>
      </c>
      <c r="G744">
        <v>1</v>
      </c>
      <c r="H744">
        <v>1</v>
      </c>
      <c r="I744">
        <v>1</v>
      </c>
      <c r="J744">
        <v>313</v>
      </c>
      <c r="K744">
        <f t="shared" si="34"/>
        <v>313</v>
      </c>
      <c r="L744">
        <f t="shared" si="35"/>
        <v>0</v>
      </c>
      <c r="M744">
        <v>313</v>
      </c>
      <c r="N744" s="3" t="s">
        <v>2222</v>
      </c>
      <c r="O744" s="6">
        <v>0</v>
      </c>
    </row>
    <row r="745" spans="1:15">
      <c r="A745" t="str">
        <f t="shared" si="33"/>
        <v>Kaos Karisma1/1/10000</v>
      </c>
      <c r="B745" t="s">
        <v>10564</v>
      </c>
      <c r="C745" t="s">
        <v>15127</v>
      </c>
      <c r="D745" t="s">
        <v>12648</v>
      </c>
      <c r="E745" t="s">
        <v>1095</v>
      </c>
      <c r="F745">
        <v>1</v>
      </c>
      <c r="G745">
        <v>1</v>
      </c>
      <c r="H745">
        <v>1</v>
      </c>
      <c r="I745">
        <v>1</v>
      </c>
      <c r="J745">
        <v>784</v>
      </c>
      <c r="K745">
        <f t="shared" si="34"/>
        <v>784</v>
      </c>
      <c r="L745">
        <f t="shared" si="35"/>
        <v>0</v>
      </c>
      <c r="M745">
        <v>784</v>
      </c>
      <c r="N745" s="3" t="s">
        <v>2222</v>
      </c>
      <c r="O745" s="6">
        <v>0</v>
      </c>
    </row>
    <row r="746" spans="1:15">
      <c r="A746" t="str">
        <f t="shared" si="33"/>
        <v>Kaos Karisma Setia1/1/10000</v>
      </c>
      <c r="B746" t="s">
        <v>10565</v>
      </c>
      <c r="C746" t="s">
        <v>15128</v>
      </c>
      <c r="D746" t="s">
        <v>12649</v>
      </c>
      <c r="E746" t="s">
        <v>1096</v>
      </c>
      <c r="F746">
        <v>1</v>
      </c>
      <c r="G746">
        <v>1</v>
      </c>
      <c r="H746">
        <v>1</v>
      </c>
      <c r="I746">
        <v>1</v>
      </c>
      <c r="J746">
        <v>50</v>
      </c>
      <c r="K746">
        <f t="shared" si="34"/>
        <v>50</v>
      </c>
      <c r="L746">
        <f t="shared" si="35"/>
        <v>0</v>
      </c>
      <c r="M746">
        <v>50</v>
      </c>
      <c r="N746" s="3" t="s">
        <v>2222</v>
      </c>
      <c r="O746" s="6">
        <v>0</v>
      </c>
    </row>
    <row r="747" spans="1:15">
      <c r="A747" t="str">
        <f t="shared" si="33"/>
        <v>Kaos Kenso1/1/10000</v>
      </c>
      <c r="B747" t="s">
        <v>10566</v>
      </c>
      <c r="C747" t="s">
        <v>15129</v>
      </c>
      <c r="D747" t="s">
        <v>12650</v>
      </c>
      <c r="E747" t="s">
        <v>1097</v>
      </c>
      <c r="F747">
        <v>1</v>
      </c>
      <c r="G747">
        <v>1</v>
      </c>
      <c r="H747">
        <v>1</v>
      </c>
      <c r="I747">
        <v>1</v>
      </c>
      <c r="J747">
        <v>72</v>
      </c>
      <c r="K747">
        <f t="shared" si="34"/>
        <v>72</v>
      </c>
      <c r="L747">
        <f t="shared" si="35"/>
        <v>0</v>
      </c>
      <c r="M747">
        <v>72</v>
      </c>
      <c r="N747" s="3" t="s">
        <v>2222</v>
      </c>
      <c r="O747" s="6">
        <v>0</v>
      </c>
    </row>
    <row r="748" spans="1:15">
      <c r="A748" t="str">
        <f t="shared" si="33"/>
        <v>Kaos Kertopaten1/1/10000</v>
      </c>
      <c r="B748" t="s">
        <v>10567</v>
      </c>
      <c r="C748" t="s">
        <v>15130</v>
      </c>
      <c r="D748" t="s">
        <v>12651</v>
      </c>
      <c r="E748" t="s">
        <v>1098</v>
      </c>
      <c r="F748">
        <v>1</v>
      </c>
      <c r="G748">
        <v>1</v>
      </c>
      <c r="H748">
        <v>1</v>
      </c>
      <c r="I748">
        <v>1</v>
      </c>
      <c r="J748">
        <v>58</v>
      </c>
      <c r="K748">
        <f t="shared" si="34"/>
        <v>58</v>
      </c>
      <c r="L748">
        <f t="shared" si="35"/>
        <v>0</v>
      </c>
      <c r="M748">
        <v>58</v>
      </c>
      <c r="N748" s="3" t="s">
        <v>2222</v>
      </c>
      <c r="O748" s="6">
        <v>0</v>
      </c>
    </row>
    <row r="749" spans="1:15">
      <c r="A749" t="str">
        <f t="shared" si="33"/>
        <v>Kaos Klerat1/1/10000</v>
      </c>
      <c r="B749" t="s">
        <v>10568</v>
      </c>
      <c r="C749" t="s">
        <v>15131</v>
      </c>
      <c r="D749" t="s">
        <v>12652</v>
      </c>
      <c r="E749" t="s">
        <v>1099</v>
      </c>
      <c r="F749">
        <v>1</v>
      </c>
      <c r="G749">
        <v>1</v>
      </c>
      <c r="H749">
        <v>1</v>
      </c>
      <c r="I749">
        <v>1</v>
      </c>
      <c r="J749">
        <v>25</v>
      </c>
      <c r="K749">
        <f t="shared" si="34"/>
        <v>25</v>
      </c>
      <c r="L749">
        <f t="shared" si="35"/>
        <v>0</v>
      </c>
      <c r="M749">
        <v>25</v>
      </c>
      <c r="N749" s="3" t="s">
        <v>2222</v>
      </c>
      <c r="O749" s="6">
        <v>0</v>
      </c>
    </row>
    <row r="750" spans="1:15">
      <c r="A750" t="str">
        <f t="shared" si="33"/>
        <v>Kaos Kloper Symbisect1/1/10000</v>
      </c>
      <c r="B750" t="s">
        <v>10569</v>
      </c>
      <c r="C750" t="s">
        <v>15132</v>
      </c>
      <c r="D750" t="s">
        <v>12653</v>
      </c>
      <c r="E750" t="s">
        <v>1100</v>
      </c>
      <c r="F750">
        <v>1</v>
      </c>
      <c r="G750">
        <v>1</v>
      </c>
      <c r="H750">
        <v>1</v>
      </c>
      <c r="I750">
        <v>1</v>
      </c>
      <c r="J750">
        <v>148</v>
      </c>
      <c r="K750">
        <f t="shared" si="34"/>
        <v>148</v>
      </c>
      <c r="L750">
        <f t="shared" si="35"/>
        <v>0</v>
      </c>
      <c r="M750">
        <v>148</v>
      </c>
      <c r="N750" s="3" t="s">
        <v>2222</v>
      </c>
      <c r="O750" s="6">
        <v>0</v>
      </c>
    </row>
    <row r="751" spans="1:15">
      <c r="A751" t="str">
        <f t="shared" si="33"/>
        <v>Kaos Kubis Sharira1/1/10000</v>
      </c>
      <c r="B751" t="s">
        <v>10570</v>
      </c>
      <c r="C751" t="s">
        <v>15133</v>
      </c>
      <c r="D751" t="s">
        <v>12654</v>
      </c>
      <c r="E751" t="s">
        <v>1101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f t="shared" si="34"/>
        <v>1</v>
      </c>
      <c r="L751">
        <f t="shared" si="35"/>
        <v>0</v>
      </c>
      <c r="M751">
        <v>1</v>
      </c>
      <c r="N751" s="3" t="s">
        <v>2222</v>
      </c>
      <c r="O751" s="6">
        <v>0</v>
      </c>
    </row>
    <row r="752" spans="1:15">
      <c r="A752" t="str">
        <f t="shared" si="33"/>
        <v>Kaos Lengan Panjang Bisi 771/1/10000</v>
      </c>
      <c r="B752" t="s">
        <v>10571</v>
      </c>
      <c r="C752" t="s">
        <v>15134</v>
      </c>
      <c r="D752" t="s">
        <v>12655</v>
      </c>
      <c r="E752" t="s">
        <v>1102</v>
      </c>
      <c r="F752">
        <v>1</v>
      </c>
      <c r="G752">
        <v>1</v>
      </c>
      <c r="H752">
        <v>1</v>
      </c>
      <c r="I752">
        <v>1</v>
      </c>
      <c r="J752">
        <v>41</v>
      </c>
      <c r="K752">
        <f t="shared" si="34"/>
        <v>41</v>
      </c>
      <c r="L752">
        <f t="shared" si="35"/>
        <v>0</v>
      </c>
      <c r="M752">
        <v>41</v>
      </c>
      <c r="N752" s="3" t="s">
        <v>2222</v>
      </c>
      <c r="O752" s="6">
        <v>0</v>
      </c>
    </row>
    <row r="753" spans="1:15">
      <c r="A753" t="str">
        <f t="shared" si="33"/>
        <v>Kaos Lengan Panjang Bisi 9591/1/10000</v>
      </c>
      <c r="B753" t="s">
        <v>10572</v>
      </c>
      <c r="C753" t="s">
        <v>15135</v>
      </c>
      <c r="D753" t="s">
        <v>12656</v>
      </c>
      <c r="E753" t="s">
        <v>1103</v>
      </c>
      <c r="F753">
        <v>1</v>
      </c>
      <c r="G753">
        <v>1</v>
      </c>
      <c r="H753">
        <v>1</v>
      </c>
      <c r="I753">
        <v>1</v>
      </c>
      <c r="J753">
        <v>3785</v>
      </c>
      <c r="K753">
        <f t="shared" si="34"/>
        <v>3785</v>
      </c>
      <c r="L753">
        <f t="shared" si="35"/>
        <v>0</v>
      </c>
      <c r="M753">
        <v>3785</v>
      </c>
      <c r="N753" s="3" t="s">
        <v>2222</v>
      </c>
      <c r="O753" s="6">
        <v>0</v>
      </c>
    </row>
    <row r="754" spans="1:15">
      <c r="A754" t="str">
        <f t="shared" si="33"/>
        <v>Kaos Lengan Panjang Macerio1/1/10000</v>
      </c>
      <c r="B754" t="s">
        <v>10573</v>
      </c>
      <c r="C754" t="s">
        <v>15136</v>
      </c>
      <c r="D754" t="s">
        <v>12657</v>
      </c>
      <c r="E754" t="s">
        <v>1104</v>
      </c>
      <c r="F754">
        <v>1</v>
      </c>
      <c r="G754">
        <v>1</v>
      </c>
      <c r="H754">
        <v>1</v>
      </c>
      <c r="I754">
        <v>1</v>
      </c>
      <c r="J754">
        <v>115</v>
      </c>
      <c r="K754">
        <f t="shared" si="34"/>
        <v>115</v>
      </c>
      <c r="L754">
        <f t="shared" si="35"/>
        <v>0</v>
      </c>
      <c r="M754">
        <v>115</v>
      </c>
      <c r="N754" s="3" t="s">
        <v>2222</v>
      </c>
      <c r="O754" s="6">
        <v>0</v>
      </c>
    </row>
    <row r="755" spans="1:15">
      <c r="A755" t="str">
        <f t="shared" si="33"/>
        <v>Kaos Lengan Panjang Pinamec1/1/10000</v>
      </c>
      <c r="B755" t="s">
        <v>10574</v>
      </c>
      <c r="C755" t="s">
        <v>15137</v>
      </c>
      <c r="D755" t="s">
        <v>12658</v>
      </c>
      <c r="E755" t="s">
        <v>1105</v>
      </c>
      <c r="F755">
        <v>1</v>
      </c>
      <c r="G755">
        <v>1</v>
      </c>
      <c r="H755">
        <v>1</v>
      </c>
      <c r="I755">
        <v>1</v>
      </c>
      <c r="J755">
        <v>985</v>
      </c>
      <c r="K755">
        <f t="shared" si="34"/>
        <v>985</v>
      </c>
      <c r="L755">
        <f t="shared" si="35"/>
        <v>0</v>
      </c>
      <c r="M755">
        <v>985</v>
      </c>
      <c r="N755" s="3" t="s">
        <v>2222</v>
      </c>
      <c r="O755" s="6">
        <v>0</v>
      </c>
    </row>
    <row r="756" spans="1:15">
      <c r="A756" t="str">
        <f t="shared" si="33"/>
        <v>Kaos Lengan Panjang Q2351/1/10000</v>
      </c>
      <c r="B756" t="s">
        <v>10575</v>
      </c>
      <c r="C756" t="s">
        <v>15138</v>
      </c>
      <c r="D756" t="s">
        <v>12659</v>
      </c>
      <c r="E756" t="s">
        <v>1106</v>
      </c>
      <c r="F756">
        <v>1</v>
      </c>
      <c r="G756">
        <v>1</v>
      </c>
      <c r="H756">
        <v>1</v>
      </c>
      <c r="I756">
        <v>1</v>
      </c>
      <c r="J756">
        <v>14566</v>
      </c>
      <c r="K756">
        <f t="shared" si="34"/>
        <v>14566</v>
      </c>
      <c r="L756">
        <f t="shared" si="35"/>
        <v>0</v>
      </c>
      <c r="M756">
        <v>14566</v>
      </c>
      <c r="N756" s="3" t="s">
        <v>2222</v>
      </c>
      <c r="O756" s="6">
        <v>0</v>
      </c>
    </row>
    <row r="757" spans="1:15">
      <c r="A757" t="str">
        <f t="shared" si="33"/>
        <v>Kaos Lengan Pendek Dekalb1/1/10000</v>
      </c>
      <c r="B757" t="s">
        <v>10576</v>
      </c>
      <c r="C757" t="s">
        <v>15139</v>
      </c>
      <c r="D757" t="s">
        <v>12660</v>
      </c>
      <c r="E757" t="s">
        <v>1107</v>
      </c>
      <c r="F757">
        <v>1</v>
      </c>
      <c r="G757">
        <v>1</v>
      </c>
      <c r="H757">
        <v>1</v>
      </c>
      <c r="I757">
        <v>1</v>
      </c>
      <c r="J757">
        <v>985</v>
      </c>
      <c r="K757">
        <f t="shared" si="34"/>
        <v>985</v>
      </c>
      <c r="L757">
        <f t="shared" si="35"/>
        <v>0</v>
      </c>
      <c r="M757">
        <v>985</v>
      </c>
      <c r="N757" s="3" t="s">
        <v>2222</v>
      </c>
      <c r="O757" s="6">
        <v>0</v>
      </c>
    </row>
    <row r="758" spans="1:15">
      <c r="A758" t="str">
        <f t="shared" si="33"/>
        <v>Kaos Melon Golden Qiu1/1/10000</v>
      </c>
      <c r="B758" t="s">
        <v>10577</v>
      </c>
      <c r="C758" t="s">
        <v>15140</v>
      </c>
      <c r="D758" t="s">
        <v>12661</v>
      </c>
      <c r="E758" t="s">
        <v>1108</v>
      </c>
      <c r="F758">
        <v>1</v>
      </c>
      <c r="G758">
        <v>1</v>
      </c>
      <c r="H758">
        <v>1</v>
      </c>
      <c r="I758">
        <v>1</v>
      </c>
      <c r="J758">
        <v>56</v>
      </c>
      <c r="K758">
        <f t="shared" si="34"/>
        <v>56</v>
      </c>
      <c r="L758">
        <f t="shared" si="35"/>
        <v>0</v>
      </c>
      <c r="M758">
        <v>56</v>
      </c>
      <c r="N758" s="3" t="s">
        <v>2222</v>
      </c>
      <c r="O758" s="6">
        <v>0</v>
      </c>
    </row>
    <row r="759" spans="1:15">
      <c r="A759" t="str">
        <f t="shared" si="33"/>
        <v>Kaos Melon Hibrida1/1/10000</v>
      </c>
      <c r="B759" t="s">
        <v>10578</v>
      </c>
      <c r="C759" t="s">
        <v>15141</v>
      </c>
      <c r="D759" t="s">
        <v>12662</v>
      </c>
      <c r="E759" t="s">
        <v>1109</v>
      </c>
      <c r="F759">
        <v>1</v>
      </c>
      <c r="G759">
        <v>1</v>
      </c>
      <c r="H759">
        <v>1</v>
      </c>
      <c r="I759">
        <v>1</v>
      </c>
      <c r="J759">
        <v>22</v>
      </c>
      <c r="K759">
        <f t="shared" si="34"/>
        <v>22</v>
      </c>
      <c r="L759">
        <f t="shared" si="35"/>
        <v>0</v>
      </c>
      <c r="M759">
        <v>22</v>
      </c>
      <c r="N759" s="3" t="s">
        <v>2222</v>
      </c>
      <c r="O759" s="6">
        <v>0</v>
      </c>
    </row>
    <row r="760" spans="1:15">
      <c r="A760" t="str">
        <f t="shared" si="33"/>
        <v>Kaos Melon Lucky1/1/10000</v>
      </c>
      <c r="B760" t="s">
        <v>10579</v>
      </c>
      <c r="C760" t="s">
        <v>15142</v>
      </c>
      <c r="D760" t="s">
        <v>12663</v>
      </c>
      <c r="E760" t="s">
        <v>1110</v>
      </c>
      <c r="F760">
        <v>1</v>
      </c>
      <c r="G760">
        <v>1</v>
      </c>
      <c r="H760">
        <v>1</v>
      </c>
      <c r="I760">
        <v>1</v>
      </c>
      <c r="J760">
        <v>50</v>
      </c>
      <c r="K760">
        <f t="shared" si="34"/>
        <v>50</v>
      </c>
      <c r="L760">
        <f t="shared" si="35"/>
        <v>0</v>
      </c>
      <c r="M760">
        <v>50</v>
      </c>
      <c r="N760" s="3" t="s">
        <v>2222</v>
      </c>
      <c r="O760" s="6">
        <v>0</v>
      </c>
    </row>
    <row r="761" spans="1:15">
      <c r="A761" t="str">
        <f t="shared" si="33"/>
        <v>Kaos Metazeb1/1/10000</v>
      </c>
      <c r="B761" t="s">
        <v>10580</v>
      </c>
      <c r="C761" t="s">
        <v>15143</v>
      </c>
      <c r="D761" t="s">
        <v>12664</v>
      </c>
      <c r="E761" t="s">
        <v>1111</v>
      </c>
      <c r="F761">
        <v>1</v>
      </c>
      <c r="G761">
        <v>1</v>
      </c>
      <c r="H761">
        <v>1</v>
      </c>
      <c r="I761">
        <v>1</v>
      </c>
      <c r="J761">
        <v>21</v>
      </c>
      <c r="K761">
        <f t="shared" si="34"/>
        <v>21</v>
      </c>
      <c r="L761">
        <f t="shared" si="35"/>
        <v>0</v>
      </c>
      <c r="M761">
        <v>21</v>
      </c>
      <c r="N761" s="3" t="s">
        <v>2222</v>
      </c>
      <c r="O761" s="6">
        <v>0</v>
      </c>
    </row>
    <row r="762" spans="1:15">
      <c r="A762" t="str">
        <f t="shared" si="33"/>
        <v>Kaos Mexdone443590</v>
      </c>
      <c r="B762" t="s">
        <v>10581</v>
      </c>
      <c r="C762" t="s">
        <v>15144</v>
      </c>
      <c r="D762" t="s">
        <v>12665</v>
      </c>
      <c r="E762" t="s">
        <v>1112</v>
      </c>
      <c r="F762">
        <v>1</v>
      </c>
      <c r="G762">
        <v>1</v>
      </c>
      <c r="H762">
        <v>1</v>
      </c>
      <c r="I762">
        <v>1</v>
      </c>
      <c r="J762">
        <v>32</v>
      </c>
      <c r="K762">
        <f t="shared" si="34"/>
        <v>32</v>
      </c>
      <c r="L762">
        <f t="shared" si="35"/>
        <v>0</v>
      </c>
      <c r="M762">
        <v>32</v>
      </c>
      <c r="N762" s="3">
        <v>44359</v>
      </c>
      <c r="O762" s="6">
        <v>0</v>
      </c>
    </row>
    <row r="763" spans="1:15">
      <c r="A763" t="str">
        <f t="shared" si="33"/>
        <v>Kaos Mexican1/1/10000</v>
      </c>
      <c r="B763" t="s">
        <v>10582</v>
      </c>
      <c r="C763" t="s">
        <v>15145</v>
      </c>
      <c r="D763" t="s">
        <v>12666</v>
      </c>
      <c r="E763" t="s">
        <v>1113</v>
      </c>
      <c r="F763">
        <v>1</v>
      </c>
      <c r="G763">
        <v>1</v>
      </c>
      <c r="H763">
        <v>1</v>
      </c>
      <c r="I763">
        <v>1</v>
      </c>
      <c r="J763">
        <v>57</v>
      </c>
      <c r="K763">
        <f t="shared" si="34"/>
        <v>57</v>
      </c>
      <c r="L763">
        <f t="shared" si="35"/>
        <v>0</v>
      </c>
      <c r="M763">
        <v>57</v>
      </c>
      <c r="N763" s="3" t="s">
        <v>2222</v>
      </c>
      <c r="O763" s="6">
        <v>0</v>
      </c>
    </row>
    <row r="764" spans="1:15">
      <c r="A764" t="str">
        <f t="shared" si="33"/>
        <v>Kaos MIA Kerah1/1/10000</v>
      </c>
      <c r="B764" t="s">
        <v>10583</v>
      </c>
      <c r="C764" t="s">
        <v>15146</v>
      </c>
      <c r="D764" t="s">
        <v>12667</v>
      </c>
      <c r="E764" t="s">
        <v>1114</v>
      </c>
      <c r="F764">
        <v>1</v>
      </c>
      <c r="G764">
        <v>1</v>
      </c>
      <c r="H764">
        <v>1</v>
      </c>
      <c r="I764">
        <v>1</v>
      </c>
      <c r="J764">
        <v>1</v>
      </c>
      <c r="K764">
        <f t="shared" si="34"/>
        <v>1</v>
      </c>
      <c r="L764">
        <f t="shared" si="35"/>
        <v>0</v>
      </c>
      <c r="M764">
        <v>1</v>
      </c>
      <c r="N764" s="3" t="s">
        <v>2222</v>
      </c>
      <c r="O764" s="6">
        <v>0</v>
      </c>
    </row>
    <row r="765" spans="1:15">
      <c r="A765" t="str">
        <f t="shared" si="33"/>
        <v>Kaos MIA Kerah Elazaro1/1/10000</v>
      </c>
      <c r="B765" t="s">
        <v>10584</v>
      </c>
      <c r="C765" t="s">
        <v>15147</v>
      </c>
      <c r="D765" t="s">
        <v>12668</v>
      </c>
      <c r="E765" t="s">
        <v>1115</v>
      </c>
      <c r="F765">
        <v>1</v>
      </c>
      <c r="G765">
        <v>1</v>
      </c>
      <c r="H765">
        <v>1</v>
      </c>
      <c r="I765">
        <v>1</v>
      </c>
      <c r="J765">
        <v>133</v>
      </c>
      <c r="K765">
        <f t="shared" si="34"/>
        <v>133</v>
      </c>
      <c r="L765">
        <f t="shared" si="35"/>
        <v>0</v>
      </c>
      <c r="M765">
        <v>133</v>
      </c>
      <c r="N765" s="3" t="s">
        <v>2222</v>
      </c>
      <c r="O765" s="6">
        <v>0</v>
      </c>
    </row>
    <row r="766" spans="1:15">
      <c r="A766" t="str">
        <f t="shared" si="33"/>
        <v>Kaos MIA Trio Dahsyat1/1/10000</v>
      </c>
      <c r="B766" t="s">
        <v>10585</v>
      </c>
      <c r="C766" t="s">
        <v>15148</v>
      </c>
      <c r="D766" t="s">
        <v>12669</v>
      </c>
      <c r="E766" t="s">
        <v>1116</v>
      </c>
      <c r="F766">
        <v>1</v>
      </c>
      <c r="G766">
        <v>1</v>
      </c>
      <c r="H766">
        <v>1</v>
      </c>
      <c r="I766">
        <v>1</v>
      </c>
      <c r="J766">
        <v>210</v>
      </c>
      <c r="K766">
        <f t="shared" si="34"/>
        <v>210</v>
      </c>
      <c r="L766">
        <f t="shared" si="35"/>
        <v>0</v>
      </c>
      <c r="M766">
        <v>210</v>
      </c>
      <c r="N766" s="3" t="s">
        <v>2222</v>
      </c>
      <c r="O766" s="6">
        <v>0</v>
      </c>
    </row>
    <row r="767" spans="1:15">
      <c r="A767" t="str">
        <f t="shared" si="33"/>
        <v>Kaos MKD Neocron1/1/10000</v>
      </c>
      <c r="B767" t="s">
        <v>10586</v>
      </c>
      <c r="C767" t="s">
        <v>15149</v>
      </c>
      <c r="D767" t="s">
        <v>12670</v>
      </c>
      <c r="E767" t="s">
        <v>1117</v>
      </c>
      <c r="F767">
        <v>1</v>
      </c>
      <c r="G767">
        <v>1</v>
      </c>
      <c r="H767">
        <v>1</v>
      </c>
      <c r="I767">
        <v>1</v>
      </c>
      <c r="J767">
        <v>9</v>
      </c>
      <c r="K767">
        <f t="shared" si="34"/>
        <v>9</v>
      </c>
      <c r="L767">
        <f t="shared" si="35"/>
        <v>0</v>
      </c>
      <c r="M767">
        <v>9</v>
      </c>
      <c r="N767" s="3" t="s">
        <v>2222</v>
      </c>
      <c r="O767" s="6">
        <v>0</v>
      </c>
    </row>
    <row r="768" spans="1:15">
      <c r="A768" t="str">
        <f t="shared" si="33"/>
        <v>Kaos Mulsa Hanoman1/1/10000</v>
      </c>
      <c r="B768" t="s">
        <v>10587</v>
      </c>
      <c r="C768" t="s">
        <v>15150</v>
      </c>
      <c r="D768" t="s">
        <v>12671</v>
      </c>
      <c r="E768" t="s">
        <v>1118</v>
      </c>
      <c r="F768">
        <v>1</v>
      </c>
      <c r="G768">
        <v>1</v>
      </c>
      <c r="H768">
        <v>1</v>
      </c>
      <c r="I768">
        <v>1</v>
      </c>
      <c r="J768">
        <v>53</v>
      </c>
      <c r="K768">
        <f t="shared" si="34"/>
        <v>53</v>
      </c>
      <c r="L768">
        <f t="shared" si="35"/>
        <v>0</v>
      </c>
      <c r="M768">
        <v>53</v>
      </c>
      <c r="N768" s="3" t="s">
        <v>2222</v>
      </c>
      <c r="O768" s="6">
        <v>0</v>
      </c>
    </row>
    <row r="769" spans="1:15">
      <c r="A769" t="str">
        <f t="shared" si="33"/>
        <v>Kaos Mulsa Kuda1/1/10000</v>
      </c>
      <c r="B769" t="s">
        <v>10588</v>
      </c>
      <c r="C769" t="s">
        <v>15151</v>
      </c>
      <c r="D769" t="s">
        <v>12672</v>
      </c>
      <c r="E769" t="s">
        <v>1119</v>
      </c>
      <c r="F769">
        <v>1</v>
      </c>
      <c r="G769">
        <v>1</v>
      </c>
      <c r="H769">
        <v>1</v>
      </c>
      <c r="I769">
        <v>1</v>
      </c>
      <c r="J769">
        <v>138</v>
      </c>
      <c r="K769">
        <f t="shared" si="34"/>
        <v>138</v>
      </c>
      <c r="L769">
        <f t="shared" si="35"/>
        <v>0</v>
      </c>
      <c r="M769">
        <v>138</v>
      </c>
      <c r="N769" s="3" t="s">
        <v>2222</v>
      </c>
      <c r="O769" s="6">
        <v>0</v>
      </c>
    </row>
    <row r="770" spans="1:15">
      <c r="A770" t="str">
        <f t="shared" si="33"/>
        <v>Kaos Mulsa Ori Gajah1/1/10000</v>
      </c>
      <c r="B770" t="s">
        <v>10589</v>
      </c>
      <c r="C770" t="s">
        <v>15152</v>
      </c>
      <c r="D770" t="s">
        <v>12673</v>
      </c>
      <c r="E770" t="s">
        <v>1120</v>
      </c>
      <c r="F770">
        <v>1</v>
      </c>
      <c r="G770">
        <v>1</v>
      </c>
      <c r="H770">
        <v>1</v>
      </c>
      <c r="I770">
        <v>1</v>
      </c>
      <c r="J770">
        <v>7</v>
      </c>
      <c r="K770">
        <f t="shared" si="34"/>
        <v>7</v>
      </c>
      <c r="L770">
        <f t="shared" si="35"/>
        <v>0</v>
      </c>
      <c r="M770">
        <v>7</v>
      </c>
      <c r="N770" s="3" t="s">
        <v>2222</v>
      </c>
      <c r="O770" s="6">
        <v>0</v>
      </c>
    </row>
    <row r="771" spans="1:15">
      <c r="A771" t="str">
        <f t="shared" ref="A771:A834" si="36">E771&amp;N771&amp;O771</f>
        <v>Kaos Mulsa Petani Sejati1/1/10000</v>
      </c>
      <c r="B771" t="s">
        <v>10590</v>
      </c>
      <c r="C771" t="s">
        <v>15153</v>
      </c>
      <c r="D771" t="s">
        <v>12674</v>
      </c>
      <c r="E771" t="s">
        <v>1121</v>
      </c>
      <c r="F771">
        <v>1</v>
      </c>
      <c r="G771">
        <v>1</v>
      </c>
      <c r="H771">
        <v>1</v>
      </c>
      <c r="I771">
        <v>1</v>
      </c>
      <c r="J771">
        <v>13</v>
      </c>
      <c r="K771">
        <f t="shared" ref="K771:K834" si="37">ROUNDDOWN(J771/I771,0)</f>
        <v>13</v>
      </c>
      <c r="L771">
        <f t="shared" ref="L771:L834" si="38">J771-K771*I771</f>
        <v>0</v>
      </c>
      <c r="M771">
        <v>13</v>
      </c>
      <c r="N771" s="3" t="s">
        <v>2222</v>
      </c>
      <c r="O771" s="6">
        <v>0</v>
      </c>
    </row>
    <row r="772" spans="1:15">
      <c r="A772" t="str">
        <f t="shared" si="36"/>
        <v>Kaos Mulsa Universal1/1/10000</v>
      </c>
      <c r="B772" t="s">
        <v>10591</v>
      </c>
      <c r="C772" t="s">
        <v>15154</v>
      </c>
      <c r="D772" t="s">
        <v>12675</v>
      </c>
      <c r="E772" t="s">
        <v>1122</v>
      </c>
      <c r="F772">
        <v>1</v>
      </c>
      <c r="G772">
        <v>1</v>
      </c>
      <c r="H772">
        <v>1</v>
      </c>
      <c r="I772">
        <v>1</v>
      </c>
      <c r="J772">
        <v>134</v>
      </c>
      <c r="K772">
        <f t="shared" si="37"/>
        <v>134</v>
      </c>
      <c r="L772">
        <f t="shared" si="38"/>
        <v>0</v>
      </c>
      <c r="M772">
        <v>134</v>
      </c>
      <c r="N772" s="3" t="s">
        <v>2222</v>
      </c>
      <c r="O772" s="6">
        <v>0</v>
      </c>
    </row>
    <row r="773" spans="1:15">
      <c r="A773" t="str">
        <f t="shared" si="36"/>
        <v>Kaos Mupsone1/1/10000</v>
      </c>
      <c r="B773" t="s">
        <v>10592</v>
      </c>
      <c r="C773" t="s">
        <v>15155</v>
      </c>
      <c r="D773" t="s">
        <v>12676</v>
      </c>
      <c r="E773" t="s">
        <v>1123</v>
      </c>
      <c r="F773">
        <v>1</v>
      </c>
      <c r="G773">
        <v>1</v>
      </c>
      <c r="H773">
        <v>1</v>
      </c>
      <c r="I773">
        <v>1</v>
      </c>
      <c r="J773">
        <v>30</v>
      </c>
      <c r="K773">
        <f t="shared" si="37"/>
        <v>30</v>
      </c>
      <c r="L773">
        <f t="shared" si="38"/>
        <v>0</v>
      </c>
      <c r="M773">
        <v>30</v>
      </c>
      <c r="N773" s="3" t="s">
        <v>2222</v>
      </c>
      <c r="O773" s="6">
        <v>0</v>
      </c>
    </row>
    <row r="774" spans="1:15">
      <c r="A774" t="str">
        <f t="shared" si="36"/>
        <v>Kaos Mutual1/1/10000</v>
      </c>
      <c r="B774" t="s">
        <v>10593</v>
      </c>
      <c r="C774" t="s">
        <v>15156</v>
      </c>
      <c r="D774" t="s">
        <v>12677</v>
      </c>
      <c r="E774" t="s">
        <v>1124</v>
      </c>
      <c r="F774">
        <v>1</v>
      </c>
      <c r="G774">
        <v>1</v>
      </c>
      <c r="H774">
        <v>1</v>
      </c>
      <c r="I774">
        <v>1</v>
      </c>
      <c r="J774">
        <v>14</v>
      </c>
      <c r="K774">
        <f t="shared" si="37"/>
        <v>14</v>
      </c>
      <c r="L774">
        <f t="shared" si="38"/>
        <v>0</v>
      </c>
      <c r="M774">
        <v>14</v>
      </c>
      <c r="N774" s="3" t="s">
        <v>2222</v>
      </c>
      <c r="O774" s="6">
        <v>0</v>
      </c>
    </row>
    <row r="775" spans="1:15">
      <c r="A775" t="str">
        <f t="shared" si="36"/>
        <v>Kaos Novatec1/1/10000</v>
      </c>
      <c r="B775" t="s">
        <v>10594</v>
      </c>
      <c r="C775" t="s">
        <v>15157</v>
      </c>
      <c r="D775" t="s">
        <v>12678</v>
      </c>
      <c r="E775" t="s">
        <v>1125</v>
      </c>
      <c r="F775">
        <v>1</v>
      </c>
      <c r="G775">
        <v>1</v>
      </c>
      <c r="H775">
        <v>1</v>
      </c>
      <c r="I775">
        <v>1</v>
      </c>
      <c r="J775">
        <v>965</v>
      </c>
      <c r="K775">
        <f t="shared" si="37"/>
        <v>965</v>
      </c>
      <c r="L775">
        <f t="shared" si="38"/>
        <v>0</v>
      </c>
      <c r="M775">
        <v>965</v>
      </c>
      <c r="N775" s="3" t="s">
        <v>2222</v>
      </c>
      <c r="O775" s="6">
        <v>0</v>
      </c>
    </row>
    <row r="776" spans="1:15">
      <c r="A776" t="str">
        <f t="shared" si="36"/>
        <v>Kaos Orca1/1/10000</v>
      </c>
      <c r="B776" t="s">
        <v>10595</v>
      </c>
      <c r="C776" t="s">
        <v>15158</v>
      </c>
      <c r="D776" t="s">
        <v>12679</v>
      </c>
      <c r="E776" t="s">
        <v>1126</v>
      </c>
      <c r="F776">
        <v>1</v>
      </c>
      <c r="G776">
        <v>1</v>
      </c>
      <c r="H776">
        <v>1</v>
      </c>
      <c r="I776">
        <v>1</v>
      </c>
      <c r="J776">
        <v>125</v>
      </c>
      <c r="K776">
        <f t="shared" si="37"/>
        <v>125</v>
      </c>
      <c r="L776">
        <f t="shared" si="38"/>
        <v>0</v>
      </c>
      <c r="M776">
        <v>125</v>
      </c>
      <c r="N776" s="3" t="s">
        <v>2222</v>
      </c>
      <c r="O776" s="6">
        <v>0</v>
      </c>
    </row>
    <row r="777" spans="1:15">
      <c r="A777" t="str">
        <f t="shared" si="36"/>
        <v>Kaos Petani Sejati1/1/10000</v>
      </c>
      <c r="B777" t="s">
        <v>10596</v>
      </c>
      <c r="C777" t="s">
        <v>15159</v>
      </c>
      <c r="D777" t="s">
        <v>12680</v>
      </c>
      <c r="E777" t="s">
        <v>1127</v>
      </c>
      <c r="F777">
        <v>1</v>
      </c>
      <c r="G777">
        <v>1</v>
      </c>
      <c r="H777">
        <v>1</v>
      </c>
      <c r="I777">
        <v>1</v>
      </c>
      <c r="J777">
        <v>264</v>
      </c>
      <c r="K777">
        <f t="shared" si="37"/>
        <v>264</v>
      </c>
      <c r="L777">
        <f t="shared" si="38"/>
        <v>0</v>
      </c>
      <c r="M777">
        <v>264</v>
      </c>
      <c r="N777" s="3" t="s">
        <v>2222</v>
      </c>
      <c r="O777" s="6">
        <v>0</v>
      </c>
    </row>
    <row r="778" spans="1:15">
      <c r="A778" t="str">
        <f t="shared" si="36"/>
        <v>Kaos Phoscormit1/1/10000</v>
      </c>
      <c r="B778" t="s">
        <v>10597</v>
      </c>
      <c r="C778" t="s">
        <v>15160</v>
      </c>
      <c r="D778" t="s">
        <v>12681</v>
      </c>
      <c r="E778" t="s">
        <v>1128</v>
      </c>
      <c r="F778">
        <v>1</v>
      </c>
      <c r="G778">
        <v>1</v>
      </c>
      <c r="H778">
        <v>1</v>
      </c>
      <c r="I778">
        <v>1</v>
      </c>
      <c r="J778">
        <v>20</v>
      </c>
      <c r="K778">
        <f t="shared" si="37"/>
        <v>20</v>
      </c>
      <c r="L778">
        <f t="shared" si="38"/>
        <v>0</v>
      </c>
      <c r="M778">
        <v>20</v>
      </c>
      <c r="N778" s="3" t="s">
        <v>2222</v>
      </c>
      <c r="O778" s="6">
        <v>0</v>
      </c>
    </row>
    <row r="779" spans="1:15">
      <c r="A779" t="str">
        <f t="shared" si="36"/>
        <v>Kaos Phosgrow1/1/10000</v>
      </c>
      <c r="B779" t="s">
        <v>10598</v>
      </c>
      <c r="C779" t="s">
        <v>15161</v>
      </c>
      <c r="D779" t="s">
        <v>12682</v>
      </c>
      <c r="E779" t="s">
        <v>1129</v>
      </c>
      <c r="F779">
        <v>1</v>
      </c>
      <c r="G779">
        <v>1</v>
      </c>
      <c r="H779">
        <v>1</v>
      </c>
      <c r="I779">
        <v>1</v>
      </c>
      <c r="J779">
        <v>314</v>
      </c>
      <c r="K779">
        <f t="shared" si="37"/>
        <v>314</v>
      </c>
      <c r="L779">
        <f t="shared" si="38"/>
        <v>0</v>
      </c>
      <c r="M779">
        <v>314</v>
      </c>
      <c r="N779" s="3" t="s">
        <v>2222</v>
      </c>
      <c r="O779" s="6">
        <v>0</v>
      </c>
    </row>
    <row r="780" spans="1:15">
      <c r="A780" t="str">
        <f t="shared" si="36"/>
        <v>Kaos Ponco Ceba1/1/10000</v>
      </c>
      <c r="B780" t="s">
        <v>10599</v>
      </c>
      <c r="C780" t="s">
        <v>15162</v>
      </c>
      <c r="D780" t="s">
        <v>12683</v>
      </c>
      <c r="E780" t="s">
        <v>1130</v>
      </c>
      <c r="F780">
        <v>1</v>
      </c>
      <c r="G780">
        <v>1</v>
      </c>
      <c r="H780">
        <v>1</v>
      </c>
      <c r="I780">
        <v>1</v>
      </c>
      <c r="J780">
        <v>21</v>
      </c>
      <c r="K780">
        <f t="shared" si="37"/>
        <v>21</v>
      </c>
      <c r="L780">
        <f t="shared" si="38"/>
        <v>0</v>
      </c>
      <c r="M780">
        <v>21</v>
      </c>
      <c r="N780" s="3" t="s">
        <v>2222</v>
      </c>
      <c r="O780" s="6">
        <v>0</v>
      </c>
    </row>
    <row r="781" spans="1:15">
      <c r="A781" t="str">
        <f t="shared" si="36"/>
        <v>Kaos Prima-Zeb1/1/10000</v>
      </c>
      <c r="B781" t="s">
        <v>10600</v>
      </c>
      <c r="C781" t="s">
        <v>15163</v>
      </c>
      <c r="D781" t="s">
        <v>12684</v>
      </c>
      <c r="E781" t="s">
        <v>1131</v>
      </c>
      <c r="F781">
        <v>1</v>
      </c>
      <c r="G781">
        <v>1</v>
      </c>
      <c r="H781">
        <v>1</v>
      </c>
      <c r="I781">
        <v>1</v>
      </c>
      <c r="J781">
        <v>254</v>
      </c>
      <c r="K781">
        <f t="shared" si="37"/>
        <v>254</v>
      </c>
      <c r="L781">
        <f t="shared" si="38"/>
        <v>0</v>
      </c>
      <c r="M781">
        <v>254</v>
      </c>
      <c r="N781" s="3" t="s">
        <v>2222</v>
      </c>
      <c r="O781" s="6">
        <v>0</v>
      </c>
    </row>
    <row r="782" spans="1:15">
      <c r="A782" t="str">
        <f t="shared" si="36"/>
        <v>Kaos Pupuk Hayati1/1/10000</v>
      </c>
      <c r="B782" t="s">
        <v>10601</v>
      </c>
      <c r="C782" t="s">
        <v>15164</v>
      </c>
      <c r="D782" t="s">
        <v>12685</v>
      </c>
      <c r="E782" t="s">
        <v>1132</v>
      </c>
      <c r="F782">
        <v>1</v>
      </c>
      <c r="G782">
        <v>1</v>
      </c>
      <c r="H782">
        <v>1</v>
      </c>
      <c r="I782">
        <v>1</v>
      </c>
      <c r="J782">
        <v>67</v>
      </c>
      <c r="K782">
        <f t="shared" si="37"/>
        <v>67</v>
      </c>
      <c r="L782">
        <f t="shared" si="38"/>
        <v>0</v>
      </c>
      <c r="M782">
        <v>67</v>
      </c>
      <c r="N782" s="3" t="s">
        <v>2222</v>
      </c>
      <c r="O782" s="6">
        <v>0</v>
      </c>
    </row>
    <row r="783" spans="1:15">
      <c r="A783" t="str">
        <f t="shared" si="36"/>
        <v>Kaos Qiu Asri1/1/10000</v>
      </c>
      <c r="B783" t="s">
        <v>10602</v>
      </c>
      <c r="C783" t="s">
        <v>15165</v>
      </c>
      <c r="D783" t="s">
        <v>12686</v>
      </c>
      <c r="E783" t="s">
        <v>1133</v>
      </c>
      <c r="F783">
        <v>1</v>
      </c>
      <c r="G783">
        <v>1</v>
      </c>
      <c r="H783">
        <v>1</v>
      </c>
      <c r="I783">
        <v>1</v>
      </c>
      <c r="J783">
        <v>4638</v>
      </c>
      <c r="K783">
        <f t="shared" si="37"/>
        <v>4638</v>
      </c>
      <c r="L783">
        <f t="shared" si="38"/>
        <v>0</v>
      </c>
      <c r="M783">
        <v>4638</v>
      </c>
      <c r="N783" s="3" t="s">
        <v>2222</v>
      </c>
      <c r="O783" s="6">
        <v>0</v>
      </c>
    </row>
    <row r="784" spans="1:15">
      <c r="A784" t="str">
        <f t="shared" si="36"/>
        <v>Kaos Qiu Asri Hijau1/1/10000</v>
      </c>
      <c r="B784" t="s">
        <v>10603</v>
      </c>
      <c r="C784" t="s">
        <v>15166</v>
      </c>
      <c r="D784" t="s">
        <v>12687</v>
      </c>
      <c r="E784" t="s">
        <v>1134</v>
      </c>
      <c r="F784">
        <v>1</v>
      </c>
      <c r="G784">
        <v>1</v>
      </c>
      <c r="H784">
        <v>1</v>
      </c>
      <c r="I784">
        <v>1</v>
      </c>
      <c r="J784">
        <v>6700</v>
      </c>
      <c r="K784">
        <f t="shared" si="37"/>
        <v>6700</v>
      </c>
      <c r="L784">
        <f t="shared" si="38"/>
        <v>0</v>
      </c>
      <c r="M784">
        <v>6700</v>
      </c>
      <c r="N784" s="3" t="s">
        <v>2222</v>
      </c>
      <c r="O784" s="6">
        <v>0</v>
      </c>
    </row>
    <row r="785" spans="1:15">
      <c r="A785" t="str">
        <f t="shared" si="36"/>
        <v>Kaos Qiuvita1/1/10000</v>
      </c>
      <c r="B785" t="s">
        <v>10604</v>
      </c>
      <c r="C785" t="s">
        <v>15167</v>
      </c>
      <c r="D785" t="s">
        <v>12688</v>
      </c>
      <c r="E785" t="s">
        <v>1135</v>
      </c>
      <c r="F785">
        <v>1</v>
      </c>
      <c r="G785">
        <v>1</v>
      </c>
      <c r="H785">
        <v>1</v>
      </c>
      <c r="I785">
        <v>1</v>
      </c>
      <c r="J785">
        <v>1090</v>
      </c>
      <c r="K785">
        <f t="shared" si="37"/>
        <v>1090</v>
      </c>
      <c r="L785">
        <f t="shared" si="38"/>
        <v>0</v>
      </c>
      <c r="M785">
        <v>1090</v>
      </c>
      <c r="N785" s="3" t="s">
        <v>2222</v>
      </c>
      <c r="O785" s="6">
        <v>0</v>
      </c>
    </row>
    <row r="786" spans="1:15">
      <c r="A786" t="str">
        <f t="shared" si="36"/>
        <v>Kaos Saber1/1/10000</v>
      </c>
      <c r="B786" t="s">
        <v>10605</v>
      </c>
      <c r="C786" t="s">
        <v>15168</v>
      </c>
      <c r="D786" t="s">
        <v>12689</v>
      </c>
      <c r="E786" t="s">
        <v>1136</v>
      </c>
      <c r="F786">
        <v>1</v>
      </c>
      <c r="G786">
        <v>1</v>
      </c>
      <c r="H786">
        <v>1</v>
      </c>
      <c r="I786">
        <v>1</v>
      </c>
      <c r="J786">
        <v>26</v>
      </c>
      <c r="K786">
        <f t="shared" si="37"/>
        <v>26</v>
      </c>
      <c r="L786">
        <f t="shared" si="38"/>
        <v>0</v>
      </c>
      <c r="M786">
        <v>26</v>
      </c>
      <c r="N786" s="3" t="s">
        <v>2222</v>
      </c>
      <c r="O786" s="6">
        <v>0</v>
      </c>
    </row>
    <row r="787" spans="1:15">
      <c r="A787" t="str">
        <f t="shared" si="36"/>
        <v>Kaos Saprodap1/1/10000</v>
      </c>
      <c r="B787" t="s">
        <v>10606</v>
      </c>
      <c r="C787" t="s">
        <v>15169</v>
      </c>
      <c r="D787" t="s">
        <v>12690</v>
      </c>
      <c r="E787" t="s">
        <v>1137</v>
      </c>
      <c r="F787">
        <v>1</v>
      </c>
      <c r="G787">
        <v>1</v>
      </c>
      <c r="H787">
        <v>1</v>
      </c>
      <c r="I787">
        <v>1</v>
      </c>
      <c r="J787">
        <v>488</v>
      </c>
      <c r="K787">
        <f t="shared" si="37"/>
        <v>488</v>
      </c>
      <c r="L787">
        <f t="shared" si="38"/>
        <v>0</v>
      </c>
      <c r="M787">
        <v>488</v>
      </c>
      <c r="N787" s="3" t="s">
        <v>2222</v>
      </c>
      <c r="O787" s="6">
        <v>0</v>
      </c>
    </row>
    <row r="788" spans="1:15">
      <c r="A788" t="str">
        <f t="shared" si="36"/>
        <v>Kaos Saprotan1/1/10000</v>
      </c>
      <c r="B788" t="s">
        <v>10607</v>
      </c>
      <c r="C788" t="s">
        <v>15170</v>
      </c>
      <c r="D788" t="s">
        <v>12691</v>
      </c>
      <c r="E788" t="s">
        <v>1138</v>
      </c>
      <c r="F788">
        <v>1</v>
      </c>
      <c r="G788">
        <v>1</v>
      </c>
      <c r="H788">
        <v>1</v>
      </c>
      <c r="I788">
        <v>1</v>
      </c>
      <c r="J788">
        <v>33</v>
      </c>
      <c r="K788">
        <f t="shared" si="37"/>
        <v>33</v>
      </c>
      <c r="L788">
        <f t="shared" si="38"/>
        <v>0</v>
      </c>
      <c r="M788">
        <v>33</v>
      </c>
      <c r="N788" s="3" t="s">
        <v>2222</v>
      </c>
      <c r="O788" s="6">
        <v>0</v>
      </c>
    </row>
    <row r="789" spans="1:15">
      <c r="A789" t="str">
        <f t="shared" si="36"/>
        <v>Kaos Sari Kresna D31/1/10000</v>
      </c>
      <c r="B789" t="s">
        <v>10608</v>
      </c>
      <c r="C789" t="s">
        <v>15171</v>
      </c>
      <c r="D789" t="s">
        <v>12692</v>
      </c>
      <c r="E789" t="s">
        <v>1139</v>
      </c>
      <c r="F789">
        <v>1</v>
      </c>
      <c r="G789">
        <v>1</v>
      </c>
      <c r="H789">
        <v>1</v>
      </c>
      <c r="I789">
        <v>1</v>
      </c>
      <c r="J789">
        <v>52</v>
      </c>
      <c r="K789">
        <f t="shared" si="37"/>
        <v>52</v>
      </c>
      <c r="L789">
        <f t="shared" si="38"/>
        <v>0</v>
      </c>
      <c r="M789">
        <v>52</v>
      </c>
      <c r="N789" s="3" t="s">
        <v>2222</v>
      </c>
      <c r="O789" s="6">
        <v>0</v>
      </c>
    </row>
    <row r="790" spans="1:15">
      <c r="A790" t="str">
        <f t="shared" si="36"/>
        <v>Kaos Savity1/1/10000</v>
      </c>
      <c r="B790" t="s">
        <v>10609</v>
      </c>
      <c r="C790" t="s">
        <v>15172</v>
      </c>
      <c r="D790" t="s">
        <v>12693</v>
      </c>
      <c r="E790" t="s">
        <v>1140</v>
      </c>
      <c r="F790">
        <v>1</v>
      </c>
      <c r="G790">
        <v>1</v>
      </c>
      <c r="H790">
        <v>1</v>
      </c>
      <c r="I790">
        <v>1</v>
      </c>
      <c r="J790">
        <v>85</v>
      </c>
      <c r="K790">
        <f t="shared" si="37"/>
        <v>85</v>
      </c>
      <c r="L790">
        <f t="shared" si="38"/>
        <v>0</v>
      </c>
      <c r="M790">
        <v>85</v>
      </c>
      <c r="N790" s="3" t="s">
        <v>2222</v>
      </c>
      <c r="O790" s="6">
        <v>0</v>
      </c>
    </row>
    <row r="791" spans="1:15">
      <c r="A791" t="str">
        <f t="shared" si="36"/>
        <v>Kaos Seminis1/1/10000</v>
      </c>
      <c r="B791" t="s">
        <v>10610</v>
      </c>
      <c r="C791" t="s">
        <v>15173</v>
      </c>
      <c r="D791" t="s">
        <v>12694</v>
      </c>
      <c r="E791" t="s">
        <v>1141</v>
      </c>
      <c r="F791">
        <v>1</v>
      </c>
      <c r="G791">
        <v>1</v>
      </c>
      <c r="H791">
        <v>1</v>
      </c>
      <c r="I791">
        <v>1</v>
      </c>
      <c r="J791">
        <v>30</v>
      </c>
      <c r="K791">
        <f t="shared" si="37"/>
        <v>30</v>
      </c>
      <c r="L791">
        <f t="shared" si="38"/>
        <v>0</v>
      </c>
      <c r="M791">
        <v>30</v>
      </c>
      <c r="N791" s="3" t="s">
        <v>2222</v>
      </c>
      <c r="O791" s="6">
        <v>0</v>
      </c>
    </row>
    <row r="792" spans="1:15">
      <c r="A792" t="str">
        <f t="shared" si="36"/>
        <v>Kaos Sinasen 300 SC1/1/10000</v>
      </c>
      <c r="B792" t="s">
        <v>10611</v>
      </c>
      <c r="C792" t="s">
        <v>15174</v>
      </c>
      <c r="D792" t="s">
        <v>12695</v>
      </c>
      <c r="E792" t="s">
        <v>1142</v>
      </c>
      <c r="F792">
        <v>1</v>
      </c>
      <c r="G792">
        <v>1</v>
      </c>
      <c r="H792">
        <v>1</v>
      </c>
      <c r="I792">
        <v>1</v>
      </c>
      <c r="J792">
        <v>3045</v>
      </c>
      <c r="K792">
        <f t="shared" si="37"/>
        <v>3045</v>
      </c>
      <c r="L792">
        <f t="shared" si="38"/>
        <v>0</v>
      </c>
      <c r="M792">
        <v>3045</v>
      </c>
      <c r="N792" s="3" t="s">
        <v>2222</v>
      </c>
      <c r="O792" s="6">
        <v>0</v>
      </c>
    </row>
    <row r="793" spans="1:15">
      <c r="A793" t="str">
        <f t="shared" si="36"/>
        <v>Kaos Sofia1/1/10000</v>
      </c>
      <c r="B793" t="s">
        <v>10612</v>
      </c>
      <c r="C793" t="s">
        <v>15175</v>
      </c>
      <c r="D793" t="s">
        <v>12696</v>
      </c>
      <c r="E793" t="s">
        <v>1143</v>
      </c>
      <c r="F793">
        <v>1</v>
      </c>
      <c r="G793">
        <v>1</v>
      </c>
      <c r="H793">
        <v>1</v>
      </c>
      <c r="I793">
        <v>1</v>
      </c>
      <c r="J793">
        <v>8</v>
      </c>
      <c r="K793">
        <f t="shared" si="37"/>
        <v>8</v>
      </c>
      <c r="L793">
        <f t="shared" si="38"/>
        <v>0</v>
      </c>
      <c r="M793">
        <v>8</v>
      </c>
      <c r="N793" s="3" t="s">
        <v>2222</v>
      </c>
      <c r="O793" s="6">
        <v>0</v>
      </c>
    </row>
    <row r="794" spans="1:15">
      <c r="A794" t="str">
        <f t="shared" si="36"/>
        <v>Kaos Syngenta1/1/10000</v>
      </c>
      <c r="B794" t="s">
        <v>10613</v>
      </c>
      <c r="C794" t="s">
        <v>15176</v>
      </c>
      <c r="D794" t="s">
        <v>12697</v>
      </c>
      <c r="E794" t="s">
        <v>1144</v>
      </c>
      <c r="F794">
        <v>1</v>
      </c>
      <c r="G794">
        <v>1</v>
      </c>
      <c r="H794">
        <v>1</v>
      </c>
      <c r="I794">
        <v>1</v>
      </c>
      <c r="J794">
        <v>7583</v>
      </c>
      <c r="K794">
        <f t="shared" si="37"/>
        <v>7583</v>
      </c>
      <c r="L794">
        <f t="shared" si="38"/>
        <v>0</v>
      </c>
      <c r="M794">
        <v>7583</v>
      </c>
      <c r="N794" s="3" t="s">
        <v>2222</v>
      </c>
      <c r="O794" s="6">
        <v>0</v>
      </c>
    </row>
    <row r="795" spans="1:15">
      <c r="A795" t="str">
        <f t="shared" si="36"/>
        <v>Kaos THM Crespo1/1/10000</v>
      </c>
      <c r="B795" t="s">
        <v>10614</v>
      </c>
      <c r="C795" t="s">
        <v>15177</v>
      </c>
      <c r="D795" t="s">
        <v>12698</v>
      </c>
      <c r="E795" t="s">
        <v>1145</v>
      </c>
      <c r="F795">
        <v>1</v>
      </c>
      <c r="G795">
        <v>1</v>
      </c>
      <c r="H795">
        <v>1</v>
      </c>
      <c r="I795">
        <v>1</v>
      </c>
      <c r="J795">
        <v>100</v>
      </c>
      <c r="K795">
        <f t="shared" si="37"/>
        <v>100</v>
      </c>
      <c r="L795">
        <f t="shared" si="38"/>
        <v>0</v>
      </c>
      <c r="M795">
        <v>100</v>
      </c>
      <c r="N795" s="3" t="s">
        <v>2222</v>
      </c>
      <c r="O795" s="6">
        <v>0</v>
      </c>
    </row>
    <row r="796" spans="1:15">
      <c r="A796" t="str">
        <f t="shared" si="36"/>
        <v>Kaos Toxafin1/1/10000</v>
      </c>
      <c r="B796" t="s">
        <v>10615</v>
      </c>
      <c r="C796" t="s">
        <v>15178</v>
      </c>
      <c r="D796" t="s">
        <v>12699</v>
      </c>
      <c r="E796" t="s">
        <v>1146</v>
      </c>
      <c r="F796">
        <v>1</v>
      </c>
      <c r="G796">
        <v>1</v>
      </c>
      <c r="H796">
        <v>1</v>
      </c>
      <c r="I796">
        <v>1</v>
      </c>
      <c r="J796">
        <v>47</v>
      </c>
      <c r="K796">
        <f t="shared" si="37"/>
        <v>47</v>
      </c>
      <c r="L796">
        <f t="shared" si="38"/>
        <v>0</v>
      </c>
      <c r="M796">
        <v>47</v>
      </c>
      <c r="N796" s="3" t="s">
        <v>2222</v>
      </c>
      <c r="O796" s="6">
        <v>0</v>
      </c>
    </row>
    <row r="797" spans="1:15">
      <c r="A797" t="str">
        <f t="shared" si="36"/>
        <v>Kaos Tumagon1/1/10000</v>
      </c>
      <c r="B797" t="s">
        <v>10616</v>
      </c>
      <c r="C797" t="s">
        <v>15179</v>
      </c>
      <c r="D797" t="s">
        <v>12700</v>
      </c>
      <c r="E797" t="s">
        <v>1147</v>
      </c>
      <c r="F797">
        <v>1</v>
      </c>
      <c r="G797">
        <v>1</v>
      </c>
      <c r="H797">
        <v>1</v>
      </c>
      <c r="I797">
        <v>1</v>
      </c>
      <c r="J797">
        <v>67</v>
      </c>
      <c r="K797">
        <f t="shared" si="37"/>
        <v>67</v>
      </c>
      <c r="L797">
        <f t="shared" si="38"/>
        <v>0</v>
      </c>
      <c r="M797">
        <v>67</v>
      </c>
      <c r="N797" s="3" t="s">
        <v>2222</v>
      </c>
      <c r="O797" s="6">
        <v>0</v>
      </c>
    </row>
    <row r="798" spans="1:15">
      <c r="A798" t="str">
        <f t="shared" si="36"/>
        <v>Kaos UPL1/1/10000</v>
      </c>
      <c r="B798" t="s">
        <v>10617</v>
      </c>
      <c r="C798" t="s">
        <v>15180</v>
      </c>
      <c r="D798" t="s">
        <v>12701</v>
      </c>
      <c r="E798" t="s">
        <v>1148</v>
      </c>
      <c r="F798">
        <v>1</v>
      </c>
      <c r="G798">
        <v>1</v>
      </c>
      <c r="H798">
        <v>1</v>
      </c>
      <c r="I798">
        <v>1</v>
      </c>
      <c r="J798">
        <v>74</v>
      </c>
      <c r="K798">
        <f t="shared" si="37"/>
        <v>74</v>
      </c>
      <c r="L798">
        <f t="shared" si="38"/>
        <v>0</v>
      </c>
      <c r="M798">
        <v>74</v>
      </c>
      <c r="N798" s="3" t="s">
        <v>2222</v>
      </c>
      <c r="O798" s="6">
        <v>0</v>
      </c>
    </row>
    <row r="799" spans="1:15">
      <c r="A799" t="str">
        <f t="shared" si="36"/>
        <v>Karbasin 500 EC 20 X 500 ml458700</v>
      </c>
      <c r="B799" t="s">
        <v>10618</v>
      </c>
      <c r="C799" t="s">
        <v>15181</v>
      </c>
      <c r="D799" t="s">
        <v>12702</v>
      </c>
      <c r="E799" t="s">
        <v>1149</v>
      </c>
      <c r="F799">
        <v>20</v>
      </c>
      <c r="G799">
        <v>1</v>
      </c>
      <c r="H799">
        <v>1</v>
      </c>
      <c r="I799">
        <v>20</v>
      </c>
      <c r="J799">
        <v>940</v>
      </c>
      <c r="K799">
        <f t="shared" si="37"/>
        <v>47</v>
      </c>
      <c r="L799">
        <f t="shared" si="38"/>
        <v>0</v>
      </c>
      <c r="M799">
        <v>940</v>
      </c>
      <c r="N799" s="3">
        <v>45870</v>
      </c>
      <c r="O799" s="6">
        <v>0</v>
      </c>
    </row>
    <row r="800" spans="1:15">
      <c r="A800" t="str">
        <f t="shared" si="36"/>
        <v>Karburator Star Metal1/1/10000</v>
      </c>
      <c r="B800" t="s">
        <v>10619</v>
      </c>
      <c r="C800" t="s">
        <v>15182</v>
      </c>
      <c r="D800" t="s">
        <v>12703</v>
      </c>
      <c r="E800" t="s">
        <v>1151</v>
      </c>
      <c r="F800">
        <v>1</v>
      </c>
      <c r="G800">
        <v>1</v>
      </c>
      <c r="H800">
        <v>1</v>
      </c>
      <c r="I800">
        <v>1</v>
      </c>
      <c r="J800">
        <v>5</v>
      </c>
      <c r="K800">
        <f t="shared" si="37"/>
        <v>5</v>
      </c>
      <c r="L800">
        <f t="shared" si="38"/>
        <v>0</v>
      </c>
      <c r="M800">
        <v>5</v>
      </c>
      <c r="N800" s="3" t="s">
        <v>2222</v>
      </c>
      <c r="O800" s="6">
        <v>0</v>
      </c>
    </row>
    <row r="801" spans="1:15">
      <c r="A801" t="str">
        <f t="shared" si="36"/>
        <v>Karet Piston YT 5L1/1/10000</v>
      </c>
      <c r="B801" t="s">
        <v>10620</v>
      </c>
      <c r="C801" t="s">
        <v>15183</v>
      </c>
      <c r="D801" t="s">
        <v>12704</v>
      </c>
      <c r="E801" t="s">
        <v>1152</v>
      </c>
      <c r="F801">
        <v>1</v>
      </c>
      <c r="G801">
        <v>1</v>
      </c>
      <c r="H801">
        <v>1</v>
      </c>
      <c r="I801">
        <v>1</v>
      </c>
      <c r="J801">
        <v>40</v>
      </c>
      <c r="K801">
        <f t="shared" si="37"/>
        <v>40</v>
      </c>
      <c r="L801">
        <f t="shared" si="38"/>
        <v>0</v>
      </c>
      <c r="M801">
        <v>40</v>
      </c>
      <c r="N801" s="3" t="s">
        <v>2222</v>
      </c>
      <c r="O801" s="6">
        <v>0</v>
      </c>
    </row>
    <row r="802" spans="1:15">
      <c r="A802" t="str">
        <f t="shared" si="36"/>
        <v>Karimazu 590 EC 20 X 400 ml (Label Baru)469660</v>
      </c>
      <c r="B802" t="s">
        <v>10621</v>
      </c>
      <c r="C802" t="s">
        <v>15184</v>
      </c>
      <c r="D802" t="s">
        <v>12705</v>
      </c>
      <c r="E802" t="s">
        <v>1153</v>
      </c>
      <c r="F802">
        <v>20</v>
      </c>
      <c r="G802">
        <v>1</v>
      </c>
      <c r="H802">
        <v>1</v>
      </c>
      <c r="I802">
        <v>20</v>
      </c>
      <c r="J802">
        <v>479</v>
      </c>
      <c r="K802">
        <f t="shared" si="37"/>
        <v>23</v>
      </c>
      <c r="L802">
        <f t="shared" si="38"/>
        <v>19</v>
      </c>
      <c r="M802">
        <v>479</v>
      </c>
      <c r="N802" s="3">
        <v>46966</v>
      </c>
      <c r="O802" s="6">
        <v>0</v>
      </c>
    </row>
    <row r="803" spans="1:15">
      <c r="A803" t="str">
        <f t="shared" si="36"/>
        <v>Karimazu 590 EC 20 X 800 ml469350</v>
      </c>
      <c r="B803" t="s">
        <v>10622</v>
      </c>
      <c r="C803" t="s">
        <v>15185</v>
      </c>
      <c r="D803" t="s">
        <v>12706</v>
      </c>
      <c r="E803" t="s">
        <v>1155</v>
      </c>
      <c r="F803">
        <v>20</v>
      </c>
      <c r="G803">
        <v>1</v>
      </c>
      <c r="H803">
        <v>1</v>
      </c>
      <c r="I803">
        <v>20</v>
      </c>
      <c r="J803">
        <v>1334</v>
      </c>
      <c r="K803">
        <f t="shared" si="37"/>
        <v>66</v>
      </c>
      <c r="L803">
        <f t="shared" si="38"/>
        <v>14</v>
      </c>
      <c r="M803">
        <v>1334</v>
      </c>
      <c r="N803" s="3">
        <v>46935</v>
      </c>
      <c r="O803" s="6">
        <v>0</v>
      </c>
    </row>
    <row r="804" spans="1:15">
      <c r="A804" t="str">
        <f t="shared" si="36"/>
        <v>Karimazu 590 EC 40 X 200 ml469350</v>
      </c>
      <c r="B804" t="s">
        <v>10623</v>
      </c>
      <c r="C804" t="s">
        <v>15186</v>
      </c>
      <c r="D804" t="s">
        <v>12707</v>
      </c>
      <c r="E804" t="s">
        <v>1156</v>
      </c>
      <c r="F804">
        <v>40</v>
      </c>
      <c r="G804">
        <v>1</v>
      </c>
      <c r="H804">
        <v>1</v>
      </c>
      <c r="I804">
        <v>40</v>
      </c>
      <c r="J804">
        <v>205</v>
      </c>
      <c r="K804">
        <f t="shared" si="37"/>
        <v>5</v>
      </c>
      <c r="L804">
        <f t="shared" si="38"/>
        <v>5</v>
      </c>
      <c r="M804">
        <v>205</v>
      </c>
      <c r="N804" s="3">
        <v>46935</v>
      </c>
      <c r="O804" s="6">
        <v>0</v>
      </c>
    </row>
    <row r="805" spans="1:15">
      <c r="A805" t="str">
        <f t="shared" si="36"/>
        <v>Karung OPP Lami 10 kg Qiu Seed1/1/10000</v>
      </c>
      <c r="B805" t="s">
        <v>10624</v>
      </c>
      <c r="C805" t="s">
        <v>15187</v>
      </c>
      <c r="D805" t="s">
        <v>12708</v>
      </c>
      <c r="E805" t="s">
        <v>1158</v>
      </c>
      <c r="F805">
        <v>1</v>
      </c>
      <c r="G805">
        <v>1</v>
      </c>
      <c r="H805">
        <v>1</v>
      </c>
      <c r="I805">
        <v>1</v>
      </c>
      <c r="J805">
        <v>22042</v>
      </c>
      <c r="K805">
        <f t="shared" si="37"/>
        <v>22042</v>
      </c>
      <c r="L805">
        <f t="shared" si="38"/>
        <v>0</v>
      </c>
      <c r="M805">
        <v>22042</v>
      </c>
      <c r="N805" s="3" t="s">
        <v>2222</v>
      </c>
      <c r="O805" s="6">
        <v>0</v>
      </c>
    </row>
    <row r="806" spans="1:15">
      <c r="A806" t="str">
        <f t="shared" si="36"/>
        <v>Katup Pelepas Angin YT 5L1/1/10000</v>
      </c>
      <c r="B806" t="s">
        <v>10625</v>
      </c>
      <c r="C806" t="s">
        <v>15188</v>
      </c>
      <c r="D806" t="s">
        <v>12709</v>
      </c>
      <c r="E806" t="s">
        <v>1159</v>
      </c>
      <c r="F806">
        <v>1</v>
      </c>
      <c r="G806">
        <v>1</v>
      </c>
      <c r="H806">
        <v>1</v>
      </c>
      <c r="I806">
        <v>1</v>
      </c>
      <c r="J806">
        <v>110</v>
      </c>
      <c r="K806">
        <f t="shared" si="37"/>
        <v>110</v>
      </c>
      <c r="L806">
        <f t="shared" si="38"/>
        <v>0</v>
      </c>
      <c r="M806">
        <v>110</v>
      </c>
      <c r="N806" s="3" t="s">
        <v>2222</v>
      </c>
      <c r="O806" s="6">
        <v>0</v>
      </c>
    </row>
    <row r="807" spans="1:15">
      <c r="A807" t="str">
        <f t="shared" si="36"/>
        <v>Kelpak 11/0.031 SL 20 X 500 ml461740</v>
      </c>
      <c r="B807" t="s">
        <v>10626</v>
      </c>
      <c r="C807" t="s">
        <v>15189</v>
      </c>
      <c r="D807" t="s">
        <v>12710</v>
      </c>
      <c r="E807" t="s">
        <v>1160</v>
      </c>
      <c r="F807">
        <v>20</v>
      </c>
      <c r="G807">
        <v>1</v>
      </c>
      <c r="H807">
        <v>1</v>
      </c>
      <c r="I807">
        <v>20</v>
      </c>
      <c r="J807">
        <v>127</v>
      </c>
      <c r="K807">
        <f t="shared" si="37"/>
        <v>6</v>
      </c>
      <c r="L807">
        <f t="shared" si="38"/>
        <v>7</v>
      </c>
      <c r="M807">
        <v>127</v>
      </c>
      <c r="N807" s="3">
        <v>46174</v>
      </c>
      <c r="O807" s="6">
        <v>0</v>
      </c>
    </row>
    <row r="808" spans="1:15">
      <c r="A808" t="str">
        <f t="shared" si="36"/>
        <v>Kelpak 11/0.031 SL 40 X 250 ml461740</v>
      </c>
      <c r="B808" t="s">
        <v>10627</v>
      </c>
      <c r="C808" t="s">
        <v>15190</v>
      </c>
      <c r="D808" t="s">
        <v>12711</v>
      </c>
      <c r="E808" t="s">
        <v>1161</v>
      </c>
      <c r="F808">
        <v>40</v>
      </c>
      <c r="G808">
        <v>1</v>
      </c>
      <c r="H808">
        <v>1</v>
      </c>
      <c r="I808">
        <v>40</v>
      </c>
      <c r="J808">
        <v>238</v>
      </c>
      <c r="K808">
        <f t="shared" si="37"/>
        <v>5</v>
      </c>
      <c r="L808">
        <f t="shared" si="38"/>
        <v>38</v>
      </c>
      <c r="M808">
        <v>238</v>
      </c>
      <c r="N808" s="3">
        <v>46174</v>
      </c>
      <c r="O808" s="6">
        <v>0</v>
      </c>
    </row>
    <row r="809" spans="1:15">
      <c r="A809" t="str">
        <f t="shared" si="36"/>
        <v>Kelpak 11/0.031 SL 50 X 100 ml461740</v>
      </c>
      <c r="B809" t="s">
        <v>10628</v>
      </c>
      <c r="C809" t="s">
        <v>15191</v>
      </c>
      <c r="D809" t="s">
        <v>12712</v>
      </c>
      <c r="E809" t="s">
        <v>1162</v>
      </c>
      <c r="F809">
        <v>50</v>
      </c>
      <c r="G809">
        <v>1</v>
      </c>
      <c r="H809">
        <v>1</v>
      </c>
      <c r="I809">
        <v>50</v>
      </c>
      <c r="J809">
        <v>424</v>
      </c>
      <c r="K809">
        <f t="shared" si="37"/>
        <v>8</v>
      </c>
      <c r="L809">
        <f t="shared" si="38"/>
        <v>24</v>
      </c>
      <c r="M809">
        <v>424</v>
      </c>
      <c r="N809" s="3">
        <v>46174</v>
      </c>
      <c r="O809" s="6">
        <v>0</v>
      </c>
    </row>
    <row r="810" spans="1:15">
      <c r="A810" t="str">
        <f t="shared" si="36"/>
        <v>Kemeja MIA1/1/10000</v>
      </c>
      <c r="B810" t="s">
        <v>10629</v>
      </c>
      <c r="C810" t="s">
        <v>15192</v>
      </c>
      <c r="D810" t="s">
        <v>12713</v>
      </c>
      <c r="E810" t="s">
        <v>1163</v>
      </c>
      <c r="F810">
        <v>1</v>
      </c>
      <c r="G810">
        <v>1</v>
      </c>
      <c r="H810">
        <v>1</v>
      </c>
      <c r="I810">
        <v>1</v>
      </c>
      <c r="J810">
        <v>23</v>
      </c>
      <c r="K810">
        <f t="shared" si="37"/>
        <v>23</v>
      </c>
      <c r="L810">
        <f t="shared" si="38"/>
        <v>0</v>
      </c>
      <c r="M810">
        <v>23</v>
      </c>
      <c r="N810" s="3" t="s">
        <v>2222</v>
      </c>
      <c r="O810" s="6">
        <v>0</v>
      </c>
    </row>
    <row r="811" spans="1:15">
      <c r="A811" t="str">
        <f t="shared" si="36"/>
        <v>Kencis 55 EW 20 X 1 ltr471780</v>
      </c>
      <c r="B811" t="s">
        <v>10630</v>
      </c>
      <c r="C811" t="s">
        <v>15193</v>
      </c>
      <c r="D811" t="s">
        <v>12714</v>
      </c>
      <c r="E811" t="s">
        <v>1164</v>
      </c>
      <c r="F811">
        <v>20</v>
      </c>
      <c r="G811">
        <v>1</v>
      </c>
      <c r="H811">
        <v>1</v>
      </c>
      <c r="I811">
        <v>20</v>
      </c>
      <c r="J811">
        <v>171</v>
      </c>
      <c r="K811">
        <f t="shared" si="37"/>
        <v>8</v>
      </c>
      <c r="L811">
        <f t="shared" si="38"/>
        <v>11</v>
      </c>
      <c r="M811">
        <v>171</v>
      </c>
      <c r="N811" s="3">
        <v>47178</v>
      </c>
      <c r="O811" s="6">
        <v>0</v>
      </c>
    </row>
    <row r="812" spans="1:15">
      <c r="A812" t="str">
        <f t="shared" si="36"/>
        <v>Kencis 55 EW 20 X 1 ltr472390</v>
      </c>
      <c r="B812" t="s">
        <v>10631</v>
      </c>
      <c r="C812" t="s">
        <v>15194</v>
      </c>
      <c r="D812" t="s">
        <v>12715</v>
      </c>
      <c r="E812" t="s">
        <v>1164</v>
      </c>
      <c r="F812">
        <v>20</v>
      </c>
      <c r="G812">
        <v>1</v>
      </c>
      <c r="H812">
        <v>1</v>
      </c>
      <c r="I812">
        <v>20</v>
      </c>
      <c r="J812">
        <v>200</v>
      </c>
      <c r="K812">
        <f t="shared" si="37"/>
        <v>10</v>
      </c>
      <c r="L812">
        <f t="shared" si="38"/>
        <v>0</v>
      </c>
      <c r="M812">
        <v>200</v>
      </c>
      <c r="N812" s="3">
        <v>47239</v>
      </c>
      <c r="O812" s="6">
        <v>0</v>
      </c>
    </row>
    <row r="813" spans="1:15">
      <c r="A813" t="str">
        <f t="shared" si="36"/>
        <v>Kencis 55 EW 24 X 500 ml466310</v>
      </c>
      <c r="B813" t="s">
        <v>10632</v>
      </c>
      <c r="C813" t="s">
        <v>15195</v>
      </c>
      <c r="D813" t="s">
        <v>12716</v>
      </c>
      <c r="E813" t="s">
        <v>1165</v>
      </c>
      <c r="F813">
        <v>24</v>
      </c>
      <c r="G813">
        <v>1</v>
      </c>
      <c r="H813">
        <v>1</v>
      </c>
      <c r="I813">
        <v>24</v>
      </c>
      <c r="J813">
        <v>480</v>
      </c>
      <c r="K813">
        <f t="shared" si="37"/>
        <v>20</v>
      </c>
      <c r="L813">
        <f t="shared" si="38"/>
        <v>0</v>
      </c>
      <c r="M813">
        <v>480</v>
      </c>
      <c r="N813" s="3">
        <v>46631</v>
      </c>
      <c r="O813" s="6">
        <v>0</v>
      </c>
    </row>
    <row r="814" spans="1:15">
      <c r="A814" t="str">
        <f t="shared" si="36"/>
        <v>Kenmectin 39 EC 48 X 250 ml457170</v>
      </c>
      <c r="B814" t="s">
        <v>10633</v>
      </c>
      <c r="C814" t="s">
        <v>15196</v>
      </c>
      <c r="D814" t="s">
        <v>12717</v>
      </c>
      <c r="E814" t="s">
        <v>1166</v>
      </c>
      <c r="F814">
        <v>48</v>
      </c>
      <c r="G814">
        <v>1</v>
      </c>
      <c r="H814">
        <v>1</v>
      </c>
      <c r="I814">
        <v>48</v>
      </c>
      <c r="J814">
        <v>129</v>
      </c>
      <c r="K814">
        <f t="shared" si="37"/>
        <v>2</v>
      </c>
      <c r="L814">
        <f t="shared" si="38"/>
        <v>33</v>
      </c>
      <c r="M814">
        <v>129</v>
      </c>
      <c r="N814" s="3">
        <v>45717</v>
      </c>
      <c r="O814" s="6">
        <v>0</v>
      </c>
    </row>
    <row r="815" spans="1:15">
      <c r="A815" t="str">
        <f t="shared" si="36"/>
        <v>Kenmectin 39 EC 48 X 250 ml459010</v>
      </c>
      <c r="B815" t="s">
        <v>10634</v>
      </c>
      <c r="C815" t="s">
        <v>15197</v>
      </c>
      <c r="D815" t="s">
        <v>12718</v>
      </c>
      <c r="E815" t="s">
        <v>1166</v>
      </c>
      <c r="F815">
        <v>48</v>
      </c>
      <c r="G815">
        <v>1</v>
      </c>
      <c r="H815">
        <v>1</v>
      </c>
      <c r="I815">
        <v>48</v>
      </c>
      <c r="J815">
        <v>816</v>
      </c>
      <c r="K815">
        <f t="shared" si="37"/>
        <v>17</v>
      </c>
      <c r="L815">
        <f t="shared" si="38"/>
        <v>0</v>
      </c>
      <c r="M815">
        <v>816</v>
      </c>
      <c r="N815" s="3">
        <v>45901</v>
      </c>
      <c r="O815" s="6">
        <v>0</v>
      </c>
    </row>
    <row r="816" spans="1:15">
      <c r="A816" t="str">
        <f t="shared" si="36"/>
        <v>Ken-Mida 12/50 EC 100 X 100 ml463270</v>
      </c>
      <c r="B816" t="s">
        <v>10635</v>
      </c>
      <c r="C816" t="s">
        <v>15198</v>
      </c>
      <c r="D816" t="s">
        <v>12719</v>
      </c>
      <c r="E816" t="s">
        <v>1167</v>
      </c>
      <c r="F816">
        <v>100</v>
      </c>
      <c r="G816">
        <v>1</v>
      </c>
      <c r="H816">
        <v>1</v>
      </c>
      <c r="I816">
        <v>100</v>
      </c>
      <c r="J816">
        <v>940</v>
      </c>
      <c r="K816">
        <f t="shared" si="37"/>
        <v>9</v>
      </c>
      <c r="L816">
        <f t="shared" si="38"/>
        <v>40</v>
      </c>
      <c r="M816">
        <v>940</v>
      </c>
      <c r="N816" s="3">
        <v>46327</v>
      </c>
      <c r="O816" s="6">
        <v>0</v>
      </c>
    </row>
    <row r="817" spans="1:15">
      <c r="A817" t="str">
        <f t="shared" si="36"/>
        <v>Ken-Mida 12/50 EC 100 X 100 ml465690</v>
      </c>
      <c r="B817" t="s">
        <v>10636</v>
      </c>
      <c r="C817" t="s">
        <v>15199</v>
      </c>
      <c r="D817" t="s">
        <v>12720</v>
      </c>
      <c r="E817" t="s">
        <v>1167</v>
      </c>
      <c r="F817">
        <v>100</v>
      </c>
      <c r="G817">
        <v>1</v>
      </c>
      <c r="H817">
        <v>1</v>
      </c>
      <c r="I817">
        <v>100</v>
      </c>
      <c r="J817">
        <v>1000</v>
      </c>
      <c r="K817">
        <f t="shared" si="37"/>
        <v>10</v>
      </c>
      <c r="L817">
        <f t="shared" si="38"/>
        <v>0</v>
      </c>
      <c r="M817">
        <v>1000</v>
      </c>
      <c r="N817" s="3">
        <v>46569</v>
      </c>
      <c r="O817" s="6">
        <v>0</v>
      </c>
    </row>
    <row r="818" spans="1:15">
      <c r="A818" t="str">
        <f t="shared" si="36"/>
        <v>Ken-Mida 12/50 EC 24 X 500 ml462040</v>
      </c>
      <c r="B818" t="s">
        <v>10637</v>
      </c>
      <c r="C818" t="s">
        <v>15200</v>
      </c>
      <c r="D818" t="s">
        <v>12721</v>
      </c>
      <c r="E818" t="s">
        <v>1168</v>
      </c>
      <c r="F818">
        <v>24</v>
      </c>
      <c r="G818">
        <v>1</v>
      </c>
      <c r="H818">
        <v>1</v>
      </c>
      <c r="I818">
        <v>24</v>
      </c>
      <c r="J818">
        <v>480</v>
      </c>
      <c r="K818">
        <f t="shared" si="37"/>
        <v>20</v>
      </c>
      <c r="L818">
        <f t="shared" si="38"/>
        <v>0</v>
      </c>
      <c r="M818">
        <v>480</v>
      </c>
      <c r="N818" s="3">
        <v>46204</v>
      </c>
      <c r="O818" s="6">
        <v>0</v>
      </c>
    </row>
    <row r="819" spans="1:15">
      <c r="A819" t="str">
        <f t="shared" si="36"/>
        <v>Ken-Mida 12/50 EC 48 X 250 ml463270</v>
      </c>
      <c r="B819" t="s">
        <v>10638</v>
      </c>
      <c r="C819" t="s">
        <v>15201</v>
      </c>
      <c r="D819" t="s">
        <v>12722</v>
      </c>
      <c r="E819" t="s">
        <v>1169</v>
      </c>
      <c r="F819">
        <v>48</v>
      </c>
      <c r="G819">
        <v>1</v>
      </c>
      <c r="H819">
        <v>1</v>
      </c>
      <c r="I819">
        <v>48</v>
      </c>
      <c r="J819">
        <v>22</v>
      </c>
      <c r="K819">
        <f t="shared" si="37"/>
        <v>0</v>
      </c>
      <c r="L819">
        <f t="shared" si="38"/>
        <v>22</v>
      </c>
      <c r="M819">
        <v>22</v>
      </c>
      <c r="N819" s="3">
        <v>46327</v>
      </c>
      <c r="O819" s="6">
        <v>0</v>
      </c>
    </row>
    <row r="820" spans="1:15">
      <c r="A820" t="str">
        <f t="shared" si="36"/>
        <v>Ken-Mida 12/50 EC 48 X 250 ml463880</v>
      </c>
      <c r="B820" t="s">
        <v>10639</v>
      </c>
      <c r="C820" t="s">
        <v>15202</v>
      </c>
      <c r="D820" t="s">
        <v>12723</v>
      </c>
      <c r="E820" t="s">
        <v>1169</v>
      </c>
      <c r="F820">
        <v>48</v>
      </c>
      <c r="G820">
        <v>1</v>
      </c>
      <c r="H820">
        <v>1</v>
      </c>
      <c r="I820">
        <v>48</v>
      </c>
      <c r="J820">
        <v>864</v>
      </c>
      <c r="K820">
        <f t="shared" si="37"/>
        <v>18</v>
      </c>
      <c r="L820">
        <f t="shared" si="38"/>
        <v>0</v>
      </c>
      <c r="M820">
        <v>864</v>
      </c>
      <c r="N820" s="3">
        <v>46388</v>
      </c>
      <c r="O820" s="6">
        <v>0</v>
      </c>
    </row>
    <row r="821" spans="1:15">
      <c r="A821" t="str">
        <f t="shared" si="36"/>
        <v>Kick Off 36 EC 20 X 1 ltr456270</v>
      </c>
      <c r="B821" t="s">
        <v>10640</v>
      </c>
      <c r="C821" t="s">
        <v>15203</v>
      </c>
      <c r="D821" t="s">
        <v>12724</v>
      </c>
      <c r="E821" t="s">
        <v>1170</v>
      </c>
      <c r="F821">
        <v>20</v>
      </c>
      <c r="G821">
        <v>1</v>
      </c>
      <c r="H821">
        <v>1</v>
      </c>
      <c r="I821">
        <v>20</v>
      </c>
      <c r="J821">
        <v>153</v>
      </c>
      <c r="K821">
        <f t="shared" si="37"/>
        <v>7</v>
      </c>
      <c r="L821">
        <f t="shared" si="38"/>
        <v>13</v>
      </c>
      <c r="M821">
        <v>153</v>
      </c>
      <c r="N821" s="3">
        <v>45627</v>
      </c>
      <c r="O821" s="6">
        <v>0</v>
      </c>
    </row>
    <row r="822" spans="1:15">
      <c r="A822" t="str">
        <f t="shared" si="36"/>
        <v>Kick Off 36 EC 48 X 100 ml452310</v>
      </c>
      <c r="B822" t="s">
        <v>10641</v>
      </c>
      <c r="C822" t="s">
        <v>15204</v>
      </c>
      <c r="D822" t="s">
        <v>12725</v>
      </c>
      <c r="E822" t="s">
        <v>1172</v>
      </c>
      <c r="F822">
        <v>48</v>
      </c>
      <c r="G822">
        <v>1</v>
      </c>
      <c r="H822">
        <v>1</v>
      </c>
      <c r="I822">
        <v>48</v>
      </c>
      <c r="J822">
        <v>22</v>
      </c>
      <c r="K822">
        <f t="shared" si="37"/>
        <v>0</v>
      </c>
      <c r="L822">
        <f t="shared" si="38"/>
        <v>22</v>
      </c>
      <c r="M822">
        <v>22</v>
      </c>
      <c r="N822" s="3">
        <v>45231</v>
      </c>
      <c r="O822" s="6">
        <v>0</v>
      </c>
    </row>
    <row r="823" spans="1:15">
      <c r="A823" t="str">
        <f t="shared" si="36"/>
        <v>Kick Off 36 EC 48 X 100 ml455360</v>
      </c>
      <c r="B823" t="s">
        <v>10642</v>
      </c>
      <c r="C823" t="s">
        <v>15205</v>
      </c>
      <c r="D823" t="s">
        <v>12726</v>
      </c>
      <c r="E823" t="s">
        <v>1172</v>
      </c>
      <c r="F823">
        <v>48</v>
      </c>
      <c r="G823">
        <v>1</v>
      </c>
      <c r="H823">
        <v>1</v>
      </c>
      <c r="I823">
        <v>48</v>
      </c>
      <c r="J823">
        <v>80</v>
      </c>
      <c r="K823">
        <f t="shared" si="37"/>
        <v>1</v>
      </c>
      <c r="L823">
        <f t="shared" si="38"/>
        <v>32</v>
      </c>
      <c r="M823">
        <v>80</v>
      </c>
      <c r="N823" s="3">
        <v>45536</v>
      </c>
      <c r="O823" s="6">
        <v>0</v>
      </c>
    </row>
    <row r="824" spans="1:15">
      <c r="A824" t="str">
        <f t="shared" si="36"/>
        <v>Kilau 36 WP 6 X 50 X 25 gr455050</v>
      </c>
      <c r="B824" t="s">
        <v>10643</v>
      </c>
      <c r="C824" t="s">
        <v>15206</v>
      </c>
      <c r="D824" t="s">
        <v>12727</v>
      </c>
      <c r="E824" t="s">
        <v>1175</v>
      </c>
      <c r="F824">
        <v>6</v>
      </c>
      <c r="G824">
        <v>50</v>
      </c>
      <c r="H824">
        <v>1</v>
      </c>
      <c r="I824">
        <v>300</v>
      </c>
      <c r="J824">
        <v>8641</v>
      </c>
      <c r="K824">
        <f t="shared" si="37"/>
        <v>28</v>
      </c>
      <c r="L824">
        <f t="shared" si="38"/>
        <v>241</v>
      </c>
      <c r="M824">
        <v>8641</v>
      </c>
      <c r="N824" s="3">
        <v>45505</v>
      </c>
      <c r="O824" s="6">
        <v>0</v>
      </c>
    </row>
    <row r="825" spans="1:15">
      <c r="A825" t="str">
        <f t="shared" si="36"/>
        <v>Kingdom 550 SC 20 ltr469970</v>
      </c>
      <c r="B825" t="s">
        <v>10644</v>
      </c>
      <c r="C825" t="s">
        <v>15207</v>
      </c>
      <c r="D825" t="s">
        <v>12728</v>
      </c>
      <c r="E825" t="s">
        <v>1176</v>
      </c>
      <c r="F825">
        <v>1</v>
      </c>
      <c r="G825">
        <v>1</v>
      </c>
      <c r="H825">
        <v>1</v>
      </c>
      <c r="I825">
        <v>1</v>
      </c>
      <c r="J825">
        <v>49</v>
      </c>
      <c r="K825">
        <f t="shared" si="37"/>
        <v>49</v>
      </c>
      <c r="L825">
        <f t="shared" si="38"/>
        <v>0</v>
      </c>
      <c r="M825">
        <v>49</v>
      </c>
      <c r="N825" s="3">
        <v>46997</v>
      </c>
      <c r="O825" s="6">
        <v>0</v>
      </c>
    </row>
    <row r="826" spans="1:15">
      <c r="A826" t="str">
        <f t="shared" si="36"/>
        <v>Kingdom 550 SC 20 X 1 ltr466610</v>
      </c>
      <c r="B826" t="s">
        <v>10645</v>
      </c>
      <c r="C826" t="s">
        <v>15208</v>
      </c>
      <c r="D826" t="s">
        <v>12729</v>
      </c>
      <c r="E826" t="s">
        <v>1177</v>
      </c>
      <c r="F826">
        <v>20</v>
      </c>
      <c r="G826">
        <v>1</v>
      </c>
      <c r="H826">
        <v>1</v>
      </c>
      <c r="I826">
        <v>20</v>
      </c>
      <c r="J826">
        <v>29</v>
      </c>
      <c r="K826">
        <f t="shared" si="37"/>
        <v>1</v>
      </c>
      <c r="L826">
        <f t="shared" si="38"/>
        <v>9</v>
      </c>
      <c r="M826">
        <v>29</v>
      </c>
      <c r="N826" s="3">
        <v>46661</v>
      </c>
      <c r="O826" s="6">
        <v>0</v>
      </c>
    </row>
    <row r="827" spans="1:15">
      <c r="A827" t="str">
        <f t="shared" si="36"/>
        <v>Kingdom 550 SC 20 X 1 ltr469970</v>
      </c>
      <c r="B827" t="s">
        <v>10646</v>
      </c>
      <c r="C827" t="s">
        <v>15209</v>
      </c>
      <c r="D827" t="s">
        <v>12730</v>
      </c>
      <c r="E827" t="s">
        <v>1177</v>
      </c>
      <c r="F827">
        <v>20</v>
      </c>
      <c r="G827">
        <v>1</v>
      </c>
      <c r="H827">
        <v>1</v>
      </c>
      <c r="I827">
        <v>20</v>
      </c>
      <c r="J827">
        <v>1000</v>
      </c>
      <c r="K827">
        <f t="shared" si="37"/>
        <v>50</v>
      </c>
      <c r="L827">
        <f t="shared" si="38"/>
        <v>0</v>
      </c>
      <c r="M827">
        <v>1000</v>
      </c>
      <c r="N827" s="3">
        <v>46997</v>
      </c>
      <c r="O827" s="6">
        <v>0</v>
      </c>
    </row>
    <row r="828" spans="1:15">
      <c r="A828" t="str">
        <f t="shared" si="36"/>
        <v>Kingdom 550 SC 4 X 5 ltr466310</v>
      </c>
      <c r="B828" t="s">
        <v>10647</v>
      </c>
      <c r="C828" t="s">
        <v>15210</v>
      </c>
      <c r="D828" t="s">
        <v>12731</v>
      </c>
      <c r="E828" t="s">
        <v>1178</v>
      </c>
      <c r="F828">
        <v>4</v>
      </c>
      <c r="G828">
        <v>1</v>
      </c>
      <c r="H828">
        <v>1</v>
      </c>
      <c r="I828">
        <v>4</v>
      </c>
      <c r="J828">
        <v>24</v>
      </c>
      <c r="K828">
        <f t="shared" si="37"/>
        <v>6</v>
      </c>
      <c r="L828">
        <f t="shared" si="38"/>
        <v>0</v>
      </c>
      <c r="M828">
        <v>24</v>
      </c>
      <c r="N828" s="3">
        <v>46631</v>
      </c>
      <c r="O828" s="6">
        <v>0</v>
      </c>
    </row>
    <row r="829" spans="1:15">
      <c r="A829" t="str">
        <f t="shared" si="36"/>
        <v>Kingdom 550 SC 4 X 5 ltr466610</v>
      </c>
      <c r="B829" t="s">
        <v>10648</v>
      </c>
      <c r="C829" t="s">
        <v>15211</v>
      </c>
      <c r="D829" t="s">
        <v>12732</v>
      </c>
      <c r="E829" t="s">
        <v>1178</v>
      </c>
      <c r="F829">
        <v>4</v>
      </c>
      <c r="G829">
        <v>1</v>
      </c>
      <c r="H829">
        <v>1</v>
      </c>
      <c r="I829">
        <v>4</v>
      </c>
      <c r="J829">
        <v>176</v>
      </c>
      <c r="K829">
        <f t="shared" si="37"/>
        <v>44</v>
      </c>
      <c r="L829">
        <f t="shared" si="38"/>
        <v>0</v>
      </c>
      <c r="M829">
        <v>176</v>
      </c>
      <c r="N829" s="3">
        <v>46661</v>
      </c>
      <c r="O829" s="6">
        <v>0</v>
      </c>
    </row>
    <row r="830" spans="1:15">
      <c r="A830" t="str">
        <f t="shared" si="36"/>
        <v>Klep Kulit 14 ltr Star Metal1/1/10000</v>
      </c>
      <c r="B830" t="s">
        <v>10649</v>
      </c>
      <c r="C830" t="s">
        <v>15212</v>
      </c>
      <c r="D830" t="s">
        <v>12733</v>
      </c>
      <c r="E830" t="s">
        <v>1179</v>
      </c>
      <c r="F830">
        <v>1</v>
      </c>
      <c r="G830">
        <v>1</v>
      </c>
      <c r="H830">
        <v>1</v>
      </c>
      <c r="I830">
        <v>1</v>
      </c>
      <c r="J830">
        <v>78</v>
      </c>
      <c r="K830">
        <f t="shared" si="37"/>
        <v>78</v>
      </c>
      <c r="L830">
        <f t="shared" si="38"/>
        <v>0</v>
      </c>
      <c r="M830">
        <v>78</v>
      </c>
      <c r="N830" s="3" t="s">
        <v>2222</v>
      </c>
      <c r="O830" s="6">
        <v>0</v>
      </c>
    </row>
    <row r="831" spans="1:15">
      <c r="A831" t="str">
        <f t="shared" si="36"/>
        <v>Klep Kulit 17 ltr Star Metal1/1/10000</v>
      </c>
      <c r="B831" t="s">
        <v>10650</v>
      </c>
      <c r="C831" t="s">
        <v>15213</v>
      </c>
      <c r="D831" t="s">
        <v>12734</v>
      </c>
      <c r="E831" t="s">
        <v>1180</v>
      </c>
      <c r="F831">
        <v>1</v>
      </c>
      <c r="G831">
        <v>1</v>
      </c>
      <c r="H831">
        <v>1</v>
      </c>
      <c r="I831">
        <v>1</v>
      </c>
      <c r="J831">
        <v>100</v>
      </c>
      <c r="K831">
        <f t="shared" si="37"/>
        <v>100</v>
      </c>
      <c r="L831">
        <f t="shared" si="38"/>
        <v>0</v>
      </c>
      <c r="M831">
        <v>100</v>
      </c>
      <c r="N831" s="3" t="s">
        <v>2222</v>
      </c>
      <c r="O831" s="6">
        <v>0</v>
      </c>
    </row>
    <row r="832" spans="1:15">
      <c r="A832" t="str">
        <f t="shared" si="36"/>
        <v>Kloper 500 SL 12 X 1 ltr466000</v>
      </c>
      <c r="B832" t="s">
        <v>10651</v>
      </c>
      <c r="C832" t="s">
        <v>15214</v>
      </c>
      <c r="D832" t="s">
        <v>12735</v>
      </c>
      <c r="E832" t="s">
        <v>1181</v>
      </c>
      <c r="F832">
        <v>12</v>
      </c>
      <c r="G832">
        <v>1</v>
      </c>
      <c r="H832">
        <v>1</v>
      </c>
      <c r="I832">
        <v>12</v>
      </c>
      <c r="J832">
        <v>612</v>
      </c>
      <c r="K832">
        <f t="shared" si="37"/>
        <v>51</v>
      </c>
      <c r="L832">
        <f t="shared" si="38"/>
        <v>0</v>
      </c>
      <c r="M832">
        <v>612</v>
      </c>
      <c r="N832" s="3">
        <v>46600</v>
      </c>
      <c r="O832" s="6">
        <v>0</v>
      </c>
    </row>
    <row r="833" spans="1:15">
      <c r="A833" t="str">
        <f t="shared" si="36"/>
        <v>Kloper 500 SL 20 X 500 ml466920</v>
      </c>
      <c r="B833" t="s">
        <v>10652</v>
      </c>
      <c r="C833" t="s">
        <v>15215</v>
      </c>
      <c r="D833" t="s">
        <v>12736</v>
      </c>
      <c r="E833" t="s">
        <v>1184</v>
      </c>
      <c r="F833">
        <v>20</v>
      </c>
      <c r="G833">
        <v>1</v>
      </c>
      <c r="H833">
        <v>1</v>
      </c>
      <c r="I833">
        <v>20</v>
      </c>
      <c r="J833">
        <v>480</v>
      </c>
      <c r="K833">
        <f t="shared" si="37"/>
        <v>24</v>
      </c>
      <c r="L833">
        <f t="shared" si="38"/>
        <v>0</v>
      </c>
      <c r="M833">
        <v>480</v>
      </c>
      <c r="N833" s="3">
        <v>46692</v>
      </c>
      <c r="O833" s="6">
        <v>0</v>
      </c>
    </row>
    <row r="834" spans="1:15">
      <c r="A834" t="str">
        <f t="shared" si="36"/>
        <v>Kloper 500 SL 40 X 250 ml468130</v>
      </c>
      <c r="B834" t="s">
        <v>10653</v>
      </c>
      <c r="C834" t="s">
        <v>15216</v>
      </c>
      <c r="D834" t="s">
        <v>12737</v>
      </c>
      <c r="E834" t="s">
        <v>1185</v>
      </c>
      <c r="F834">
        <v>40</v>
      </c>
      <c r="G834">
        <v>1</v>
      </c>
      <c r="H834">
        <v>1</v>
      </c>
      <c r="I834">
        <v>40</v>
      </c>
      <c r="J834">
        <v>400</v>
      </c>
      <c r="K834">
        <f t="shared" si="37"/>
        <v>10</v>
      </c>
      <c r="L834">
        <f t="shared" si="38"/>
        <v>0</v>
      </c>
      <c r="M834">
        <v>400</v>
      </c>
      <c r="N834" s="3">
        <v>46813</v>
      </c>
      <c r="O834" s="6">
        <v>0</v>
      </c>
    </row>
    <row r="835" spans="1:15">
      <c r="A835" t="str">
        <f t="shared" ref="A835:A898" si="39">E835&amp;N835&amp;O835</f>
        <v>KNO3 Merah P Tani 15 X 2 kg465080</v>
      </c>
      <c r="B835" t="s">
        <v>10654</v>
      </c>
      <c r="C835" t="s">
        <v>15217</v>
      </c>
      <c r="D835" t="s">
        <v>12738</v>
      </c>
      <c r="E835" t="s">
        <v>1187</v>
      </c>
      <c r="F835">
        <v>15</v>
      </c>
      <c r="G835">
        <v>1</v>
      </c>
      <c r="H835">
        <v>1</v>
      </c>
      <c r="I835">
        <v>15</v>
      </c>
      <c r="J835">
        <v>6616</v>
      </c>
      <c r="K835">
        <f t="shared" ref="K835:K898" si="40">ROUNDDOWN(J835/I835,0)</f>
        <v>441</v>
      </c>
      <c r="L835">
        <f t="shared" ref="L835:L898" si="41">J835-K835*I835</f>
        <v>1</v>
      </c>
      <c r="M835">
        <v>6616</v>
      </c>
      <c r="N835" s="3">
        <v>46508</v>
      </c>
      <c r="O835" s="6">
        <v>0</v>
      </c>
    </row>
    <row r="836" spans="1:15">
      <c r="A836" t="str">
        <f t="shared" si="39"/>
        <v>KNO3 Putih P Tani 15 X 2 kg463880</v>
      </c>
      <c r="B836" t="s">
        <v>10655</v>
      </c>
      <c r="C836" t="s">
        <v>15218</v>
      </c>
      <c r="D836" t="s">
        <v>12739</v>
      </c>
      <c r="E836" t="s">
        <v>1188</v>
      </c>
      <c r="F836">
        <v>15</v>
      </c>
      <c r="G836">
        <v>1</v>
      </c>
      <c r="H836">
        <v>1</v>
      </c>
      <c r="I836">
        <v>15</v>
      </c>
      <c r="J836">
        <v>1055</v>
      </c>
      <c r="K836">
        <f t="shared" si="40"/>
        <v>70</v>
      </c>
      <c r="L836">
        <f t="shared" si="41"/>
        <v>5</v>
      </c>
      <c r="M836">
        <v>1055</v>
      </c>
      <c r="N836" s="3">
        <v>46388</v>
      </c>
      <c r="O836" s="6">
        <v>0</v>
      </c>
    </row>
    <row r="837" spans="1:15">
      <c r="A837" t="str">
        <f t="shared" si="39"/>
        <v>Knocker 20 X 400 ml456580</v>
      </c>
      <c r="B837" t="s">
        <v>10656</v>
      </c>
      <c r="C837" t="s">
        <v>15219</v>
      </c>
      <c r="D837" t="s">
        <v>12740</v>
      </c>
      <c r="E837" t="s">
        <v>1189</v>
      </c>
      <c r="F837">
        <v>20</v>
      </c>
      <c r="G837">
        <v>1</v>
      </c>
      <c r="H837">
        <v>1</v>
      </c>
      <c r="I837">
        <v>20</v>
      </c>
      <c r="J837">
        <v>45</v>
      </c>
      <c r="K837">
        <f t="shared" si="40"/>
        <v>2</v>
      </c>
      <c r="L837">
        <f t="shared" si="41"/>
        <v>5</v>
      </c>
      <c r="M837">
        <v>45</v>
      </c>
      <c r="N837" s="3">
        <v>45658</v>
      </c>
      <c r="O837" s="6">
        <v>0</v>
      </c>
    </row>
    <row r="838" spans="1:15">
      <c r="A838" t="str">
        <f t="shared" si="39"/>
        <v>Knocker 30 X 200 ml + ergostim461130</v>
      </c>
      <c r="B838" t="s">
        <v>10657</v>
      </c>
      <c r="C838" t="s">
        <v>15220</v>
      </c>
      <c r="D838" t="s">
        <v>12741</v>
      </c>
      <c r="E838" t="s">
        <v>1190</v>
      </c>
      <c r="F838">
        <v>30</v>
      </c>
      <c r="G838">
        <v>1</v>
      </c>
      <c r="H838">
        <v>1</v>
      </c>
      <c r="I838">
        <v>30</v>
      </c>
      <c r="J838">
        <v>71</v>
      </c>
      <c r="K838">
        <f t="shared" si="40"/>
        <v>2</v>
      </c>
      <c r="L838">
        <f t="shared" si="41"/>
        <v>11</v>
      </c>
      <c r="M838">
        <v>71</v>
      </c>
      <c r="N838" s="3">
        <v>46113</v>
      </c>
      <c r="O838" s="6">
        <v>0</v>
      </c>
    </row>
    <row r="839" spans="1:15">
      <c r="A839" t="str">
        <f t="shared" si="39"/>
        <v>Knocker 40 X 200 ml468440</v>
      </c>
      <c r="B839" t="s">
        <v>10658</v>
      </c>
      <c r="C839" t="s">
        <v>15221</v>
      </c>
      <c r="D839" t="s">
        <v>12742</v>
      </c>
      <c r="E839" t="s">
        <v>1191</v>
      </c>
      <c r="F839">
        <v>40</v>
      </c>
      <c r="G839">
        <v>1</v>
      </c>
      <c r="H839">
        <v>1</v>
      </c>
      <c r="I839">
        <v>40</v>
      </c>
      <c r="J839">
        <v>308</v>
      </c>
      <c r="K839">
        <f t="shared" si="40"/>
        <v>7</v>
      </c>
      <c r="L839">
        <f t="shared" si="41"/>
        <v>28</v>
      </c>
      <c r="M839">
        <v>308</v>
      </c>
      <c r="N839" s="3">
        <v>46844</v>
      </c>
      <c r="O839" s="6">
        <v>0</v>
      </c>
    </row>
    <row r="840" spans="1:15">
      <c r="A840" t="str">
        <f t="shared" si="39"/>
        <v>Knocker 50 X 80 ml454130</v>
      </c>
      <c r="B840" t="s">
        <v>10659</v>
      </c>
      <c r="C840" t="s">
        <v>15222</v>
      </c>
      <c r="D840" t="s">
        <v>12743</v>
      </c>
      <c r="E840" t="s">
        <v>1192</v>
      </c>
      <c r="F840">
        <v>50</v>
      </c>
      <c r="G840">
        <v>1</v>
      </c>
      <c r="H840">
        <v>1</v>
      </c>
      <c r="I840">
        <v>50</v>
      </c>
      <c r="J840">
        <v>7</v>
      </c>
      <c r="K840">
        <f t="shared" si="40"/>
        <v>0</v>
      </c>
      <c r="L840">
        <f t="shared" si="41"/>
        <v>7</v>
      </c>
      <c r="M840">
        <v>7</v>
      </c>
      <c r="N840" s="3">
        <v>45413</v>
      </c>
      <c r="O840" s="6">
        <v>0</v>
      </c>
    </row>
    <row r="841" spans="1:15">
      <c r="A841" t="str">
        <f t="shared" si="39"/>
        <v>Knocker 50 X 80 ml461430</v>
      </c>
      <c r="B841" t="s">
        <v>10660</v>
      </c>
      <c r="C841" t="s">
        <v>15223</v>
      </c>
      <c r="D841" t="s">
        <v>12744</v>
      </c>
      <c r="E841" t="s">
        <v>1192</v>
      </c>
      <c r="F841">
        <v>50</v>
      </c>
      <c r="G841">
        <v>1</v>
      </c>
      <c r="H841">
        <v>1</v>
      </c>
      <c r="I841">
        <v>50</v>
      </c>
      <c r="J841">
        <v>25</v>
      </c>
      <c r="K841">
        <f t="shared" si="40"/>
        <v>0</v>
      </c>
      <c r="L841">
        <f t="shared" si="41"/>
        <v>25</v>
      </c>
      <c r="M841">
        <v>25</v>
      </c>
      <c r="N841" s="3">
        <v>46143</v>
      </c>
      <c r="O841" s="6">
        <v>0</v>
      </c>
    </row>
    <row r="842" spans="1:15">
      <c r="A842" t="str">
        <f t="shared" si="39"/>
        <v>Kompor Gas Maspion1/1/10000</v>
      </c>
      <c r="B842" t="s">
        <v>10661</v>
      </c>
      <c r="C842" t="s">
        <v>15224</v>
      </c>
      <c r="D842" t="s">
        <v>12745</v>
      </c>
      <c r="E842" t="s">
        <v>1193</v>
      </c>
      <c r="F842">
        <v>1</v>
      </c>
      <c r="G842">
        <v>1</v>
      </c>
      <c r="H842">
        <v>1</v>
      </c>
      <c r="I842">
        <v>1</v>
      </c>
      <c r="J842">
        <v>1</v>
      </c>
      <c r="K842">
        <f t="shared" si="40"/>
        <v>1</v>
      </c>
      <c r="L842">
        <f t="shared" si="41"/>
        <v>0</v>
      </c>
      <c r="M842">
        <v>1</v>
      </c>
      <c r="N842" s="3" t="s">
        <v>2222</v>
      </c>
      <c r="O842" s="6">
        <v>0</v>
      </c>
    </row>
    <row r="843" spans="1:15">
      <c r="A843" t="str">
        <f t="shared" si="39"/>
        <v>Konektor Nosel Tutup1/1/10000</v>
      </c>
      <c r="B843" t="s">
        <v>10662</v>
      </c>
      <c r="C843" t="s">
        <v>15225</v>
      </c>
      <c r="D843" t="s">
        <v>12746</v>
      </c>
      <c r="E843" t="s">
        <v>1194</v>
      </c>
      <c r="F843">
        <v>1</v>
      </c>
      <c r="G843">
        <v>1</v>
      </c>
      <c r="H843">
        <v>1</v>
      </c>
      <c r="I843">
        <v>1</v>
      </c>
      <c r="J843">
        <v>40</v>
      </c>
      <c r="K843">
        <f t="shared" si="40"/>
        <v>40</v>
      </c>
      <c r="L843">
        <f t="shared" si="41"/>
        <v>0</v>
      </c>
      <c r="M843">
        <v>40</v>
      </c>
      <c r="N843" s="3" t="s">
        <v>2222</v>
      </c>
      <c r="O843" s="6">
        <v>0</v>
      </c>
    </row>
    <row r="844" spans="1:15">
      <c r="A844" t="str">
        <f t="shared" si="39"/>
        <v>Konsep 50 EC 100 X 100 ml467840</v>
      </c>
      <c r="B844" t="s">
        <v>10663</v>
      </c>
      <c r="C844" t="s">
        <v>15226</v>
      </c>
      <c r="D844" t="s">
        <v>12747</v>
      </c>
      <c r="E844" t="s">
        <v>1195</v>
      </c>
      <c r="F844">
        <v>100</v>
      </c>
      <c r="G844">
        <v>1</v>
      </c>
      <c r="H844">
        <v>1</v>
      </c>
      <c r="I844">
        <v>100</v>
      </c>
      <c r="J844">
        <v>2900</v>
      </c>
      <c r="K844">
        <f t="shared" si="40"/>
        <v>29</v>
      </c>
      <c r="L844">
        <f t="shared" si="41"/>
        <v>0</v>
      </c>
      <c r="M844">
        <v>2900</v>
      </c>
      <c r="N844" s="3">
        <v>46784</v>
      </c>
      <c r="O844" s="6">
        <v>0</v>
      </c>
    </row>
    <row r="845" spans="1:15">
      <c r="A845" t="str">
        <f t="shared" si="39"/>
        <v>Konsep 50 EC 20 X 1 ltr462040</v>
      </c>
      <c r="B845" t="s">
        <v>10664</v>
      </c>
      <c r="C845" t="s">
        <v>15227</v>
      </c>
      <c r="D845" t="s">
        <v>12748</v>
      </c>
      <c r="E845" t="s">
        <v>1196</v>
      </c>
      <c r="F845">
        <v>20</v>
      </c>
      <c r="G845">
        <v>1</v>
      </c>
      <c r="H845">
        <v>1</v>
      </c>
      <c r="I845">
        <v>20</v>
      </c>
      <c r="J845">
        <v>4</v>
      </c>
      <c r="K845">
        <f t="shared" si="40"/>
        <v>0</v>
      </c>
      <c r="L845">
        <f t="shared" si="41"/>
        <v>4</v>
      </c>
      <c r="M845">
        <v>4</v>
      </c>
      <c r="N845" s="3">
        <v>46204</v>
      </c>
      <c r="O845" s="6">
        <v>0</v>
      </c>
    </row>
    <row r="846" spans="1:15">
      <c r="A846" t="str">
        <f t="shared" si="39"/>
        <v>Konsep 50 EC 20 X 1 ltr469350</v>
      </c>
      <c r="B846" t="s">
        <v>10665</v>
      </c>
      <c r="C846" t="s">
        <v>15228</v>
      </c>
      <c r="D846" t="s">
        <v>12749</v>
      </c>
      <c r="E846" t="s">
        <v>1196</v>
      </c>
      <c r="F846">
        <v>20</v>
      </c>
      <c r="G846">
        <v>1</v>
      </c>
      <c r="H846">
        <v>1</v>
      </c>
      <c r="I846">
        <v>20</v>
      </c>
      <c r="J846">
        <v>360</v>
      </c>
      <c r="K846">
        <f t="shared" si="40"/>
        <v>18</v>
      </c>
      <c r="L846">
        <f t="shared" si="41"/>
        <v>0</v>
      </c>
      <c r="M846">
        <v>360</v>
      </c>
      <c r="N846" s="3">
        <v>46935</v>
      </c>
      <c r="O846" s="6">
        <v>0</v>
      </c>
    </row>
    <row r="847" spans="1:15">
      <c r="A847" t="str">
        <f t="shared" si="39"/>
        <v>Konsep 50 EC 25 X 500 ml466610</v>
      </c>
      <c r="B847" t="s">
        <v>10666</v>
      </c>
      <c r="C847" t="s">
        <v>15229</v>
      </c>
      <c r="D847" t="s">
        <v>12750</v>
      </c>
      <c r="E847" t="s">
        <v>1197</v>
      </c>
      <c r="F847">
        <v>25</v>
      </c>
      <c r="G847">
        <v>1</v>
      </c>
      <c r="H847">
        <v>1</v>
      </c>
      <c r="I847">
        <v>25</v>
      </c>
      <c r="J847">
        <v>19</v>
      </c>
      <c r="K847">
        <f t="shared" si="40"/>
        <v>0</v>
      </c>
      <c r="L847">
        <f t="shared" si="41"/>
        <v>19</v>
      </c>
      <c r="M847">
        <v>19</v>
      </c>
      <c r="N847" s="3">
        <v>46661</v>
      </c>
      <c r="O847" s="6">
        <v>0</v>
      </c>
    </row>
    <row r="848" spans="1:15">
      <c r="A848" t="str">
        <f t="shared" si="39"/>
        <v>Konsep 50 EC 25 X 500 ml468740</v>
      </c>
      <c r="B848" t="s">
        <v>10667</v>
      </c>
      <c r="C848" t="s">
        <v>15230</v>
      </c>
      <c r="D848" t="s">
        <v>12751</v>
      </c>
      <c r="E848" t="s">
        <v>1197</v>
      </c>
      <c r="F848">
        <v>25</v>
      </c>
      <c r="G848">
        <v>1</v>
      </c>
      <c r="H848">
        <v>1</v>
      </c>
      <c r="I848">
        <v>25</v>
      </c>
      <c r="J848">
        <v>500</v>
      </c>
      <c r="K848">
        <f t="shared" si="40"/>
        <v>20</v>
      </c>
      <c r="L848">
        <f t="shared" si="41"/>
        <v>0</v>
      </c>
      <c r="M848">
        <v>500</v>
      </c>
      <c r="N848" s="3">
        <v>46874</v>
      </c>
      <c r="O848" s="6">
        <v>0</v>
      </c>
    </row>
    <row r="849" spans="1:15">
      <c r="A849" t="str">
        <f t="shared" si="39"/>
        <v>Konsep 50 EC 40 X 250 ml465080</v>
      </c>
      <c r="B849" t="s">
        <v>10668</v>
      </c>
      <c r="C849" t="s">
        <v>15231</v>
      </c>
      <c r="D849" t="s">
        <v>12752</v>
      </c>
      <c r="E849" t="s">
        <v>1198</v>
      </c>
      <c r="F849">
        <v>40</v>
      </c>
      <c r="G849">
        <v>1</v>
      </c>
      <c r="H849">
        <v>1</v>
      </c>
      <c r="I849">
        <v>40</v>
      </c>
      <c r="J849">
        <v>80</v>
      </c>
      <c r="K849">
        <f t="shared" si="40"/>
        <v>2</v>
      </c>
      <c r="L849">
        <f t="shared" si="41"/>
        <v>0</v>
      </c>
      <c r="M849">
        <v>80</v>
      </c>
      <c r="N849" s="3">
        <v>46508</v>
      </c>
      <c r="O849" s="6">
        <v>0</v>
      </c>
    </row>
    <row r="850" spans="1:15">
      <c r="A850" t="str">
        <f t="shared" si="39"/>
        <v>Konsep 50 EC 40 X 250 ml466610</v>
      </c>
      <c r="B850" t="s">
        <v>10669</v>
      </c>
      <c r="C850" t="s">
        <v>15232</v>
      </c>
      <c r="D850" t="s">
        <v>12753</v>
      </c>
      <c r="E850" t="s">
        <v>1198</v>
      </c>
      <c r="F850">
        <v>40</v>
      </c>
      <c r="G850">
        <v>1</v>
      </c>
      <c r="H850">
        <v>1</v>
      </c>
      <c r="I850">
        <v>40</v>
      </c>
      <c r="J850">
        <v>1160</v>
      </c>
      <c r="K850">
        <f t="shared" si="40"/>
        <v>29</v>
      </c>
      <c r="L850">
        <f t="shared" si="41"/>
        <v>0</v>
      </c>
      <c r="M850">
        <v>1160</v>
      </c>
      <c r="N850" s="3">
        <v>46661</v>
      </c>
      <c r="O850" s="6">
        <v>0</v>
      </c>
    </row>
    <row r="851" spans="1:15">
      <c r="A851" t="str">
        <f t="shared" si="39"/>
        <v>Korek Api Gesek Banteng1/1/10000</v>
      </c>
      <c r="B851" t="s">
        <v>10670</v>
      </c>
      <c r="C851" t="s">
        <v>15233</v>
      </c>
      <c r="D851" t="s">
        <v>12754</v>
      </c>
      <c r="E851" t="s">
        <v>1199</v>
      </c>
      <c r="F851">
        <v>1</v>
      </c>
      <c r="G851">
        <v>1</v>
      </c>
      <c r="H851">
        <v>1</v>
      </c>
      <c r="I851">
        <v>1</v>
      </c>
      <c r="J851">
        <v>270</v>
      </c>
      <c r="K851">
        <f t="shared" si="40"/>
        <v>270</v>
      </c>
      <c r="L851">
        <f t="shared" si="41"/>
        <v>0</v>
      </c>
      <c r="M851">
        <v>270</v>
      </c>
      <c r="N851" s="3" t="s">
        <v>2222</v>
      </c>
      <c r="O851" s="6">
        <v>0</v>
      </c>
    </row>
    <row r="852" spans="1:15">
      <c r="A852" t="str">
        <f t="shared" si="39"/>
        <v>Kran Pencet Star Metal1/1/10000</v>
      </c>
      <c r="B852" t="s">
        <v>10671</v>
      </c>
      <c r="C852" t="s">
        <v>15234</v>
      </c>
      <c r="D852" t="s">
        <v>12755</v>
      </c>
      <c r="E852" t="s">
        <v>1200</v>
      </c>
      <c r="F852">
        <v>1</v>
      </c>
      <c r="G852">
        <v>1</v>
      </c>
      <c r="H852">
        <v>1</v>
      </c>
      <c r="I852">
        <v>1</v>
      </c>
      <c r="J852">
        <v>476</v>
      </c>
      <c r="K852">
        <f t="shared" si="40"/>
        <v>476</v>
      </c>
      <c r="L852">
        <f t="shared" si="41"/>
        <v>0</v>
      </c>
      <c r="M852">
        <v>476</v>
      </c>
      <c r="N852" s="3" t="s">
        <v>2222</v>
      </c>
      <c r="O852" s="6">
        <v>0</v>
      </c>
    </row>
    <row r="853" spans="1:15">
      <c r="A853" t="str">
        <f t="shared" si="39"/>
        <v>Kran YT 4L, 5L, 7L &amp; 9L1/1/10000</v>
      </c>
      <c r="B853" t="s">
        <v>10672</v>
      </c>
      <c r="C853" t="s">
        <v>15235</v>
      </c>
      <c r="D853" t="s">
        <v>12756</v>
      </c>
      <c r="E853" t="s">
        <v>1201</v>
      </c>
      <c r="F853">
        <v>1</v>
      </c>
      <c r="G853">
        <v>1</v>
      </c>
      <c r="H853">
        <v>1</v>
      </c>
      <c r="I853">
        <v>1</v>
      </c>
      <c r="J853">
        <v>850</v>
      </c>
      <c r="K853">
        <f t="shared" si="40"/>
        <v>850</v>
      </c>
      <c r="L853">
        <f t="shared" si="41"/>
        <v>0</v>
      </c>
      <c r="M853">
        <v>850</v>
      </c>
      <c r="N853" s="3" t="s">
        <v>2222</v>
      </c>
      <c r="O853" s="6">
        <v>0</v>
      </c>
    </row>
    <row r="854" spans="1:15">
      <c r="A854" t="str">
        <f t="shared" si="39"/>
        <v>Kresek Hitam Kecil (Sample)1/1/10000</v>
      </c>
      <c r="B854" t="s">
        <v>10673</v>
      </c>
      <c r="C854" t="s">
        <v>15236</v>
      </c>
      <c r="D854" t="s">
        <v>12757</v>
      </c>
      <c r="E854" t="s">
        <v>1202</v>
      </c>
      <c r="F854">
        <v>1</v>
      </c>
      <c r="G854">
        <v>1</v>
      </c>
      <c r="H854">
        <v>1</v>
      </c>
      <c r="I854">
        <v>1</v>
      </c>
      <c r="J854">
        <v>1</v>
      </c>
      <c r="K854">
        <f t="shared" si="40"/>
        <v>1</v>
      </c>
      <c r="L854">
        <f t="shared" si="41"/>
        <v>0</v>
      </c>
      <c r="M854">
        <v>1</v>
      </c>
      <c r="N854" s="3" t="s">
        <v>2222</v>
      </c>
      <c r="O854" s="6">
        <v>0</v>
      </c>
    </row>
    <row r="855" spans="1:15">
      <c r="A855" t="str">
        <f t="shared" si="39"/>
        <v>Kresek Merah Kecil (Sample)1/1/10000</v>
      </c>
      <c r="B855" t="s">
        <v>10674</v>
      </c>
      <c r="C855" t="s">
        <v>15237</v>
      </c>
      <c r="D855" t="s">
        <v>12758</v>
      </c>
      <c r="E855" t="s">
        <v>1203</v>
      </c>
      <c r="F855">
        <v>1</v>
      </c>
      <c r="G855">
        <v>1</v>
      </c>
      <c r="H855">
        <v>1</v>
      </c>
      <c r="I855">
        <v>1</v>
      </c>
      <c r="J855">
        <v>1</v>
      </c>
      <c r="K855">
        <f t="shared" si="40"/>
        <v>1</v>
      </c>
      <c r="L855">
        <f t="shared" si="41"/>
        <v>0</v>
      </c>
      <c r="M855">
        <v>1</v>
      </c>
      <c r="N855" s="3" t="s">
        <v>2222</v>
      </c>
      <c r="O855" s="6">
        <v>0</v>
      </c>
    </row>
    <row r="856" spans="1:15">
      <c r="A856" t="str">
        <f t="shared" si="39"/>
        <v>Kresnadan 3G 10 X 2 kg469350</v>
      </c>
      <c r="B856" t="s">
        <v>10675</v>
      </c>
      <c r="C856" t="s">
        <v>15238</v>
      </c>
      <c r="D856" t="s">
        <v>12759</v>
      </c>
      <c r="E856" t="s">
        <v>1204</v>
      </c>
      <c r="F856">
        <v>10</v>
      </c>
      <c r="G856">
        <v>1</v>
      </c>
      <c r="H856">
        <v>1</v>
      </c>
      <c r="I856">
        <v>10</v>
      </c>
      <c r="J856">
        <v>9</v>
      </c>
      <c r="K856">
        <f t="shared" si="40"/>
        <v>0</v>
      </c>
      <c r="L856">
        <f t="shared" si="41"/>
        <v>9</v>
      </c>
      <c r="M856">
        <v>9</v>
      </c>
      <c r="N856" s="3">
        <v>46935</v>
      </c>
      <c r="O856" s="6">
        <v>0</v>
      </c>
    </row>
    <row r="857" spans="1:15">
      <c r="A857" t="str">
        <f t="shared" si="39"/>
        <v>Kresnadan 3G 10 X 2 kg471500</v>
      </c>
      <c r="B857" t="s">
        <v>10676</v>
      </c>
      <c r="C857" t="s">
        <v>15239</v>
      </c>
      <c r="D857" t="s">
        <v>12760</v>
      </c>
      <c r="E857" t="s">
        <v>1204</v>
      </c>
      <c r="F857">
        <v>10</v>
      </c>
      <c r="G857">
        <v>1</v>
      </c>
      <c r="H857">
        <v>1</v>
      </c>
      <c r="I857">
        <v>10</v>
      </c>
      <c r="J857">
        <v>340</v>
      </c>
      <c r="K857">
        <f t="shared" si="40"/>
        <v>34</v>
      </c>
      <c r="L857">
        <f t="shared" si="41"/>
        <v>0</v>
      </c>
      <c r="M857">
        <v>340</v>
      </c>
      <c r="N857" s="3">
        <v>47150</v>
      </c>
      <c r="O857" s="6">
        <v>0</v>
      </c>
    </row>
    <row r="858" spans="1:15">
      <c r="A858" t="str">
        <f t="shared" si="39"/>
        <v>Kresnakum 0.005 20 X 1 kg467220</v>
      </c>
      <c r="B858" t="s">
        <v>10677</v>
      </c>
      <c r="C858" t="s">
        <v>15240</v>
      </c>
      <c r="D858" t="s">
        <v>12761</v>
      </c>
      <c r="E858" t="s">
        <v>1205</v>
      </c>
      <c r="F858">
        <v>20</v>
      </c>
      <c r="G858">
        <v>1</v>
      </c>
      <c r="H858">
        <v>1</v>
      </c>
      <c r="I858">
        <v>20</v>
      </c>
      <c r="J858">
        <v>540</v>
      </c>
      <c r="K858">
        <f t="shared" si="40"/>
        <v>27</v>
      </c>
      <c r="L858">
        <f t="shared" si="41"/>
        <v>0</v>
      </c>
      <c r="M858">
        <v>540</v>
      </c>
      <c r="N858" s="3">
        <v>46722</v>
      </c>
      <c r="O858" s="6">
        <v>0</v>
      </c>
    </row>
    <row r="859" spans="1:15">
      <c r="A859" t="str">
        <f t="shared" si="39"/>
        <v>Kresnakum 0.005 20 X 1 kg466610</v>
      </c>
      <c r="B859" t="s">
        <v>10678</v>
      </c>
      <c r="C859" t="s">
        <v>15241</v>
      </c>
      <c r="D859" t="s">
        <v>12762</v>
      </c>
      <c r="E859" t="s">
        <v>1205</v>
      </c>
      <c r="F859">
        <v>20</v>
      </c>
      <c r="G859">
        <v>1</v>
      </c>
      <c r="H859">
        <v>1</v>
      </c>
      <c r="I859">
        <v>20</v>
      </c>
      <c r="J859">
        <v>104</v>
      </c>
      <c r="K859">
        <f t="shared" si="40"/>
        <v>5</v>
      </c>
      <c r="L859">
        <f t="shared" si="41"/>
        <v>4</v>
      </c>
      <c r="M859">
        <v>104</v>
      </c>
      <c r="N859" s="3">
        <v>46661</v>
      </c>
      <c r="O859" s="6">
        <v>0</v>
      </c>
    </row>
    <row r="860" spans="1:15">
      <c r="A860" t="str">
        <f t="shared" si="39"/>
        <v>Kresnakum 0.005 20 X 1 kg467530</v>
      </c>
      <c r="B860" t="s">
        <v>10679</v>
      </c>
      <c r="C860" t="s">
        <v>15242</v>
      </c>
      <c r="D860" t="s">
        <v>12763</v>
      </c>
      <c r="E860" t="s">
        <v>1205</v>
      </c>
      <c r="F860">
        <v>20</v>
      </c>
      <c r="G860">
        <v>1</v>
      </c>
      <c r="H860">
        <v>1</v>
      </c>
      <c r="I860">
        <v>20</v>
      </c>
      <c r="J860">
        <v>160</v>
      </c>
      <c r="K860">
        <f t="shared" si="40"/>
        <v>8</v>
      </c>
      <c r="L860">
        <f t="shared" si="41"/>
        <v>0</v>
      </c>
      <c r="M860">
        <v>160</v>
      </c>
      <c r="N860" s="3">
        <v>46753</v>
      </c>
      <c r="O860" s="6">
        <v>0</v>
      </c>
    </row>
    <row r="861" spans="1:15">
      <c r="A861" t="str">
        <f t="shared" si="39"/>
        <v>Kresnatop 500 SC 20 ltr470270</v>
      </c>
      <c r="B861" t="s">
        <v>10680</v>
      </c>
      <c r="C861" t="s">
        <v>15243</v>
      </c>
      <c r="D861" t="s">
        <v>12764</v>
      </c>
      <c r="E861" t="s">
        <v>1206</v>
      </c>
      <c r="F861">
        <v>1</v>
      </c>
      <c r="G861">
        <v>1</v>
      </c>
      <c r="H861">
        <v>1</v>
      </c>
      <c r="I861">
        <v>1</v>
      </c>
      <c r="J861">
        <v>115</v>
      </c>
      <c r="K861">
        <f t="shared" si="40"/>
        <v>115</v>
      </c>
      <c r="L861">
        <f t="shared" si="41"/>
        <v>0</v>
      </c>
      <c r="M861">
        <v>115</v>
      </c>
      <c r="N861" s="3">
        <v>47027</v>
      </c>
      <c r="O861" s="6">
        <v>0</v>
      </c>
    </row>
    <row r="862" spans="1:15">
      <c r="A862" t="str">
        <f t="shared" si="39"/>
        <v>Kresnatop 500 SC 20 X 1 ltr470880</v>
      </c>
      <c r="B862" t="s">
        <v>10681</v>
      </c>
      <c r="C862" t="s">
        <v>15244</v>
      </c>
      <c r="D862" t="s">
        <v>12765</v>
      </c>
      <c r="E862" t="s">
        <v>1207</v>
      </c>
      <c r="F862">
        <v>20</v>
      </c>
      <c r="G862">
        <v>1</v>
      </c>
      <c r="H862">
        <v>1</v>
      </c>
      <c r="I862">
        <v>20</v>
      </c>
      <c r="J862">
        <v>15</v>
      </c>
      <c r="K862">
        <f t="shared" si="40"/>
        <v>0</v>
      </c>
      <c r="L862">
        <f t="shared" si="41"/>
        <v>15</v>
      </c>
      <c r="M862">
        <v>15</v>
      </c>
      <c r="N862" s="3">
        <v>47088</v>
      </c>
      <c r="O862" s="6">
        <v>0</v>
      </c>
    </row>
    <row r="863" spans="1:15">
      <c r="A863" t="str">
        <f t="shared" si="39"/>
        <v>Kresnatop 500 SC 20 X 1 ltr471190</v>
      </c>
      <c r="B863" t="s">
        <v>10682</v>
      </c>
      <c r="C863" t="s">
        <v>15245</v>
      </c>
      <c r="D863" t="s">
        <v>12766</v>
      </c>
      <c r="E863" t="s">
        <v>1207</v>
      </c>
      <c r="F863">
        <v>20</v>
      </c>
      <c r="G863">
        <v>1</v>
      </c>
      <c r="H863">
        <v>1</v>
      </c>
      <c r="I863">
        <v>20</v>
      </c>
      <c r="J863">
        <v>100</v>
      </c>
      <c r="K863">
        <f t="shared" si="40"/>
        <v>5</v>
      </c>
      <c r="L863">
        <f t="shared" si="41"/>
        <v>0</v>
      </c>
      <c r="M863">
        <v>100</v>
      </c>
      <c r="N863" s="3">
        <v>47119</v>
      </c>
      <c r="O863" s="6">
        <v>0</v>
      </c>
    </row>
    <row r="864" spans="1:15">
      <c r="A864" t="str">
        <f t="shared" si="39"/>
        <v>Kresnatop 500 SC 20 X 1 ltr471780</v>
      </c>
      <c r="B864" t="s">
        <v>10683</v>
      </c>
      <c r="C864" t="s">
        <v>15246</v>
      </c>
      <c r="D864" t="s">
        <v>12767</v>
      </c>
      <c r="E864" t="s">
        <v>1207</v>
      </c>
      <c r="F864">
        <v>20</v>
      </c>
      <c r="G864">
        <v>1</v>
      </c>
      <c r="H864">
        <v>1</v>
      </c>
      <c r="I864">
        <v>20</v>
      </c>
      <c r="J864">
        <v>2400</v>
      </c>
      <c r="K864">
        <f t="shared" si="40"/>
        <v>120</v>
      </c>
      <c r="L864">
        <f t="shared" si="41"/>
        <v>0</v>
      </c>
      <c r="M864">
        <v>2400</v>
      </c>
      <c r="N864" s="3">
        <v>47178</v>
      </c>
      <c r="O864" s="6">
        <v>0</v>
      </c>
    </row>
    <row r="865" spans="1:15">
      <c r="A865" t="str">
        <f t="shared" si="39"/>
        <v>Kresnatop 500 SC 20 X 1 ltr472090</v>
      </c>
      <c r="B865" t="s">
        <v>10684</v>
      </c>
      <c r="C865" t="s">
        <v>15247</v>
      </c>
      <c r="D865" t="s">
        <v>12768</v>
      </c>
      <c r="E865" t="s">
        <v>1207</v>
      </c>
      <c r="F865">
        <v>20</v>
      </c>
      <c r="G865">
        <v>1</v>
      </c>
      <c r="H865">
        <v>1</v>
      </c>
      <c r="I865">
        <v>20</v>
      </c>
      <c r="J865">
        <v>1600</v>
      </c>
      <c r="K865">
        <f t="shared" si="40"/>
        <v>80</v>
      </c>
      <c r="L865">
        <f t="shared" si="41"/>
        <v>0</v>
      </c>
      <c r="M865">
        <v>1600</v>
      </c>
      <c r="N865" s="3">
        <v>47209</v>
      </c>
      <c r="O865" s="6">
        <v>0</v>
      </c>
    </row>
    <row r="866" spans="1:15">
      <c r="A866" t="str">
        <f t="shared" si="39"/>
        <v>Kresnatop 500 SC 4 X 5 ltr470880</v>
      </c>
      <c r="B866" t="s">
        <v>10685</v>
      </c>
      <c r="C866" t="s">
        <v>15248</v>
      </c>
      <c r="D866" t="s">
        <v>12769</v>
      </c>
      <c r="E866" t="s">
        <v>1208</v>
      </c>
      <c r="F866">
        <v>4</v>
      </c>
      <c r="G866">
        <v>1</v>
      </c>
      <c r="H866">
        <v>1</v>
      </c>
      <c r="I866">
        <v>4</v>
      </c>
      <c r="J866">
        <v>187</v>
      </c>
      <c r="K866">
        <f t="shared" si="40"/>
        <v>46</v>
      </c>
      <c r="L866">
        <f t="shared" si="41"/>
        <v>3</v>
      </c>
      <c r="M866">
        <v>187</v>
      </c>
      <c r="N866" s="3">
        <v>47088</v>
      </c>
      <c r="O866" s="6">
        <v>0</v>
      </c>
    </row>
    <row r="867" spans="1:15">
      <c r="A867" t="str">
        <f t="shared" si="39"/>
        <v>KS Pak Tani + Boron 25 kg1/1/10000</v>
      </c>
      <c r="B867" t="s">
        <v>10686</v>
      </c>
      <c r="C867" t="s">
        <v>15249</v>
      </c>
      <c r="D867" t="s">
        <v>12770</v>
      </c>
      <c r="E867" t="s">
        <v>1209</v>
      </c>
      <c r="F867">
        <v>1</v>
      </c>
      <c r="G867">
        <v>1</v>
      </c>
      <c r="H867">
        <v>1</v>
      </c>
      <c r="I867">
        <v>1</v>
      </c>
      <c r="J867">
        <v>37</v>
      </c>
      <c r="K867">
        <f t="shared" si="40"/>
        <v>37</v>
      </c>
      <c r="L867">
        <f t="shared" si="41"/>
        <v>0</v>
      </c>
      <c r="M867">
        <v>37</v>
      </c>
      <c r="N867" s="3" t="s">
        <v>2222</v>
      </c>
      <c r="O867" s="6">
        <v>0</v>
      </c>
    </row>
    <row r="868" spans="1:15">
      <c r="A868" t="str">
        <f t="shared" si="39"/>
        <v>Kulkas Mini Sanken 1 Pintu1/1/10000</v>
      </c>
      <c r="B868" t="s">
        <v>10687</v>
      </c>
      <c r="C868" t="s">
        <v>15250</v>
      </c>
      <c r="D868" t="s">
        <v>12771</v>
      </c>
      <c r="E868" t="s">
        <v>1218</v>
      </c>
      <c r="F868">
        <v>1</v>
      </c>
      <c r="G868">
        <v>1</v>
      </c>
      <c r="H868">
        <v>1</v>
      </c>
      <c r="I868">
        <v>1</v>
      </c>
      <c r="J868">
        <v>1</v>
      </c>
      <c r="K868">
        <f t="shared" si="40"/>
        <v>1</v>
      </c>
      <c r="L868">
        <f t="shared" si="41"/>
        <v>0</v>
      </c>
      <c r="M868">
        <v>1</v>
      </c>
      <c r="N868" s="3" t="s">
        <v>2222</v>
      </c>
      <c r="O868" s="6">
        <v>0</v>
      </c>
    </row>
    <row r="869" spans="1:15">
      <c r="A869" t="str">
        <f t="shared" si="39"/>
        <v>Kunci Inggris set1/1/10000</v>
      </c>
      <c r="B869" t="s">
        <v>10688</v>
      </c>
      <c r="C869" t="s">
        <v>15251</v>
      </c>
      <c r="D869" t="s">
        <v>12772</v>
      </c>
      <c r="E869" t="s">
        <v>1219</v>
      </c>
      <c r="F869">
        <v>1</v>
      </c>
      <c r="G869">
        <v>1</v>
      </c>
      <c r="H869">
        <v>1</v>
      </c>
      <c r="I869">
        <v>1</v>
      </c>
      <c r="J869">
        <v>2</v>
      </c>
      <c r="K869">
        <f t="shared" si="40"/>
        <v>2</v>
      </c>
      <c r="L869">
        <f t="shared" si="41"/>
        <v>0</v>
      </c>
      <c r="M869">
        <v>2</v>
      </c>
      <c r="N869" s="3" t="s">
        <v>2222</v>
      </c>
      <c r="O869" s="6">
        <v>0</v>
      </c>
    </row>
    <row r="870" spans="1:15">
      <c r="A870" t="str">
        <f t="shared" si="39"/>
        <v>Kuproxat 345 F 20 X 500 ml469970</v>
      </c>
      <c r="B870" t="s">
        <v>10689</v>
      </c>
      <c r="C870" t="s">
        <v>15252</v>
      </c>
      <c r="D870" t="s">
        <v>12773</v>
      </c>
      <c r="E870" t="s">
        <v>1220</v>
      </c>
      <c r="F870">
        <v>20</v>
      </c>
      <c r="G870">
        <v>1</v>
      </c>
      <c r="H870">
        <v>1</v>
      </c>
      <c r="I870">
        <v>20</v>
      </c>
      <c r="J870">
        <v>9</v>
      </c>
      <c r="K870">
        <f t="shared" si="40"/>
        <v>0</v>
      </c>
      <c r="L870">
        <f t="shared" si="41"/>
        <v>9</v>
      </c>
      <c r="M870">
        <v>9</v>
      </c>
      <c r="N870" s="3">
        <v>46997</v>
      </c>
      <c r="O870" s="6">
        <v>0</v>
      </c>
    </row>
    <row r="871" spans="1:15">
      <c r="A871" t="str">
        <f t="shared" si="39"/>
        <v>Kuproxat 345 F 20 X 500 ml470580</v>
      </c>
      <c r="B871" t="s">
        <v>10690</v>
      </c>
      <c r="C871" t="s">
        <v>15253</v>
      </c>
      <c r="D871" t="s">
        <v>12774</v>
      </c>
      <c r="E871" t="s">
        <v>1220</v>
      </c>
      <c r="F871">
        <v>20</v>
      </c>
      <c r="G871">
        <v>1</v>
      </c>
      <c r="H871">
        <v>1</v>
      </c>
      <c r="I871">
        <v>20</v>
      </c>
      <c r="J871">
        <v>680</v>
      </c>
      <c r="K871">
        <f t="shared" si="40"/>
        <v>34</v>
      </c>
      <c r="L871">
        <f t="shared" si="41"/>
        <v>0</v>
      </c>
      <c r="M871">
        <v>680</v>
      </c>
      <c r="N871" s="3">
        <v>47058</v>
      </c>
      <c r="O871" s="6">
        <v>0</v>
      </c>
    </row>
    <row r="872" spans="1:15">
      <c r="A872" t="str">
        <f t="shared" si="39"/>
        <v>Kuproxat 345 F 40 X 200 ml468440</v>
      </c>
      <c r="B872" t="s">
        <v>10691</v>
      </c>
      <c r="C872" t="s">
        <v>15254</v>
      </c>
      <c r="D872" t="s">
        <v>12775</v>
      </c>
      <c r="E872" t="s">
        <v>1221</v>
      </c>
      <c r="F872">
        <v>40</v>
      </c>
      <c r="G872">
        <v>1</v>
      </c>
      <c r="H872">
        <v>1</v>
      </c>
      <c r="I872">
        <v>40</v>
      </c>
      <c r="J872">
        <v>4</v>
      </c>
      <c r="K872">
        <f t="shared" si="40"/>
        <v>0</v>
      </c>
      <c r="L872">
        <f t="shared" si="41"/>
        <v>4</v>
      </c>
      <c r="M872">
        <v>4</v>
      </c>
      <c r="N872" s="3">
        <v>46844</v>
      </c>
      <c r="O872" s="6">
        <v>0</v>
      </c>
    </row>
    <row r="873" spans="1:15">
      <c r="A873" t="str">
        <f t="shared" si="39"/>
        <v>Kuproxat 345 F 40 X 200 ml469050</v>
      </c>
      <c r="B873" t="s">
        <v>10692</v>
      </c>
      <c r="C873" t="s">
        <v>15255</v>
      </c>
      <c r="D873" t="s">
        <v>12776</v>
      </c>
      <c r="E873" t="s">
        <v>1221</v>
      </c>
      <c r="F873">
        <v>40</v>
      </c>
      <c r="G873">
        <v>1</v>
      </c>
      <c r="H873">
        <v>1</v>
      </c>
      <c r="I873">
        <v>40</v>
      </c>
      <c r="J873">
        <v>1960</v>
      </c>
      <c r="K873">
        <f t="shared" si="40"/>
        <v>49</v>
      </c>
      <c r="L873">
        <f t="shared" si="41"/>
        <v>0</v>
      </c>
      <c r="M873">
        <v>1960</v>
      </c>
      <c r="N873" s="3">
        <v>46905</v>
      </c>
      <c r="O873" s="6">
        <v>0</v>
      </c>
    </row>
    <row r="874" spans="1:15">
      <c r="A874" t="str">
        <f t="shared" si="39"/>
        <v>Kuproxat 345 F 40 X 200 ml468740</v>
      </c>
      <c r="B874" t="s">
        <v>10693</v>
      </c>
      <c r="C874" t="s">
        <v>15256</v>
      </c>
      <c r="D874" t="s">
        <v>12777</v>
      </c>
      <c r="E874" t="s">
        <v>1221</v>
      </c>
      <c r="F874">
        <v>40</v>
      </c>
      <c r="G874">
        <v>1</v>
      </c>
      <c r="H874">
        <v>1</v>
      </c>
      <c r="I874">
        <v>40</v>
      </c>
      <c r="J874">
        <v>5240</v>
      </c>
      <c r="K874">
        <f t="shared" si="40"/>
        <v>131</v>
      </c>
      <c r="L874">
        <f t="shared" si="41"/>
        <v>0</v>
      </c>
      <c r="M874">
        <v>5240</v>
      </c>
      <c r="N874" s="3">
        <v>46874</v>
      </c>
      <c r="O874" s="6">
        <v>0</v>
      </c>
    </row>
    <row r="875" spans="1:15">
      <c r="A875" t="str">
        <f t="shared" si="39"/>
        <v>Laba Hidroponik 130 gr1/1/10000</v>
      </c>
      <c r="B875" t="s">
        <v>10694</v>
      </c>
      <c r="C875" t="s">
        <v>15257</v>
      </c>
      <c r="D875" t="s">
        <v>12778</v>
      </c>
      <c r="E875" t="s">
        <v>1222</v>
      </c>
      <c r="F875">
        <v>1</v>
      </c>
      <c r="G875">
        <v>1</v>
      </c>
      <c r="H875">
        <v>1</v>
      </c>
      <c r="I875">
        <v>1</v>
      </c>
      <c r="J875">
        <v>6</v>
      </c>
      <c r="K875">
        <f t="shared" si="40"/>
        <v>6</v>
      </c>
      <c r="L875">
        <f t="shared" si="41"/>
        <v>0</v>
      </c>
      <c r="M875">
        <v>6</v>
      </c>
      <c r="N875" s="3" t="s">
        <v>2222</v>
      </c>
      <c r="O875" s="6">
        <v>0</v>
      </c>
    </row>
    <row r="876" spans="1:15">
      <c r="A876" t="str">
        <f t="shared" si="39"/>
        <v>Laba Hidroponik 142 gr1/1/10000</v>
      </c>
      <c r="B876" t="s">
        <v>10695</v>
      </c>
      <c r="C876" t="s">
        <v>15258</v>
      </c>
      <c r="D876" t="s">
        <v>12779</v>
      </c>
      <c r="E876" t="s">
        <v>1223</v>
      </c>
      <c r="F876">
        <v>1</v>
      </c>
      <c r="G876">
        <v>1</v>
      </c>
      <c r="H876">
        <v>1</v>
      </c>
      <c r="I876">
        <v>1</v>
      </c>
      <c r="J876">
        <v>5</v>
      </c>
      <c r="K876">
        <f t="shared" si="40"/>
        <v>5</v>
      </c>
      <c r="L876">
        <f t="shared" si="41"/>
        <v>0</v>
      </c>
      <c r="M876">
        <v>5</v>
      </c>
      <c r="N876" s="3" t="s">
        <v>2222</v>
      </c>
      <c r="O876" s="6">
        <v>0</v>
      </c>
    </row>
    <row r="877" spans="1:15">
      <c r="A877" t="str">
        <f t="shared" si="39"/>
        <v>Lancer Gold 55 WG 100 X 100 gr458700</v>
      </c>
      <c r="B877" t="s">
        <v>10696</v>
      </c>
      <c r="C877" t="s">
        <v>15259</v>
      </c>
      <c r="D877" t="s">
        <v>12780</v>
      </c>
      <c r="E877" t="s">
        <v>1224</v>
      </c>
      <c r="F877">
        <v>100</v>
      </c>
      <c r="G877">
        <v>1</v>
      </c>
      <c r="H877">
        <v>1</v>
      </c>
      <c r="I877">
        <v>100</v>
      </c>
      <c r="J877">
        <v>1140</v>
      </c>
      <c r="K877">
        <f t="shared" si="40"/>
        <v>11</v>
      </c>
      <c r="L877">
        <f t="shared" si="41"/>
        <v>40</v>
      </c>
      <c r="M877">
        <v>1140</v>
      </c>
      <c r="N877" s="3">
        <v>45870</v>
      </c>
      <c r="O877" s="6">
        <v>0</v>
      </c>
    </row>
    <row r="878" spans="1:15">
      <c r="A878" t="str">
        <f t="shared" si="39"/>
        <v>Lancer Gold 55 WG 20 X 500 gr458700</v>
      </c>
      <c r="B878" t="s">
        <v>10697</v>
      </c>
      <c r="C878" t="s">
        <v>15260</v>
      </c>
      <c r="D878" t="s">
        <v>12781</v>
      </c>
      <c r="E878" t="s">
        <v>1226</v>
      </c>
      <c r="F878">
        <v>20</v>
      </c>
      <c r="G878">
        <v>1</v>
      </c>
      <c r="H878">
        <v>1</v>
      </c>
      <c r="I878">
        <v>20</v>
      </c>
      <c r="J878">
        <v>210</v>
      </c>
      <c r="K878">
        <f t="shared" si="40"/>
        <v>10</v>
      </c>
      <c r="L878">
        <f t="shared" si="41"/>
        <v>10</v>
      </c>
      <c r="M878">
        <v>210</v>
      </c>
      <c r="N878" s="3">
        <v>45870</v>
      </c>
      <c r="O878" s="6">
        <v>0</v>
      </c>
    </row>
    <row r="879" spans="1:15">
      <c r="A879" t="str">
        <f t="shared" si="39"/>
        <v>Lancer Gold 55 WG 40 X 250 gr458390</v>
      </c>
      <c r="B879" t="s">
        <v>10698</v>
      </c>
      <c r="C879" t="s">
        <v>15261</v>
      </c>
      <c r="D879" t="s">
        <v>12782</v>
      </c>
      <c r="E879" t="s">
        <v>1228</v>
      </c>
      <c r="F879">
        <v>40</v>
      </c>
      <c r="G879">
        <v>1</v>
      </c>
      <c r="H879">
        <v>1</v>
      </c>
      <c r="I879">
        <v>40</v>
      </c>
      <c r="J879">
        <v>200</v>
      </c>
      <c r="K879">
        <f t="shared" si="40"/>
        <v>5</v>
      </c>
      <c r="L879">
        <f t="shared" si="41"/>
        <v>0</v>
      </c>
      <c r="M879">
        <v>200</v>
      </c>
      <c r="N879" s="3">
        <v>45839</v>
      </c>
      <c r="O879" s="6">
        <v>0</v>
      </c>
    </row>
    <row r="880" spans="1:15">
      <c r="A880" t="str">
        <f t="shared" si="39"/>
        <v>Laptop Lenovo1/1/10000</v>
      </c>
      <c r="B880" t="s">
        <v>10699</v>
      </c>
      <c r="C880" t="s">
        <v>15262</v>
      </c>
      <c r="D880" t="s">
        <v>12783</v>
      </c>
      <c r="E880" t="s">
        <v>1230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f t="shared" si="40"/>
        <v>1</v>
      </c>
      <c r="L880">
        <f t="shared" si="41"/>
        <v>0</v>
      </c>
      <c r="M880">
        <v>1</v>
      </c>
      <c r="N880" s="3" t="s">
        <v>2222</v>
      </c>
      <c r="O880" s="6">
        <v>0</v>
      </c>
    </row>
    <row r="881" spans="1:15">
      <c r="A881" t="str">
        <f t="shared" si="39"/>
        <v>Larviron 100/20 ZC 20 X 500 ml456270</v>
      </c>
      <c r="B881" t="s">
        <v>10700</v>
      </c>
      <c r="C881" t="s">
        <v>15263</v>
      </c>
      <c r="D881" t="s">
        <v>12784</v>
      </c>
      <c r="E881" t="s">
        <v>1231</v>
      </c>
      <c r="F881">
        <v>20</v>
      </c>
      <c r="G881">
        <v>1</v>
      </c>
      <c r="H881">
        <v>1</v>
      </c>
      <c r="I881">
        <v>20</v>
      </c>
      <c r="J881">
        <v>635</v>
      </c>
      <c r="K881">
        <f t="shared" si="40"/>
        <v>31</v>
      </c>
      <c r="L881">
        <f t="shared" si="41"/>
        <v>15</v>
      </c>
      <c r="M881">
        <v>635</v>
      </c>
      <c r="N881" s="3">
        <v>45627</v>
      </c>
      <c r="O881" s="6">
        <v>0</v>
      </c>
    </row>
    <row r="882" spans="1:15">
      <c r="A882" t="str">
        <f t="shared" si="39"/>
        <v>Larviron 100/20 ZC 40 X 250 ml460540</v>
      </c>
      <c r="B882" t="s">
        <v>10701</v>
      </c>
      <c r="C882" t="s">
        <v>15264</v>
      </c>
      <c r="D882" t="s">
        <v>12785</v>
      </c>
      <c r="E882" t="s">
        <v>1233</v>
      </c>
      <c r="F882">
        <v>40</v>
      </c>
      <c r="G882">
        <v>1</v>
      </c>
      <c r="H882">
        <v>1</v>
      </c>
      <c r="I882">
        <v>40</v>
      </c>
      <c r="J882">
        <v>320</v>
      </c>
      <c r="K882">
        <f t="shared" si="40"/>
        <v>8</v>
      </c>
      <c r="L882">
        <f t="shared" si="41"/>
        <v>0</v>
      </c>
      <c r="M882">
        <v>320</v>
      </c>
      <c r="N882" s="3">
        <v>46054</v>
      </c>
      <c r="O882" s="6">
        <v>0</v>
      </c>
    </row>
    <row r="883" spans="1:15">
      <c r="A883" t="str">
        <f t="shared" si="39"/>
        <v>Lem Ajaib 50 X 100 ml464470</v>
      </c>
      <c r="B883" t="s">
        <v>10702</v>
      </c>
      <c r="C883" t="s">
        <v>15265</v>
      </c>
      <c r="D883" t="s">
        <v>12786</v>
      </c>
      <c r="E883" t="s">
        <v>1235</v>
      </c>
      <c r="F883">
        <v>50</v>
      </c>
      <c r="G883">
        <v>1</v>
      </c>
      <c r="H883">
        <v>1</v>
      </c>
      <c r="I883">
        <v>50</v>
      </c>
      <c r="J883">
        <v>661</v>
      </c>
      <c r="K883">
        <f t="shared" si="40"/>
        <v>13</v>
      </c>
      <c r="L883">
        <f t="shared" si="41"/>
        <v>11</v>
      </c>
      <c r="M883">
        <v>661</v>
      </c>
      <c r="N883" s="3">
        <v>46447</v>
      </c>
      <c r="O883" s="6">
        <v>0</v>
      </c>
    </row>
    <row r="884" spans="1:15">
      <c r="A884" t="str">
        <f t="shared" si="39"/>
        <v>Lem Ajaib 50 X 100 ml464780</v>
      </c>
      <c r="B884" t="s">
        <v>10703</v>
      </c>
      <c r="C884" t="s">
        <v>15266</v>
      </c>
      <c r="D884" t="s">
        <v>12787</v>
      </c>
      <c r="E884" t="s">
        <v>1235</v>
      </c>
      <c r="F884">
        <v>50</v>
      </c>
      <c r="G884">
        <v>1</v>
      </c>
      <c r="H884">
        <v>1</v>
      </c>
      <c r="I884">
        <v>50</v>
      </c>
      <c r="J884">
        <v>1200</v>
      </c>
      <c r="K884">
        <f t="shared" si="40"/>
        <v>24</v>
      </c>
      <c r="L884">
        <f t="shared" si="41"/>
        <v>0</v>
      </c>
      <c r="M884">
        <v>1200</v>
      </c>
      <c r="N884" s="3">
        <v>46478</v>
      </c>
      <c r="O884" s="6">
        <v>0</v>
      </c>
    </row>
    <row r="885" spans="1:15">
      <c r="A885" t="str">
        <f t="shared" si="39"/>
        <v>Lem Ajaib 50 X 100 ml465080</v>
      </c>
      <c r="B885" t="s">
        <v>10704</v>
      </c>
      <c r="C885" t="s">
        <v>15267</v>
      </c>
      <c r="D885" t="s">
        <v>12788</v>
      </c>
      <c r="E885" t="s">
        <v>1235</v>
      </c>
      <c r="F885">
        <v>50</v>
      </c>
      <c r="G885">
        <v>1</v>
      </c>
      <c r="H885">
        <v>1</v>
      </c>
      <c r="I885">
        <v>50</v>
      </c>
      <c r="J885">
        <v>2600</v>
      </c>
      <c r="K885">
        <f t="shared" si="40"/>
        <v>52</v>
      </c>
      <c r="L885">
        <f t="shared" si="41"/>
        <v>0</v>
      </c>
      <c r="M885">
        <v>2600</v>
      </c>
      <c r="N885" s="3">
        <v>46508</v>
      </c>
      <c r="O885" s="6">
        <v>0</v>
      </c>
    </row>
    <row r="886" spans="1:15">
      <c r="A886" t="str">
        <f t="shared" si="39"/>
        <v>Lem Ajaib 50 X 50 ml462660</v>
      </c>
      <c r="B886" t="s">
        <v>10705</v>
      </c>
      <c r="C886" t="s">
        <v>15268</v>
      </c>
      <c r="D886" t="s">
        <v>12789</v>
      </c>
      <c r="E886" t="s">
        <v>1236</v>
      </c>
      <c r="F886">
        <v>50</v>
      </c>
      <c r="G886">
        <v>1</v>
      </c>
      <c r="H886">
        <v>1</v>
      </c>
      <c r="I886">
        <v>50</v>
      </c>
      <c r="J886">
        <v>35</v>
      </c>
      <c r="K886">
        <f t="shared" si="40"/>
        <v>0</v>
      </c>
      <c r="L886">
        <f t="shared" si="41"/>
        <v>35</v>
      </c>
      <c r="M886">
        <v>35</v>
      </c>
      <c r="N886" s="3">
        <v>46266</v>
      </c>
      <c r="O886" s="6">
        <v>0</v>
      </c>
    </row>
    <row r="887" spans="1:15">
      <c r="A887" t="str">
        <f t="shared" si="39"/>
        <v>Lem Ajaib 50 X 50 ml464190</v>
      </c>
      <c r="B887" t="s">
        <v>10706</v>
      </c>
      <c r="C887" t="s">
        <v>15269</v>
      </c>
      <c r="D887" t="s">
        <v>12790</v>
      </c>
      <c r="E887" t="s">
        <v>1236</v>
      </c>
      <c r="F887">
        <v>50</v>
      </c>
      <c r="G887">
        <v>1</v>
      </c>
      <c r="H887">
        <v>1</v>
      </c>
      <c r="I887">
        <v>50</v>
      </c>
      <c r="J887">
        <v>150</v>
      </c>
      <c r="K887">
        <f t="shared" si="40"/>
        <v>3</v>
      </c>
      <c r="L887">
        <f t="shared" si="41"/>
        <v>0</v>
      </c>
      <c r="M887">
        <v>150</v>
      </c>
      <c r="N887" s="3">
        <v>46419</v>
      </c>
      <c r="O887" s="6">
        <v>0</v>
      </c>
    </row>
    <row r="888" spans="1:15">
      <c r="A888" t="str">
        <f t="shared" si="39"/>
        <v>Lem Ajaib 50 X 50 ml465390</v>
      </c>
      <c r="B888" t="s">
        <v>10707</v>
      </c>
      <c r="C888" t="s">
        <v>15270</v>
      </c>
      <c r="D888" t="s">
        <v>12791</v>
      </c>
      <c r="E888" t="s">
        <v>1236</v>
      </c>
      <c r="F888">
        <v>50</v>
      </c>
      <c r="G888">
        <v>1</v>
      </c>
      <c r="H888">
        <v>1</v>
      </c>
      <c r="I888">
        <v>50</v>
      </c>
      <c r="J888">
        <v>600</v>
      </c>
      <c r="K888">
        <f t="shared" si="40"/>
        <v>12</v>
      </c>
      <c r="L888">
        <f t="shared" si="41"/>
        <v>0</v>
      </c>
      <c r="M888">
        <v>600</v>
      </c>
      <c r="N888" s="3">
        <v>46539</v>
      </c>
      <c r="O888" s="6">
        <v>0</v>
      </c>
    </row>
    <row r="889" spans="1:15">
      <c r="A889" t="str">
        <f t="shared" si="39"/>
        <v>Lem Ajaib 50 X 50 ml465080</v>
      </c>
      <c r="B889" t="s">
        <v>10708</v>
      </c>
      <c r="C889" t="s">
        <v>15271</v>
      </c>
      <c r="D889" t="s">
        <v>12792</v>
      </c>
      <c r="E889" t="s">
        <v>1236</v>
      </c>
      <c r="F889">
        <v>50</v>
      </c>
      <c r="G889">
        <v>1</v>
      </c>
      <c r="H889">
        <v>1</v>
      </c>
      <c r="I889">
        <v>50</v>
      </c>
      <c r="J889">
        <v>1550</v>
      </c>
      <c r="K889">
        <f t="shared" si="40"/>
        <v>31</v>
      </c>
      <c r="L889">
        <f t="shared" si="41"/>
        <v>0</v>
      </c>
      <c r="M889">
        <v>1550</v>
      </c>
      <c r="N889" s="3">
        <v>46508</v>
      </c>
      <c r="O889" s="6">
        <v>0</v>
      </c>
    </row>
    <row r="890" spans="1:15">
      <c r="A890" t="str">
        <f t="shared" si="39"/>
        <v>Licron 500 EC 20 X 400 ml469350</v>
      </c>
      <c r="B890" t="s">
        <v>10709</v>
      </c>
      <c r="C890" t="s">
        <v>15272</v>
      </c>
      <c r="D890" t="s">
        <v>12793</v>
      </c>
      <c r="E890" t="s">
        <v>1237</v>
      </c>
      <c r="F890">
        <v>20</v>
      </c>
      <c r="G890">
        <v>1</v>
      </c>
      <c r="H890">
        <v>1</v>
      </c>
      <c r="I890">
        <v>20</v>
      </c>
      <c r="J890">
        <v>154</v>
      </c>
      <c r="K890">
        <f t="shared" si="40"/>
        <v>7</v>
      </c>
      <c r="L890">
        <f t="shared" si="41"/>
        <v>14</v>
      </c>
      <c r="M890">
        <v>154</v>
      </c>
      <c r="N890" s="3">
        <v>46935</v>
      </c>
      <c r="O890" s="6">
        <v>0</v>
      </c>
    </row>
    <row r="891" spans="1:15">
      <c r="A891" t="str">
        <f t="shared" si="39"/>
        <v>Liding 240 SC 48 X 200 ml458700</v>
      </c>
      <c r="B891" t="s">
        <v>10710</v>
      </c>
      <c r="C891" t="s">
        <v>15273</v>
      </c>
      <c r="D891" t="s">
        <v>12794</v>
      </c>
      <c r="E891" t="s">
        <v>1238</v>
      </c>
      <c r="F891">
        <v>48</v>
      </c>
      <c r="G891">
        <v>1</v>
      </c>
      <c r="H891">
        <v>1</v>
      </c>
      <c r="I891">
        <v>48</v>
      </c>
      <c r="J891">
        <v>1982</v>
      </c>
      <c r="K891">
        <f t="shared" si="40"/>
        <v>41</v>
      </c>
      <c r="L891">
        <f t="shared" si="41"/>
        <v>14</v>
      </c>
      <c r="M891">
        <v>1982</v>
      </c>
      <c r="N891" s="3">
        <v>45870</v>
      </c>
      <c r="O891" s="6">
        <v>0</v>
      </c>
    </row>
    <row r="892" spans="1:15">
      <c r="A892" t="str">
        <f t="shared" si="39"/>
        <v>Liding 240 SC 48 X 200 ml466000</v>
      </c>
      <c r="B892" t="s">
        <v>10711</v>
      </c>
      <c r="C892" t="s">
        <v>15274</v>
      </c>
      <c r="D892" t="s">
        <v>12795</v>
      </c>
      <c r="E892" t="s">
        <v>1238</v>
      </c>
      <c r="F892">
        <v>48</v>
      </c>
      <c r="G892">
        <v>1</v>
      </c>
      <c r="H892">
        <v>1</v>
      </c>
      <c r="I892">
        <v>48</v>
      </c>
      <c r="J892">
        <v>3792</v>
      </c>
      <c r="K892">
        <f t="shared" si="40"/>
        <v>79</v>
      </c>
      <c r="L892">
        <f t="shared" si="41"/>
        <v>0</v>
      </c>
      <c r="M892">
        <v>3792</v>
      </c>
      <c r="N892" s="3">
        <v>46600</v>
      </c>
      <c r="O892" s="6">
        <v>0</v>
      </c>
    </row>
    <row r="893" spans="1:15">
      <c r="A893" t="str">
        <f t="shared" si="39"/>
        <v>Liding 240 SC 64 X 90 ml467220</v>
      </c>
      <c r="B893" t="s">
        <v>10712</v>
      </c>
      <c r="C893" t="s">
        <v>15275</v>
      </c>
      <c r="D893" t="s">
        <v>12796</v>
      </c>
      <c r="E893" t="s">
        <v>1241</v>
      </c>
      <c r="F893">
        <v>64</v>
      </c>
      <c r="G893">
        <v>1</v>
      </c>
      <c r="H893">
        <v>1</v>
      </c>
      <c r="I893">
        <v>64</v>
      </c>
      <c r="J893">
        <v>3002</v>
      </c>
      <c r="K893">
        <f t="shared" si="40"/>
        <v>46</v>
      </c>
      <c r="L893">
        <f t="shared" si="41"/>
        <v>58</v>
      </c>
      <c r="M893">
        <v>3002</v>
      </c>
      <c r="N893" s="3">
        <v>46722</v>
      </c>
      <c r="O893" s="6">
        <v>0</v>
      </c>
    </row>
    <row r="894" spans="1:15">
      <c r="A894" t="str">
        <f t="shared" si="39"/>
        <v>Logamate 440 EC 20 X 500 ml468130</v>
      </c>
      <c r="B894" t="s">
        <v>10713</v>
      </c>
      <c r="C894" t="s">
        <v>15276</v>
      </c>
      <c r="D894" t="s">
        <v>12797</v>
      </c>
      <c r="E894" t="s">
        <v>1243</v>
      </c>
      <c r="F894">
        <v>20</v>
      </c>
      <c r="G894">
        <v>1</v>
      </c>
      <c r="H894">
        <v>1</v>
      </c>
      <c r="I894">
        <v>20</v>
      </c>
      <c r="J894">
        <v>10</v>
      </c>
      <c r="K894">
        <f t="shared" si="40"/>
        <v>0</v>
      </c>
      <c r="L894">
        <f t="shared" si="41"/>
        <v>10</v>
      </c>
      <c r="M894">
        <v>10</v>
      </c>
      <c r="N894" s="3">
        <v>46813</v>
      </c>
      <c r="O894" s="6">
        <v>0</v>
      </c>
    </row>
    <row r="895" spans="1:15">
      <c r="A895" t="str">
        <f t="shared" si="39"/>
        <v>Logamate 440 EC 20 X 500 ml471500</v>
      </c>
      <c r="B895" t="s">
        <v>10714</v>
      </c>
      <c r="C895" t="s">
        <v>15277</v>
      </c>
      <c r="D895" t="s">
        <v>12798</v>
      </c>
      <c r="E895" t="s">
        <v>1243</v>
      </c>
      <c r="F895">
        <v>20</v>
      </c>
      <c r="G895">
        <v>1</v>
      </c>
      <c r="H895">
        <v>1</v>
      </c>
      <c r="I895">
        <v>20</v>
      </c>
      <c r="J895">
        <v>340</v>
      </c>
      <c r="K895">
        <f t="shared" si="40"/>
        <v>17</v>
      </c>
      <c r="L895">
        <f t="shared" si="41"/>
        <v>0</v>
      </c>
      <c r="M895">
        <v>340</v>
      </c>
      <c r="N895" s="3">
        <v>47150</v>
      </c>
      <c r="O895" s="6">
        <v>0</v>
      </c>
    </row>
    <row r="896" spans="1:15">
      <c r="A896" t="str">
        <f t="shared" si="39"/>
        <v>Logamate 440 EC 20 X 500 ml470880</v>
      </c>
      <c r="B896" t="s">
        <v>10715</v>
      </c>
      <c r="C896" t="s">
        <v>15278</v>
      </c>
      <c r="D896" t="s">
        <v>12799</v>
      </c>
      <c r="E896" t="s">
        <v>1243</v>
      </c>
      <c r="F896">
        <v>20</v>
      </c>
      <c r="G896">
        <v>1</v>
      </c>
      <c r="H896">
        <v>1</v>
      </c>
      <c r="I896">
        <v>20</v>
      </c>
      <c r="J896">
        <v>780</v>
      </c>
      <c r="K896">
        <f t="shared" si="40"/>
        <v>39</v>
      </c>
      <c r="L896">
        <f t="shared" si="41"/>
        <v>0</v>
      </c>
      <c r="M896">
        <v>780</v>
      </c>
      <c r="N896" s="3">
        <v>47088</v>
      </c>
      <c r="O896" s="6">
        <v>0</v>
      </c>
    </row>
    <row r="897" spans="1:15">
      <c r="A897" t="str">
        <f t="shared" si="39"/>
        <v>Logamate 440 EC 40 x 250 ml470880</v>
      </c>
      <c r="B897" t="s">
        <v>10716</v>
      </c>
      <c r="C897" t="s">
        <v>15279</v>
      </c>
      <c r="D897" t="s">
        <v>12800</v>
      </c>
      <c r="E897" t="s">
        <v>1244</v>
      </c>
      <c r="F897">
        <v>40</v>
      </c>
      <c r="G897">
        <v>1</v>
      </c>
      <c r="H897">
        <v>1</v>
      </c>
      <c r="I897">
        <v>40</v>
      </c>
      <c r="J897">
        <v>15</v>
      </c>
      <c r="K897">
        <f t="shared" si="40"/>
        <v>0</v>
      </c>
      <c r="L897">
        <f t="shared" si="41"/>
        <v>15</v>
      </c>
      <c r="M897">
        <v>15</v>
      </c>
      <c r="N897" s="3">
        <v>47088</v>
      </c>
      <c r="O897" s="6">
        <v>0</v>
      </c>
    </row>
    <row r="898" spans="1:15">
      <c r="A898" t="str">
        <f t="shared" si="39"/>
        <v>Logamate 440 EC 40 x 250 ml471780</v>
      </c>
      <c r="B898" t="s">
        <v>10717</v>
      </c>
      <c r="C898" t="s">
        <v>15280</v>
      </c>
      <c r="D898" t="s">
        <v>12801</v>
      </c>
      <c r="E898" t="s">
        <v>1244</v>
      </c>
      <c r="F898">
        <v>40</v>
      </c>
      <c r="G898">
        <v>1</v>
      </c>
      <c r="H898">
        <v>1</v>
      </c>
      <c r="I898">
        <v>40</v>
      </c>
      <c r="J898">
        <v>400</v>
      </c>
      <c r="K898">
        <f t="shared" si="40"/>
        <v>10</v>
      </c>
      <c r="L898">
        <f t="shared" si="41"/>
        <v>0</v>
      </c>
      <c r="M898">
        <v>400</v>
      </c>
      <c r="N898" s="3">
        <v>47178</v>
      </c>
      <c r="O898" s="6">
        <v>0</v>
      </c>
    </row>
    <row r="899" spans="1:15">
      <c r="A899" t="str">
        <f t="shared" ref="A899:A962" si="42">E899&amp;N899&amp;O899</f>
        <v>Logamate 440 EC 50 x 100 ml471190</v>
      </c>
      <c r="B899" t="s">
        <v>10718</v>
      </c>
      <c r="C899" t="s">
        <v>15281</v>
      </c>
      <c r="D899" t="s">
        <v>12802</v>
      </c>
      <c r="E899" t="s">
        <v>1245</v>
      </c>
      <c r="F899">
        <v>50</v>
      </c>
      <c r="G899">
        <v>1</v>
      </c>
      <c r="H899">
        <v>1</v>
      </c>
      <c r="I899">
        <v>50</v>
      </c>
      <c r="J899">
        <v>620</v>
      </c>
      <c r="K899">
        <f t="shared" ref="K899:K962" si="43">ROUNDDOWN(J899/I899,0)</f>
        <v>12</v>
      </c>
      <c r="L899">
        <f t="shared" ref="L899:L962" si="44">J899-K899*I899</f>
        <v>20</v>
      </c>
      <c r="M899">
        <v>620</v>
      </c>
      <c r="N899" s="3">
        <v>47119</v>
      </c>
      <c r="O899" s="6">
        <v>0</v>
      </c>
    </row>
    <row r="900" spans="1:15">
      <c r="A900" t="str">
        <f t="shared" si="42"/>
        <v>Logamate 440 EC 50 x 100 ml471500</v>
      </c>
      <c r="B900" t="s">
        <v>10719</v>
      </c>
      <c r="C900" t="s">
        <v>15282</v>
      </c>
      <c r="D900" t="s">
        <v>12803</v>
      </c>
      <c r="E900" t="s">
        <v>1245</v>
      </c>
      <c r="F900">
        <v>50</v>
      </c>
      <c r="G900">
        <v>1</v>
      </c>
      <c r="H900">
        <v>1</v>
      </c>
      <c r="I900">
        <v>50</v>
      </c>
      <c r="J900">
        <v>1050</v>
      </c>
      <c r="K900">
        <f t="shared" si="43"/>
        <v>21</v>
      </c>
      <c r="L900">
        <f t="shared" si="44"/>
        <v>0</v>
      </c>
      <c r="M900">
        <v>1050</v>
      </c>
      <c r="N900" s="3">
        <v>47150</v>
      </c>
      <c r="O900" s="6">
        <v>0</v>
      </c>
    </row>
    <row r="901" spans="1:15">
      <c r="A901" t="str">
        <f t="shared" si="42"/>
        <v>Losmine 50 EC 40 X 250 ml457480</v>
      </c>
      <c r="B901" t="s">
        <v>10720</v>
      </c>
      <c r="C901" t="s">
        <v>15283</v>
      </c>
      <c r="D901" t="s">
        <v>12804</v>
      </c>
      <c r="E901" t="s">
        <v>1246</v>
      </c>
      <c r="F901">
        <v>40</v>
      </c>
      <c r="G901">
        <v>1</v>
      </c>
      <c r="H901">
        <v>1</v>
      </c>
      <c r="I901">
        <v>40</v>
      </c>
      <c r="J901">
        <v>225</v>
      </c>
      <c r="K901">
        <f t="shared" si="43"/>
        <v>5</v>
      </c>
      <c r="L901">
        <f t="shared" si="44"/>
        <v>25</v>
      </c>
      <c r="M901">
        <v>225</v>
      </c>
      <c r="N901" s="3">
        <v>45748</v>
      </c>
      <c r="O901" s="6">
        <v>0</v>
      </c>
    </row>
    <row r="902" spans="1:15">
      <c r="A902" t="str">
        <f t="shared" si="42"/>
        <v>Losmine 50 EC 50 X 100 ml457480</v>
      </c>
      <c r="B902" t="s">
        <v>10721</v>
      </c>
      <c r="C902" t="s">
        <v>15284</v>
      </c>
      <c r="D902" t="s">
        <v>12805</v>
      </c>
      <c r="E902" t="s">
        <v>1247</v>
      </c>
      <c r="F902">
        <v>50</v>
      </c>
      <c r="G902">
        <v>1</v>
      </c>
      <c r="H902">
        <v>1</v>
      </c>
      <c r="I902">
        <v>50</v>
      </c>
      <c r="J902">
        <v>218</v>
      </c>
      <c r="K902">
        <f t="shared" si="43"/>
        <v>4</v>
      </c>
      <c r="L902">
        <f t="shared" si="44"/>
        <v>18</v>
      </c>
      <c r="M902">
        <v>218</v>
      </c>
      <c r="N902" s="3">
        <v>45748</v>
      </c>
      <c r="O902" s="6">
        <v>0</v>
      </c>
    </row>
    <row r="903" spans="1:15">
      <c r="A903" t="str">
        <f t="shared" si="42"/>
        <v>Loyant 25 EC 20 X 500 ml460230</v>
      </c>
      <c r="B903" t="s">
        <v>10722</v>
      </c>
      <c r="C903" t="s">
        <v>15285</v>
      </c>
      <c r="D903" t="s">
        <v>12806</v>
      </c>
      <c r="E903" t="s">
        <v>1248</v>
      </c>
      <c r="F903">
        <v>20</v>
      </c>
      <c r="G903">
        <v>1</v>
      </c>
      <c r="H903">
        <v>1</v>
      </c>
      <c r="I903">
        <v>20</v>
      </c>
      <c r="J903">
        <v>15</v>
      </c>
      <c r="K903">
        <f t="shared" si="43"/>
        <v>0</v>
      </c>
      <c r="L903">
        <f t="shared" si="44"/>
        <v>15</v>
      </c>
      <c r="M903">
        <v>15</v>
      </c>
      <c r="N903" s="3">
        <v>46023</v>
      </c>
      <c r="O903" s="6">
        <v>0</v>
      </c>
    </row>
    <row r="904" spans="1:15">
      <c r="A904" t="str">
        <f t="shared" si="42"/>
        <v>Loyant 25 EC 20 X 500 ml462960</v>
      </c>
      <c r="B904" t="s">
        <v>10723</v>
      </c>
      <c r="C904" t="s">
        <v>15286</v>
      </c>
      <c r="D904" t="s">
        <v>12807</v>
      </c>
      <c r="E904" t="s">
        <v>1248</v>
      </c>
      <c r="F904">
        <v>20</v>
      </c>
      <c r="G904">
        <v>1</v>
      </c>
      <c r="H904">
        <v>1</v>
      </c>
      <c r="I904">
        <v>20</v>
      </c>
      <c r="J904">
        <v>40</v>
      </c>
      <c r="K904">
        <f t="shared" si="43"/>
        <v>2</v>
      </c>
      <c r="L904">
        <f t="shared" si="44"/>
        <v>0</v>
      </c>
      <c r="M904">
        <v>40</v>
      </c>
      <c r="N904" s="3">
        <v>46296</v>
      </c>
      <c r="O904" s="6">
        <v>0</v>
      </c>
    </row>
    <row r="905" spans="1:15">
      <c r="A905" t="str">
        <f t="shared" si="42"/>
        <v>Ludes 50 EC 30 X 250 ml459620</v>
      </c>
      <c r="B905" t="s">
        <v>10724</v>
      </c>
      <c r="C905" t="s">
        <v>15287</v>
      </c>
      <c r="D905" t="s">
        <v>12808</v>
      </c>
      <c r="E905" t="s">
        <v>1251</v>
      </c>
      <c r="F905">
        <v>30</v>
      </c>
      <c r="G905">
        <v>1</v>
      </c>
      <c r="H905">
        <v>1</v>
      </c>
      <c r="I905">
        <v>30</v>
      </c>
      <c r="J905">
        <v>307</v>
      </c>
      <c r="K905">
        <f t="shared" si="43"/>
        <v>10</v>
      </c>
      <c r="L905">
        <f t="shared" si="44"/>
        <v>7</v>
      </c>
      <c r="M905">
        <v>307</v>
      </c>
      <c r="N905" s="3">
        <v>45962</v>
      </c>
      <c r="O905" s="6">
        <v>0</v>
      </c>
    </row>
    <row r="906" spans="1:15">
      <c r="A906" t="str">
        <f t="shared" si="42"/>
        <v>Ludes 50 EC 30 X 250 ml462960</v>
      </c>
      <c r="B906" t="s">
        <v>10725</v>
      </c>
      <c r="C906" t="s">
        <v>15288</v>
      </c>
      <c r="D906" t="s">
        <v>12809</v>
      </c>
      <c r="E906" t="s">
        <v>1251</v>
      </c>
      <c r="F906">
        <v>30</v>
      </c>
      <c r="G906">
        <v>1</v>
      </c>
      <c r="H906">
        <v>1</v>
      </c>
      <c r="I906">
        <v>30</v>
      </c>
      <c r="J906">
        <v>1350</v>
      </c>
      <c r="K906">
        <f t="shared" si="43"/>
        <v>45</v>
      </c>
      <c r="L906">
        <f t="shared" si="44"/>
        <v>0</v>
      </c>
      <c r="M906">
        <v>1350</v>
      </c>
      <c r="N906" s="3">
        <v>46296</v>
      </c>
      <c r="O906" s="6">
        <v>0</v>
      </c>
    </row>
    <row r="907" spans="1:15">
      <c r="A907" t="str">
        <f t="shared" si="42"/>
        <v>Ludes 50 EC 50 X 100 ml458700</v>
      </c>
      <c r="B907" t="s">
        <v>10726</v>
      </c>
      <c r="C907" t="s">
        <v>15289</v>
      </c>
      <c r="D907" t="s">
        <v>12810</v>
      </c>
      <c r="E907" t="s">
        <v>1252</v>
      </c>
      <c r="F907">
        <v>50</v>
      </c>
      <c r="G907">
        <v>1</v>
      </c>
      <c r="H907">
        <v>1</v>
      </c>
      <c r="I907">
        <v>50</v>
      </c>
      <c r="J907">
        <v>43</v>
      </c>
      <c r="K907">
        <f t="shared" si="43"/>
        <v>0</v>
      </c>
      <c r="L907">
        <f t="shared" si="44"/>
        <v>43</v>
      </c>
      <c r="M907">
        <v>43</v>
      </c>
      <c r="N907" s="3">
        <v>45870</v>
      </c>
      <c r="O907" s="6">
        <v>0</v>
      </c>
    </row>
    <row r="908" spans="1:15">
      <c r="A908" t="str">
        <f t="shared" si="42"/>
        <v>Ludes 50 EC 50 X 100 ml462960</v>
      </c>
      <c r="B908" t="s">
        <v>10727</v>
      </c>
      <c r="C908" t="s">
        <v>15290</v>
      </c>
      <c r="D908" t="s">
        <v>12811</v>
      </c>
      <c r="E908" t="s">
        <v>1252</v>
      </c>
      <c r="F908">
        <v>50</v>
      </c>
      <c r="G908">
        <v>1</v>
      </c>
      <c r="H908">
        <v>1</v>
      </c>
      <c r="I908">
        <v>50</v>
      </c>
      <c r="J908">
        <v>2250</v>
      </c>
      <c r="K908">
        <f t="shared" si="43"/>
        <v>45</v>
      </c>
      <c r="L908">
        <f t="shared" si="44"/>
        <v>0</v>
      </c>
      <c r="M908">
        <v>2250</v>
      </c>
      <c r="N908" s="3">
        <v>46296</v>
      </c>
      <c r="O908" s="6">
        <v>0</v>
      </c>
    </row>
    <row r="909" spans="1:15">
      <c r="A909" t="str">
        <f t="shared" si="42"/>
        <v>Ludes 50 EC 50 X 100 ml459010</v>
      </c>
      <c r="B909" t="s">
        <v>10728</v>
      </c>
      <c r="C909" t="s">
        <v>15291</v>
      </c>
      <c r="D909" t="s">
        <v>12812</v>
      </c>
      <c r="E909" t="s">
        <v>1252</v>
      </c>
      <c r="F909">
        <v>50</v>
      </c>
      <c r="G909">
        <v>1</v>
      </c>
      <c r="H909">
        <v>1</v>
      </c>
      <c r="I909">
        <v>50</v>
      </c>
      <c r="J909">
        <v>1300</v>
      </c>
      <c r="K909">
        <f t="shared" si="43"/>
        <v>26</v>
      </c>
      <c r="L909">
        <f t="shared" si="44"/>
        <v>0</v>
      </c>
      <c r="M909">
        <v>1300</v>
      </c>
      <c r="N909" s="3">
        <v>45901</v>
      </c>
      <c r="O909" s="6">
        <v>0</v>
      </c>
    </row>
    <row r="910" spans="1:15">
      <c r="A910" t="str">
        <f t="shared" si="42"/>
        <v>Ludes 50 EC 50 X 100 ml459620</v>
      </c>
      <c r="B910" t="s">
        <v>10729</v>
      </c>
      <c r="C910" t="s">
        <v>15292</v>
      </c>
      <c r="D910" t="s">
        <v>12813</v>
      </c>
      <c r="E910" t="s">
        <v>1252</v>
      </c>
      <c r="F910">
        <v>50</v>
      </c>
      <c r="G910">
        <v>1</v>
      </c>
      <c r="H910">
        <v>1</v>
      </c>
      <c r="I910">
        <v>50</v>
      </c>
      <c r="J910">
        <v>1400</v>
      </c>
      <c r="K910">
        <f t="shared" si="43"/>
        <v>28</v>
      </c>
      <c r="L910">
        <f t="shared" si="44"/>
        <v>0</v>
      </c>
      <c r="M910">
        <v>1400</v>
      </c>
      <c r="N910" s="3">
        <v>45962</v>
      </c>
      <c r="O910" s="6">
        <v>0</v>
      </c>
    </row>
    <row r="911" spans="1:15">
      <c r="A911" t="str">
        <f t="shared" si="42"/>
        <v>Macerio 52 WP 20 X 500 gr470880</v>
      </c>
      <c r="B911" t="s">
        <v>10730</v>
      </c>
      <c r="C911" t="s">
        <v>15293</v>
      </c>
      <c r="D911" t="s">
        <v>12814</v>
      </c>
      <c r="E911" t="s">
        <v>1253</v>
      </c>
      <c r="F911">
        <v>20</v>
      </c>
      <c r="G911">
        <v>1</v>
      </c>
      <c r="H911">
        <v>1</v>
      </c>
      <c r="I911">
        <v>20</v>
      </c>
      <c r="J911">
        <v>645</v>
      </c>
      <c r="K911">
        <f t="shared" si="43"/>
        <v>32</v>
      </c>
      <c r="L911">
        <f t="shared" si="44"/>
        <v>5</v>
      </c>
      <c r="M911">
        <v>645</v>
      </c>
      <c r="N911" s="3">
        <v>47088</v>
      </c>
      <c r="O911" s="6">
        <v>0</v>
      </c>
    </row>
    <row r="912" spans="1:15">
      <c r="A912" t="str">
        <f t="shared" si="42"/>
        <v>Macerio 52 WP 20 X 500 gr470270</v>
      </c>
      <c r="B912" t="s">
        <v>10731</v>
      </c>
      <c r="C912" t="s">
        <v>15294</v>
      </c>
      <c r="D912" t="s">
        <v>12815</v>
      </c>
      <c r="E912" t="s">
        <v>1253</v>
      </c>
      <c r="F912">
        <v>20</v>
      </c>
      <c r="G912">
        <v>1</v>
      </c>
      <c r="H912">
        <v>1</v>
      </c>
      <c r="I912">
        <v>20</v>
      </c>
      <c r="J912">
        <v>4320</v>
      </c>
      <c r="K912">
        <f t="shared" si="43"/>
        <v>216</v>
      </c>
      <c r="L912">
        <f t="shared" si="44"/>
        <v>0</v>
      </c>
      <c r="M912">
        <v>4320</v>
      </c>
      <c r="N912" s="3">
        <v>47027</v>
      </c>
      <c r="O912" s="6">
        <v>0</v>
      </c>
    </row>
    <row r="913" spans="1:15">
      <c r="A913" t="str">
        <f t="shared" si="42"/>
        <v>Maestro 200 EC 10 X 1 ltr471780</v>
      </c>
      <c r="B913" t="s">
        <v>10732</v>
      </c>
      <c r="C913" t="s">
        <v>15295</v>
      </c>
      <c r="D913" t="s">
        <v>12816</v>
      </c>
      <c r="E913" t="s">
        <v>1256</v>
      </c>
      <c r="F913">
        <v>10</v>
      </c>
      <c r="G913">
        <v>1</v>
      </c>
      <c r="H913">
        <v>1</v>
      </c>
      <c r="I913">
        <v>10</v>
      </c>
      <c r="J913">
        <v>1840</v>
      </c>
      <c r="K913">
        <f t="shared" si="43"/>
        <v>184</v>
      </c>
      <c r="L913">
        <f t="shared" si="44"/>
        <v>0</v>
      </c>
      <c r="M913">
        <v>1840</v>
      </c>
      <c r="N913" s="3">
        <v>47178</v>
      </c>
      <c r="O913" s="6">
        <v>0</v>
      </c>
    </row>
    <row r="914" spans="1:15">
      <c r="A914" t="str">
        <f t="shared" si="42"/>
        <v>Maestro 200 EC 20 X 500 ml471190</v>
      </c>
      <c r="B914" t="s">
        <v>10733</v>
      </c>
      <c r="C914" t="s">
        <v>15296</v>
      </c>
      <c r="D914" t="s">
        <v>12817</v>
      </c>
      <c r="E914" t="s">
        <v>1257</v>
      </c>
      <c r="F914">
        <v>20</v>
      </c>
      <c r="G914">
        <v>1</v>
      </c>
      <c r="H914">
        <v>1</v>
      </c>
      <c r="I914">
        <v>20</v>
      </c>
      <c r="J914">
        <v>1613</v>
      </c>
      <c r="K914">
        <f t="shared" si="43"/>
        <v>80</v>
      </c>
      <c r="L914">
        <f t="shared" si="44"/>
        <v>13</v>
      </c>
      <c r="M914">
        <v>1613</v>
      </c>
      <c r="N914" s="3">
        <v>47119</v>
      </c>
      <c r="O914" s="6">
        <v>0</v>
      </c>
    </row>
    <row r="915" spans="1:15">
      <c r="A915" t="str">
        <f t="shared" si="42"/>
        <v>Maestro 200 EC 20 X 500 ml471780</v>
      </c>
      <c r="B915" t="s">
        <v>10734</v>
      </c>
      <c r="C915" t="s">
        <v>15297</v>
      </c>
      <c r="D915" t="s">
        <v>12818</v>
      </c>
      <c r="E915" t="s">
        <v>1257</v>
      </c>
      <c r="F915">
        <v>20</v>
      </c>
      <c r="G915">
        <v>1</v>
      </c>
      <c r="H915">
        <v>1</v>
      </c>
      <c r="I915">
        <v>20</v>
      </c>
      <c r="J915">
        <v>2000</v>
      </c>
      <c r="K915">
        <f t="shared" si="43"/>
        <v>100</v>
      </c>
      <c r="L915">
        <f t="shared" si="44"/>
        <v>0</v>
      </c>
      <c r="M915">
        <v>2000</v>
      </c>
      <c r="N915" s="3">
        <v>47178</v>
      </c>
      <c r="O915" s="6">
        <v>0</v>
      </c>
    </row>
    <row r="916" spans="1:15">
      <c r="A916" t="str">
        <f t="shared" si="42"/>
        <v>Magicxone 138 SL 20 ltr471190</v>
      </c>
      <c r="B916" t="s">
        <v>10735</v>
      </c>
      <c r="C916" t="s">
        <v>15298</v>
      </c>
      <c r="D916" t="s">
        <v>12819</v>
      </c>
      <c r="E916" t="s">
        <v>1258</v>
      </c>
      <c r="F916">
        <v>1</v>
      </c>
      <c r="G916">
        <v>1</v>
      </c>
      <c r="H916">
        <v>1</v>
      </c>
      <c r="I916">
        <v>1</v>
      </c>
      <c r="J916">
        <v>61</v>
      </c>
      <c r="K916">
        <f t="shared" si="43"/>
        <v>61</v>
      </c>
      <c r="L916">
        <f t="shared" si="44"/>
        <v>0</v>
      </c>
      <c r="M916">
        <v>61</v>
      </c>
      <c r="N916" s="3">
        <v>47119</v>
      </c>
      <c r="O916" s="6">
        <v>0</v>
      </c>
    </row>
    <row r="917" spans="1:15">
      <c r="A917" t="str">
        <f t="shared" si="42"/>
        <v>Magicxone 138 SL 20 ltr472390</v>
      </c>
      <c r="B917" t="s">
        <v>10736</v>
      </c>
      <c r="C917" t="s">
        <v>15299</v>
      </c>
      <c r="D917" t="s">
        <v>12820</v>
      </c>
      <c r="E917" t="s">
        <v>1258</v>
      </c>
      <c r="F917">
        <v>1</v>
      </c>
      <c r="G917">
        <v>1</v>
      </c>
      <c r="H917">
        <v>1</v>
      </c>
      <c r="I917">
        <v>1</v>
      </c>
      <c r="J917">
        <v>185</v>
      </c>
      <c r="K917">
        <f t="shared" si="43"/>
        <v>185</v>
      </c>
      <c r="L917">
        <f t="shared" si="44"/>
        <v>0</v>
      </c>
      <c r="M917">
        <v>185</v>
      </c>
      <c r="N917" s="3">
        <v>47239</v>
      </c>
      <c r="O917" s="6">
        <v>0</v>
      </c>
    </row>
    <row r="918" spans="1:15">
      <c r="A918" t="str">
        <f t="shared" si="42"/>
        <v>Magicxone 138 SL 20 X 1 ltr471190</v>
      </c>
      <c r="B918" t="s">
        <v>10737</v>
      </c>
      <c r="C918" t="s">
        <v>15300</v>
      </c>
      <c r="D918" t="s">
        <v>12821</v>
      </c>
      <c r="E918" t="s">
        <v>1259</v>
      </c>
      <c r="F918">
        <v>20</v>
      </c>
      <c r="G918">
        <v>1</v>
      </c>
      <c r="H918">
        <v>1</v>
      </c>
      <c r="I918">
        <v>20</v>
      </c>
      <c r="J918">
        <v>8</v>
      </c>
      <c r="K918">
        <f t="shared" si="43"/>
        <v>0</v>
      </c>
      <c r="L918">
        <f t="shared" si="44"/>
        <v>8</v>
      </c>
      <c r="M918">
        <v>8</v>
      </c>
      <c r="N918" s="3">
        <v>47119</v>
      </c>
      <c r="O918" s="6">
        <v>0</v>
      </c>
    </row>
    <row r="919" spans="1:15">
      <c r="A919" t="str">
        <f t="shared" si="42"/>
        <v>Magicxone 138 SL 20 X 1 ltr471500</v>
      </c>
      <c r="B919" t="s">
        <v>10738</v>
      </c>
      <c r="C919" t="s">
        <v>15301</v>
      </c>
      <c r="D919" t="s">
        <v>12822</v>
      </c>
      <c r="E919" t="s">
        <v>1259</v>
      </c>
      <c r="F919">
        <v>20</v>
      </c>
      <c r="G919">
        <v>1</v>
      </c>
      <c r="H919">
        <v>1</v>
      </c>
      <c r="I919">
        <v>20</v>
      </c>
      <c r="J919">
        <v>1100</v>
      </c>
      <c r="K919">
        <f t="shared" si="43"/>
        <v>55</v>
      </c>
      <c r="L919">
        <f t="shared" si="44"/>
        <v>0</v>
      </c>
      <c r="M919">
        <v>1100</v>
      </c>
      <c r="N919" s="3">
        <v>47150</v>
      </c>
      <c r="O919" s="6">
        <v>0</v>
      </c>
    </row>
    <row r="920" spans="1:15">
      <c r="A920" t="str">
        <f t="shared" si="42"/>
        <v>Magicxone 138 SL 20 X 1 ltr472390</v>
      </c>
      <c r="B920" t="s">
        <v>10739</v>
      </c>
      <c r="C920" t="s">
        <v>15302</v>
      </c>
      <c r="D920" t="s">
        <v>12823</v>
      </c>
      <c r="E920" t="s">
        <v>1259</v>
      </c>
      <c r="F920">
        <v>20</v>
      </c>
      <c r="G920">
        <v>1</v>
      </c>
      <c r="H920">
        <v>1</v>
      </c>
      <c r="I920">
        <v>20</v>
      </c>
      <c r="J920">
        <v>12500</v>
      </c>
      <c r="K920">
        <f t="shared" si="43"/>
        <v>625</v>
      </c>
      <c r="L920">
        <f t="shared" si="44"/>
        <v>0</v>
      </c>
      <c r="M920">
        <v>12500</v>
      </c>
      <c r="N920" s="3">
        <v>47239</v>
      </c>
      <c r="O920" s="6">
        <v>0</v>
      </c>
    </row>
    <row r="921" spans="1:15">
      <c r="A921" t="str">
        <f t="shared" si="42"/>
        <v>Magicxone 138 SL 4 X 5 ltr470270</v>
      </c>
      <c r="B921" t="s">
        <v>10740</v>
      </c>
      <c r="C921" t="s">
        <v>15303</v>
      </c>
      <c r="D921" t="s">
        <v>12824</v>
      </c>
      <c r="E921" t="s">
        <v>1260</v>
      </c>
      <c r="F921">
        <v>4</v>
      </c>
      <c r="G921">
        <v>1</v>
      </c>
      <c r="H921">
        <v>1</v>
      </c>
      <c r="I921">
        <v>4</v>
      </c>
      <c r="J921">
        <v>4</v>
      </c>
      <c r="K921">
        <f t="shared" si="43"/>
        <v>1</v>
      </c>
      <c r="L921">
        <f t="shared" si="44"/>
        <v>0</v>
      </c>
      <c r="M921">
        <v>4</v>
      </c>
      <c r="N921" s="3">
        <v>47027</v>
      </c>
      <c r="O921" s="6">
        <v>0</v>
      </c>
    </row>
    <row r="922" spans="1:15">
      <c r="A922" t="str">
        <f t="shared" si="42"/>
        <v>Magicxone 138 SL 4 X 5 ltr470880</v>
      </c>
      <c r="B922" t="s">
        <v>10741</v>
      </c>
      <c r="C922" t="s">
        <v>15304</v>
      </c>
      <c r="D922" t="s">
        <v>12825</v>
      </c>
      <c r="E922" t="s">
        <v>1260</v>
      </c>
      <c r="F922">
        <v>4</v>
      </c>
      <c r="G922">
        <v>1</v>
      </c>
      <c r="H922">
        <v>1</v>
      </c>
      <c r="I922">
        <v>4</v>
      </c>
      <c r="J922">
        <v>32</v>
      </c>
      <c r="K922">
        <f t="shared" si="43"/>
        <v>8</v>
      </c>
      <c r="L922">
        <f t="shared" si="44"/>
        <v>0</v>
      </c>
      <c r="M922">
        <v>32</v>
      </c>
      <c r="N922" s="3">
        <v>47088</v>
      </c>
      <c r="O922" s="6">
        <v>0</v>
      </c>
    </row>
    <row r="923" spans="1:15">
      <c r="A923" t="str">
        <f t="shared" si="42"/>
        <v>Magicxone 138 SL 4 X 5 ltr472390</v>
      </c>
      <c r="B923" t="s">
        <v>10742</v>
      </c>
      <c r="C923" t="s">
        <v>15305</v>
      </c>
      <c r="D923" t="s">
        <v>12826</v>
      </c>
      <c r="E923" t="s">
        <v>1260</v>
      </c>
      <c r="F923">
        <v>4</v>
      </c>
      <c r="G923">
        <v>1</v>
      </c>
      <c r="H923">
        <v>1</v>
      </c>
      <c r="I923">
        <v>4</v>
      </c>
      <c r="J923">
        <v>500</v>
      </c>
      <c r="K923">
        <f t="shared" si="43"/>
        <v>125</v>
      </c>
      <c r="L923">
        <f t="shared" si="44"/>
        <v>0</v>
      </c>
      <c r="M923">
        <v>500</v>
      </c>
      <c r="N923" s="3">
        <v>47239</v>
      </c>
      <c r="O923" s="6">
        <v>0</v>
      </c>
    </row>
    <row r="924" spans="1:15">
      <c r="A924" t="str">
        <f t="shared" si="42"/>
        <v>Maklostar 30 X 500 gr469050</v>
      </c>
      <c r="B924" t="s">
        <v>10743</v>
      </c>
      <c r="C924" t="s">
        <v>15306</v>
      </c>
      <c r="D924" t="s">
        <v>12827</v>
      </c>
      <c r="E924" t="s">
        <v>1261</v>
      </c>
      <c r="F924">
        <v>30</v>
      </c>
      <c r="G924">
        <v>1</v>
      </c>
      <c r="H924">
        <v>1</v>
      </c>
      <c r="I924">
        <v>30</v>
      </c>
      <c r="J924">
        <v>80</v>
      </c>
      <c r="K924">
        <f t="shared" si="43"/>
        <v>2</v>
      </c>
      <c r="L924">
        <f t="shared" si="44"/>
        <v>20</v>
      </c>
      <c r="M924">
        <v>80</v>
      </c>
      <c r="N924" s="3">
        <v>46905</v>
      </c>
      <c r="O924" s="6">
        <v>0</v>
      </c>
    </row>
    <row r="925" spans="1:15">
      <c r="A925" t="str">
        <f t="shared" si="42"/>
        <v>Malabar 480 SL 20 ltr469660</v>
      </c>
      <c r="B925" t="s">
        <v>10744</v>
      </c>
      <c r="C925" t="s">
        <v>15307</v>
      </c>
      <c r="D925" t="s">
        <v>12828</v>
      </c>
      <c r="E925" t="s">
        <v>1262</v>
      </c>
      <c r="F925">
        <v>1</v>
      </c>
      <c r="G925">
        <v>1</v>
      </c>
      <c r="H925">
        <v>1</v>
      </c>
      <c r="I925">
        <v>1</v>
      </c>
      <c r="J925">
        <v>480</v>
      </c>
      <c r="K925">
        <f t="shared" si="43"/>
        <v>480</v>
      </c>
      <c r="L925">
        <f t="shared" si="44"/>
        <v>0</v>
      </c>
      <c r="M925">
        <v>480</v>
      </c>
      <c r="N925" s="3">
        <v>46966</v>
      </c>
      <c r="O925" s="6">
        <v>0</v>
      </c>
    </row>
    <row r="926" spans="1:15">
      <c r="A926" t="str">
        <f t="shared" si="42"/>
        <v>Mamigro 12-9-6 20 X 1 ltr470270</v>
      </c>
      <c r="B926" t="s">
        <v>10745</v>
      </c>
      <c r="C926" t="s">
        <v>15308</v>
      </c>
      <c r="D926" t="s">
        <v>12829</v>
      </c>
      <c r="E926" t="s">
        <v>1263</v>
      </c>
      <c r="F926">
        <v>20</v>
      </c>
      <c r="G926">
        <v>1</v>
      </c>
      <c r="H926">
        <v>1</v>
      </c>
      <c r="I926">
        <v>20</v>
      </c>
      <c r="J926">
        <v>111</v>
      </c>
      <c r="K926">
        <f t="shared" si="43"/>
        <v>5</v>
      </c>
      <c r="L926">
        <f t="shared" si="44"/>
        <v>11</v>
      </c>
      <c r="M926">
        <v>111</v>
      </c>
      <c r="N926" s="3">
        <v>47027</v>
      </c>
      <c r="O926" s="6">
        <v>0</v>
      </c>
    </row>
    <row r="927" spans="1:15">
      <c r="A927" t="str">
        <f t="shared" si="42"/>
        <v>Mamigro 12-9-6 20 X 1 ltr470880</v>
      </c>
      <c r="B927" t="s">
        <v>10746</v>
      </c>
      <c r="C927" t="s">
        <v>15309</v>
      </c>
      <c r="D927" t="s">
        <v>12830</v>
      </c>
      <c r="E927" t="s">
        <v>1263</v>
      </c>
      <c r="F927">
        <v>20</v>
      </c>
      <c r="G927">
        <v>1</v>
      </c>
      <c r="H927">
        <v>1</v>
      </c>
      <c r="I927">
        <v>20</v>
      </c>
      <c r="J927">
        <v>560</v>
      </c>
      <c r="K927">
        <f t="shared" si="43"/>
        <v>28</v>
      </c>
      <c r="L927">
        <f t="shared" si="44"/>
        <v>0</v>
      </c>
      <c r="M927">
        <v>560</v>
      </c>
      <c r="N927" s="3">
        <v>47088</v>
      </c>
      <c r="O927" s="6">
        <v>0</v>
      </c>
    </row>
    <row r="928" spans="1:15">
      <c r="A928" t="str">
        <f t="shared" si="42"/>
        <v>Mamigro 12-9-6 20 X 500 ml470880</v>
      </c>
      <c r="B928" t="s">
        <v>10747</v>
      </c>
      <c r="C928" t="s">
        <v>15310</v>
      </c>
      <c r="D928" t="s">
        <v>12831</v>
      </c>
      <c r="E928" t="s">
        <v>1267</v>
      </c>
      <c r="F928">
        <v>20</v>
      </c>
      <c r="G928">
        <v>1</v>
      </c>
      <c r="H928">
        <v>1</v>
      </c>
      <c r="I928">
        <v>20</v>
      </c>
      <c r="J928">
        <v>60</v>
      </c>
      <c r="K928">
        <f t="shared" si="43"/>
        <v>3</v>
      </c>
      <c r="L928">
        <f t="shared" si="44"/>
        <v>0</v>
      </c>
      <c r="M928">
        <v>60</v>
      </c>
      <c r="N928" s="3">
        <v>47088</v>
      </c>
      <c r="O928" s="6">
        <v>0</v>
      </c>
    </row>
    <row r="929" spans="1:15">
      <c r="A929" t="str">
        <f t="shared" si="42"/>
        <v>Mamigro 12-9-6 20 X 500 ml470580</v>
      </c>
      <c r="B929" t="s">
        <v>10748</v>
      </c>
      <c r="C929" t="s">
        <v>15311</v>
      </c>
      <c r="D929" t="s">
        <v>12832</v>
      </c>
      <c r="E929" t="s">
        <v>1267</v>
      </c>
      <c r="F929">
        <v>20</v>
      </c>
      <c r="G929">
        <v>1</v>
      </c>
      <c r="H929">
        <v>1</v>
      </c>
      <c r="I929">
        <v>20</v>
      </c>
      <c r="J929">
        <v>380</v>
      </c>
      <c r="K929">
        <f t="shared" si="43"/>
        <v>19</v>
      </c>
      <c r="L929">
        <f t="shared" si="44"/>
        <v>0</v>
      </c>
      <c r="M929">
        <v>380</v>
      </c>
      <c r="N929" s="3">
        <v>47058</v>
      </c>
      <c r="O929" s="6">
        <v>0</v>
      </c>
    </row>
    <row r="930" spans="1:15">
      <c r="A930" t="str">
        <f t="shared" si="42"/>
        <v>Mamigro 12-9-6 20 X 500 ml467530</v>
      </c>
      <c r="B930" t="s">
        <v>10749</v>
      </c>
      <c r="C930" t="s">
        <v>15312</v>
      </c>
      <c r="D930" t="s">
        <v>12833</v>
      </c>
      <c r="E930" t="s">
        <v>1267</v>
      </c>
      <c r="F930">
        <v>20</v>
      </c>
      <c r="G930">
        <v>1</v>
      </c>
      <c r="H930">
        <v>1</v>
      </c>
      <c r="I930">
        <v>20</v>
      </c>
      <c r="J930">
        <v>465</v>
      </c>
      <c r="K930">
        <f t="shared" si="43"/>
        <v>23</v>
      </c>
      <c r="L930">
        <f t="shared" si="44"/>
        <v>5</v>
      </c>
      <c r="M930">
        <v>465</v>
      </c>
      <c r="N930" s="3">
        <v>46753</v>
      </c>
      <c r="O930" s="6">
        <v>0</v>
      </c>
    </row>
    <row r="931" spans="1:15">
      <c r="A931" t="str">
        <f t="shared" si="42"/>
        <v>Mandoxone 276 SL 20 ltr471190</v>
      </c>
      <c r="B931" t="s">
        <v>10750</v>
      </c>
      <c r="C931" t="s">
        <v>15313</v>
      </c>
      <c r="D931" t="s">
        <v>12834</v>
      </c>
      <c r="E931" t="s">
        <v>1270</v>
      </c>
      <c r="F931">
        <v>1</v>
      </c>
      <c r="G931">
        <v>1</v>
      </c>
      <c r="H931">
        <v>1</v>
      </c>
      <c r="I931">
        <v>1</v>
      </c>
      <c r="J931">
        <v>10</v>
      </c>
      <c r="K931">
        <f t="shared" si="43"/>
        <v>10</v>
      </c>
      <c r="L931">
        <f t="shared" si="44"/>
        <v>0</v>
      </c>
      <c r="M931">
        <v>10</v>
      </c>
      <c r="N931" s="3">
        <v>47119</v>
      </c>
      <c r="O931" s="6">
        <v>0</v>
      </c>
    </row>
    <row r="932" spans="1:15">
      <c r="A932" t="str">
        <f t="shared" si="42"/>
        <v>Mandoxone 276 SL 20 ltr474530</v>
      </c>
      <c r="B932" t="s">
        <v>10751</v>
      </c>
      <c r="C932" t="s">
        <v>15314</v>
      </c>
      <c r="D932" t="s">
        <v>12835</v>
      </c>
      <c r="E932" t="s">
        <v>1270</v>
      </c>
      <c r="F932">
        <v>1</v>
      </c>
      <c r="G932">
        <v>1</v>
      </c>
      <c r="H932">
        <v>1</v>
      </c>
      <c r="I932">
        <v>1</v>
      </c>
      <c r="J932">
        <v>40</v>
      </c>
      <c r="K932">
        <f t="shared" si="43"/>
        <v>40</v>
      </c>
      <c r="L932">
        <f t="shared" si="44"/>
        <v>0</v>
      </c>
      <c r="M932">
        <v>40</v>
      </c>
      <c r="N932" s="3">
        <v>47453</v>
      </c>
      <c r="O932" s="6">
        <v>0</v>
      </c>
    </row>
    <row r="933" spans="1:15">
      <c r="A933" t="str">
        <f t="shared" si="42"/>
        <v>Mandoxone 276 SL 20 ltr469660</v>
      </c>
      <c r="B933" t="s">
        <v>10752</v>
      </c>
      <c r="C933" t="s">
        <v>15315</v>
      </c>
      <c r="D933" t="s">
        <v>12836</v>
      </c>
      <c r="E933" t="s">
        <v>1270</v>
      </c>
      <c r="F933">
        <v>1</v>
      </c>
      <c r="G933">
        <v>1</v>
      </c>
      <c r="H933">
        <v>1</v>
      </c>
      <c r="I933">
        <v>1</v>
      </c>
      <c r="J933">
        <v>41</v>
      </c>
      <c r="K933">
        <f t="shared" si="43"/>
        <v>41</v>
      </c>
      <c r="L933">
        <f t="shared" si="44"/>
        <v>0</v>
      </c>
      <c r="M933">
        <v>41</v>
      </c>
      <c r="N933" s="3">
        <v>46966</v>
      </c>
      <c r="O933" s="6">
        <v>0</v>
      </c>
    </row>
    <row r="934" spans="1:15">
      <c r="A934" t="str">
        <f t="shared" si="42"/>
        <v>Mandoxone 276 SL 20 X 1 ltr466310</v>
      </c>
      <c r="B934" t="s">
        <v>10753</v>
      </c>
      <c r="C934" t="s">
        <v>15316</v>
      </c>
      <c r="D934" t="s">
        <v>12837</v>
      </c>
      <c r="E934" t="s">
        <v>1271</v>
      </c>
      <c r="F934">
        <v>20</v>
      </c>
      <c r="G934">
        <v>1</v>
      </c>
      <c r="H934">
        <v>1</v>
      </c>
      <c r="I934">
        <v>20</v>
      </c>
      <c r="J934">
        <v>14</v>
      </c>
      <c r="K934">
        <f t="shared" si="43"/>
        <v>0</v>
      </c>
      <c r="L934">
        <f t="shared" si="44"/>
        <v>14</v>
      </c>
      <c r="M934">
        <v>14</v>
      </c>
      <c r="N934" s="3">
        <v>46631</v>
      </c>
      <c r="O934" s="6">
        <v>0</v>
      </c>
    </row>
    <row r="935" spans="1:15">
      <c r="A935" t="str">
        <f t="shared" si="42"/>
        <v>Mandoxone 276 SL 20 X 1 ltr469660</v>
      </c>
      <c r="B935" t="s">
        <v>10754</v>
      </c>
      <c r="C935" t="s">
        <v>15317</v>
      </c>
      <c r="D935" t="s">
        <v>12838</v>
      </c>
      <c r="E935" t="s">
        <v>1271</v>
      </c>
      <c r="F935">
        <v>20</v>
      </c>
      <c r="G935">
        <v>1</v>
      </c>
      <c r="H935">
        <v>1</v>
      </c>
      <c r="I935">
        <v>20</v>
      </c>
      <c r="J935">
        <v>320</v>
      </c>
      <c r="K935">
        <f t="shared" si="43"/>
        <v>16</v>
      </c>
      <c r="L935">
        <f t="shared" si="44"/>
        <v>0</v>
      </c>
      <c r="M935">
        <v>320</v>
      </c>
      <c r="N935" s="3">
        <v>46966</v>
      </c>
      <c r="O935" s="6">
        <v>0</v>
      </c>
    </row>
    <row r="936" spans="1:15">
      <c r="A936" t="str">
        <f t="shared" si="42"/>
        <v>Mandoxone 276 SL 20 X 1 ltr469970</v>
      </c>
      <c r="B936" t="s">
        <v>10755</v>
      </c>
      <c r="C936" t="s">
        <v>15318</v>
      </c>
      <c r="D936" t="s">
        <v>12839</v>
      </c>
      <c r="E936" t="s">
        <v>1271</v>
      </c>
      <c r="F936">
        <v>20</v>
      </c>
      <c r="G936">
        <v>1</v>
      </c>
      <c r="H936">
        <v>1</v>
      </c>
      <c r="I936">
        <v>20</v>
      </c>
      <c r="J936">
        <v>400</v>
      </c>
      <c r="K936">
        <f t="shared" si="43"/>
        <v>20</v>
      </c>
      <c r="L936">
        <f t="shared" si="44"/>
        <v>0</v>
      </c>
      <c r="M936">
        <v>400</v>
      </c>
      <c r="N936" s="3">
        <v>46997</v>
      </c>
      <c r="O936" s="6">
        <v>0</v>
      </c>
    </row>
    <row r="937" spans="1:15">
      <c r="A937" t="str">
        <f t="shared" si="42"/>
        <v>Mandoxone 276 SL 20 X 1 ltr470580</v>
      </c>
      <c r="B937" t="s">
        <v>10756</v>
      </c>
      <c r="C937" t="s">
        <v>15319</v>
      </c>
      <c r="D937" t="s">
        <v>12840</v>
      </c>
      <c r="E937" t="s">
        <v>1271</v>
      </c>
      <c r="F937">
        <v>20</v>
      </c>
      <c r="G937">
        <v>1</v>
      </c>
      <c r="H937">
        <v>1</v>
      </c>
      <c r="I937">
        <v>20</v>
      </c>
      <c r="J937">
        <v>2320</v>
      </c>
      <c r="K937">
        <f t="shared" si="43"/>
        <v>116</v>
      </c>
      <c r="L937">
        <f t="shared" si="44"/>
        <v>0</v>
      </c>
      <c r="M937">
        <v>2320</v>
      </c>
      <c r="N937" s="3">
        <v>47058</v>
      </c>
      <c r="O937" s="6">
        <v>0</v>
      </c>
    </row>
    <row r="938" spans="1:15">
      <c r="A938" t="str">
        <f t="shared" si="42"/>
        <v>Mandoxone 276 SL 4 X 5 ltr469660</v>
      </c>
      <c r="B938" t="s">
        <v>10757</v>
      </c>
      <c r="C938" t="s">
        <v>15320</v>
      </c>
      <c r="D938" t="s">
        <v>12841</v>
      </c>
      <c r="E938" t="s">
        <v>1272</v>
      </c>
      <c r="F938">
        <v>4</v>
      </c>
      <c r="G938">
        <v>1</v>
      </c>
      <c r="H938">
        <v>1</v>
      </c>
      <c r="I938">
        <v>4</v>
      </c>
      <c r="J938">
        <v>40</v>
      </c>
      <c r="K938">
        <f t="shared" si="43"/>
        <v>10</v>
      </c>
      <c r="L938">
        <f t="shared" si="44"/>
        <v>0</v>
      </c>
      <c r="M938">
        <v>40</v>
      </c>
      <c r="N938" s="3">
        <v>46966</v>
      </c>
      <c r="O938" s="6">
        <v>0</v>
      </c>
    </row>
    <row r="939" spans="1:15">
      <c r="A939" t="str">
        <f t="shared" si="42"/>
        <v>Mandoxone 276 SL 4 X 5 ltr470580</v>
      </c>
      <c r="B939" t="s">
        <v>10758</v>
      </c>
      <c r="C939" t="s">
        <v>15321</v>
      </c>
      <c r="D939" t="s">
        <v>12842</v>
      </c>
      <c r="E939" t="s">
        <v>1272</v>
      </c>
      <c r="F939">
        <v>4</v>
      </c>
      <c r="G939">
        <v>1</v>
      </c>
      <c r="H939">
        <v>1</v>
      </c>
      <c r="I939">
        <v>4</v>
      </c>
      <c r="J939">
        <v>80</v>
      </c>
      <c r="K939">
        <f t="shared" si="43"/>
        <v>20</v>
      </c>
      <c r="L939">
        <f t="shared" si="44"/>
        <v>0</v>
      </c>
      <c r="M939">
        <v>80</v>
      </c>
      <c r="N939" s="3">
        <v>47058</v>
      </c>
      <c r="O939" s="6">
        <v>0</v>
      </c>
    </row>
    <row r="940" spans="1:15">
      <c r="A940" t="str">
        <f t="shared" si="42"/>
        <v>Mangkok ART.FSY 178-B1/1/10000</v>
      </c>
      <c r="B940" t="s">
        <v>10759</v>
      </c>
      <c r="C940" t="s">
        <v>15322</v>
      </c>
      <c r="D940" t="s">
        <v>12843</v>
      </c>
      <c r="E940" t="s">
        <v>1273</v>
      </c>
      <c r="F940">
        <v>1</v>
      </c>
      <c r="G940">
        <v>1</v>
      </c>
      <c r="H940">
        <v>1</v>
      </c>
      <c r="I940">
        <v>1</v>
      </c>
      <c r="J940">
        <v>6</v>
      </c>
      <c r="K940">
        <f t="shared" si="43"/>
        <v>6</v>
      </c>
      <c r="L940">
        <f t="shared" si="44"/>
        <v>0</v>
      </c>
      <c r="M940">
        <v>6</v>
      </c>
      <c r="N940" s="3" t="s">
        <v>2222</v>
      </c>
      <c r="O940" s="6">
        <v>0</v>
      </c>
    </row>
    <row r="941" spans="1:15">
      <c r="A941" t="str">
        <f t="shared" si="42"/>
        <v>Manohara 20 X 1 kg472390</v>
      </c>
      <c r="B941" t="s">
        <v>10760</v>
      </c>
      <c r="C941" t="s">
        <v>15323</v>
      </c>
      <c r="D941" t="s">
        <v>12844</v>
      </c>
      <c r="E941" t="s">
        <v>1274</v>
      </c>
      <c r="F941">
        <v>20</v>
      </c>
      <c r="G941">
        <v>1</v>
      </c>
      <c r="H941">
        <v>1</v>
      </c>
      <c r="I941">
        <v>20</v>
      </c>
      <c r="J941">
        <v>814</v>
      </c>
      <c r="K941">
        <f t="shared" si="43"/>
        <v>40</v>
      </c>
      <c r="L941">
        <f t="shared" si="44"/>
        <v>14</v>
      </c>
      <c r="M941">
        <v>814</v>
      </c>
      <c r="N941" s="3">
        <v>47239</v>
      </c>
      <c r="O941" s="6">
        <v>0</v>
      </c>
    </row>
    <row r="942" spans="1:15">
      <c r="A942" t="str">
        <f t="shared" si="42"/>
        <v>Manohara 20 X 1 kg472700</v>
      </c>
      <c r="B942" t="s">
        <v>10761</v>
      </c>
      <c r="C942" t="s">
        <v>15324</v>
      </c>
      <c r="D942" t="s">
        <v>12845</v>
      </c>
      <c r="E942" t="s">
        <v>1274</v>
      </c>
      <c r="F942">
        <v>20</v>
      </c>
      <c r="G942">
        <v>1</v>
      </c>
      <c r="H942">
        <v>1</v>
      </c>
      <c r="I942">
        <v>20</v>
      </c>
      <c r="J942">
        <v>12120</v>
      </c>
      <c r="K942">
        <f t="shared" si="43"/>
        <v>606</v>
      </c>
      <c r="L942">
        <f t="shared" si="44"/>
        <v>0</v>
      </c>
      <c r="M942">
        <v>12120</v>
      </c>
      <c r="N942" s="3">
        <v>47270</v>
      </c>
      <c r="O942" s="6">
        <v>0</v>
      </c>
    </row>
    <row r="943" spans="1:15">
      <c r="A943" t="str">
        <f t="shared" si="42"/>
        <v>Manohara 250 gr1/1/10000</v>
      </c>
      <c r="B943" t="s">
        <v>10762</v>
      </c>
      <c r="C943" t="s">
        <v>15325</v>
      </c>
      <c r="D943" t="s">
        <v>12846</v>
      </c>
      <c r="E943" t="s">
        <v>1275</v>
      </c>
      <c r="F943">
        <v>1</v>
      </c>
      <c r="G943">
        <v>1</v>
      </c>
      <c r="H943">
        <v>1</v>
      </c>
      <c r="I943">
        <v>1</v>
      </c>
      <c r="J943">
        <v>4</v>
      </c>
      <c r="K943">
        <f t="shared" si="43"/>
        <v>4</v>
      </c>
      <c r="L943">
        <f t="shared" si="44"/>
        <v>0</v>
      </c>
      <c r="M943">
        <v>4</v>
      </c>
      <c r="N943" s="3" t="s">
        <v>2222</v>
      </c>
      <c r="O943" s="6">
        <v>0</v>
      </c>
    </row>
    <row r="944" spans="1:15">
      <c r="A944" t="str">
        <f t="shared" si="42"/>
        <v>Manohara PPC 15 X 1 ltr467220</v>
      </c>
      <c r="B944" t="s">
        <v>10763</v>
      </c>
      <c r="C944" t="s">
        <v>15326</v>
      </c>
      <c r="D944" t="s">
        <v>12847</v>
      </c>
      <c r="E944" t="s">
        <v>1276</v>
      </c>
      <c r="F944">
        <v>15</v>
      </c>
      <c r="G944">
        <v>1</v>
      </c>
      <c r="H944">
        <v>1</v>
      </c>
      <c r="I944">
        <v>15</v>
      </c>
      <c r="J944">
        <v>7</v>
      </c>
      <c r="K944">
        <f t="shared" si="43"/>
        <v>0</v>
      </c>
      <c r="L944">
        <f t="shared" si="44"/>
        <v>7</v>
      </c>
      <c r="M944">
        <v>7</v>
      </c>
      <c r="N944" s="3">
        <v>46722</v>
      </c>
      <c r="O944" s="6">
        <v>0</v>
      </c>
    </row>
    <row r="945" spans="1:15">
      <c r="A945" t="str">
        <f t="shared" si="42"/>
        <v>Manohara PPC 15 X 1 ltr470580</v>
      </c>
      <c r="B945" t="s">
        <v>10764</v>
      </c>
      <c r="C945" t="s">
        <v>15327</v>
      </c>
      <c r="D945" t="s">
        <v>12848</v>
      </c>
      <c r="E945" t="s">
        <v>1276</v>
      </c>
      <c r="F945">
        <v>15</v>
      </c>
      <c r="G945">
        <v>1</v>
      </c>
      <c r="H945">
        <v>1</v>
      </c>
      <c r="I945">
        <v>15</v>
      </c>
      <c r="J945">
        <v>615</v>
      </c>
      <c r="K945">
        <f t="shared" si="43"/>
        <v>41</v>
      </c>
      <c r="L945">
        <f t="shared" si="44"/>
        <v>0</v>
      </c>
      <c r="M945">
        <v>615</v>
      </c>
      <c r="N945" s="3">
        <v>47058</v>
      </c>
      <c r="O945" s="6">
        <v>0</v>
      </c>
    </row>
    <row r="946" spans="1:15">
      <c r="A946" t="str">
        <f t="shared" si="42"/>
        <v>Manzate 82 WP 10 X 1 kg462660</v>
      </c>
      <c r="B946" t="s">
        <v>10765</v>
      </c>
      <c r="C946" t="s">
        <v>15328</v>
      </c>
      <c r="D946" t="s">
        <v>12849</v>
      </c>
      <c r="E946" t="s">
        <v>1277</v>
      </c>
      <c r="F946">
        <v>10</v>
      </c>
      <c r="G946">
        <v>1</v>
      </c>
      <c r="H946">
        <v>1</v>
      </c>
      <c r="I946">
        <v>10</v>
      </c>
      <c r="J946">
        <v>2016</v>
      </c>
      <c r="K946">
        <f t="shared" si="43"/>
        <v>201</v>
      </c>
      <c r="L946">
        <f t="shared" si="44"/>
        <v>6</v>
      </c>
      <c r="M946">
        <v>2016</v>
      </c>
      <c r="N946" s="3">
        <v>46266</v>
      </c>
      <c r="O946" s="6">
        <v>0</v>
      </c>
    </row>
    <row r="947" spans="1:15">
      <c r="A947" t="str">
        <f t="shared" si="42"/>
        <v>Manzate 82 WP 20 X 500 gr461130</v>
      </c>
      <c r="B947" t="s">
        <v>10766</v>
      </c>
      <c r="C947" t="s">
        <v>15329</v>
      </c>
      <c r="D947" t="s">
        <v>12850</v>
      </c>
      <c r="E947" t="s">
        <v>1280</v>
      </c>
      <c r="F947">
        <v>20</v>
      </c>
      <c r="G947">
        <v>1</v>
      </c>
      <c r="H947">
        <v>1</v>
      </c>
      <c r="I947">
        <v>20</v>
      </c>
      <c r="J947">
        <v>9</v>
      </c>
      <c r="K947">
        <f t="shared" si="43"/>
        <v>0</v>
      </c>
      <c r="L947">
        <f t="shared" si="44"/>
        <v>9</v>
      </c>
      <c r="M947">
        <v>9</v>
      </c>
      <c r="N947" s="3">
        <v>46113</v>
      </c>
      <c r="O947" s="6">
        <v>0</v>
      </c>
    </row>
    <row r="948" spans="1:15">
      <c r="A948" t="str">
        <f t="shared" si="42"/>
        <v>Marshal 200 EC 100 X 100 ml455970</v>
      </c>
      <c r="B948" t="s">
        <v>10767</v>
      </c>
      <c r="C948" t="s">
        <v>15330</v>
      </c>
      <c r="D948" t="s">
        <v>12851</v>
      </c>
      <c r="E948" t="s">
        <v>1282</v>
      </c>
      <c r="F948">
        <v>100</v>
      </c>
      <c r="G948">
        <v>1</v>
      </c>
      <c r="H948">
        <v>1</v>
      </c>
      <c r="I948">
        <v>100</v>
      </c>
      <c r="J948">
        <v>3435</v>
      </c>
      <c r="K948">
        <f t="shared" si="43"/>
        <v>34</v>
      </c>
      <c r="L948">
        <f t="shared" si="44"/>
        <v>35</v>
      </c>
      <c r="M948">
        <v>3435</v>
      </c>
      <c r="N948" s="3">
        <v>45597</v>
      </c>
      <c r="O948" s="6">
        <v>0</v>
      </c>
    </row>
    <row r="949" spans="1:15">
      <c r="A949" t="str">
        <f t="shared" si="42"/>
        <v>Marshal 200 EC 20 X 1 ltr461430</v>
      </c>
      <c r="B949" t="s">
        <v>10768</v>
      </c>
      <c r="C949" t="s">
        <v>15331</v>
      </c>
      <c r="D949" t="s">
        <v>12852</v>
      </c>
      <c r="E949" t="s">
        <v>1283</v>
      </c>
      <c r="F949">
        <v>20</v>
      </c>
      <c r="G949">
        <v>1</v>
      </c>
      <c r="H949">
        <v>1</v>
      </c>
      <c r="I949">
        <v>20</v>
      </c>
      <c r="J949">
        <v>998</v>
      </c>
      <c r="K949">
        <f t="shared" si="43"/>
        <v>49</v>
      </c>
      <c r="L949">
        <f t="shared" si="44"/>
        <v>18</v>
      </c>
      <c r="M949">
        <v>998</v>
      </c>
      <c r="N949" s="3">
        <v>46143</v>
      </c>
      <c r="O949" s="6">
        <v>0</v>
      </c>
    </row>
    <row r="950" spans="1:15">
      <c r="A950" t="str">
        <f t="shared" si="42"/>
        <v>Marshal 200 EC 24 X 500 ml460230</v>
      </c>
      <c r="B950" t="s">
        <v>10769</v>
      </c>
      <c r="C950" t="s">
        <v>15332</v>
      </c>
      <c r="D950" t="s">
        <v>12853</v>
      </c>
      <c r="E950" t="s">
        <v>1284</v>
      </c>
      <c r="F950">
        <v>24</v>
      </c>
      <c r="G950">
        <v>1</v>
      </c>
      <c r="H950">
        <v>1</v>
      </c>
      <c r="I950">
        <v>24</v>
      </c>
      <c r="J950">
        <v>648</v>
      </c>
      <c r="K950">
        <f t="shared" si="43"/>
        <v>27</v>
      </c>
      <c r="L950">
        <f t="shared" si="44"/>
        <v>0</v>
      </c>
      <c r="M950">
        <v>648</v>
      </c>
      <c r="N950" s="3">
        <v>46023</v>
      </c>
      <c r="O950" s="6">
        <v>0</v>
      </c>
    </row>
    <row r="951" spans="1:15">
      <c r="A951" t="str">
        <f t="shared" si="42"/>
        <v>Marshal 200 EC 24 X 500 ml460540</v>
      </c>
      <c r="B951" t="s">
        <v>10770</v>
      </c>
      <c r="C951" t="s">
        <v>15333</v>
      </c>
      <c r="D951" t="s">
        <v>12854</v>
      </c>
      <c r="E951" t="s">
        <v>1284</v>
      </c>
      <c r="F951">
        <v>24</v>
      </c>
      <c r="G951">
        <v>1</v>
      </c>
      <c r="H951">
        <v>1</v>
      </c>
      <c r="I951">
        <v>24</v>
      </c>
      <c r="J951">
        <v>2304</v>
      </c>
      <c r="K951">
        <f t="shared" si="43"/>
        <v>96</v>
      </c>
      <c r="L951">
        <f t="shared" si="44"/>
        <v>0</v>
      </c>
      <c r="M951">
        <v>2304</v>
      </c>
      <c r="N951" s="3">
        <v>46054</v>
      </c>
      <c r="O951" s="6">
        <v>0</v>
      </c>
    </row>
    <row r="952" spans="1:15">
      <c r="A952" t="str">
        <f t="shared" si="42"/>
        <v>Marshal 200 EC 24 X 500 ml460820</v>
      </c>
      <c r="B952" t="s">
        <v>10771</v>
      </c>
      <c r="C952" t="s">
        <v>15334</v>
      </c>
      <c r="D952" t="s">
        <v>12855</v>
      </c>
      <c r="E952" t="s">
        <v>1284</v>
      </c>
      <c r="F952">
        <v>24</v>
      </c>
      <c r="G952">
        <v>1</v>
      </c>
      <c r="H952">
        <v>1</v>
      </c>
      <c r="I952">
        <v>24</v>
      </c>
      <c r="J952">
        <v>3864</v>
      </c>
      <c r="K952">
        <f t="shared" si="43"/>
        <v>161</v>
      </c>
      <c r="L952">
        <f t="shared" si="44"/>
        <v>0</v>
      </c>
      <c r="M952">
        <v>3864</v>
      </c>
      <c r="N952" s="3">
        <v>46082</v>
      </c>
      <c r="O952" s="6">
        <v>0</v>
      </c>
    </row>
    <row r="953" spans="1:15">
      <c r="A953" t="str">
        <f t="shared" si="42"/>
        <v>Marshal 200 SC 24 X 500 ml461130</v>
      </c>
      <c r="B953" t="s">
        <v>10772</v>
      </c>
      <c r="C953" t="s">
        <v>15335</v>
      </c>
      <c r="D953" t="s">
        <v>12856</v>
      </c>
      <c r="E953" t="s">
        <v>1285</v>
      </c>
      <c r="F953">
        <v>24</v>
      </c>
      <c r="G953">
        <v>1</v>
      </c>
      <c r="H953">
        <v>1</v>
      </c>
      <c r="I953">
        <v>24</v>
      </c>
      <c r="J953">
        <v>1199</v>
      </c>
      <c r="K953">
        <f t="shared" si="43"/>
        <v>49</v>
      </c>
      <c r="L953">
        <f t="shared" si="44"/>
        <v>23</v>
      </c>
      <c r="M953">
        <v>1199</v>
      </c>
      <c r="N953" s="3">
        <v>46113</v>
      </c>
      <c r="O953" s="6">
        <v>0</v>
      </c>
    </row>
    <row r="954" spans="1:15">
      <c r="A954" t="str">
        <f t="shared" si="42"/>
        <v>Marshal 25 DS 5 X 40 X 25 gr461130</v>
      </c>
      <c r="B954" t="s">
        <v>10773</v>
      </c>
      <c r="C954" t="s">
        <v>15336</v>
      </c>
      <c r="D954" t="s">
        <v>12857</v>
      </c>
      <c r="E954" t="s">
        <v>1286</v>
      </c>
      <c r="F954">
        <v>5</v>
      </c>
      <c r="G954">
        <v>40</v>
      </c>
      <c r="H954">
        <v>1</v>
      </c>
      <c r="I954">
        <v>200</v>
      </c>
      <c r="J954">
        <v>4330</v>
      </c>
      <c r="K954">
        <f t="shared" si="43"/>
        <v>21</v>
      </c>
      <c r="L954">
        <f t="shared" si="44"/>
        <v>130</v>
      </c>
      <c r="M954">
        <v>4330</v>
      </c>
      <c r="N954" s="3">
        <v>46113</v>
      </c>
      <c r="O954" s="6">
        <v>0</v>
      </c>
    </row>
    <row r="955" spans="1:15">
      <c r="A955" t="str">
        <f t="shared" si="42"/>
        <v>Marshal 25 DS 5 X 40 X 25 gr461430</v>
      </c>
      <c r="B955" t="s">
        <v>10774</v>
      </c>
      <c r="C955" t="s">
        <v>15337</v>
      </c>
      <c r="D955" t="s">
        <v>12858</v>
      </c>
      <c r="E955" t="s">
        <v>1286</v>
      </c>
      <c r="F955">
        <v>5</v>
      </c>
      <c r="G955">
        <v>40</v>
      </c>
      <c r="H955">
        <v>1</v>
      </c>
      <c r="I955">
        <v>200</v>
      </c>
      <c r="J955">
        <v>5400</v>
      </c>
      <c r="K955">
        <f t="shared" si="43"/>
        <v>27</v>
      </c>
      <c r="L955">
        <f t="shared" si="44"/>
        <v>0</v>
      </c>
      <c r="M955">
        <v>5400</v>
      </c>
      <c r="N955" s="3">
        <v>46143</v>
      </c>
      <c r="O955" s="6">
        <v>0</v>
      </c>
    </row>
    <row r="956" spans="1:15">
      <c r="A956" t="str">
        <f t="shared" si="42"/>
        <v>Marshal 25 DS 50 X 100 gr455970</v>
      </c>
      <c r="B956" t="s">
        <v>10775</v>
      </c>
      <c r="C956" t="s">
        <v>15338</v>
      </c>
      <c r="D956" t="s">
        <v>12859</v>
      </c>
      <c r="E956" t="s">
        <v>1287</v>
      </c>
      <c r="F956">
        <v>50</v>
      </c>
      <c r="G956">
        <v>1</v>
      </c>
      <c r="H956">
        <v>1</v>
      </c>
      <c r="I956">
        <v>50</v>
      </c>
      <c r="J956">
        <v>11900</v>
      </c>
      <c r="K956">
        <f t="shared" si="43"/>
        <v>238</v>
      </c>
      <c r="L956">
        <f t="shared" si="44"/>
        <v>0</v>
      </c>
      <c r="M956">
        <v>11900</v>
      </c>
      <c r="N956" s="3">
        <v>45597</v>
      </c>
      <c r="O956" s="6">
        <v>0</v>
      </c>
    </row>
    <row r="957" spans="1:15">
      <c r="A957" t="str">
        <f t="shared" si="42"/>
        <v>Martyl 480 SL 12 X 1 ltr467840</v>
      </c>
      <c r="B957" t="s">
        <v>10776</v>
      </c>
      <c r="C957" t="s">
        <v>15339</v>
      </c>
      <c r="D957" t="s">
        <v>12860</v>
      </c>
      <c r="E957" t="s">
        <v>1288</v>
      </c>
      <c r="F957">
        <v>12</v>
      </c>
      <c r="G957">
        <v>1</v>
      </c>
      <c r="H957">
        <v>1</v>
      </c>
      <c r="I957">
        <v>12</v>
      </c>
      <c r="J957">
        <v>576</v>
      </c>
      <c r="K957">
        <f t="shared" si="43"/>
        <v>48</v>
      </c>
      <c r="L957">
        <f t="shared" si="44"/>
        <v>0</v>
      </c>
      <c r="M957">
        <v>576</v>
      </c>
      <c r="N957" s="3">
        <v>46784</v>
      </c>
      <c r="O957" s="6">
        <v>0</v>
      </c>
    </row>
    <row r="958" spans="1:15">
      <c r="A958" t="str">
        <f t="shared" si="42"/>
        <v>Martyl 480 SL 12 X 1 ltr468130</v>
      </c>
      <c r="B958" t="s">
        <v>10777</v>
      </c>
      <c r="C958" t="s">
        <v>15340</v>
      </c>
      <c r="D958" t="s">
        <v>12861</v>
      </c>
      <c r="E958" t="s">
        <v>1288</v>
      </c>
      <c r="F958">
        <v>12</v>
      </c>
      <c r="G958">
        <v>1</v>
      </c>
      <c r="H958">
        <v>1</v>
      </c>
      <c r="I958">
        <v>12</v>
      </c>
      <c r="J958">
        <v>732</v>
      </c>
      <c r="K958">
        <f t="shared" si="43"/>
        <v>61</v>
      </c>
      <c r="L958">
        <f t="shared" si="44"/>
        <v>0</v>
      </c>
      <c r="M958">
        <v>732</v>
      </c>
      <c r="N958" s="3">
        <v>46813</v>
      </c>
      <c r="O958" s="6">
        <v>0</v>
      </c>
    </row>
    <row r="959" spans="1:15">
      <c r="A959" t="str">
        <f t="shared" si="42"/>
        <v>Mastercall Biru 20 X 1 kg469050</v>
      </c>
      <c r="B959" t="s">
        <v>10778</v>
      </c>
      <c r="C959" t="s">
        <v>15341</v>
      </c>
      <c r="D959" t="s">
        <v>12862</v>
      </c>
      <c r="E959" t="s">
        <v>1291</v>
      </c>
      <c r="F959">
        <v>20</v>
      </c>
      <c r="G959">
        <v>1</v>
      </c>
      <c r="H959">
        <v>1</v>
      </c>
      <c r="I959">
        <v>20</v>
      </c>
      <c r="J959">
        <v>83</v>
      </c>
      <c r="K959">
        <f t="shared" si="43"/>
        <v>4</v>
      </c>
      <c r="L959">
        <f t="shared" si="44"/>
        <v>3</v>
      </c>
      <c r="M959">
        <v>83</v>
      </c>
      <c r="N959" s="3">
        <v>46905</v>
      </c>
      <c r="O959" s="6">
        <v>0</v>
      </c>
    </row>
    <row r="960" spans="1:15">
      <c r="A960" t="str">
        <f t="shared" si="42"/>
        <v>Matador 25 EC 100 X 50 ml460230</v>
      </c>
      <c r="B960" t="s">
        <v>10779</v>
      </c>
      <c r="C960" t="s">
        <v>15342</v>
      </c>
      <c r="D960" t="s">
        <v>12863</v>
      </c>
      <c r="E960" t="s">
        <v>1292</v>
      </c>
      <c r="F960">
        <v>100</v>
      </c>
      <c r="G960">
        <v>1</v>
      </c>
      <c r="H960">
        <v>1</v>
      </c>
      <c r="I960">
        <v>100</v>
      </c>
      <c r="J960">
        <v>23685</v>
      </c>
      <c r="K960">
        <f t="shared" si="43"/>
        <v>236</v>
      </c>
      <c r="L960">
        <f t="shared" si="44"/>
        <v>85</v>
      </c>
      <c r="M960">
        <v>23685</v>
      </c>
      <c r="N960" s="3">
        <v>46023</v>
      </c>
      <c r="O960" s="6">
        <v>0</v>
      </c>
    </row>
    <row r="961" spans="1:15">
      <c r="A961" t="str">
        <f t="shared" si="42"/>
        <v>Matador 25 EC 100 X 80 ml459920</v>
      </c>
      <c r="B961" t="s">
        <v>10780</v>
      </c>
      <c r="C961" t="s">
        <v>15343</v>
      </c>
      <c r="D961" t="s">
        <v>12864</v>
      </c>
      <c r="E961" t="s">
        <v>1296</v>
      </c>
      <c r="F961">
        <v>100</v>
      </c>
      <c r="G961">
        <v>1</v>
      </c>
      <c r="H961">
        <v>1</v>
      </c>
      <c r="I961">
        <v>100</v>
      </c>
      <c r="J961">
        <v>36</v>
      </c>
      <c r="K961">
        <f t="shared" si="43"/>
        <v>0</v>
      </c>
      <c r="L961">
        <f t="shared" si="44"/>
        <v>36</v>
      </c>
      <c r="M961">
        <v>36</v>
      </c>
      <c r="N961" s="3">
        <v>45992</v>
      </c>
      <c r="O961" s="6">
        <v>0</v>
      </c>
    </row>
    <row r="962" spans="1:15">
      <c r="A962" t="str">
        <f t="shared" si="42"/>
        <v>Matador 25 EC 100 X 80 ml460230</v>
      </c>
      <c r="B962" t="s">
        <v>10781</v>
      </c>
      <c r="C962" t="s">
        <v>15344</v>
      </c>
      <c r="D962" t="s">
        <v>12865</v>
      </c>
      <c r="E962" t="s">
        <v>1296</v>
      </c>
      <c r="F962">
        <v>100</v>
      </c>
      <c r="G962">
        <v>1</v>
      </c>
      <c r="H962">
        <v>1</v>
      </c>
      <c r="I962">
        <v>100</v>
      </c>
      <c r="J962">
        <v>20300</v>
      </c>
      <c r="K962">
        <f t="shared" si="43"/>
        <v>203</v>
      </c>
      <c r="L962">
        <f t="shared" si="44"/>
        <v>0</v>
      </c>
      <c r="M962">
        <v>20300</v>
      </c>
      <c r="N962" s="3">
        <v>46023</v>
      </c>
      <c r="O962" s="6">
        <v>0</v>
      </c>
    </row>
    <row r="963" spans="1:15">
      <c r="A963" t="str">
        <f t="shared" ref="A963:A1026" si="45">E963&amp;N963&amp;O963</f>
        <v>Matador 25 EC 40 X 250 ml459920</v>
      </c>
      <c r="B963" t="s">
        <v>10782</v>
      </c>
      <c r="C963" t="s">
        <v>15345</v>
      </c>
      <c r="D963" t="s">
        <v>12866</v>
      </c>
      <c r="E963" t="s">
        <v>1299</v>
      </c>
      <c r="F963">
        <v>40</v>
      </c>
      <c r="G963">
        <v>1</v>
      </c>
      <c r="H963">
        <v>1</v>
      </c>
      <c r="I963">
        <v>40</v>
      </c>
      <c r="J963">
        <v>4386</v>
      </c>
      <c r="K963">
        <f t="shared" ref="K963:K1026" si="46">ROUNDDOWN(J963/I963,0)</f>
        <v>109</v>
      </c>
      <c r="L963">
        <f t="shared" ref="L963:L1026" si="47">J963-K963*I963</f>
        <v>26</v>
      </c>
      <c r="M963">
        <v>4386</v>
      </c>
      <c r="N963" s="3">
        <v>45992</v>
      </c>
      <c r="O963" s="6">
        <v>0</v>
      </c>
    </row>
    <row r="964" spans="1:15">
      <c r="A964" t="str">
        <f t="shared" si="45"/>
        <v>Matador 25 EC 40 X 250 ml460230</v>
      </c>
      <c r="B964" t="s">
        <v>10783</v>
      </c>
      <c r="C964" t="s">
        <v>15346</v>
      </c>
      <c r="D964" t="s">
        <v>12867</v>
      </c>
      <c r="E964" t="s">
        <v>1299</v>
      </c>
      <c r="F964">
        <v>40</v>
      </c>
      <c r="G964">
        <v>1</v>
      </c>
      <c r="H964">
        <v>1</v>
      </c>
      <c r="I964">
        <v>40</v>
      </c>
      <c r="J964">
        <v>8000</v>
      </c>
      <c r="K964">
        <f t="shared" si="46"/>
        <v>200</v>
      </c>
      <c r="L964">
        <f t="shared" si="47"/>
        <v>0</v>
      </c>
      <c r="M964">
        <v>8000</v>
      </c>
      <c r="N964" s="3">
        <v>46023</v>
      </c>
      <c r="O964" s="6">
        <v>0</v>
      </c>
    </row>
    <row r="965" spans="1:15">
      <c r="A965" t="str">
        <f t="shared" si="45"/>
        <v>Match 50 EC 50 X 100 ml462040</v>
      </c>
      <c r="B965" t="s">
        <v>10784</v>
      </c>
      <c r="C965" t="s">
        <v>15347</v>
      </c>
      <c r="D965" t="s">
        <v>12868</v>
      </c>
      <c r="E965" t="s">
        <v>1304</v>
      </c>
      <c r="F965">
        <v>50</v>
      </c>
      <c r="G965">
        <v>1</v>
      </c>
      <c r="H965">
        <v>1</v>
      </c>
      <c r="I965">
        <v>50</v>
      </c>
      <c r="J965">
        <v>100</v>
      </c>
      <c r="K965">
        <f t="shared" si="46"/>
        <v>2</v>
      </c>
      <c r="L965">
        <f t="shared" si="47"/>
        <v>0</v>
      </c>
      <c r="M965">
        <v>100</v>
      </c>
      <c r="N965" s="3">
        <v>46204</v>
      </c>
      <c r="O965" s="6">
        <v>0</v>
      </c>
    </row>
    <row r="966" spans="1:15">
      <c r="A966" t="str">
        <f t="shared" si="45"/>
        <v>Match 50 EC 50 X 100 ml459010</v>
      </c>
      <c r="B966" t="s">
        <v>10785</v>
      </c>
      <c r="C966" t="s">
        <v>15348</v>
      </c>
      <c r="D966" t="s">
        <v>12869</v>
      </c>
      <c r="E966" t="s">
        <v>1304</v>
      </c>
      <c r="F966">
        <v>50</v>
      </c>
      <c r="G966">
        <v>1</v>
      </c>
      <c r="H966">
        <v>1</v>
      </c>
      <c r="I966">
        <v>50</v>
      </c>
      <c r="J966">
        <v>2440</v>
      </c>
      <c r="K966">
        <f t="shared" si="46"/>
        <v>48</v>
      </c>
      <c r="L966">
        <f t="shared" si="47"/>
        <v>40</v>
      </c>
      <c r="M966">
        <v>2440</v>
      </c>
      <c r="N966" s="3">
        <v>45901</v>
      </c>
      <c r="O966" s="6">
        <v>0</v>
      </c>
    </row>
    <row r="967" spans="1:15">
      <c r="A967" t="str">
        <f t="shared" si="45"/>
        <v>Megaxone 135 SL 20 ltr471190</v>
      </c>
      <c r="B967" t="s">
        <v>10786</v>
      </c>
      <c r="C967" t="s">
        <v>15349</v>
      </c>
      <c r="D967" t="s">
        <v>12870</v>
      </c>
      <c r="E967" t="s">
        <v>1307</v>
      </c>
      <c r="F967">
        <v>1</v>
      </c>
      <c r="G967">
        <v>1</v>
      </c>
      <c r="H967">
        <v>1</v>
      </c>
      <c r="I967">
        <v>1</v>
      </c>
      <c r="J967">
        <v>122</v>
      </c>
      <c r="K967">
        <f t="shared" si="46"/>
        <v>122</v>
      </c>
      <c r="L967">
        <f t="shared" si="47"/>
        <v>0</v>
      </c>
      <c r="M967">
        <v>122</v>
      </c>
      <c r="N967" s="3">
        <v>47119</v>
      </c>
      <c r="O967" s="6">
        <v>0</v>
      </c>
    </row>
    <row r="968" spans="1:15">
      <c r="A968" t="str">
        <f t="shared" si="45"/>
        <v>Megaxone 135 SL 20 X 1 ltr472700</v>
      </c>
      <c r="B968" t="s">
        <v>10787</v>
      </c>
      <c r="C968" t="s">
        <v>15350</v>
      </c>
      <c r="D968" t="s">
        <v>12871</v>
      </c>
      <c r="E968" t="s">
        <v>1308</v>
      </c>
      <c r="F968">
        <v>20</v>
      </c>
      <c r="G968">
        <v>1</v>
      </c>
      <c r="H968">
        <v>1</v>
      </c>
      <c r="I968">
        <v>20</v>
      </c>
      <c r="J968">
        <v>9559</v>
      </c>
      <c r="K968">
        <f t="shared" si="46"/>
        <v>477</v>
      </c>
      <c r="L968">
        <f t="shared" si="47"/>
        <v>19</v>
      </c>
      <c r="M968">
        <v>9559</v>
      </c>
      <c r="N968" s="3">
        <v>47270</v>
      </c>
      <c r="O968" s="6">
        <v>0</v>
      </c>
    </row>
    <row r="969" spans="1:15">
      <c r="A969" t="str">
        <f t="shared" si="45"/>
        <v>Megaxone 135 SL 4 X 5 ltr471190</v>
      </c>
      <c r="B969" t="s">
        <v>10788</v>
      </c>
      <c r="C969" t="s">
        <v>15351</v>
      </c>
      <c r="D969" t="s">
        <v>12872</v>
      </c>
      <c r="E969" t="s">
        <v>1309</v>
      </c>
      <c r="F969">
        <v>4</v>
      </c>
      <c r="G969">
        <v>1</v>
      </c>
      <c r="H969">
        <v>1</v>
      </c>
      <c r="I969">
        <v>4</v>
      </c>
      <c r="J969">
        <v>9</v>
      </c>
      <c r="K969">
        <f t="shared" si="46"/>
        <v>2</v>
      </c>
      <c r="L969">
        <f t="shared" si="47"/>
        <v>1</v>
      </c>
      <c r="M969">
        <v>9</v>
      </c>
      <c r="N969" s="3">
        <v>47119</v>
      </c>
      <c r="O969" s="6">
        <v>0</v>
      </c>
    </row>
    <row r="970" spans="1:15">
      <c r="A970" t="str">
        <f t="shared" si="45"/>
        <v>Megaxone 135 SL 4 X 5 ltr472390</v>
      </c>
      <c r="B970" t="s">
        <v>10789</v>
      </c>
      <c r="C970" t="s">
        <v>15352</v>
      </c>
      <c r="D970" t="s">
        <v>12873</v>
      </c>
      <c r="E970" t="s">
        <v>1309</v>
      </c>
      <c r="F970">
        <v>4</v>
      </c>
      <c r="G970">
        <v>1</v>
      </c>
      <c r="H970">
        <v>1</v>
      </c>
      <c r="I970">
        <v>4</v>
      </c>
      <c r="J970">
        <v>400</v>
      </c>
      <c r="K970">
        <f t="shared" si="46"/>
        <v>100</v>
      </c>
      <c r="L970">
        <f t="shared" si="47"/>
        <v>0</v>
      </c>
      <c r="M970">
        <v>400</v>
      </c>
      <c r="N970" s="3">
        <v>47239</v>
      </c>
      <c r="O970" s="6">
        <v>0</v>
      </c>
    </row>
    <row r="971" spans="1:15">
      <c r="A971" t="str">
        <f t="shared" si="45"/>
        <v>Megazeb 80 WP 20 X 1 kg471780</v>
      </c>
      <c r="B971" t="s">
        <v>10790</v>
      </c>
      <c r="C971" t="s">
        <v>15353</v>
      </c>
      <c r="D971" t="s">
        <v>12874</v>
      </c>
      <c r="E971" t="s">
        <v>1310</v>
      </c>
      <c r="F971">
        <v>20</v>
      </c>
      <c r="G971">
        <v>1</v>
      </c>
      <c r="H971">
        <v>1</v>
      </c>
      <c r="I971">
        <v>20</v>
      </c>
      <c r="J971">
        <v>200</v>
      </c>
      <c r="K971">
        <f t="shared" si="46"/>
        <v>10</v>
      </c>
      <c r="L971">
        <f t="shared" si="47"/>
        <v>0</v>
      </c>
      <c r="M971">
        <v>200</v>
      </c>
      <c r="N971" s="3">
        <v>47178</v>
      </c>
      <c r="O971" s="6">
        <v>0</v>
      </c>
    </row>
    <row r="972" spans="1:15">
      <c r="A972" t="str">
        <f t="shared" si="45"/>
        <v>Megazeb 80 WP 20 X 1 kg469970</v>
      </c>
      <c r="B972" t="s">
        <v>10791</v>
      </c>
      <c r="C972" t="s">
        <v>15354</v>
      </c>
      <c r="D972" t="s">
        <v>12875</v>
      </c>
      <c r="E972" t="s">
        <v>1310</v>
      </c>
      <c r="F972">
        <v>20</v>
      </c>
      <c r="G972">
        <v>1</v>
      </c>
      <c r="H972">
        <v>1</v>
      </c>
      <c r="I972">
        <v>20</v>
      </c>
      <c r="J972">
        <v>370</v>
      </c>
      <c r="K972">
        <f t="shared" si="46"/>
        <v>18</v>
      </c>
      <c r="L972">
        <f t="shared" si="47"/>
        <v>10</v>
      </c>
      <c r="M972">
        <v>370</v>
      </c>
      <c r="N972" s="3">
        <v>46997</v>
      </c>
      <c r="O972" s="6">
        <v>0</v>
      </c>
    </row>
    <row r="973" spans="1:15">
      <c r="A973" t="str">
        <f t="shared" si="45"/>
        <v>Megazeb 80 WP 20 X 1 kg469660</v>
      </c>
      <c r="B973" t="s">
        <v>10792</v>
      </c>
      <c r="C973" t="s">
        <v>15355</v>
      </c>
      <c r="D973" t="s">
        <v>12876</v>
      </c>
      <c r="E973" t="s">
        <v>1310</v>
      </c>
      <c r="F973">
        <v>20</v>
      </c>
      <c r="G973">
        <v>1</v>
      </c>
      <c r="H973">
        <v>1</v>
      </c>
      <c r="I973">
        <v>20</v>
      </c>
      <c r="J973">
        <v>1840</v>
      </c>
      <c r="K973">
        <f t="shared" si="46"/>
        <v>92</v>
      </c>
      <c r="L973">
        <f t="shared" si="47"/>
        <v>0</v>
      </c>
      <c r="M973">
        <v>1840</v>
      </c>
      <c r="N973" s="3">
        <v>46966</v>
      </c>
      <c r="O973" s="6">
        <v>0</v>
      </c>
    </row>
    <row r="974" spans="1:15">
      <c r="A974" t="str">
        <f t="shared" si="45"/>
        <v>Melyra 200/200 SC 24 X 250 ml459920</v>
      </c>
      <c r="B974" t="s">
        <v>10793</v>
      </c>
      <c r="C974" t="s">
        <v>15356</v>
      </c>
      <c r="D974" t="s">
        <v>12877</v>
      </c>
      <c r="E974" t="s">
        <v>1313</v>
      </c>
      <c r="F974">
        <v>24</v>
      </c>
      <c r="G974">
        <v>1</v>
      </c>
      <c r="H974">
        <v>1</v>
      </c>
      <c r="I974">
        <v>24</v>
      </c>
      <c r="J974">
        <v>672</v>
      </c>
      <c r="K974">
        <f t="shared" si="46"/>
        <v>28</v>
      </c>
      <c r="L974">
        <f t="shared" si="47"/>
        <v>0</v>
      </c>
      <c r="M974">
        <v>672</v>
      </c>
      <c r="N974" s="3">
        <v>45992</v>
      </c>
      <c r="O974" s="6">
        <v>0</v>
      </c>
    </row>
    <row r="975" spans="1:15">
      <c r="A975" t="str">
        <f t="shared" si="45"/>
        <v>Metachlor 650 EC 100 X 100 ml471500</v>
      </c>
      <c r="B975" t="s">
        <v>10794</v>
      </c>
      <c r="C975" t="s">
        <v>15357</v>
      </c>
      <c r="D975" t="s">
        <v>12878</v>
      </c>
      <c r="E975" t="s">
        <v>1315</v>
      </c>
      <c r="F975">
        <v>100</v>
      </c>
      <c r="G975">
        <v>1</v>
      </c>
      <c r="H975">
        <v>1</v>
      </c>
      <c r="I975">
        <v>100</v>
      </c>
      <c r="J975">
        <v>1597</v>
      </c>
      <c r="K975">
        <f t="shared" si="46"/>
        <v>15</v>
      </c>
      <c r="L975">
        <f t="shared" si="47"/>
        <v>97</v>
      </c>
      <c r="M975">
        <v>1597</v>
      </c>
      <c r="N975" s="3">
        <v>47150</v>
      </c>
      <c r="O975" s="6">
        <v>0</v>
      </c>
    </row>
    <row r="976" spans="1:15">
      <c r="A976" t="str">
        <f t="shared" si="45"/>
        <v>Metachlor 650 EC 20 X 800 ml469660</v>
      </c>
      <c r="B976" t="s">
        <v>10795</v>
      </c>
      <c r="C976" t="s">
        <v>15358</v>
      </c>
      <c r="D976" t="s">
        <v>12879</v>
      </c>
      <c r="E976" t="s">
        <v>1316</v>
      </c>
      <c r="F976">
        <v>20</v>
      </c>
      <c r="G976">
        <v>1</v>
      </c>
      <c r="H976">
        <v>1</v>
      </c>
      <c r="I976">
        <v>20</v>
      </c>
      <c r="J976">
        <v>942</v>
      </c>
      <c r="K976">
        <f t="shared" si="46"/>
        <v>47</v>
      </c>
      <c r="L976">
        <f t="shared" si="47"/>
        <v>2</v>
      </c>
      <c r="M976">
        <v>942</v>
      </c>
      <c r="N976" s="3">
        <v>46966</v>
      </c>
      <c r="O976" s="6">
        <v>0</v>
      </c>
    </row>
    <row r="977" spans="1:15">
      <c r="A977" t="str">
        <f t="shared" si="45"/>
        <v>Metachlor 650 EC 25 X 400 ml472090</v>
      </c>
      <c r="B977" t="s">
        <v>10796</v>
      </c>
      <c r="C977" t="s">
        <v>15359</v>
      </c>
      <c r="D977" t="s">
        <v>12880</v>
      </c>
      <c r="E977" t="s">
        <v>1317</v>
      </c>
      <c r="F977">
        <v>25</v>
      </c>
      <c r="G977">
        <v>1</v>
      </c>
      <c r="H977">
        <v>1</v>
      </c>
      <c r="I977">
        <v>25</v>
      </c>
      <c r="J977">
        <v>2165</v>
      </c>
      <c r="K977">
        <f t="shared" si="46"/>
        <v>86</v>
      </c>
      <c r="L977">
        <f t="shared" si="47"/>
        <v>15</v>
      </c>
      <c r="M977">
        <v>2165</v>
      </c>
      <c r="N977" s="3">
        <v>47209</v>
      </c>
      <c r="O977" s="6">
        <v>0</v>
      </c>
    </row>
    <row r="978" spans="1:15">
      <c r="A978" t="str">
        <f t="shared" si="45"/>
        <v>Metachlor 650 EC 50 ml (S)1/1/10000</v>
      </c>
      <c r="B978" t="s">
        <v>10797</v>
      </c>
      <c r="C978" t="s">
        <v>15360</v>
      </c>
      <c r="D978" t="s">
        <v>12881</v>
      </c>
      <c r="E978" t="s">
        <v>1318</v>
      </c>
      <c r="F978">
        <v>1</v>
      </c>
      <c r="G978">
        <v>1</v>
      </c>
      <c r="H978">
        <v>1</v>
      </c>
      <c r="I978">
        <v>1</v>
      </c>
      <c r="J978">
        <v>49</v>
      </c>
      <c r="K978">
        <f t="shared" si="46"/>
        <v>49</v>
      </c>
      <c r="L978">
        <f t="shared" si="47"/>
        <v>0</v>
      </c>
      <c r="M978">
        <v>49</v>
      </c>
      <c r="N978" s="3" t="s">
        <v>2222</v>
      </c>
      <c r="O978" s="6">
        <v>0</v>
      </c>
    </row>
    <row r="979" spans="1:15">
      <c r="A979" t="str">
        <f t="shared" si="45"/>
        <v>Metalik 15 X 500 ml471190</v>
      </c>
      <c r="B979" t="s">
        <v>10798</v>
      </c>
      <c r="C979" t="s">
        <v>15361</v>
      </c>
      <c r="D979" t="s">
        <v>12882</v>
      </c>
      <c r="E979" t="s">
        <v>1319</v>
      </c>
      <c r="F979">
        <v>15</v>
      </c>
      <c r="G979">
        <v>1</v>
      </c>
      <c r="H979">
        <v>1</v>
      </c>
      <c r="I979">
        <v>15</v>
      </c>
      <c r="J979">
        <v>2</v>
      </c>
      <c r="K979">
        <f t="shared" si="46"/>
        <v>0</v>
      </c>
      <c r="L979">
        <f t="shared" si="47"/>
        <v>2</v>
      </c>
      <c r="M979">
        <v>2</v>
      </c>
      <c r="N979" s="3">
        <v>47119</v>
      </c>
      <c r="O979" s="6">
        <v>0</v>
      </c>
    </row>
    <row r="980" spans="1:15">
      <c r="A980" t="str">
        <f t="shared" si="45"/>
        <v>Metalik 15 X 500 ml471780</v>
      </c>
      <c r="B980" t="s">
        <v>10799</v>
      </c>
      <c r="C980" t="s">
        <v>15362</v>
      </c>
      <c r="D980" t="s">
        <v>12883</v>
      </c>
      <c r="E980" t="s">
        <v>1319</v>
      </c>
      <c r="F980">
        <v>15</v>
      </c>
      <c r="G980">
        <v>1</v>
      </c>
      <c r="H980">
        <v>1</v>
      </c>
      <c r="I980">
        <v>15</v>
      </c>
      <c r="J980">
        <v>1500</v>
      </c>
      <c r="K980">
        <f t="shared" si="46"/>
        <v>100</v>
      </c>
      <c r="L980">
        <f t="shared" si="47"/>
        <v>0</v>
      </c>
      <c r="M980">
        <v>1500</v>
      </c>
      <c r="N980" s="3">
        <v>47178</v>
      </c>
      <c r="O980" s="6">
        <v>0</v>
      </c>
    </row>
    <row r="981" spans="1:15">
      <c r="A981" t="str">
        <f t="shared" si="45"/>
        <v>Metalik 25 X 100 ml462350</v>
      </c>
      <c r="B981" t="s">
        <v>10800</v>
      </c>
      <c r="C981" t="s">
        <v>15363</v>
      </c>
      <c r="D981" t="s">
        <v>12884</v>
      </c>
      <c r="E981" t="s">
        <v>1320</v>
      </c>
      <c r="F981">
        <v>25</v>
      </c>
      <c r="G981">
        <v>1</v>
      </c>
      <c r="H981">
        <v>1</v>
      </c>
      <c r="I981">
        <v>25</v>
      </c>
      <c r="J981">
        <v>1</v>
      </c>
      <c r="K981">
        <f t="shared" si="46"/>
        <v>0</v>
      </c>
      <c r="L981">
        <f t="shared" si="47"/>
        <v>1</v>
      </c>
      <c r="M981">
        <v>1</v>
      </c>
      <c r="N981" s="3">
        <v>46235</v>
      </c>
      <c r="O981" s="6">
        <v>0</v>
      </c>
    </row>
    <row r="982" spans="1:15">
      <c r="A982" t="str">
        <f t="shared" si="45"/>
        <v>Metindo 25 WP 10 X 10 X 100 gr470270</v>
      </c>
      <c r="B982" t="s">
        <v>10801</v>
      </c>
      <c r="C982" t="s">
        <v>15364</v>
      </c>
      <c r="D982" t="s">
        <v>12885</v>
      </c>
      <c r="E982" t="s">
        <v>1321</v>
      </c>
      <c r="F982">
        <v>10</v>
      </c>
      <c r="G982">
        <v>10</v>
      </c>
      <c r="H982">
        <v>1</v>
      </c>
      <c r="I982">
        <v>100</v>
      </c>
      <c r="J982">
        <v>19</v>
      </c>
      <c r="K982">
        <f t="shared" si="46"/>
        <v>0</v>
      </c>
      <c r="L982">
        <f t="shared" si="47"/>
        <v>19</v>
      </c>
      <c r="M982">
        <v>19</v>
      </c>
      <c r="N982" s="3">
        <v>47027</v>
      </c>
      <c r="O982" s="6">
        <v>0</v>
      </c>
    </row>
    <row r="983" spans="1:15">
      <c r="A983" t="str">
        <f t="shared" si="45"/>
        <v>Metindo 25 WP 10 X 10 X 100 gr470880</v>
      </c>
      <c r="B983" t="s">
        <v>10802</v>
      </c>
      <c r="C983" t="s">
        <v>15365</v>
      </c>
      <c r="D983" t="s">
        <v>12886</v>
      </c>
      <c r="E983" t="s">
        <v>1321</v>
      </c>
      <c r="F983">
        <v>10</v>
      </c>
      <c r="G983">
        <v>10</v>
      </c>
      <c r="H983">
        <v>1</v>
      </c>
      <c r="I983">
        <v>100</v>
      </c>
      <c r="J983">
        <v>800</v>
      </c>
      <c r="K983">
        <f t="shared" si="46"/>
        <v>8</v>
      </c>
      <c r="L983">
        <f t="shared" si="47"/>
        <v>0</v>
      </c>
      <c r="M983">
        <v>800</v>
      </c>
      <c r="N983" s="3">
        <v>47088</v>
      </c>
      <c r="O983" s="6">
        <v>0</v>
      </c>
    </row>
    <row r="984" spans="1:15">
      <c r="A984" t="str">
        <f t="shared" si="45"/>
        <v>Metindo 25 WP 10 X 10 X 100 gr470580</v>
      </c>
      <c r="B984" t="s">
        <v>10803</v>
      </c>
      <c r="C984" t="s">
        <v>15366</v>
      </c>
      <c r="D984" t="s">
        <v>12887</v>
      </c>
      <c r="E984" t="s">
        <v>1321</v>
      </c>
      <c r="F984">
        <v>10</v>
      </c>
      <c r="G984">
        <v>10</v>
      </c>
      <c r="H984">
        <v>1</v>
      </c>
      <c r="I984">
        <v>100</v>
      </c>
      <c r="J984">
        <v>7750</v>
      </c>
      <c r="K984">
        <f t="shared" si="46"/>
        <v>77</v>
      </c>
      <c r="L984">
        <f t="shared" si="47"/>
        <v>50</v>
      </c>
      <c r="M984">
        <v>7750</v>
      </c>
      <c r="N984" s="3">
        <v>47058</v>
      </c>
      <c r="O984" s="6">
        <v>0</v>
      </c>
    </row>
    <row r="985" spans="1:15">
      <c r="A985" t="str">
        <f t="shared" si="45"/>
        <v>Metindo 25 WP 10 X 10 X 100 gr471500</v>
      </c>
      <c r="B985" t="s">
        <v>10804</v>
      </c>
      <c r="C985" t="s">
        <v>15367</v>
      </c>
      <c r="D985" t="s">
        <v>12888</v>
      </c>
      <c r="E985" t="s">
        <v>1321</v>
      </c>
      <c r="F985">
        <v>10</v>
      </c>
      <c r="G985">
        <v>10</v>
      </c>
      <c r="H985">
        <v>1</v>
      </c>
      <c r="I985">
        <v>100</v>
      </c>
      <c r="J985">
        <v>9100</v>
      </c>
      <c r="K985">
        <f t="shared" si="46"/>
        <v>91</v>
      </c>
      <c r="L985">
        <f t="shared" si="47"/>
        <v>0</v>
      </c>
      <c r="M985">
        <v>9100</v>
      </c>
      <c r="N985" s="3">
        <v>47150</v>
      </c>
      <c r="O985" s="6">
        <v>0</v>
      </c>
    </row>
    <row r="986" spans="1:15">
      <c r="A986" t="str">
        <f t="shared" si="45"/>
        <v>Metindo 25 WP 40 X 500 gr470880</v>
      </c>
      <c r="B986" t="s">
        <v>10805</v>
      </c>
      <c r="C986" t="s">
        <v>15368</v>
      </c>
      <c r="D986" t="s">
        <v>12889</v>
      </c>
      <c r="E986" t="s">
        <v>1322</v>
      </c>
      <c r="F986">
        <v>40</v>
      </c>
      <c r="G986">
        <v>1</v>
      </c>
      <c r="H986">
        <v>1</v>
      </c>
      <c r="I986">
        <v>40</v>
      </c>
      <c r="J986">
        <v>2128</v>
      </c>
      <c r="K986">
        <f t="shared" si="46"/>
        <v>53</v>
      </c>
      <c r="L986">
        <f t="shared" si="47"/>
        <v>8</v>
      </c>
      <c r="M986">
        <v>2128</v>
      </c>
      <c r="N986" s="3">
        <v>47088</v>
      </c>
      <c r="O986" s="6">
        <v>0</v>
      </c>
    </row>
    <row r="987" spans="1:15">
      <c r="A987" t="str">
        <f t="shared" si="45"/>
        <v>Metindo 25 WP 40 X 500 gr471780</v>
      </c>
      <c r="B987" t="s">
        <v>10806</v>
      </c>
      <c r="C987" t="s">
        <v>15369</v>
      </c>
      <c r="D987" t="s">
        <v>12890</v>
      </c>
      <c r="E987" t="s">
        <v>1322</v>
      </c>
      <c r="F987">
        <v>40</v>
      </c>
      <c r="G987">
        <v>1</v>
      </c>
      <c r="H987">
        <v>1</v>
      </c>
      <c r="I987">
        <v>40</v>
      </c>
      <c r="J987">
        <v>3680</v>
      </c>
      <c r="K987">
        <f t="shared" si="46"/>
        <v>92</v>
      </c>
      <c r="L987">
        <f t="shared" si="47"/>
        <v>0</v>
      </c>
      <c r="M987">
        <v>3680</v>
      </c>
      <c r="N987" s="3">
        <v>47178</v>
      </c>
      <c r="O987" s="6">
        <v>0</v>
      </c>
    </row>
    <row r="988" spans="1:15">
      <c r="A988" t="str">
        <f t="shared" si="45"/>
        <v>Metindo 40 SP 10 X 10 X 100 gr472390</v>
      </c>
      <c r="B988" t="s">
        <v>10807</v>
      </c>
      <c r="C988" t="s">
        <v>15370</v>
      </c>
      <c r="D988" t="s">
        <v>12891</v>
      </c>
      <c r="E988" t="s">
        <v>1323</v>
      </c>
      <c r="F988">
        <v>10</v>
      </c>
      <c r="G988">
        <v>10</v>
      </c>
      <c r="H988">
        <v>1</v>
      </c>
      <c r="I988">
        <v>100</v>
      </c>
      <c r="J988">
        <v>15200</v>
      </c>
      <c r="K988">
        <f t="shared" si="46"/>
        <v>152</v>
      </c>
      <c r="L988">
        <f t="shared" si="47"/>
        <v>0</v>
      </c>
      <c r="M988">
        <v>15200</v>
      </c>
      <c r="N988" s="3">
        <v>47239</v>
      </c>
      <c r="O988" s="6">
        <v>0</v>
      </c>
    </row>
    <row r="989" spans="1:15">
      <c r="A989" t="str">
        <f t="shared" si="45"/>
        <v>Metindo 40 SP 40 X 400 gr472090</v>
      </c>
      <c r="B989" t="s">
        <v>10808</v>
      </c>
      <c r="C989" t="s">
        <v>15371</v>
      </c>
      <c r="D989" t="s">
        <v>12892</v>
      </c>
      <c r="E989" t="s">
        <v>1324</v>
      </c>
      <c r="F989">
        <v>40</v>
      </c>
      <c r="G989">
        <v>1</v>
      </c>
      <c r="H989">
        <v>1</v>
      </c>
      <c r="I989">
        <v>40</v>
      </c>
      <c r="J989">
        <v>25</v>
      </c>
      <c r="K989">
        <f t="shared" si="46"/>
        <v>0</v>
      </c>
      <c r="L989">
        <f t="shared" si="47"/>
        <v>25</v>
      </c>
      <c r="M989">
        <v>25</v>
      </c>
      <c r="N989" s="3">
        <v>47209</v>
      </c>
      <c r="O989" s="6">
        <v>0</v>
      </c>
    </row>
    <row r="990" spans="1:15">
      <c r="A990" t="str">
        <f t="shared" si="45"/>
        <v>Metsulindo Plus 80 WP 8 X 25 X 40 gr459010</v>
      </c>
      <c r="B990" t="s">
        <v>10809</v>
      </c>
      <c r="C990" t="s">
        <v>15372</v>
      </c>
      <c r="D990" t="s">
        <v>12893</v>
      </c>
      <c r="E990" t="s">
        <v>1325</v>
      </c>
      <c r="F990">
        <v>8</v>
      </c>
      <c r="G990">
        <v>25</v>
      </c>
      <c r="H990">
        <v>1</v>
      </c>
      <c r="I990">
        <v>200</v>
      </c>
      <c r="J990">
        <v>7</v>
      </c>
      <c r="K990">
        <f t="shared" si="46"/>
        <v>0</v>
      </c>
      <c r="L990">
        <f t="shared" si="47"/>
        <v>7</v>
      </c>
      <c r="M990">
        <v>7</v>
      </c>
      <c r="N990" s="3">
        <v>45901</v>
      </c>
      <c r="O990" s="6">
        <v>0</v>
      </c>
    </row>
    <row r="991" spans="1:15">
      <c r="A991" t="str">
        <f t="shared" si="45"/>
        <v>Metsulindo Plus 80 WP 8 X 25 X 40 gr459310</v>
      </c>
      <c r="B991" t="s">
        <v>10810</v>
      </c>
      <c r="C991" t="s">
        <v>15373</v>
      </c>
      <c r="D991" t="s">
        <v>12894</v>
      </c>
      <c r="E991" t="s">
        <v>1325</v>
      </c>
      <c r="F991">
        <v>8</v>
      </c>
      <c r="G991">
        <v>25</v>
      </c>
      <c r="H991">
        <v>1</v>
      </c>
      <c r="I991">
        <v>200</v>
      </c>
      <c r="J991">
        <v>52575</v>
      </c>
      <c r="K991">
        <f t="shared" si="46"/>
        <v>262</v>
      </c>
      <c r="L991">
        <f t="shared" si="47"/>
        <v>175</v>
      </c>
      <c r="M991">
        <v>52575</v>
      </c>
      <c r="N991" s="3">
        <v>45931</v>
      </c>
      <c r="O991" s="6">
        <v>0</v>
      </c>
    </row>
    <row r="992" spans="1:15">
      <c r="A992" t="str">
        <f t="shared" si="45"/>
        <v>Metsulindo Plus 80 WP 8 X 25 X 40 gr460820</v>
      </c>
      <c r="B992" t="s">
        <v>10811</v>
      </c>
      <c r="C992" t="s">
        <v>15374</v>
      </c>
      <c r="D992" t="s">
        <v>12895</v>
      </c>
      <c r="E992" t="s">
        <v>1325</v>
      </c>
      <c r="F992">
        <v>8</v>
      </c>
      <c r="G992">
        <v>25</v>
      </c>
      <c r="H992">
        <v>1</v>
      </c>
      <c r="I992">
        <v>200</v>
      </c>
      <c r="J992">
        <v>249400</v>
      </c>
      <c r="K992">
        <f t="shared" si="46"/>
        <v>1247</v>
      </c>
      <c r="L992">
        <f t="shared" si="47"/>
        <v>0</v>
      </c>
      <c r="M992">
        <v>249400</v>
      </c>
      <c r="N992" s="3">
        <v>46082</v>
      </c>
      <c r="O992" s="6">
        <v>0</v>
      </c>
    </row>
    <row r="993" spans="1:15">
      <c r="A993" t="str">
        <f t="shared" si="45"/>
        <v>Metsulindo Plus 80 WP 8 X 25 X 40 gr460540</v>
      </c>
      <c r="B993" t="s">
        <v>10812</v>
      </c>
      <c r="C993" t="s">
        <v>15375</v>
      </c>
      <c r="D993" t="s">
        <v>12896</v>
      </c>
      <c r="E993" t="s">
        <v>1325</v>
      </c>
      <c r="F993">
        <v>8</v>
      </c>
      <c r="G993">
        <v>25</v>
      </c>
      <c r="H993">
        <v>1</v>
      </c>
      <c r="I993">
        <v>200</v>
      </c>
      <c r="J993">
        <v>18000</v>
      </c>
      <c r="K993">
        <f t="shared" si="46"/>
        <v>90</v>
      </c>
      <c r="L993">
        <f t="shared" si="47"/>
        <v>0</v>
      </c>
      <c r="M993">
        <v>18000</v>
      </c>
      <c r="N993" s="3">
        <v>46054</v>
      </c>
      <c r="O993" s="6">
        <v>0</v>
      </c>
    </row>
    <row r="994" spans="1:15">
      <c r="A994" t="str">
        <f t="shared" si="45"/>
        <v>Metsulindo Plus 80 WP 8 X 25 X 40 gr460230</v>
      </c>
      <c r="B994" t="s">
        <v>10813</v>
      </c>
      <c r="C994" t="s">
        <v>15376</v>
      </c>
      <c r="D994" t="s">
        <v>12897</v>
      </c>
      <c r="E994" t="s">
        <v>1325</v>
      </c>
      <c r="F994">
        <v>8</v>
      </c>
      <c r="G994">
        <v>25</v>
      </c>
      <c r="H994">
        <v>1</v>
      </c>
      <c r="I994">
        <v>200</v>
      </c>
      <c r="J994">
        <v>23200</v>
      </c>
      <c r="K994">
        <f t="shared" si="46"/>
        <v>116</v>
      </c>
      <c r="L994">
        <f t="shared" si="47"/>
        <v>0</v>
      </c>
      <c r="M994">
        <v>23200</v>
      </c>
      <c r="N994" s="3">
        <v>46023</v>
      </c>
      <c r="O994" s="6">
        <v>0</v>
      </c>
    </row>
    <row r="995" spans="1:15">
      <c r="A995" t="str">
        <f t="shared" si="45"/>
        <v>Metsulindo Plus 80 WP 8 X 25 X 40 gr459920</v>
      </c>
      <c r="B995" t="s">
        <v>10814</v>
      </c>
      <c r="C995" t="s">
        <v>15377</v>
      </c>
      <c r="D995" t="s">
        <v>12898</v>
      </c>
      <c r="E995" t="s">
        <v>1325</v>
      </c>
      <c r="F995">
        <v>8</v>
      </c>
      <c r="G995">
        <v>25</v>
      </c>
      <c r="H995">
        <v>1</v>
      </c>
      <c r="I995">
        <v>200</v>
      </c>
      <c r="J995">
        <v>149800</v>
      </c>
      <c r="K995">
        <f t="shared" si="46"/>
        <v>749</v>
      </c>
      <c r="L995">
        <f t="shared" si="47"/>
        <v>0</v>
      </c>
      <c r="M995">
        <v>149800</v>
      </c>
      <c r="N995" s="3">
        <v>45992</v>
      </c>
      <c r="O995" s="6">
        <v>0</v>
      </c>
    </row>
    <row r="996" spans="1:15">
      <c r="A996" t="str">
        <f t="shared" si="45"/>
        <v>Metsulindo Plus 80 WP 8 X 25 X 40 gr461130</v>
      </c>
      <c r="B996" t="s">
        <v>10815</v>
      </c>
      <c r="C996" t="s">
        <v>15378</v>
      </c>
      <c r="D996" t="s">
        <v>12899</v>
      </c>
      <c r="E996" t="s">
        <v>1325</v>
      </c>
      <c r="F996">
        <v>8</v>
      </c>
      <c r="G996">
        <v>25</v>
      </c>
      <c r="H996">
        <v>1</v>
      </c>
      <c r="I996">
        <v>200</v>
      </c>
      <c r="J996">
        <v>193400</v>
      </c>
      <c r="K996">
        <f t="shared" si="46"/>
        <v>967</v>
      </c>
      <c r="L996">
        <f t="shared" si="47"/>
        <v>0</v>
      </c>
      <c r="M996">
        <v>193400</v>
      </c>
      <c r="N996" s="3">
        <v>46113</v>
      </c>
      <c r="O996" s="6">
        <v>0</v>
      </c>
    </row>
    <row r="997" spans="1:15">
      <c r="A997" t="str">
        <f t="shared" si="45"/>
        <v>Mexdone 36 EC 20 X 1 ltr New458700</v>
      </c>
      <c r="B997" t="s">
        <v>10816</v>
      </c>
      <c r="C997" t="s">
        <v>15379</v>
      </c>
      <c r="D997" t="s">
        <v>12900</v>
      </c>
      <c r="E997" t="s">
        <v>1326</v>
      </c>
      <c r="F997">
        <v>20</v>
      </c>
      <c r="G997">
        <v>1</v>
      </c>
      <c r="H997">
        <v>1</v>
      </c>
      <c r="I997">
        <v>20</v>
      </c>
      <c r="J997">
        <v>356</v>
      </c>
      <c r="K997">
        <f t="shared" si="46"/>
        <v>17</v>
      </c>
      <c r="L997">
        <f t="shared" si="47"/>
        <v>16</v>
      </c>
      <c r="M997">
        <v>356</v>
      </c>
      <c r="N997" s="3">
        <v>45870</v>
      </c>
      <c r="O997" s="6">
        <v>0</v>
      </c>
    </row>
    <row r="998" spans="1:15">
      <c r="A998" t="str">
        <f t="shared" si="45"/>
        <v>Mexdone 36 EC 20 X 500 ml New460540</v>
      </c>
      <c r="B998" t="s">
        <v>10817</v>
      </c>
      <c r="C998" t="s">
        <v>15380</v>
      </c>
      <c r="D998" t="s">
        <v>12901</v>
      </c>
      <c r="E998" t="s">
        <v>1327</v>
      </c>
      <c r="F998">
        <v>20</v>
      </c>
      <c r="G998">
        <v>1</v>
      </c>
      <c r="H998">
        <v>1</v>
      </c>
      <c r="I998">
        <v>20</v>
      </c>
      <c r="J998">
        <v>89</v>
      </c>
      <c r="K998">
        <f t="shared" si="46"/>
        <v>4</v>
      </c>
      <c r="L998">
        <f t="shared" si="47"/>
        <v>9</v>
      </c>
      <c r="M998">
        <v>89</v>
      </c>
      <c r="N998" s="3">
        <v>46054</v>
      </c>
      <c r="O998" s="6">
        <v>0</v>
      </c>
    </row>
    <row r="999" spans="1:15">
      <c r="A999" t="str">
        <f t="shared" si="45"/>
        <v>Mexdone 36 EC 40 X 250 ml New462040</v>
      </c>
      <c r="B999" t="s">
        <v>10818</v>
      </c>
      <c r="C999" t="s">
        <v>15381</v>
      </c>
      <c r="D999" t="s">
        <v>12902</v>
      </c>
      <c r="E999" t="s">
        <v>1328</v>
      </c>
      <c r="F999">
        <v>40</v>
      </c>
      <c r="G999">
        <v>1</v>
      </c>
      <c r="H999">
        <v>1</v>
      </c>
      <c r="I999">
        <v>40</v>
      </c>
      <c r="J999">
        <v>173</v>
      </c>
      <c r="K999">
        <f t="shared" si="46"/>
        <v>4</v>
      </c>
      <c r="L999">
        <f t="shared" si="47"/>
        <v>13</v>
      </c>
      <c r="M999">
        <v>173</v>
      </c>
      <c r="N999" s="3">
        <v>46204</v>
      </c>
      <c r="O999" s="6">
        <v>0</v>
      </c>
    </row>
    <row r="1000" spans="1:15">
      <c r="A1000" t="str">
        <f t="shared" si="45"/>
        <v>Mexdone 36 EC 50 X 100 ml461740</v>
      </c>
      <c r="B1000" t="s">
        <v>10819</v>
      </c>
      <c r="C1000" t="s">
        <v>15382</v>
      </c>
      <c r="D1000" t="s">
        <v>12903</v>
      </c>
      <c r="E1000" t="s">
        <v>1329</v>
      </c>
      <c r="F1000">
        <v>50</v>
      </c>
      <c r="G1000">
        <v>1</v>
      </c>
      <c r="H1000">
        <v>1</v>
      </c>
      <c r="I1000">
        <v>50</v>
      </c>
      <c r="J1000">
        <v>199</v>
      </c>
      <c r="K1000">
        <f t="shared" si="46"/>
        <v>3</v>
      </c>
      <c r="L1000">
        <f t="shared" si="47"/>
        <v>49</v>
      </c>
      <c r="M1000">
        <v>199</v>
      </c>
      <c r="N1000" s="3">
        <v>46174</v>
      </c>
      <c r="O1000" s="6">
        <v>0</v>
      </c>
    </row>
    <row r="1001" spans="1:15">
      <c r="A1001" t="str">
        <f t="shared" si="45"/>
        <v>Minecto Xtra 200/200 SC 100 X 50 ml459310</v>
      </c>
      <c r="B1001" t="s">
        <v>10820</v>
      </c>
      <c r="C1001" t="s">
        <v>15383</v>
      </c>
      <c r="D1001" t="s">
        <v>12904</v>
      </c>
      <c r="E1001" t="s">
        <v>1330</v>
      </c>
      <c r="F1001">
        <v>100</v>
      </c>
      <c r="G1001">
        <v>1</v>
      </c>
      <c r="H1001">
        <v>1</v>
      </c>
      <c r="I1001">
        <v>100</v>
      </c>
      <c r="J1001">
        <v>1305</v>
      </c>
      <c r="K1001">
        <f t="shared" si="46"/>
        <v>13</v>
      </c>
      <c r="L1001">
        <f t="shared" si="47"/>
        <v>5</v>
      </c>
      <c r="M1001">
        <v>1305</v>
      </c>
      <c r="N1001" s="3">
        <v>45931</v>
      </c>
      <c r="O1001" s="6">
        <v>0</v>
      </c>
    </row>
    <row r="1002" spans="1:15">
      <c r="A1002" t="str">
        <f t="shared" si="45"/>
        <v>Minecto Xtra 200/200 SC 50 X 100 ml457170</v>
      </c>
      <c r="B1002" t="s">
        <v>10821</v>
      </c>
      <c r="C1002" t="s">
        <v>15384</v>
      </c>
      <c r="D1002" t="s">
        <v>12905</v>
      </c>
      <c r="E1002" t="s">
        <v>1332</v>
      </c>
      <c r="F1002">
        <v>50</v>
      </c>
      <c r="G1002">
        <v>1</v>
      </c>
      <c r="H1002">
        <v>1</v>
      </c>
      <c r="I1002">
        <v>50</v>
      </c>
      <c r="J1002">
        <v>1</v>
      </c>
      <c r="K1002">
        <f t="shared" si="46"/>
        <v>0</v>
      </c>
      <c r="L1002">
        <f t="shared" si="47"/>
        <v>1</v>
      </c>
      <c r="M1002">
        <v>1</v>
      </c>
      <c r="N1002" s="3">
        <v>45717</v>
      </c>
      <c r="O1002" s="6">
        <v>0</v>
      </c>
    </row>
    <row r="1003" spans="1:15">
      <c r="A1003" t="str">
        <f t="shared" si="45"/>
        <v>Minecto Xtra 200/200 SC 50 X 100 ml459310</v>
      </c>
      <c r="B1003" t="s">
        <v>10822</v>
      </c>
      <c r="C1003" t="s">
        <v>15385</v>
      </c>
      <c r="D1003" t="s">
        <v>12906</v>
      </c>
      <c r="E1003" t="s">
        <v>1332</v>
      </c>
      <c r="F1003">
        <v>50</v>
      </c>
      <c r="G1003">
        <v>1</v>
      </c>
      <c r="H1003">
        <v>1</v>
      </c>
      <c r="I1003">
        <v>50</v>
      </c>
      <c r="J1003">
        <v>6459</v>
      </c>
      <c r="K1003">
        <f t="shared" si="46"/>
        <v>129</v>
      </c>
      <c r="L1003">
        <f t="shared" si="47"/>
        <v>9</v>
      </c>
      <c r="M1003">
        <v>6459</v>
      </c>
      <c r="N1003" s="3">
        <v>45931</v>
      </c>
      <c r="O1003" s="6">
        <v>0</v>
      </c>
    </row>
    <row r="1004" spans="1:15">
      <c r="A1004" t="str">
        <f t="shared" si="45"/>
        <v>Mini Baliho Bisi 9591/1/10000</v>
      </c>
      <c r="B1004" t="s">
        <v>10823</v>
      </c>
      <c r="C1004" t="s">
        <v>15386</v>
      </c>
      <c r="D1004" t="s">
        <v>12907</v>
      </c>
      <c r="E1004" t="s">
        <v>1336</v>
      </c>
      <c r="F1004">
        <v>1</v>
      </c>
      <c r="G1004">
        <v>1</v>
      </c>
      <c r="H1004">
        <v>1</v>
      </c>
      <c r="I1004">
        <v>1</v>
      </c>
      <c r="J1004">
        <v>200</v>
      </c>
      <c r="K1004">
        <f t="shared" si="46"/>
        <v>200</v>
      </c>
      <c r="L1004">
        <f t="shared" si="47"/>
        <v>0</v>
      </c>
      <c r="M1004">
        <v>200</v>
      </c>
      <c r="N1004" s="3" t="s">
        <v>2222</v>
      </c>
      <c r="O1004" s="6">
        <v>0</v>
      </c>
    </row>
    <row r="1005" spans="1:15">
      <c r="A1005" t="str">
        <f t="shared" si="45"/>
        <v>Minyak Goreng Fitri 400 ml461160</v>
      </c>
      <c r="B1005" t="s">
        <v>10824</v>
      </c>
      <c r="C1005" t="s">
        <v>15387</v>
      </c>
      <c r="D1005" t="s">
        <v>12908</v>
      </c>
      <c r="E1005" t="s">
        <v>1337</v>
      </c>
      <c r="F1005">
        <v>1</v>
      </c>
      <c r="G1005">
        <v>1</v>
      </c>
      <c r="H1005">
        <v>1</v>
      </c>
      <c r="I1005">
        <v>1</v>
      </c>
      <c r="J1005">
        <v>1885</v>
      </c>
      <c r="K1005">
        <f t="shared" si="46"/>
        <v>1885</v>
      </c>
      <c r="L1005">
        <f t="shared" si="47"/>
        <v>0</v>
      </c>
      <c r="M1005">
        <v>1885</v>
      </c>
      <c r="N1005" s="3">
        <v>46116</v>
      </c>
      <c r="O1005" s="6">
        <v>0</v>
      </c>
    </row>
    <row r="1006" spans="1:15">
      <c r="A1006" t="str">
        <f t="shared" si="45"/>
        <v>Minyak Goreng Forzan 1 ltr1/1/10000</v>
      </c>
      <c r="B1006" t="s">
        <v>10825</v>
      </c>
      <c r="C1006" t="s">
        <v>15388</v>
      </c>
      <c r="D1006" t="s">
        <v>12909</v>
      </c>
      <c r="E1006" t="s">
        <v>1338</v>
      </c>
      <c r="F1006">
        <v>1</v>
      </c>
      <c r="G1006">
        <v>1</v>
      </c>
      <c r="H1006">
        <v>1</v>
      </c>
      <c r="I1006">
        <v>1</v>
      </c>
      <c r="J1006">
        <v>10</v>
      </c>
      <c r="K1006">
        <f t="shared" si="46"/>
        <v>10</v>
      </c>
      <c r="L1006">
        <f t="shared" si="47"/>
        <v>0</v>
      </c>
      <c r="M1006">
        <v>10</v>
      </c>
      <c r="N1006" s="3" t="s">
        <v>2222</v>
      </c>
      <c r="O1006" s="6">
        <v>0</v>
      </c>
    </row>
    <row r="1007" spans="1:15">
      <c r="A1007" t="str">
        <f t="shared" si="45"/>
        <v>Mipcinta 50 WP 20 X 5 X 100 gr472090</v>
      </c>
      <c r="B1007" t="s">
        <v>10826</v>
      </c>
      <c r="C1007" t="s">
        <v>15389</v>
      </c>
      <c r="D1007" t="s">
        <v>12910</v>
      </c>
      <c r="E1007" t="s">
        <v>1339</v>
      </c>
      <c r="F1007">
        <v>20</v>
      </c>
      <c r="G1007">
        <v>5</v>
      </c>
      <c r="H1007">
        <v>1</v>
      </c>
      <c r="I1007">
        <v>100</v>
      </c>
      <c r="J1007">
        <v>6</v>
      </c>
      <c r="K1007">
        <f t="shared" si="46"/>
        <v>0</v>
      </c>
      <c r="L1007">
        <f t="shared" si="47"/>
        <v>6</v>
      </c>
      <c r="M1007">
        <v>6</v>
      </c>
      <c r="N1007" s="3">
        <v>47209</v>
      </c>
      <c r="O1007" s="6">
        <v>0</v>
      </c>
    </row>
    <row r="1008" spans="1:15">
      <c r="A1008" t="str">
        <f t="shared" si="45"/>
        <v>Mipcinta 50 WP 20 X 5 X 100 gr472700</v>
      </c>
      <c r="B1008" t="s">
        <v>10827</v>
      </c>
      <c r="C1008" t="s">
        <v>15390</v>
      </c>
      <c r="D1008" t="s">
        <v>12911</v>
      </c>
      <c r="E1008" t="s">
        <v>1339</v>
      </c>
      <c r="F1008">
        <v>20</v>
      </c>
      <c r="G1008">
        <v>5</v>
      </c>
      <c r="H1008">
        <v>1</v>
      </c>
      <c r="I1008">
        <v>100</v>
      </c>
      <c r="J1008">
        <v>3100</v>
      </c>
      <c r="K1008">
        <f t="shared" si="46"/>
        <v>31</v>
      </c>
      <c r="L1008">
        <f t="shared" si="47"/>
        <v>0</v>
      </c>
      <c r="M1008">
        <v>3100</v>
      </c>
      <c r="N1008" s="3">
        <v>47270</v>
      </c>
      <c r="O1008" s="6">
        <v>0</v>
      </c>
    </row>
    <row r="1009" spans="1:15">
      <c r="A1009" t="str">
        <f t="shared" si="45"/>
        <v>Mipcinta 50 WP 20 X 500 gr472090</v>
      </c>
      <c r="B1009" t="s">
        <v>10828</v>
      </c>
      <c r="C1009" t="s">
        <v>15391</v>
      </c>
      <c r="D1009" t="s">
        <v>12912</v>
      </c>
      <c r="E1009" t="s">
        <v>1340</v>
      </c>
      <c r="F1009">
        <v>20</v>
      </c>
      <c r="G1009">
        <v>1</v>
      </c>
      <c r="H1009">
        <v>1</v>
      </c>
      <c r="I1009">
        <v>20</v>
      </c>
      <c r="J1009">
        <v>116</v>
      </c>
      <c r="K1009">
        <f t="shared" si="46"/>
        <v>5</v>
      </c>
      <c r="L1009">
        <f t="shared" si="47"/>
        <v>16</v>
      </c>
      <c r="M1009">
        <v>116</v>
      </c>
      <c r="N1009" s="3">
        <v>47209</v>
      </c>
      <c r="O1009" s="6">
        <v>0</v>
      </c>
    </row>
    <row r="1010" spans="1:15">
      <c r="A1010" t="str">
        <f t="shared" si="45"/>
        <v>Mipcinta 50 WP 20 X 500 gr472390</v>
      </c>
      <c r="B1010" t="s">
        <v>10829</v>
      </c>
      <c r="C1010" t="s">
        <v>15392</v>
      </c>
      <c r="D1010" t="s">
        <v>12913</v>
      </c>
      <c r="E1010" t="s">
        <v>1340</v>
      </c>
      <c r="F1010">
        <v>20</v>
      </c>
      <c r="G1010">
        <v>1</v>
      </c>
      <c r="H1010">
        <v>1</v>
      </c>
      <c r="I1010">
        <v>20</v>
      </c>
      <c r="J1010">
        <v>5000</v>
      </c>
      <c r="K1010">
        <f t="shared" si="46"/>
        <v>250</v>
      </c>
      <c r="L1010">
        <f t="shared" si="47"/>
        <v>0</v>
      </c>
      <c r="M1010">
        <v>5000</v>
      </c>
      <c r="N1010" s="3">
        <v>47239</v>
      </c>
      <c r="O1010" s="6">
        <v>0</v>
      </c>
    </row>
    <row r="1011" spans="1:15">
      <c r="A1011" t="str">
        <f t="shared" si="45"/>
        <v>MKP 20 X 1 kg464780</v>
      </c>
      <c r="B1011" t="s">
        <v>10830</v>
      </c>
      <c r="C1011" t="s">
        <v>15393</v>
      </c>
      <c r="D1011" t="s">
        <v>12914</v>
      </c>
      <c r="E1011" t="s">
        <v>1341</v>
      </c>
      <c r="F1011">
        <v>20</v>
      </c>
      <c r="G1011">
        <v>1</v>
      </c>
      <c r="H1011">
        <v>1</v>
      </c>
      <c r="I1011">
        <v>20</v>
      </c>
      <c r="J1011">
        <v>2</v>
      </c>
      <c r="K1011">
        <f t="shared" si="46"/>
        <v>0</v>
      </c>
      <c r="L1011">
        <f t="shared" si="47"/>
        <v>2</v>
      </c>
      <c r="M1011">
        <v>2</v>
      </c>
      <c r="N1011" s="3">
        <v>46478</v>
      </c>
      <c r="O1011" s="6">
        <v>0</v>
      </c>
    </row>
    <row r="1012" spans="1:15">
      <c r="A1012" t="str">
        <f t="shared" si="45"/>
        <v>MKP 20 X 1 kg465080</v>
      </c>
      <c r="B1012" t="s">
        <v>10831</v>
      </c>
      <c r="C1012" t="s">
        <v>15394</v>
      </c>
      <c r="D1012" t="s">
        <v>12915</v>
      </c>
      <c r="E1012" t="s">
        <v>1341</v>
      </c>
      <c r="F1012">
        <v>20</v>
      </c>
      <c r="G1012">
        <v>1</v>
      </c>
      <c r="H1012">
        <v>1</v>
      </c>
      <c r="I1012">
        <v>20</v>
      </c>
      <c r="J1012">
        <v>7855</v>
      </c>
      <c r="K1012">
        <f t="shared" si="46"/>
        <v>392</v>
      </c>
      <c r="L1012">
        <f t="shared" si="47"/>
        <v>15</v>
      </c>
      <c r="M1012">
        <v>7855</v>
      </c>
      <c r="N1012" s="3">
        <v>46508</v>
      </c>
      <c r="O1012" s="6">
        <v>0</v>
      </c>
    </row>
    <row r="1013" spans="1:15">
      <c r="A1013" t="str">
        <f t="shared" si="45"/>
        <v>Money 865 SL 20 ltr466610</v>
      </c>
      <c r="B1013" t="s">
        <v>10832</v>
      </c>
      <c r="C1013" t="s">
        <v>15395</v>
      </c>
      <c r="D1013" t="s">
        <v>12916</v>
      </c>
      <c r="E1013" t="s">
        <v>1342</v>
      </c>
      <c r="F1013">
        <v>1</v>
      </c>
      <c r="G1013">
        <v>1</v>
      </c>
      <c r="H1013">
        <v>1</v>
      </c>
      <c r="I1013">
        <v>1</v>
      </c>
      <c r="J1013">
        <v>26</v>
      </c>
      <c r="K1013">
        <f t="shared" si="46"/>
        <v>26</v>
      </c>
      <c r="L1013">
        <f t="shared" si="47"/>
        <v>0</v>
      </c>
      <c r="M1013">
        <v>26</v>
      </c>
      <c r="N1013" s="3">
        <v>46661</v>
      </c>
      <c r="O1013" s="6">
        <v>0</v>
      </c>
    </row>
    <row r="1014" spans="1:15">
      <c r="A1014" t="str">
        <f t="shared" si="45"/>
        <v>Money 865 SL 20 X 1 ltr467220</v>
      </c>
      <c r="B1014" t="s">
        <v>10833</v>
      </c>
      <c r="C1014" t="s">
        <v>15396</v>
      </c>
      <c r="D1014" t="s">
        <v>12917</v>
      </c>
      <c r="E1014" t="s">
        <v>1343</v>
      </c>
      <c r="F1014">
        <v>20</v>
      </c>
      <c r="G1014">
        <v>1</v>
      </c>
      <c r="H1014">
        <v>1</v>
      </c>
      <c r="I1014">
        <v>20</v>
      </c>
      <c r="J1014">
        <v>19</v>
      </c>
      <c r="K1014">
        <f t="shared" si="46"/>
        <v>0</v>
      </c>
      <c r="L1014">
        <f t="shared" si="47"/>
        <v>19</v>
      </c>
      <c r="M1014">
        <v>19</v>
      </c>
      <c r="N1014" s="3">
        <v>46722</v>
      </c>
      <c r="O1014" s="6">
        <v>0</v>
      </c>
    </row>
    <row r="1015" spans="1:15">
      <c r="A1015" t="str">
        <f t="shared" si="45"/>
        <v>Money 865 SL 20 X 1 ltr471780</v>
      </c>
      <c r="B1015" t="s">
        <v>10834</v>
      </c>
      <c r="C1015" t="s">
        <v>15397</v>
      </c>
      <c r="D1015" t="s">
        <v>12918</v>
      </c>
      <c r="E1015" t="s">
        <v>1343</v>
      </c>
      <c r="F1015">
        <v>20</v>
      </c>
      <c r="G1015">
        <v>1</v>
      </c>
      <c r="H1015">
        <v>1</v>
      </c>
      <c r="I1015">
        <v>20</v>
      </c>
      <c r="J1015">
        <v>480</v>
      </c>
      <c r="K1015">
        <f t="shared" si="46"/>
        <v>24</v>
      </c>
      <c r="L1015">
        <f t="shared" si="47"/>
        <v>0</v>
      </c>
      <c r="M1015">
        <v>480</v>
      </c>
      <c r="N1015" s="3">
        <v>47178</v>
      </c>
      <c r="O1015" s="6">
        <v>0</v>
      </c>
    </row>
    <row r="1016" spans="1:15">
      <c r="A1016" t="str">
        <f t="shared" si="45"/>
        <v>Money 865 SL 20 X 400 ml467840</v>
      </c>
      <c r="B1016" t="s">
        <v>10835</v>
      </c>
      <c r="C1016" t="s">
        <v>15398</v>
      </c>
      <c r="D1016" t="s">
        <v>12919</v>
      </c>
      <c r="E1016" t="s">
        <v>1344</v>
      </c>
      <c r="F1016">
        <v>20</v>
      </c>
      <c r="G1016">
        <v>1</v>
      </c>
      <c r="H1016">
        <v>1</v>
      </c>
      <c r="I1016">
        <v>20</v>
      </c>
      <c r="J1016">
        <v>202</v>
      </c>
      <c r="K1016">
        <f t="shared" si="46"/>
        <v>10</v>
      </c>
      <c r="L1016">
        <f t="shared" si="47"/>
        <v>2</v>
      </c>
      <c r="M1016">
        <v>202</v>
      </c>
      <c r="N1016" s="3">
        <v>46784</v>
      </c>
      <c r="O1016" s="6">
        <v>0</v>
      </c>
    </row>
    <row r="1017" spans="1:15">
      <c r="A1017" t="str">
        <f t="shared" si="45"/>
        <v>Money 865 SL 20 X 400 ml470880</v>
      </c>
      <c r="B1017" t="s">
        <v>10836</v>
      </c>
      <c r="C1017" t="s">
        <v>15399</v>
      </c>
      <c r="D1017" t="s">
        <v>12920</v>
      </c>
      <c r="E1017" t="s">
        <v>1344</v>
      </c>
      <c r="F1017">
        <v>20</v>
      </c>
      <c r="G1017">
        <v>1</v>
      </c>
      <c r="H1017">
        <v>1</v>
      </c>
      <c r="I1017">
        <v>20</v>
      </c>
      <c r="J1017">
        <v>500</v>
      </c>
      <c r="K1017">
        <f t="shared" si="46"/>
        <v>25</v>
      </c>
      <c r="L1017">
        <f t="shared" si="47"/>
        <v>0</v>
      </c>
      <c r="M1017">
        <v>500</v>
      </c>
      <c r="N1017" s="3">
        <v>47088</v>
      </c>
      <c r="O1017" s="6">
        <v>0</v>
      </c>
    </row>
    <row r="1018" spans="1:15">
      <c r="A1018" t="str">
        <f t="shared" si="45"/>
        <v>Money 865 SL 4 X 5 ltr466920</v>
      </c>
      <c r="B1018" t="s">
        <v>10837</v>
      </c>
      <c r="C1018" t="s">
        <v>15400</v>
      </c>
      <c r="D1018" t="s">
        <v>12921</v>
      </c>
      <c r="E1018" t="s">
        <v>1345</v>
      </c>
      <c r="F1018">
        <v>4</v>
      </c>
      <c r="G1018">
        <v>1</v>
      </c>
      <c r="H1018">
        <v>1</v>
      </c>
      <c r="I1018">
        <v>4</v>
      </c>
      <c r="J1018">
        <v>8</v>
      </c>
      <c r="K1018">
        <f t="shared" si="46"/>
        <v>2</v>
      </c>
      <c r="L1018">
        <f t="shared" si="47"/>
        <v>0</v>
      </c>
      <c r="M1018">
        <v>8</v>
      </c>
      <c r="N1018" s="3">
        <v>46692</v>
      </c>
      <c r="O1018" s="6">
        <v>0</v>
      </c>
    </row>
    <row r="1019" spans="1:15">
      <c r="A1019" t="str">
        <f t="shared" si="45"/>
        <v>Money 865 SL 40 X 200 ml467220</v>
      </c>
      <c r="B1019" t="s">
        <v>10838</v>
      </c>
      <c r="C1019" t="s">
        <v>15401</v>
      </c>
      <c r="D1019" t="s">
        <v>12922</v>
      </c>
      <c r="E1019" t="s">
        <v>1346</v>
      </c>
      <c r="F1019">
        <v>40</v>
      </c>
      <c r="G1019">
        <v>1</v>
      </c>
      <c r="H1019">
        <v>1</v>
      </c>
      <c r="I1019">
        <v>40</v>
      </c>
      <c r="J1019">
        <v>301</v>
      </c>
      <c r="K1019">
        <f t="shared" si="46"/>
        <v>7</v>
      </c>
      <c r="L1019">
        <f t="shared" si="47"/>
        <v>21</v>
      </c>
      <c r="M1019">
        <v>301</v>
      </c>
      <c r="N1019" s="3">
        <v>46722</v>
      </c>
      <c r="O1019" s="6">
        <v>0</v>
      </c>
    </row>
    <row r="1020" spans="1:15">
      <c r="A1020" t="str">
        <f t="shared" si="45"/>
        <v>Money 865 SL 40 X 200 ml470580</v>
      </c>
      <c r="B1020" t="s">
        <v>10839</v>
      </c>
      <c r="C1020" t="s">
        <v>15402</v>
      </c>
      <c r="D1020" t="s">
        <v>12923</v>
      </c>
      <c r="E1020" t="s">
        <v>1346</v>
      </c>
      <c r="F1020">
        <v>40</v>
      </c>
      <c r="G1020">
        <v>1</v>
      </c>
      <c r="H1020">
        <v>1</v>
      </c>
      <c r="I1020">
        <v>40</v>
      </c>
      <c r="J1020">
        <v>2000</v>
      </c>
      <c r="K1020">
        <f t="shared" si="46"/>
        <v>50</v>
      </c>
      <c r="L1020">
        <f t="shared" si="47"/>
        <v>0</v>
      </c>
      <c r="M1020">
        <v>2000</v>
      </c>
      <c r="N1020" s="3">
        <v>47058</v>
      </c>
      <c r="O1020" s="6">
        <v>0</v>
      </c>
    </row>
    <row r="1021" spans="1:15">
      <c r="A1021" t="str">
        <f t="shared" si="45"/>
        <v>Monkey 40 SP 100 X 100 gr (Sample)454440</v>
      </c>
      <c r="B1021" t="s">
        <v>10840</v>
      </c>
      <c r="C1021" t="s">
        <v>15403</v>
      </c>
      <c r="D1021" t="s">
        <v>12924</v>
      </c>
      <c r="E1021" t="s">
        <v>1347</v>
      </c>
      <c r="F1021">
        <v>100</v>
      </c>
      <c r="G1021">
        <v>1</v>
      </c>
      <c r="H1021">
        <v>1</v>
      </c>
      <c r="I1021">
        <v>100</v>
      </c>
      <c r="J1021">
        <v>75</v>
      </c>
      <c r="K1021">
        <f t="shared" si="46"/>
        <v>0</v>
      </c>
      <c r="L1021">
        <f t="shared" si="47"/>
        <v>75</v>
      </c>
      <c r="M1021">
        <v>75</v>
      </c>
      <c r="N1021" s="3">
        <v>45444</v>
      </c>
      <c r="O1021" s="6">
        <v>0</v>
      </c>
    </row>
    <row r="1022" spans="1:15">
      <c r="A1022" t="str">
        <f t="shared" si="45"/>
        <v>Monkey 40 SP 40 X 400 gr469350</v>
      </c>
      <c r="B1022" t="s">
        <v>10841</v>
      </c>
      <c r="C1022" t="s">
        <v>15404</v>
      </c>
      <c r="D1022" t="s">
        <v>12925</v>
      </c>
      <c r="E1022" t="s">
        <v>1348</v>
      </c>
      <c r="F1022">
        <v>40</v>
      </c>
      <c r="G1022">
        <v>1</v>
      </c>
      <c r="H1022">
        <v>1</v>
      </c>
      <c r="I1022">
        <v>40</v>
      </c>
      <c r="J1022">
        <v>952</v>
      </c>
      <c r="K1022">
        <f t="shared" si="46"/>
        <v>23</v>
      </c>
      <c r="L1022">
        <f t="shared" si="47"/>
        <v>32</v>
      </c>
      <c r="M1022">
        <v>952</v>
      </c>
      <c r="N1022" s="3">
        <v>46935</v>
      </c>
      <c r="O1022" s="6">
        <v>0</v>
      </c>
    </row>
    <row r="1023" spans="1:15">
      <c r="A1023" t="str">
        <f t="shared" si="45"/>
        <v>Montana 230 EC 50 X 100 ml (sampel)1/1/10000</v>
      </c>
      <c r="B1023" t="s">
        <v>10842</v>
      </c>
      <c r="C1023" t="s">
        <v>15405</v>
      </c>
      <c r="D1023" t="s">
        <v>12926</v>
      </c>
      <c r="E1023" t="s">
        <v>1349</v>
      </c>
      <c r="F1023">
        <v>50</v>
      </c>
      <c r="G1023">
        <v>1</v>
      </c>
      <c r="H1023">
        <v>1</v>
      </c>
      <c r="I1023">
        <v>50</v>
      </c>
      <c r="J1023">
        <v>9</v>
      </c>
      <c r="K1023">
        <f t="shared" si="46"/>
        <v>0</v>
      </c>
      <c r="L1023">
        <f t="shared" si="47"/>
        <v>9</v>
      </c>
      <c r="M1023">
        <v>9</v>
      </c>
      <c r="N1023" s="3" t="s">
        <v>2222</v>
      </c>
      <c r="O1023" s="6">
        <v>0</v>
      </c>
    </row>
    <row r="1024" spans="1:15">
      <c r="A1024" t="str">
        <f t="shared" si="45"/>
        <v>Mospilan 30 EC 20 X 400 ml468740</v>
      </c>
      <c r="B1024" t="s">
        <v>10843</v>
      </c>
      <c r="C1024" t="s">
        <v>15406</v>
      </c>
      <c r="D1024" t="s">
        <v>12927</v>
      </c>
      <c r="E1024" t="s">
        <v>1350</v>
      </c>
      <c r="F1024">
        <v>20</v>
      </c>
      <c r="G1024">
        <v>1</v>
      </c>
      <c r="H1024">
        <v>1</v>
      </c>
      <c r="I1024">
        <v>20</v>
      </c>
      <c r="J1024">
        <v>1122</v>
      </c>
      <c r="K1024">
        <f t="shared" si="46"/>
        <v>56</v>
      </c>
      <c r="L1024">
        <f t="shared" si="47"/>
        <v>2</v>
      </c>
      <c r="M1024">
        <v>1122</v>
      </c>
      <c r="N1024" s="3">
        <v>46874</v>
      </c>
      <c r="O1024" s="6">
        <v>0</v>
      </c>
    </row>
    <row r="1025" spans="1:15">
      <c r="A1025" t="str">
        <f t="shared" si="45"/>
        <v>Mospilan 30 EC 48 X 100 ml467220</v>
      </c>
      <c r="B1025" t="s">
        <v>10844</v>
      </c>
      <c r="C1025" t="s">
        <v>15407</v>
      </c>
      <c r="D1025" t="s">
        <v>12928</v>
      </c>
      <c r="E1025" t="s">
        <v>1352</v>
      </c>
      <c r="F1025">
        <v>48</v>
      </c>
      <c r="G1025">
        <v>1</v>
      </c>
      <c r="H1025">
        <v>1</v>
      </c>
      <c r="I1025">
        <v>48</v>
      </c>
      <c r="J1025">
        <v>111</v>
      </c>
      <c r="K1025">
        <f t="shared" si="46"/>
        <v>2</v>
      </c>
      <c r="L1025">
        <f t="shared" si="47"/>
        <v>15</v>
      </c>
      <c r="M1025">
        <v>111</v>
      </c>
      <c r="N1025" s="3">
        <v>46722</v>
      </c>
      <c r="O1025" s="6">
        <v>0</v>
      </c>
    </row>
    <row r="1026" spans="1:15">
      <c r="A1026" t="str">
        <f t="shared" si="45"/>
        <v>Movento Energy 240 SC 50 X 100 ml464190</v>
      </c>
      <c r="B1026" t="s">
        <v>10845</v>
      </c>
      <c r="C1026" t="s">
        <v>15408</v>
      </c>
      <c r="D1026" t="s">
        <v>12929</v>
      </c>
      <c r="E1026" t="s">
        <v>1354</v>
      </c>
      <c r="F1026">
        <v>50</v>
      </c>
      <c r="G1026">
        <v>1</v>
      </c>
      <c r="H1026">
        <v>1</v>
      </c>
      <c r="I1026">
        <v>50</v>
      </c>
      <c r="J1026">
        <v>549</v>
      </c>
      <c r="K1026">
        <f t="shared" si="46"/>
        <v>10</v>
      </c>
      <c r="L1026">
        <f t="shared" si="47"/>
        <v>49</v>
      </c>
      <c r="M1026">
        <v>549</v>
      </c>
      <c r="N1026" s="3">
        <v>46419</v>
      </c>
      <c r="O1026" s="6">
        <v>0</v>
      </c>
    </row>
    <row r="1027" spans="1:15">
      <c r="A1027" t="str">
        <f t="shared" ref="A1027:A1090" si="48">E1027&amp;N1027&amp;O1027</f>
        <v>Mr. Qlett 30 X 200 ml464780</v>
      </c>
      <c r="B1027" t="s">
        <v>10846</v>
      </c>
      <c r="C1027" t="s">
        <v>15409</v>
      </c>
      <c r="D1027" t="s">
        <v>12930</v>
      </c>
      <c r="E1027" t="s">
        <v>1356</v>
      </c>
      <c r="F1027">
        <v>30</v>
      </c>
      <c r="G1027">
        <v>1</v>
      </c>
      <c r="H1027">
        <v>1</v>
      </c>
      <c r="I1027">
        <v>30</v>
      </c>
      <c r="J1027">
        <v>750</v>
      </c>
      <c r="K1027">
        <f t="shared" ref="K1027:K1090" si="49">ROUNDDOWN(J1027/I1027,0)</f>
        <v>25</v>
      </c>
      <c r="L1027">
        <f t="shared" ref="L1027:L1090" si="50">J1027-K1027*I1027</f>
        <v>0</v>
      </c>
      <c r="M1027">
        <v>750</v>
      </c>
      <c r="N1027" s="3">
        <v>46478</v>
      </c>
      <c r="O1027" s="6">
        <v>0</v>
      </c>
    </row>
    <row r="1028" spans="1:15">
      <c r="A1028" t="str">
        <f t="shared" si="48"/>
        <v>Mulsa Coboy 60 cm X 1 kg1/1/10000</v>
      </c>
      <c r="B1028" t="s">
        <v>10847</v>
      </c>
      <c r="C1028" t="s">
        <v>15410</v>
      </c>
      <c r="D1028" t="s">
        <v>12931</v>
      </c>
      <c r="E1028" t="s">
        <v>1357</v>
      </c>
      <c r="F1028">
        <v>1</v>
      </c>
      <c r="G1028">
        <v>1</v>
      </c>
      <c r="H1028">
        <v>1</v>
      </c>
      <c r="I1028">
        <v>1</v>
      </c>
      <c r="J1028">
        <v>635</v>
      </c>
      <c r="K1028">
        <f t="shared" si="49"/>
        <v>635</v>
      </c>
      <c r="L1028">
        <f t="shared" si="50"/>
        <v>0</v>
      </c>
      <c r="M1028">
        <v>635</v>
      </c>
      <c r="N1028" s="3" t="s">
        <v>2222</v>
      </c>
      <c r="O1028" s="6">
        <v>0</v>
      </c>
    </row>
    <row r="1029" spans="1:15">
      <c r="A1029" t="str">
        <f t="shared" si="48"/>
        <v>Mulsa Dewata Biru 60 cm X 9 kg (roll)1/1/10000</v>
      </c>
      <c r="B1029" t="s">
        <v>10848</v>
      </c>
      <c r="C1029" t="s">
        <v>15411</v>
      </c>
      <c r="D1029" t="s">
        <v>12932</v>
      </c>
      <c r="E1029" t="s">
        <v>1358</v>
      </c>
      <c r="F1029">
        <v>1</v>
      </c>
      <c r="G1029">
        <v>1</v>
      </c>
      <c r="H1029">
        <v>1</v>
      </c>
      <c r="I1029">
        <v>1</v>
      </c>
      <c r="J1029">
        <v>32</v>
      </c>
      <c r="K1029">
        <f t="shared" si="49"/>
        <v>32</v>
      </c>
      <c r="L1029">
        <f t="shared" si="50"/>
        <v>0</v>
      </c>
      <c r="M1029">
        <v>32</v>
      </c>
      <c r="N1029" s="3" t="s">
        <v>2222</v>
      </c>
      <c r="O1029" s="6">
        <v>0</v>
      </c>
    </row>
    <row r="1030" spans="1:15">
      <c r="A1030" t="str">
        <f t="shared" si="48"/>
        <v>Mulsa Dua Srigala 50 cm X 18 kg (Roll)1/1/10000</v>
      </c>
      <c r="B1030" t="s">
        <v>10849</v>
      </c>
      <c r="C1030" t="s">
        <v>15412</v>
      </c>
      <c r="D1030" t="s">
        <v>12933</v>
      </c>
      <c r="E1030" t="s">
        <v>1360</v>
      </c>
      <c r="F1030">
        <v>1</v>
      </c>
      <c r="G1030">
        <v>1</v>
      </c>
      <c r="H1030">
        <v>1</v>
      </c>
      <c r="I1030">
        <v>1</v>
      </c>
      <c r="J1030">
        <v>49</v>
      </c>
      <c r="K1030">
        <f t="shared" si="49"/>
        <v>49</v>
      </c>
      <c r="L1030">
        <f t="shared" si="50"/>
        <v>0</v>
      </c>
      <c r="M1030">
        <v>49</v>
      </c>
      <c r="N1030" s="3" t="s">
        <v>2222</v>
      </c>
      <c r="O1030" s="6">
        <v>0</v>
      </c>
    </row>
    <row r="1031" spans="1:15">
      <c r="A1031" t="str">
        <f t="shared" si="48"/>
        <v>Mulsa Dua Srigala 50 cm X 5 kg (Roll)1/1/10000</v>
      </c>
      <c r="B1031" t="s">
        <v>10850</v>
      </c>
      <c r="C1031" t="s">
        <v>15413</v>
      </c>
      <c r="D1031" t="s">
        <v>12934</v>
      </c>
      <c r="E1031" t="s">
        <v>1361</v>
      </c>
      <c r="F1031">
        <v>1</v>
      </c>
      <c r="G1031">
        <v>1</v>
      </c>
      <c r="H1031">
        <v>1</v>
      </c>
      <c r="I1031">
        <v>1</v>
      </c>
      <c r="J1031">
        <v>26</v>
      </c>
      <c r="K1031">
        <f t="shared" si="49"/>
        <v>26</v>
      </c>
      <c r="L1031">
        <f t="shared" si="50"/>
        <v>0</v>
      </c>
      <c r="M1031">
        <v>26</v>
      </c>
      <c r="N1031" s="3" t="s">
        <v>2222</v>
      </c>
      <c r="O1031" s="6">
        <v>0</v>
      </c>
    </row>
    <row r="1032" spans="1:15">
      <c r="A1032" t="str">
        <f t="shared" si="48"/>
        <v>Mulsa Dua Srigala 50 cm X 9 kg (Roll)1/1/10000</v>
      </c>
      <c r="B1032" t="s">
        <v>10851</v>
      </c>
      <c r="C1032" t="s">
        <v>15414</v>
      </c>
      <c r="D1032" t="s">
        <v>12935</v>
      </c>
      <c r="E1032" t="s">
        <v>1362</v>
      </c>
      <c r="F1032">
        <v>1</v>
      </c>
      <c r="G1032">
        <v>1</v>
      </c>
      <c r="H1032">
        <v>1</v>
      </c>
      <c r="I1032">
        <v>1</v>
      </c>
      <c r="J1032">
        <v>88</v>
      </c>
      <c r="K1032">
        <f t="shared" si="49"/>
        <v>88</v>
      </c>
      <c r="L1032">
        <f t="shared" si="50"/>
        <v>0</v>
      </c>
      <c r="M1032">
        <v>88</v>
      </c>
      <c r="N1032" s="3" t="s">
        <v>2222</v>
      </c>
      <c r="O1032" s="6">
        <v>0</v>
      </c>
    </row>
    <row r="1033" spans="1:15">
      <c r="A1033" t="str">
        <f t="shared" si="48"/>
        <v>Mulsa Dua Srigala 60 cm X 18 kg (Roll)1/1/10000</v>
      </c>
      <c r="B1033" t="s">
        <v>10852</v>
      </c>
      <c r="C1033" t="s">
        <v>15415</v>
      </c>
      <c r="D1033" t="s">
        <v>12936</v>
      </c>
      <c r="E1033" t="s">
        <v>1363</v>
      </c>
      <c r="F1033">
        <v>1</v>
      </c>
      <c r="G1033">
        <v>1</v>
      </c>
      <c r="H1033">
        <v>1</v>
      </c>
      <c r="I1033">
        <v>1</v>
      </c>
      <c r="J1033">
        <v>186</v>
      </c>
      <c r="K1033">
        <f t="shared" si="49"/>
        <v>186</v>
      </c>
      <c r="L1033">
        <f t="shared" si="50"/>
        <v>0</v>
      </c>
      <c r="M1033">
        <v>186</v>
      </c>
      <c r="N1033" s="3" t="s">
        <v>2222</v>
      </c>
      <c r="O1033" s="6">
        <v>0</v>
      </c>
    </row>
    <row r="1034" spans="1:15">
      <c r="A1034" t="str">
        <f t="shared" si="48"/>
        <v>Mulsa Dua Srigala 60 cm X 9 kg (Roll)1/1/10000</v>
      </c>
      <c r="B1034" t="s">
        <v>10853</v>
      </c>
      <c r="C1034" t="s">
        <v>15416</v>
      </c>
      <c r="D1034" t="s">
        <v>12937</v>
      </c>
      <c r="E1034" t="s">
        <v>1364</v>
      </c>
      <c r="F1034">
        <v>1</v>
      </c>
      <c r="G1034">
        <v>1</v>
      </c>
      <c r="H1034">
        <v>1</v>
      </c>
      <c r="I1034">
        <v>1</v>
      </c>
      <c r="J1034">
        <v>98</v>
      </c>
      <c r="K1034">
        <f t="shared" si="49"/>
        <v>98</v>
      </c>
      <c r="L1034">
        <f t="shared" si="50"/>
        <v>0</v>
      </c>
      <c r="M1034">
        <v>98</v>
      </c>
      <c r="N1034" s="3" t="s">
        <v>2222</v>
      </c>
      <c r="O1034" s="6">
        <v>0</v>
      </c>
    </row>
    <row r="1035" spans="1:15">
      <c r="A1035" t="str">
        <f t="shared" si="48"/>
        <v>Mulsa Hanoman 50 cm X 17 kg (Roll)1/1/10000</v>
      </c>
      <c r="B1035" t="s">
        <v>10854</v>
      </c>
      <c r="C1035" t="s">
        <v>15417</v>
      </c>
      <c r="D1035" t="s">
        <v>12938</v>
      </c>
      <c r="E1035" t="s">
        <v>1365</v>
      </c>
      <c r="F1035">
        <v>1</v>
      </c>
      <c r="G1035">
        <v>1</v>
      </c>
      <c r="H1035">
        <v>1</v>
      </c>
      <c r="I1035">
        <v>1</v>
      </c>
      <c r="J1035">
        <v>94</v>
      </c>
      <c r="K1035">
        <f t="shared" si="49"/>
        <v>94</v>
      </c>
      <c r="L1035">
        <f t="shared" si="50"/>
        <v>0</v>
      </c>
      <c r="M1035">
        <v>94</v>
      </c>
      <c r="N1035" s="3" t="s">
        <v>2222</v>
      </c>
      <c r="O1035" s="6">
        <v>0</v>
      </c>
    </row>
    <row r="1036" spans="1:15">
      <c r="A1036" t="str">
        <f t="shared" si="48"/>
        <v>Mulsa Hanoman 50 cm X 8 kg (Roll)1/1/10000</v>
      </c>
      <c r="B1036" t="s">
        <v>10855</v>
      </c>
      <c r="C1036" t="s">
        <v>15418</v>
      </c>
      <c r="D1036" t="s">
        <v>12939</v>
      </c>
      <c r="E1036" t="s">
        <v>1366</v>
      </c>
      <c r="F1036">
        <v>1</v>
      </c>
      <c r="G1036">
        <v>1</v>
      </c>
      <c r="H1036">
        <v>1</v>
      </c>
      <c r="I1036">
        <v>1</v>
      </c>
      <c r="J1036">
        <v>73</v>
      </c>
      <c r="K1036">
        <f t="shared" si="49"/>
        <v>73</v>
      </c>
      <c r="L1036">
        <f t="shared" si="50"/>
        <v>0</v>
      </c>
      <c r="M1036">
        <v>73</v>
      </c>
      <c r="N1036" s="3" t="s">
        <v>2222</v>
      </c>
      <c r="O1036" s="6">
        <v>0</v>
      </c>
    </row>
    <row r="1037" spans="1:15">
      <c r="A1037" t="str">
        <f t="shared" si="48"/>
        <v>Mulsa Hanoman 60 cm X 17 kg (Roll)1/1/10000</v>
      </c>
      <c r="B1037" t="s">
        <v>10856</v>
      </c>
      <c r="C1037" t="s">
        <v>15419</v>
      </c>
      <c r="D1037" t="s">
        <v>12940</v>
      </c>
      <c r="E1037" t="s">
        <v>1367</v>
      </c>
      <c r="F1037">
        <v>1</v>
      </c>
      <c r="G1037">
        <v>1</v>
      </c>
      <c r="H1037">
        <v>1</v>
      </c>
      <c r="I1037">
        <v>1</v>
      </c>
      <c r="J1037">
        <v>85</v>
      </c>
      <c r="K1037">
        <f t="shared" si="49"/>
        <v>85</v>
      </c>
      <c r="L1037">
        <f t="shared" si="50"/>
        <v>0</v>
      </c>
      <c r="M1037">
        <v>85</v>
      </c>
      <c r="N1037" s="3" t="s">
        <v>2222</v>
      </c>
      <c r="O1037" s="6">
        <v>0</v>
      </c>
    </row>
    <row r="1038" spans="1:15">
      <c r="A1038" t="str">
        <f t="shared" si="48"/>
        <v>Mulsa Hanoman 60 cm X 18 kg (Roll)1/1/10000</v>
      </c>
      <c r="B1038" t="s">
        <v>10857</v>
      </c>
      <c r="C1038" t="s">
        <v>15420</v>
      </c>
      <c r="D1038" t="s">
        <v>12941</v>
      </c>
      <c r="E1038" t="s">
        <v>1368</v>
      </c>
      <c r="F1038">
        <v>1</v>
      </c>
      <c r="G1038">
        <v>1</v>
      </c>
      <c r="H1038">
        <v>1</v>
      </c>
      <c r="I1038">
        <v>1</v>
      </c>
      <c r="J1038">
        <v>13</v>
      </c>
      <c r="K1038">
        <f t="shared" si="49"/>
        <v>13</v>
      </c>
      <c r="L1038">
        <f t="shared" si="50"/>
        <v>0</v>
      </c>
      <c r="M1038">
        <v>13</v>
      </c>
      <c r="N1038" s="3" t="s">
        <v>2222</v>
      </c>
      <c r="O1038" s="6">
        <v>0</v>
      </c>
    </row>
    <row r="1039" spans="1:15">
      <c r="A1039" t="str">
        <f t="shared" si="48"/>
        <v>Mulsa Hanoman 60 cm X 8 kg (Roll)1/1/10000</v>
      </c>
      <c r="B1039" t="s">
        <v>10858</v>
      </c>
      <c r="C1039" t="s">
        <v>15421</v>
      </c>
      <c r="D1039" t="s">
        <v>12942</v>
      </c>
      <c r="E1039" t="s">
        <v>1369</v>
      </c>
      <c r="F1039">
        <v>1</v>
      </c>
      <c r="G1039">
        <v>1</v>
      </c>
      <c r="H1039">
        <v>1</v>
      </c>
      <c r="I1039">
        <v>1</v>
      </c>
      <c r="J1039">
        <v>50</v>
      </c>
      <c r="K1039">
        <f t="shared" si="49"/>
        <v>50</v>
      </c>
      <c r="L1039">
        <f t="shared" si="50"/>
        <v>0</v>
      </c>
      <c r="M1039">
        <v>50</v>
      </c>
      <c r="N1039" s="3" t="s">
        <v>2222</v>
      </c>
      <c r="O1039" s="6">
        <v>0</v>
      </c>
    </row>
    <row r="1040" spans="1:15">
      <c r="A1040" t="str">
        <f t="shared" si="48"/>
        <v>Mulsa Hanoman 60 cm X 9 kg (Roll)1/1/10000</v>
      </c>
      <c r="B1040" t="s">
        <v>10859</v>
      </c>
      <c r="C1040" t="s">
        <v>15422</v>
      </c>
      <c r="D1040" t="s">
        <v>12943</v>
      </c>
      <c r="E1040" t="s">
        <v>1370</v>
      </c>
      <c r="F1040">
        <v>1</v>
      </c>
      <c r="G1040">
        <v>1</v>
      </c>
      <c r="H1040">
        <v>1</v>
      </c>
      <c r="I1040">
        <v>1</v>
      </c>
      <c r="J1040">
        <v>14</v>
      </c>
      <c r="K1040">
        <f t="shared" si="49"/>
        <v>14</v>
      </c>
      <c r="L1040">
        <f t="shared" si="50"/>
        <v>0</v>
      </c>
      <c r="M1040">
        <v>14</v>
      </c>
      <c r="N1040" s="3" t="s">
        <v>2222</v>
      </c>
      <c r="O1040" s="6">
        <v>0</v>
      </c>
    </row>
    <row r="1041" spans="1:15">
      <c r="A1041" t="str">
        <f t="shared" si="48"/>
        <v>Mulsa Hanoman 80 cm X 18 kg (Roll)1/1/10000</v>
      </c>
      <c r="B1041" t="s">
        <v>10860</v>
      </c>
      <c r="C1041" t="s">
        <v>15423</v>
      </c>
      <c r="D1041" t="s">
        <v>12944</v>
      </c>
      <c r="E1041" t="s">
        <v>1371</v>
      </c>
      <c r="F1041">
        <v>1</v>
      </c>
      <c r="G1041">
        <v>1</v>
      </c>
      <c r="H1041">
        <v>1</v>
      </c>
      <c r="I1041">
        <v>1</v>
      </c>
      <c r="J1041">
        <v>40</v>
      </c>
      <c r="K1041">
        <f t="shared" si="49"/>
        <v>40</v>
      </c>
      <c r="L1041">
        <f t="shared" si="50"/>
        <v>0</v>
      </c>
      <c r="M1041">
        <v>40</v>
      </c>
      <c r="N1041" s="3" t="s">
        <v>2222</v>
      </c>
      <c r="O1041" s="6">
        <v>0</v>
      </c>
    </row>
    <row r="1042" spans="1:15">
      <c r="A1042" t="str">
        <f t="shared" si="48"/>
        <v>Mulsa Hanoman 80 cm X 9 kg (Roll)1/1/10000</v>
      </c>
      <c r="B1042" t="s">
        <v>10861</v>
      </c>
      <c r="C1042" t="s">
        <v>15424</v>
      </c>
      <c r="D1042" t="s">
        <v>12945</v>
      </c>
      <c r="E1042" t="s">
        <v>1372</v>
      </c>
      <c r="F1042">
        <v>1</v>
      </c>
      <c r="G1042">
        <v>1</v>
      </c>
      <c r="H1042">
        <v>1</v>
      </c>
      <c r="I1042">
        <v>1</v>
      </c>
      <c r="J1042">
        <v>26</v>
      </c>
      <c r="K1042">
        <f t="shared" si="49"/>
        <v>26</v>
      </c>
      <c r="L1042">
        <f t="shared" si="50"/>
        <v>0</v>
      </c>
      <c r="M1042">
        <v>26</v>
      </c>
      <c r="N1042" s="3" t="s">
        <v>2222</v>
      </c>
      <c r="O1042" s="6">
        <v>0</v>
      </c>
    </row>
    <row r="1043" spans="1:15">
      <c r="A1043" t="str">
        <f t="shared" si="48"/>
        <v>Mulsa Karisma 50 cm / 10 kg (Roll)1/1/10000</v>
      </c>
      <c r="B1043" t="s">
        <v>10862</v>
      </c>
      <c r="C1043" t="s">
        <v>15425</v>
      </c>
      <c r="D1043" t="s">
        <v>12946</v>
      </c>
      <c r="E1043" t="s">
        <v>1373</v>
      </c>
      <c r="F1043">
        <v>1</v>
      </c>
      <c r="G1043">
        <v>1</v>
      </c>
      <c r="H1043">
        <v>1</v>
      </c>
      <c r="I1043">
        <v>1</v>
      </c>
      <c r="J1043">
        <v>127</v>
      </c>
      <c r="K1043">
        <f t="shared" si="49"/>
        <v>127</v>
      </c>
      <c r="L1043">
        <f t="shared" si="50"/>
        <v>0</v>
      </c>
      <c r="M1043">
        <v>127</v>
      </c>
      <c r="N1043" s="3" t="s">
        <v>2222</v>
      </c>
      <c r="O1043" s="6">
        <v>0</v>
      </c>
    </row>
    <row r="1044" spans="1:15">
      <c r="A1044" t="str">
        <f t="shared" si="48"/>
        <v>Mulsa Karisma 50 cm / 20 kg (Roll)1/1/10000</v>
      </c>
      <c r="B1044" t="s">
        <v>10863</v>
      </c>
      <c r="C1044" t="s">
        <v>15426</v>
      </c>
      <c r="D1044" t="s">
        <v>12947</v>
      </c>
      <c r="E1044" t="s">
        <v>1374</v>
      </c>
      <c r="F1044">
        <v>1</v>
      </c>
      <c r="G1044">
        <v>1</v>
      </c>
      <c r="H1044">
        <v>1</v>
      </c>
      <c r="I1044">
        <v>1</v>
      </c>
      <c r="J1044">
        <v>94</v>
      </c>
      <c r="K1044">
        <f t="shared" si="49"/>
        <v>94</v>
      </c>
      <c r="L1044">
        <f t="shared" si="50"/>
        <v>0</v>
      </c>
      <c r="M1044">
        <v>94</v>
      </c>
      <c r="N1044" s="3" t="s">
        <v>2222</v>
      </c>
      <c r="O1044" s="6">
        <v>0</v>
      </c>
    </row>
    <row r="1045" spans="1:15">
      <c r="A1045" t="str">
        <f t="shared" si="48"/>
        <v>Mulsa Karisma 60 cm / 10 kg (Roll)1/1/10000</v>
      </c>
      <c r="B1045" t="s">
        <v>10864</v>
      </c>
      <c r="C1045" t="s">
        <v>15427</v>
      </c>
      <c r="D1045" t="s">
        <v>12948</v>
      </c>
      <c r="E1045" t="s">
        <v>1375</v>
      </c>
      <c r="F1045">
        <v>1</v>
      </c>
      <c r="G1045">
        <v>1</v>
      </c>
      <c r="H1045">
        <v>1</v>
      </c>
      <c r="I1045">
        <v>1</v>
      </c>
      <c r="J1045">
        <v>162</v>
      </c>
      <c r="K1045">
        <f t="shared" si="49"/>
        <v>162</v>
      </c>
      <c r="L1045">
        <f t="shared" si="50"/>
        <v>0</v>
      </c>
      <c r="M1045">
        <v>162</v>
      </c>
      <c r="N1045" s="3" t="s">
        <v>2222</v>
      </c>
      <c r="O1045" s="6">
        <v>0</v>
      </c>
    </row>
    <row r="1046" spans="1:15">
      <c r="A1046" t="str">
        <f t="shared" si="48"/>
        <v>Mulsa Karisma 60 cm / 20 kg (Roll)1/1/10000</v>
      </c>
      <c r="B1046" t="s">
        <v>10865</v>
      </c>
      <c r="C1046" t="s">
        <v>15428</v>
      </c>
      <c r="D1046" t="s">
        <v>12949</v>
      </c>
      <c r="E1046" t="s">
        <v>1376</v>
      </c>
      <c r="F1046">
        <v>1</v>
      </c>
      <c r="G1046">
        <v>1</v>
      </c>
      <c r="H1046">
        <v>1</v>
      </c>
      <c r="I1046">
        <v>1</v>
      </c>
      <c r="J1046">
        <v>275</v>
      </c>
      <c r="K1046">
        <f t="shared" si="49"/>
        <v>275</v>
      </c>
      <c r="L1046">
        <f t="shared" si="50"/>
        <v>0</v>
      </c>
      <c r="M1046">
        <v>275</v>
      </c>
      <c r="N1046" s="3" t="s">
        <v>2222</v>
      </c>
      <c r="O1046" s="6">
        <v>0</v>
      </c>
    </row>
    <row r="1047" spans="1:15">
      <c r="A1047" t="str">
        <f t="shared" si="48"/>
        <v>Mulsa Karisma 70 cm / 10 kg (Roll)1/1/10000</v>
      </c>
      <c r="B1047" t="s">
        <v>10866</v>
      </c>
      <c r="C1047" t="s">
        <v>15429</v>
      </c>
      <c r="D1047" t="s">
        <v>12950</v>
      </c>
      <c r="E1047" t="s">
        <v>1377</v>
      </c>
      <c r="F1047">
        <v>1</v>
      </c>
      <c r="G1047">
        <v>1</v>
      </c>
      <c r="H1047">
        <v>1</v>
      </c>
      <c r="I1047">
        <v>1</v>
      </c>
      <c r="J1047">
        <v>23</v>
      </c>
      <c r="K1047">
        <f t="shared" si="49"/>
        <v>23</v>
      </c>
      <c r="L1047">
        <f t="shared" si="50"/>
        <v>0</v>
      </c>
      <c r="M1047">
        <v>23</v>
      </c>
      <c r="N1047" s="3" t="s">
        <v>2222</v>
      </c>
      <c r="O1047" s="6">
        <v>0</v>
      </c>
    </row>
    <row r="1048" spans="1:15">
      <c r="A1048" t="str">
        <f t="shared" si="48"/>
        <v>Mulsa Karisma 70 cm / 20 kg (Roll)1/1/10000</v>
      </c>
      <c r="B1048" t="s">
        <v>10867</v>
      </c>
      <c r="C1048" t="s">
        <v>15430</v>
      </c>
      <c r="D1048" t="s">
        <v>12951</v>
      </c>
      <c r="E1048" t="s">
        <v>1378</v>
      </c>
      <c r="F1048">
        <v>1</v>
      </c>
      <c r="G1048">
        <v>1</v>
      </c>
      <c r="H1048">
        <v>1</v>
      </c>
      <c r="I1048">
        <v>1</v>
      </c>
      <c r="J1048">
        <v>4</v>
      </c>
      <c r="K1048">
        <f t="shared" si="49"/>
        <v>4</v>
      </c>
      <c r="L1048">
        <f t="shared" si="50"/>
        <v>0</v>
      </c>
      <c r="M1048">
        <v>4</v>
      </c>
      <c r="N1048" s="3" t="s">
        <v>2222</v>
      </c>
      <c r="O1048" s="6">
        <v>0</v>
      </c>
    </row>
    <row r="1049" spans="1:15">
      <c r="A1049" t="str">
        <f t="shared" si="48"/>
        <v>Mulsa Karisma Q989 50 cm X 17 kg (Roll)1/1/10000</v>
      </c>
      <c r="B1049" t="s">
        <v>10868</v>
      </c>
      <c r="C1049" t="s">
        <v>15431</v>
      </c>
      <c r="D1049" t="s">
        <v>12952</v>
      </c>
      <c r="E1049" t="s">
        <v>1379</v>
      </c>
      <c r="F1049">
        <v>1</v>
      </c>
      <c r="G1049">
        <v>1</v>
      </c>
      <c r="H1049">
        <v>1</v>
      </c>
      <c r="I1049">
        <v>1</v>
      </c>
      <c r="J1049">
        <v>25</v>
      </c>
      <c r="K1049">
        <f t="shared" si="49"/>
        <v>25</v>
      </c>
      <c r="L1049">
        <f t="shared" si="50"/>
        <v>0</v>
      </c>
      <c r="M1049">
        <v>25</v>
      </c>
      <c r="N1049" s="3" t="s">
        <v>2222</v>
      </c>
      <c r="O1049" s="6">
        <v>0</v>
      </c>
    </row>
    <row r="1050" spans="1:15">
      <c r="A1050" t="str">
        <f t="shared" si="48"/>
        <v>Mulsa Karisma Q989 50 cm X 8 kg (Roll)1/1/10000</v>
      </c>
      <c r="B1050" t="s">
        <v>10869</v>
      </c>
      <c r="C1050" t="s">
        <v>15432</v>
      </c>
      <c r="D1050" t="s">
        <v>12953</v>
      </c>
      <c r="E1050" t="s">
        <v>1380</v>
      </c>
      <c r="F1050">
        <v>1</v>
      </c>
      <c r="G1050">
        <v>1</v>
      </c>
      <c r="H1050">
        <v>1</v>
      </c>
      <c r="I1050">
        <v>1</v>
      </c>
      <c r="J1050">
        <v>95</v>
      </c>
      <c r="K1050">
        <f t="shared" si="49"/>
        <v>95</v>
      </c>
      <c r="L1050">
        <f t="shared" si="50"/>
        <v>0</v>
      </c>
      <c r="M1050">
        <v>95</v>
      </c>
      <c r="N1050" s="3" t="s">
        <v>2222</v>
      </c>
      <c r="O1050" s="6">
        <v>0</v>
      </c>
    </row>
    <row r="1051" spans="1:15">
      <c r="A1051" t="str">
        <f t="shared" si="48"/>
        <v>Mulsa Karisma Q989 50 cm X 8 kg (Roll) Merah1/1/10000</v>
      </c>
      <c r="B1051" t="s">
        <v>10870</v>
      </c>
      <c r="C1051" t="s">
        <v>15433</v>
      </c>
      <c r="D1051" t="s">
        <v>12954</v>
      </c>
      <c r="E1051" t="s">
        <v>1382</v>
      </c>
      <c r="F1051">
        <v>1</v>
      </c>
      <c r="G1051">
        <v>1</v>
      </c>
      <c r="H1051">
        <v>1</v>
      </c>
      <c r="I1051">
        <v>1</v>
      </c>
      <c r="J1051">
        <v>41</v>
      </c>
      <c r="K1051">
        <f t="shared" si="49"/>
        <v>41</v>
      </c>
      <c r="L1051">
        <f t="shared" si="50"/>
        <v>0</v>
      </c>
      <c r="M1051">
        <v>41</v>
      </c>
      <c r="N1051" s="3" t="s">
        <v>2222</v>
      </c>
      <c r="O1051" s="6">
        <v>0</v>
      </c>
    </row>
    <row r="1052" spans="1:15">
      <c r="A1052" t="str">
        <f t="shared" si="48"/>
        <v>Mulsa Karisma Q989 50 cm X 8 kg (Roll) Merah MT1/1/10000</v>
      </c>
      <c r="B1052" t="s">
        <v>10871</v>
      </c>
      <c r="C1052" t="s">
        <v>15434</v>
      </c>
      <c r="D1052" t="s">
        <v>12955</v>
      </c>
      <c r="E1052" t="s">
        <v>1381</v>
      </c>
      <c r="F1052">
        <v>1</v>
      </c>
      <c r="G1052">
        <v>1</v>
      </c>
      <c r="H1052">
        <v>1</v>
      </c>
      <c r="I1052">
        <v>1</v>
      </c>
      <c r="J1052">
        <v>70</v>
      </c>
      <c r="K1052">
        <f t="shared" si="49"/>
        <v>70</v>
      </c>
      <c r="L1052">
        <f t="shared" si="50"/>
        <v>0</v>
      </c>
      <c r="M1052">
        <v>70</v>
      </c>
      <c r="N1052" s="3" t="s">
        <v>2222</v>
      </c>
      <c r="O1052" s="6">
        <v>0</v>
      </c>
    </row>
    <row r="1053" spans="1:15">
      <c r="A1053" t="str">
        <f t="shared" si="48"/>
        <v>Mulsa Karisma Q989 50 cm X 9 kg (Roll)1/1/10000</v>
      </c>
      <c r="B1053" t="s">
        <v>10872</v>
      </c>
      <c r="C1053" t="s">
        <v>15435</v>
      </c>
      <c r="D1053" t="s">
        <v>12956</v>
      </c>
      <c r="E1053" t="s">
        <v>1383</v>
      </c>
      <c r="F1053">
        <v>1</v>
      </c>
      <c r="G1053">
        <v>1</v>
      </c>
      <c r="H1053">
        <v>1</v>
      </c>
      <c r="I1053">
        <v>1</v>
      </c>
      <c r="J1053">
        <v>52</v>
      </c>
      <c r="K1053">
        <f t="shared" si="49"/>
        <v>52</v>
      </c>
      <c r="L1053">
        <f t="shared" si="50"/>
        <v>0</v>
      </c>
      <c r="M1053">
        <v>52</v>
      </c>
      <c r="N1053" s="3" t="s">
        <v>2222</v>
      </c>
      <c r="O1053" s="6">
        <v>0</v>
      </c>
    </row>
    <row r="1054" spans="1:15">
      <c r="A1054" t="str">
        <f t="shared" si="48"/>
        <v>Mulsa Karisma Q989 60 cm X 17 kg (Roll)1/1/10000</v>
      </c>
      <c r="B1054" t="s">
        <v>10873</v>
      </c>
      <c r="C1054" t="s">
        <v>15436</v>
      </c>
      <c r="D1054" t="s">
        <v>12957</v>
      </c>
      <c r="E1054" t="s">
        <v>1384</v>
      </c>
      <c r="F1054">
        <v>1</v>
      </c>
      <c r="G1054">
        <v>1</v>
      </c>
      <c r="H1054">
        <v>1</v>
      </c>
      <c r="I1054">
        <v>1</v>
      </c>
      <c r="J1054">
        <v>214</v>
      </c>
      <c r="K1054">
        <f t="shared" si="49"/>
        <v>214</v>
      </c>
      <c r="L1054">
        <f t="shared" si="50"/>
        <v>0</v>
      </c>
      <c r="M1054">
        <v>214</v>
      </c>
      <c r="N1054" s="3" t="s">
        <v>2222</v>
      </c>
      <c r="O1054" s="6">
        <v>0</v>
      </c>
    </row>
    <row r="1055" spans="1:15">
      <c r="A1055" t="str">
        <f t="shared" si="48"/>
        <v>Mulsa Karisma Q989 60 cm X 8 kg (Roll)1/1/10000</v>
      </c>
      <c r="B1055" t="s">
        <v>10874</v>
      </c>
      <c r="C1055" t="s">
        <v>15437</v>
      </c>
      <c r="D1055" t="s">
        <v>12958</v>
      </c>
      <c r="E1055" t="s">
        <v>1385</v>
      </c>
      <c r="F1055">
        <v>1</v>
      </c>
      <c r="G1055">
        <v>1</v>
      </c>
      <c r="H1055">
        <v>1</v>
      </c>
      <c r="I1055">
        <v>1</v>
      </c>
      <c r="J1055">
        <v>102</v>
      </c>
      <c r="K1055">
        <f t="shared" si="49"/>
        <v>102</v>
      </c>
      <c r="L1055">
        <f t="shared" si="50"/>
        <v>0</v>
      </c>
      <c r="M1055">
        <v>102</v>
      </c>
      <c r="N1055" s="3" t="s">
        <v>2222</v>
      </c>
      <c r="O1055" s="6">
        <v>0</v>
      </c>
    </row>
    <row r="1056" spans="1:15">
      <c r="A1056" t="str">
        <f t="shared" si="48"/>
        <v>Mulsa Karisma Q989 70 cm X 16 kg (Roll) Merah1/1/10000</v>
      </c>
      <c r="B1056" t="s">
        <v>10875</v>
      </c>
      <c r="C1056" t="s">
        <v>15438</v>
      </c>
      <c r="D1056" t="s">
        <v>12959</v>
      </c>
      <c r="E1056" t="s">
        <v>1386</v>
      </c>
      <c r="F1056">
        <v>1</v>
      </c>
      <c r="G1056">
        <v>1</v>
      </c>
      <c r="H1056">
        <v>1</v>
      </c>
      <c r="I1056">
        <v>1</v>
      </c>
      <c r="J1056">
        <v>39</v>
      </c>
      <c r="K1056">
        <f t="shared" si="49"/>
        <v>39</v>
      </c>
      <c r="L1056">
        <f t="shared" si="50"/>
        <v>0</v>
      </c>
      <c r="M1056">
        <v>39</v>
      </c>
      <c r="N1056" s="3" t="s">
        <v>2222</v>
      </c>
      <c r="O1056" s="6">
        <v>0</v>
      </c>
    </row>
    <row r="1057" spans="1:15">
      <c r="A1057" t="str">
        <f t="shared" si="48"/>
        <v>Mulsa Karisma Q989 70 cm X 8 kg (Roll) Merah1/1/10000</v>
      </c>
      <c r="B1057" t="s">
        <v>10876</v>
      </c>
      <c r="C1057" t="s">
        <v>15439</v>
      </c>
      <c r="D1057" t="s">
        <v>12960</v>
      </c>
      <c r="E1057" t="s">
        <v>1387</v>
      </c>
      <c r="F1057">
        <v>1</v>
      </c>
      <c r="G1057">
        <v>1</v>
      </c>
      <c r="H1057">
        <v>1</v>
      </c>
      <c r="I1057">
        <v>1</v>
      </c>
      <c r="J1057">
        <v>30</v>
      </c>
      <c r="K1057">
        <f t="shared" si="49"/>
        <v>30</v>
      </c>
      <c r="L1057">
        <f t="shared" si="50"/>
        <v>0</v>
      </c>
      <c r="M1057">
        <v>30</v>
      </c>
      <c r="N1057" s="3" t="s">
        <v>2222</v>
      </c>
      <c r="O1057" s="6">
        <v>0</v>
      </c>
    </row>
    <row r="1058" spans="1:15">
      <c r="A1058" t="str">
        <f t="shared" si="48"/>
        <v>Mulsa lembaran 025 X 50 cm (Sample)1/1/10000</v>
      </c>
      <c r="B1058" t="s">
        <v>10877</v>
      </c>
      <c r="C1058" t="s">
        <v>15440</v>
      </c>
      <c r="D1058" t="s">
        <v>12961</v>
      </c>
      <c r="E1058" t="s">
        <v>1388</v>
      </c>
      <c r="F1058">
        <v>1</v>
      </c>
      <c r="G1058">
        <v>1</v>
      </c>
      <c r="H1058">
        <v>1</v>
      </c>
      <c r="I1058">
        <v>1</v>
      </c>
      <c r="J1058">
        <v>2</v>
      </c>
      <c r="K1058">
        <f t="shared" si="49"/>
        <v>2</v>
      </c>
      <c r="L1058">
        <f t="shared" si="50"/>
        <v>0</v>
      </c>
      <c r="M1058">
        <v>2</v>
      </c>
      <c r="N1058" s="3" t="s">
        <v>2222</v>
      </c>
      <c r="O1058" s="6">
        <v>0</v>
      </c>
    </row>
    <row r="1059" spans="1:15">
      <c r="A1059" t="str">
        <f t="shared" si="48"/>
        <v>Mulsa Lembaran 03 X 60 cm (Sample)1/1/10000</v>
      </c>
      <c r="B1059" t="s">
        <v>10878</v>
      </c>
      <c r="C1059" t="s">
        <v>15441</v>
      </c>
      <c r="D1059" t="s">
        <v>12962</v>
      </c>
      <c r="E1059" t="s">
        <v>1389</v>
      </c>
      <c r="F1059">
        <v>1</v>
      </c>
      <c r="G1059">
        <v>1</v>
      </c>
      <c r="H1059">
        <v>1</v>
      </c>
      <c r="I1059">
        <v>1</v>
      </c>
      <c r="J1059">
        <v>2</v>
      </c>
      <c r="K1059">
        <f t="shared" si="49"/>
        <v>2</v>
      </c>
      <c r="L1059">
        <f t="shared" si="50"/>
        <v>0</v>
      </c>
      <c r="M1059">
        <v>2</v>
      </c>
      <c r="N1059" s="3" t="s">
        <v>2222</v>
      </c>
      <c r="O1059" s="6">
        <v>0</v>
      </c>
    </row>
    <row r="1060" spans="1:15">
      <c r="A1060" t="str">
        <f t="shared" si="48"/>
        <v>Mulsa Monesa 50 cm X 17 kg (Roll)1/1/10000</v>
      </c>
      <c r="B1060" t="s">
        <v>10879</v>
      </c>
      <c r="C1060" t="s">
        <v>15442</v>
      </c>
      <c r="D1060" t="s">
        <v>12963</v>
      </c>
      <c r="E1060" t="s">
        <v>1390</v>
      </c>
      <c r="F1060">
        <v>1</v>
      </c>
      <c r="G1060">
        <v>1</v>
      </c>
      <c r="H1060">
        <v>1</v>
      </c>
      <c r="I1060">
        <v>1</v>
      </c>
      <c r="J1060">
        <v>65</v>
      </c>
      <c r="K1060">
        <f t="shared" si="49"/>
        <v>65</v>
      </c>
      <c r="L1060">
        <f t="shared" si="50"/>
        <v>0</v>
      </c>
      <c r="M1060">
        <v>65</v>
      </c>
      <c r="N1060" s="3" t="s">
        <v>2222</v>
      </c>
      <c r="O1060" s="6">
        <v>0</v>
      </c>
    </row>
    <row r="1061" spans="1:15">
      <c r="A1061" t="str">
        <f t="shared" si="48"/>
        <v>Mulsa Monesa 60 cm X 17 kg (Roll)1/1/10000</v>
      </c>
      <c r="B1061" t="s">
        <v>10880</v>
      </c>
      <c r="C1061" t="s">
        <v>15443</v>
      </c>
      <c r="D1061" t="s">
        <v>12964</v>
      </c>
      <c r="E1061" t="s">
        <v>1391</v>
      </c>
      <c r="F1061">
        <v>1</v>
      </c>
      <c r="G1061">
        <v>1</v>
      </c>
      <c r="H1061">
        <v>1</v>
      </c>
      <c r="I1061">
        <v>1</v>
      </c>
      <c r="J1061">
        <v>78</v>
      </c>
      <c r="K1061">
        <f t="shared" si="49"/>
        <v>78</v>
      </c>
      <c r="L1061">
        <f t="shared" si="50"/>
        <v>0</v>
      </c>
      <c r="M1061">
        <v>78</v>
      </c>
      <c r="N1061" s="3" t="s">
        <v>2222</v>
      </c>
      <c r="O1061" s="6">
        <v>0</v>
      </c>
    </row>
    <row r="1062" spans="1:15">
      <c r="A1062" t="str">
        <f t="shared" si="48"/>
        <v>Mulsa Monesa 60 cm X 18 kg (Roll)1/1/10000</v>
      </c>
      <c r="B1062" t="s">
        <v>10881</v>
      </c>
      <c r="C1062" t="s">
        <v>15444</v>
      </c>
      <c r="D1062" t="s">
        <v>12965</v>
      </c>
      <c r="E1062" t="s">
        <v>1392</v>
      </c>
      <c r="F1062">
        <v>1</v>
      </c>
      <c r="G1062">
        <v>1</v>
      </c>
      <c r="H1062">
        <v>1</v>
      </c>
      <c r="I1062">
        <v>1</v>
      </c>
      <c r="J1062">
        <v>37</v>
      </c>
      <c r="K1062">
        <f t="shared" si="49"/>
        <v>37</v>
      </c>
      <c r="L1062">
        <f t="shared" si="50"/>
        <v>0</v>
      </c>
      <c r="M1062">
        <v>37</v>
      </c>
      <c r="N1062" s="3" t="s">
        <v>2222</v>
      </c>
      <c r="O1062" s="6">
        <v>0</v>
      </c>
    </row>
    <row r="1063" spans="1:15">
      <c r="A1063" t="str">
        <f t="shared" si="48"/>
        <v>Mulsa Monesa 60 cm X 9 kg (Roll)1/1/10000</v>
      </c>
      <c r="B1063" t="s">
        <v>10882</v>
      </c>
      <c r="C1063" t="s">
        <v>15445</v>
      </c>
      <c r="D1063" t="s">
        <v>12966</v>
      </c>
      <c r="E1063" t="s">
        <v>1393</v>
      </c>
      <c r="F1063">
        <v>1</v>
      </c>
      <c r="G1063">
        <v>1</v>
      </c>
      <c r="H1063">
        <v>1</v>
      </c>
      <c r="I1063">
        <v>1</v>
      </c>
      <c r="J1063">
        <v>50</v>
      </c>
      <c r="K1063">
        <f t="shared" si="49"/>
        <v>50</v>
      </c>
      <c r="L1063">
        <f t="shared" si="50"/>
        <v>0</v>
      </c>
      <c r="M1063">
        <v>50</v>
      </c>
      <c r="N1063" s="3" t="s">
        <v>2222</v>
      </c>
      <c r="O1063" s="6">
        <v>0</v>
      </c>
    </row>
    <row r="1064" spans="1:15">
      <c r="A1064" t="str">
        <f t="shared" si="48"/>
        <v>Mulsa Ori 03 X 40 cm @1 kg (sample)1/1/10000</v>
      </c>
      <c r="B1064" t="s">
        <v>10883</v>
      </c>
      <c r="C1064" t="s">
        <v>15446</v>
      </c>
      <c r="D1064" t="s">
        <v>12967</v>
      </c>
      <c r="E1064" t="s">
        <v>1394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f t="shared" si="49"/>
        <v>1</v>
      </c>
      <c r="L1064">
        <f t="shared" si="50"/>
        <v>0</v>
      </c>
      <c r="M1064">
        <v>1</v>
      </c>
      <c r="N1064" s="3" t="s">
        <v>2222</v>
      </c>
      <c r="O1064" s="6">
        <v>0</v>
      </c>
    </row>
    <row r="1065" spans="1:15">
      <c r="A1065" t="str">
        <f t="shared" si="48"/>
        <v>Mulsa Ori 03 X 40 cm @2 kg (sample)1/1/10000</v>
      </c>
      <c r="B1065" t="s">
        <v>10884</v>
      </c>
      <c r="C1065" t="s">
        <v>15447</v>
      </c>
      <c r="D1065" t="s">
        <v>12968</v>
      </c>
      <c r="E1065" t="s">
        <v>1395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f t="shared" si="49"/>
        <v>1</v>
      </c>
      <c r="L1065">
        <f t="shared" si="50"/>
        <v>0</v>
      </c>
      <c r="M1065">
        <v>1</v>
      </c>
      <c r="N1065" s="3" t="s">
        <v>2222</v>
      </c>
      <c r="O1065" s="6">
        <v>0</v>
      </c>
    </row>
    <row r="1066" spans="1:15">
      <c r="A1066" t="str">
        <f t="shared" si="48"/>
        <v>Mulsa Ori 03 X 40 cm @3 kg (sample)1/1/10000</v>
      </c>
      <c r="B1066" t="s">
        <v>10885</v>
      </c>
      <c r="C1066" t="s">
        <v>15448</v>
      </c>
      <c r="D1066" t="s">
        <v>12969</v>
      </c>
      <c r="E1066" t="s">
        <v>1396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f t="shared" si="49"/>
        <v>1</v>
      </c>
      <c r="L1066">
        <f t="shared" si="50"/>
        <v>0</v>
      </c>
      <c r="M1066">
        <v>1</v>
      </c>
      <c r="N1066" s="3" t="s">
        <v>2222</v>
      </c>
      <c r="O1066" s="6">
        <v>0</v>
      </c>
    </row>
    <row r="1067" spans="1:15">
      <c r="A1067" t="str">
        <f t="shared" si="48"/>
        <v>Mulsa Ori 03 X 50 cm @1 kg (sample)1/1/10000</v>
      </c>
      <c r="B1067" t="s">
        <v>10886</v>
      </c>
      <c r="C1067" t="s">
        <v>15449</v>
      </c>
      <c r="D1067" t="s">
        <v>12970</v>
      </c>
      <c r="E1067" t="s">
        <v>1397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f t="shared" si="49"/>
        <v>1</v>
      </c>
      <c r="L1067">
        <f t="shared" si="50"/>
        <v>0</v>
      </c>
      <c r="M1067">
        <v>1</v>
      </c>
      <c r="N1067" s="3" t="s">
        <v>2222</v>
      </c>
      <c r="O1067" s="6">
        <v>0</v>
      </c>
    </row>
    <row r="1068" spans="1:15">
      <c r="A1068" t="str">
        <f t="shared" si="48"/>
        <v>Mulsa Ori 03 X 50 cm @2 kg (sample)1/1/10000</v>
      </c>
      <c r="B1068" t="s">
        <v>10887</v>
      </c>
      <c r="C1068" t="s">
        <v>15450</v>
      </c>
      <c r="D1068" t="s">
        <v>12971</v>
      </c>
      <c r="E1068" t="s">
        <v>1398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f t="shared" si="49"/>
        <v>1</v>
      </c>
      <c r="L1068">
        <f t="shared" si="50"/>
        <v>0</v>
      </c>
      <c r="M1068">
        <v>1</v>
      </c>
      <c r="N1068" s="3" t="s">
        <v>2222</v>
      </c>
      <c r="O1068" s="6">
        <v>0</v>
      </c>
    </row>
    <row r="1069" spans="1:15">
      <c r="A1069" t="str">
        <f t="shared" si="48"/>
        <v>Mulsa Ori 03 X 50 cm @3 kg (sample)1/1/10000</v>
      </c>
      <c r="B1069" t="s">
        <v>10888</v>
      </c>
      <c r="C1069" t="s">
        <v>15451</v>
      </c>
      <c r="D1069" t="s">
        <v>12972</v>
      </c>
      <c r="E1069" t="s">
        <v>1399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f t="shared" si="49"/>
        <v>1</v>
      </c>
      <c r="L1069">
        <f t="shared" si="50"/>
        <v>0</v>
      </c>
      <c r="M1069">
        <v>1</v>
      </c>
      <c r="N1069" s="3" t="s">
        <v>2222</v>
      </c>
      <c r="O1069" s="6">
        <v>0</v>
      </c>
    </row>
    <row r="1070" spans="1:15">
      <c r="A1070" t="str">
        <f t="shared" si="48"/>
        <v>Mulsa Ori 03 X 60 cm @1 kg (sample)1/1/10000</v>
      </c>
      <c r="B1070" t="s">
        <v>10889</v>
      </c>
      <c r="C1070" t="s">
        <v>15452</v>
      </c>
      <c r="D1070" t="s">
        <v>12973</v>
      </c>
      <c r="E1070" t="s">
        <v>1400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f t="shared" si="49"/>
        <v>1</v>
      </c>
      <c r="L1070">
        <f t="shared" si="50"/>
        <v>0</v>
      </c>
      <c r="M1070">
        <v>1</v>
      </c>
      <c r="N1070" s="3" t="s">
        <v>2222</v>
      </c>
      <c r="O1070" s="6">
        <v>0</v>
      </c>
    </row>
    <row r="1071" spans="1:15">
      <c r="A1071" t="str">
        <f t="shared" si="48"/>
        <v>Mulsa Ori 03 X 60 cm @2 kg (sample)1/1/10000</v>
      </c>
      <c r="B1071" t="s">
        <v>10890</v>
      </c>
      <c r="C1071" t="s">
        <v>15453</v>
      </c>
      <c r="D1071" t="s">
        <v>12974</v>
      </c>
      <c r="E1071" t="s">
        <v>1401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f t="shared" si="49"/>
        <v>1</v>
      </c>
      <c r="L1071">
        <f t="shared" si="50"/>
        <v>0</v>
      </c>
      <c r="M1071">
        <v>1</v>
      </c>
      <c r="N1071" s="3" t="s">
        <v>2222</v>
      </c>
      <c r="O1071" s="6">
        <v>0</v>
      </c>
    </row>
    <row r="1072" spans="1:15">
      <c r="A1072" t="str">
        <f t="shared" si="48"/>
        <v>Mulsa Ori 03 X 60 cm @3 kg (sample)1/1/10000</v>
      </c>
      <c r="B1072" t="s">
        <v>10891</v>
      </c>
      <c r="C1072" t="s">
        <v>15454</v>
      </c>
      <c r="D1072" t="s">
        <v>12975</v>
      </c>
      <c r="E1072" t="s">
        <v>1402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f t="shared" si="49"/>
        <v>1</v>
      </c>
      <c r="L1072">
        <f t="shared" si="50"/>
        <v>0</v>
      </c>
      <c r="M1072">
        <v>1</v>
      </c>
      <c r="N1072" s="3" t="s">
        <v>2222</v>
      </c>
      <c r="O1072" s="6">
        <v>0</v>
      </c>
    </row>
    <row r="1073" spans="1:15">
      <c r="A1073" t="str">
        <f t="shared" si="48"/>
        <v>Mulsa Ori Gajah 0.3 50 cm X 18 kg (Roll)1/1/10000</v>
      </c>
      <c r="B1073" t="s">
        <v>10892</v>
      </c>
      <c r="C1073" t="s">
        <v>15455</v>
      </c>
      <c r="D1073" t="s">
        <v>12976</v>
      </c>
      <c r="E1073" t="s">
        <v>1403</v>
      </c>
      <c r="F1073">
        <v>1</v>
      </c>
      <c r="G1073">
        <v>1</v>
      </c>
      <c r="H1073">
        <v>1</v>
      </c>
      <c r="I1073">
        <v>1</v>
      </c>
      <c r="J1073">
        <v>148</v>
      </c>
      <c r="K1073">
        <f t="shared" si="49"/>
        <v>148</v>
      </c>
      <c r="L1073">
        <f t="shared" si="50"/>
        <v>0</v>
      </c>
      <c r="M1073">
        <v>148</v>
      </c>
      <c r="N1073" s="3" t="s">
        <v>2222</v>
      </c>
      <c r="O1073" s="6">
        <v>0</v>
      </c>
    </row>
    <row r="1074" spans="1:15">
      <c r="A1074" t="str">
        <f t="shared" si="48"/>
        <v>Mulsa Ori Gajah 0.3 50 cm X 9 kg (Roll)1/1/10000</v>
      </c>
      <c r="B1074" t="s">
        <v>10893</v>
      </c>
      <c r="C1074" t="s">
        <v>15456</v>
      </c>
      <c r="D1074" t="s">
        <v>12977</v>
      </c>
      <c r="E1074" t="s">
        <v>1404</v>
      </c>
      <c r="F1074">
        <v>1</v>
      </c>
      <c r="G1074">
        <v>1</v>
      </c>
      <c r="H1074">
        <v>1</v>
      </c>
      <c r="I1074">
        <v>1</v>
      </c>
      <c r="J1074">
        <v>85</v>
      </c>
      <c r="K1074">
        <f t="shared" si="49"/>
        <v>85</v>
      </c>
      <c r="L1074">
        <f t="shared" si="50"/>
        <v>0</v>
      </c>
      <c r="M1074">
        <v>85</v>
      </c>
      <c r="N1074" s="3" t="s">
        <v>2222</v>
      </c>
      <c r="O1074" s="6">
        <v>0</v>
      </c>
    </row>
    <row r="1075" spans="1:15">
      <c r="A1075" t="str">
        <f t="shared" si="48"/>
        <v>Mulsa Ori Gajah 0.3 60 cm X 18 kg (Roll)1/1/10000</v>
      </c>
      <c r="B1075" t="s">
        <v>10894</v>
      </c>
      <c r="C1075" t="s">
        <v>15457</v>
      </c>
      <c r="D1075" t="s">
        <v>12978</v>
      </c>
      <c r="E1075" t="s">
        <v>1406</v>
      </c>
      <c r="F1075">
        <v>1</v>
      </c>
      <c r="G1075">
        <v>1</v>
      </c>
      <c r="H1075">
        <v>1</v>
      </c>
      <c r="I1075">
        <v>1</v>
      </c>
      <c r="J1075">
        <v>136</v>
      </c>
      <c r="K1075">
        <f t="shared" si="49"/>
        <v>136</v>
      </c>
      <c r="L1075">
        <f t="shared" si="50"/>
        <v>0</v>
      </c>
      <c r="M1075">
        <v>136</v>
      </c>
      <c r="N1075" s="3" t="s">
        <v>2222</v>
      </c>
      <c r="O1075" s="6">
        <v>0</v>
      </c>
    </row>
    <row r="1076" spans="1:15">
      <c r="A1076" t="str">
        <f t="shared" si="48"/>
        <v>Mulsa Ori Gajah 0.3 60 cm X 18 kg (Roll) Sample1/1/10000</v>
      </c>
      <c r="B1076" t="s">
        <v>10895</v>
      </c>
      <c r="C1076" t="s">
        <v>15458</v>
      </c>
      <c r="D1076" t="s">
        <v>12979</v>
      </c>
      <c r="E1076" t="s">
        <v>1405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f t="shared" si="49"/>
        <v>1</v>
      </c>
      <c r="L1076">
        <f t="shared" si="50"/>
        <v>0</v>
      </c>
      <c r="M1076">
        <v>1</v>
      </c>
      <c r="N1076" s="3" t="s">
        <v>2222</v>
      </c>
      <c r="O1076" s="6">
        <v>0</v>
      </c>
    </row>
    <row r="1077" spans="1:15">
      <c r="A1077" t="str">
        <f t="shared" si="48"/>
        <v>Mulsa Ori Gajah 0.3 60 cm X 9 kg (Roll)1/1/10000</v>
      </c>
      <c r="B1077" t="s">
        <v>10896</v>
      </c>
      <c r="C1077" t="s">
        <v>15459</v>
      </c>
      <c r="D1077" t="s">
        <v>12980</v>
      </c>
      <c r="E1077" t="s">
        <v>1408</v>
      </c>
      <c r="F1077">
        <v>1</v>
      </c>
      <c r="G1077">
        <v>1</v>
      </c>
      <c r="H1077">
        <v>1</v>
      </c>
      <c r="I1077">
        <v>1</v>
      </c>
      <c r="J1077">
        <v>146</v>
      </c>
      <c r="K1077">
        <f t="shared" si="49"/>
        <v>146</v>
      </c>
      <c r="L1077">
        <f t="shared" si="50"/>
        <v>0</v>
      </c>
      <c r="M1077">
        <v>146</v>
      </c>
      <c r="N1077" s="3" t="s">
        <v>2222</v>
      </c>
      <c r="O1077" s="6">
        <v>0</v>
      </c>
    </row>
    <row r="1078" spans="1:15">
      <c r="A1078" t="str">
        <f t="shared" si="48"/>
        <v>Mulsa Ori Gajah 0.3 60 cm X 9 kg (Roll) Sample1/1/10000</v>
      </c>
      <c r="B1078" t="s">
        <v>10897</v>
      </c>
      <c r="C1078" t="s">
        <v>15460</v>
      </c>
      <c r="D1078" t="s">
        <v>12981</v>
      </c>
      <c r="E1078" t="s">
        <v>1407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f t="shared" si="49"/>
        <v>1</v>
      </c>
      <c r="L1078">
        <f t="shared" si="50"/>
        <v>0</v>
      </c>
      <c r="M1078">
        <v>1</v>
      </c>
      <c r="N1078" s="3" t="s">
        <v>2222</v>
      </c>
      <c r="O1078" s="6">
        <v>0</v>
      </c>
    </row>
    <row r="1079" spans="1:15">
      <c r="A1079" t="str">
        <f t="shared" si="48"/>
        <v>Mulsa Ori Gajah 0.3 70 cm X 18 kg (Roll)1/1/10000</v>
      </c>
      <c r="B1079" t="s">
        <v>10898</v>
      </c>
      <c r="C1079" t="s">
        <v>15461</v>
      </c>
      <c r="D1079" t="s">
        <v>12982</v>
      </c>
      <c r="E1079" t="s">
        <v>1409</v>
      </c>
      <c r="F1079">
        <v>1</v>
      </c>
      <c r="G1079">
        <v>1</v>
      </c>
      <c r="H1079">
        <v>1</v>
      </c>
      <c r="I1079">
        <v>1</v>
      </c>
      <c r="J1079">
        <v>44</v>
      </c>
      <c r="K1079">
        <f t="shared" si="49"/>
        <v>44</v>
      </c>
      <c r="L1079">
        <f t="shared" si="50"/>
        <v>0</v>
      </c>
      <c r="M1079">
        <v>44</v>
      </c>
      <c r="N1079" s="3" t="s">
        <v>2222</v>
      </c>
      <c r="O1079" s="6">
        <v>0</v>
      </c>
    </row>
    <row r="1080" spans="1:15">
      <c r="A1080" t="str">
        <f t="shared" si="48"/>
        <v>Mulsa Ori Gajah 0.3 70 cm X 9 kg (Roll)1/1/10000</v>
      </c>
      <c r="B1080" t="s">
        <v>10899</v>
      </c>
      <c r="C1080" t="s">
        <v>15462</v>
      </c>
      <c r="D1080" t="s">
        <v>12983</v>
      </c>
      <c r="E1080" t="s">
        <v>1410</v>
      </c>
      <c r="F1080">
        <v>1</v>
      </c>
      <c r="G1080">
        <v>1</v>
      </c>
      <c r="H1080">
        <v>1</v>
      </c>
      <c r="I1080">
        <v>1</v>
      </c>
      <c r="J1080">
        <v>17</v>
      </c>
      <c r="K1080">
        <f t="shared" si="49"/>
        <v>17</v>
      </c>
      <c r="L1080">
        <f t="shared" si="50"/>
        <v>0</v>
      </c>
      <c r="M1080">
        <v>17</v>
      </c>
      <c r="N1080" s="3" t="s">
        <v>2222</v>
      </c>
      <c r="O1080" s="6">
        <v>0</v>
      </c>
    </row>
    <row r="1081" spans="1:15">
      <c r="A1081" t="str">
        <f t="shared" si="48"/>
        <v>Mulsa Ori Universal 0.25 50 cm X 18 kg (Roll)1/1/10000</v>
      </c>
      <c r="B1081" t="s">
        <v>10900</v>
      </c>
      <c r="C1081" t="s">
        <v>15463</v>
      </c>
      <c r="D1081" t="s">
        <v>12984</v>
      </c>
      <c r="E1081" t="s">
        <v>1411</v>
      </c>
      <c r="F1081">
        <v>1</v>
      </c>
      <c r="G1081">
        <v>1</v>
      </c>
      <c r="H1081">
        <v>1</v>
      </c>
      <c r="I1081">
        <v>1</v>
      </c>
      <c r="J1081">
        <v>159</v>
      </c>
      <c r="K1081">
        <f t="shared" si="49"/>
        <v>159</v>
      </c>
      <c r="L1081">
        <f t="shared" si="50"/>
        <v>0</v>
      </c>
      <c r="M1081">
        <v>159</v>
      </c>
      <c r="N1081" s="3" t="s">
        <v>2222</v>
      </c>
      <c r="O1081" s="6">
        <v>0</v>
      </c>
    </row>
    <row r="1082" spans="1:15">
      <c r="A1082" t="str">
        <f t="shared" si="48"/>
        <v>Mulsa Ori Universal 0.25 50 cm X 9 kg (Roll)1/1/10000</v>
      </c>
      <c r="B1082" t="s">
        <v>10901</v>
      </c>
      <c r="C1082" t="s">
        <v>15464</v>
      </c>
      <c r="D1082" t="s">
        <v>12985</v>
      </c>
      <c r="E1082" t="s">
        <v>1412</v>
      </c>
      <c r="F1082">
        <v>1</v>
      </c>
      <c r="G1082">
        <v>1</v>
      </c>
      <c r="H1082">
        <v>1</v>
      </c>
      <c r="I1082">
        <v>1</v>
      </c>
      <c r="J1082">
        <v>148</v>
      </c>
      <c r="K1082">
        <f t="shared" si="49"/>
        <v>148</v>
      </c>
      <c r="L1082">
        <f t="shared" si="50"/>
        <v>0</v>
      </c>
      <c r="M1082">
        <v>148</v>
      </c>
      <c r="N1082" s="3" t="s">
        <v>2222</v>
      </c>
      <c r="O1082" s="6">
        <v>0</v>
      </c>
    </row>
    <row r="1083" spans="1:15">
      <c r="A1083" t="str">
        <f t="shared" si="48"/>
        <v>Mulsa Ori Universal 0.25 60 cm X 18 kg (Roll)1/1/10000</v>
      </c>
      <c r="B1083" t="s">
        <v>10902</v>
      </c>
      <c r="C1083" t="s">
        <v>15465</v>
      </c>
      <c r="D1083" t="s">
        <v>12986</v>
      </c>
      <c r="E1083" t="s">
        <v>1414</v>
      </c>
      <c r="F1083">
        <v>1</v>
      </c>
      <c r="G1083">
        <v>1</v>
      </c>
      <c r="H1083">
        <v>1</v>
      </c>
      <c r="I1083">
        <v>1</v>
      </c>
      <c r="J1083">
        <v>135</v>
      </c>
      <c r="K1083">
        <f t="shared" si="49"/>
        <v>135</v>
      </c>
      <c r="L1083">
        <f t="shared" si="50"/>
        <v>0</v>
      </c>
      <c r="M1083">
        <v>135</v>
      </c>
      <c r="N1083" s="3" t="s">
        <v>2222</v>
      </c>
      <c r="O1083" s="6">
        <v>0</v>
      </c>
    </row>
    <row r="1084" spans="1:15">
      <c r="A1084" t="str">
        <f t="shared" si="48"/>
        <v>Mulsa Ori Universal 0.25 60 cm X 18 kg (Roll) Sample1/1/10000</v>
      </c>
      <c r="B1084" t="s">
        <v>10903</v>
      </c>
      <c r="C1084" t="s">
        <v>15466</v>
      </c>
      <c r="D1084" t="s">
        <v>12987</v>
      </c>
      <c r="E1084" t="s">
        <v>1413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f t="shared" si="49"/>
        <v>1</v>
      </c>
      <c r="L1084">
        <f t="shared" si="50"/>
        <v>0</v>
      </c>
      <c r="M1084">
        <v>1</v>
      </c>
      <c r="N1084" s="3" t="s">
        <v>2222</v>
      </c>
      <c r="O1084" s="6">
        <v>0</v>
      </c>
    </row>
    <row r="1085" spans="1:15">
      <c r="A1085" t="str">
        <f t="shared" si="48"/>
        <v>Mulsa Ori Universal 0.25 60 cm X 9 kg (Roll)1/1/10000</v>
      </c>
      <c r="B1085" t="s">
        <v>10904</v>
      </c>
      <c r="C1085" t="s">
        <v>15467</v>
      </c>
      <c r="D1085" t="s">
        <v>12988</v>
      </c>
      <c r="E1085" t="s">
        <v>1416</v>
      </c>
      <c r="F1085">
        <v>1</v>
      </c>
      <c r="G1085">
        <v>1</v>
      </c>
      <c r="H1085">
        <v>1</v>
      </c>
      <c r="I1085">
        <v>1</v>
      </c>
      <c r="J1085">
        <v>182</v>
      </c>
      <c r="K1085">
        <f t="shared" si="49"/>
        <v>182</v>
      </c>
      <c r="L1085">
        <f t="shared" si="50"/>
        <v>0</v>
      </c>
      <c r="M1085">
        <v>182</v>
      </c>
      <c r="N1085" s="3" t="s">
        <v>2222</v>
      </c>
      <c r="O1085" s="6">
        <v>0</v>
      </c>
    </row>
    <row r="1086" spans="1:15">
      <c r="A1086" t="str">
        <f t="shared" si="48"/>
        <v>Mulsa Ori Universal 0.25 60 cm X 9 kg (Roll) Sample1/1/10000</v>
      </c>
      <c r="B1086" t="s">
        <v>10905</v>
      </c>
      <c r="C1086" t="s">
        <v>15468</v>
      </c>
      <c r="D1086" t="s">
        <v>12989</v>
      </c>
      <c r="E1086" t="s">
        <v>1415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f t="shared" si="49"/>
        <v>1</v>
      </c>
      <c r="L1086">
        <f t="shared" si="50"/>
        <v>0</v>
      </c>
      <c r="M1086">
        <v>1</v>
      </c>
      <c r="N1086" s="3" t="s">
        <v>2222</v>
      </c>
      <c r="O1086" s="6">
        <v>0</v>
      </c>
    </row>
    <row r="1087" spans="1:15">
      <c r="A1087" t="str">
        <f t="shared" si="48"/>
        <v>Mulsa Ori Universal 0.25 70 cm X 18 kg (Roll)1/1/10000</v>
      </c>
      <c r="B1087" t="s">
        <v>10906</v>
      </c>
      <c r="C1087" t="s">
        <v>15469</v>
      </c>
      <c r="D1087" t="s">
        <v>12990</v>
      </c>
      <c r="E1087" t="s">
        <v>1417</v>
      </c>
      <c r="F1087">
        <v>1</v>
      </c>
      <c r="G1087">
        <v>1</v>
      </c>
      <c r="H1087">
        <v>1</v>
      </c>
      <c r="I1087">
        <v>1</v>
      </c>
      <c r="J1087">
        <v>41</v>
      </c>
      <c r="K1087">
        <f t="shared" si="49"/>
        <v>41</v>
      </c>
      <c r="L1087">
        <f t="shared" si="50"/>
        <v>0</v>
      </c>
      <c r="M1087">
        <v>41</v>
      </c>
      <c r="N1087" s="3" t="s">
        <v>2222</v>
      </c>
      <c r="O1087" s="6">
        <v>0</v>
      </c>
    </row>
    <row r="1088" spans="1:15">
      <c r="A1088" t="str">
        <f t="shared" si="48"/>
        <v>Mulsa Ori Universal 0.25 70 cm X 9 kg (Roll)1/1/10000</v>
      </c>
      <c r="B1088" t="s">
        <v>10907</v>
      </c>
      <c r="C1088" t="s">
        <v>15470</v>
      </c>
      <c r="D1088" t="s">
        <v>12991</v>
      </c>
      <c r="E1088" t="s">
        <v>1418</v>
      </c>
      <c r="F1088">
        <v>1</v>
      </c>
      <c r="G1088">
        <v>1</v>
      </c>
      <c r="H1088">
        <v>1</v>
      </c>
      <c r="I1088">
        <v>1</v>
      </c>
      <c r="J1088">
        <v>22</v>
      </c>
      <c r="K1088">
        <f t="shared" si="49"/>
        <v>22</v>
      </c>
      <c r="L1088">
        <f t="shared" si="50"/>
        <v>0</v>
      </c>
      <c r="M1088">
        <v>22</v>
      </c>
      <c r="N1088" s="3" t="s">
        <v>2222</v>
      </c>
      <c r="O1088" s="6">
        <v>0</v>
      </c>
    </row>
    <row r="1089" spans="1:15">
      <c r="A1089" t="str">
        <f t="shared" si="48"/>
        <v>Mulsa Petani Sejati 60 cm X 9 kg (Roll)1/1/10000</v>
      </c>
      <c r="B1089" t="s">
        <v>10908</v>
      </c>
      <c r="C1089" t="s">
        <v>15471</v>
      </c>
      <c r="D1089" t="s">
        <v>12992</v>
      </c>
      <c r="E1089" t="s">
        <v>1419</v>
      </c>
      <c r="F1089">
        <v>1</v>
      </c>
      <c r="G1089">
        <v>1</v>
      </c>
      <c r="H1089">
        <v>1</v>
      </c>
      <c r="I1089">
        <v>1</v>
      </c>
      <c r="J1089">
        <v>25</v>
      </c>
      <c r="K1089">
        <f t="shared" si="49"/>
        <v>25</v>
      </c>
      <c r="L1089">
        <f t="shared" si="50"/>
        <v>0</v>
      </c>
      <c r="M1089">
        <v>25</v>
      </c>
      <c r="N1089" s="3" t="s">
        <v>2222</v>
      </c>
      <c r="O1089" s="6">
        <v>0</v>
      </c>
    </row>
    <row r="1090" spans="1:15">
      <c r="A1090" t="str">
        <f t="shared" si="48"/>
        <v>Mulsa Petani Sejati 70 cm X 18 kg (Roll)1/1/10000</v>
      </c>
      <c r="B1090" t="s">
        <v>10909</v>
      </c>
      <c r="C1090" t="s">
        <v>15472</v>
      </c>
      <c r="D1090" t="s">
        <v>12993</v>
      </c>
      <c r="E1090" t="s">
        <v>1420</v>
      </c>
      <c r="F1090">
        <v>1</v>
      </c>
      <c r="G1090">
        <v>1</v>
      </c>
      <c r="H1090">
        <v>1</v>
      </c>
      <c r="I1090">
        <v>1</v>
      </c>
      <c r="J1090">
        <v>10</v>
      </c>
      <c r="K1090">
        <f t="shared" si="49"/>
        <v>10</v>
      </c>
      <c r="L1090">
        <f t="shared" si="50"/>
        <v>0</v>
      </c>
      <c r="M1090">
        <v>10</v>
      </c>
      <c r="N1090" s="3" t="s">
        <v>2222</v>
      </c>
      <c r="O1090" s="6">
        <v>0</v>
      </c>
    </row>
    <row r="1091" spans="1:15">
      <c r="A1091" t="str">
        <f t="shared" ref="A1091:A1154" si="51">E1091&amp;N1091&amp;O1091</f>
        <v>Mulsa Sadewa Kuning 50 cm X 18 kg (Roll)1/1/10000</v>
      </c>
      <c r="B1091" t="s">
        <v>10910</v>
      </c>
      <c r="C1091" t="s">
        <v>15473</v>
      </c>
      <c r="D1091" t="s">
        <v>12994</v>
      </c>
      <c r="E1091" t="s">
        <v>1421</v>
      </c>
      <c r="F1091">
        <v>1</v>
      </c>
      <c r="G1091">
        <v>1</v>
      </c>
      <c r="H1091">
        <v>1</v>
      </c>
      <c r="I1091">
        <v>1</v>
      </c>
      <c r="J1091">
        <v>6</v>
      </c>
      <c r="K1091">
        <f t="shared" ref="K1091:K1154" si="52">ROUNDDOWN(J1091/I1091,0)</f>
        <v>6</v>
      </c>
      <c r="L1091">
        <f t="shared" ref="L1091:L1154" si="53">J1091-K1091*I1091</f>
        <v>0</v>
      </c>
      <c r="M1091">
        <v>6</v>
      </c>
      <c r="N1091" s="3" t="s">
        <v>2222</v>
      </c>
      <c r="O1091" s="6">
        <v>0</v>
      </c>
    </row>
    <row r="1092" spans="1:15">
      <c r="A1092" t="str">
        <f t="shared" si="51"/>
        <v>Mulsa Sadewa Kuning 50 cm X 9 kg (Roll)1/1/10000</v>
      </c>
      <c r="B1092" t="s">
        <v>10911</v>
      </c>
      <c r="C1092" t="s">
        <v>15474</v>
      </c>
      <c r="D1092" t="s">
        <v>12995</v>
      </c>
      <c r="E1092" t="s">
        <v>1422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f t="shared" si="52"/>
        <v>1</v>
      </c>
      <c r="L1092">
        <f t="shared" si="53"/>
        <v>0</v>
      </c>
      <c r="M1092">
        <v>1</v>
      </c>
      <c r="N1092" s="3" t="s">
        <v>2222</v>
      </c>
      <c r="O1092" s="6">
        <v>0</v>
      </c>
    </row>
    <row r="1093" spans="1:15">
      <c r="A1093" t="str">
        <f t="shared" si="51"/>
        <v>Mulsa Sadewa Kuning 60 cm X 18 kg (Roll)1/1/10000</v>
      </c>
      <c r="B1093" t="s">
        <v>10912</v>
      </c>
      <c r="C1093" t="s">
        <v>15475</v>
      </c>
      <c r="D1093" t="s">
        <v>12996</v>
      </c>
      <c r="E1093" t="s">
        <v>1423</v>
      </c>
      <c r="F1093">
        <v>1</v>
      </c>
      <c r="G1093">
        <v>1</v>
      </c>
      <c r="H1093">
        <v>1</v>
      </c>
      <c r="I1093">
        <v>1</v>
      </c>
      <c r="J1093">
        <v>30</v>
      </c>
      <c r="K1093">
        <f t="shared" si="52"/>
        <v>30</v>
      </c>
      <c r="L1093">
        <f t="shared" si="53"/>
        <v>0</v>
      </c>
      <c r="M1093">
        <v>30</v>
      </c>
      <c r="N1093" s="3" t="s">
        <v>2222</v>
      </c>
      <c r="O1093" s="6">
        <v>0</v>
      </c>
    </row>
    <row r="1094" spans="1:15">
      <c r="A1094" t="str">
        <f t="shared" si="51"/>
        <v>Mulsa Sadewa Kuning 60 cm X 9 kg (Roll)1/1/10000</v>
      </c>
      <c r="B1094" t="s">
        <v>10913</v>
      </c>
      <c r="C1094" t="s">
        <v>15476</v>
      </c>
      <c r="D1094" t="s">
        <v>12997</v>
      </c>
      <c r="E1094" t="s">
        <v>1424</v>
      </c>
      <c r="F1094">
        <v>1</v>
      </c>
      <c r="G1094">
        <v>1</v>
      </c>
      <c r="H1094">
        <v>1</v>
      </c>
      <c r="I1094">
        <v>1</v>
      </c>
      <c r="J1094">
        <v>5</v>
      </c>
      <c r="K1094">
        <f t="shared" si="52"/>
        <v>5</v>
      </c>
      <c r="L1094">
        <f t="shared" si="53"/>
        <v>0</v>
      </c>
      <c r="M1094">
        <v>5</v>
      </c>
      <c r="N1094" s="3" t="s">
        <v>2222</v>
      </c>
      <c r="O1094" s="6">
        <v>0</v>
      </c>
    </row>
    <row r="1095" spans="1:15">
      <c r="A1095" t="str">
        <f t="shared" si="51"/>
        <v>Mur YT 5L1/1/10000</v>
      </c>
      <c r="B1095" t="s">
        <v>10914</v>
      </c>
      <c r="C1095" t="s">
        <v>15477</v>
      </c>
      <c r="D1095" t="s">
        <v>12998</v>
      </c>
      <c r="E1095" t="s">
        <v>1425</v>
      </c>
      <c r="F1095">
        <v>1</v>
      </c>
      <c r="G1095">
        <v>1</v>
      </c>
      <c r="H1095">
        <v>1</v>
      </c>
      <c r="I1095">
        <v>1</v>
      </c>
      <c r="J1095">
        <v>40</v>
      </c>
      <c r="K1095">
        <f t="shared" si="52"/>
        <v>40</v>
      </c>
      <c r="L1095">
        <f t="shared" si="53"/>
        <v>0</v>
      </c>
      <c r="M1095">
        <v>40</v>
      </c>
      <c r="N1095" s="3" t="s">
        <v>2222</v>
      </c>
      <c r="O1095" s="6">
        <v>0</v>
      </c>
    </row>
    <row r="1096" spans="1:15">
      <c r="A1096" t="str">
        <f t="shared" si="51"/>
        <v>Mutual 25/25 WP 100 X 100 gr468130</v>
      </c>
      <c r="B1096" t="s">
        <v>10915</v>
      </c>
      <c r="C1096" t="s">
        <v>15478</v>
      </c>
      <c r="D1096" t="s">
        <v>12999</v>
      </c>
      <c r="E1096" t="s">
        <v>1426</v>
      </c>
      <c r="F1096">
        <v>100</v>
      </c>
      <c r="G1096">
        <v>1</v>
      </c>
      <c r="H1096">
        <v>1</v>
      </c>
      <c r="I1096">
        <v>100</v>
      </c>
      <c r="J1096">
        <v>1536</v>
      </c>
      <c r="K1096">
        <f t="shared" si="52"/>
        <v>15</v>
      </c>
      <c r="L1096">
        <f t="shared" si="53"/>
        <v>36</v>
      </c>
      <c r="M1096">
        <v>1536</v>
      </c>
      <c r="N1096" s="3">
        <v>46813</v>
      </c>
      <c r="O1096" s="6">
        <v>0</v>
      </c>
    </row>
    <row r="1097" spans="1:15">
      <c r="A1097" t="str">
        <f t="shared" si="51"/>
        <v>Nativo 75 WG 16 X 20 X 12.5 gr459010</v>
      </c>
      <c r="B1097" t="s">
        <v>10916</v>
      </c>
      <c r="C1097" t="s">
        <v>15479</v>
      </c>
      <c r="D1097" t="s">
        <v>13000</v>
      </c>
      <c r="E1097" t="s">
        <v>1428</v>
      </c>
      <c r="F1097">
        <v>16</v>
      </c>
      <c r="G1097">
        <v>20</v>
      </c>
      <c r="H1097">
        <v>1</v>
      </c>
      <c r="I1097">
        <v>320</v>
      </c>
      <c r="J1097">
        <v>160</v>
      </c>
      <c r="K1097">
        <f t="shared" si="52"/>
        <v>0</v>
      </c>
      <c r="L1097">
        <f t="shared" si="53"/>
        <v>160</v>
      </c>
      <c r="M1097">
        <v>160</v>
      </c>
      <c r="N1097" s="3">
        <v>45901</v>
      </c>
      <c r="O1097" s="6">
        <v>0</v>
      </c>
    </row>
    <row r="1098" spans="1:15">
      <c r="A1098" t="str">
        <f t="shared" si="51"/>
        <v>Nativo 75 WG 16 X 20 X 12.5 gr459620</v>
      </c>
      <c r="B1098" t="s">
        <v>10917</v>
      </c>
      <c r="C1098" t="s">
        <v>15480</v>
      </c>
      <c r="D1098" t="s">
        <v>13001</v>
      </c>
      <c r="E1098" t="s">
        <v>1428</v>
      </c>
      <c r="F1098">
        <v>16</v>
      </c>
      <c r="G1098">
        <v>20</v>
      </c>
      <c r="H1098">
        <v>1</v>
      </c>
      <c r="I1098">
        <v>320</v>
      </c>
      <c r="J1098">
        <v>23040</v>
      </c>
      <c r="K1098">
        <f t="shared" si="52"/>
        <v>72</v>
      </c>
      <c r="L1098">
        <f t="shared" si="53"/>
        <v>0</v>
      </c>
      <c r="M1098">
        <v>23040</v>
      </c>
      <c r="N1098" s="3">
        <v>45962</v>
      </c>
      <c r="O1098" s="6">
        <v>0</v>
      </c>
    </row>
    <row r="1099" spans="1:15">
      <c r="A1099" t="str">
        <f t="shared" si="51"/>
        <v>Nativo 75 WG 50 X 2 X 50 gr460820</v>
      </c>
      <c r="B1099" t="s">
        <v>10918</v>
      </c>
      <c r="C1099" t="s">
        <v>15481</v>
      </c>
      <c r="D1099" t="s">
        <v>13002</v>
      </c>
      <c r="E1099" t="s">
        <v>1431</v>
      </c>
      <c r="F1099">
        <v>50</v>
      </c>
      <c r="G1099">
        <v>2</v>
      </c>
      <c r="H1099">
        <v>1</v>
      </c>
      <c r="I1099">
        <v>100</v>
      </c>
      <c r="J1099">
        <v>73</v>
      </c>
      <c r="K1099">
        <f t="shared" si="52"/>
        <v>0</v>
      </c>
      <c r="L1099">
        <f t="shared" si="53"/>
        <v>73</v>
      </c>
      <c r="M1099">
        <v>73</v>
      </c>
      <c r="N1099" s="3">
        <v>46082</v>
      </c>
      <c r="O1099" s="6">
        <v>0</v>
      </c>
    </row>
    <row r="1100" spans="1:15">
      <c r="A1100" t="str">
        <f t="shared" si="51"/>
        <v>Nemaguard 10 GR 10 X 1 kg468440</v>
      </c>
      <c r="B1100" t="s">
        <v>10919</v>
      </c>
      <c r="C1100" t="s">
        <v>15482</v>
      </c>
      <c r="D1100" t="s">
        <v>13003</v>
      </c>
      <c r="E1100" t="s">
        <v>1433</v>
      </c>
      <c r="F1100">
        <v>10</v>
      </c>
      <c r="G1100">
        <v>1</v>
      </c>
      <c r="H1100">
        <v>1</v>
      </c>
      <c r="I1100">
        <v>10</v>
      </c>
      <c r="J1100">
        <v>7</v>
      </c>
      <c r="K1100">
        <f t="shared" si="52"/>
        <v>0</v>
      </c>
      <c r="L1100">
        <f t="shared" si="53"/>
        <v>7</v>
      </c>
      <c r="M1100">
        <v>7</v>
      </c>
      <c r="N1100" s="3">
        <v>46844</v>
      </c>
      <c r="O1100" s="6">
        <v>0</v>
      </c>
    </row>
    <row r="1101" spans="1:15">
      <c r="A1101" t="str">
        <f t="shared" si="51"/>
        <v>Nemaguard 10 GR 10 X 1 kg469050</v>
      </c>
      <c r="B1101" t="s">
        <v>10920</v>
      </c>
      <c r="C1101" t="s">
        <v>15483</v>
      </c>
      <c r="D1101" t="s">
        <v>13004</v>
      </c>
      <c r="E1101" t="s">
        <v>1433</v>
      </c>
      <c r="F1101">
        <v>10</v>
      </c>
      <c r="G1101">
        <v>1</v>
      </c>
      <c r="H1101">
        <v>1</v>
      </c>
      <c r="I1101">
        <v>10</v>
      </c>
      <c r="J1101">
        <v>390</v>
      </c>
      <c r="K1101">
        <f t="shared" si="52"/>
        <v>39</v>
      </c>
      <c r="L1101">
        <f t="shared" si="53"/>
        <v>0</v>
      </c>
      <c r="M1101">
        <v>390</v>
      </c>
      <c r="N1101" s="3">
        <v>46905</v>
      </c>
      <c r="O1101" s="6">
        <v>0</v>
      </c>
    </row>
    <row r="1102" spans="1:15">
      <c r="A1102" t="str">
        <f t="shared" si="51"/>
        <v>Nemaguard 10 GR 20 X 500 gr467530</v>
      </c>
      <c r="B1102" t="s">
        <v>10921</v>
      </c>
      <c r="C1102" t="s">
        <v>15484</v>
      </c>
      <c r="D1102" t="s">
        <v>13005</v>
      </c>
      <c r="E1102" t="s">
        <v>1434</v>
      </c>
      <c r="F1102">
        <v>20</v>
      </c>
      <c r="G1102">
        <v>1</v>
      </c>
      <c r="H1102">
        <v>1</v>
      </c>
      <c r="I1102">
        <v>20</v>
      </c>
      <c r="J1102">
        <v>15</v>
      </c>
      <c r="K1102">
        <f t="shared" si="52"/>
        <v>0</v>
      </c>
      <c r="L1102">
        <f t="shared" si="53"/>
        <v>15</v>
      </c>
      <c r="M1102">
        <v>15</v>
      </c>
      <c r="N1102" s="3">
        <v>46753</v>
      </c>
      <c r="O1102" s="6">
        <v>0</v>
      </c>
    </row>
    <row r="1103" spans="1:15">
      <c r="A1103" t="str">
        <f t="shared" si="51"/>
        <v>Nemaguard 10 GR 20 X 500 gr468440</v>
      </c>
      <c r="B1103" t="s">
        <v>10922</v>
      </c>
      <c r="C1103" t="s">
        <v>15485</v>
      </c>
      <c r="D1103" t="s">
        <v>13006</v>
      </c>
      <c r="E1103" t="s">
        <v>1434</v>
      </c>
      <c r="F1103">
        <v>20</v>
      </c>
      <c r="G1103">
        <v>1</v>
      </c>
      <c r="H1103">
        <v>1</v>
      </c>
      <c r="I1103">
        <v>20</v>
      </c>
      <c r="J1103">
        <v>760</v>
      </c>
      <c r="K1103">
        <f t="shared" si="52"/>
        <v>38</v>
      </c>
      <c r="L1103">
        <f t="shared" si="53"/>
        <v>0</v>
      </c>
      <c r="M1103">
        <v>760</v>
      </c>
      <c r="N1103" s="3">
        <v>46844</v>
      </c>
      <c r="O1103" s="6">
        <v>0</v>
      </c>
    </row>
    <row r="1104" spans="1:15">
      <c r="A1104" t="str">
        <f t="shared" si="51"/>
        <v>Neo Foxs 200 EC 12 X 800 ml464470</v>
      </c>
      <c r="B1104" t="s">
        <v>10923</v>
      </c>
      <c r="C1104" t="s">
        <v>15486</v>
      </c>
      <c r="D1104" t="s">
        <v>13007</v>
      </c>
      <c r="E1104" t="s">
        <v>1435</v>
      </c>
      <c r="F1104">
        <v>12</v>
      </c>
      <c r="G1104">
        <v>1</v>
      </c>
      <c r="H1104">
        <v>1</v>
      </c>
      <c r="I1104">
        <v>12</v>
      </c>
      <c r="J1104">
        <v>120</v>
      </c>
      <c r="K1104">
        <f t="shared" si="52"/>
        <v>10</v>
      </c>
      <c r="L1104">
        <f t="shared" si="53"/>
        <v>0</v>
      </c>
      <c r="M1104">
        <v>120</v>
      </c>
      <c r="N1104" s="3">
        <v>46447</v>
      </c>
      <c r="O1104" s="6">
        <v>0</v>
      </c>
    </row>
    <row r="1105" spans="1:15">
      <c r="A1105" t="str">
        <f t="shared" si="51"/>
        <v>Neocron 80 OL 15 X 1 ltr470270</v>
      </c>
      <c r="B1105" t="s">
        <v>10924</v>
      </c>
      <c r="C1105" t="s">
        <v>15487</v>
      </c>
      <c r="D1105" t="s">
        <v>13008</v>
      </c>
      <c r="E1105" t="s">
        <v>1436</v>
      </c>
      <c r="F1105">
        <v>15</v>
      </c>
      <c r="G1105">
        <v>1</v>
      </c>
      <c r="H1105">
        <v>1</v>
      </c>
      <c r="I1105">
        <v>15</v>
      </c>
      <c r="J1105">
        <v>693</v>
      </c>
      <c r="K1105">
        <f t="shared" si="52"/>
        <v>46</v>
      </c>
      <c r="L1105">
        <f t="shared" si="53"/>
        <v>3</v>
      </c>
      <c r="M1105">
        <v>693</v>
      </c>
      <c r="N1105" s="3">
        <v>47027</v>
      </c>
      <c r="O1105" s="6">
        <v>0</v>
      </c>
    </row>
    <row r="1106" spans="1:15">
      <c r="A1106" t="str">
        <f t="shared" si="51"/>
        <v>Neocron 80 OL 15 X 1 ltr470580</v>
      </c>
      <c r="B1106" t="s">
        <v>10925</v>
      </c>
      <c r="C1106" t="s">
        <v>15488</v>
      </c>
      <c r="D1106" t="s">
        <v>13009</v>
      </c>
      <c r="E1106" t="s">
        <v>1436</v>
      </c>
      <c r="F1106">
        <v>15</v>
      </c>
      <c r="G1106">
        <v>1</v>
      </c>
      <c r="H1106">
        <v>1</v>
      </c>
      <c r="I1106">
        <v>15</v>
      </c>
      <c r="J1106">
        <v>5250</v>
      </c>
      <c r="K1106">
        <f t="shared" si="52"/>
        <v>350</v>
      </c>
      <c r="L1106">
        <f t="shared" si="53"/>
        <v>0</v>
      </c>
      <c r="M1106">
        <v>5250</v>
      </c>
      <c r="N1106" s="3">
        <v>47058</v>
      </c>
      <c r="O1106" s="6">
        <v>0</v>
      </c>
    </row>
    <row r="1107" spans="1:15">
      <c r="A1107" t="str">
        <f t="shared" si="51"/>
        <v>Neocron 80 OL 20 X 250 ml469660</v>
      </c>
      <c r="B1107" t="s">
        <v>10926</v>
      </c>
      <c r="C1107" t="s">
        <v>15489</v>
      </c>
      <c r="D1107" t="s">
        <v>13010</v>
      </c>
      <c r="E1107" t="s">
        <v>1437</v>
      </c>
      <c r="F1107">
        <v>20</v>
      </c>
      <c r="G1107">
        <v>1</v>
      </c>
      <c r="H1107">
        <v>1</v>
      </c>
      <c r="I1107">
        <v>20</v>
      </c>
      <c r="J1107">
        <v>2</v>
      </c>
      <c r="K1107">
        <f t="shared" si="52"/>
        <v>0</v>
      </c>
      <c r="L1107">
        <f t="shared" si="53"/>
        <v>2</v>
      </c>
      <c r="M1107">
        <v>2</v>
      </c>
      <c r="N1107" s="3">
        <v>46966</v>
      </c>
      <c r="O1107" s="6">
        <v>0</v>
      </c>
    </row>
    <row r="1108" spans="1:15">
      <c r="A1108" t="str">
        <f t="shared" si="51"/>
        <v>Neocron 80 OL 20 X 250 ml472390</v>
      </c>
      <c r="B1108" t="s">
        <v>10927</v>
      </c>
      <c r="C1108" t="s">
        <v>15490</v>
      </c>
      <c r="D1108" t="s">
        <v>13011</v>
      </c>
      <c r="E1108" t="s">
        <v>1437</v>
      </c>
      <c r="F1108">
        <v>20</v>
      </c>
      <c r="G1108">
        <v>1</v>
      </c>
      <c r="H1108">
        <v>1</v>
      </c>
      <c r="I1108">
        <v>20</v>
      </c>
      <c r="J1108">
        <v>1126</v>
      </c>
      <c r="K1108">
        <f t="shared" si="52"/>
        <v>56</v>
      </c>
      <c r="L1108">
        <f t="shared" si="53"/>
        <v>6</v>
      </c>
      <c r="M1108">
        <v>1126</v>
      </c>
      <c r="N1108" s="3">
        <v>47239</v>
      </c>
      <c r="O1108" s="6">
        <v>0</v>
      </c>
    </row>
    <row r="1109" spans="1:15">
      <c r="A1109" t="str">
        <f t="shared" si="51"/>
        <v>Neocron 80 OL 20 X 500 ml468740</v>
      </c>
      <c r="B1109" t="s">
        <v>10928</v>
      </c>
      <c r="C1109" t="s">
        <v>15491</v>
      </c>
      <c r="D1109" t="s">
        <v>13012</v>
      </c>
      <c r="E1109" t="s">
        <v>1438</v>
      </c>
      <c r="F1109">
        <v>20</v>
      </c>
      <c r="G1109">
        <v>1</v>
      </c>
      <c r="H1109">
        <v>1</v>
      </c>
      <c r="I1109">
        <v>20</v>
      </c>
      <c r="J1109">
        <v>1</v>
      </c>
      <c r="K1109">
        <f t="shared" si="52"/>
        <v>0</v>
      </c>
      <c r="L1109">
        <f t="shared" si="53"/>
        <v>1</v>
      </c>
      <c r="M1109">
        <v>1</v>
      </c>
      <c r="N1109" s="3">
        <v>46874</v>
      </c>
      <c r="O1109" s="6">
        <v>0</v>
      </c>
    </row>
    <row r="1110" spans="1:15">
      <c r="A1110" t="str">
        <f t="shared" si="51"/>
        <v>Neocron 80 OL 20 X 500 ml468130</v>
      </c>
      <c r="B1110" t="s">
        <v>10929</v>
      </c>
      <c r="C1110" t="s">
        <v>15492</v>
      </c>
      <c r="D1110" t="s">
        <v>13013</v>
      </c>
      <c r="E1110" t="s">
        <v>1438</v>
      </c>
      <c r="F1110">
        <v>20</v>
      </c>
      <c r="G1110">
        <v>1</v>
      </c>
      <c r="H1110">
        <v>1</v>
      </c>
      <c r="I1110">
        <v>20</v>
      </c>
      <c r="J1110">
        <v>56</v>
      </c>
      <c r="K1110">
        <f t="shared" si="52"/>
        <v>2</v>
      </c>
      <c r="L1110">
        <f t="shared" si="53"/>
        <v>16</v>
      </c>
      <c r="M1110">
        <v>56</v>
      </c>
      <c r="N1110" s="3">
        <v>46813</v>
      </c>
      <c r="O1110" s="6">
        <v>0</v>
      </c>
    </row>
    <row r="1111" spans="1:15">
      <c r="A1111" t="str">
        <f t="shared" si="51"/>
        <v>Neocron 80 OL 20 X 500 ml472390</v>
      </c>
      <c r="B1111" t="s">
        <v>10930</v>
      </c>
      <c r="C1111" t="s">
        <v>15493</v>
      </c>
      <c r="D1111" t="s">
        <v>13014</v>
      </c>
      <c r="E1111" t="s">
        <v>1438</v>
      </c>
      <c r="F1111">
        <v>20</v>
      </c>
      <c r="G1111">
        <v>1</v>
      </c>
      <c r="H1111">
        <v>1</v>
      </c>
      <c r="I1111">
        <v>20</v>
      </c>
      <c r="J1111">
        <v>9800</v>
      </c>
      <c r="K1111">
        <f t="shared" si="52"/>
        <v>490</v>
      </c>
      <c r="L1111">
        <f t="shared" si="53"/>
        <v>0</v>
      </c>
      <c r="M1111">
        <v>9800</v>
      </c>
      <c r="N1111" s="3">
        <v>47239</v>
      </c>
      <c r="O1111" s="6">
        <v>0</v>
      </c>
    </row>
    <row r="1112" spans="1:15">
      <c r="A1112" t="str">
        <f t="shared" si="51"/>
        <v>Neocron 80 OL 20 X 500 ml472090</v>
      </c>
      <c r="B1112" t="s">
        <v>10931</v>
      </c>
      <c r="C1112" t="s">
        <v>15494</v>
      </c>
      <c r="D1112" t="s">
        <v>13015</v>
      </c>
      <c r="E1112" t="s">
        <v>1438</v>
      </c>
      <c r="F1112">
        <v>20</v>
      </c>
      <c r="G1112">
        <v>1</v>
      </c>
      <c r="H1112">
        <v>1</v>
      </c>
      <c r="I1112">
        <v>20</v>
      </c>
      <c r="J1112">
        <v>2460</v>
      </c>
      <c r="K1112">
        <f t="shared" si="52"/>
        <v>123</v>
      </c>
      <c r="L1112">
        <f t="shared" si="53"/>
        <v>0</v>
      </c>
      <c r="M1112">
        <v>2460</v>
      </c>
      <c r="N1112" s="3">
        <v>47209</v>
      </c>
      <c r="O1112" s="6">
        <v>0</v>
      </c>
    </row>
    <row r="1113" spans="1:15">
      <c r="A1113" t="str">
        <f t="shared" si="51"/>
        <v>Neoroot 16 X 250 gr458700</v>
      </c>
      <c r="B1113" t="s">
        <v>10932</v>
      </c>
      <c r="C1113" t="s">
        <v>15495</v>
      </c>
      <c r="D1113" t="s">
        <v>13016</v>
      </c>
      <c r="E1113" t="s">
        <v>1439</v>
      </c>
      <c r="F1113">
        <v>16</v>
      </c>
      <c r="G1113">
        <v>1</v>
      </c>
      <c r="H1113">
        <v>1</v>
      </c>
      <c r="I1113">
        <v>16</v>
      </c>
      <c r="J1113">
        <v>1004</v>
      </c>
      <c r="K1113">
        <f t="shared" si="52"/>
        <v>62</v>
      </c>
      <c r="L1113">
        <f t="shared" si="53"/>
        <v>12</v>
      </c>
      <c r="M1113">
        <v>1004</v>
      </c>
      <c r="N1113" s="3">
        <v>45870</v>
      </c>
      <c r="O1113" s="6">
        <v>0</v>
      </c>
    </row>
    <row r="1114" spans="1:15">
      <c r="A1114" t="str">
        <f t="shared" si="51"/>
        <v>Neoroot 16 X 250 gr (Sample)458700</v>
      </c>
      <c r="B1114" t="s">
        <v>10933</v>
      </c>
      <c r="C1114" t="s">
        <v>15496</v>
      </c>
      <c r="D1114" t="s">
        <v>13017</v>
      </c>
      <c r="E1114" t="s">
        <v>1441</v>
      </c>
      <c r="F1114">
        <v>16</v>
      </c>
      <c r="G1114">
        <v>1</v>
      </c>
      <c r="H1114">
        <v>1</v>
      </c>
      <c r="I1114">
        <v>16</v>
      </c>
      <c r="J1114">
        <v>2</v>
      </c>
      <c r="K1114">
        <f t="shared" si="52"/>
        <v>0</v>
      </c>
      <c r="L1114">
        <f t="shared" si="53"/>
        <v>2</v>
      </c>
      <c r="M1114">
        <v>2</v>
      </c>
      <c r="N1114" s="3">
        <v>45870</v>
      </c>
      <c r="O1114" s="6">
        <v>0</v>
      </c>
    </row>
    <row r="1115" spans="1:15">
      <c r="A1115" t="str">
        <f t="shared" si="51"/>
        <v>Neshoga 4 X 75 X 25 ml457170</v>
      </c>
      <c r="B1115" t="s">
        <v>10934</v>
      </c>
      <c r="C1115" t="s">
        <v>15497</v>
      </c>
      <c r="D1115" t="s">
        <v>13018</v>
      </c>
      <c r="E1115" t="s">
        <v>1443</v>
      </c>
      <c r="F1115">
        <v>4</v>
      </c>
      <c r="G1115">
        <v>75</v>
      </c>
      <c r="H1115">
        <v>1</v>
      </c>
      <c r="I1115">
        <v>300</v>
      </c>
      <c r="J1115">
        <v>200</v>
      </c>
      <c r="K1115">
        <f t="shared" si="52"/>
        <v>0</v>
      </c>
      <c r="L1115">
        <f t="shared" si="53"/>
        <v>200</v>
      </c>
      <c r="M1115">
        <v>200</v>
      </c>
      <c r="N1115" s="3">
        <v>45717</v>
      </c>
      <c r="O1115" s="6">
        <v>0</v>
      </c>
    </row>
    <row r="1116" spans="1:15">
      <c r="A1116" t="str">
        <f t="shared" si="51"/>
        <v>Neshoga 4 X 75 X 25 ml474530</v>
      </c>
      <c r="B1116" t="s">
        <v>10935</v>
      </c>
      <c r="C1116" t="s">
        <v>15498</v>
      </c>
      <c r="D1116" t="s">
        <v>13019</v>
      </c>
      <c r="E1116" t="s">
        <v>1443</v>
      </c>
      <c r="F1116">
        <v>4</v>
      </c>
      <c r="G1116">
        <v>75</v>
      </c>
      <c r="H1116">
        <v>1</v>
      </c>
      <c r="I1116">
        <v>300</v>
      </c>
      <c r="J1116">
        <v>3271</v>
      </c>
      <c r="K1116">
        <f t="shared" si="52"/>
        <v>10</v>
      </c>
      <c r="L1116">
        <f t="shared" si="53"/>
        <v>271</v>
      </c>
      <c r="M1116">
        <v>3271</v>
      </c>
      <c r="N1116" s="3">
        <v>47453</v>
      </c>
      <c r="O1116" s="6">
        <v>0</v>
      </c>
    </row>
    <row r="1117" spans="1:15">
      <c r="A1117" t="str">
        <f t="shared" si="51"/>
        <v>New Naptalin (Sample)1/1/10000</v>
      </c>
      <c r="B1117" t="s">
        <v>10936</v>
      </c>
      <c r="C1117" t="s">
        <v>15499</v>
      </c>
      <c r="D1117" t="s">
        <v>13020</v>
      </c>
      <c r="E1117" t="s">
        <v>1444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f t="shared" si="52"/>
        <v>1</v>
      </c>
      <c r="L1117">
        <f t="shared" si="53"/>
        <v>0</v>
      </c>
      <c r="M1117">
        <v>1</v>
      </c>
      <c r="N1117" s="3" t="s">
        <v>2222</v>
      </c>
      <c r="O1117" s="6">
        <v>0</v>
      </c>
    </row>
    <row r="1118" spans="1:15">
      <c r="A1118" t="str">
        <f t="shared" si="51"/>
        <v>Nokia 150 TA-1235DS New1/1/10000</v>
      </c>
      <c r="B1118" t="s">
        <v>10937</v>
      </c>
      <c r="C1118" t="s">
        <v>15500</v>
      </c>
      <c r="D1118" t="s">
        <v>13021</v>
      </c>
      <c r="E1118" t="s">
        <v>1445</v>
      </c>
      <c r="F1118">
        <v>1</v>
      </c>
      <c r="G1118">
        <v>1</v>
      </c>
      <c r="H1118">
        <v>1</v>
      </c>
      <c r="I1118">
        <v>1</v>
      </c>
      <c r="J1118">
        <v>15</v>
      </c>
      <c r="K1118">
        <f t="shared" si="52"/>
        <v>15</v>
      </c>
      <c r="L1118">
        <f t="shared" si="53"/>
        <v>0</v>
      </c>
      <c r="M1118">
        <v>15</v>
      </c>
      <c r="N1118" s="3" t="s">
        <v>2222</v>
      </c>
      <c r="O1118" s="6">
        <v>0</v>
      </c>
    </row>
    <row r="1119" spans="1:15">
      <c r="A1119" t="str">
        <f t="shared" si="51"/>
        <v>Nokia 2101/1/10000</v>
      </c>
      <c r="B1119" t="s">
        <v>10938</v>
      </c>
      <c r="C1119" t="s">
        <v>15501</v>
      </c>
      <c r="D1119" t="s">
        <v>13022</v>
      </c>
      <c r="E1119" t="s">
        <v>1446</v>
      </c>
      <c r="F1119">
        <v>1</v>
      </c>
      <c r="G1119">
        <v>1</v>
      </c>
      <c r="H1119">
        <v>1</v>
      </c>
      <c r="I1119">
        <v>1</v>
      </c>
      <c r="J1119">
        <v>15</v>
      </c>
      <c r="K1119">
        <f t="shared" si="52"/>
        <v>15</v>
      </c>
      <c r="L1119">
        <f t="shared" si="53"/>
        <v>0</v>
      </c>
      <c r="M1119">
        <v>15</v>
      </c>
      <c r="N1119" s="3" t="s">
        <v>2222</v>
      </c>
      <c r="O1119" s="6">
        <v>0</v>
      </c>
    </row>
    <row r="1120" spans="1:15">
      <c r="A1120" t="str">
        <f t="shared" si="51"/>
        <v>Nokia 53101/1/10000</v>
      </c>
      <c r="B1120" t="s">
        <v>10939</v>
      </c>
      <c r="C1120" t="s">
        <v>15502</v>
      </c>
      <c r="D1120" t="s">
        <v>13023</v>
      </c>
      <c r="E1120" t="s">
        <v>1447</v>
      </c>
      <c r="F1120">
        <v>1</v>
      </c>
      <c r="G1120">
        <v>1</v>
      </c>
      <c r="H1120">
        <v>1</v>
      </c>
      <c r="I1120">
        <v>1</v>
      </c>
      <c r="J1120">
        <v>15</v>
      </c>
      <c r="K1120">
        <f t="shared" si="52"/>
        <v>15</v>
      </c>
      <c r="L1120">
        <f t="shared" si="53"/>
        <v>0</v>
      </c>
      <c r="M1120">
        <v>15</v>
      </c>
      <c r="N1120" s="3" t="s">
        <v>2222</v>
      </c>
      <c r="O1120" s="6">
        <v>0</v>
      </c>
    </row>
    <row r="1121" spans="1:15">
      <c r="A1121" t="str">
        <f t="shared" si="51"/>
        <v>Nosel N-021/1/10000</v>
      </c>
      <c r="B1121" t="s">
        <v>10940</v>
      </c>
      <c r="C1121" t="s">
        <v>15503</v>
      </c>
      <c r="D1121" t="s">
        <v>13024</v>
      </c>
      <c r="E1121" t="s">
        <v>1448</v>
      </c>
      <c r="F1121">
        <v>1</v>
      </c>
      <c r="G1121">
        <v>1</v>
      </c>
      <c r="H1121">
        <v>1</v>
      </c>
      <c r="I1121">
        <v>1</v>
      </c>
      <c r="J1121">
        <v>10</v>
      </c>
      <c r="K1121">
        <f t="shared" si="52"/>
        <v>10</v>
      </c>
      <c r="L1121">
        <f t="shared" si="53"/>
        <v>0</v>
      </c>
      <c r="M1121">
        <v>10</v>
      </c>
      <c r="N1121" s="3" t="s">
        <v>2222</v>
      </c>
      <c r="O1121" s="6">
        <v>0</v>
      </c>
    </row>
    <row r="1122" spans="1:15">
      <c r="A1122" t="str">
        <f t="shared" si="51"/>
        <v>Nosel N-061/1/10000</v>
      </c>
      <c r="B1122" t="s">
        <v>10941</v>
      </c>
      <c r="C1122" t="s">
        <v>15504</v>
      </c>
      <c r="D1122" t="s">
        <v>13025</v>
      </c>
      <c r="E1122" t="s">
        <v>1449</v>
      </c>
      <c r="F1122">
        <v>1</v>
      </c>
      <c r="G1122">
        <v>1</v>
      </c>
      <c r="H1122">
        <v>1</v>
      </c>
      <c r="I1122">
        <v>1</v>
      </c>
      <c r="J1122">
        <v>10</v>
      </c>
      <c r="K1122">
        <f t="shared" si="52"/>
        <v>10</v>
      </c>
      <c r="L1122">
        <f t="shared" si="53"/>
        <v>0</v>
      </c>
      <c r="M1122">
        <v>10</v>
      </c>
      <c r="N1122" s="3" t="s">
        <v>2222</v>
      </c>
      <c r="O1122" s="6">
        <v>0</v>
      </c>
    </row>
    <row r="1123" spans="1:15">
      <c r="A1123" t="str">
        <f t="shared" si="51"/>
        <v>Nosel N-071/1/10000</v>
      </c>
      <c r="B1123" t="s">
        <v>10942</v>
      </c>
      <c r="C1123" t="s">
        <v>15505</v>
      </c>
      <c r="D1123" t="s">
        <v>13026</v>
      </c>
      <c r="E1123" t="s">
        <v>1450</v>
      </c>
      <c r="F1123">
        <v>1</v>
      </c>
      <c r="G1123">
        <v>1</v>
      </c>
      <c r="H1123">
        <v>1</v>
      </c>
      <c r="I1123">
        <v>1</v>
      </c>
      <c r="J1123">
        <v>10</v>
      </c>
      <c r="K1123">
        <f t="shared" si="52"/>
        <v>10</v>
      </c>
      <c r="L1123">
        <f t="shared" si="53"/>
        <v>0</v>
      </c>
      <c r="M1123">
        <v>10</v>
      </c>
      <c r="N1123" s="3" t="s">
        <v>2222</v>
      </c>
      <c r="O1123" s="6">
        <v>0</v>
      </c>
    </row>
    <row r="1124" spans="1:15">
      <c r="A1124" t="str">
        <f t="shared" si="51"/>
        <v>Nosel Tutup KSB 3651/1/10000</v>
      </c>
      <c r="B1124" t="s">
        <v>10943</v>
      </c>
      <c r="C1124" t="s">
        <v>15506</v>
      </c>
      <c r="D1124" t="s">
        <v>13027</v>
      </c>
      <c r="E1124" t="s">
        <v>1451</v>
      </c>
      <c r="F1124">
        <v>1</v>
      </c>
      <c r="G1124">
        <v>1</v>
      </c>
      <c r="H1124">
        <v>1</v>
      </c>
      <c r="I1124">
        <v>1</v>
      </c>
      <c r="J1124">
        <v>1405</v>
      </c>
      <c r="K1124">
        <f t="shared" si="52"/>
        <v>1405</v>
      </c>
      <c r="L1124">
        <f t="shared" si="53"/>
        <v>0</v>
      </c>
      <c r="M1124">
        <v>1405</v>
      </c>
      <c r="N1124" s="3" t="s">
        <v>2222</v>
      </c>
      <c r="O1124" s="6">
        <v>0</v>
      </c>
    </row>
    <row r="1125" spans="1:15">
      <c r="A1125" t="str">
        <f t="shared" si="51"/>
        <v>Nosel Tutup KSK 2351/1/10000</v>
      </c>
      <c r="B1125" t="s">
        <v>10944</v>
      </c>
      <c r="C1125" t="s">
        <v>15507</v>
      </c>
      <c r="D1125" t="s">
        <v>13028</v>
      </c>
      <c r="E1125" t="s">
        <v>1452</v>
      </c>
      <c r="F1125">
        <v>1</v>
      </c>
      <c r="G1125">
        <v>1</v>
      </c>
      <c r="H1125">
        <v>1</v>
      </c>
      <c r="I1125">
        <v>1</v>
      </c>
      <c r="J1125">
        <v>1881</v>
      </c>
      <c r="K1125">
        <f t="shared" si="52"/>
        <v>1881</v>
      </c>
      <c r="L1125">
        <f t="shared" si="53"/>
        <v>0</v>
      </c>
      <c r="M1125">
        <v>1881</v>
      </c>
      <c r="N1125" s="3" t="s">
        <v>2222</v>
      </c>
      <c r="O1125" s="6">
        <v>0</v>
      </c>
    </row>
    <row r="1126" spans="1:15">
      <c r="A1126" t="str">
        <f t="shared" si="51"/>
        <v>Nostro 440 EC 20 X 500 ml469350</v>
      </c>
      <c r="B1126" t="s">
        <v>10945</v>
      </c>
      <c r="C1126" t="s">
        <v>15508</v>
      </c>
      <c r="D1126" t="s">
        <v>13029</v>
      </c>
      <c r="E1126" t="s">
        <v>1453</v>
      </c>
      <c r="F1126">
        <v>20</v>
      </c>
      <c r="G1126">
        <v>1</v>
      </c>
      <c r="H1126">
        <v>1</v>
      </c>
      <c r="I1126">
        <v>20</v>
      </c>
      <c r="J1126">
        <v>162</v>
      </c>
      <c r="K1126">
        <f t="shared" si="52"/>
        <v>8</v>
      </c>
      <c r="L1126">
        <f t="shared" si="53"/>
        <v>2</v>
      </c>
      <c r="M1126">
        <v>162</v>
      </c>
      <c r="N1126" s="3">
        <v>46935</v>
      </c>
      <c r="O1126" s="6">
        <v>0</v>
      </c>
    </row>
    <row r="1127" spans="1:15">
      <c r="A1127" t="str">
        <f t="shared" si="51"/>
        <v>Nostro 440 EC 20 X 500 ml ( label hijau )472700</v>
      </c>
      <c r="B1127" t="s">
        <v>10946</v>
      </c>
      <c r="C1127" t="s">
        <v>15509</v>
      </c>
      <c r="D1127" t="s">
        <v>13030</v>
      </c>
      <c r="E1127" t="s">
        <v>1455</v>
      </c>
      <c r="F1127">
        <v>20</v>
      </c>
      <c r="G1127">
        <v>1</v>
      </c>
      <c r="H1127">
        <v>1</v>
      </c>
      <c r="I1127">
        <v>20</v>
      </c>
      <c r="J1127">
        <v>90</v>
      </c>
      <c r="K1127">
        <f t="shared" si="52"/>
        <v>4</v>
      </c>
      <c r="L1127">
        <f t="shared" si="53"/>
        <v>10</v>
      </c>
      <c r="M1127">
        <v>90</v>
      </c>
      <c r="N1127" s="3">
        <v>47270</v>
      </c>
      <c r="O1127" s="6">
        <v>0</v>
      </c>
    </row>
    <row r="1128" spans="1:15">
      <c r="A1128" t="str">
        <f t="shared" si="51"/>
        <v>Nostro 440 EC 40 X 250 ml469350</v>
      </c>
      <c r="B1128" t="s">
        <v>10947</v>
      </c>
      <c r="C1128" t="s">
        <v>15510</v>
      </c>
      <c r="D1128" t="s">
        <v>13031</v>
      </c>
      <c r="E1128" t="s">
        <v>1457</v>
      </c>
      <c r="F1128">
        <v>40</v>
      </c>
      <c r="G1128">
        <v>1</v>
      </c>
      <c r="H1128">
        <v>1</v>
      </c>
      <c r="I1128">
        <v>40</v>
      </c>
      <c r="J1128">
        <v>1185</v>
      </c>
      <c r="K1128">
        <f t="shared" si="52"/>
        <v>29</v>
      </c>
      <c r="L1128">
        <f t="shared" si="53"/>
        <v>25</v>
      </c>
      <c r="M1128">
        <v>1185</v>
      </c>
      <c r="N1128" s="3">
        <v>46935</v>
      </c>
      <c r="O1128" s="6">
        <v>0</v>
      </c>
    </row>
    <row r="1129" spans="1:15">
      <c r="A1129" t="str">
        <f t="shared" si="51"/>
        <v>Nostro 440 EC 40 X 250 ml ( label hijau )472700</v>
      </c>
      <c r="B1129" t="s">
        <v>10948</v>
      </c>
      <c r="C1129" t="s">
        <v>15511</v>
      </c>
      <c r="D1129" t="s">
        <v>13032</v>
      </c>
      <c r="E1129" t="s">
        <v>1458</v>
      </c>
      <c r="F1129">
        <v>40</v>
      </c>
      <c r="G1129">
        <v>1</v>
      </c>
      <c r="H1129">
        <v>1</v>
      </c>
      <c r="I1129">
        <v>40</v>
      </c>
      <c r="J1129">
        <v>310</v>
      </c>
      <c r="K1129">
        <f t="shared" si="52"/>
        <v>7</v>
      </c>
      <c r="L1129">
        <f t="shared" si="53"/>
        <v>30</v>
      </c>
      <c r="M1129">
        <v>310</v>
      </c>
      <c r="N1129" s="3">
        <v>47270</v>
      </c>
      <c r="O1129" s="6">
        <v>0</v>
      </c>
    </row>
    <row r="1130" spans="1:15">
      <c r="A1130" t="str">
        <f t="shared" si="51"/>
        <v>Nozzle YT 4L, 5L, 7L &amp; 9L1/1/10000</v>
      </c>
      <c r="B1130" t="s">
        <v>10949</v>
      </c>
      <c r="C1130" t="s">
        <v>15512</v>
      </c>
      <c r="D1130" t="s">
        <v>13033</v>
      </c>
      <c r="E1130" t="s">
        <v>1459</v>
      </c>
      <c r="F1130">
        <v>1</v>
      </c>
      <c r="G1130">
        <v>1</v>
      </c>
      <c r="H1130">
        <v>1</v>
      </c>
      <c r="I1130">
        <v>1</v>
      </c>
      <c r="J1130">
        <v>1460</v>
      </c>
      <c r="K1130">
        <f t="shared" si="52"/>
        <v>1460</v>
      </c>
      <c r="L1130">
        <f t="shared" si="53"/>
        <v>0</v>
      </c>
      <c r="M1130">
        <v>1460</v>
      </c>
      <c r="N1130" s="3" t="s">
        <v>2222</v>
      </c>
      <c r="O1130" s="6">
        <v>0</v>
      </c>
    </row>
    <row r="1131" spans="1:15">
      <c r="A1131" t="str">
        <f t="shared" si="51"/>
        <v>NPK 12-12-17 MPS 25 kg460230</v>
      </c>
      <c r="B1131" t="s">
        <v>10950</v>
      </c>
      <c r="C1131" t="s">
        <v>15513</v>
      </c>
      <c r="D1131" t="s">
        <v>13034</v>
      </c>
      <c r="E1131" t="s">
        <v>1460</v>
      </c>
      <c r="F1131">
        <v>1</v>
      </c>
      <c r="G1131">
        <v>1</v>
      </c>
      <c r="H1131">
        <v>1</v>
      </c>
      <c r="I1131">
        <v>1</v>
      </c>
      <c r="J1131">
        <v>220</v>
      </c>
      <c r="K1131">
        <f t="shared" si="52"/>
        <v>220</v>
      </c>
      <c r="L1131">
        <f t="shared" si="53"/>
        <v>0</v>
      </c>
      <c r="M1131">
        <v>220</v>
      </c>
      <c r="N1131" s="3">
        <v>46023</v>
      </c>
      <c r="O1131" s="6">
        <v>0</v>
      </c>
    </row>
    <row r="1132" spans="1:15">
      <c r="A1132" t="str">
        <f t="shared" si="51"/>
        <v>NPK 15-10-22 Magnum 50 kg463880</v>
      </c>
      <c r="B1132" t="s">
        <v>10951</v>
      </c>
      <c r="C1132" t="s">
        <v>15514</v>
      </c>
      <c r="D1132" t="s">
        <v>13035</v>
      </c>
      <c r="E1132" t="s">
        <v>1461</v>
      </c>
      <c r="F1132">
        <v>1</v>
      </c>
      <c r="G1132">
        <v>1</v>
      </c>
      <c r="H1132">
        <v>1</v>
      </c>
      <c r="I1132">
        <v>1</v>
      </c>
      <c r="J1132">
        <v>10</v>
      </c>
      <c r="K1132">
        <f t="shared" si="52"/>
        <v>10</v>
      </c>
      <c r="L1132">
        <f t="shared" si="53"/>
        <v>0</v>
      </c>
      <c r="M1132">
        <v>10</v>
      </c>
      <c r="N1132" s="3">
        <v>46388</v>
      </c>
      <c r="O1132" s="6">
        <v>0</v>
      </c>
    </row>
    <row r="1133" spans="1:15">
      <c r="A1133" t="str">
        <f t="shared" si="51"/>
        <v>NPK 15-10-22 Magnum 50 kg464470</v>
      </c>
      <c r="B1133" t="s">
        <v>10952</v>
      </c>
      <c r="C1133" t="s">
        <v>15515</v>
      </c>
      <c r="D1133" t="s">
        <v>13036</v>
      </c>
      <c r="E1133" t="s">
        <v>1461</v>
      </c>
      <c r="F1133">
        <v>1</v>
      </c>
      <c r="G1133">
        <v>1</v>
      </c>
      <c r="H1133">
        <v>1</v>
      </c>
      <c r="I1133">
        <v>1</v>
      </c>
      <c r="J1133">
        <v>30</v>
      </c>
      <c r="K1133">
        <f t="shared" si="52"/>
        <v>30</v>
      </c>
      <c r="L1133">
        <f t="shared" si="53"/>
        <v>0</v>
      </c>
      <c r="M1133">
        <v>30</v>
      </c>
      <c r="N1133" s="3">
        <v>46447</v>
      </c>
      <c r="O1133" s="6">
        <v>0</v>
      </c>
    </row>
    <row r="1134" spans="1:15">
      <c r="A1134" t="str">
        <f t="shared" si="51"/>
        <v>NPK 16.16.16+2 MPS 50 kg456580</v>
      </c>
      <c r="B1134" t="s">
        <v>10953</v>
      </c>
      <c r="C1134" t="s">
        <v>15516</v>
      </c>
      <c r="D1134" t="s">
        <v>13037</v>
      </c>
      <c r="E1134" t="s">
        <v>1463</v>
      </c>
      <c r="F1134">
        <v>1</v>
      </c>
      <c r="G1134">
        <v>1</v>
      </c>
      <c r="H1134">
        <v>1</v>
      </c>
      <c r="I1134">
        <v>1</v>
      </c>
      <c r="J1134">
        <v>84</v>
      </c>
      <c r="K1134">
        <f t="shared" si="52"/>
        <v>84</v>
      </c>
      <c r="L1134">
        <f t="shared" si="53"/>
        <v>0</v>
      </c>
      <c r="M1134">
        <v>84</v>
      </c>
      <c r="N1134" s="3">
        <v>45658</v>
      </c>
      <c r="O1134" s="6">
        <v>0</v>
      </c>
    </row>
    <row r="1135" spans="1:15">
      <c r="A1135" t="str">
        <f t="shared" si="51"/>
        <v>NPK 17-17-17 MPS 20 kg460540</v>
      </c>
      <c r="B1135" t="s">
        <v>10954</v>
      </c>
      <c r="C1135" t="s">
        <v>15517</v>
      </c>
      <c r="D1135" t="s">
        <v>13038</v>
      </c>
      <c r="E1135" t="s">
        <v>1464</v>
      </c>
      <c r="F1135">
        <v>1</v>
      </c>
      <c r="G1135">
        <v>1</v>
      </c>
      <c r="H1135">
        <v>1</v>
      </c>
      <c r="I1135">
        <v>1</v>
      </c>
      <c r="J1135">
        <v>91</v>
      </c>
      <c r="K1135">
        <f t="shared" si="52"/>
        <v>91</v>
      </c>
      <c r="L1135">
        <f t="shared" si="53"/>
        <v>0</v>
      </c>
      <c r="M1135">
        <v>91</v>
      </c>
      <c r="N1135" s="3">
        <v>46054</v>
      </c>
      <c r="O1135" s="6">
        <v>0</v>
      </c>
    </row>
    <row r="1136" spans="1:15">
      <c r="A1136" t="str">
        <f t="shared" si="51"/>
        <v>NPK Dinar 15-9-20 25 kg1/1/10000</v>
      </c>
      <c r="B1136" t="s">
        <v>10955</v>
      </c>
      <c r="C1136" t="s">
        <v>15518</v>
      </c>
      <c r="D1136" t="s">
        <v>13039</v>
      </c>
      <c r="E1136" t="s">
        <v>1465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f t="shared" si="52"/>
        <v>1</v>
      </c>
      <c r="L1136">
        <f t="shared" si="53"/>
        <v>0</v>
      </c>
      <c r="M1136">
        <v>1</v>
      </c>
      <c r="N1136" s="3" t="s">
        <v>2222</v>
      </c>
      <c r="O1136" s="6">
        <v>0</v>
      </c>
    </row>
    <row r="1137" spans="1:15">
      <c r="A1137" t="str">
        <f t="shared" si="51"/>
        <v>NPK Multidaya 10-10-10 20 kg452920</v>
      </c>
      <c r="B1137" t="s">
        <v>10956</v>
      </c>
      <c r="C1137" t="s">
        <v>15519</v>
      </c>
      <c r="D1137" t="s">
        <v>13040</v>
      </c>
      <c r="E1137" t="s">
        <v>1466</v>
      </c>
      <c r="F1137">
        <v>1</v>
      </c>
      <c r="G1137">
        <v>1</v>
      </c>
      <c r="H1137">
        <v>1</v>
      </c>
      <c r="I1137">
        <v>1</v>
      </c>
      <c r="J1137">
        <v>165</v>
      </c>
      <c r="K1137">
        <f t="shared" si="52"/>
        <v>165</v>
      </c>
      <c r="L1137">
        <f t="shared" si="53"/>
        <v>0</v>
      </c>
      <c r="M1137">
        <v>165</v>
      </c>
      <c r="N1137" s="3">
        <v>45292</v>
      </c>
      <c r="O1137" s="6">
        <v>0</v>
      </c>
    </row>
    <row r="1138" spans="1:15">
      <c r="A1138" t="str">
        <f t="shared" si="51"/>
        <v>NPK Novatec 12-12-17 25 kg470580</v>
      </c>
      <c r="B1138" t="s">
        <v>10957</v>
      </c>
      <c r="C1138" t="s">
        <v>15520</v>
      </c>
      <c r="D1138" t="s">
        <v>13041</v>
      </c>
      <c r="E1138" t="s">
        <v>1467</v>
      </c>
      <c r="F1138">
        <v>1</v>
      </c>
      <c r="G1138">
        <v>1</v>
      </c>
      <c r="H1138">
        <v>1</v>
      </c>
      <c r="I1138">
        <v>1</v>
      </c>
      <c r="J1138">
        <v>230</v>
      </c>
      <c r="K1138">
        <f t="shared" si="52"/>
        <v>230</v>
      </c>
      <c r="L1138">
        <f t="shared" si="53"/>
        <v>0</v>
      </c>
      <c r="M1138">
        <v>230</v>
      </c>
      <c r="N1138" s="3">
        <v>47058</v>
      </c>
      <c r="O1138" s="6">
        <v>0</v>
      </c>
    </row>
    <row r="1139" spans="1:15">
      <c r="A1139" t="str">
        <f t="shared" si="51"/>
        <v>NPK P Tani 16-16-16 Biru 50 kg465080</v>
      </c>
      <c r="B1139" t="s">
        <v>10958</v>
      </c>
      <c r="C1139" t="s">
        <v>15521</v>
      </c>
      <c r="D1139" t="s">
        <v>13042</v>
      </c>
      <c r="E1139" t="s">
        <v>1468</v>
      </c>
      <c r="F1139">
        <v>1</v>
      </c>
      <c r="G1139">
        <v>1</v>
      </c>
      <c r="H1139">
        <v>1</v>
      </c>
      <c r="I1139">
        <v>1</v>
      </c>
      <c r="J1139">
        <v>190</v>
      </c>
      <c r="K1139">
        <f t="shared" si="52"/>
        <v>190</v>
      </c>
      <c r="L1139">
        <f t="shared" si="53"/>
        <v>0</v>
      </c>
      <c r="M1139">
        <v>190</v>
      </c>
      <c r="N1139" s="3">
        <v>46508</v>
      </c>
      <c r="O1139" s="6">
        <v>0</v>
      </c>
    </row>
    <row r="1140" spans="1:15">
      <c r="A1140" t="str">
        <f t="shared" si="51"/>
        <v>NPK SiNutriHS 13-6-27-4+TE Booster (Hijau) NPG 25 kg1/1/10000</v>
      </c>
      <c r="B1140" t="s">
        <v>10959</v>
      </c>
      <c r="C1140" t="s">
        <v>15522</v>
      </c>
      <c r="D1140" t="s">
        <v>13043</v>
      </c>
      <c r="E1140" t="s">
        <v>1471</v>
      </c>
      <c r="F1140">
        <v>1</v>
      </c>
      <c r="G1140">
        <v>1</v>
      </c>
      <c r="H1140">
        <v>1</v>
      </c>
      <c r="I1140">
        <v>1</v>
      </c>
      <c r="J1140">
        <v>40</v>
      </c>
      <c r="K1140">
        <f t="shared" si="52"/>
        <v>40</v>
      </c>
      <c r="L1140">
        <f t="shared" si="53"/>
        <v>0</v>
      </c>
      <c r="M1140">
        <v>40</v>
      </c>
      <c r="N1140" s="3" t="s">
        <v>2222</v>
      </c>
      <c r="O1140" s="6">
        <v>0</v>
      </c>
    </row>
    <row r="1141" spans="1:15">
      <c r="A1141" t="str">
        <f t="shared" si="51"/>
        <v>NPK SiNutriHS 13-6-27-4+TE Booster (Hijau) NPG 50 kg460820</v>
      </c>
      <c r="B1141" t="s">
        <v>10960</v>
      </c>
      <c r="C1141" t="s">
        <v>15523</v>
      </c>
      <c r="D1141" t="s">
        <v>13044</v>
      </c>
      <c r="E1141" t="s">
        <v>1472</v>
      </c>
      <c r="F1141">
        <v>1</v>
      </c>
      <c r="G1141">
        <v>1</v>
      </c>
      <c r="H1141">
        <v>1</v>
      </c>
      <c r="I1141">
        <v>1</v>
      </c>
      <c r="J1141">
        <v>67</v>
      </c>
      <c r="K1141">
        <f t="shared" si="52"/>
        <v>67</v>
      </c>
      <c r="L1141">
        <f t="shared" si="53"/>
        <v>0</v>
      </c>
      <c r="M1141">
        <v>67</v>
      </c>
      <c r="N1141" s="3">
        <v>46082</v>
      </c>
      <c r="O1141" s="6">
        <v>0</v>
      </c>
    </row>
    <row r="1142" spans="1:15">
      <c r="A1142" t="str">
        <f t="shared" si="51"/>
        <v>NPK SiNutriHS 13-6-27-4+TE Booster (Hijau) NPG 500gr (Sample)1/1/10000</v>
      </c>
      <c r="B1142" t="s">
        <v>10961</v>
      </c>
      <c r="C1142" t="s">
        <v>15524</v>
      </c>
      <c r="D1142" t="s">
        <v>13045</v>
      </c>
      <c r="E1142" t="s">
        <v>1473</v>
      </c>
      <c r="F1142">
        <v>1</v>
      </c>
      <c r="G1142">
        <v>1</v>
      </c>
      <c r="H1142">
        <v>1</v>
      </c>
      <c r="I1142">
        <v>1</v>
      </c>
      <c r="J1142">
        <v>50</v>
      </c>
      <c r="K1142">
        <f t="shared" si="52"/>
        <v>50</v>
      </c>
      <c r="L1142">
        <f t="shared" si="53"/>
        <v>0</v>
      </c>
      <c r="M1142">
        <v>50</v>
      </c>
      <c r="N1142" s="3" t="s">
        <v>2222</v>
      </c>
      <c r="O1142" s="6">
        <v>0</v>
      </c>
    </row>
    <row r="1143" spans="1:15">
      <c r="A1143" t="str">
        <f t="shared" si="51"/>
        <v>NPK SiNutriHS 13-6-27-4+TE Booster (Hijau) NPG 8 X 5 kg458700</v>
      </c>
      <c r="B1143" t="s">
        <v>10962</v>
      </c>
      <c r="C1143" t="s">
        <v>15525</v>
      </c>
      <c r="D1143" t="s">
        <v>13046</v>
      </c>
      <c r="E1143" t="s">
        <v>1474</v>
      </c>
      <c r="F1143">
        <v>8</v>
      </c>
      <c r="G1143">
        <v>1</v>
      </c>
      <c r="H1143">
        <v>1</v>
      </c>
      <c r="I1143">
        <v>8</v>
      </c>
      <c r="J1143">
        <v>806</v>
      </c>
      <c r="K1143">
        <f t="shared" si="52"/>
        <v>100</v>
      </c>
      <c r="L1143">
        <f t="shared" si="53"/>
        <v>6</v>
      </c>
      <c r="M1143">
        <v>806</v>
      </c>
      <c r="N1143" s="3">
        <v>45870</v>
      </c>
      <c r="O1143" s="6">
        <v>0</v>
      </c>
    </row>
    <row r="1144" spans="1:15">
      <c r="A1144" t="str">
        <f t="shared" si="51"/>
        <v>NPK SiNutriHS 16-16-16+TE (Biru) NPG 25 kg1/1/10000</v>
      </c>
      <c r="B1144" t="s">
        <v>10963</v>
      </c>
      <c r="C1144" t="s">
        <v>15526</v>
      </c>
      <c r="D1144" t="s">
        <v>13047</v>
      </c>
      <c r="E1144" t="s">
        <v>1475</v>
      </c>
      <c r="F1144">
        <v>1</v>
      </c>
      <c r="G1144">
        <v>1</v>
      </c>
      <c r="H1144">
        <v>1</v>
      </c>
      <c r="I1144">
        <v>1</v>
      </c>
      <c r="J1144">
        <v>50</v>
      </c>
      <c r="K1144">
        <f t="shared" si="52"/>
        <v>50</v>
      </c>
      <c r="L1144">
        <f t="shared" si="53"/>
        <v>0</v>
      </c>
      <c r="M1144">
        <v>50</v>
      </c>
      <c r="N1144" s="3" t="s">
        <v>2222</v>
      </c>
      <c r="O1144" s="6">
        <v>0</v>
      </c>
    </row>
    <row r="1145" spans="1:15">
      <c r="A1145" t="str">
        <f t="shared" si="51"/>
        <v>NPK SiNutriHS 16-16-16+TE (Biru) NPG 25 kg460820</v>
      </c>
      <c r="B1145" t="s">
        <v>10964</v>
      </c>
      <c r="C1145" t="s">
        <v>15527</v>
      </c>
      <c r="D1145" t="s">
        <v>13048</v>
      </c>
      <c r="E1145" t="s">
        <v>1475</v>
      </c>
      <c r="F1145">
        <v>1</v>
      </c>
      <c r="G1145">
        <v>1</v>
      </c>
      <c r="H1145">
        <v>1</v>
      </c>
      <c r="I1145">
        <v>1</v>
      </c>
      <c r="J1145">
        <v>40</v>
      </c>
      <c r="K1145">
        <f t="shared" si="52"/>
        <v>40</v>
      </c>
      <c r="L1145">
        <f t="shared" si="53"/>
        <v>0</v>
      </c>
      <c r="M1145">
        <v>40</v>
      </c>
      <c r="N1145" s="3">
        <v>46082</v>
      </c>
      <c r="O1145" s="6">
        <v>0</v>
      </c>
    </row>
    <row r="1146" spans="1:15">
      <c r="A1146" t="str">
        <f t="shared" si="51"/>
        <v>NPK SiNutriHS 16-16-16+TE (Biru) NPG 50 kg460820</v>
      </c>
      <c r="B1146" t="s">
        <v>10965</v>
      </c>
      <c r="C1146" t="s">
        <v>15528</v>
      </c>
      <c r="D1146" t="s">
        <v>13049</v>
      </c>
      <c r="E1146" t="s">
        <v>1476</v>
      </c>
      <c r="F1146">
        <v>1</v>
      </c>
      <c r="G1146">
        <v>1</v>
      </c>
      <c r="H1146">
        <v>1</v>
      </c>
      <c r="I1146">
        <v>1</v>
      </c>
      <c r="J1146">
        <v>43</v>
      </c>
      <c r="K1146">
        <f t="shared" si="52"/>
        <v>43</v>
      </c>
      <c r="L1146">
        <f t="shared" si="53"/>
        <v>0</v>
      </c>
      <c r="M1146">
        <v>43</v>
      </c>
      <c r="N1146" s="3">
        <v>46082</v>
      </c>
      <c r="O1146" s="6">
        <v>0</v>
      </c>
    </row>
    <row r="1147" spans="1:15">
      <c r="A1147" t="str">
        <f t="shared" si="51"/>
        <v>NPK SiNutriHS 16-16-16+TE (Biru) NPG 500gr (Sample)1/1/10000</v>
      </c>
      <c r="B1147" t="s">
        <v>10966</v>
      </c>
      <c r="C1147" t="s">
        <v>15529</v>
      </c>
      <c r="D1147" t="s">
        <v>13050</v>
      </c>
      <c r="E1147" t="s">
        <v>1477</v>
      </c>
      <c r="F1147">
        <v>1</v>
      </c>
      <c r="G1147">
        <v>1</v>
      </c>
      <c r="H1147">
        <v>1</v>
      </c>
      <c r="I1147">
        <v>1</v>
      </c>
      <c r="J1147">
        <v>30</v>
      </c>
      <c r="K1147">
        <f t="shared" si="52"/>
        <v>30</v>
      </c>
      <c r="L1147">
        <f t="shared" si="53"/>
        <v>0</v>
      </c>
      <c r="M1147">
        <v>30</v>
      </c>
      <c r="N1147" s="3" t="s">
        <v>2222</v>
      </c>
      <c r="O1147" s="6">
        <v>0</v>
      </c>
    </row>
    <row r="1148" spans="1:15">
      <c r="A1148" t="str">
        <f t="shared" si="51"/>
        <v>NPK SiNutriHS 16-16-16+TE (Biru) NPG 8 X 5 kg460820</v>
      </c>
      <c r="B1148" t="s">
        <v>10967</v>
      </c>
      <c r="C1148" t="s">
        <v>15530</v>
      </c>
      <c r="D1148" t="s">
        <v>13051</v>
      </c>
      <c r="E1148" t="s">
        <v>1478</v>
      </c>
      <c r="F1148">
        <v>8</v>
      </c>
      <c r="G1148">
        <v>1</v>
      </c>
      <c r="H1148">
        <v>1</v>
      </c>
      <c r="I1148">
        <v>8</v>
      </c>
      <c r="J1148">
        <v>1200</v>
      </c>
      <c r="K1148">
        <f t="shared" si="52"/>
        <v>150</v>
      </c>
      <c r="L1148">
        <f t="shared" si="53"/>
        <v>0</v>
      </c>
      <c r="M1148">
        <v>1200</v>
      </c>
      <c r="N1148" s="3">
        <v>46082</v>
      </c>
      <c r="O1148" s="6">
        <v>0</v>
      </c>
    </row>
    <row r="1149" spans="1:15">
      <c r="A1149" t="str">
        <f t="shared" si="51"/>
        <v>Odeon 75 WP 16 X 500 gr470270</v>
      </c>
      <c r="B1149" t="s">
        <v>10968</v>
      </c>
      <c r="C1149" t="s">
        <v>15531</v>
      </c>
      <c r="D1149" t="s">
        <v>13052</v>
      </c>
      <c r="E1149" t="s">
        <v>1479</v>
      </c>
      <c r="F1149">
        <v>16</v>
      </c>
      <c r="G1149">
        <v>1</v>
      </c>
      <c r="H1149">
        <v>1</v>
      </c>
      <c r="I1149">
        <v>16</v>
      </c>
      <c r="J1149">
        <v>96</v>
      </c>
      <c r="K1149">
        <f t="shared" si="52"/>
        <v>6</v>
      </c>
      <c r="L1149">
        <f t="shared" si="53"/>
        <v>0</v>
      </c>
      <c r="M1149">
        <v>96</v>
      </c>
      <c r="N1149" s="3">
        <v>47027</v>
      </c>
      <c r="O1149" s="6">
        <v>0</v>
      </c>
    </row>
    <row r="1150" spans="1:15">
      <c r="A1150" t="str">
        <f t="shared" si="51"/>
        <v>Oplosan 550/60 EC 10 X 800 ml462040</v>
      </c>
      <c r="B1150" t="s">
        <v>10969</v>
      </c>
      <c r="C1150" t="s">
        <v>15532</v>
      </c>
      <c r="D1150" t="s">
        <v>13053</v>
      </c>
      <c r="E1150" t="s">
        <v>1481</v>
      </c>
      <c r="F1150">
        <v>10</v>
      </c>
      <c r="G1150">
        <v>1</v>
      </c>
      <c r="H1150">
        <v>1</v>
      </c>
      <c r="I1150">
        <v>10</v>
      </c>
      <c r="J1150">
        <v>76</v>
      </c>
      <c r="K1150">
        <f t="shared" si="52"/>
        <v>7</v>
      </c>
      <c r="L1150">
        <f t="shared" si="53"/>
        <v>6</v>
      </c>
      <c r="M1150">
        <v>76</v>
      </c>
      <c r="N1150" s="3">
        <v>46204</v>
      </c>
      <c r="O1150" s="6">
        <v>0</v>
      </c>
    </row>
    <row r="1151" spans="1:15">
      <c r="A1151" t="str">
        <f t="shared" si="51"/>
        <v>Oplosan 550/60 EC 20 X 400 ml461430</v>
      </c>
      <c r="B1151" t="s">
        <v>10970</v>
      </c>
      <c r="C1151" t="s">
        <v>15533</v>
      </c>
      <c r="D1151" t="s">
        <v>13054</v>
      </c>
      <c r="E1151" t="s">
        <v>1482</v>
      </c>
      <c r="F1151">
        <v>20</v>
      </c>
      <c r="G1151">
        <v>1</v>
      </c>
      <c r="H1151">
        <v>1</v>
      </c>
      <c r="I1151">
        <v>20</v>
      </c>
      <c r="J1151">
        <v>6</v>
      </c>
      <c r="K1151">
        <f t="shared" si="52"/>
        <v>0</v>
      </c>
      <c r="L1151">
        <f t="shared" si="53"/>
        <v>6</v>
      </c>
      <c r="M1151">
        <v>6</v>
      </c>
      <c r="N1151" s="3">
        <v>46143</v>
      </c>
      <c r="O1151" s="6">
        <v>0</v>
      </c>
    </row>
    <row r="1152" spans="1:15">
      <c r="A1152" t="str">
        <f t="shared" si="51"/>
        <v>Oplosan 550/60 EC 20 X 400 ml462040</v>
      </c>
      <c r="B1152" t="s">
        <v>10971</v>
      </c>
      <c r="C1152" t="s">
        <v>15534</v>
      </c>
      <c r="D1152" t="s">
        <v>13055</v>
      </c>
      <c r="E1152" t="s">
        <v>1482</v>
      </c>
      <c r="F1152">
        <v>20</v>
      </c>
      <c r="G1152">
        <v>1</v>
      </c>
      <c r="H1152">
        <v>1</v>
      </c>
      <c r="I1152">
        <v>20</v>
      </c>
      <c r="J1152">
        <v>2040</v>
      </c>
      <c r="K1152">
        <f t="shared" si="52"/>
        <v>102</v>
      </c>
      <c r="L1152">
        <f t="shared" si="53"/>
        <v>0</v>
      </c>
      <c r="M1152">
        <v>2040</v>
      </c>
      <c r="N1152" s="3">
        <v>46204</v>
      </c>
      <c r="O1152" s="6">
        <v>0</v>
      </c>
    </row>
    <row r="1153" spans="1:15">
      <c r="A1153" t="str">
        <f t="shared" si="51"/>
        <v>Oplosan 550/60 EC 20 X 400 ml462960</v>
      </c>
      <c r="B1153" t="s">
        <v>10972</v>
      </c>
      <c r="C1153" t="s">
        <v>15535</v>
      </c>
      <c r="D1153" t="s">
        <v>13056</v>
      </c>
      <c r="E1153" t="s">
        <v>1482</v>
      </c>
      <c r="F1153">
        <v>20</v>
      </c>
      <c r="G1153">
        <v>1</v>
      </c>
      <c r="H1153">
        <v>1</v>
      </c>
      <c r="I1153">
        <v>20</v>
      </c>
      <c r="J1153">
        <v>1000</v>
      </c>
      <c r="K1153">
        <f t="shared" si="52"/>
        <v>50</v>
      </c>
      <c r="L1153">
        <f t="shared" si="53"/>
        <v>0</v>
      </c>
      <c r="M1153">
        <v>1000</v>
      </c>
      <c r="N1153" s="3">
        <v>46296</v>
      </c>
      <c r="O1153" s="6">
        <v>0</v>
      </c>
    </row>
    <row r="1154" spans="1:15">
      <c r="A1154" t="str">
        <f t="shared" si="51"/>
        <v>Oplosan 550/60 EC 40 X 200 ml464190</v>
      </c>
      <c r="B1154" t="s">
        <v>10973</v>
      </c>
      <c r="C1154" t="s">
        <v>15536</v>
      </c>
      <c r="D1154" t="s">
        <v>13057</v>
      </c>
      <c r="E1154" t="s">
        <v>1483</v>
      </c>
      <c r="F1154">
        <v>40</v>
      </c>
      <c r="G1154">
        <v>1</v>
      </c>
      <c r="H1154">
        <v>1</v>
      </c>
      <c r="I1154">
        <v>40</v>
      </c>
      <c r="J1154">
        <v>385</v>
      </c>
      <c r="K1154">
        <f t="shared" si="52"/>
        <v>9</v>
      </c>
      <c r="L1154">
        <f t="shared" si="53"/>
        <v>25</v>
      </c>
      <c r="M1154">
        <v>385</v>
      </c>
      <c r="N1154" s="3">
        <v>46419</v>
      </c>
      <c r="O1154" s="6">
        <v>0</v>
      </c>
    </row>
    <row r="1155" spans="1:15">
      <c r="A1155" t="str">
        <f t="shared" ref="A1155:A1218" si="54">E1155&amp;N1155&amp;O1155</f>
        <v>Oplosan 550/60 EC 50 X 80 ml464470</v>
      </c>
      <c r="B1155" t="s">
        <v>10974</v>
      </c>
      <c r="C1155" t="s">
        <v>15537</v>
      </c>
      <c r="D1155" t="s">
        <v>13058</v>
      </c>
      <c r="E1155" t="s">
        <v>1484</v>
      </c>
      <c r="F1155">
        <v>50</v>
      </c>
      <c r="G1155">
        <v>1</v>
      </c>
      <c r="H1155">
        <v>1</v>
      </c>
      <c r="I1155">
        <v>50</v>
      </c>
      <c r="J1155">
        <v>300</v>
      </c>
      <c r="K1155">
        <f t="shared" ref="K1155:K1218" si="55">ROUNDDOWN(J1155/I1155,0)</f>
        <v>6</v>
      </c>
      <c r="L1155">
        <f t="shared" ref="L1155:L1218" si="56">J1155-K1155*I1155</f>
        <v>0</v>
      </c>
      <c r="M1155">
        <v>300</v>
      </c>
      <c r="N1155" s="3">
        <v>46447</v>
      </c>
      <c r="O1155" s="6">
        <v>0</v>
      </c>
    </row>
    <row r="1156" spans="1:15">
      <c r="A1156" t="str">
        <f t="shared" si="54"/>
        <v>Oplosan 550/60 EC 50 X 80 ml464780</v>
      </c>
      <c r="B1156" t="s">
        <v>10975</v>
      </c>
      <c r="C1156" t="s">
        <v>15538</v>
      </c>
      <c r="D1156" t="s">
        <v>13059</v>
      </c>
      <c r="E1156" t="s">
        <v>1484</v>
      </c>
      <c r="F1156">
        <v>50</v>
      </c>
      <c r="G1156">
        <v>1</v>
      </c>
      <c r="H1156">
        <v>1</v>
      </c>
      <c r="I1156">
        <v>50</v>
      </c>
      <c r="J1156">
        <v>950</v>
      </c>
      <c r="K1156">
        <f t="shared" si="55"/>
        <v>19</v>
      </c>
      <c r="L1156">
        <f t="shared" si="56"/>
        <v>0</v>
      </c>
      <c r="M1156">
        <v>950</v>
      </c>
      <c r="N1156" s="3">
        <v>46478</v>
      </c>
      <c r="O1156" s="6">
        <v>0</v>
      </c>
    </row>
    <row r="1157" spans="1:15">
      <c r="A1157" t="str">
        <f t="shared" si="54"/>
        <v>Orca 480 SL 20 ltr471500</v>
      </c>
      <c r="B1157" t="s">
        <v>10976</v>
      </c>
      <c r="C1157" t="s">
        <v>15539</v>
      </c>
      <c r="D1157" t="s">
        <v>13060</v>
      </c>
      <c r="E1157" t="s">
        <v>1485</v>
      </c>
      <c r="F1157">
        <v>1</v>
      </c>
      <c r="G1157">
        <v>1</v>
      </c>
      <c r="H1157">
        <v>1</v>
      </c>
      <c r="I1157">
        <v>1</v>
      </c>
      <c r="J1157">
        <v>53</v>
      </c>
      <c r="K1157">
        <f t="shared" si="55"/>
        <v>53</v>
      </c>
      <c r="L1157">
        <f t="shared" si="56"/>
        <v>0</v>
      </c>
      <c r="M1157">
        <v>53</v>
      </c>
      <c r="N1157" s="3">
        <v>47150</v>
      </c>
      <c r="O1157" s="6">
        <v>0</v>
      </c>
    </row>
    <row r="1158" spans="1:15">
      <c r="A1158" t="str">
        <f t="shared" si="54"/>
        <v>Orca 480 SL 20 X 1 ltr471190</v>
      </c>
      <c r="B1158" t="s">
        <v>10977</v>
      </c>
      <c r="C1158" t="s">
        <v>15540</v>
      </c>
      <c r="D1158" t="s">
        <v>13061</v>
      </c>
      <c r="E1158" t="s">
        <v>1486</v>
      </c>
      <c r="F1158">
        <v>20</v>
      </c>
      <c r="G1158">
        <v>1</v>
      </c>
      <c r="H1158">
        <v>1</v>
      </c>
      <c r="I1158">
        <v>20</v>
      </c>
      <c r="J1158">
        <v>1455</v>
      </c>
      <c r="K1158">
        <f t="shared" si="55"/>
        <v>72</v>
      </c>
      <c r="L1158">
        <f t="shared" si="56"/>
        <v>15</v>
      </c>
      <c r="M1158">
        <v>1455</v>
      </c>
      <c r="N1158" s="3">
        <v>47119</v>
      </c>
      <c r="O1158" s="6">
        <v>0</v>
      </c>
    </row>
    <row r="1159" spans="1:15">
      <c r="A1159" t="str">
        <f t="shared" si="54"/>
        <v>Orondis Opti 6/400 SC 20 X 500 ml457780</v>
      </c>
      <c r="B1159" t="s">
        <v>10978</v>
      </c>
      <c r="C1159" t="s">
        <v>15541</v>
      </c>
      <c r="D1159" t="s">
        <v>13062</v>
      </c>
      <c r="E1159" t="s">
        <v>1487</v>
      </c>
      <c r="F1159">
        <v>20</v>
      </c>
      <c r="G1159">
        <v>1</v>
      </c>
      <c r="H1159">
        <v>1</v>
      </c>
      <c r="I1159">
        <v>20</v>
      </c>
      <c r="J1159">
        <v>10</v>
      </c>
      <c r="K1159">
        <f t="shared" si="55"/>
        <v>0</v>
      </c>
      <c r="L1159">
        <f t="shared" si="56"/>
        <v>10</v>
      </c>
      <c r="M1159">
        <v>10</v>
      </c>
      <c r="N1159" s="3">
        <v>45778</v>
      </c>
      <c r="O1159" s="6">
        <v>0</v>
      </c>
    </row>
    <row r="1160" spans="1:15">
      <c r="A1160" t="str">
        <f t="shared" si="54"/>
        <v>Orondis Opti 6/400 SC 20 X 500 ml468740</v>
      </c>
      <c r="B1160" t="s">
        <v>10979</v>
      </c>
      <c r="C1160" t="s">
        <v>15542</v>
      </c>
      <c r="D1160" t="s">
        <v>13063</v>
      </c>
      <c r="E1160" t="s">
        <v>1487</v>
      </c>
      <c r="F1160">
        <v>20</v>
      </c>
      <c r="G1160">
        <v>1</v>
      </c>
      <c r="H1160">
        <v>1</v>
      </c>
      <c r="I1160">
        <v>20</v>
      </c>
      <c r="J1160">
        <v>1520</v>
      </c>
      <c r="K1160">
        <f t="shared" si="55"/>
        <v>76</v>
      </c>
      <c r="L1160">
        <f t="shared" si="56"/>
        <v>0</v>
      </c>
      <c r="M1160">
        <v>1520</v>
      </c>
      <c r="N1160" s="3">
        <v>46874</v>
      </c>
      <c r="O1160" s="6">
        <v>0</v>
      </c>
    </row>
    <row r="1161" spans="1:15">
      <c r="A1161" t="str">
        <f t="shared" si="54"/>
        <v>Osmocote Dekastar Buah 6-13-25 24 X 500 gr458090</v>
      </c>
      <c r="B1161" t="s">
        <v>10980</v>
      </c>
      <c r="C1161" t="s">
        <v>15543</v>
      </c>
      <c r="D1161" t="s">
        <v>13064</v>
      </c>
      <c r="E1161" t="s">
        <v>1490</v>
      </c>
      <c r="F1161">
        <v>24</v>
      </c>
      <c r="G1161">
        <v>1</v>
      </c>
      <c r="H1161">
        <v>1</v>
      </c>
      <c r="I1161">
        <v>24</v>
      </c>
      <c r="J1161">
        <v>504</v>
      </c>
      <c r="K1161">
        <f t="shared" si="55"/>
        <v>21</v>
      </c>
      <c r="L1161">
        <f t="shared" si="56"/>
        <v>0</v>
      </c>
      <c r="M1161">
        <v>504</v>
      </c>
      <c r="N1161" s="3">
        <v>45809</v>
      </c>
      <c r="O1161" s="6">
        <v>0</v>
      </c>
    </row>
    <row r="1162" spans="1:15">
      <c r="A1162" t="str">
        <f t="shared" si="54"/>
        <v>Osmocote Dekastar Buah 6-13-25 24 X 500 gr457480</v>
      </c>
      <c r="B1162" t="s">
        <v>10981</v>
      </c>
      <c r="C1162" t="s">
        <v>15544</v>
      </c>
      <c r="D1162" t="s">
        <v>13065</v>
      </c>
      <c r="E1162" t="s">
        <v>1490</v>
      </c>
      <c r="F1162">
        <v>24</v>
      </c>
      <c r="G1162">
        <v>1</v>
      </c>
      <c r="H1162">
        <v>1</v>
      </c>
      <c r="I1162">
        <v>24</v>
      </c>
      <c r="J1162">
        <v>1337</v>
      </c>
      <c r="K1162">
        <f t="shared" si="55"/>
        <v>55</v>
      </c>
      <c r="L1162">
        <f t="shared" si="56"/>
        <v>17</v>
      </c>
      <c r="M1162">
        <v>1337</v>
      </c>
      <c r="N1162" s="3">
        <v>45748</v>
      </c>
      <c r="O1162" s="6">
        <v>0</v>
      </c>
    </row>
    <row r="1163" spans="1:15">
      <c r="A1163" t="str">
        <f t="shared" si="54"/>
        <v>Osmocote Dekastar Buah 6-13-25 40 X 100 gr458090</v>
      </c>
      <c r="B1163" t="s">
        <v>10982</v>
      </c>
      <c r="C1163" t="s">
        <v>15545</v>
      </c>
      <c r="D1163" t="s">
        <v>13066</v>
      </c>
      <c r="E1163" t="s">
        <v>1496</v>
      </c>
      <c r="F1163">
        <v>40</v>
      </c>
      <c r="G1163">
        <v>1</v>
      </c>
      <c r="H1163">
        <v>1</v>
      </c>
      <c r="I1163">
        <v>40</v>
      </c>
      <c r="J1163">
        <v>1600</v>
      </c>
      <c r="K1163">
        <f t="shared" si="55"/>
        <v>40</v>
      </c>
      <c r="L1163">
        <f t="shared" si="56"/>
        <v>0</v>
      </c>
      <c r="M1163">
        <v>1600</v>
      </c>
      <c r="N1163" s="3">
        <v>45809</v>
      </c>
      <c r="O1163" s="6">
        <v>0</v>
      </c>
    </row>
    <row r="1164" spans="1:15">
      <c r="A1164" t="str">
        <f t="shared" si="54"/>
        <v>Osmocote Dekastar Imbang 13-13-13 24 X 500 gr457480</v>
      </c>
      <c r="B1164" t="s">
        <v>10983</v>
      </c>
      <c r="C1164" t="s">
        <v>15546</v>
      </c>
      <c r="D1164" t="s">
        <v>13067</v>
      </c>
      <c r="E1164" t="s">
        <v>1499</v>
      </c>
      <c r="F1164">
        <v>24</v>
      </c>
      <c r="G1164">
        <v>1</v>
      </c>
      <c r="H1164">
        <v>1</v>
      </c>
      <c r="I1164">
        <v>24</v>
      </c>
      <c r="J1164">
        <v>882</v>
      </c>
      <c r="K1164">
        <f t="shared" si="55"/>
        <v>36</v>
      </c>
      <c r="L1164">
        <f t="shared" si="56"/>
        <v>18</v>
      </c>
      <c r="M1164">
        <v>882</v>
      </c>
      <c r="N1164" s="3">
        <v>45748</v>
      </c>
      <c r="O1164" s="6">
        <v>0</v>
      </c>
    </row>
    <row r="1165" spans="1:15">
      <c r="A1165" t="str">
        <f t="shared" si="54"/>
        <v>Osmocote Dekastar Imbang 13-13-13 40 X 100 gr457480</v>
      </c>
      <c r="B1165" t="s">
        <v>10984</v>
      </c>
      <c r="C1165" t="s">
        <v>15547</v>
      </c>
      <c r="D1165" t="s">
        <v>13068</v>
      </c>
      <c r="E1165" t="s">
        <v>1500</v>
      </c>
      <c r="F1165">
        <v>40</v>
      </c>
      <c r="G1165">
        <v>1</v>
      </c>
      <c r="H1165">
        <v>1</v>
      </c>
      <c r="I1165">
        <v>40</v>
      </c>
      <c r="J1165">
        <v>1549</v>
      </c>
      <c r="K1165">
        <f t="shared" si="55"/>
        <v>38</v>
      </c>
      <c r="L1165">
        <f t="shared" si="56"/>
        <v>29</v>
      </c>
      <c r="M1165">
        <v>1549</v>
      </c>
      <c r="N1165" s="3">
        <v>45748</v>
      </c>
      <c r="O1165" s="6">
        <v>0</v>
      </c>
    </row>
    <row r="1166" spans="1:15">
      <c r="A1166" t="str">
        <f t="shared" si="54"/>
        <v>Paclo 15 WP 16 X 5 X 100 gr472090</v>
      </c>
      <c r="B1166" t="s">
        <v>10985</v>
      </c>
      <c r="C1166" t="s">
        <v>15548</v>
      </c>
      <c r="D1166" t="s">
        <v>13069</v>
      </c>
      <c r="E1166" t="s">
        <v>1503</v>
      </c>
      <c r="F1166">
        <v>16</v>
      </c>
      <c r="G1166">
        <v>5</v>
      </c>
      <c r="H1166">
        <v>1</v>
      </c>
      <c r="I1166">
        <v>80</v>
      </c>
      <c r="J1166">
        <v>2838</v>
      </c>
      <c r="K1166">
        <f t="shared" si="55"/>
        <v>35</v>
      </c>
      <c r="L1166">
        <f t="shared" si="56"/>
        <v>38</v>
      </c>
      <c r="M1166">
        <v>2838</v>
      </c>
      <c r="N1166" s="3">
        <v>47209</v>
      </c>
      <c r="O1166" s="6">
        <v>0</v>
      </c>
    </row>
    <row r="1167" spans="1:15">
      <c r="A1167" t="str">
        <f t="shared" si="54"/>
        <v>Paket Anti Gulma 10 X 500 ml471500</v>
      </c>
      <c r="B1167" t="s">
        <v>10986</v>
      </c>
      <c r="C1167" t="s">
        <v>15549</v>
      </c>
      <c r="D1167" t="s">
        <v>13070</v>
      </c>
      <c r="E1167" t="s">
        <v>1507</v>
      </c>
      <c r="F1167">
        <v>10</v>
      </c>
      <c r="G1167">
        <v>1</v>
      </c>
      <c r="H1167">
        <v>1</v>
      </c>
      <c r="I1167">
        <v>10</v>
      </c>
      <c r="J1167">
        <v>70</v>
      </c>
      <c r="K1167">
        <f t="shared" si="55"/>
        <v>7</v>
      </c>
      <c r="L1167">
        <f t="shared" si="56"/>
        <v>0</v>
      </c>
      <c r="M1167">
        <v>70</v>
      </c>
      <c r="N1167" s="3">
        <v>47150</v>
      </c>
      <c r="O1167" s="6">
        <v>0</v>
      </c>
    </row>
    <row r="1168" spans="1:15">
      <c r="A1168" t="str">
        <f t="shared" si="54"/>
        <v>Paket Anti Gulma 10 X 500 ml471780</v>
      </c>
      <c r="B1168" t="s">
        <v>10987</v>
      </c>
      <c r="C1168" t="s">
        <v>15550</v>
      </c>
      <c r="D1168" t="s">
        <v>13071</v>
      </c>
      <c r="E1168" t="s">
        <v>1507</v>
      </c>
      <c r="F1168">
        <v>10</v>
      </c>
      <c r="G1168">
        <v>1</v>
      </c>
      <c r="H1168">
        <v>1</v>
      </c>
      <c r="I1168">
        <v>10</v>
      </c>
      <c r="J1168">
        <v>160</v>
      </c>
      <c r="K1168">
        <f t="shared" si="55"/>
        <v>16</v>
      </c>
      <c r="L1168">
        <f t="shared" si="56"/>
        <v>0</v>
      </c>
      <c r="M1168">
        <v>160</v>
      </c>
      <c r="N1168" s="3">
        <v>47178</v>
      </c>
      <c r="O1168" s="6">
        <v>0</v>
      </c>
    </row>
    <row r="1169" spans="1:15">
      <c r="A1169" t="str">
        <f t="shared" si="54"/>
        <v>Paket Anti Gulma 20 X 250 ml472390</v>
      </c>
      <c r="B1169" t="s">
        <v>10988</v>
      </c>
      <c r="C1169" t="s">
        <v>15551</v>
      </c>
      <c r="D1169" t="s">
        <v>13072</v>
      </c>
      <c r="E1169" t="s">
        <v>1508</v>
      </c>
      <c r="F1169">
        <v>20</v>
      </c>
      <c r="G1169">
        <v>1</v>
      </c>
      <c r="H1169">
        <v>1</v>
      </c>
      <c r="I1169">
        <v>20</v>
      </c>
      <c r="J1169">
        <v>2095</v>
      </c>
      <c r="K1169">
        <f t="shared" si="55"/>
        <v>104</v>
      </c>
      <c r="L1169">
        <f t="shared" si="56"/>
        <v>15</v>
      </c>
      <c r="M1169">
        <v>2095</v>
      </c>
      <c r="N1169" s="3">
        <v>47239</v>
      </c>
      <c r="O1169" s="6">
        <v>0</v>
      </c>
    </row>
    <row r="1170" spans="1:15">
      <c r="A1170" t="str">
        <f t="shared" si="54"/>
        <v>Paket Booster Kendizol 250 ml + Aviore 100 ml 24 X 1 Paket460540</v>
      </c>
      <c r="B1170" t="s">
        <v>10989</v>
      </c>
      <c r="C1170" t="s">
        <v>15552</v>
      </c>
      <c r="D1170" t="s">
        <v>13073</v>
      </c>
      <c r="E1170" t="s">
        <v>1509</v>
      </c>
      <c r="F1170">
        <v>24</v>
      </c>
      <c r="G1170">
        <v>1</v>
      </c>
      <c r="H1170">
        <v>1</v>
      </c>
      <c r="I1170">
        <v>24</v>
      </c>
      <c r="J1170">
        <v>24</v>
      </c>
      <c r="K1170">
        <f t="shared" si="55"/>
        <v>1</v>
      </c>
      <c r="L1170">
        <f t="shared" si="56"/>
        <v>0</v>
      </c>
      <c r="M1170">
        <v>24</v>
      </c>
      <c r="N1170" s="3">
        <v>46054</v>
      </c>
      <c r="O1170" s="6">
        <v>0</v>
      </c>
    </row>
    <row r="1171" spans="1:15">
      <c r="A1171" t="str">
        <f t="shared" si="54"/>
        <v>Paket Booster Kendizol 250 ml + Aviore 100 ml 24 X 1 Paket472390</v>
      </c>
      <c r="B1171" t="s">
        <v>10990</v>
      </c>
      <c r="C1171" t="s">
        <v>15553</v>
      </c>
      <c r="D1171" t="s">
        <v>13074</v>
      </c>
      <c r="E1171" t="s">
        <v>1509</v>
      </c>
      <c r="F1171">
        <v>24</v>
      </c>
      <c r="G1171">
        <v>1</v>
      </c>
      <c r="H1171">
        <v>1</v>
      </c>
      <c r="I1171">
        <v>24</v>
      </c>
      <c r="J1171">
        <v>480</v>
      </c>
      <c r="K1171">
        <f t="shared" si="55"/>
        <v>20</v>
      </c>
      <c r="L1171">
        <f t="shared" si="56"/>
        <v>0</v>
      </c>
      <c r="M1171">
        <v>480</v>
      </c>
      <c r="N1171" s="3">
        <v>47239</v>
      </c>
      <c r="O1171" s="6">
        <v>0</v>
      </c>
    </row>
    <row r="1172" spans="1:15">
      <c r="A1172" t="str">
        <f t="shared" si="54"/>
        <v>Paket Convey 336 SC 10 X 40 ml458390</v>
      </c>
      <c r="B1172" t="s">
        <v>10991</v>
      </c>
      <c r="C1172" t="s">
        <v>15554</v>
      </c>
      <c r="D1172" t="s">
        <v>13075</v>
      </c>
      <c r="E1172" t="s">
        <v>1510</v>
      </c>
      <c r="F1172">
        <v>10</v>
      </c>
      <c r="G1172">
        <v>1</v>
      </c>
      <c r="H1172">
        <v>1</v>
      </c>
      <c r="I1172">
        <v>10</v>
      </c>
      <c r="J1172">
        <v>618</v>
      </c>
      <c r="K1172">
        <f t="shared" si="55"/>
        <v>61</v>
      </c>
      <c r="L1172">
        <f t="shared" si="56"/>
        <v>8</v>
      </c>
      <c r="M1172">
        <v>618</v>
      </c>
      <c r="N1172" s="3">
        <v>45839</v>
      </c>
      <c r="O1172" s="6">
        <v>0</v>
      </c>
    </row>
    <row r="1173" spans="1:15">
      <c r="A1173" t="str">
        <f t="shared" si="54"/>
        <v>Paket Convey 336 SC 10 X 40 ml459920</v>
      </c>
      <c r="B1173" t="s">
        <v>10992</v>
      </c>
      <c r="C1173" t="s">
        <v>15555</v>
      </c>
      <c r="D1173" t="s">
        <v>13076</v>
      </c>
      <c r="E1173" t="s">
        <v>1510</v>
      </c>
      <c r="F1173">
        <v>10</v>
      </c>
      <c r="G1173">
        <v>1</v>
      </c>
      <c r="H1173">
        <v>1</v>
      </c>
      <c r="I1173">
        <v>10</v>
      </c>
      <c r="J1173">
        <v>8990</v>
      </c>
      <c r="K1173">
        <f t="shared" si="55"/>
        <v>899</v>
      </c>
      <c r="L1173">
        <f t="shared" si="56"/>
        <v>0</v>
      </c>
      <c r="M1173">
        <v>8990</v>
      </c>
      <c r="N1173" s="3">
        <v>45992</v>
      </c>
      <c r="O1173" s="6">
        <v>0</v>
      </c>
    </row>
    <row r="1174" spans="1:15">
      <c r="A1174" t="str">
        <f t="shared" si="54"/>
        <v>Paket Convey 336 SC 20 X 20 ml458390</v>
      </c>
      <c r="B1174" t="s">
        <v>10993</v>
      </c>
      <c r="C1174" t="s">
        <v>15556</v>
      </c>
      <c r="D1174" t="s">
        <v>13077</v>
      </c>
      <c r="E1174" t="s">
        <v>1520</v>
      </c>
      <c r="F1174">
        <v>20</v>
      </c>
      <c r="G1174">
        <v>1</v>
      </c>
      <c r="H1174">
        <v>1</v>
      </c>
      <c r="I1174">
        <v>20</v>
      </c>
      <c r="J1174">
        <v>2195</v>
      </c>
      <c r="K1174">
        <f t="shared" si="55"/>
        <v>109</v>
      </c>
      <c r="L1174">
        <f t="shared" si="56"/>
        <v>15</v>
      </c>
      <c r="M1174">
        <v>2195</v>
      </c>
      <c r="N1174" s="3">
        <v>45839</v>
      </c>
      <c r="O1174" s="6">
        <v>0</v>
      </c>
    </row>
    <row r="1175" spans="1:15">
      <c r="A1175" t="str">
        <f t="shared" si="54"/>
        <v>Paket Cornbelt 336 EC 20 X 50 ml462660</v>
      </c>
      <c r="B1175" t="s">
        <v>10994</v>
      </c>
      <c r="C1175" t="s">
        <v>15557</v>
      </c>
      <c r="D1175" t="s">
        <v>13078</v>
      </c>
      <c r="E1175" t="s">
        <v>1522</v>
      </c>
      <c r="F1175">
        <v>20</v>
      </c>
      <c r="G1175">
        <v>1</v>
      </c>
      <c r="H1175">
        <v>1</v>
      </c>
      <c r="I1175">
        <v>20</v>
      </c>
      <c r="J1175">
        <v>1722</v>
      </c>
      <c r="K1175">
        <f t="shared" si="55"/>
        <v>86</v>
      </c>
      <c r="L1175">
        <f t="shared" si="56"/>
        <v>2</v>
      </c>
      <c r="M1175">
        <v>1722</v>
      </c>
      <c r="N1175" s="3">
        <v>46266</v>
      </c>
      <c r="O1175" s="6">
        <v>0</v>
      </c>
    </row>
    <row r="1176" spans="1:15">
      <c r="A1176" t="str">
        <f t="shared" si="54"/>
        <v>Paket Cornbelt 336 EC 20 X 50 ml463880</v>
      </c>
      <c r="B1176" t="s">
        <v>10995</v>
      </c>
      <c r="C1176" t="s">
        <v>15558</v>
      </c>
      <c r="D1176" t="s">
        <v>13079</v>
      </c>
      <c r="E1176" t="s">
        <v>1522</v>
      </c>
      <c r="F1176">
        <v>20</v>
      </c>
      <c r="G1176">
        <v>1</v>
      </c>
      <c r="H1176">
        <v>1</v>
      </c>
      <c r="I1176">
        <v>20</v>
      </c>
      <c r="J1176">
        <v>1920</v>
      </c>
      <c r="K1176">
        <f t="shared" si="55"/>
        <v>96</v>
      </c>
      <c r="L1176">
        <f t="shared" si="56"/>
        <v>0</v>
      </c>
      <c r="M1176">
        <v>1920</v>
      </c>
      <c r="N1176" s="3">
        <v>46388</v>
      </c>
      <c r="O1176" s="6">
        <v>0</v>
      </c>
    </row>
    <row r="1177" spans="1:15">
      <c r="A1177" t="str">
        <f t="shared" si="54"/>
        <v>Paket GG Akar 100 X 5 ml + Akrostar 40 WP 5 gr462960</v>
      </c>
      <c r="B1177" t="s">
        <v>10996</v>
      </c>
      <c r="C1177" t="s">
        <v>15559</v>
      </c>
      <c r="D1177" t="s">
        <v>13080</v>
      </c>
      <c r="E1177" t="s">
        <v>1523</v>
      </c>
      <c r="F1177">
        <v>1</v>
      </c>
      <c r="G1177">
        <v>1</v>
      </c>
      <c r="H1177">
        <v>1</v>
      </c>
      <c r="I1177">
        <v>1</v>
      </c>
      <c r="J1177">
        <v>9970</v>
      </c>
      <c r="K1177">
        <f t="shared" si="55"/>
        <v>9970</v>
      </c>
      <c r="L1177">
        <f t="shared" si="56"/>
        <v>0</v>
      </c>
      <c r="M1177">
        <v>9970</v>
      </c>
      <c r="N1177" s="3">
        <v>46296</v>
      </c>
      <c r="O1177" s="6">
        <v>0</v>
      </c>
    </row>
    <row r="1178" spans="1:15">
      <c r="A1178" t="str">
        <f t="shared" si="54"/>
        <v>Paket Kaos dan Tas BrZn1/1/10000</v>
      </c>
      <c r="B1178" t="s">
        <v>10997</v>
      </c>
      <c r="C1178" t="s">
        <v>15560</v>
      </c>
      <c r="D1178" t="s">
        <v>13081</v>
      </c>
      <c r="E1178" t="s">
        <v>1524</v>
      </c>
      <c r="F1178">
        <v>1</v>
      </c>
      <c r="G1178">
        <v>1</v>
      </c>
      <c r="H1178">
        <v>1</v>
      </c>
      <c r="I1178">
        <v>1</v>
      </c>
      <c r="J1178">
        <v>7</v>
      </c>
      <c r="K1178">
        <f t="shared" si="55"/>
        <v>7</v>
      </c>
      <c r="L1178">
        <f t="shared" si="56"/>
        <v>0</v>
      </c>
      <c r="M1178">
        <v>7</v>
      </c>
      <c r="N1178" s="3" t="s">
        <v>2222</v>
      </c>
      <c r="O1178" s="6">
        <v>0</v>
      </c>
    </row>
    <row r="1179" spans="1:15">
      <c r="A1179" t="str">
        <f t="shared" si="54"/>
        <v>Paket Naga 1 6 X 25 X 1 paket474530</v>
      </c>
      <c r="B1179" t="s">
        <v>10998</v>
      </c>
      <c r="C1179" t="s">
        <v>15561</v>
      </c>
      <c r="D1179" t="s">
        <v>13082</v>
      </c>
      <c r="E1179" t="s">
        <v>1525</v>
      </c>
      <c r="F1179">
        <v>6</v>
      </c>
      <c r="G1179">
        <v>25</v>
      </c>
      <c r="H1179">
        <v>1</v>
      </c>
      <c r="I1179">
        <v>150</v>
      </c>
      <c r="J1179">
        <v>4470</v>
      </c>
      <c r="K1179">
        <f t="shared" si="55"/>
        <v>29</v>
      </c>
      <c r="L1179">
        <f t="shared" si="56"/>
        <v>120</v>
      </c>
      <c r="M1179">
        <v>4470</v>
      </c>
      <c r="N1179" s="3">
        <v>47453</v>
      </c>
      <c r="O1179" s="6">
        <v>0</v>
      </c>
    </row>
    <row r="1180" spans="1:15">
      <c r="A1180" t="str">
        <f t="shared" si="54"/>
        <v>Paket Piribac 400 SC 50 X 100 ml + Axial 200 ml470880</v>
      </c>
      <c r="B1180" t="s">
        <v>10999</v>
      </c>
      <c r="C1180" t="s">
        <v>15562</v>
      </c>
      <c r="D1180" t="s">
        <v>13083</v>
      </c>
      <c r="E1180" t="s">
        <v>1526</v>
      </c>
      <c r="F1180">
        <v>50</v>
      </c>
      <c r="G1180">
        <v>1</v>
      </c>
      <c r="H1180">
        <v>1</v>
      </c>
      <c r="I1180">
        <v>50</v>
      </c>
      <c r="J1180">
        <v>1830</v>
      </c>
      <c r="K1180">
        <f t="shared" si="55"/>
        <v>36</v>
      </c>
      <c r="L1180">
        <f t="shared" si="56"/>
        <v>30</v>
      </c>
      <c r="M1180">
        <v>1830</v>
      </c>
      <c r="N1180" s="3">
        <v>47088</v>
      </c>
      <c r="O1180" s="6">
        <v>0</v>
      </c>
    </row>
    <row r="1181" spans="1:15">
      <c r="A1181" t="str">
        <f t="shared" si="54"/>
        <v>Panindo 10 WP 100 X 100 gr459010</v>
      </c>
      <c r="B1181" t="s">
        <v>11000</v>
      </c>
      <c r="C1181" t="s">
        <v>15563</v>
      </c>
      <c r="D1181" t="s">
        <v>13084</v>
      </c>
      <c r="E1181" t="s">
        <v>1528</v>
      </c>
      <c r="F1181">
        <v>100</v>
      </c>
      <c r="G1181">
        <v>1</v>
      </c>
      <c r="H1181">
        <v>1</v>
      </c>
      <c r="I1181">
        <v>100</v>
      </c>
      <c r="J1181">
        <v>13</v>
      </c>
      <c r="K1181">
        <f t="shared" si="55"/>
        <v>0</v>
      </c>
      <c r="L1181">
        <f t="shared" si="56"/>
        <v>13</v>
      </c>
      <c r="M1181">
        <v>13</v>
      </c>
      <c r="N1181" s="3">
        <v>45901</v>
      </c>
      <c r="O1181" s="6">
        <v>0</v>
      </c>
    </row>
    <row r="1182" spans="1:15">
      <c r="A1182" t="str">
        <f t="shared" si="54"/>
        <v>Panindo 10 WP 100 X 100 gr462960</v>
      </c>
      <c r="B1182" t="s">
        <v>11001</v>
      </c>
      <c r="C1182" t="s">
        <v>15564</v>
      </c>
      <c r="D1182" t="s">
        <v>13085</v>
      </c>
      <c r="E1182" t="s">
        <v>1528</v>
      </c>
      <c r="F1182">
        <v>100</v>
      </c>
      <c r="G1182">
        <v>1</v>
      </c>
      <c r="H1182">
        <v>1</v>
      </c>
      <c r="I1182">
        <v>100</v>
      </c>
      <c r="J1182">
        <v>200</v>
      </c>
      <c r="K1182">
        <f t="shared" si="55"/>
        <v>2</v>
      </c>
      <c r="L1182">
        <f t="shared" si="56"/>
        <v>0</v>
      </c>
      <c r="M1182">
        <v>200</v>
      </c>
      <c r="N1182" s="3">
        <v>46296</v>
      </c>
      <c r="O1182" s="6">
        <v>0</v>
      </c>
    </row>
    <row r="1183" spans="1:15">
      <c r="A1183" t="str">
        <f t="shared" si="54"/>
        <v>Panindo 10 WP 100 X 100 gr463880</v>
      </c>
      <c r="B1183" t="s">
        <v>11002</v>
      </c>
      <c r="C1183" t="s">
        <v>15565</v>
      </c>
      <c r="D1183" t="s">
        <v>13086</v>
      </c>
      <c r="E1183" t="s">
        <v>1528</v>
      </c>
      <c r="F1183">
        <v>100</v>
      </c>
      <c r="G1183">
        <v>1</v>
      </c>
      <c r="H1183">
        <v>1</v>
      </c>
      <c r="I1183">
        <v>100</v>
      </c>
      <c r="J1183">
        <v>1100</v>
      </c>
      <c r="K1183">
        <f t="shared" si="55"/>
        <v>11</v>
      </c>
      <c r="L1183">
        <f t="shared" si="56"/>
        <v>0</v>
      </c>
      <c r="M1183">
        <v>1100</v>
      </c>
      <c r="N1183" s="3">
        <v>46388</v>
      </c>
      <c r="O1183" s="6">
        <v>0</v>
      </c>
    </row>
    <row r="1184" spans="1:15">
      <c r="A1184" t="str">
        <f t="shared" si="54"/>
        <v>Papandayan 486 SL 20 ltr471190</v>
      </c>
      <c r="B1184" t="s">
        <v>11003</v>
      </c>
      <c r="C1184" t="s">
        <v>15566</v>
      </c>
      <c r="D1184" t="s">
        <v>13087</v>
      </c>
      <c r="E1184" t="s">
        <v>1529</v>
      </c>
      <c r="F1184">
        <v>1</v>
      </c>
      <c r="G1184">
        <v>1</v>
      </c>
      <c r="H1184">
        <v>1</v>
      </c>
      <c r="I1184">
        <v>1</v>
      </c>
      <c r="J1184">
        <v>15</v>
      </c>
      <c r="K1184">
        <f t="shared" si="55"/>
        <v>15</v>
      </c>
      <c r="L1184">
        <f t="shared" si="56"/>
        <v>0</v>
      </c>
      <c r="M1184">
        <v>15</v>
      </c>
      <c r="N1184" s="3">
        <v>47119</v>
      </c>
      <c r="O1184" s="6">
        <v>0</v>
      </c>
    </row>
    <row r="1185" spans="1:15">
      <c r="A1185" t="str">
        <f t="shared" si="54"/>
        <v>Papandayan 486 SL 20 ltr471780</v>
      </c>
      <c r="B1185" t="s">
        <v>11004</v>
      </c>
      <c r="C1185" t="s">
        <v>15567</v>
      </c>
      <c r="D1185" t="s">
        <v>13088</v>
      </c>
      <c r="E1185" t="s">
        <v>1529</v>
      </c>
      <c r="F1185">
        <v>1</v>
      </c>
      <c r="G1185">
        <v>1</v>
      </c>
      <c r="H1185">
        <v>1</v>
      </c>
      <c r="I1185">
        <v>1</v>
      </c>
      <c r="J1185">
        <v>85</v>
      </c>
      <c r="K1185">
        <f t="shared" si="55"/>
        <v>85</v>
      </c>
      <c r="L1185">
        <f t="shared" si="56"/>
        <v>0</v>
      </c>
      <c r="M1185">
        <v>85</v>
      </c>
      <c r="N1185" s="3">
        <v>47178</v>
      </c>
      <c r="O1185" s="6">
        <v>0</v>
      </c>
    </row>
    <row r="1186" spans="1:15">
      <c r="A1186" t="str">
        <f t="shared" si="54"/>
        <v>Papandayan 486 SL 20 ltr471500</v>
      </c>
      <c r="B1186" t="s">
        <v>11005</v>
      </c>
      <c r="C1186" t="s">
        <v>15568</v>
      </c>
      <c r="D1186" t="s">
        <v>13089</v>
      </c>
      <c r="E1186" t="s">
        <v>1529</v>
      </c>
      <c r="F1186">
        <v>1</v>
      </c>
      <c r="G1186">
        <v>1</v>
      </c>
      <c r="H1186">
        <v>1</v>
      </c>
      <c r="I1186">
        <v>1</v>
      </c>
      <c r="J1186">
        <v>56</v>
      </c>
      <c r="K1186">
        <f t="shared" si="55"/>
        <v>56</v>
      </c>
      <c r="L1186">
        <f t="shared" si="56"/>
        <v>0</v>
      </c>
      <c r="M1186">
        <v>56</v>
      </c>
      <c r="N1186" s="3">
        <v>47150</v>
      </c>
      <c r="O1186" s="6">
        <v>0</v>
      </c>
    </row>
    <row r="1187" spans="1:15">
      <c r="A1187" t="str">
        <f t="shared" si="54"/>
        <v>Papandayan 486 SL 20 X 1 ltr471190</v>
      </c>
      <c r="B1187" t="s">
        <v>11006</v>
      </c>
      <c r="C1187" t="s">
        <v>15569</v>
      </c>
      <c r="D1187" t="s">
        <v>13090</v>
      </c>
      <c r="E1187" t="s">
        <v>1530</v>
      </c>
      <c r="F1187">
        <v>20</v>
      </c>
      <c r="G1187">
        <v>1</v>
      </c>
      <c r="H1187">
        <v>1</v>
      </c>
      <c r="I1187">
        <v>20</v>
      </c>
      <c r="J1187">
        <v>19</v>
      </c>
      <c r="K1187">
        <f t="shared" si="55"/>
        <v>0</v>
      </c>
      <c r="L1187">
        <f t="shared" si="56"/>
        <v>19</v>
      </c>
      <c r="M1187">
        <v>19</v>
      </c>
      <c r="N1187" s="3">
        <v>47119</v>
      </c>
      <c r="O1187" s="6">
        <v>0</v>
      </c>
    </row>
    <row r="1188" spans="1:15">
      <c r="A1188" t="str">
        <f t="shared" si="54"/>
        <v>Papandayan 486 SL 20 X 1 ltr471780</v>
      </c>
      <c r="B1188" t="s">
        <v>11007</v>
      </c>
      <c r="C1188" t="s">
        <v>15570</v>
      </c>
      <c r="D1188" t="s">
        <v>13091</v>
      </c>
      <c r="E1188" t="s">
        <v>1530</v>
      </c>
      <c r="F1188">
        <v>20</v>
      </c>
      <c r="G1188">
        <v>1</v>
      </c>
      <c r="H1188">
        <v>1</v>
      </c>
      <c r="I1188">
        <v>20</v>
      </c>
      <c r="J1188">
        <v>6960</v>
      </c>
      <c r="K1188">
        <f t="shared" si="55"/>
        <v>348</v>
      </c>
      <c r="L1188">
        <f t="shared" si="56"/>
        <v>0</v>
      </c>
      <c r="M1188">
        <v>6960</v>
      </c>
      <c r="N1188" s="3">
        <v>47178</v>
      </c>
      <c r="O1188" s="6">
        <v>0</v>
      </c>
    </row>
    <row r="1189" spans="1:15">
      <c r="A1189" t="str">
        <f t="shared" si="54"/>
        <v>Papandayan 486 SL 20 X 1 ltr471500</v>
      </c>
      <c r="B1189" t="s">
        <v>11008</v>
      </c>
      <c r="C1189" t="s">
        <v>15571</v>
      </c>
      <c r="D1189" t="s">
        <v>13092</v>
      </c>
      <c r="E1189" t="s">
        <v>1530</v>
      </c>
      <c r="F1189">
        <v>20</v>
      </c>
      <c r="G1189">
        <v>1</v>
      </c>
      <c r="H1189">
        <v>1</v>
      </c>
      <c r="I1189">
        <v>20</v>
      </c>
      <c r="J1189">
        <v>2040</v>
      </c>
      <c r="K1189">
        <f t="shared" si="55"/>
        <v>102</v>
      </c>
      <c r="L1189">
        <f t="shared" si="56"/>
        <v>0</v>
      </c>
      <c r="M1189">
        <v>2040</v>
      </c>
      <c r="N1189" s="3">
        <v>47150</v>
      </c>
      <c r="O1189" s="6">
        <v>0</v>
      </c>
    </row>
    <row r="1190" spans="1:15">
      <c r="A1190" t="str">
        <f t="shared" si="54"/>
        <v>Papandayan 486 SL 4 X 5 ltr470580</v>
      </c>
      <c r="B1190" t="s">
        <v>11009</v>
      </c>
      <c r="C1190" t="s">
        <v>15572</v>
      </c>
      <c r="D1190" t="s">
        <v>13093</v>
      </c>
      <c r="E1190" t="s">
        <v>1531</v>
      </c>
      <c r="F1190">
        <v>4</v>
      </c>
      <c r="G1190">
        <v>1</v>
      </c>
      <c r="H1190">
        <v>1</v>
      </c>
      <c r="I1190">
        <v>4</v>
      </c>
      <c r="J1190">
        <v>70</v>
      </c>
      <c r="K1190">
        <f t="shared" si="55"/>
        <v>17</v>
      </c>
      <c r="L1190">
        <f t="shared" si="56"/>
        <v>2</v>
      </c>
      <c r="M1190">
        <v>70</v>
      </c>
      <c r="N1190" s="3">
        <v>47058</v>
      </c>
      <c r="O1190" s="6">
        <v>0</v>
      </c>
    </row>
    <row r="1191" spans="1:15">
      <c r="A1191" t="str">
        <f t="shared" si="54"/>
        <v>Papandayan 486 SL 4 X 5 ltr471780</v>
      </c>
      <c r="B1191" t="s">
        <v>11010</v>
      </c>
      <c r="C1191" t="s">
        <v>15573</v>
      </c>
      <c r="D1191" t="s">
        <v>13094</v>
      </c>
      <c r="E1191" t="s">
        <v>1531</v>
      </c>
      <c r="F1191">
        <v>4</v>
      </c>
      <c r="G1191">
        <v>1</v>
      </c>
      <c r="H1191">
        <v>1</v>
      </c>
      <c r="I1191">
        <v>4</v>
      </c>
      <c r="J1191">
        <v>200</v>
      </c>
      <c r="K1191">
        <f t="shared" si="55"/>
        <v>50</v>
      </c>
      <c r="L1191">
        <f t="shared" si="56"/>
        <v>0</v>
      </c>
      <c r="M1191">
        <v>200</v>
      </c>
      <c r="N1191" s="3">
        <v>47178</v>
      </c>
      <c r="O1191" s="6">
        <v>0</v>
      </c>
    </row>
    <row r="1192" spans="1:15">
      <c r="A1192" t="str">
        <f t="shared" si="54"/>
        <v>Paratop 276 SL 20 X 1 ltr469050</v>
      </c>
      <c r="B1192" t="s">
        <v>11011</v>
      </c>
      <c r="C1192" t="s">
        <v>15574</v>
      </c>
      <c r="D1192" t="s">
        <v>13095</v>
      </c>
      <c r="E1192" t="s">
        <v>1532</v>
      </c>
      <c r="F1192">
        <v>20</v>
      </c>
      <c r="G1192">
        <v>1</v>
      </c>
      <c r="H1192">
        <v>1</v>
      </c>
      <c r="I1192">
        <v>20</v>
      </c>
      <c r="J1192">
        <v>2045</v>
      </c>
      <c r="K1192">
        <f t="shared" si="55"/>
        <v>102</v>
      </c>
      <c r="L1192">
        <f t="shared" si="56"/>
        <v>5</v>
      </c>
      <c r="M1192">
        <v>2045</v>
      </c>
      <c r="N1192" s="3">
        <v>46905</v>
      </c>
      <c r="O1192" s="6">
        <v>0</v>
      </c>
    </row>
    <row r="1193" spans="1:15">
      <c r="A1193" t="str">
        <f t="shared" si="54"/>
        <v>Paratop 276 SL 20 X 1 ltr470270</v>
      </c>
      <c r="B1193" t="s">
        <v>11012</v>
      </c>
      <c r="C1193" t="s">
        <v>15575</v>
      </c>
      <c r="D1193" t="s">
        <v>13096</v>
      </c>
      <c r="E1193" t="s">
        <v>1532</v>
      </c>
      <c r="F1193">
        <v>20</v>
      </c>
      <c r="G1193">
        <v>1</v>
      </c>
      <c r="H1193">
        <v>1</v>
      </c>
      <c r="I1193">
        <v>20</v>
      </c>
      <c r="J1193">
        <v>9460</v>
      </c>
      <c r="K1193">
        <f t="shared" si="55"/>
        <v>473</v>
      </c>
      <c r="L1193">
        <f t="shared" si="56"/>
        <v>0</v>
      </c>
      <c r="M1193">
        <v>9460</v>
      </c>
      <c r="N1193" s="3">
        <v>47027</v>
      </c>
      <c r="O1193" s="6">
        <v>0</v>
      </c>
    </row>
    <row r="1194" spans="1:15">
      <c r="A1194" t="str">
        <f t="shared" si="54"/>
        <v>Paratop 276 SL 20 X 1 ltr469660</v>
      </c>
      <c r="B1194" t="s">
        <v>11013</v>
      </c>
      <c r="C1194" t="s">
        <v>15576</v>
      </c>
      <c r="D1194" t="s">
        <v>13097</v>
      </c>
      <c r="E1194" t="s">
        <v>1532</v>
      </c>
      <c r="F1194">
        <v>20</v>
      </c>
      <c r="G1194">
        <v>1</v>
      </c>
      <c r="H1194">
        <v>1</v>
      </c>
      <c r="I1194">
        <v>20</v>
      </c>
      <c r="J1194">
        <v>3500</v>
      </c>
      <c r="K1194">
        <f t="shared" si="55"/>
        <v>175</v>
      </c>
      <c r="L1194">
        <f t="shared" si="56"/>
        <v>0</v>
      </c>
      <c r="M1194">
        <v>3500</v>
      </c>
      <c r="N1194" s="3">
        <v>46966</v>
      </c>
      <c r="O1194" s="6">
        <v>0</v>
      </c>
    </row>
    <row r="1195" spans="1:15">
      <c r="A1195" t="str">
        <f t="shared" si="54"/>
        <v>Paratop 276 SL 20 X 500 ml464190</v>
      </c>
      <c r="B1195" t="s">
        <v>11014</v>
      </c>
      <c r="C1195" t="s">
        <v>15577</v>
      </c>
      <c r="D1195" t="s">
        <v>13098</v>
      </c>
      <c r="E1195" t="s">
        <v>1533</v>
      </c>
      <c r="F1195">
        <v>20</v>
      </c>
      <c r="G1195">
        <v>1</v>
      </c>
      <c r="H1195">
        <v>1</v>
      </c>
      <c r="I1195">
        <v>20</v>
      </c>
      <c r="J1195">
        <v>664</v>
      </c>
      <c r="K1195">
        <f t="shared" si="55"/>
        <v>33</v>
      </c>
      <c r="L1195">
        <f t="shared" si="56"/>
        <v>4</v>
      </c>
      <c r="M1195">
        <v>664</v>
      </c>
      <c r="N1195" s="3">
        <v>46419</v>
      </c>
      <c r="O1195" s="6">
        <v>0</v>
      </c>
    </row>
    <row r="1196" spans="1:15">
      <c r="A1196" t="str">
        <f t="shared" si="54"/>
        <v>Paratop 276 SL 20 X 500 ml464780</v>
      </c>
      <c r="B1196" t="s">
        <v>11015</v>
      </c>
      <c r="C1196" t="s">
        <v>15578</v>
      </c>
      <c r="D1196" t="s">
        <v>13099</v>
      </c>
      <c r="E1196" t="s">
        <v>1533</v>
      </c>
      <c r="F1196">
        <v>20</v>
      </c>
      <c r="G1196">
        <v>1</v>
      </c>
      <c r="H1196">
        <v>1</v>
      </c>
      <c r="I1196">
        <v>20</v>
      </c>
      <c r="J1196">
        <v>2000</v>
      </c>
      <c r="K1196">
        <f t="shared" si="55"/>
        <v>100</v>
      </c>
      <c r="L1196">
        <f t="shared" si="56"/>
        <v>0</v>
      </c>
      <c r="M1196">
        <v>2000</v>
      </c>
      <c r="N1196" s="3">
        <v>46478</v>
      </c>
      <c r="O1196" s="6">
        <v>0</v>
      </c>
    </row>
    <row r="1197" spans="1:15">
      <c r="A1197" t="str">
        <f t="shared" si="54"/>
        <v>Parcel Paket A1/1/10000</v>
      </c>
      <c r="B1197" t="s">
        <v>11016</v>
      </c>
      <c r="C1197" t="s">
        <v>15579</v>
      </c>
      <c r="D1197" t="s">
        <v>13100</v>
      </c>
      <c r="E1197" t="s">
        <v>1534</v>
      </c>
      <c r="F1197">
        <v>1</v>
      </c>
      <c r="G1197">
        <v>1</v>
      </c>
      <c r="H1197">
        <v>1</v>
      </c>
      <c r="I1197">
        <v>1</v>
      </c>
      <c r="J1197">
        <v>106</v>
      </c>
      <c r="K1197">
        <f t="shared" si="55"/>
        <v>106</v>
      </c>
      <c r="L1197">
        <f t="shared" si="56"/>
        <v>0</v>
      </c>
      <c r="M1197">
        <v>106</v>
      </c>
      <c r="N1197" s="3" t="s">
        <v>2222</v>
      </c>
      <c r="O1197" s="6">
        <v>0</v>
      </c>
    </row>
    <row r="1198" spans="1:15">
      <c r="A1198" t="str">
        <f t="shared" si="54"/>
        <v>Parcel Paket B1/1/10000</v>
      </c>
      <c r="B1198" t="s">
        <v>11017</v>
      </c>
      <c r="C1198" t="s">
        <v>15580</v>
      </c>
      <c r="D1198" t="s">
        <v>13101</v>
      </c>
      <c r="E1198" t="s">
        <v>1535</v>
      </c>
      <c r="F1198">
        <v>1</v>
      </c>
      <c r="G1198">
        <v>1</v>
      </c>
      <c r="H1198">
        <v>1</v>
      </c>
      <c r="I1198">
        <v>1</v>
      </c>
      <c r="J1198">
        <v>46</v>
      </c>
      <c r="K1198">
        <f t="shared" si="55"/>
        <v>46</v>
      </c>
      <c r="L1198">
        <f t="shared" si="56"/>
        <v>0</v>
      </c>
      <c r="M1198">
        <v>46</v>
      </c>
      <c r="N1198" s="3" t="s">
        <v>2222</v>
      </c>
      <c r="O1198" s="6">
        <v>0</v>
      </c>
    </row>
    <row r="1199" spans="1:15">
      <c r="A1199" t="str">
        <f t="shared" si="54"/>
        <v>Parcel Paket C1/1/10000</v>
      </c>
      <c r="B1199" t="s">
        <v>11018</v>
      </c>
      <c r="C1199" t="s">
        <v>15581</v>
      </c>
      <c r="D1199" t="s">
        <v>13102</v>
      </c>
      <c r="E1199" t="s">
        <v>1536</v>
      </c>
      <c r="F1199">
        <v>1</v>
      </c>
      <c r="G1199">
        <v>1</v>
      </c>
      <c r="H1199">
        <v>1</v>
      </c>
      <c r="I1199">
        <v>1</v>
      </c>
      <c r="J1199">
        <v>74</v>
      </c>
      <c r="K1199">
        <f t="shared" si="55"/>
        <v>74</v>
      </c>
      <c r="L1199">
        <f t="shared" si="56"/>
        <v>0</v>
      </c>
      <c r="M1199">
        <v>74</v>
      </c>
      <c r="N1199" s="3" t="s">
        <v>2222</v>
      </c>
      <c r="O1199" s="6">
        <v>0</v>
      </c>
    </row>
    <row r="1200" spans="1:15">
      <c r="A1200" t="str">
        <f t="shared" si="54"/>
        <v>Parcel Paket D1/1/10000</v>
      </c>
      <c r="B1200" t="s">
        <v>11019</v>
      </c>
      <c r="C1200" t="s">
        <v>15582</v>
      </c>
      <c r="D1200" t="s">
        <v>13103</v>
      </c>
      <c r="E1200" t="s">
        <v>1537</v>
      </c>
      <c r="F1200">
        <v>1</v>
      </c>
      <c r="G1200">
        <v>1</v>
      </c>
      <c r="H1200">
        <v>1</v>
      </c>
      <c r="I1200">
        <v>1</v>
      </c>
      <c r="J1200">
        <v>299</v>
      </c>
      <c r="K1200">
        <f t="shared" si="55"/>
        <v>299</v>
      </c>
      <c r="L1200">
        <f t="shared" si="56"/>
        <v>0</v>
      </c>
      <c r="M1200">
        <v>299</v>
      </c>
      <c r="N1200" s="3" t="s">
        <v>2222</v>
      </c>
      <c r="O1200" s="6">
        <v>0</v>
      </c>
    </row>
    <row r="1201" spans="1:15">
      <c r="A1201" t="str">
        <f t="shared" si="54"/>
        <v>Parcel Paket E1/1/10000</v>
      </c>
      <c r="B1201" t="s">
        <v>11020</v>
      </c>
      <c r="C1201" t="s">
        <v>15583</v>
      </c>
      <c r="D1201" t="s">
        <v>13104</v>
      </c>
      <c r="E1201" t="s">
        <v>1538</v>
      </c>
      <c r="F1201">
        <v>1</v>
      </c>
      <c r="G1201">
        <v>1</v>
      </c>
      <c r="H1201">
        <v>1</v>
      </c>
      <c r="I1201">
        <v>1</v>
      </c>
      <c r="J1201">
        <v>214</v>
      </c>
      <c r="K1201">
        <f t="shared" si="55"/>
        <v>214</v>
      </c>
      <c r="L1201">
        <f t="shared" si="56"/>
        <v>0</v>
      </c>
      <c r="M1201">
        <v>214</v>
      </c>
      <c r="N1201" s="3" t="s">
        <v>2222</v>
      </c>
      <c r="O1201" s="6">
        <v>0</v>
      </c>
    </row>
    <row r="1202" spans="1:15">
      <c r="A1202" t="str">
        <f t="shared" si="54"/>
        <v>Parcel Paket Sembako1/1/10000</v>
      </c>
      <c r="B1202" t="s">
        <v>11021</v>
      </c>
      <c r="C1202" t="s">
        <v>15584</v>
      </c>
      <c r="D1202" t="s">
        <v>13105</v>
      </c>
      <c r="E1202" t="s">
        <v>1539</v>
      </c>
      <c r="F1202">
        <v>1</v>
      </c>
      <c r="G1202">
        <v>1</v>
      </c>
      <c r="H1202">
        <v>1</v>
      </c>
      <c r="I1202">
        <v>1</v>
      </c>
      <c r="J1202">
        <v>80</v>
      </c>
      <c r="K1202">
        <f t="shared" si="55"/>
        <v>80</v>
      </c>
      <c r="L1202">
        <f t="shared" si="56"/>
        <v>0</v>
      </c>
      <c r="M1202">
        <v>80</v>
      </c>
      <c r="N1202" s="3" t="s">
        <v>2222</v>
      </c>
      <c r="O1202" s="6">
        <v>0</v>
      </c>
    </row>
    <row r="1203" spans="1:15">
      <c r="A1203" t="str">
        <f t="shared" si="54"/>
        <v>Paskal 50 WP 20 X 500 gr462350</v>
      </c>
      <c r="B1203" t="s">
        <v>11022</v>
      </c>
      <c r="C1203" t="s">
        <v>15585</v>
      </c>
      <c r="D1203" t="s">
        <v>13106</v>
      </c>
      <c r="E1203" t="s">
        <v>1542</v>
      </c>
      <c r="F1203">
        <v>20</v>
      </c>
      <c r="G1203">
        <v>1</v>
      </c>
      <c r="H1203">
        <v>1</v>
      </c>
      <c r="I1203">
        <v>20</v>
      </c>
      <c r="J1203">
        <v>100</v>
      </c>
      <c r="K1203">
        <f t="shared" si="55"/>
        <v>5</v>
      </c>
      <c r="L1203">
        <f t="shared" si="56"/>
        <v>0</v>
      </c>
      <c r="M1203">
        <v>100</v>
      </c>
      <c r="N1203" s="3">
        <v>46235</v>
      </c>
      <c r="O1203" s="6">
        <v>0</v>
      </c>
    </row>
    <row r="1204" spans="1:15">
      <c r="A1204" t="str">
        <f t="shared" si="54"/>
        <v>Paskal 50 WP 20 X 500 gr466920</v>
      </c>
      <c r="B1204" t="s">
        <v>11023</v>
      </c>
      <c r="C1204" t="s">
        <v>15586</v>
      </c>
      <c r="D1204" t="s">
        <v>13107</v>
      </c>
      <c r="E1204" t="s">
        <v>1542</v>
      </c>
      <c r="F1204">
        <v>20</v>
      </c>
      <c r="G1204">
        <v>1</v>
      </c>
      <c r="H1204">
        <v>1</v>
      </c>
      <c r="I1204">
        <v>20</v>
      </c>
      <c r="J1204">
        <v>480</v>
      </c>
      <c r="K1204">
        <f t="shared" si="55"/>
        <v>24</v>
      </c>
      <c r="L1204">
        <f t="shared" si="56"/>
        <v>0</v>
      </c>
      <c r="M1204">
        <v>480</v>
      </c>
      <c r="N1204" s="3">
        <v>46692</v>
      </c>
      <c r="O1204" s="6">
        <v>0</v>
      </c>
    </row>
    <row r="1205" spans="1:15">
      <c r="A1205" t="str">
        <f t="shared" si="54"/>
        <v>Paskal 50 WP 24 X 250 gr466920</v>
      </c>
      <c r="B1205" t="s">
        <v>11024</v>
      </c>
      <c r="C1205" t="s">
        <v>15587</v>
      </c>
      <c r="D1205" t="s">
        <v>13108</v>
      </c>
      <c r="E1205" t="s">
        <v>1546</v>
      </c>
      <c r="F1205">
        <v>24</v>
      </c>
      <c r="G1205">
        <v>1</v>
      </c>
      <c r="H1205">
        <v>1</v>
      </c>
      <c r="I1205">
        <v>24</v>
      </c>
      <c r="J1205">
        <v>441</v>
      </c>
      <c r="K1205">
        <f t="shared" si="55"/>
        <v>18</v>
      </c>
      <c r="L1205">
        <f t="shared" si="56"/>
        <v>9</v>
      </c>
      <c r="M1205">
        <v>441</v>
      </c>
      <c r="N1205" s="3">
        <v>46692</v>
      </c>
      <c r="O1205" s="6">
        <v>0</v>
      </c>
    </row>
    <row r="1206" spans="1:15">
      <c r="A1206" t="str">
        <f t="shared" si="54"/>
        <v>Paskal 50 WP 24 X 250 gr462350</v>
      </c>
      <c r="B1206" t="s">
        <v>11025</v>
      </c>
      <c r="C1206" t="s">
        <v>15588</v>
      </c>
      <c r="D1206" t="s">
        <v>13109</v>
      </c>
      <c r="E1206" t="s">
        <v>1546</v>
      </c>
      <c r="F1206">
        <v>24</v>
      </c>
      <c r="G1206">
        <v>1</v>
      </c>
      <c r="H1206">
        <v>1</v>
      </c>
      <c r="I1206">
        <v>24</v>
      </c>
      <c r="J1206">
        <v>532</v>
      </c>
      <c r="K1206">
        <f t="shared" si="55"/>
        <v>22</v>
      </c>
      <c r="L1206">
        <f t="shared" si="56"/>
        <v>4</v>
      </c>
      <c r="M1206">
        <v>532</v>
      </c>
      <c r="N1206" s="3">
        <v>46235</v>
      </c>
      <c r="O1206" s="6">
        <v>0</v>
      </c>
    </row>
    <row r="1207" spans="1:15">
      <c r="A1207" t="str">
        <f t="shared" si="54"/>
        <v>Paskal 50 WP 32 X 250 gr466920</v>
      </c>
      <c r="B1207" t="s">
        <v>11026</v>
      </c>
      <c r="C1207" t="s">
        <v>15589</v>
      </c>
      <c r="D1207" t="s">
        <v>13110</v>
      </c>
      <c r="E1207" t="s">
        <v>1548</v>
      </c>
      <c r="F1207">
        <v>32</v>
      </c>
      <c r="G1207">
        <v>1</v>
      </c>
      <c r="H1207">
        <v>1</v>
      </c>
      <c r="I1207">
        <v>32</v>
      </c>
      <c r="J1207">
        <v>160</v>
      </c>
      <c r="K1207">
        <f t="shared" si="55"/>
        <v>5</v>
      </c>
      <c r="L1207">
        <f t="shared" si="56"/>
        <v>0</v>
      </c>
      <c r="M1207">
        <v>160</v>
      </c>
      <c r="N1207" s="3">
        <v>46692</v>
      </c>
      <c r="O1207" s="6">
        <v>0</v>
      </c>
    </row>
    <row r="1208" spans="1:15">
      <c r="A1208" t="str">
        <f t="shared" si="54"/>
        <v>Paskal 50 WP 60 X 100 gr466920</v>
      </c>
      <c r="B1208" t="s">
        <v>11027</v>
      </c>
      <c r="C1208" t="s">
        <v>15590</v>
      </c>
      <c r="D1208" t="s">
        <v>13111</v>
      </c>
      <c r="E1208" t="s">
        <v>1550</v>
      </c>
      <c r="F1208">
        <v>60</v>
      </c>
      <c r="G1208">
        <v>1</v>
      </c>
      <c r="H1208">
        <v>1</v>
      </c>
      <c r="I1208">
        <v>60</v>
      </c>
      <c r="J1208">
        <v>3068</v>
      </c>
      <c r="K1208">
        <f t="shared" si="55"/>
        <v>51</v>
      </c>
      <c r="L1208">
        <f t="shared" si="56"/>
        <v>8</v>
      </c>
      <c r="M1208">
        <v>3068</v>
      </c>
      <c r="N1208" s="3">
        <v>46692</v>
      </c>
      <c r="O1208" s="6">
        <v>0</v>
      </c>
    </row>
    <row r="1209" spans="1:15">
      <c r="A1209" t="str">
        <f t="shared" si="54"/>
        <v>Passxone 276 SL 20 ltr465080</v>
      </c>
      <c r="B1209" t="s">
        <v>11028</v>
      </c>
      <c r="C1209" t="s">
        <v>15591</v>
      </c>
      <c r="D1209" t="s">
        <v>13112</v>
      </c>
      <c r="E1209" t="s">
        <v>1554</v>
      </c>
      <c r="F1209">
        <v>1</v>
      </c>
      <c r="G1209">
        <v>1</v>
      </c>
      <c r="H1209">
        <v>1</v>
      </c>
      <c r="I1209">
        <v>1</v>
      </c>
      <c r="J1209">
        <v>45</v>
      </c>
      <c r="K1209">
        <f t="shared" si="55"/>
        <v>45</v>
      </c>
      <c r="L1209">
        <f t="shared" si="56"/>
        <v>0</v>
      </c>
      <c r="M1209">
        <v>45</v>
      </c>
      <c r="N1209" s="3">
        <v>46508</v>
      </c>
      <c r="O1209" s="6">
        <v>0</v>
      </c>
    </row>
    <row r="1210" spans="1:15">
      <c r="A1210" t="str">
        <f t="shared" si="54"/>
        <v>Passxone 276 SL 20 ltr464780</v>
      </c>
      <c r="B1210" t="s">
        <v>11029</v>
      </c>
      <c r="C1210" t="s">
        <v>15592</v>
      </c>
      <c r="D1210" t="s">
        <v>13113</v>
      </c>
      <c r="E1210" t="s">
        <v>1554</v>
      </c>
      <c r="F1210">
        <v>1</v>
      </c>
      <c r="G1210">
        <v>1</v>
      </c>
      <c r="H1210">
        <v>1</v>
      </c>
      <c r="I1210">
        <v>1</v>
      </c>
      <c r="J1210">
        <v>148</v>
      </c>
      <c r="K1210">
        <f t="shared" si="55"/>
        <v>148</v>
      </c>
      <c r="L1210">
        <f t="shared" si="56"/>
        <v>0</v>
      </c>
      <c r="M1210">
        <v>148</v>
      </c>
      <c r="N1210" s="3">
        <v>46478</v>
      </c>
      <c r="O1210" s="6">
        <v>0</v>
      </c>
    </row>
    <row r="1211" spans="1:15">
      <c r="A1211" t="str">
        <f t="shared" si="54"/>
        <v>Passxone 276 SL 20 ltr469970</v>
      </c>
      <c r="B1211" t="s">
        <v>11030</v>
      </c>
      <c r="C1211" t="s">
        <v>15593</v>
      </c>
      <c r="D1211" t="s">
        <v>13114</v>
      </c>
      <c r="E1211" t="s">
        <v>1554</v>
      </c>
      <c r="F1211">
        <v>1</v>
      </c>
      <c r="G1211">
        <v>1</v>
      </c>
      <c r="H1211">
        <v>1</v>
      </c>
      <c r="I1211">
        <v>1</v>
      </c>
      <c r="J1211">
        <v>50</v>
      </c>
      <c r="K1211">
        <f t="shared" si="55"/>
        <v>50</v>
      </c>
      <c r="L1211">
        <f t="shared" si="56"/>
        <v>0</v>
      </c>
      <c r="M1211">
        <v>50</v>
      </c>
      <c r="N1211" s="3">
        <v>46997</v>
      </c>
      <c r="O1211" s="6">
        <v>0</v>
      </c>
    </row>
    <row r="1212" spans="1:15">
      <c r="A1212" t="str">
        <f t="shared" si="54"/>
        <v>Passxone 276 SL 20 X 1 ltr464780</v>
      </c>
      <c r="B1212" t="s">
        <v>11031</v>
      </c>
      <c r="C1212" t="s">
        <v>15594</v>
      </c>
      <c r="D1212" t="s">
        <v>13115</v>
      </c>
      <c r="E1212" t="s">
        <v>1555</v>
      </c>
      <c r="F1212">
        <v>20</v>
      </c>
      <c r="G1212">
        <v>1</v>
      </c>
      <c r="H1212">
        <v>1</v>
      </c>
      <c r="I1212">
        <v>20</v>
      </c>
      <c r="J1212">
        <v>14665</v>
      </c>
      <c r="K1212">
        <f t="shared" si="55"/>
        <v>733</v>
      </c>
      <c r="L1212">
        <f t="shared" si="56"/>
        <v>5</v>
      </c>
      <c r="M1212">
        <v>14665</v>
      </c>
      <c r="N1212" s="3">
        <v>46478</v>
      </c>
      <c r="O1212" s="6">
        <v>0</v>
      </c>
    </row>
    <row r="1213" spans="1:15">
      <c r="A1213" t="str">
        <f t="shared" si="54"/>
        <v>Passxone 276 SL 4 X 5 ltr464780</v>
      </c>
      <c r="B1213" t="s">
        <v>11032</v>
      </c>
      <c r="C1213" t="s">
        <v>15595</v>
      </c>
      <c r="D1213" t="s">
        <v>13116</v>
      </c>
      <c r="E1213" t="s">
        <v>1556</v>
      </c>
      <c r="F1213">
        <v>4</v>
      </c>
      <c r="G1213">
        <v>1</v>
      </c>
      <c r="H1213">
        <v>1</v>
      </c>
      <c r="I1213">
        <v>4</v>
      </c>
      <c r="J1213">
        <v>300</v>
      </c>
      <c r="K1213">
        <f t="shared" si="55"/>
        <v>75</v>
      </c>
      <c r="L1213">
        <f t="shared" si="56"/>
        <v>0</v>
      </c>
      <c r="M1213">
        <v>300</v>
      </c>
      <c r="N1213" s="3">
        <v>46478</v>
      </c>
      <c r="O1213" s="6">
        <v>0</v>
      </c>
    </row>
    <row r="1214" spans="1:15">
      <c r="A1214" t="str">
        <f t="shared" si="54"/>
        <v>Payung Java Karlos1/1/10000</v>
      </c>
      <c r="B1214" t="s">
        <v>11033</v>
      </c>
      <c r="C1214" t="s">
        <v>15596</v>
      </c>
      <c r="D1214" t="s">
        <v>13117</v>
      </c>
      <c r="E1214" t="s">
        <v>1557</v>
      </c>
      <c r="F1214">
        <v>1</v>
      </c>
      <c r="G1214">
        <v>1</v>
      </c>
      <c r="H1214">
        <v>1</v>
      </c>
      <c r="I1214">
        <v>1</v>
      </c>
      <c r="J1214">
        <v>53</v>
      </c>
      <c r="K1214">
        <f t="shared" si="55"/>
        <v>53</v>
      </c>
      <c r="L1214">
        <f t="shared" si="56"/>
        <v>0</v>
      </c>
      <c r="M1214">
        <v>53</v>
      </c>
      <c r="N1214" s="3" t="s">
        <v>2222</v>
      </c>
      <c r="O1214" s="6">
        <v>0</v>
      </c>
    </row>
    <row r="1215" spans="1:15">
      <c r="A1215" t="str">
        <f t="shared" si="54"/>
        <v>Payung Lipat1/1/10000</v>
      </c>
      <c r="B1215" t="s">
        <v>11034</v>
      </c>
      <c r="C1215" t="s">
        <v>15597</v>
      </c>
      <c r="D1215" t="s">
        <v>13118</v>
      </c>
      <c r="E1215" t="s">
        <v>1558</v>
      </c>
      <c r="F1215">
        <v>1</v>
      </c>
      <c r="G1215">
        <v>1</v>
      </c>
      <c r="H1215">
        <v>1</v>
      </c>
      <c r="I1215">
        <v>1</v>
      </c>
      <c r="J1215">
        <v>4</v>
      </c>
      <c r="K1215">
        <f t="shared" si="55"/>
        <v>4</v>
      </c>
      <c r="L1215">
        <f t="shared" si="56"/>
        <v>0</v>
      </c>
      <c r="M1215">
        <v>4</v>
      </c>
      <c r="N1215" s="3" t="s">
        <v>2222</v>
      </c>
      <c r="O1215" s="6">
        <v>0</v>
      </c>
    </row>
    <row r="1216" spans="1:15">
      <c r="A1216" t="str">
        <f t="shared" si="54"/>
        <v>Pegasus 500 SC 50 X 80 ml463880</v>
      </c>
      <c r="B1216" t="s">
        <v>11035</v>
      </c>
      <c r="C1216" t="s">
        <v>15598</v>
      </c>
      <c r="D1216" t="s">
        <v>13119</v>
      </c>
      <c r="E1216" t="s">
        <v>1559</v>
      </c>
      <c r="F1216">
        <v>50</v>
      </c>
      <c r="G1216">
        <v>1</v>
      </c>
      <c r="H1216">
        <v>1</v>
      </c>
      <c r="I1216">
        <v>50</v>
      </c>
      <c r="J1216">
        <v>4575</v>
      </c>
      <c r="K1216">
        <f t="shared" si="55"/>
        <v>91</v>
      </c>
      <c r="L1216">
        <f t="shared" si="56"/>
        <v>25</v>
      </c>
      <c r="M1216">
        <v>4575</v>
      </c>
      <c r="N1216" s="3">
        <v>46388</v>
      </c>
      <c r="O1216" s="6">
        <v>0</v>
      </c>
    </row>
    <row r="1217" spans="1:15">
      <c r="A1217" t="str">
        <f t="shared" si="54"/>
        <v>Pegasus 500 SC 50 X 80 ml466000</v>
      </c>
      <c r="B1217" t="s">
        <v>11036</v>
      </c>
      <c r="C1217" t="s">
        <v>15599</v>
      </c>
      <c r="D1217" t="s">
        <v>13120</v>
      </c>
      <c r="E1217" t="s">
        <v>1559</v>
      </c>
      <c r="F1217">
        <v>50</v>
      </c>
      <c r="G1217">
        <v>1</v>
      </c>
      <c r="H1217">
        <v>1</v>
      </c>
      <c r="I1217">
        <v>50</v>
      </c>
      <c r="J1217">
        <v>30000</v>
      </c>
      <c r="K1217">
        <f t="shared" si="55"/>
        <v>600</v>
      </c>
      <c r="L1217">
        <f t="shared" si="56"/>
        <v>0</v>
      </c>
      <c r="M1217">
        <v>30000</v>
      </c>
      <c r="N1217" s="3">
        <v>46600</v>
      </c>
      <c r="O1217" s="6">
        <v>0</v>
      </c>
    </row>
    <row r="1218" spans="1:15">
      <c r="A1218" t="str">
        <f t="shared" si="54"/>
        <v>Pegasus 500 SC 50 X 80 ml465390</v>
      </c>
      <c r="B1218" t="s">
        <v>11037</v>
      </c>
      <c r="C1218" t="s">
        <v>15600</v>
      </c>
      <c r="D1218" t="s">
        <v>13121</v>
      </c>
      <c r="E1218" t="s">
        <v>1559</v>
      </c>
      <c r="F1218">
        <v>50</v>
      </c>
      <c r="G1218">
        <v>1</v>
      </c>
      <c r="H1218">
        <v>1</v>
      </c>
      <c r="I1218">
        <v>50</v>
      </c>
      <c r="J1218">
        <v>9350</v>
      </c>
      <c r="K1218">
        <f t="shared" si="55"/>
        <v>187</v>
      </c>
      <c r="L1218">
        <f t="shared" si="56"/>
        <v>0</v>
      </c>
      <c r="M1218">
        <v>9350</v>
      </c>
      <c r="N1218" s="3">
        <v>46539</v>
      </c>
      <c r="O1218" s="6">
        <v>0</v>
      </c>
    </row>
    <row r="1219" spans="1:15">
      <c r="A1219" t="str">
        <f t="shared" ref="A1219:A1282" si="57">E1219&amp;N1219&amp;O1219</f>
        <v>Pelatuk S-041/1/10000</v>
      </c>
      <c r="B1219" t="s">
        <v>11038</v>
      </c>
      <c r="C1219" t="s">
        <v>15601</v>
      </c>
      <c r="D1219" t="s">
        <v>13122</v>
      </c>
      <c r="E1219" t="s">
        <v>1566</v>
      </c>
      <c r="F1219">
        <v>1</v>
      </c>
      <c r="G1219">
        <v>1</v>
      </c>
      <c r="H1219">
        <v>1</v>
      </c>
      <c r="I1219">
        <v>1</v>
      </c>
      <c r="J1219">
        <v>9</v>
      </c>
      <c r="K1219">
        <f t="shared" ref="K1219:K1282" si="58">ROUNDDOWN(J1219/I1219,0)</f>
        <v>9</v>
      </c>
      <c r="L1219">
        <f t="shared" ref="L1219:L1282" si="59">J1219-K1219*I1219</f>
        <v>0</v>
      </c>
      <c r="M1219">
        <v>9</v>
      </c>
      <c r="N1219" s="3" t="s">
        <v>2222</v>
      </c>
      <c r="O1219" s="6">
        <v>0</v>
      </c>
    </row>
    <row r="1220" spans="1:15">
      <c r="A1220" t="str">
        <f t="shared" si="57"/>
        <v>Pelatuk/Trigger1/1/10000</v>
      </c>
      <c r="B1220" t="s">
        <v>11039</v>
      </c>
      <c r="C1220" t="s">
        <v>15602</v>
      </c>
      <c r="D1220" t="s">
        <v>13123</v>
      </c>
      <c r="E1220" t="s">
        <v>1567</v>
      </c>
      <c r="F1220">
        <v>1</v>
      </c>
      <c r="G1220">
        <v>1</v>
      </c>
      <c r="H1220">
        <v>1</v>
      </c>
      <c r="I1220">
        <v>1</v>
      </c>
      <c r="J1220">
        <v>15</v>
      </c>
      <c r="K1220">
        <f t="shared" si="58"/>
        <v>15</v>
      </c>
      <c r="L1220">
        <f t="shared" si="59"/>
        <v>0</v>
      </c>
      <c r="M1220">
        <v>15</v>
      </c>
      <c r="N1220" s="3" t="s">
        <v>2222</v>
      </c>
      <c r="O1220" s="6">
        <v>0</v>
      </c>
    </row>
    <row r="1221" spans="1:15">
      <c r="A1221" t="str">
        <f t="shared" si="57"/>
        <v>Pelle 50 EC 15 X 1 ltr457480</v>
      </c>
      <c r="B1221" t="s">
        <v>11040</v>
      </c>
      <c r="C1221" t="s">
        <v>15603</v>
      </c>
      <c r="D1221" t="s">
        <v>13124</v>
      </c>
      <c r="E1221" t="s">
        <v>1568</v>
      </c>
      <c r="F1221">
        <v>15</v>
      </c>
      <c r="G1221">
        <v>1</v>
      </c>
      <c r="H1221">
        <v>1</v>
      </c>
      <c r="I1221">
        <v>15</v>
      </c>
      <c r="J1221">
        <v>330</v>
      </c>
      <c r="K1221">
        <f t="shared" si="58"/>
        <v>22</v>
      </c>
      <c r="L1221">
        <f t="shared" si="59"/>
        <v>0</v>
      </c>
      <c r="M1221">
        <v>330</v>
      </c>
      <c r="N1221" s="3">
        <v>45748</v>
      </c>
      <c r="O1221" s="6">
        <v>0</v>
      </c>
    </row>
    <row r="1222" spans="1:15">
      <c r="A1222" t="str">
        <f t="shared" si="57"/>
        <v>Pelle 50 EC 20 X 400 ml457170</v>
      </c>
      <c r="B1222" t="s">
        <v>11041</v>
      </c>
      <c r="C1222" t="s">
        <v>15604</v>
      </c>
      <c r="D1222" t="s">
        <v>13125</v>
      </c>
      <c r="E1222" t="s">
        <v>1570</v>
      </c>
      <c r="F1222">
        <v>20</v>
      </c>
      <c r="G1222">
        <v>1</v>
      </c>
      <c r="H1222">
        <v>1</v>
      </c>
      <c r="I1222">
        <v>20</v>
      </c>
      <c r="J1222">
        <v>500</v>
      </c>
      <c r="K1222">
        <f t="shared" si="58"/>
        <v>25</v>
      </c>
      <c r="L1222">
        <f t="shared" si="59"/>
        <v>0</v>
      </c>
      <c r="M1222">
        <v>500</v>
      </c>
      <c r="N1222" s="3">
        <v>45717</v>
      </c>
      <c r="O1222" s="6">
        <v>0</v>
      </c>
    </row>
    <row r="1223" spans="1:15">
      <c r="A1223" t="str">
        <f t="shared" si="57"/>
        <v>Penta So-Z 505 SL 20 X 1 ltr467530</v>
      </c>
      <c r="B1223" t="s">
        <v>11042</v>
      </c>
      <c r="C1223" t="s">
        <v>15605</v>
      </c>
      <c r="D1223" t="s">
        <v>13126</v>
      </c>
      <c r="E1223" t="s">
        <v>1572</v>
      </c>
      <c r="F1223">
        <v>20</v>
      </c>
      <c r="G1223">
        <v>1</v>
      </c>
      <c r="H1223">
        <v>1</v>
      </c>
      <c r="I1223">
        <v>20</v>
      </c>
      <c r="J1223">
        <v>18</v>
      </c>
      <c r="K1223">
        <f t="shared" si="58"/>
        <v>0</v>
      </c>
      <c r="L1223">
        <f t="shared" si="59"/>
        <v>18</v>
      </c>
      <c r="M1223">
        <v>18</v>
      </c>
      <c r="N1223" s="3">
        <v>46753</v>
      </c>
      <c r="O1223" s="6">
        <v>0</v>
      </c>
    </row>
    <row r="1224" spans="1:15">
      <c r="A1224" t="str">
        <f t="shared" si="57"/>
        <v>Penta So-Z 505 SL 20 X 1 ltr469660</v>
      </c>
      <c r="B1224" t="s">
        <v>11043</v>
      </c>
      <c r="C1224" t="s">
        <v>15606</v>
      </c>
      <c r="D1224" t="s">
        <v>13127</v>
      </c>
      <c r="E1224" t="s">
        <v>1572</v>
      </c>
      <c r="F1224">
        <v>20</v>
      </c>
      <c r="G1224">
        <v>1</v>
      </c>
      <c r="H1224">
        <v>1</v>
      </c>
      <c r="I1224">
        <v>20</v>
      </c>
      <c r="J1224">
        <v>3920</v>
      </c>
      <c r="K1224">
        <f t="shared" si="58"/>
        <v>196</v>
      </c>
      <c r="L1224">
        <f t="shared" si="59"/>
        <v>0</v>
      </c>
      <c r="M1224">
        <v>3920</v>
      </c>
      <c r="N1224" s="3">
        <v>46966</v>
      </c>
      <c r="O1224" s="6">
        <v>0</v>
      </c>
    </row>
    <row r="1225" spans="1:15">
      <c r="A1225" t="str">
        <f t="shared" si="57"/>
        <v>Pentagon 100 ml (Sample)1/1/10000</v>
      </c>
      <c r="B1225" t="s">
        <v>11044</v>
      </c>
      <c r="C1225" t="s">
        <v>15607</v>
      </c>
      <c r="D1225" t="s">
        <v>13128</v>
      </c>
      <c r="E1225" t="s">
        <v>1573</v>
      </c>
      <c r="F1225">
        <v>1</v>
      </c>
      <c r="G1225">
        <v>1</v>
      </c>
      <c r="H1225">
        <v>1</v>
      </c>
      <c r="I1225">
        <v>1</v>
      </c>
      <c r="J1225">
        <v>74</v>
      </c>
      <c r="K1225">
        <f t="shared" si="58"/>
        <v>74</v>
      </c>
      <c r="L1225">
        <f t="shared" si="59"/>
        <v>0</v>
      </c>
      <c r="M1225">
        <v>74</v>
      </c>
      <c r="N1225" s="3" t="s">
        <v>2222</v>
      </c>
      <c r="O1225" s="6">
        <v>0</v>
      </c>
    </row>
    <row r="1226" spans="1:15">
      <c r="A1226" t="str">
        <f t="shared" si="57"/>
        <v>Pentagon 50 ml (Sample)1/1/10000</v>
      </c>
      <c r="B1226" t="s">
        <v>11045</v>
      </c>
      <c r="C1226" t="s">
        <v>15608</v>
      </c>
      <c r="D1226" t="s">
        <v>13129</v>
      </c>
      <c r="E1226" t="s">
        <v>1574</v>
      </c>
      <c r="F1226">
        <v>1</v>
      </c>
      <c r="G1226">
        <v>1</v>
      </c>
      <c r="H1226">
        <v>1</v>
      </c>
      <c r="I1226">
        <v>1</v>
      </c>
      <c r="J1226">
        <v>48</v>
      </c>
      <c r="K1226">
        <f t="shared" si="58"/>
        <v>48</v>
      </c>
      <c r="L1226">
        <f t="shared" si="59"/>
        <v>0</v>
      </c>
      <c r="M1226">
        <v>48</v>
      </c>
      <c r="N1226" s="3" t="s">
        <v>2222</v>
      </c>
      <c r="O1226" s="6">
        <v>0</v>
      </c>
    </row>
    <row r="1227" spans="1:15">
      <c r="A1227" t="str">
        <f t="shared" si="57"/>
        <v>Pentazol 80 X 60 gr (Sample)1/1/10000</v>
      </c>
      <c r="B1227" t="s">
        <v>11046</v>
      </c>
      <c r="C1227" t="s">
        <v>15609</v>
      </c>
      <c r="D1227" t="s">
        <v>13130</v>
      </c>
      <c r="E1227" t="s">
        <v>1575</v>
      </c>
      <c r="F1227">
        <v>80</v>
      </c>
      <c r="G1227">
        <v>1</v>
      </c>
      <c r="H1227">
        <v>1</v>
      </c>
      <c r="I1227">
        <v>80</v>
      </c>
      <c r="J1227">
        <v>80</v>
      </c>
      <c r="K1227">
        <f t="shared" si="58"/>
        <v>1</v>
      </c>
      <c r="L1227">
        <f t="shared" si="59"/>
        <v>0</v>
      </c>
      <c r="M1227">
        <v>80</v>
      </c>
      <c r="N1227" s="3" t="s">
        <v>2222</v>
      </c>
      <c r="O1227" s="6">
        <v>0</v>
      </c>
    </row>
    <row r="1228" spans="1:15">
      <c r="A1228" t="str">
        <f t="shared" si="57"/>
        <v>Perozin 80 WP 14 X 1 kg470580</v>
      </c>
      <c r="B1228" t="s">
        <v>11047</v>
      </c>
      <c r="C1228" t="s">
        <v>15610</v>
      </c>
      <c r="D1228" t="s">
        <v>13131</v>
      </c>
      <c r="E1228" t="s">
        <v>1576</v>
      </c>
      <c r="F1228">
        <v>14</v>
      </c>
      <c r="G1228">
        <v>1</v>
      </c>
      <c r="H1228">
        <v>1</v>
      </c>
      <c r="I1228">
        <v>14</v>
      </c>
      <c r="J1228">
        <v>1256</v>
      </c>
      <c r="K1228">
        <f t="shared" si="58"/>
        <v>89</v>
      </c>
      <c r="L1228">
        <f t="shared" si="59"/>
        <v>10</v>
      </c>
      <c r="M1228">
        <v>1256</v>
      </c>
      <c r="N1228" s="3">
        <v>47058</v>
      </c>
      <c r="O1228" s="6">
        <v>0</v>
      </c>
    </row>
    <row r="1229" spans="1:15">
      <c r="A1229" t="str">
        <f t="shared" si="57"/>
        <v>Perozin 80 WP 14 X 1 kg471500</v>
      </c>
      <c r="B1229" t="s">
        <v>11048</v>
      </c>
      <c r="C1229" t="s">
        <v>15611</v>
      </c>
      <c r="D1229" t="s">
        <v>13132</v>
      </c>
      <c r="E1229" t="s">
        <v>1576</v>
      </c>
      <c r="F1229">
        <v>14</v>
      </c>
      <c r="G1229">
        <v>1</v>
      </c>
      <c r="H1229">
        <v>1</v>
      </c>
      <c r="I1229">
        <v>14</v>
      </c>
      <c r="J1229">
        <v>686</v>
      </c>
      <c r="K1229">
        <f t="shared" si="58"/>
        <v>49</v>
      </c>
      <c r="L1229">
        <f t="shared" si="59"/>
        <v>0</v>
      </c>
      <c r="M1229">
        <v>686</v>
      </c>
      <c r="N1229" s="3">
        <v>47150</v>
      </c>
      <c r="O1229" s="6">
        <v>0</v>
      </c>
    </row>
    <row r="1230" spans="1:15">
      <c r="A1230" t="str">
        <f t="shared" si="57"/>
        <v>Perozin 80 WP 15 X 400 gr468440</v>
      </c>
      <c r="B1230" t="s">
        <v>11049</v>
      </c>
      <c r="C1230" t="s">
        <v>15612</v>
      </c>
      <c r="D1230" t="s">
        <v>13133</v>
      </c>
      <c r="E1230" t="s">
        <v>1577</v>
      </c>
      <c r="F1230">
        <v>15</v>
      </c>
      <c r="G1230">
        <v>1</v>
      </c>
      <c r="H1230">
        <v>1</v>
      </c>
      <c r="I1230">
        <v>15</v>
      </c>
      <c r="J1230">
        <v>13</v>
      </c>
      <c r="K1230">
        <f t="shared" si="58"/>
        <v>0</v>
      </c>
      <c r="L1230">
        <f t="shared" si="59"/>
        <v>13</v>
      </c>
      <c r="M1230">
        <v>13</v>
      </c>
      <c r="N1230" s="3">
        <v>46844</v>
      </c>
      <c r="O1230" s="6">
        <v>0</v>
      </c>
    </row>
    <row r="1231" spans="1:15">
      <c r="A1231" t="str">
        <f t="shared" si="57"/>
        <v>Perozin 80 WP 60 X 150 gr470880</v>
      </c>
      <c r="B1231" t="s">
        <v>11050</v>
      </c>
      <c r="C1231" t="s">
        <v>15613</v>
      </c>
      <c r="D1231" t="s">
        <v>13134</v>
      </c>
      <c r="E1231" t="s">
        <v>1578</v>
      </c>
      <c r="F1231">
        <v>60</v>
      </c>
      <c r="G1231">
        <v>1</v>
      </c>
      <c r="H1231">
        <v>1</v>
      </c>
      <c r="I1231">
        <v>60</v>
      </c>
      <c r="J1231">
        <v>4528</v>
      </c>
      <c r="K1231">
        <f t="shared" si="58"/>
        <v>75</v>
      </c>
      <c r="L1231">
        <f t="shared" si="59"/>
        <v>28</v>
      </c>
      <c r="M1231">
        <v>4528</v>
      </c>
      <c r="N1231" s="3">
        <v>47088</v>
      </c>
      <c r="O1231" s="6">
        <v>0</v>
      </c>
    </row>
    <row r="1232" spans="1:15">
      <c r="A1232" t="str">
        <f t="shared" si="57"/>
        <v>Petrogenol 800 L 20 X 20 X 5 ml471780</v>
      </c>
      <c r="B1232" t="s">
        <v>11051</v>
      </c>
      <c r="C1232" t="s">
        <v>15614</v>
      </c>
      <c r="D1232" t="s">
        <v>13135</v>
      </c>
      <c r="E1232" t="s">
        <v>1579</v>
      </c>
      <c r="F1232">
        <v>20</v>
      </c>
      <c r="G1232">
        <v>20</v>
      </c>
      <c r="H1232">
        <v>1</v>
      </c>
      <c r="I1232">
        <v>400</v>
      </c>
      <c r="J1232">
        <v>69036</v>
      </c>
      <c r="K1232">
        <f t="shared" si="58"/>
        <v>172</v>
      </c>
      <c r="L1232">
        <f t="shared" si="59"/>
        <v>236</v>
      </c>
      <c r="M1232">
        <v>69036</v>
      </c>
      <c r="N1232" s="3">
        <v>47178</v>
      </c>
      <c r="O1232" s="6">
        <v>0</v>
      </c>
    </row>
    <row r="1233" spans="1:15">
      <c r="A1233" t="str">
        <f t="shared" si="57"/>
        <v>Petrokum 0.005 BB 20 X 10 X 100 gr471500</v>
      </c>
      <c r="B1233" t="s">
        <v>11052</v>
      </c>
      <c r="C1233" t="s">
        <v>15615</v>
      </c>
      <c r="D1233" t="s">
        <v>13136</v>
      </c>
      <c r="E1233" t="s">
        <v>1580</v>
      </c>
      <c r="F1233">
        <v>20</v>
      </c>
      <c r="G1233">
        <v>10</v>
      </c>
      <c r="H1233">
        <v>1</v>
      </c>
      <c r="I1233">
        <v>200</v>
      </c>
      <c r="J1233">
        <v>262</v>
      </c>
      <c r="K1233">
        <f t="shared" si="58"/>
        <v>1</v>
      </c>
      <c r="L1233">
        <f t="shared" si="59"/>
        <v>62</v>
      </c>
      <c r="M1233">
        <v>262</v>
      </c>
      <c r="N1233" s="3">
        <v>47150</v>
      </c>
      <c r="O1233" s="6">
        <v>0</v>
      </c>
    </row>
    <row r="1234" spans="1:15">
      <c r="A1234" t="str">
        <f t="shared" si="57"/>
        <v>Petrokum 0.005 BB 20 X 10 X 100 gr472090</v>
      </c>
      <c r="B1234" t="s">
        <v>11053</v>
      </c>
      <c r="C1234" t="s">
        <v>15616</v>
      </c>
      <c r="D1234" t="s">
        <v>13137</v>
      </c>
      <c r="E1234" t="s">
        <v>1580</v>
      </c>
      <c r="F1234">
        <v>20</v>
      </c>
      <c r="G1234">
        <v>10</v>
      </c>
      <c r="H1234">
        <v>1</v>
      </c>
      <c r="I1234">
        <v>200</v>
      </c>
      <c r="J1234">
        <v>9200</v>
      </c>
      <c r="K1234">
        <f t="shared" si="58"/>
        <v>46</v>
      </c>
      <c r="L1234">
        <f t="shared" si="59"/>
        <v>0</v>
      </c>
      <c r="M1234">
        <v>9200</v>
      </c>
      <c r="N1234" s="3">
        <v>47209</v>
      </c>
      <c r="O1234" s="6">
        <v>0</v>
      </c>
    </row>
    <row r="1235" spans="1:15">
      <c r="A1235" t="str">
        <f t="shared" si="57"/>
        <v>Pexalon 106 SC 24 X 240 ml461430</v>
      </c>
      <c r="B1235" t="s">
        <v>11054</v>
      </c>
      <c r="C1235" t="s">
        <v>15617</v>
      </c>
      <c r="D1235" t="s">
        <v>13138</v>
      </c>
      <c r="E1235" t="s">
        <v>1581</v>
      </c>
      <c r="F1235">
        <v>24</v>
      </c>
      <c r="G1235">
        <v>1</v>
      </c>
      <c r="H1235">
        <v>1</v>
      </c>
      <c r="I1235">
        <v>24</v>
      </c>
      <c r="J1235">
        <v>203</v>
      </c>
      <c r="K1235">
        <f t="shared" si="58"/>
        <v>8</v>
      </c>
      <c r="L1235">
        <f t="shared" si="59"/>
        <v>11</v>
      </c>
      <c r="M1235">
        <v>203</v>
      </c>
      <c r="N1235" s="3">
        <v>46143</v>
      </c>
      <c r="O1235" s="6">
        <v>0</v>
      </c>
    </row>
    <row r="1236" spans="1:15">
      <c r="A1236" t="str">
        <f t="shared" si="57"/>
        <v>Pexalon 106 SC 50 X 100 ml462350</v>
      </c>
      <c r="B1236" t="s">
        <v>11055</v>
      </c>
      <c r="C1236" t="s">
        <v>15618</v>
      </c>
      <c r="D1236" t="s">
        <v>13139</v>
      </c>
      <c r="E1236" t="s">
        <v>1583</v>
      </c>
      <c r="F1236">
        <v>50</v>
      </c>
      <c r="G1236">
        <v>1</v>
      </c>
      <c r="H1236">
        <v>1</v>
      </c>
      <c r="I1236">
        <v>50</v>
      </c>
      <c r="J1236">
        <v>1767</v>
      </c>
      <c r="K1236">
        <f t="shared" si="58"/>
        <v>35</v>
      </c>
      <c r="L1236">
        <f t="shared" si="59"/>
        <v>17</v>
      </c>
      <c r="M1236">
        <v>1767</v>
      </c>
      <c r="N1236" s="3">
        <v>46235</v>
      </c>
      <c r="O1236" s="6">
        <v>0</v>
      </c>
    </row>
    <row r="1237" spans="1:15">
      <c r="A1237" t="str">
        <f t="shared" si="57"/>
        <v>Phenol (Sample)1/1/10000</v>
      </c>
      <c r="B1237" t="s">
        <v>11056</v>
      </c>
      <c r="C1237" t="s">
        <v>15619</v>
      </c>
      <c r="D1237" t="s">
        <v>13140</v>
      </c>
      <c r="E1237" t="s">
        <v>1585</v>
      </c>
      <c r="F1237">
        <v>1</v>
      </c>
      <c r="G1237">
        <v>1</v>
      </c>
      <c r="H1237">
        <v>1</v>
      </c>
      <c r="I1237">
        <v>1</v>
      </c>
      <c r="J1237">
        <v>3</v>
      </c>
      <c r="K1237">
        <f t="shared" si="58"/>
        <v>3</v>
      </c>
      <c r="L1237">
        <f t="shared" si="59"/>
        <v>0</v>
      </c>
      <c r="M1237">
        <v>3</v>
      </c>
      <c r="N1237" s="3" t="s">
        <v>2222</v>
      </c>
      <c r="O1237" s="6">
        <v>0</v>
      </c>
    </row>
    <row r="1238" spans="1:15">
      <c r="A1238" t="str">
        <f t="shared" si="57"/>
        <v>Phosgrow 50 kg464190</v>
      </c>
      <c r="B1238" t="s">
        <v>11057</v>
      </c>
      <c r="C1238" t="s">
        <v>15620</v>
      </c>
      <c r="D1238" t="s">
        <v>13141</v>
      </c>
      <c r="E1238" t="s">
        <v>1586</v>
      </c>
      <c r="F1238">
        <v>1</v>
      </c>
      <c r="G1238">
        <v>1</v>
      </c>
      <c r="H1238">
        <v>1</v>
      </c>
      <c r="I1238">
        <v>1</v>
      </c>
      <c r="J1238">
        <v>151</v>
      </c>
      <c r="K1238">
        <f t="shared" si="58"/>
        <v>151</v>
      </c>
      <c r="L1238">
        <f t="shared" si="59"/>
        <v>0</v>
      </c>
      <c r="M1238">
        <v>151</v>
      </c>
      <c r="N1238" s="3">
        <v>46419</v>
      </c>
      <c r="O1238" s="6">
        <v>0</v>
      </c>
    </row>
    <row r="1239" spans="1:15">
      <c r="A1239" t="str">
        <f t="shared" si="57"/>
        <v>Phosthene 97 WG 100 X 100 gr458700</v>
      </c>
      <c r="B1239" t="s">
        <v>11058</v>
      </c>
      <c r="C1239" t="s">
        <v>15621</v>
      </c>
      <c r="D1239" t="s">
        <v>13142</v>
      </c>
      <c r="E1239" t="s">
        <v>1587</v>
      </c>
      <c r="F1239">
        <v>100</v>
      </c>
      <c r="G1239">
        <v>1</v>
      </c>
      <c r="H1239">
        <v>1</v>
      </c>
      <c r="I1239">
        <v>100</v>
      </c>
      <c r="J1239">
        <v>735</v>
      </c>
      <c r="K1239">
        <f t="shared" si="58"/>
        <v>7</v>
      </c>
      <c r="L1239">
        <f t="shared" si="59"/>
        <v>35</v>
      </c>
      <c r="M1239">
        <v>735</v>
      </c>
      <c r="N1239" s="3">
        <v>45870</v>
      </c>
      <c r="O1239" s="6">
        <v>0</v>
      </c>
    </row>
    <row r="1240" spans="1:15">
      <c r="A1240" t="str">
        <f t="shared" si="57"/>
        <v>Pilly 25 WP 20 gr454130</v>
      </c>
      <c r="B1240" t="s">
        <v>11059</v>
      </c>
      <c r="C1240" t="s">
        <v>15622</v>
      </c>
      <c r="D1240" t="s">
        <v>13143</v>
      </c>
      <c r="E1240" t="s">
        <v>1589</v>
      </c>
      <c r="F1240">
        <v>1</v>
      </c>
      <c r="G1240">
        <v>1</v>
      </c>
      <c r="H1240">
        <v>1</v>
      </c>
      <c r="I1240">
        <v>1</v>
      </c>
      <c r="J1240">
        <v>115</v>
      </c>
      <c r="K1240">
        <f t="shared" si="58"/>
        <v>115</v>
      </c>
      <c r="L1240">
        <f t="shared" si="59"/>
        <v>0</v>
      </c>
      <c r="M1240">
        <v>115</v>
      </c>
      <c r="N1240" s="3">
        <v>45413</v>
      </c>
      <c r="O1240" s="6">
        <v>0</v>
      </c>
    </row>
    <row r="1241" spans="1:15">
      <c r="A1241" t="str">
        <f t="shared" si="57"/>
        <v>Pinamec 20 EC 15 X 1 ltr469050</v>
      </c>
      <c r="B1241" t="s">
        <v>11060</v>
      </c>
      <c r="C1241" t="s">
        <v>15623</v>
      </c>
      <c r="D1241" t="s">
        <v>13144</v>
      </c>
      <c r="E1241" t="s">
        <v>1590</v>
      </c>
      <c r="F1241">
        <v>15</v>
      </c>
      <c r="G1241">
        <v>1</v>
      </c>
      <c r="H1241">
        <v>1</v>
      </c>
      <c r="I1241">
        <v>15</v>
      </c>
      <c r="J1241">
        <v>101</v>
      </c>
      <c r="K1241">
        <f t="shared" si="58"/>
        <v>6</v>
      </c>
      <c r="L1241">
        <f t="shared" si="59"/>
        <v>11</v>
      </c>
      <c r="M1241">
        <v>101</v>
      </c>
      <c r="N1241" s="3">
        <v>46905</v>
      </c>
      <c r="O1241" s="6">
        <v>0</v>
      </c>
    </row>
    <row r="1242" spans="1:15">
      <c r="A1242" t="str">
        <f t="shared" si="57"/>
        <v>Pinamec 20 EC 15 X 1 ltr470270</v>
      </c>
      <c r="B1242" t="s">
        <v>11061</v>
      </c>
      <c r="C1242" t="s">
        <v>15624</v>
      </c>
      <c r="D1242" t="s">
        <v>13145</v>
      </c>
      <c r="E1242" t="s">
        <v>1590</v>
      </c>
      <c r="F1242">
        <v>15</v>
      </c>
      <c r="G1242">
        <v>1</v>
      </c>
      <c r="H1242">
        <v>1</v>
      </c>
      <c r="I1242">
        <v>15</v>
      </c>
      <c r="J1242">
        <v>540</v>
      </c>
      <c r="K1242">
        <f t="shared" si="58"/>
        <v>36</v>
      </c>
      <c r="L1242">
        <f t="shared" si="59"/>
        <v>0</v>
      </c>
      <c r="M1242">
        <v>540</v>
      </c>
      <c r="N1242" s="3">
        <v>47027</v>
      </c>
      <c r="O1242" s="6">
        <v>0</v>
      </c>
    </row>
    <row r="1243" spans="1:15">
      <c r="A1243" t="str">
        <f t="shared" si="57"/>
        <v>Pinamec 20 EC 20 X 1 ltr (Hitam)471500</v>
      </c>
      <c r="B1243" t="s">
        <v>11062</v>
      </c>
      <c r="C1243" t="s">
        <v>15625</v>
      </c>
      <c r="D1243" t="s">
        <v>13146</v>
      </c>
      <c r="E1243" t="s">
        <v>1594</v>
      </c>
      <c r="F1243">
        <v>20</v>
      </c>
      <c r="G1243">
        <v>1</v>
      </c>
      <c r="H1243">
        <v>1</v>
      </c>
      <c r="I1243">
        <v>20</v>
      </c>
      <c r="J1243">
        <v>80</v>
      </c>
      <c r="K1243">
        <f t="shared" si="58"/>
        <v>4</v>
      </c>
      <c r="L1243">
        <f t="shared" si="59"/>
        <v>0</v>
      </c>
      <c r="M1243">
        <v>80</v>
      </c>
      <c r="N1243" s="3">
        <v>47150</v>
      </c>
      <c r="O1243" s="6">
        <v>0</v>
      </c>
    </row>
    <row r="1244" spans="1:15">
      <c r="A1244" t="str">
        <f t="shared" si="57"/>
        <v>Pinamec 20 EC 20 X 1 ltr (Hitam)472090</v>
      </c>
      <c r="B1244" t="s">
        <v>11063</v>
      </c>
      <c r="C1244" t="s">
        <v>15626</v>
      </c>
      <c r="D1244" t="s">
        <v>13147</v>
      </c>
      <c r="E1244" t="s">
        <v>1594</v>
      </c>
      <c r="F1244">
        <v>20</v>
      </c>
      <c r="G1244">
        <v>1</v>
      </c>
      <c r="H1244">
        <v>1</v>
      </c>
      <c r="I1244">
        <v>20</v>
      </c>
      <c r="J1244">
        <v>500</v>
      </c>
      <c r="K1244">
        <f t="shared" si="58"/>
        <v>25</v>
      </c>
      <c r="L1244">
        <f t="shared" si="59"/>
        <v>0</v>
      </c>
      <c r="M1244">
        <v>500</v>
      </c>
      <c r="N1244" s="3">
        <v>47209</v>
      </c>
      <c r="O1244" s="6">
        <v>0</v>
      </c>
    </row>
    <row r="1245" spans="1:15">
      <c r="A1245" t="str">
        <f t="shared" si="57"/>
        <v>Pinamec 20 EC 20 X 500 ml (Hitam)468440</v>
      </c>
      <c r="B1245" t="s">
        <v>11064</v>
      </c>
      <c r="C1245" t="s">
        <v>15627</v>
      </c>
      <c r="D1245" t="s">
        <v>13148</v>
      </c>
      <c r="E1245" t="s">
        <v>1597</v>
      </c>
      <c r="F1245">
        <v>20</v>
      </c>
      <c r="G1245">
        <v>1</v>
      </c>
      <c r="H1245">
        <v>1</v>
      </c>
      <c r="I1245">
        <v>20</v>
      </c>
      <c r="J1245">
        <v>200</v>
      </c>
      <c r="K1245">
        <f t="shared" si="58"/>
        <v>10</v>
      </c>
      <c r="L1245">
        <f t="shared" si="59"/>
        <v>0</v>
      </c>
      <c r="M1245">
        <v>200</v>
      </c>
      <c r="N1245" s="3">
        <v>46844</v>
      </c>
      <c r="O1245" s="6">
        <v>0</v>
      </c>
    </row>
    <row r="1246" spans="1:15">
      <c r="A1246" t="str">
        <f t="shared" si="57"/>
        <v>Pinamec 20 EC 40 X 250 ml467840</v>
      </c>
      <c r="B1246" t="s">
        <v>11065</v>
      </c>
      <c r="C1246" t="s">
        <v>15628</v>
      </c>
      <c r="D1246" t="s">
        <v>13149</v>
      </c>
      <c r="E1246" t="s">
        <v>1600</v>
      </c>
      <c r="F1246">
        <v>40</v>
      </c>
      <c r="G1246">
        <v>1</v>
      </c>
      <c r="H1246">
        <v>1</v>
      </c>
      <c r="I1246">
        <v>40</v>
      </c>
      <c r="J1246">
        <v>148</v>
      </c>
      <c r="K1246">
        <f t="shared" si="58"/>
        <v>3</v>
      </c>
      <c r="L1246">
        <f t="shared" si="59"/>
        <v>28</v>
      </c>
      <c r="M1246">
        <v>148</v>
      </c>
      <c r="N1246" s="3">
        <v>46784</v>
      </c>
      <c r="O1246" s="6">
        <v>0</v>
      </c>
    </row>
    <row r="1247" spans="1:15">
      <c r="A1247" t="str">
        <f t="shared" si="57"/>
        <v>Pinamec 20 EC 40 X 250 ml (Hitam)468440</v>
      </c>
      <c r="B1247" t="s">
        <v>11066</v>
      </c>
      <c r="C1247" t="s">
        <v>15629</v>
      </c>
      <c r="D1247" t="s">
        <v>13150</v>
      </c>
      <c r="E1247" t="s">
        <v>1599</v>
      </c>
      <c r="F1247">
        <v>40</v>
      </c>
      <c r="G1247">
        <v>1</v>
      </c>
      <c r="H1247">
        <v>1</v>
      </c>
      <c r="I1247">
        <v>40</v>
      </c>
      <c r="J1247">
        <v>675</v>
      </c>
      <c r="K1247">
        <f t="shared" si="58"/>
        <v>16</v>
      </c>
      <c r="L1247">
        <f t="shared" si="59"/>
        <v>35</v>
      </c>
      <c r="M1247">
        <v>675</v>
      </c>
      <c r="N1247" s="3">
        <v>46844</v>
      </c>
      <c r="O1247" s="6">
        <v>0</v>
      </c>
    </row>
    <row r="1248" spans="1:15">
      <c r="A1248" t="str">
        <f t="shared" si="57"/>
        <v>Pinamec 20 EC 50 X 100 ml (Hitam)471500</v>
      </c>
      <c r="B1248" t="s">
        <v>11067</v>
      </c>
      <c r="C1248" t="s">
        <v>15630</v>
      </c>
      <c r="D1248" t="s">
        <v>13151</v>
      </c>
      <c r="E1248" t="s">
        <v>1602</v>
      </c>
      <c r="F1248">
        <v>50</v>
      </c>
      <c r="G1248">
        <v>1</v>
      </c>
      <c r="H1248">
        <v>1</v>
      </c>
      <c r="I1248">
        <v>50</v>
      </c>
      <c r="J1248">
        <v>930</v>
      </c>
      <c r="K1248">
        <f t="shared" si="58"/>
        <v>18</v>
      </c>
      <c r="L1248">
        <f t="shared" si="59"/>
        <v>30</v>
      </c>
      <c r="M1248">
        <v>930</v>
      </c>
      <c r="N1248" s="3">
        <v>47150</v>
      </c>
      <c r="O1248" s="6">
        <v>0</v>
      </c>
    </row>
    <row r="1249" spans="1:15">
      <c r="A1249" t="str">
        <f t="shared" si="57"/>
        <v>Pipa Penyemprot 60 cm Star Metal1/1/10000</v>
      </c>
      <c r="B1249" t="s">
        <v>11068</v>
      </c>
      <c r="C1249" t="s">
        <v>15631</v>
      </c>
      <c r="D1249" t="s">
        <v>13152</v>
      </c>
      <c r="E1249" t="s">
        <v>1603</v>
      </c>
      <c r="F1249">
        <v>1</v>
      </c>
      <c r="G1249">
        <v>1</v>
      </c>
      <c r="H1249">
        <v>1</v>
      </c>
      <c r="I1249">
        <v>1</v>
      </c>
      <c r="J1249">
        <v>80</v>
      </c>
      <c r="K1249">
        <f t="shared" si="58"/>
        <v>80</v>
      </c>
      <c r="L1249">
        <f t="shared" si="59"/>
        <v>0</v>
      </c>
      <c r="M1249">
        <v>80</v>
      </c>
      <c r="N1249" s="3" t="s">
        <v>2222</v>
      </c>
      <c r="O1249" s="6">
        <v>0</v>
      </c>
    </row>
    <row r="1250" spans="1:15">
      <c r="A1250" t="str">
        <f t="shared" si="57"/>
        <v>Pipa Penyemprot Fiberglass YT 3L, 4L, 5L, 7L &amp; 9L1/1/10000</v>
      </c>
      <c r="B1250" t="s">
        <v>11069</v>
      </c>
      <c r="C1250" t="s">
        <v>15632</v>
      </c>
      <c r="D1250" t="s">
        <v>13153</v>
      </c>
      <c r="E1250" t="s">
        <v>1604</v>
      </c>
      <c r="F1250">
        <v>1</v>
      </c>
      <c r="G1250">
        <v>1</v>
      </c>
      <c r="H1250">
        <v>1</v>
      </c>
      <c r="I1250">
        <v>1</v>
      </c>
      <c r="J1250">
        <v>100</v>
      </c>
      <c r="K1250">
        <f t="shared" si="58"/>
        <v>100</v>
      </c>
      <c r="L1250">
        <f t="shared" si="59"/>
        <v>0</v>
      </c>
      <c r="M1250">
        <v>100</v>
      </c>
      <c r="N1250" s="3" t="s">
        <v>2222</v>
      </c>
      <c r="O1250" s="6">
        <v>0</v>
      </c>
    </row>
    <row r="1251" spans="1:15">
      <c r="A1251" t="str">
        <f t="shared" si="57"/>
        <v>Pipa Penyemprot+G.Orange 20 L Star Metal1/1/10000</v>
      </c>
      <c r="B1251" t="s">
        <v>11070</v>
      </c>
      <c r="C1251" t="s">
        <v>15633</v>
      </c>
      <c r="D1251" t="s">
        <v>13154</v>
      </c>
      <c r="E1251" t="s">
        <v>1605</v>
      </c>
      <c r="F1251">
        <v>1</v>
      </c>
      <c r="G1251">
        <v>1</v>
      </c>
      <c r="H1251">
        <v>1</v>
      </c>
      <c r="I1251">
        <v>1</v>
      </c>
      <c r="J1251">
        <v>36</v>
      </c>
      <c r="K1251">
        <f t="shared" si="58"/>
        <v>36</v>
      </c>
      <c r="L1251">
        <f t="shared" si="59"/>
        <v>0</v>
      </c>
      <c r="M1251">
        <v>36</v>
      </c>
      <c r="N1251" s="3" t="s">
        <v>2222</v>
      </c>
      <c r="O1251" s="6">
        <v>0</v>
      </c>
    </row>
    <row r="1252" spans="1:15">
      <c r="A1252" t="str">
        <f t="shared" si="57"/>
        <v>Pipa Semprot1/1/10000</v>
      </c>
      <c r="B1252" t="s">
        <v>11071</v>
      </c>
      <c r="C1252" t="s">
        <v>15634</v>
      </c>
      <c r="D1252" t="s">
        <v>13155</v>
      </c>
      <c r="E1252" t="s">
        <v>1606</v>
      </c>
      <c r="F1252">
        <v>1</v>
      </c>
      <c r="G1252">
        <v>1</v>
      </c>
      <c r="H1252">
        <v>1</v>
      </c>
      <c r="I1252">
        <v>1</v>
      </c>
      <c r="J1252">
        <v>15</v>
      </c>
      <c r="K1252">
        <f t="shared" si="58"/>
        <v>15</v>
      </c>
      <c r="L1252">
        <f t="shared" si="59"/>
        <v>0</v>
      </c>
      <c r="M1252">
        <v>15</v>
      </c>
      <c r="N1252" s="3" t="s">
        <v>2222</v>
      </c>
      <c r="O1252" s="6">
        <v>0</v>
      </c>
    </row>
    <row r="1253" spans="1:15">
      <c r="A1253" t="str">
        <f t="shared" si="57"/>
        <v>Piraklo 250 EC 100 X 100 ml469350</v>
      </c>
      <c r="B1253" t="s">
        <v>11072</v>
      </c>
      <c r="C1253" t="s">
        <v>15635</v>
      </c>
      <c r="D1253" t="s">
        <v>13156</v>
      </c>
      <c r="E1253" t="s">
        <v>1607</v>
      </c>
      <c r="F1253">
        <v>100</v>
      </c>
      <c r="G1253">
        <v>1</v>
      </c>
      <c r="H1253">
        <v>1</v>
      </c>
      <c r="I1253">
        <v>100</v>
      </c>
      <c r="J1253">
        <v>28070</v>
      </c>
      <c r="K1253">
        <f t="shared" si="58"/>
        <v>280</v>
      </c>
      <c r="L1253">
        <f t="shared" si="59"/>
        <v>70</v>
      </c>
      <c r="M1253">
        <v>28070</v>
      </c>
      <c r="N1253" s="3">
        <v>46935</v>
      </c>
      <c r="O1253" s="6">
        <v>0</v>
      </c>
    </row>
    <row r="1254" spans="1:15">
      <c r="A1254" t="str">
        <f t="shared" si="57"/>
        <v>Piraklo 250 EC 40 X 250 ml465080</v>
      </c>
      <c r="B1254" t="s">
        <v>11073</v>
      </c>
      <c r="C1254" t="s">
        <v>15636</v>
      </c>
      <c r="D1254" t="s">
        <v>13157</v>
      </c>
      <c r="E1254" t="s">
        <v>1608</v>
      </c>
      <c r="F1254">
        <v>40</v>
      </c>
      <c r="G1254">
        <v>1</v>
      </c>
      <c r="H1254">
        <v>1</v>
      </c>
      <c r="I1254">
        <v>40</v>
      </c>
      <c r="J1254">
        <v>1080</v>
      </c>
      <c r="K1254">
        <f t="shared" si="58"/>
        <v>27</v>
      </c>
      <c r="L1254">
        <f t="shared" si="59"/>
        <v>0</v>
      </c>
      <c r="M1254">
        <v>1080</v>
      </c>
      <c r="N1254" s="3">
        <v>46508</v>
      </c>
      <c r="O1254" s="6">
        <v>0</v>
      </c>
    </row>
    <row r="1255" spans="1:15">
      <c r="A1255" t="str">
        <f t="shared" si="57"/>
        <v>Piraklo 250 EC 40 X 250 ml469350</v>
      </c>
      <c r="B1255" t="s">
        <v>11074</v>
      </c>
      <c r="C1255" t="s">
        <v>15637</v>
      </c>
      <c r="D1255" t="s">
        <v>13158</v>
      </c>
      <c r="E1255" t="s">
        <v>1608</v>
      </c>
      <c r="F1255">
        <v>40</v>
      </c>
      <c r="G1255">
        <v>1</v>
      </c>
      <c r="H1255">
        <v>1</v>
      </c>
      <c r="I1255">
        <v>40</v>
      </c>
      <c r="J1255">
        <v>39359</v>
      </c>
      <c r="K1255">
        <f t="shared" si="58"/>
        <v>983</v>
      </c>
      <c r="L1255">
        <f t="shared" si="59"/>
        <v>39</v>
      </c>
      <c r="M1255">
        <v>39359</v>
      </c>
      <c r="N1255" s="3">
        <v>46935</v>
      </c>
      <c r="O1255" s="6">
        <v>0</v>
      </c>
    </row>
    <row r="1256" spans="1:15">
      <c r="A1256" t="str">
        <f t="shared" si="57"/>
        <v>Piribac 400 SC 50 X 100 ml (Sample)1/1/10000</v>
      </c>
      <c r="B1256" t="s">
        <v>11075</v>
      </c>
      <c r="C1256" t="s">
        <v>15638</v>
      </c>
      <c r="D1256" t="s">
        <v>13159</v>
      </c>
      <c r="E1256" t="s">
        <v>1609</v>
      </c>
      <c r="F1256">
        <v>50</v>
      </c>
      <c r="G1256">
        <v>1</v>
      </c>
      <c r="H1256">
        <v>1</v>
      </c>
      <c r="I1256">
        <v>50</v>
      </c>
      <c r="J1256">
        <v>5</v>
      </c>
      <c r="K1256">
        <f t="shared" si="58"/>
        <v>0</v>
      </c>
      <c r="L1256">
        <f t="shared" si="59"/>
        <v>5</v>
      </c>
      <c r="M1256">
        <v>5</v>
      </c>
      <c r="N1256" s="3" t="s">
        <v>2222</v>
      </c>
      <c r="O1256" s="6">
        <v>0</v>
      </c>
    </row>
    <row r="1257" spans="1:15">
      <c r="A1257" t="str">
        <f t="shared" si="57"/>
        <v>Pisau Lipat Set1/1/10000</v>
      </c>
      <c r="B1257" t="s">
        <v>11076</v>
      </c>
      <c r="C1257" t="s">
        <v>15639</v>
      </c>
      <c r="D1257" t="s">
        <v>13160</v>
      </c>
      <c r="E1257" t="s">
        <v>1610</v>
      </c>
      <c r="F1257">
        <v>1</v>
      </c>
      <c r="G1257">
        <v>1</v>
      </c>
      <c r="H1257">
        <v>1</v>
      </c>
      <c r="I1257">
        <v>1</v>
      </c>
      <c r="J1257">
        <v>133</v>
      </c>
      <c r="K1257">
        <f t="shared" si="58"/>
        <v>133</v>
      </c>
      <c r="L1257">
        <f t="shared" si="59"/>
        <v>0</v>
      </c>
      <c r="M1257">
        <v>133</v>
      </c>
      <c r="N1257" s="3" t="s">
        <v>2222</v>
      </c>
      <c r="O1257" s="6">
        <v>0</v>
      </c>
    </row>
    <row r="1258" spans="1:15">
      <c r="A1258" t="str">
        <f t="shared" si="57"/>
        <v>Pita Alat Pengikat Tanaman Yoto 25 X 20 X 1 roll1/1/10000</v>
      </c>
      <c r="B1258" t="s">
        <v>11077</v>
      </c>
      <c r="C1258" t="s">
        <v>15640</v>
      </c>
      <c r="D1258" t="s">
        <v>13161</v>
      </c>
      <c r="E1258" t="s">
        <v>1611</v>
      </c>
      <c r="F1258">
        <v>25</v>
      </c>
      <c r="G1258">
        <v>20</v>
      </c>
      <c r="H1258">
        <v>1</v>
      </c>
      <c r="I1258">
        <v>500</v>
      </c>
      <c r="J1258">
        <v>3525</v>
      </c>
      <c r="K1258">
        <f t="shared" si="58"/>
        <v>7</v>
      </c>
      <c r="L1258">
        <f t="shared" si="59"/>
        <v>25</v>
      </c>
      <c r="M1258">
        <v>3525</v>
      </c>
      <c r="N1258" s="3" t="s">
        <v>2222</v>
      </c>
      <c r="O1258" s="6">
        <v>0</v>
      </c>
    </row>
    <row r="1259" spans="1:15">
      <c r="A1259" t="str">
        <f t="shared" si="57"/>
        <v>Planter Bag 11 Liter 2 Handle Standard HDPE 4cm 150 X 24 cm X 25 cm1/1/10000</v>
      </c>
      <c r="B1259" t="s">
        <v>11078</v>
      </c>
      <c r="C1259" t="s">
        <v>15641</v>
      </c>
      <c r="D1259" t="s">
        <v>13162</v>
      </c>
      <c r="E1259" t="s">
        <v>1612</v>
      </c>
      <c r="F1259">
        <v>150</v>
      </c>
      <c r="G1259">
        <v>1</v>
      </c>
      <c r="H1259">
        <v>1</v>
      </c>
      <c r="I1259">
        <v>150</v>
      </c>
      <c r="J1259">
        <v>1</v>
      </c>
      <c r="K1259">
        <f t="shared" si="58"/>
        <v>0</v>
      </c>
      <c r="L1259">
        <f t="shared" si="59"/>
        <v>1</v>
      </c>
      <c r="M1259">
        <v>1</v>
      </c>
      <c r="N1259" s="3" t="s">
        <v>2222</v>
      </c>
      <c r="O1259" s="6">
        <v>0</v>
      </c>
    </row>
    <row r="1260" spans="1:15">
      <c r="A1260" t="str">
        <f t="shared" si="57"/>
        <v>Planter Bag 15 Liter 2 Handle Standard HDPE 4cm 150 X 29 cm X 24 cm1/1/10000</v>
      </c>
      <c r="B1260" t="s">
        <v>11079</v>
      </c>
      <c r="C1260" t="s">
        <v>15642</v>
      </c>
      <c r="D1260" t="s">
        <v>13163</v>
      </c>
      <c r="E1260" t="s">
        <v>1613</v>
      </c>
      <c r="F1260">
        <v>150</v>
      </c>
      <c r="G1260">
        <v>1</v>
      </c>
      <c r="H1260">
        <v>1</v>
      </c>
      <c r="I1260">
        <v>150</v>
      </c>
      <c r="J1260">
        <v>130</v>
      </c>
      <c r="K1260">
        <f t="shared" si="58"/>
        <v>0</v>
      </c>
      <c r="L1260">
        <f t="shared" si="59"/>
        <v>130</v>
      </c>
      <c r="M1260">
        <v>130</v>
      </c>
      <c r="N1260" s="3" t="s">
        <v>2222</v>
      </c>
      <c r="O1260" s="6">
        <v>0</v>
      </c>
    </row>
    <row r="1261" spans="1:15">
      <c r="A1261" t="str">
        <f t="shared" si="57"/>
        <v>Planter Bag 18 Liter 2 Handle Standard HDPE 4cm 150 X 28 cm X 30 cm1/1/10000</v>
      </c>
      <c r="B1261" t="s">
        <v>11080</v>
      </c>
      <c r="C1261" t="s">
        <v>15643</v>
      </c>
      <c r="D1261" t="s">
        <v>13164</v>
      </c>
      <c r="E1261" t="s">
        <v>1614</v>
      </c>
      <c r="F1261">
        <v>150</v>
      </c>
      <c r="G1261">
        <v>1</v>
      </c>
      <c r="H1261">
        <v>1</v>
      </c>
      <c r="I1261">
        <v>150</v>
      </c>
      <c r="J1261">
        <v>192</v>
      </c>
      <c r="K1261">
        <f t="shared" si="58"/>
        <v>1</v>
      </c>
      <c r="L1261">
        <f t="shared" si="59"/>
        <v>42</v>
      </c>
      <c r="M1261">
        <v>192</v>
      </c>
      <c r="N1261" s="3" t="s">
        <v>2222</v>
      </c>
      <c r="O1261" s="6">
        <v>0</v>
      </c>
    </row>
    <row r="1262" spans="1:15">
      <c r="A1262" t="str">
        <f t="shared" si="57"/>
        <v>Planter Bag 28 Liter 2 Handle Standard HDPE 4cm 150 X 30 cm X 40 cm1/1/10000</v>
      </c>
      <c r="B1262" t="s">
        <v>11081</v>
      </c>
      <c r="C1262" t="s">
        <v>15644</v>
      </c>
      <c r="D1262" t="s">
        <v>13165</v>
      </c>
      <c r="E1262" t="s">
        <v>1615</v>
      </c>
      <c r="F1262">
        <v>150</v>
      </c>
      <c r="G1262">
        <v>1</v>
      </c>
      <c r="H1262">
        <v>1</v>
      </c>
      <c r="I1262">
        <v>150</v>
      </c>
      <c r="J1262">
        <v>102</v>
      </c>
      <c r="K1262">
        <f t="shared" si="58"/>
        <v>0</v>
      </c>
      <c r="L1262">
        <f t="shared" si="59"/>
        <v>102</v>
      </c>
      <c r="M1262">
        <v>102</v>
      </c>
      <c r="N1262" s="3" t="s">
        <v>2222</v>
      </c>
      <c r="O1262" s="6">
        <v>0</v>
      </c>
    </row>
    <row r="1263" spans="1:15">
      <c r="A1263" t="str">
        <f t="shared" si="57"/>
        <v>Planter Bag 3 Liter No Handle 200 X 15 cm X 18 cm1/1/10000</v>
      </c>
      <c r="B1263" t="s">
        <v>11082</v>
      </c>
      <c r="C1263" t="s">
        <v>15645</v>
      </c>
      <c r="D1263" t="s">
        <v>13166</v>
      </c>
      <c r="E1263" t="s">
        <v>1616</v>
      </c>
      <c r="F1263">
        <v>200</v>
      </c>
      <c r="G1263">
        <v>1</v>
      </c>
      <c r="H1263">
        <v>1</v>
      </c>
      <c r="I1263">
        <v>200</v>
      </c>
      <c r="J1263">
        <v>162</v>
      </c>
      <c r="K1263">
        <f t="shared" si="58"/>
        <v>0</v>
      </c>
      <c r="L1263">
        <f t="shared" si="59"/>
        <v>162</v>
      </c>
      <c r="M1263">
        <v>162</v>
      </c>
      <c r="N1263" s="3" t="s">
        <v>2222</v>
      </c>
      <c r="O1263" s="6">
        <v>0</v>
      </c>
    </row>
    <row r="1264" spans="1:15">
      <c r="A1264" t="str">
        <f t="shared" si="57"/>
        <v>Planter Bag 5 Liter No Handle 200 X 18 cm X 20 cm1/1/10000</v>
      </c>
      <c r="B1264" t="s">
        <v>11083</v>
      </c>
      <c r="C1264" t="s">
        <v>15646</v>
      </c>
      <c r="D1264" t="s">
        <v>13167</v>
      </c>
      <c r="E1264" t="s">
        <v>1617</v>
      </c>
      <c r="F1264">
        <v>200</v>
      </c>
      <c r="G1264">
        <v>1</v>
      </c>
      <c r="H1264">
        <v>1</v>
      </c>
      <c r="I1264">
        <v>200</v>
      </c>
      <c r="J1264">
        <v>373</v>
      </c>
      <c r="K1264">
        <f t="shared" si="58"/>
        <v>1</v>
      </c>
      <c r="L1264">
        <f t="shared" si="59"/>
        <v>173</v>
      </c>
      <c r="M1264">
        <v>373</v>
      </c>
      <c r="N1264" s="3" t="s">
        <v>2222</v>
      </c>
      <c r="O1264" s="6">
        <v>0</v>
      </c>
    </row>
    <row r="1265" spans="1:15">
      <c r="A1265" t="str">
        <f t="shared" si="57"/>
        <v>Plenum 50 WG 12 X 10 X 25 gr459920</v>
      </c>
      <c r="B1265" t="s">
        <v>11084</v>
      </c>
      <c r="C1265" t="s">
        <v>15647</v>
      </c>
      <c r="D1265" t="s">
        <v>13168</v>
      </c>
      <c r="E1265" t="s">
        <v>1618</v>
      </c>
      <c r="F1265">
        <v>12</v>
      </c>
      <c r="G1265">
        <v>10</v>
      </c>
      <c r="H1265">
        <v>1</v>
      </c>
      <c r="I1265">
        <v>120</v>
      </c>
      <c r="J1265">
        <v>3390</v>
      </c>
      <c r="K1265">
        <f t="shared" si="58"/>
        <v>28</v>
      </c>
      <c r="L1265">
        <f t="shared" si="59"/>
        <v>30</v>
      </c>
      <c r="M1265">
        <v>3390</v>
      </c>
      <c r="N1265" s="3">
        <v>45992</v>
      </c>
      <c r="O1265" s="6">
        <v>0</v>
      </c>
    </row>
    <row r="1266" spans="1:15">
      <c r="A1266" t="str">
        <f t="shared" si="57"/>
        <v>Plenum 50 WG 50 X 100 gr457780</v>
      </c>
      <c r="B1266" t="s">
        <v>11085</v>
      </c>
      <c r="C1266" t="s">
        <v>15648</v>
      </c>
      <c r="D1266" t="s">
        <v>13169</v>
      </c>
      <c r="E1266" t="s">
        <v>1620</v>
      </c>
      <c r="F1266">
        <v>50</v>
      </c>
      <c r="G1266">
        <v>1</v>
      </c>
      <c r="H1266">
        <v>1</v>
      </c>
      <c r="I1266">
        <v>50</v>
      </c>
      <c r="J1266">
        <v>3554</v>
      </c>
      <c r="K1266">
        <f t="shared" si="58"/>
        <v>71</v>
      </c>
      <c r="L1266">
        <f t="shared" si="59"/>
        <v>4</v>
      </c>
      <c r="M1266">
        <v>3554</v>
      </c>
      <c r="N1266" s="3">
        <v>45778</v>
      </c>
      <c r="O1266" s="6">
        <v>0</v>
      </c>
    </row>
    <row r="1267" spans="1:15">
      <c r="A1267" t="str">
        <f t="shared" si="57"/>
        <v>Plenum 50 WG 50 X 100 gr459620</v>
      </c>
      <c r="B1267" t="s">
        <v>11086</v>
      </c>
      <c r="C1267" t="s">
        <v>15649</v>
      </c>
      <c r="D1267" t="s">
        <v>13170</v>
      </c>
      <c r="E1267" t="s">
        <v>1620</v>
      </c>
      <c r="F1267">
        <v>50</v>
      </c>
      <c r="G1267">
        <v>1</v>
      </c>
      <c r="H1267">
        <v>1</v>
      </c>
      <c r="I1267">
        <v>50</v>
      </c>
      <c r="J1267">
        <v>4250</v>
      </c>
      <c r="K1267">
        <f t="shared" si="58"/>
        <v>85</v>
      </c>
      <c r="L1267">
        <f t="shared" si="59"/>
        <v>0</v>
      </c>
      <c r="M1267">
        <v>4250</v>
      </c>
      <c r="N1267" s="3">
        <v>45962</v>
      </c>
      <c r="O1267" s="6">
        <v>0</v>
      </c>
    </row>
    <row r="1268" spans="1:15">
      <c r="A1268" t="str">
        <f t="shared" si="57"/>
        <v>Plenum 50 WG 50 X 100 gr458390</v>
      </c>
      <c r="B1268" t="s">
        <v>11087</v>
      </c>
      <c r="C1268" t="s">
        <v>15650</v>
      </c>
      <c r="D1268" t="s">
        <v>13171</v>
      </c>
      <c r="E1268" t="s">
        <v>1620</v>
      </c>
      <c r="F1268">
        <v>50</v>
      </c>
      <c r="G1268">
        <v>1</v>
      </c>
      <c r="H1268">
        <v>1</v>
      </c>
      <c r="I1268">
        <v>50</v>
      </c>
      <c r="J1268">
        <v>500</v>
      </c>
      <c r="K1268">
        <f t="shared" si="58"/>
        <v>10</v>
      </c>
      <c r="L1268">
        <f t="shared" si="59"/>
        <v>0</v>
      </c>
      <c r="M1268">
        <v>500</v>
      </c>
      <c r="N1268" s="3">
        <v>45839</v>
      </c>
      <c r="O1268" s="6">
        <v>0</v>
      </c>
    </row>
    <row r="1269" spans="1:15">
      <c r="A1269" t="str">
        <f t="shared" si="57"/>
        <v>Plenum 50 WG 50 X 100 gr459920</v>
      </c>
      <c r="B1269" t="s">
        <v>11088</v>
      </c>
      <c r="C1269" t="s">
        <v>15651</v>
      </c>
      <c r="D1269" t="s">
        <v>13172</v>
      </c>
      <c r="E1269" t="s">
        <v>1620</v>
      </c>
      <c r="F1269">
        <v>50</v>
      </c>
      <c r="G1269">
        <v>1</v>
      </c>
      <c r="H1269">
        <v>1</v>
      </c>
      <c r="I1269">
        <v>50</v>
      </c>
      <c r="J1269">
        <v>4450</v>
      </c>
      <c r="K1269">
        <f t="shared" si="58"/>
        <v>89</v>
      </c>
      <c r="L1269">
        <f t="shared" si="59"/>
        <v>0</v>
      </c>
      <c r="M1269">
        <v>4450</v>
      </c>
      <c r="N1269" s="3">
        <v>45992</v>
      </c>
      <c r="O1269" s="6">
        <v>0</v>
      </c>
    </row>
    <row r="1270" spans="1:15">
      <c r="A1270" t="str">
        <f t="shared" si="57"/>
        <v>Pointer 276 SL 20 X 1 ltr New461430</v>
      </c>
      <c r="B1270" t="s">
        <v>11089</v>
      </c>
      <c r="C1270" t="s">
        <v>15652</v>
      </c>
      <c r="D1270" t="s">
        <v>13173</v>
      </c>
      <c r="E1270" t="s">
        <v>1627</v>
      </c>
      <c r="F1270">
        <v>20</v>
      </c>
      <c r="G1270">
        <v>1</v>
      </c>
      <c r="H1270">
        <v>1</v>
      </c>
      <c r="I1270">
        <v>20</v>
      </c>
      <c r="J1270">
        <v>9160</v>
      </c>
      <c r="K1270">
        <f t="shared" si="58"/>
        <v>458</v>
      </c>
      <c r="L1270">
        <f t="shared" si="59"/>
        <v>0</v>
      </c>
      <c r="M1270">
        <v>9160</v>
      </c>
      <c r="N1270" s="3">
        <v>46143</v>
      </c>
      <c r="O1270" s="6">
        <v>0</v>
      </c>
    </row>
    <row r="1271" spans="1:15">
      <c r="A1271" t="str">
        <f t="shared" si="57"/>
        <v>Polo Shirt MIA (Putih Kombinasi)1/1/10000</v>
      </c>
      <c r="B1271" t="s">
        <v>11090</v>
      </c>
      <c r="C1271" t="s">
        <v>15653</v>
      </c>
      <c r="D1271" t="s">
        <v>13174</v>
      </c>
      <c r="E1271" t="s">
        <v>1628</v>
      </c>
      <c r="F1271">
        <v>1</v>
      </c>
      <c r="G1271">
        <v>1</v>
      </c>
      <c r="H1271">
        <v>1</v>
      </c>
      <c r="I1271">
        <v>1</v>
      </c>
      <c r="J1271">
        <v>7</v>
      </c>
      <c r="K1271">
        <f t="shared" si="58"/>
        <v>7</v>
      </c>
      <c r="L1271">
        <f t="shared" si="59"/>
        <v>0</v>
      </c>
      <c r="M1271">
        <v>7</v>
      </c>
      <c r="N1271" s="3" t="s">
        <v>2222</v>
      </c>
      <c r="O1271" s="6">
        <v>0</v>
      </c>
    </row>
    <row r="1272" spans="1:15">
      <c r="A1272" t="str">
        <f t="shared" si="57"/>
        <v>Polybag Alpen 10/20 X 25 cm - 25 X 1 kg1/1/10000</v>
      </c>
      <c r="B1272" t="s">
        <v>11091</v>
      </c>
      <c r="C1272" t="s">
        <v>15654</v>
      </c>
      <c r="D1272" t="s">
        <v>13175</v>
      </c>
      <c r="E1272" t="s">
        <v>1629</v>
      </c>
      <c r="F1272">
        <v>25</v>
      </c>
      <c r="G1272">
        <v>1</v>
      </c>
      <c r="H1272">
        <v>1</v>
      </c>
      <c r="I1272">
        <v>25</v>
      </c>
      <c r="J1272">
        <v>12</v>
      </c>
      <c r="K1272">
        <f t="shared" si="58"/>
        <v>0</v>
      </c>
      <c r="L1272">
        <f t="shared" si="59"/>
        <v>12</v>
      </c>
      <c r="M1272">
        <v>12</v>
      </c>
      <c r="N1272" s="3" t="s">
        <v>2222</v>
      </c>
      <c r="O1272" s="6">
        <v>0</v>
      </c>
    </row>
    <row r="1273" spans="1:15">
      <c r="A1273" t="str">
        <f t="shared" si="57"/>
        <v>Polybag Alpen 10/20 X 40 cm - 25 X 1 kg1/1/10000</v>
      </c>
      <c r="B1273" t="s">
        <v>11092</v>
      </c>
      <c r="C1273" t="s">
        <v>15655</v>
      </c>
      <c r="D1273" t="s">
        <v>13176</v>
      </c>
      <c r="E1273" t="s">
        <v>1630</v>
      </c>
      <c r="F1273">
        <v>25</v>
      </c>
      <c r="G1273">
        <v>1</v>
      </c>
      <c r="H1273">
        <v>1</v>
      </c>
      <c r="I1273">
        <v>25</v>
      </c>
      <c r="J1273">
        <v>425</v>
      </c>
      <c r="K1273">
        <f t="shared" si="58"/>
        <v>17</v>
      </c>
      <c r="L1273">
        <f t="shared" si="59"/>
        <v>0</v>
      </c>
      <c r="M1273">
        <v>425</v>
      </c>
      <c r="N1273" s="3" t="s">
        <v>2222</v>
      </c>
      <c r="O1273" s="6">
        <v>0</v>
      </c>
    </row>
    <row r="1274" spans="1:15">
      <c r="A1274" t="str">
        <f t="shared" si="57"/>
        <v>Polybag Alpen 12.5/25 X 25 cm - 25 X 1 kg1/1/10000</v>
      </c>
      <c r="B1274" t="s">
        <v>11093</v>
      </c>
      <c r="C1274" t="s">
        <v>15656</v>
      </c>
      <c r="D1274" t="s">
        <v>13177</v>
      </c>
      <c r="E1274" t="s">
        <v>1631</v>
      </c>
      <c r="F1274">
        <v>25</v>
      </c>
      <c r="G1274">
        <v>1</v>
      </c>
      <c r="H1274">
        <v>1</v>
      </c>
      <c r="I1274">
        <v>25</v>
      </c>
      <c r="J1274">
        <v>232</v>
      </c>
      <c r="K1274">
        <f t="shared" si="58"/>
        <v>9</v>
      </c>
      <c r="L1274">
        <f t="shared" si="59"/>
        <v>7</v>
      </c>
      <c r="M1274">
        <v>232</v>
      </c>
      <c r="N1274" s="3" t="s">
        <v>2222</v>
      </c>
      <c r="O1274" s="6">
        <v>0</v>
      </c>
    </row>
    <row r="1275" spans="1:15">
      <c r="A1275" t="str">
        <f t="shared" si="57"/>
        <v>Polybag Alpen 12.5/25 X 30 cm - 25 X 1 kg1/1/10000</v>
      </c>
      <c r="B1275" t="s">
        <v>11094</v>
      </c>
      <c r="C1275" t="s">
        <v>15657</v>
      </c>
      <c r="D1275" t="s">
        <v>13178</v>
      </c>
      <c r="E1275" t="s">
        <v>1632</v>
      </c>
      <c r="F1275">
        <v>25</v>
      </c>
      <c r="G1275">
        <v>1</v>
      </c>
      <c r="H1275">
        <v>1</v>
      </c>
      <c r="I1275">
        <v>25</v>
      </c>
      <c r="J1275">
        <v>422</v>
      </c>
      <c r="K1275">
        <f t="shared" si="58"/>
        <v>16</v>
      </c>
      <c r="L1275">
        <f t="shared" si="59"/>
        <v>22</v>
      </c>
      <c r="M1275">
        <v>422</v>
      </c>
      <c r="N1275" s="3" t="s">
        <v>2222</v>
      </c>
      <c r="O1275" s="6">
        <v>0</v>
      </c>
    </row>
    <row r="1276" spans="1:15">
      <c r="A1276" t="str">
        <f t="shared" si="57"/>
        <v>Polybag Alpen 17.5/35 X 35 cm - 25 X 1 kg1/1/10000</v>
      </c>
      <c r="B1276" t="s">
        <v>11095</v>
      </c>
      <c r="C1276" t="s">
        <v>15658</v>
      </c>
      <c r="D1276" t="s">
        <v>13179</v>
      </c>
      <c r="E1276" t="s">
        <v>1633</v>
      </c>
      <c r="F1276">
        <v>25</v>
      </c>
      <c r="G1276">
        <v>1</v>
      </c>
      <c r="H1276">
        <v>1</v>
      </c>
      <c r="I1276">
        <v>25</v>
      </c>
      <c r="J1276">
        <v>502</v>
      </c>
      <c r="K1276">
        <f t="shared" si="58"/>
        <v>20</v>
      </c>
      <c r="L1276">
        <f t="shared" si="59"/>
        <v>2</v>
      </c>
      <c r="M1276">
        <v>502</v>
      </c>
      <c r="N1276" s="3" t="s">
        <v>2222</v>
      </c>
      <c r="O1276" s="6">
        <v>0</v>
      </c>
    </row>
    <row r="1277" spans="1:15">
      <c r="A1277" t="str">
        <f t="shared" si="57"/>
        <v>Polybag Alpen 17.5/35 X 40 cm - 25 X 1 kg1/1/10000</v>
      </c>
      <c r="B1277" t="s">
        <v>11096</v>
      </c>
      <c r="C1277" t="s">
        <v>15659</v>
      </c>
      <c r="D1277" t="s">
        <v>13180</v>
      </c>
      <c r="E1277" t="s">
        <v>1634</v>
      </c>
      <c r="F1277">
        <v>25</v>
      </c>
      <c r="G1277">
        <v>1</v>
      </c>
      <c r="H1277">
        <v>1</v>
      </c>
      <c r="I1277">
        <v>25</v>
      </c>
      <c r="J1277">
        <v>7</v>
      </c>
      <c r="K1277">
        <f t="shared" si="58"/>
        <v>0</v>
      </c>
      <c r="L1277">
        <f t="shared" si="59"/>
        <v>7</v>
      </c>
      <c r="M1277">
        <v>7</v>
      </c>
      <c r="N1277" s="3" t="s">
        <v>2222</v>
      </c>
      <c r="O1277" s="6">
        <v>0</v>
      </c>
    </row>
    <row r="1278" spans="1:15">
      <c r="A1278" t="str">
        <f t="shared" si="57"/>
        <v>Polybag Alpen 2.5/5 X 15 cm - 50 X 500 gr1/1/10000</v>
      </c>
      <c r="B1278" t="s">
        <v>11097</v>
      </c>
      <c r="C1278" t="s">
        <v>15660</v>
      </c>
      <c r="D1278" t="s">
        <v>13181</v>
      </c>
      <c r="E1278" t="s">
        <v>1635</v>
      </c>
      <c r="F1278">
        <v>50</v>
      </c>
      <c r="G1278">
        <v>1</v>
      </c>
      <c r="H1278">
        <v>1</v>
      </c>
      <c r="I1278">
        <v>50</v>
      </c>
      <c r="J1278">
        <v>2700</v>
      </c>
      <c r="K1278">
        <f t="shared" si="58"/>
        <v>54</v>
      </c>
      <c r="L1278">
        <f t="shared" si="59"/>
        <v>0</v>
      </c>
      <c r="M1278">
        <v>2700</v>
      </c>
      <c r="N1278" s="3" t="s">
        <v>2222</v>
      </c>
      <c r="O1278" s="6">
        <v>0</v>
      </c>
    </row>
    <row r="1279" spans="1:15">
      <c r="A1279" t="str">
        <f t="shared" si="57"/>
        <v>Polybag Alpen 25/45 X 45 cm - 25 X 1 kg1/1/10000</v>
      </c>
      <c r="B1279" t="s">
        <v>11098</v>
      </c>
      <c r="C1279" t="s">
        <v>15661</v>
      </c>
      <c r="D1279" t="s">
        <v>13182</v>
      </c>
      <c r="E1279" t="s">
        <v>1636</v>
      </c>
      <c r="F1279">
        <v>25</v>
      </c>
      <c r="G1279">
        <v>1</v>
      </c>
      <c r="H1279">
        <v>1</v>
      </c>
      <c r="I1279">
        <v>25</v>
      </c>
      <c r="J1279">
        <v>39</v>
      </c>
      <c r="K1279">
        <f t="shared" si="58"/>
        <v>1</v>
      </c>
      <c r="L1279">
        <f t="shared" si="59"/>
        <v>14</v>
      </c>
      <c r="M1279">
        <v>39</v>
      </c>
      <c r="N1279" s="3" t="s">
        <v>2222</v>
      </c>
      <c r="O1279" s="6">
        <v>0</v>
      </c>
    </row>
    <row r="1280" spans="1:15">
      <c r="A1280" t="str">
        <f t="shared" si="57"/>
        <v>Polybag Alpen 30/50 X 50 cm - 25 X 1 kg1/1/10000</v>
      </c>
      <c r="B1280" t="s">
        <v>11099</v>
      </c>
      <c r="C1280" t="s">
        <v>15662</v>
      </c>
      <c r="D1280" t="s">
        <v>13183</v>
      </c>
      <c r="E1280" t="s">
        <v>1637</v>
      </c>
      <c r="F1280">
        <v>25</v>
      </c>
      <c r="G1280">
        <v>1</v>
      </c>
      <c r="H1280">
        <v>1</v>
      </c>
      <c r="I1280">
        <v>25</v>
      </c>
      <c r="J1280">
        <v>1746</v>
      </c>
      <c r="K1280">
        <f t="shared" si="58"/>
        <v>69</v>
      </c>
      <c r="L1280">
        <f t="shared" si="59"/>
        <v>21</v>
      </c>
      <c r="M1280">
        <v>1746</v>
      </c>
      <c r="N1280" s="3" t="s">
        <v>2222</v>
      </c>
      <c r="O1280" s="6">
        <v>0</v>
      </c>
    </row>
    <row r="1281" spans="1:15">
      <c r="A1281" t="str">
        <f t="shared" si="57"/>
        <v>Polybag Alpen 5/10 X 15 cm - 50 X 500 gr1/1/10000</v>
      </c>
      <c r="B1281" t="s">
        <v>11100</v>
      </c>
      <c r="C1281" t="s">
        <v>15663</v>
      </c>
      <c r="D1281" t="s">
        <v>13184</v>
      </c>
      <c r="E1281" t="s">
        <v>1638</v>
      </c>
      <c r="F1281">
        <v>50</v>
      </c>
      <c r="G1281">
        <v>1</v>
      </c>
      <c r="H1281">
        <v>1</v>
      </c>
      <c r="I1281">
        <v>50</v>
      </c>
      <c r="J1281">
        <v>150</v>
      </c>
      <c r="K1281">
        <f t="shared" si="58"/>
        <v>3</v>
      </c>
      <c r="L1281">
        <f t="shared" si="59"/>
        <v>0</v>
      </c>
      <c r="M1281">
        <v>150</v>
      </c>
      <c r="N1281" s="3" t="s">
        <v>2222</v>
      </c>
      <c r="O1281" s="6">
        <v>0</v>
      </c>
    </row>
    <row r="1282" spans="1:15">
      <c r="A1282" t="str">
        <f t="shared" si="57"/>
        <v>Polybag Korma 10 X 15 X 004 (Sample)1/1/10000</v>
      </c>
      <c r="B1282" t="s">
        <v>11101</v>
      </c>
      <c r="C1282" t="s">
        <v>15664</v>
      </c>
      <c r="D1282" t="s">
        <v>13185</v>
      </c>
      <c r="E1282" t="s">
        <v>1639</v>
      </c>
      <c r="F1282">
        <v>1</v>
      </c>
      <c r="G1282">
        <v>1</v>
      </c>
      <c r="H1282">
        <v>1</v>
      </c>
      <c r="I1282">
        <v>1</v>
      </c>
      <c r="J1282">
        <v>2</v>
      </c>
      <c r="K1282">
        <f t="shared" si="58"/>
        <v>2</v>
      </c>
      <c r="L1282">
        <f t="shared" si="59"/>
        <v>0</v>
      </c>
      <c r="M1282">
        <v>2</v>
      </c>
      <c r="N1282" s="3" t="s">
        <v>2222</v>
      </c>
      <c r="O1282" s="6">
        <v>0</v>
      </c>
    </row>
    <row r="1283" spans="1:15">
      <c r="A1283" t="str">
        <f t="shared" ref="A1283:A1346" si="60">E1283&amp;N1283&amp;O1283</f>
        <v>Polybag Korma 15 X 15 X 005 (Sample)1/1/10000</v>
      </c>
      <c r="B1283" t="s">
        <v>11102</v>
      </c>
      <c r="C1283" t="s">
        <v>15665</v>
      </c>
      <c r="D1283" t="s">
        <v>13186</v>
      </c>
      <c r="E1283" t="s">
        <v>1641</v>
      </c>
      <c r="F1283">
        <v>1</v>
      </c>
      <c r="G1283">
        <v>1</v>
      </c>
      <c r="H1283">
        <v>1</v>
      </c>
      <c r="I1283">
        <v>1</v>
      </c>
      <c r="J1283">
        <v>2</v>
      </c>
      <c r="K1283">
        <f t="shared" ref="K1283:K1346" si="61">ROUNDDOWN(J1283/I1283,0)</f>
        <v>2</v>
      </c>
      <c r="L1283">
        <f t="shared" ref="L1283:L1346" si="62">J1283-K1283*I1283</f>
        <v>0</v>
      </c>
      <c r="M1283">
        <v>2</v>
      </c>
      <c r="N1283" s="3" t="s">
        <v>2222</v>
      </c>
      <c r="O1283" s="6">
        <v>0</v>
      </c>
    </row>
    <row r="1284" spans="1:15">
      <c r="A1284" t="str">
        <f t="shared" si="60"/>
        <v>Polybag Korma 20 X 20 X 006 (Sample)1/1/10000</v>
      </c>
      <c r="B1284" t="s">
        <v>11103</v>
      </c>
      <c r="C1284" t="s">
        <v>15666</v>
      </c>
      <c r="D1284" t="s">
        <v>13187</v>
      </c>
      <c r="E1284" t="s">
        <v>1642</v>
      </c>
      <c r="F1284">
        <v>1</v>
      </c>
      <c r="G1284">
        <v>1</v>
      </c>
      <c r="H1284">
        <v>1</v>
      </c>
      <c r="I1284">
        <v>1</v>
      </c>
      <c r="J1284">
        <v>2</v>
      </c>
      <c r="K1284">
        <f t="shared" si="61"/>
        <v>2</v>
      </c>
      <c r="L1284">
        <f t="shared" si="62"/>
        <v>0</v>
      </c>
      <c r="M1284">
        <v>2</v>
      </c>
      <c r="N1284" s="3" t="s">
        <v>2222</v>
      </c>
      <c r="O1284" s="6">
        <v>0</v>
      </c>
    </row>
    <row r="1285" spans="1:15">
      <c r="A1285" t="str">
        <f t="shared" si="60"/>
        <v>Polybag Korma 25 X 30 X 006 (Sample)1/1/10000</v>
      </c>
      <c r="B1285" t="s">
        <v>11104</v>
      </c>
      <c r="C1285" t="s">
        <v>15667</v>
      </c>
      <c r="D1285" t="s">
        <v>13188</v>
      </c>
      <c r="E1285" t="s">
        <v>1643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f t="shared" si="61"/>
        <v>1</v>
      </c>
      <c r="L1285">
        <f t="shared" si="62"/>
        <v>0</v>
      </c>
      <c r="M1285">
        <v>1</v>
      </c>
      <c r="N1285" s="3" t="s">
        <v>2222</v>
      </c>
      <c r="O1285" s="6">
        <v>0</v>
      </c>
    </row>
    <row r="1286" spans="1:15">
      <c r="A1286" t="str">
        <f t="shared" si="60"/>
        <v>Polybag Korma 30 X 30 X 008 (Sample)1/1/10000</v>
      </c>
      <c r="B1286" t="s">
        <v>11105</v>
      </c>
      <c r="C1286" t="s">
        <v>15668</v>
      </c>
      <c r="D1286" t="s">
        <v>13189</v>
      </c>
      <c r="E1286" t="s">
        <v>1644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f t="shared" si="61"/>
        <v>1</v>
      </c>
      <c r="L1286">
        <f t="shared" si="62"/>
        <v>0</v>
      </c>
      <c r="M1286">
        <v>1</v>
      </c>
      <c r="N1286" s="3" t="s">
        <v>2222</v>
      </c>
      <c r="O1286" s="6">
        <v>0</v>
      </c>
    </row>
    <row r="1287" spans="1:15">
      <c r="A1287" t="str">
        <f t="shared" si="60"/>
        <v>Polybag Korma 35 X 35 X 008 (Sample)1/1/10000</v>
      </c>
      <c r="B1287" t="s">
        <v>11106</v>
      </c>
      <c r="C1287" t="s">
        <v>15669</v>
      </c>
      <c r="D1287" t="s">
        <v>13190</v>
      </c>
      <c r="E1287" t="s">
        <v>1645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f t="shared" si="61"/>
        <v>1</v>
      </c>
      <c r="L1287">
        <f t="shared" si="62"/>
        <v>0</v>
      </c>
      <c r="M1287">
        <v>1</v>
      </c>
      <c r="N1287" s="3" t="s">
        <v>2222</v>
      </c>
      <c r="O1287" s="6">
        <v>0</v>
      </c>
    </row>
    <row r="1288" spans="1:15">
      <c r="A1288" t="str">
        <f t="shared" si="60"/>
        <v>Polybag Korma 40 X 40 X 010 (Sample)1/1/10000</v>
      </c>
      <c r="B1288" t="s">
        <v>11107</v>
      </c>
      <c r="C1288" t="s">
        <v>15670</v>
      </c>
      <c r="D1288" t="s">
        <v>13191</v>
      </c>
      <c r="E1288" t="s">
        <v>1646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f t="shared" si="61"/>
        <v>1</v>
      </c>
      <c r="L1288">
        <f t="shared" si="62"/>
        <v>0</v>
      </c>
      <c r="M1288">
        <v>1</v>
      </c>
      <c r="N1288" s="3" t="s">
        <v>2222</v>
      </c>
      <c r="O1288" s="6">
        <v>0</v>
      </c>
    </row>
    <row r="1289" spans="1:15">
      <c r="A1289" t="str">
        <f t="shared" si="60"/>
        <v>Polybag Korma 45 X 45 X 010 (Sample)1/1/10000</v>
      </c>
      <c r="B1289" t="s">
        <v>11108</v>
      </c>
      <c r="C1289" t="s">
        <v>15671</v>
      </c>
      <c r="D1289" t="s">
        <v>13192</v>
      </c>
      <c r="E1289" t="s">
        <v>1647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f t="shared" si="61"/>
        <v>1</v>
      </c>
      <c r="L1289">
        <f t="shared" si="62"/>
        <v>0</v>
      </c>
      <c r="M1289">
        <v>1</v>
      </c>
      <c r="N1289" s="3" t="s">
        <v>2222</v>
      </c>
      <c r="O1289" s="6">
        <v>0</v>
      </c>
    </row>
    <row r="1290" spans="1:15">
      <c r="A1290" t="str">
        <f t="shared" si="60"/>
        <v>Polybag Korma 50 X 50 X 010 (Sample)1/1/10000</v>
      </c>
      <c r="B1290" t="s">
        <v>11109</v>
      </c>
      <c r="C1290" t="s">
        <v>15672</v>
      </c>
      <c r="D1290" t="s">
        <v>13193</v>
      </c>
      <c r="E1290" t="s">
        <v>1648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f t="shared" si="61"/>
        <v>1</v>
      </c>
      <c r="L1290">
        <f t="shared" si="62"/>
        <v>0</v>
      </c>
      <c r="M1290">
        <v>1</v>
      </c>
      <c r="N1290" s="3" t="s">
        <v>2222</v>
      </c>
      <c r="O1290" s="6">
        <v>0</v>
      </c>
    </row>
    <row r="1291" spans="1:15">
      <c r="A1291" t="str">
        <f t="shared" si="60"/>
        <v>Pompa Plasindo 14 ltr1/1/10000</v>
      </c>
      <c r="B1291" t="s">
        <v>11110</v>
      </c>
      <c r="C1291" t="s">
        <v>15673</v>
      </c>
      <c r="D1291" t="s">
        <v>13194</v>
      </c>
      <c r="E1291" t="s">
        <v>1649</v>
      </c>
      <c r="F1291">
        <v>1</v>
      </c>
      <c r="G1291">
        <v>1</v>
      </c>
      <c r="H1291">
        <v>1</v>
      </c>
      <c r="I1291">
        <v>1</v>
      </c>
      <c r="J1291">
        <v>4</v>
      </c>
      <c r="K1291">
        <f t="shared" si="61"/>
        <v>4</v>
      </c>
      <c r="L1291">
        <f t="shared" si="62"/>
        <v>0</v>
      </c>
      <c r="M1291">
        <v>4</v>
      </c>
      <c r="N1291" s="3" t="s">
        <v>2222</v>
      </c>
      <c r="O1291" s="6">
        <v>0</v>
      </c>
    </row>
    <row r="1292" spans="1:15">
      <c r="A1292" t="str">
        <f t="shared" si="60"/>
        <v>Popzole 525 SE 48 X 240 ml459620</v>
      </c>
      <c r="B1292" t="s">
        <v>11111</v>
      </c>
      <c r="C1292" t="s">
        <v>15674</v>
      </c>
      <c r="D1292" t="s">
        <v>13195</v>
      </c>
      <c r="E1292" t="s">
        <v>1650</v>
      </c>
      <c r="F1292">
        <v>48</v>
      </c>
      <c r="G1292">
        <v>1</v>
      </c>
      <c r="H1292">
        <v>1</v>
      </c>
      <c r="I1292">
        <v>48</v>
      </c>
      <c r="J1292">
        <v>617</v>
      </c>
      <c r="K1292">
        <f t="shared" si="61"/>
        <v>12</v>
      </c>
      <c r="L1292">
        <f t="shared" si="62"/>
        <v>41</v>
      </c>
      <c r="M1292">
        <v>617</v>
      </c>
      <c r="N1292" s="3">
        <v>45962</v>
      </c>
      <c r="O1292" s="6">
        <v>0</v>
      </c>
    </row>
    <row r="1293" spans="1:15">
      <c r="A1293" t="str">
        <f t="shared" si="60"/>
        <v>Popzole 525 SE 48 X 240 ml467530</v>
      </c>
      <c r="B1293" t="s">
        <v>11112</v>
      </c>
      <c r="C1293" t="s">
        <v>15675</v>
      </c>
      <c r="D1293" t="s">
        <v>13196</v>
      </c>
      <c r="E1293" t="s">
        <v>1650</v>
      </c>
      <c r="F1293">
        <v>48</v>
      </c>
      <c r="G1293">
        <v>1</v>
      </c>
      <c r="H1293">
        <v>1</v>
      </c>
      <c r="I1293">
        <v>48</v>
      </c>
      <c r="J1293">
        <v>624</v>
      </c>
      <c r="K1293">
        <f t="shared" si="61"/>
        <v>13</v>
      </c>
      <c r="L1293">
        <f t="shared" si="62"/>
        <v>0</v>
      </c>
      <c r="M1293">
        <v>624</v>
      </c>
      <c r="N1293" s="3">
        <v>46753</v>
      </c>
      <c r="O1293" s="6">
        <v>0</v>
      </c>
    </row>
    <row r="1294" spans="1:15">
      <c r="A1294" t="str">
        <f t="shared" si="60"/>
        <v>Popzole 525 SE 64 X 100 ml465690</v>
      </c>
      <c r="B1294" t="s">
        <v>11113</v>
      </c>
      <c r="C1294" t="s">
        <v>15676</v>
      </c>
      <c r="D1294" t="s">
        <v>13197</v>
      </c>
      <c r="E1294" t="s">
        <v>1653</v>
      </c>
      <c r="F1294">
        <v>64</v>
      </c>
      <c r="G1294">
        <v>1</v>
      </c>
      <c r="H1294">
        <v>1</v>
      </c>
      <c r="I1294">
        <v>64</v>
      </c>
      <c r="J1294">
        <v>1722</v>
      </c>
      <c r="K1294">
        <f t="shared" si="61"/>
        <v>26</v>
      </c>
      <c r="L1294">
        <f t="shared" si="62"/>
        <v>58</v>
      </c>
      <c r="M1294">
        <v>1722</v>
      </c>
      <c r="N1294" s="3">
        <v>46569</v>
      </c>
      <c r="O1294" s="6">
        <v>0</v>
      </c>
    </row>
    <row r="1295" spans="1:15">
      <c r="A1295" t="str">
        <f t="shared" si="60"/>
        <v>Poster Piraklo1/1/10000</v>
      </c>
      <c r="B1295" t="s">
        <v>11114</v>
      </c>
      <c r="C1295" t="s">
        <v>15677</v>
      </c>
      <c r="D1295" t="s">
        <v>13198</v>
      </c>
      <c r="E1295" t="s">
        <v>1656</v>
      </c>
      <c r="F1295">
        <v>1</v>
      </c>
      <c r="G1295">
        <v>1</v>
      </c>
      <c r="H1295">
        <v>1</v>
      </c>
      <c r="I1295">
        <v>1</v>
      </c>
      <c r="J1295">
        <v>965</v>
      </c>
      <c r="K1295">
        <f t="shared" si="61"/>
        <v>965</v>
      </c>
      <c r="L1295">
        <f t="shared" si="62"/>
        <v>0</v>
      </c>
      <c r="M1295">
        <v>965</v>
      </c>
      <c r="N1295" s="3" t="s">
        <v>2222</v>
      </c>
      <c r="O1295" s="6">
        <v>0</v>
      </c>
    </row>
    <row r="1296" spans="1:15">
      <c r="A1296" t="str">
        <f t="shared" si="60"/>
        <v>Pot Tray 105 (Sample)1/1/10000</v>
      </c>
      <c r="B1296" t="s">
        <v>11115</v>
      </c>
      <c r="C1296" t="s">
        <v>15678</v>
      </c>
      <c r="D1296" t="s">
        <v>13199</v>
      </c>
      <c r="E1296" t="s">
        <v>1657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f t="shared" si="61"/>
        <v>1</v>
      </c>
      <c r="L1296">
        <f t="shared" si="62"/>
        <v>0</v>
      </c>
      <c r="M1296">
        <v>1</v>
      </c>
      <c r="N1296" s="3" t="s">
        <v>2222</v>
      </c>
      <c r="O1296" s="6">
        <v>0</v>
      </c>
    </row>
    <row r="1297" spans="1:15">
      <c r="A1297" t="str">
        <f t="shared" si="60"/>
        <v>Pot Tray 128 (Sample)1/1/10000</v>
      </c>
      <c r="B1297" t="s">
        <v>11116</v>
      </c>
      <c r="C1297" t="s">
        <v>15679</v>
      </c>
      <c r="D1297" t="s">
        <v>13200</v>
      </c>
      <c r="E1297" t="s">
        <v>1658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f t="shared" si="61"/>
        <v>1</v>
      </c>
      <c r="L1297">
        <f t="shared" si="62"/>
        <v>0</v>
      </c>
      <c r="M1297">
        <v>1</v>
      </c>
      <c r="N1297" s="3" t="s">
        <v>2222</v>
      </c>
      <c r="O1297" s="6">
        <v>0</v>
      </c>
    </row>
    <row r="1298" spans="1:15">
      <c r="A1298" t="str">
        <f t="shared" si="60"/>
        <v>Pot Tray 200 (Sample)1/1/10000</v>
      </c>
      <c r="B1298" t="s">
        <v>11117</v>
      </c>
      <c r="C1298" t="s">
        <v>15680</v>
      </c>
      <c r="D1298" t="s">
        <v>13201</v>
      </c>
      <c r="E1298" t="s">
        <v>1659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f t="shared" si="61"/>
        <v>1</v>
      </c>
      <c r="L1298">
        <f t="shared" si="62"/>
        <v>0</v>
      </c>
      <c r="M1298">
        <v>1</v>
      </c>
      <c r="N1298" s="3" t="s">
        <v>2222</v>
      </c>
      <c r="O1298" s="6">
        <v>0</v>
      </c>
    </row>
    <row r="1299" spans="1:15">
      <c r="A1299" t="str">
        <f t="shared" si="60"/>
        <v>Pot Tray 32 (Sample)1/1/10000</v>
      </c>
      <c r="B1299" t="s">
        <v>11118</v>
      </c>
      <c r="C1299" t="s">
        <v>15681</v>
      </c>
      <c r="D1299" t="s">
        <v>13202</v>
      </c>
      <c r="E1299" t="s">
        <v>1660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f t="shared" si="61"/>
        <v>1</v>
      </c>
      <c r="L1299">
        <f t="shared" si="62"/>
        <v>0</v>
      </c>
      <c r="M1299">
        <v>1</v>
      </c>
      <c r="N1299" s="3" t="s">
        <v>2222</v>
      </c>
      <c r="O1299" s="6">
        <v>0</v>
      </c>
    </row>
    <row r="1300" spans="1:15">
      <c r="A1300" t="str">
        <f t="shared" si="60"/>
        <v>Pot Tray 50 (Sample)1/1/10000</v>
      </c>
      <c r="B1300" t="s">
        <v>11119</v>
      </c>
      <c r="C1300" t="s">
        <v>15682</v>
      </c>
      <c r="D1300" t="s">
        <v>13203</v>
      </c>
      <c r="E1300" t="s">
        <v>1661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f t="shared" si="61"/>
        <v>1</v>
      </c>
      <c r="L1300">
        <f t="shared" si="62"/>
        <v>0</v>
      </c>
      <c r="M1300">
        <v>1</v>
      </c>
      <c r="N1300" s="3" t="s">
        <v>2222</v>
      </c>
      <c r="O1300" s="6">
        <v>0</v>
      </c>
    </row>
    <row r="1301" spans="1:15">
      <c r="A1301" t="str">
        <f t="shared" si="60"/>
        <v>Pot Tray 72 (Sample)1/1/10000</v>
      </c>
      <c r="B1301" t="s">
        <v>11120</v>
      </c>
      <c r="C1301" t="s">
        <v>15683</v>
      </c>
      <c r="D1301" t="s">
        <v>13204</v>
      </c>
      <c r="E1301" t="s">
        <v>1662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f t="shared" si="61"/>
        <v>1</v>
      </c>
      <c r="L1301">
        <f t="shared" si="62"/>
        <v>0</v>
      </c>
      <c r="M1301">
        <v>1</v>
      </c>
      <c r="N1301" s="3" t="s">
        <v>2222</v>
      </c>
      <c r="O1301" s="6">
        <v>0</v>
      </c>
    </row>
    <row r="1302" spans="1:15">
      <c r="A1302" t="str">
        <f t="shared" si="60"/>
        <v>Pot Tray 98 (Sample)1/1/10000</v>
      </c>
      <c r="B1302" t="s">
        <v>11121</v>
      </c>
      <c r="C1302" t="s">
        <v>15684</v>
      </c>
      <c r="D1302" t="s">
        <v>13205</v>
      </c>
      <c r="E1302" t="s">
        <v>1663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f t="shared" si="61"/>
        <v>1</v>
      </c>
      <c r="L1302">
        <f t="shared" si="62"/>
        <v>0</v>
      </c>
      <c r="M1302">
        <v>1</v>
      </c>
      <c r="N1302" s="3" t="s">
        <v>2222</v>
      </c>
      <c r="O1302" s="6">
        <v>0</v>
      </c>
    </row>
    <row r="1303" spans="1:15">
      <c r="A1303" t="str">
        <f t="shared" si="60"/>
        <v>Pot Tray Dexxan 100 X 200 lubang1/1/10000</v>
      </c>
      <c r="B1303" t="s">
        <v>11122</v>
      </c>
      <c r="C1303" t="s">
        <v>15685</v>
      </c>
      <c r="D1303" t="s">
        <v>13206</v>
      </c>
      <c r="E1303" t="s">
        <v>1664</v>
      </c>
      <c r="F1303">
        <v>100</v>
      </c>
      <c r="G1303">
        <v>1</v>
      </c>
      <c r="H1303">
        <v>1</v>
      </c>
      <c r="I1303">
        <v>100</v>
      </c>
      <c r="J1303">
        <v>5000</v>
      </c>
      <c r="K1303">
        <f t="shared" si="61"/>
        <v>50</v>
      </c>
      <c r="L1303">
        <f t="shared" si="62"/>
        <v>0</v>
      </c>
      <c r="M1303">
        <v>5000</v>
      </c>
      <c r="N1303" s="3" t="s">
        <v>2222</v>
      </c>
      <c r="O1303" s="6">
        <v>0</v>
      </c>
    </row>
    <row r="1304" spans="1:15">
      <c r="A1304" t="str">
        <f t="shared" si="60"/>
        <v>Pot Tray Dexxan 100 X 288 lubang1/1/10000</v>
      </c>
      <c r="B1304" t="s">
        <v>11123</v>
      </c>
      <c r="C1304" t="s">
        <v>15686</v>
      </c>
      <c r="D1304" t="s">
        <v>13207</v>
      </c>
      <c r="E1304" t="s">
        <v>1665</v>
      </c>
      <c r="F1304">
        <v>100</v>
      </c>
      <c r="G1304">
        <v>1</v>
      </c>
      <c r="H1304">
        <v>1</v>
      </c>
      <c r="I1304">
        <v>100</v>
      </c>
      <c r="J1304">
        <v>5550</v>
      </c>
      <c r="K1304">
        <f t="shared" si="61"/>
        <v>55</v>
      </c>
      <c r="L1304">
        <f t="shared" si="62"/>
        <v>50</v>
      </c>
      <c r="M1304">
        <v>5550</v>
      </c>
      <c r="N1304" s="3" t="s">
        <v>2222</v>
      </c>
      <c r="O1304" s="6">
        <v>0</v>
      </c>
    </row>
    <row r="1305" spans="1:15">
      <c r="A1305" t="str">
        <f t="shared" si="60"/>
        <v>Pot Tray Dexxan 100 X 50 lubang1/1/10000</v>
      </c>
      <c r="B1305" t="s">
        <v>11124</v>
      </c>
      <c r="C1305" t="s">
        <v>15687</v>
      </c>
      <c r="D1305" t="s">
        <v>13208</v>
      </c>
      <c r="E1305" t="s">
        <v>1666</v>
      </c>
      <c r="F1305">
        <v>100</v>
      </c>
      <c r="G1305">
        <v>1</v>
      </c>
      <c r="H1305">
        <v>1</v>
      </c>
      <c r="I1305">
        <v>100</v>
      </c>
      <c r="J1305">
        <v>77</v>
      </c>
      <c r="K1305">
        <f t="shared" si="61"/>
        <v>0</v>
      </c>
      <c r="L1305">
        <f t="shared" si="62"/>
        <v>77</v>
      </c>
      <c r="M1305">
        <v>77</v>
      </c>
      <c r="N1305" s="3" t="s">
        <v>2222</v>
      </c>
      <c r="O1305" s="6">
        <v>0</v>
      </c>
    </row>
    <row r="1306" spans="1:15">
      <c r="A1306" t="str">
        <f t="shared" si="60"/>
        <v>Pot Tray Dexxan 100 X 98 lubang1/1/10000</v>
      </c>
      <c r="B1306" t="s">
        <v>11125</v>
      </c>
      <c r="C1306" t="s">
        <v>15688</v>
      </c>
      <c r="D1306" t="s">
        <v>13209</v>
      </c>
      <c r="E1306" t="s">
        <v>1667</v>
      </c>
      <c r="F1306">
        <v>100</v>
      </c>
      <c r="G1306">
        <v>1</v>
      </c>
      <c r="H1306">
        <v>1</v>
      </c>
      <c r="I1306">
        <v>100</v>
      </c>
      <c r="J1306">
        <v>80</v>
      </c>
      <c r="K1306">
        <f t="shared" si="61"/>
        <v>0</v>
      </c>
      <c r="L1306">
        <f t="shared" si="62"/>
        <v>80</v>
      </c>
      <c r="M1306">
        <v>80</v>
      </c>
      <c r="N1306" s="3" t="s">
        <v>2222</v>
      </c>
      <c r="O1306" s="6">
        <v>0</v>
      </c>
    </row>
    <row r="1307" spans="1:15">
      <c r="A1307" t="str">
        <f t="shared" si="60"/>
        <v>Pounce 20 EC 24 X 500 ml460820</v>
      </c>
      <c r="B1307" t="s">
        <v>11126</v>
      </c>
      <c r="C1307" t="s">
        <v>15689</v>
      </c>
      <c r="D1307" t="s">
        <v>13210</v>
      </c>
      <c r="E1307" t="s">
        <v>1668</v>
      </c>
      <c r="F1307">
        <v>24</v>
      </c>
      <c r="G1307">
        <v>1</v>
      </c>
      <c r="H1307">
        <v>1</v>
      </c>
      <c r="I1307">
        <v>24</v>
      </c>
      <c r="J1307">
        <v>600</v>
      </c>
      <c r="K1307">
        <f t="shared" si="61"/>
        <v>25</v>
      </c>
      <c r="L1307">
        <f t="shared" si="62"/>
        <v>0</v>
      </c>
      <c r="M1307">
        <v>600</v>
      </c>
      <c r="N1307" s="3">
        <v>46082</v>
      </c>
      <c r="O1307" s="6">
        <v>0</v>
      </c>
    </row>
    <row r="1308" spans="1:15">
      <c r="A1308" t="str">
        <f t="shared" si="60"/>
        <v>Power Grow 20 X 1 ltr467530</v>
      </c>
      <c r="B1308" t="s">
        <v>11127</v>
      </c>
      <c r="C1308" t="s">
        <v>15690</v>
      </c>
      <c r="D1308" t="s">
        <v>13211</v>
      </c>
      <c r="E1308" t="s">
        <v>1669</v>
      </c>
      <c r="F1308">
        <v>20</v>
      </c>
      <c r="G1308">
        <v>1</v>
      </c>
      <c r="H1308">
        <v>1</v>
      </c>
      <c r="I1308">
        <v>20</v>
      </c>
      <c r="J1308">
        <v>100</v>
      </c>
      <c r="K1308">
        <f t="shared" si="61"/>
        <v>5</v>
      </c>
      <c r="L1308">
        <f t="shared" si="62"/>
        <v>0</v>
      </c>
      <c r="M1308">
        <v>100</v>
      </c>
      <c r="N1308" s="3">
        <v>46753</v>
      </c>
      <c r="O1308" s="6">
        <v>0</v>
      </c>
    </row>
    <row r="1309" spans="1:15">
      <c r="A1309" t="str">
        <f t="shared" si="60"/>
        <v>Power On/Off YEP 181/1/10000</v>
      </c>
      <c r="B1309" t="s">
        <v>11128</v>
      </c>
      <c r="C1309" t="s">
        <v>15691</v>
      </c>
      <c r="D1309" t="s">
        <v>13212</v>
      </c>
      <c r="E1309" t="s">
        <v>1670</v>
      </c>
      <c r="F1309">
        <v>1</v>
      </c>
      <c r="G1309">
        <v>1</v>
      </c>
      <c r="H1309">
        <v>1</v>
      </c>
      <c r="I1309">
        <v>1</v>
      </c>
      <c r="J1309">
        <v>15</v>
      </c>
      <c r="K1309">
        <f t="shared" si="61"/>
        <v>15</v>
      </c>
      <c r="L1309">
        <f t="shared" si="62"/>
        <v>0</v>
      </c>
      <c r="M1309">
        <v>15</v>
      </c>
      <c r="N1309" s="3" t="s">
        <v>2222</v>
      </c>
      <c r="O1309" s="6">
        <v>0</v>
      </c>
    </row>
    <row r="1310" spans="1:15">
      <c r="A1310" t="str">
        <f t="shared" si="60"/>
        <v>Powercall Cair 20 X 1 ltr469350</v>
      </c>
      <c r="B1310" t="s">
        <v>11129</v>
      </c>
      <c r="C1310" t="s">
        <v>15692</v>
      </c>
      <c r="D1310" t="s">
        <v>13213</v>
      </c>
      <c r="E1310" t="s">
        <v>1671</v>
      </c>
      <c r="F1310">
        <v>20</v>
      </c>
      <c r="G1310">
        <v>1</v>
      </c>
      <c r="H1310">
        <v>1</v>
      </c>
      <c r="I1310">
        <v>20</v>
      </c>
      <c r="J1310">
        <v>45</v>
      </c>
      <c r="K1310">
        <f t="shared" si="61"/>
        <v>2</v>
      </c>
      <c r="L1310">
        <f t="shared" si="62"/>
        <v>5</v>
      </c>
      <c r="M1310">
        <v>45</v>
      </c>
      <c r="N1310" s="3">
        <v>46935</v>
      </c>
      <c r="O1310" s="6">
        <v>0</v>
      </c>
    </row>
    <row r="1311" spans="1:15">
      <c r="A1311" t="str">
        <f t="shared" si="60"/>
        <v>Previcur N 722SL 100 X 100 ml463570</v>
      </c>
      <c r="B1311" t="s">
        <v>11130</v>
      </c>
      <c r="C1311" t="s">
        <v>15693</v>
      </c>
      <c r="D1311" t="s">
        <v>13214</v>
      </c>
      <c r="E1311" t="s">
        <v>1672</v>
      </c>
      <c r="F1311">
        <v>100</v>
      </c>
      <c r="G1311">
        <v>1</v>
      </c>
      <c r="H1311">
        <v>1</v>
      </c>
      <c r="I1311">
        <v>100</v>
      </c>
      <c r="J1311">
        <v>1590</v>
      </c>
      <c r="K1311">
        <f t="shared" si="61"/>
        <v>15</v>
      </c>
      <c r="L1311">
        <f t="shared" si="62"/>
        <v>90</v>
      </c>
      <c r="M1311">
        <v>1590</v>
      </c>
      <c r="N1311" s="3">
        <v>46357</v>
      </c>
      <c r="O1311" s="6">
        <v>0</v>
      </c>
    </row>
    <row r="1312" spans="1:15">
      <c r="A1312" t="str">
        <f t="shared" si="60"/>
        <v>Previcur N 722SL 20 X 500 ml461740</v>
      </c>
      <c r="B1312" t="s">
        <v>11131</v>
      </c>
      <c r="C1312" t="s">
        <v>15694</v>
      </c>
      <c r="D1312" t="s">
        <v>13215</v>
      </c>
      <c r="E1312" t="s">
        <v>1674</v>
      </c>
      <c r="F1312">
        <v>20</v>
      </c>
      <c r="G1312">
        <v>1</v>
      </c>
      <c r="H1312">
        <v>1</v>
      </c>
      <c r="I1312">
        <v>20</v>
      </c>
      <c r="J1312">
        <v>14</v>
      </c>
      <c r="K1312">
        <f t="shared" si="61"/>
        <v>0</v>
      </c>
      <c r="L1312">
        <f t="shared" si="62"/>
        <v>14</v>
      </c>
      <c r="M1312">
        <v>14</v>
      </c>
      <c r="N1312" s="3">
        <v>46174</v>
      </c>
      <c r="O1312" s="6">
        <v>0</v>
      </c>
    </row>
    <row r="1313" spans="1:15">
      <c r="A1313" t="str">
        <f t="shared" si="60"/>
        <v>Prima-Clink 20 X 250 ml470270</v>
      </c>
      <c r="B1313" t="s">
        <v>11132</v>
      </c>
      <c r="C1313" t="s">
        <v>15695</v>
      </c>
      <c r="D1313" t="s">
        <v>13216</v>
      </c>
      <c r="E1313" t="s">
        <v>1676</v>
      </c>
      <c r="F1313">
        <v>20</v>
      </c>
      <c r="G1313">
        <v>1</v>
      </c>
      <c r="H1313">
        <v>1</v>
      </c>
      <c r="I1313">
        <v>20</v>
      </c>
      <c r="J1313">
        <v>510</v>
      </c>
      <c r="K1313">
        <f t="shared" si="61"/>
        <v>25</v>
      </c>
      <c r="L1313">
        <f t="shared" si="62"/>
        <v>10</v>
      </c>
      <c r="M1313">
        <v>510</v>
      </c>
      <c r="N1313" s="3">
        <v>47027</v>
      </c>
      <c r="O1313" s="6">
        <v>0</v>
      </c>
    </row>
    <row r="1314" spans="1:15">
      <c r="A1314" t="str">
        <f t="shared" si="60"/>
        <v>Prima-Clink 50 X 100 ml472390</v>
      </c>
      <c r="B1314" t="s">
        <v>11133</v>
      </c>
      <c r="C1314" t="s">
        <v>15696</v>
      </c>
      <c r="D1314" t="s">
        <v>13217</v>
      </c>
      <c r="E1314" t="s">
        <v>1677</v>
      </c>
      <c r="F1314">
        <v>50</v>
      </c>
      <c r="G1314">
        <v>1</v>
      </c>
      <c r="H1314">
        <v>1</v>
      </c>
      <c r="I1314">
        <v>50</v>
      </c>
      <c r="J1314">
        <v>770</v>
      </c>
      <c r="K1314">
        <f t="shared" si="61"/>
        <v>15</v>
      </c>
      <c r="L1314">
        <f t="shared" si="62"/>
        <v>20</v>
      </c>
      <c r="M1314">
        <v>770</v>
      </c>
      <c r="N1314" s="3">
        <v>47239</v>
      </c>
      <c r="O1314" s="6">
        <v>0</v>
      </c>
    </row>
    <row r="1315" spans="1:15">
      <c r="A1315" t="str">
        <f t="shared" si="60"/>
        <v>Proclaim 5 SG 4 X 20 X 25 gr462040</v>
      </c>
      <c r="B1315" t="s">
        <v>11134</v>
      </c>
      <c r="C1315" t="s">
        <v>15697</v>
      </c>
      <c r="D1315" t="s">
        <v>13218</v>
      </c>
      <c r="E1315" t="s">
        <v>1678</v>
      </c>
      <c r="F1315">
        <v>4</v>
      </c>
      <c r="G1315">
        <v>20</v>
      </c>
      <c r="H1315">
        <v>1</v>
      </c>
      <c r="I1315">
        <v>80</v>
      </c>
      <c r="J1315">
        <v>13</v>
      </c>
      <c r="K1315">
        <f t="shared" si="61"/>
        <v>0</v>
      </c>
      <c r="L1315">
        <f t="shared" si="62"/>
        <v>13</v>
      </c>
      <c r="M1315">
        <v>13</v>
      </c>
      <c r="N1315" s="3">
        <v>46204</v>
      </c>
      <c r="O1315" s="6">
        <v>0</v>
      </c>
    </row>
    <row r="1316" spans="1:15">
      <c r="A1316" t="str">
        <f t="shared" si="60"/>
        <v>Proclaim 5 SG 4 X 20 X 25 gr462660</v>
      </c>
      <c r="B1316" t="s">
        <v>11135</v>
      </c>
      <c r="C1316" t="s">
        <v>15698</v>
      </c>
      <c r="D1316" t="s">
        <v>13219</v>
      </c>
      <c r="E1316" t="s">
        <v>1678</v>
      </c>
      <c r="F1316">
        <v>4</v>
      </c>
      <c r="G1316">
        <v>20</v>
      </c>
      <c r="H1316">
        <v>1</v>
      </c>
      <c r="I1316">
        <v>80</v>
      </c>
      <c r="J1316">
        <v>6520</v>
      </c>
      <c r="K1316">
        <f t="shared" si="61"/>
        <v>81</v>
      </c>
      <c r="L1316">
        <f t="shared" si="62"/>
        <v>40</v>
      </c>
      <c r="M1316">
        <v>6520</v>
      </c>
      <c r="N1316" s="3">
        <v>46266</v>
      </c>
      <c r="O1316" s="6">
        <v>0</v>
      </c>
    </row>
    <row r="1317" spans="1:15">
      <c r="A1317" t="str">
        <f t="shared" si="60"/>
        <v>Profuron 600 EC 20 X 500 ml462660</v>
      </c>
      <c r="B1317" t="s">
        <v>11136</v>
      </c>
      <c r="C1317" t="s">
        <v>15699</v>
      </c>
      <c r="D1317" t="s">
        <v>13220</v>
      </c>
      <c r="E1317" t="s">
        <v>1681</v>
      </c>
      <c r="F1317">
        <v>20</v>
      </c>
      <c r="G1317">
        <v>1</v>
      </c>
      <c r="H1317">
        <v>1</v>
      </c>
      <c r="I1317">
        <v>20</v>
      </c>
      <c r="J1317">
        <v>3</v>
      </c>
      <c r="K1317">
        <f t="shared" si="61"/>
        <v>0</v>
      </c>
      <c r="L1317">
        <f t="shared" si="62"/>
        <v>3</v>
      </c>
      <c r="M1317">
        <v>3</v>
      </c>
      <c r="N1317" s="3">
        <v>46266</v>
      </c>
      <c r="O1317" s="6">
        <v>0</v>
      </c>
    </row>
    <row r="1318" spans="1:15">
      <c r="A1318" t="str">
        <f t="shared" si="60"/>
        <v>Profuron 600 EC 20 X 500 ml465690</v>
      </c>
      <c r="B1318" t="s">
        <v>11137</v>
      </c>
      <c r="C1318" t="s">
        <v>15700</v>
      </c>
      <c r="D1318" t="s">
        <v>13221</v>
      </c>
      <c r="E1318" t="s">
        <v>1681</v>
      </c>
      <c r="F1318">
        <v>20</v>
      </c>
      <c r="G1318">
        <v>1</v>
      </c>
      <c r="H1318">
        <v>1</v>
      </c>
      <c r="I1318">
        <v>20</v>
      </c>
      <c r="J1318">
        <v>550</v>
      </c>
      <c r="K1318">
        <f t="shared" si="61"/>
        <v>27</v>
      </c>
      <c r="L1318">
        <f t="shared" si="62"/>
        <v>10</v>
      </c>
      <c r="M1318">
        <v>550</v>
      </c>
      <c r="N1318" s="3">
        <v>46569</v>
      </c>
      <c r="O1318" s="6">
        <v>0</v>
      </c>
    </row>
    <row r="1319" spans="1:15">
      <c r="A1319" t="str">
        <f t="shared" si="60"/>
        <v>Profuron 600 EC 40 X 250 ml466920</v>
      </c>
      <c r="B1319" t="s">
        <v>11138</v>
      </c>
      <c r="C1319" t="s">
        <v>15701</v>
      </c>
      <c r="D1319" t="s">
        <v>13222</v>
      </c>
      <c r="E1319" t="s">
        <v>1682</v>
      </c>
      <c r="F1319">
        <v>40</v>
      </c>
      <c r="G1319">
        <v>1</v>
      </c>
      <c r="H1319">
        <v>1</v>
      </c>
      <c r="I1319">
        <v>40</v>
      </c>
      <c r="J1319">
        <v>8</v>
      </c>
      <c r="K1319">
        <f t="shared" si="61"/>
        <v>0</v>
      </c>
      <c r="L1319">
        <f t="shared" si="62"/>
        <v>8</v>
      </c>
      <c r="M1319">
        <v>8</v>
      </c>
      <c r="N1319" s="3">
        <v>46692</v>
      </c>
      <c r="O1319" s="6">
        <v>0</v>
      </c>
    </row>
    <row r="1320" spans="1:15">
      <c r="A1320" t="str">
        <f t="shared" si="60"/>
        <v>Profuron 600 EC 40 X 250 ml471500</v>
      </c>
      <c r="B1320" t="s">
        <v>11139</v>
      </c>
      <c r="C1320" t="s">
        <v>15702</v>
      </c>
      <c r="D1320" t="s">
        <v>13223</v>
      </c>
      <c r="E1320" t="s">
        <v>1682</v>
      </c>
      <c r="F1320">
        <v>40</v>
      </c>
      <c r="G1320">
        <v>1</v>
      </c>
      <c r="H1320">
        <v>1</v>
      </c>
      <c r="I1320">
        <v>40</v>
      </c>
      <c r="J1320">
        <v>880</v>
      </c>
      <c r="K1320">
        <f t="shared" si="61"/>
        <v>22</v>
      </c>
      <c r="L1320">
        <f t="shared" si="62"/>
        <v>0</v>
      </c>
      <c r="M1320">
        <v>880</v>
      </c>
      <c r="N1320" s="3">
        <v>47150</v>
      </c>
      <c r="O1320" s="6">
        <v>0</v>
      </c>
    </row>
    <row r="1321" spans="1:15">
      <c r="A1321" t="str">
        <f t="shared" si="60"/>
        <v>Profuron 600 EC 50 X 100 ml465690</v>
      </c>
      <c r="B1321" t="s">
        <v>11140</v>
      </c>
      <c r="C1321" t="s">
        <v>15703</v>
      </c>
      <c r="D1321" t="s">
        <v>13224</v>
      </c>
      <c r="E1321" t="s">
        <v>1683</v>
      </c>
      <c r="F1321">
        <v>50</v>
      </c>
      <c r="G1321">
        <v>1</v>
      </c>
      <c r="H1321">
        <v>1</v>
      </c>
      <c r="I1321">
        <v>50</v>
      </c>
      <c r="J1321">
        <v>220</v>
      </c>
      <c r="K1321">
        <f t="shared" si="61"/>
        <v>4</v>
      </c>
      <c r="L1321">
        <f t="shared" si="62"/>
        <v>20</v>
      </c>
      <c r="M1321">
        <v>220</v>
      </c>
      <c r="N1321" s="3">
        <v>46569</v>
      </c>
      <c r="O1321" s="6">
        <v>0</v>
      </c>
    </row>
    <row r="1322" spans="1:15">
      <c r="A1322" t="str">
        <f t="shared" si="60"/>
        <v>Promo Joss 300 EC 20 X 500 ml458090</v>
      </c>
      <c r="B1322" t="s">
        <v>11141</v>
      </c>
      <c r="C1322" t="s">
        <v>15704</v>
      </c>
      <c r="D1322" t="s">
        <v>13225</v>
      </c>
      <c r="E1322" t="s">
        <v>1684</v>
      </c>
      <c r="F1322">
        <v>20</v>
      </c>
      <c r="G1322">
        <v>1</v>
      </c>
      <c r="H1322">
        <v>1</v>
      </c>
      <c r="I1322">
        <v>20</v>
      </c>
      <c r="J1322">
        <v>244</v>
      </c>
      <c r="K1322">
        <f t="shared" si="61"/>
        <v>12</v>
      </c>
      <c r="L1322">
        <f t="shared" si="62"/>
        <v>4</v>
      </c>
      <c r="M1322">
        <v>244</v>
      </c>
      <c r="N1322" s="3">
        <v>45809</v>
      </c>
      <c r="O1322" s="6">
        <v>0</v>
      </c>
    </row>
    <row r="1323" spans="1:15">
      <c r="A1323" t="str">
        <f t="shared" si="60"/>
        <v>Promo Joss 300 EC 50 X 250 ml458090</v>
      </c>
      <c r="B1323" t="s">
        <v>11142</v>
      </c>
      <c r="C1323" t="s">
        <v>15705</v>
      </c>
      <c r="D1323" t="s">
        <v>13226</v>
      </c>
      <c r="E1323" t="s">
        <v>1685</v>
      </c>
      <c r="F1323">
        <v>50</v>
      </c>
      <c r="G1323">
        <v>1</v>
      </c>
      <c r="H1323">
        <v>1</v>
      </c>
      <c r="I1323">
        <v>50</v>
      </c>
      <c r="J1323">
        <v>108</v>
      </c>
      <c r="K1323">
        <f t="shared" si="61"/>
        <v>2</v>
      </c>
      <c r="L1323">
        <f t="shared" si="62"/>
        <v>8</v>
      </c>
      <c r="M1323">
        <v>108</v>
      </c>
      <c r="N1323" s="3">
        <v>45809</v>
      </c>
      <c r="O1323" s="6">
        <v>0</v>
      </c>
    </row>
    <row r="1324" spans="1:15">
      <c r="A1324" t="str">
        <f t="shared" si="60"/>
        <v>Pump Protection Plate Yamaha1/1/10000</v>
      </c>
      <c r="B1324" t="s">
        <v>11143</v>
      </c>
      <c r="C1324" t="s">
        <v>15706</v>
      </c>
      <c r="D1324" t="s">
        <v>13227</v>
      </c>
      <c r="E1324" t="s">
        <v>1686</v>
      </c>
      <c r="F1324">
        <v>1</v>
      </c>
      <c r="G1324">
        <v>1</v>
      </c>
      <c r="H1324">
        <v>1</v>
      </c>
      <c r="I1324">
        <v>1</v>
      </c>
      <c r="J1324">
        <v>10</v>
      </c>
      <c r="K1324">
        <f t="shared" si="61"/>
        <v>10</v>
      </c>
      <c r="L1324">
        <f t="shared" si="62"/>
        <v>0</v>
      </c>
      <c r="M1324">
        <v>10</v>
      </c>
      <c r="N1324" s="3" t="s">
        <v>2222</v>
      </c>
      <c r="O1324" s="6">
        <v>0</v>
      </c>
    </row>
    <row r="1325" spans="1:15">
      <c r="A1325" t="str">
        <f t="shared" si="60"/>
        <v>Pupuk Fosfat 50 kg MPS461430</v>
      </c>
      <c r="B1325" t="s">
        <v>11144</v>
      </c>
      <c r="C1325" t="s">
        <v>15707</v>
      </c>
      <c r="D1325" t="s">
        <v>13228</v>
      </c>
      <c r="E1325" t="s">
        <v>1687</v>
      </c>
      <c r="F1325">
        <v>1</v>
      </c>
      <c r="G1325">
        <v>1</v>
      </c>
      <c r="H1325">
        <v>1</v>
      </c>
      <c r="I1325">
        <v>1</v>
      </c>
      <c r="J1325">
        <v>310</v>
      </c>
      <c r="K1325">
        <f t="shared" si="61"/>
        <v>310</v>
      </c>
      <c r="L1325">
        <f t="shared" si="62"/>
        <v>0</v>
      </c>
      <c r="M1325">
        <v>310</v>
      </c>
      <c r="N1325" s="3">
        <v>46143</v>
      </c>
      <c r="O1325" s="6">
        <v>0</v>
      </c>
    </row>
    <row r="1326" spans="1:15">
      <c r="A1326" t="str">
        <f t="shared" si="60"/>
        <v>Pupuk Hayati Cair MPS 12 X 1 ltr456890</v>
      </c>
      <c r="B1326" t="s">
        <v>11145</v>
      </c>
      <c r="C1326" t="s">
        <v>15708</v>
      </c>
      <c r="D1326" t="s">
        <v>13229</v>
      </c>
      <c r="E1326" t="s">
        <v>1688</v>
      </c>
      <c r="F1326">
        <v>12</v>
      </c>
      <c r="G1326">
        <v>1</v>
      </c>
      <c r="H1326">
        <v>1</v>
      </c>
      <c r="I1326">
        <v>12</v>
      </c>
      <c r="J1326">
        <v>24</v>
      </c>
      <c r="K1326">
        <f t="shared" si="61"/>
        <v>2</v>
      </c>
      <c r="L1326">
        <f t="shared" si="62"/>
        <v>0</v>
      </c>
      <c r="M1326">
        <v>24</v>
      </c>
      <c r="N1326" s="3">
        <v>45689</v>
      </c>
      <c r="O1326" s="6">
        <v>0</v>
      </c>
    </row>
    <row r="1327" spans="1:15">
      <c r="A1327" t="str">
        <f t="shared" si="60"/>
        <v>Pupuk Nakula Alegro 10 X 1 kg459310</v>
      </c>
      <c r="B1327" t="s">
        <v>11146</v>
      </c>
      <c r="C1327" t="s">
        <v>15709</v>
      </c>
      <c r="D1327" t="s">
        <v>13230</v>
      </c>
      <c r="E1327" t="s">
        <v>1690</v>
      </c>
      <c r="F1327">
        <v>10</v>
      </c>
      <c r="G1327">
        <v>1</v>
      </c>
      <c r="H1327">
        <v>1</v>
      </c>
      <c r="I1327">
        <v>10</v>
      </c>
      <c r="J1327">
        <v>845</v>
      </c>
      <c r="K1327">
        <f t="shared" si="61"/>
        <v>84</v>
      </c>
      <c r="L1327">
        <f t="shared" si="62"/>
        <v>5</v>
      </c>
      <c r="M1327">
        <v>845</v>
      </c>
      <c r="N1327" s="3">
        <v>45931</v>
      </c>
      <c r="O1327" s="6">
        <v>0</v>
      </c>
    </row>
    <row r="1328" spans="1:15">
      <c r="A1328" t="str">
        <f t="shared" si="60"/>
        <v>Pupuk Nakula Alegro 40 kg458090</v>
      </c>
      <c r="B1328" t="s">
        <v>11147</v>
      </c>
      <c r="C1328" t="s">
        <v>15710</v>
      </c>
      <c r="D1328" t="s">
        <v>13231</v>
      </c>
      <c r="E1328" t="s">
        <v>1691</v>
      </c>
      <c r="F1328">
        <v>1</v>
      </c>
      <c r="G1328">
        <v>1</v>
      </c>
      <c r="H1328">
        <v>1</v>
      </c>
      <c r="I1328">
        <v>1</v>
      </c>
      <c r="J1328">
        <v>13</v>
      </c>
      <c r="K1328">
        <f t="shared" si="61"/>
        <v>13</v>
      </c>
      <c r="L1328">
        <f t="shared" si="62"/>
        <v>0</v>
      </c>
      <c r="M1328">
        <v>13</v>
      </c>
      <c r="N1328" s="3">
        <v>45809</v>
      </c>
      <c r="O1328" s="6">
        <v>0</v>
      </c>
    </row>
    <row r="1329" spans="1:15">
      <c r="A1329" t="str">
        <f t="shared" si="60"/>
        <v>Pupuk Nakula Alegro 5 X 5 kg458090</v>
      </c>
      <c r="B1329" t="s">
        <v>11148</v>
      </c>
      <c r="C1329" t="s">
        <v>15711</v>
      </c>
      <c r="D1329" t="s">
        <v>13232</v>
      </c>
      <c r="E1329" t="s">
        <v>1692</v>
      </c>
      <c r="F1329">
        <v>5</v>
      </c>
      <c r="G1329">
        <v>1</v>
      </c>
      <c r="H1329">
        <v>1</v>
      </c>
      <c r="I1329">
        <v>5</v>
      </c>
      <c r="J1329">
        <v>216</v>
      </c>
      <c r="K1329">
        <f t="shared" si="61"/>
        <v>43</v>
      </c>
      <c r="L1329">
        <f t="shared" si="62"/>
        <v>1</v>
      </c>
      <c r="M1329">
        <v>216</v>
      </c>
      <c r="N1329" s="3">
        <v>45809</v>
      </c>
      <c r="O1329" s="6">
        <v>0</v>
      </c>
    </row>
    <row r="1330" spans="1:15">
      <c r="A1330" t="str">
        <f t="shared" si="60"/>
        <v>Push 30/300 OD 50 X 100 ml458390</v>
      </c>
      <c r="B1330" t="s">
        <v>11149</v>
      </c>
      <c r="C1330" t="s">
        <v>15712</v>
      </c>
      <c r="D1330" t="s">
        <v>13233</v>
      </c>
      <c r="E1330" t="s">
        <v>1693</v>
      </c>
      <c r="F1330">
        <v>50</v>
      </c>
      <c r="G1330">
        <v>1</v>
      </c>
      <c r="H1330">
        <v>1</v>
      </c>
      <c r="I1330">
        <v>50</v>
      </c>
      <c r="J1330">
        <v>1483</v>
      </c>
      <c r="K1330">
        <f t="shared" si="61"/>
        <v>29</v>
      </c>
      <c r="L1330">
        <f t="shared" si="62"/>
        <v>33</v>
      </c>
      <c r="M1330">
        <v>1483</v>
      </c>
      <c r="N1330" s="3">
        <v>45839</v>
      </c>
      <c r="O1330" s="6">
        <v>0</v>
      </c>
    </row>
    <row r="1331" spans="1:15">
      <c r="A1331" t="str">
        <f t="shared" si="60"/>
        <v>Pyzero 100 EC 24 X 400 ml459620</v>
      </c>
      <c r="B1331" t="s">
        <v>11150</v>
      </c>
      <c r="C1331" t="s">
        <v>15713</v>
      </c>
      <c r="D1331" t="s">
        <v>13234</v>
      </c>
      <c r="E1331" t="s">
        <v>1695</v>
      </c>
      <c r="F1331">
        <v>24</v>
      </c>
      <c r="G1331">
        <v>1</v>
      </c>
      <c r="H1331">
        <v>1</v>
      </c>
      <c r="I1331">
        <v>24</v>
      </c>
      <c r="J1331">
        <v>720</v>
      </c>
      <c r="K1331">
        <f t="shared" si="61"/>
        <v>30</v>
      </c>
      <c r="L1331">
        <f t="shared" si="62"/>
        <v>0</v>
      </c>
      <c r="M1331">
        <v>720</v>
      </c>
      <c r="N1331" s="3">
        <v>45962</v>
      </c>
      <c r="O1331" s="6">
        <v>0</v>
      </c>
    </row>
    <row r="1332" spans="1:15">
      <c r="A1332" t="str">
        <f t="shared" si="60"/>
        <v>Qaishar 10 WP 100 X 100 gr466310</v>
      </c>
      <c r="B1332" t="s">
        <v>11151</v>
      </c>
      <c r="C1332" t="s">
        <v>15714</v>
      </c>
      <c r="D1332" t="s">
        <v>13235</v>
      </c>
      <c r="E1332" t="s">
        <v>1696</v>
      </c>
      <c r="F1332">
        <v>100</v>
      </c>
      <c r="G1332">
        <v>1</v>
      </c>
      <c r="H1332">
        <v>1</v>
      </c>
      <c r="I1332">
        <v>100</v>
      </c>
      <c r="J1332">
        <v>700</v>
      </c>
      <c r="K1332">
        <f t="shared" si="61"/>
        <v>7</v>
      </c>
      <c r="L1332">
        <f t="shared" si="62"/>
        <v>0</v>
      </c>
      <c r="M1332">
        <v>700</v>
      </c>
      <c r="N1332" s="3">
        <v>46631</v>
      </c>
      <c r="O1332" s="6">
        <v>0</v>
      </c>
    </row>
    <row r="1333" spans="1:15">
      <c r="A1333" t="str">
        <f t="shared" si="60"/>
        <v>Qaishar 10 WP 100 X 100 gr463570</v>
      </c>
      <c r="B1333" t="s">
        <v>11152</v>
      </c>
      <c r="C1333" t="s">
        <v>15715</v>
      </c>
      <c r="D1333" t="s">
        <v>13236</v>
      </c>
      <c r="E1333" t="s">
        <v>1696</v>
      </c>
      <c r="F1333">
        <v>100</v>
      </c>
      <c r="G1333">
        <v>1</v>
      </c>
      <c r="H1333">
        <v>1</v>
      </c>
      <c r="I1333">
        <v>100</v>
      </c>
      <c r="J1333">
        <v>2521</v>
      </c>
      <c r="K1333">
        <f t="shared" si="61"/>
        <v>25</v>
      </c>
      <c r="L1333">
        <f t="shared" si="62"/>
        <v>21</v>
      </c>
      <c r="M1333">
        <v>2521</v>
      </c>
      <c r="N1333" s="3">
        <v>46357</v>
      </c>
      <c r="O1333" s="6">
        <v>0</v>
      </c>
    </row>
    <row r="1334" spans="1:15">
      <c r="A1334" t="str">
        <f t="shared" si="60"/>
        <v>Qaishar 10 WP 20 X 50 X 5 gr466310</v>
      </c>
      <c r="B1334" t="s">
        <v>11153</v>
      </c>
      <c r="C1334" t="s">
        <v>15716</v>
      </c>
      <c r="D1334" t="s">
        <v>13237</v>
      </c>
      <c r="E1334" t="s">
        <v>1698</v>
      </c>
      <c r="F1334">
        <v>20</v>
      </c>
      <c r="G1334">
        <v>50</v>
      </c>
      <c r="H1334">
        <v>1</v>
      </c>
      <c r="I1334">
        <v>1000</v>
      </c>
      <c r="J1334">
        <v>1000</v>
      </c>
      <c r="K1334">
        <f t="shared" si="61"/>
        <v>1</v>
      </c>
      <c r="L1334">
        <f t="shared" si="62"/>
        <v>0</v>
      </c>
      <c r="M1334">
        <v>1000</v>
      </c>
      <c r="N1334" s="3">
        <v>46631</v>
      </c>
      <c r="O1334" s="6">
        <v>0</v>
      </c>
    </row>
    <row r="1335" spans="1:15">
      <c r="A1335" t="str">
        <f t="shared" si="60"/>
        <v>Qiuasri Bawang 20 X 1 ltr464780</v>
      </c>
      <c r="B1335" t="s">
        <v>11154</v>
      </c>
      <c r="C1335" t="s">
        <v>15717</v>
      </c>
      <c r="D1335" t="s">
        <v>13238</v>
      </c>
      <c r="E1335" t="s">
        <v>1699</v>
      </c>
      <c r="F1335">
        <v>20</v>
      </c>
      <c r="G1335">
        <v>1</v>
      </c>
      <c r="H1335">
        <v>1</v>
      </c>
      <c r="I1335">
        <v>20</v>
      </c>
      <c r="J1335">
        <v>500</v>
      </c>
      <c r="K1335">
        <f t="shared" si="61"/>
        <v>25</v>
      </c>
      <c r="L1335">
        <f t="shared" si="62"/>
        <v>0</v>
      </c>
      <c r="M1335">
        <v>500</v>
      </c>
      <c r="N1335" s="3">
        <v>46478</v>
      </c>
      <c r="O1335" s="6">
        <v>0</v>
      </c>
    </row>
    <row r="1336" spans="1:15">
      <c r="A1336" t="str">
        <f t="shared" si="60"/>
        <v>Qiuasri Bawang Merah 250 ml (Sample)463270</v>
      </c>
      <c r="B1336" t="s">
        <v>11155</v>
      </c>
      <c r="C1336" t="s">
        <v>15718</v>
      </c>
      <c r="D1336" t="s">
        <v>13239</v>
      </c>
      <c r="E1336" t="s">
        <v>1700</v>
      </c>
      <c r="F1336">
        <v>1</v>
      </c>
      <c r="G1336">
        <v>1</v>
      </c>
      <c r="H1336">
        <v>1</v>
      </c>
      <c r="I1336">
        <v>1</v>
      </c>
      <c r="J1336">
        <v>5</v>
      </c>
      <c r="K1336">
        <f t="shared" si="61"/>
        <v>5</v>
      </c>
      <c r="L1336">
        <f t="shared" si="62"/>
        <v>0</v>
      </c>
      <c r="M1336">
        <v>5</v>
      </c>
      <c r="N1336" s="3">
        <v>46327</v>
      </c>
      <c r="O1336" s="6">
        <v>0</v>
      </c>
    </row>
    <row r="1337" spans="1:15">
      <c r="A1337" t="str">
        <f t="shared" si="60"/>
        <v>Qiuasri Bunga Buah 250 ml (Sample)463270</v>
      </c>
      <c r="B1337" t="s">
        <v>11156</v>
      </c>
      <c r="C1337" t="s">
        <v>15719</v>
      </c>
      <c r="D1337" t="s">
        <v>13240</v>
      </c>
      <c r="E1337" t="s">
        <v>1701</v>
      </c>
      <c r="F1337">
        <v>1</v>
      </c>
      <c r="G1337">
        <v>1</v>
      </c>
      <c r="H1337">
        <v>1</v>
      </c>
      <c r="I1337">
        <v>1</v>
      </c>
      <c r="J1337">
        <v>5</v>
      </c>
      <c r="K1337">
        <f t="shared" si="61"/>
        <v>5</v>
      </c>
      <c r="L1337">
        <f t="shared" si="62"/>
        <v>0</v>
      </c>
      <c r="M1337">
        <v>5</v>
      </c>
      <c r="N1337" s="3">
        <v>46327</v>
      </c>
      <c r="O1337" s="6">
        <v>0</v>
      </c>
    </row>
    <row r="1338" spans="1:15">
      <c r="A1338" t="str">
        <f t="shared" si="60"/>
        <v>Qiuasri Cabai 250 ml (Sample)463270</v>
      </c>
      <c r="B1338" t="s">
        <v>11157</v>
      </c>
      <c r="C1338" t="s">
        <v>15720</v>
      </c>
      <c r="D1338" t="s">
        <v>13241</v>
      </c>
      <c r="E1338" t="s">
        <v>1702</v>
      </c>
      <c r="F1338">
        <v>1</v>
      </c>
      <c r="G1338">
        <v>1</v>
      </c>
      <c r="H1338">
        <v>1</v>
      </c>
      <c r="I1338">
        <v>1</v>
      </c>
      <c r="J1338">
        <v>5</v>
      </c>
      <c r="K1338">
        <f t="shared" si="61"/>
        <v>5</v>
      </c>
      <c r="L1338">
        <f t="shared" si="62"/>
        <v>0</v>
      </c>
      <c r="M1338">
        <v>5</v>
      </c>
      <c r="N1338" s="3">
        <v>46327</v>
      </c>
      <c r="O1338" s="6">
        <v>0</v>
      </c>
    </row>
    <row r="1339" spans="1:15">
      <c r="A1339" t="str">
        <f t="shared" si="60"/>
        <v>Qiuasri Cabe 20 X 1 ltr464780</v>
      </c>
      <c r="B1339" t="s">
        <v>11158</v>
      </c>
      <c r="C1339" t="s">
        <v>15721</v>
      </c>
      <c r="D1339" t="s">
        <v>13242</v>
      </c>
      <c r="E1339" t="s">
        <v>1703</v>
      </c>
      <c r="F1339">
        <v>20</v>
      </c>
      <c r="G1339">
        <v>1</v>
      </c>
      <c r="H1339">
        <v>1</v>
      </c>
      <c r="I1339">
        <v>20</v>
      </c>
      <c r="J1339">
        <v>480</v>
      </c>
      <c r="K1339">
        <f t="shared" si="61"/>
        <v>24</v>
      </c>
      <c r="L1339">
        <f t="shared" si="62"/>
        <v>0</v>
      </c>
      <c r="M1339">
        <v>480</v>
      </c>
      <c r="N1339" s="3">
        <v>46478</v>
      </c>
      <c r="O1339" s="6">
        <v>0</v>
      </c>
    </row>
    <row r="1340" spans="1:15">
      <c r="A1340" t="str">
        <f t="shared" si="60"/>
        <v>Qiuasri Jagung 20 X 1 ltr464190</v>
      </c>
      <c r="B1340" t="s">
        <v>11159</v>
      </c>
      <c r="C1340" t="s">
        <v>15722</v>
      </c>
      <c r="D1340" t="s">
        <v>13243</v>
      </c>
      <c r="E1340" t="s">
        <v>1704</v>
      </c>
      <c r="F1340">
        <v>20</v>
      </c>
      <c r="G1340">
        <v>1</v>
      </c>
      <c r="H1340">
        <v>1</v>
      </c>
      <c r="I1340">
        <v>20</v>
      </c>
      <c r="J1340">
        <v>424</v>
      </c>
      <c r="K1340">
        <f t="shared" si="61"/>
        <v>21</v>
      </c>
      <c r="L1340">
        <f t="shared" si="62"/>
        <v>4</v>
      </c>
      <c r="M1340">
        <v>424</v>
      </c>
      <c r="N1340" s="3">
        <v>46419</v>
      </c>
      <c r="O1340" s="6">
        <v>0</v>
      </c>
    </row>
    <row r="1341" spans="1:15">
      <c r="A1341" t="str">
        <f t="shared" si="60"/>
        <v>Qiuasri Jeruk 20 X 1 ltr464190</v>
      </c>
      <c r="B1341" t="s">
        <v>11160</v>
      </c>
      <c r="C1341" t="s">
        <v>15723</v>
      </c>
      <c r="D1341" t="s">
        <v>13244</v>
      </c>
      <c r="E1341" t="s">
        <v>1705</v>
      </c>
      <c r="F1341">
        <v>20</v>
      </c>
      <c r="G1341">
        <v>1</v>
      </c>
      <c r="H1341">
        <v>1</v>
      </c>
      <c r="I1341">
        <v>20</v>
      </c>
      <c r="J1341">
        <v>214</v>
      </c>
      <c r="K1341">
        <f t="shared" si="61"/>
        <v>10</v>
      </c>
      <c r="L1341">
        <f t="shared" si="62"/>
        <v>14</v>
      </c>
      <c r="M1341">
        <v>214</v>
      </c>
      <c r="N1341" s="3">
        <v>46419</v>
      </c>
      <c r="O1341" s="6">
        <v>0</v>
      </c>
    </row>
    <row r="1342" spans="1:15">
      <c r="A1342" t="str">
        <f t="shared" si="60"/>
        <v>Qiuasri Padi 250 ml (Sample)463270</v>
      </c>
      <c r="B1342" t="s">
        <v>11161</v>
      </c>
      <c r="C1342" t="s">
        <v>15724</v>
      </c>
      <c r="D1342" t="s">
        <v>13245</v>
      </c>
      <c r="E1342" t="s">
        <v>1706</v>
      </c>
      <c r="F1342">
        <v>1</v>
      </c>
      <c r="G1342">
        <v>1</v>
      </c>
      <c r="H1342">
        <v>1</v>
      </c>
      <c r="I1342">
        <v>1</v>
      </c>
      <c r="J1342">
        <v>5</v>
      </c>
      <c r="K1342">
        <f t="shared" si="61"/>
        <v>5</v>
      </c>
      <c r="L1342">
        <f t="shared" si="62"/>
        <v>0</v>
      </c>
      <c r="M1342">
        <v>5</v>
      </c>
      <c r="N1342" s="3">
        <v>46327</v>
      </c>
      <c r="O1342" s="6">
        <v>0</v>
      </c>
    </row>
    <row r="1343" spans="1:15">
      <c r="A1343" t="str">
        <f t="shared" si="60"/>
        <v>Qiudor 100 X 100 gr468740</v>
      </c>
      <c r="B1343" t="s">
        <v>11162</v>
      </c>
      <c r="C1343" t="s">
        <v>15725</v>
      </c>
      <c r="D1343" t="s">
        <v>13246</v>
      </c>
      <c r="E1343" t="s">
        <v>1707</v>
      </c>
      <c r="F1343">
        <v>100</v>
      </c>
      <c r="G1343">
        <v>1</v>
      </c>
      <c r="H1343">
        <v>1</v>
      </c>
      <c r="I1343">
        <v>100</v>
      </c>
      <c r="J1343">
        <v>459</v>
      </c>
      <c r="K1343">
        <f t="shared" si="61"/>
        <v>4</v>
      </c>
      <c r="L1343">
        <f t="shared" si="62"/>
        <v>59</v>
      </c>
      <c r="M1343">
        <v>459</v>
      </c>
      <c r="N1343" s="3">
        <v>46874</v>
      </c>
      <c r="O1343" s="6">
        <v>0</v>
      </c>
    </row>
    <row r="1344" spans="1:15">
      <c r="A1344" t="str">
        <f t="shared" si="60"/>
        <v>Qiudor 40 X 250 gr461740</v>
      </c>
      <c r="B1344" t="s">
        <v>11163</v>
      </c>
      <c r="C1344" t="s">
        <v>15726</v>
      </c>
      <c r="D1344" t="s">
        <v>13247</v>
      </c>
      <c r="E1344" t="s">
        <v>1708</v>
      </c>
      <c r="F1344">
        <v>40</v>
      </c>
      <c r="G1344">
        <v>1</v>
      </c>
      <c r="H1344">
        <v>1</v>
      </c>
      <c r="I1344">
        <v>40</v>
      </c>
      <c r="J1344">
        <v>740</v>
      </c>
      <c r="K1344">
        <f t="shared" si="61"/>
        <v>18</v>
      </c>
      <c r="L1344">
        <f t="shared" si="62"/>
        <v>20</v>
      </c>
      <c r="M1344">
        <v>740</v>
      </c>
      <c r="N1344" s="3">
        <v>46174</v>
      </c>
      <c r="O1344" s="6">
        <v>0</v>
      </c>
    </row>
    <row r="1345" spans="1:15">
      <c r="A1345" t="str">
        <f t="shared" si="60"/>
        <v>Qiudor 40 X 250 gr464470</v>
      </c>
      <c r="B1345" t="s">
        <v>11164</v>
      </c>
      <c r="C1345" t="s">
        <v>15727</v>
      </c>
      <c r="D1345" t="s">
        <v>13248</v>
      </c>
      <c r="E1345" t="s">
        <v>1708</v>
      </c>
      <c r="F1345">
        <v>40</v>
      </c>
      <c r="G1345">
        <v>1</v>
      </c>
      <c r="H1345">
        <v>1</v>
      </c>
      <c r="I1345">
        <v>40</v>
      </c>
      <c r="J1345">
        <v>800</v>
      </c>
      <c r="K1345">
        <f t="shared" si="61"/>
        <v>20</v>
      </c>
      <c r="L1345">
        <f t="shared" si="62"/>
        <v>0</v>
      </c>
      <c r="M1345">
        <v>800</v>
      </c>
      <c r="N1345" s="3">
        <v>46447</v>
      </c>
      <c r="O1345" s="6">
        <v>0</v>
      </c>
    </row>
    <row r="1346" spans="1:15">
      <c r="A1346" t="str">
        <f t="shared" si="60"/>
        <v>Qiumex 36 EC 10 X 1 ltr472090</v>
      </c>
      <c r="B1346" t="s">
        <v>11165</v>
      </c>
      <c r="C1346" t="s">
        <v>15728</v>
      </c>
      <c r="D1346" t="s">
        <v>13249</v>
      </c>
      <c r="E1346" t="s">
        <v>1709</v>
      </c>
      <c r="F1346">
        <v>10</v>
      </c>
      <c r="G1346">
        <v>1</v>
      </c>
      <c r="H1346">
        <v>1</v>
      </c>
      <c r="I1346">
        <v>10</v>
      </c>
      <c r="J1346">
        <v>688</v>
      </c>
      <c r="K1346">
        <f t="shared" si="61"/>
        <v>68</v>
      </c>
      <c r="L1346">
        <f t="shared" si="62"/>
        <v>8</v>
      </c>
      <c r="M1346">
        <v>688</v>
      </c>
      <c r="N1346" s="3">
        <v>47209</v>
      </c>
      <c r="O1346" s="6">
        <v>0</v>
      </c>
    </row>
    <row r="1347" spans="1:15">
      <c r="A1347" t="str">
        <f t="shared" ref="A1347:A1410" si="63">E1347&amp;N1347&amp;O1347</f>
        <v>Qiumex 36 EC 100 X 100 ml472390</v>
      </c>
      <c r="B1347" t="s">
        <v>11166</v>
      </c>
      <c r="C1347" t="s">
        <v>15729</v>
      </c>
      <c r="D1347" t="s">
        <v>13250</v>
      </c>
      <c r="E1347" t="s">
        <v>1710</v>
      </c>
      <c r="F1347">
        <v>100</v>
      </c>
      <c r="G1347">
        <v>1</v>
      </c>
      <c r="H1347">
        <v>1</v>
      </c>
      <c r="I1347">
        <v>100</v>
      </c>
      <c r="J1347">
        <v>7509</v>
      </c>
      <c r="K1347">
        <f t="shared" ref="K1347:K1410" si="64">ROUNDDOWN(J1347/I1347,0)</f>
        <v>75</v>
      </c>
      <c r="L1347">
        <f t="shared" ref="L1347:L1410" si="65">J1347-K1347*I1347</f>
        <v>9</v>
      </c>
      <c r="M1347">
        <v>7509</v>
      </c>
      <c r="N1347" s="3">
        <v>47239</v>
      </c>
      <c r="O1347" s="6">
        <v>0</v>
      </c>
    </row>
    <row r="1348" spans="1:15">
      <c r="A1348" t="str">
        <f t="shared" si="63"/>
        <v>Qiumex 36 EC 20 X 500 ml472390</v>
      </c>
      <c r="B1348" t="s">
        <v>11167</v>
      </c>
      <c r="C1348" t="s">
        <v>15730</v>
      </c>
      <c r="D1348" t="s">
        <v>13251</v>
      </c>
      <c r="E1348" t="s">
        <v>1711</v>
      </c>
      <c r="F1348">
        <v>20</v>
      </c>
      <c r="G1348">
        <v>1</v>
      </c>
      <c r="H1348">
        <v>1</v>
      </c>
      <c r="I1348">
        <v>20</v>
      </c>
      <c r="J1348">
        <v>1100</v>
      </c>
      <c r="K1348">
        <f t="shared" si="64"/>
        <v>55</v>
      </c>
      <c r="L1348">
        <f t="shared" si="65"/>
        <v>0</v>
      </c>
      <c r="M1348">
        <v>1100</v>
      </c>
      <c r="N1348" s="3">
        <v>47239</v>
      </c>
      <c r="O1348" s="6">
        <v>0</v>
      </c>
    </row>
    <row r="1349" spans="1:15">
      <c r="A1349" t="str">
        <f t="shared" si="63"/>
        <v>Qiumex 36 EC 40 X 250 ml472390</v>
      </c>
      <c r="B1349" t="s">
        <v>11168</v>
      </c>
      <c r="C1349" t="s">
        <v>15731</v>
      </c>
      <c r="D1349" t="s">
        <v>13252</v>
      </c>
      <c r="E1349" t="s">
        <v>1712</v>
      </c>
      <c r="F1349">
        <v>40</v>
      </c>
      <c r="G1349">
        <v>1</v>
      </c>
      <c r="H1349">
        <v>1</v>
      </c>
      <c r="I1349">
        <v>40</v>
      </c>
      <c r="J1349">
        <v>4960</v>
      </c>
      <c r="K1349">
        <f t="shared" si="64"/>
        <v>124</v>
      </c>
      <c r="L1349">
        <f t="shared" si="65"/>
        <v>0</v>
      </c>
      <c r="M1349">
        <v>4960</v>
      </c>
      <c r="N1349" s="3">
        <v>47239</v>
      </c>
      <c r="O1349" s="6">
        <v>0</v>
      </c>
    </row>
    <row r="1350" spans="1:15">
      <c r="A1350" t="str">
        <f t="shared" si="63"/>
        <v>Qiumino 20 X 250 ml470270</v>
      </c>
      <c r="B1350" t="s">
        <v>11169</v>
      </c>
      <c r="C1350" t="s">
        <v>15732</v>
      </c>
      <c r="D1350" t="s">
        <v>13253</v>
      </c>
      <c r="E1350" t="s">
        <v>1713</v>
      </c>
      <c r="F1350">
        <v>20</v>
      </c>
      <c r="G1350">
        <v>1</v>
      </c>
      <c r="H1350">
        <v>1</v>
      </c>
      <c r="I1350">
        <v>20</v>
      </c>
      <c r="J1350">
        <v>970</v>
      </c>
      <c r="K1350">
        <f t="shared" si="64"/>
        <v>48</v>
      </c>
      <c r="L1350">
        <f t="shared" si="65"/>
        <v>10</v>
      </c>
      <c r="M1350">
        <v>970</v>
      </c>
      <c r="N1350" s="3">
        <v>47027</v>
      </c>
      <c r="O1350" s="6">
        <v>0</v>
      </c>
    </row>
    <row r="1351" spans="1:15">
      <c r="A1351" t="str">
        <f t="shared" si="63"/>
        <v>Qiumino 20 X 500 ml470580</v>
      </c>
      <c r="B1351" t="s">
        <v>11170</v>
      </c>
      <c r="C1351" t="s">
        <v>15733</v>
      </c>
      <c r="D1351" t="s">
        <v>13254</v>
      </c>
      <c r="E1351" t="s">
        <v>1714</v>
      </c>
      <c r="F1351">
        <v>20</v>
      </c>
      <c r="G1351">
        <v>1</v>
      </c>
      <c r="H1351">
        <v>1</v>
      </c>
      <c r="I1351">
        <v>20</v>
      </c>
      <c r="J1351">
        <v>400</v>
      </c>
      <c r="K1351">
        <f t="shared" si="64"/>
        <v>20</v>
      </c>
      <c r="L1351">
        <f t="shared" si="65"/>
        <v>0</v>
      </c>
      <c r="M1351">
        <v>400</v>
      </c>
      <c r="N1351" s="3">
        <v>47058</v>
      </c>
      <c r="O1351" s="6">
        <v>0</v>
      </c>
    </row>
    <row r="1352" spans="1:15">
      <c r="A1352" t="str">
        <f t="shared" si="63"/>
        <v>Qiumino 20 X 500 ml470270</v>
      </c>
      <c r="B1352" t="s">
        <v>11171</v>
      </c>
      <c r="C1352" t="s">
        <v>15734</v>
      </c>
      <c r="D1352" t="s">
        <v>13255</v>
      </c>
      <c r="E1352" t="s">
        <v>1714</v>
      </c>
      <c r="F1352">
        <v>20</v>
      </c>
      <c r="G1352">
        <v>1</v>
      </c>
      <c r="H1352">
        <v>1</v>
      </c>
      <c r="I1352">
        <v>20</v>
      </c>
      <c r="J1352">
        <v>1040</v>
      </c>
      <c r="K1352">
        <f t="shared" si="64"/>
        <v>52</v>
      </c>
      <c r="L1352">
        <f t="shared" si="65"/>
        <v>0</v>
      </c>
      <c r="M1352">
        <v>1040</v>
      </c>
      <c r="N1352" s="3">
        <v>47027</v>
      </c>
      <c r="O1352" s="6">
        <v>0</v>
      </c>
    </row>
    <row r="1353" spans="1:15">
      <c r="A1353" t="str">
        <f t="shared" si="63"/>
        <v>Qiunil 40 X 500 gr454740</v>
      </c>
      <c r="B1353" t="s">
        <v>11172</v>
      </c>
      <c r="C1353" t="s">
        <v>15735</v>
      </c>
      <c r="D1353" t="s">
        <v>13256</v>
      </c>
      <c r="E1353" t="s">
        <v>1715</v>
      </c>
      <c r="F1353">
        <v>40</v>
      </c>
      <c r="G1353">
        <v>1</v>
      </c>
      <c r="H1353">
        <v>1</v>
      </c>
      <c r="I1353">
        <v>40</v>
      </c>
      <c r="J1353">
        <v>16</v>
      </c>
      <c r="K1353">
        <f t="shared" si="64"/>
        <v>0</v>
      </c>
      <c r="L1353">
        <f t="shared" si="65"/>
        <v>16</v>
      </c>
      <c r="M1353">
        <v>16</v>
      </c>
      <c r="N1353" s="3">
        <v>45474</v>
      </c>
      <c r="O1353" s="6">
        <v>0</v>
      </c>
    </row>
    <row r="1354" spans="1:15">
      <c r="A1354" t="str">
        <f t="shared" si="63"/>
        <v>Qiunil 40 X 500 gr455660</v>
      </c>
      <c r="B1354" t="s">
        <v>11173</v>
      </c>
      <c r="C1354" t="s">
        <v>15736</v>
      </c>
      <c r="D1354" t="s">
        <v>13257</v>
      </c>
      <c r="E1354" t="s">
        <v>1715</v>
      </c>
      <c r="F1354">
        <v>40</v>
      </c>
      <c r="G1354">
        <v>1</v>
      </c>
      <c r="H1354">
        <v>1</v>
      </c>
      <c r="I1354">
        <v>40</v>
      </c>
      <c r="J1354">
        <v>1760</v>
      </c>
      <c r="K1354">
        <f t="shared" si="64"/>
        <v>44</v>
      </c>
      <c r="L1354">
        <f t="shared" si="65"/>
        <v>0</v>
      </c>
      <c r="M1354">
        <v>1760</v>
      </c>
      <c r="N1354" s="3">
        <v>45566</v>
      </c>
      <c r="O1354" s="6">
        <v>0</v>
      </c>
    </row>
    <row r="1355" spans="1:15">
      <c r="A1355" t="str">
        <f t="shared" si="63"/>
        <v>Qiunil 40 X 500 gr460820</v>
      </c>
      <c r="B1355" t="s">
        <v>11174</v>
      </c>
      <c r="C1355" t="s">
        <v>15737</v>
      </c>
      <c r="D1355" t="s">
        <v>13258</v>
      </c>
      <c r="E1355" t="s">
        <v>1715</v>
      </c>
      <c r="F1355">
        <v>40</v>
      </c>
      <c r="G1355">
        <v>1</v>
      </c>
      <c r="H1355">
        <v>1</v>
      </c>
      <c r="I1355">
        <v>40</v>
      </c>
      <c r="J1355">
        <v>2560</v>
      </c>
      <c r="K1355">
        <f t="shared" si="64"/>
        <v>64</v>
      </c>
      <c r="L1355">
        <f t="shared" si="65"/>
        <v>0</v>
      </c>
      <c r="M1355">
        <v>2560</v>
      </c>
      <c r="N1355" s="3">
        <v>46082</v>
      </c>
      <c r="O1355" s="6">
        <v>0</v>
      </c>
    </row>
    <row r="1356" spans="1:15">
      <c r="A1356" t="str">
        <f t="shared" si="63"/>
        <v>Qiuonol 400 SL 30 x 250 ml459920</v>
      </c>
      <c r="B1356" t="s">
        <v>11175</v>
      </c>
      <c r="C1356" t="s">
        <v>15738</v>
      </c>
      <c r="D1356" t="s">
        <v>13259</v>
      </c>
      <c r="E1356" t="s">
        <v>1716</v>
      </c>
      <c r="F1356">
        <v>30</v>
      </c>
      <c r="G1356">
        <v>1</v>
      </c>
      <c r="H1356">
        <v>1</v>
      </c>
      <c r="I1356">
        <v>30</v>
      </c>
      <c r="J1356">
        <v>24</v>
      </c>
      <c r="K1356">
        <f t="shared" si="64"/>
        <v>0</v>
      </c>
      <c r="L1356">
        <f t="shared" si="65"/>
        <v>24</v>
      </c>
      <c r="M1356">
        <v>24</v>
      </c>
      <c r="N1356" s="3">
        <v>45992</v>
      </c>
      <c r="O1356" s="6">
        <v>0</v>
      </c>
    </row>
    <row r="1357" spans="1:15">
      <c r="A1357" t="str">
        <f t="shared" si="63"/>
        <v>Qiuonol 400 SL 30 x 250 ml463570</v>
      </c>
      <c r="B1357" t="s">
        <v>11176</v>
      </c>
      <c r="C1357" t="s">
        <v>15739</v>
      </c>
      <c r="D1357" t="s">
        <v>13260</v>
      </c>
      <c r="E1357" t="s">
        <v>1716</v>
      </c>
      <c r="F1357">
        <v>30</v>
      </c>
      <c r="G1357">
        <v>1</v>
      </c>
      <c r="H1357">
        <v>1</v>
      </c>
      <c r="I1357">
        <v>30</v>
      </c>
      <c r="J1357">
        <v>510</v>
      </c>
      <c r="K1357">
        <f t="shared" si="64"/>
        <v>17</v>
      </c>
      <c r="L1357">
        <f t="shared" si="65"/>
        <v>0</v>
      </c>
      <c r="M1357">
        <v>510</v>
      </c>
      <c r="N1357" s="3">
        <v>46357</v>
      </c>
      <c r="O1357" s="6">
        <v>0</v>
      </c>
    </row>
    <row r="1358" spans="1:15">
      <c r="A1358" t="str">
        <f t="shared" si="63"/>
        <v>Qiuonol 400 SL 42 x 50 ml (Sample)459920</v>
      </c>
      <c r="B1358" t="s">
        <v>11177</v>
      </c>
      <c r="C1358" t="s">
        <v>15740</v>
      </c>
      <c r="D1358" t="s">
        <v>13261</v>
      </c>
      <c r="E1358" t="s">
        <v>1717</v>
      </c>
      <c r="F1358">
        <v>42</v>
      </c>
      <c r="G1358">
        <v>1</v>
      </c>
      <c r="H1358">
        <v>1</v>
      </c>
      <c r="I1358">
        <v>42</v>
      </c>
      <c r="J1358">
        <v>55</v>
      </c>
      <c r="K1358">
        <f t="shared" si="64"/>
        <v>1</v>
      </c>
      <c r="L1358">
        <f t="shared" si="65"/>
        <v>13</v>
      </c>
      <c r="M1358">
        <v>55</v>
      </c>
      <c r="N1358" s="3">
        <v>45992</v>
      </c>
      <c r="O1358" s="6">
        <v>0</v>
      </c>
    </row>
    <row r="1359" spans="1:15">
      <c r="A1359" t="str">
        <f t="shared" si="63"/>
        <v>Qiustar 400 EC 40 X 200 ml468740</v>
      </c>
      <c r="B1359" t="s">
        <v>11178</v>
      </c>
      <c r="C1359" t="s">
        <v>15741</v>
      </c>
      <c r="D1359" t="s">
        <v>13262</v>
      </c>
      <c r="E1359" t="s">
        <v>1718</v>
      </c>
      <c r="F1359">
        <v>40</v>
      </c>
      <c r="G1359">
        <v>1</v>
      </c>
      <c r="H1359">
        <v>1</v>
      </c>
      <c r="I1359">
        <v>40</v>
      </c>
      <c r="J1359">
        <v>480</v>
      </c>
      <c r="K1359">
        <f t="shared" si="64"/>
        <v>12</v>
      </c>
      <c r="L1359">
        <f t="shared" si="65"/>
        <v>0</v>
      </c>
      <c r="M1359">
        <v>480</v>
      </c>
      <c r="N1359" s="3">
        <v>46874</v>
      </c>
      <c r="O1359" s="6">
        <v>0</v>
      </c>
    </row>
    <row r="1360" spans="1:15">
      <c r="A1360" t="str">
        <f t="shared" si="63"/>
        <v>Qiustar 400 EC 40 X 200 ml463570</v>
      </c>
      <c r="B1360" t="s">
        <v>11179</v>
      </c>
      <c r="C1360" t="s">
        <v>15742</v>
      </c>
      <c r="D1360" t="s">
        <v>13263</v>
      </c>
      <c r="E1360" t="s">
        <v>1718</v>
      </c>
      <c r="F1360">
        <v>40</v>
      </c>
      <c r="G1360">
        <v>1</v>
      </c>
      <c r="H1360">
        <v>1</v>
      </c>
      <c r="I1360">
        <v>40</v>
      </c>
      <c r="J1360">
        <v>2029</v>
      </c>
      <c r="K1360">
        <f t="shared" si="64"/>
        <v>50</v>
      </c>
      <c r="L1360">
        <f t="shared" si="65"/>
        <v>29</v>
      </c>
      <c r="M1360">
        <v>2029</v>
      </c>
      <c r="N1360" s="3">
        <v>46357</v>
      </c>
      <c r="O1360" s="6">
        <v>0</v>
      </c>
    </row>
    <row r="1361" spans="1:15">
      <c r="A1361" t="str">
        <f t="shared" si="63"/>
        <v>Qiustar 400 EC 50 X 100 ml468740</v>
      </c>
      <c r="B1361" t="s">
        <v>11180</v>
      </c>
      <c r="C1361" t="s">
        <v>15743</v>
      </c>
      <c r="D1361" t="s">
        <v>13264</v>
      </c>
      <c r="E1361" t="s">
        <v>1719</v>
      </c>
      <c r="F1361">
        <v>50</v>
      </c>
      <c r="G1361">
        <v>1</v>
      </c>
      <c r="H1361">
        <v>1</v>
      </c>
      <c r="I1361">
        <v>50</v>
      </c>
      <c r="J1361">
        <v>460</v>
      </c>
      <c r="K1361">
        <f t="shared" si="64"/>
        <v>9</v>
      </c>
      <c r="L1361">
        <f t="shared" si="65"/>
        <v>10</v>
      </c>
      <c r="M1361">
        <v>460</v>
      </c>
      <c r="N1361" s="3">
        <v>46874</v>
      </c>
      <c r="O1361" s="6">
        <v>0</v>
      </c>
    </row>
    <row r="1362" spans="1:15">
      <c r="A1362" t="str">
        <f t="shared" si="63"/>
        <v>Qiustar 400 EC 50 X 100 ml467840</v>
      </c>
      <c r="B1362" t="s">
        <v>11181</v>
      </c>
      <c r="C1362" t="s">
        <v>15744</v>
      </c>
      <c r="D1362" t="s">
        <v>13265</v>
      </c>
      <c r="E1362" t="s">
        <v>1719</v>
      </c>
      <c r="F1362">
        <v>50</v>
      </c>
      <c r="G1362">
        <v>1</v>
      </c>
      <c r="H1362">
        <v>1</v>
      </c>
      <c r="I1362">
        <v>50</v>
      </c>
      <c r="J1362">
        <v>1650</v>
      </c>
      <c r="K1362">
        <f t="shared" si="64"/>
        <v>33</v>
      </c>
      <c r="L1362">
        <f t="shared" si="65"/>
        <v>0</v>
      </c>
      <c r="M1362">
        <v>1650</v>
      </c>
      <c r="N1362" s="3">
        <v>46784</v>
      </c>
      <c r="O1362" s="6">
        <v>0</v>
      </c>
    </row>
    <row r="1363" spans="1:15">
      <c r="A1363" t="str">
        <f t="shared" si="63"/>
        <v>Qiutane 80 WP 25 X 800 gr Biru470270</v>
      </c>
      <c r="B1363" t="s">
        <v>11182</v>
      </c>
      <c r="C1363" t="s">
        <v>15745</v>
      </c>
      <c r="D1363" t="s">
        <v>13266</v>
      </c>
      <c r="E1363" t="s">
        <v>1720</v>
      </c>
      <c r="F1363">
        <v>25</v>
      </c>
      <c r="G1363">
        <v>1</v>
      </c>
      <c r="H1363">
        <v>1</v>
      </c>
      <c r="I1363">
        <v>25</v>
      </c>
      <c r="J1363">
        <v>588</v>
      </c>
      <c r="K1363">
        <f t="shared" si="64"/>
        <v>23</v>
      </c>
      <c r="L1363">
        <f t="shared" si="65"/>
        <v>13</v>
      </c>
      <c r="M1363">
        <v>588</v>
      </c>
      <c r="N1363" s="3">
        <v>47027</v>
      </c>
      <c r="O1363" s="6">
        <v>0</v>
      </c>
    </row>
    <row r="1364" spans="1:15">
      <c r="A1364" t="str">
        <f t="shared" si="63"/>
        <v>Qiuvita Biru 16.32.16 100 X 100 gr451080</v>
      </c>
      <c r="B1364" t="s">
        <v>11183</v>
      </c>
      <c r="C1364" t="s">
        <v>15746</v>
      </c>
      <c r="D1364" t="s">
        <v>13267</v>
      </c>
      <c r="E1364" t="s">
        <v>1722</v>
      </c>
      <c r="F1364">
        <v>100</v>
      </c>
      <c r="G1364">
        <v>1</v>
      </c>
      <c r="H1364">
        <v>1</v>
      </c>
      <c r="I1364">
        <v>100</v>
      </c>
      <c r="J1364">
        <v>5</v>
      </c>
      <c r="K1364">
        <f t="shared" si="64"/>
        <v>0</v>
      </c>
      <c r="L1364">
        <f t="shared" si="65"/>
        <v>5</v>
      </c>
      <c r="M1364">
        <v>5</v>
      </c>
      <c r="N1364" s="3">
        <v>45108</v>
      </c>
      <c r="O1364" s="6">
        <v>0</v>
      </c>
    </row>
    <row r="1365" spans="1:15">
      <c r="A1365" t="str">
        <f t="shared" si="63"/>
        <v>Qiuvita Biru 16.32.16 100 X 100 gr457170</v>
      </c>
      <c r="B1365" t="s">
        <v>11184</v>
      </c>
      <c r="C1365" t="s">
        <v>15747</v>
      </c>
      <c r="D1365" t="s">
        <v>13268</v>
      </c>
      <c r="E1365" t="s">
        <v>1722</v>
      </c>
      <c r="F1365">
        <v>100</v>
      </c>
      <c r="G1365">
        <v>1</v>
      </c>
      <c r="H1365">
        <v>1</v>
      </c>
      <c r="I1365">
        <v>100</v>
      </c>
      <c r="J1365">
        <v>7</v>
      </c>
      <c r="K1365">
        <f t="shared" si="64"/>
        <v>0</v>
      </c>
      <c r="L1365">
        <f t="shared" si="65"/>
        <v>7</v>
      </c>
      <c r="M1365">
        <v>7</v>
      </c>
      <c r="N1365" s="3">
        <v>45717</v>
      </c>
      <c r="O1365" s="6">
        <v>0</v>
      </c>
    </row>
    <row r="1366" spans="1:15">
      <c r="A1366" t="str">
        <f t="shared" si="63"/>
        <v>Qiuvita Biru 16.32.16 100 X 100 gr (Sample)451080</v>
      </c>
      <c r="B1366" t="s">
        <v>11185</v>
      </c>
      <c r="C1366" t="s">
        <v>15748</v>
      </c>
      <c r="D1366" t="s">
        <v>13269</v>
      </c>
      <c r="E1366" t="s">
        <v>1721</v>
      </c>
      <c r="F1366">
        <v>100</v>
      </c>
      <c r="G1366">
        <v>1</v>
      </c>
      <c r="H1366">
        <v>1</v>
      </c>
      <c r="I1366">
        <v>100</v>
      </c>
      <c r="J1366">
        <v>4381</v>
      </c>
      <c r="K1366">
        <f t="shared" si="64"/>
        <v>43</v>
      </c>
      <c r="L1366">
        <f t="shared" si="65"/>
        <v>81</v>
      </c>
      <c r="M1366">
        <v>4381</v>
      </c>
      <c r="N1366" s="3">
        <v>45108</v>
      </c>
      <c r="O1366" s="6">
        <v>0</v>
      </c>
    </row>
    <row r="1367" spans="1:15">
      <c r="A1367" t="str">
        <f t="shared" si="63"/>
        <v>Qiuvita Biru 16.32.16 20 X 500 gr463880</v>
      </c>
      <c r="B1367" t="s">
        <v>11186</v>
      </c>
      <c r="C1367" t="s">
        <v>15749</v>
      </c>
      <c r="D1367" t="s">
        <v>13270</v>
      </c>
      <c r="E1367" t="s">
        <v>1723</v>
      </c>
      <c r="F1367">
        <v>20</v>
      </c>
      <c r="G1367">
        <v>1</v>
      </c>
      <c r="H1367">
        <v>1</v>
      </c>
      <c r="I1367">
        <v>20</v>
      </c>
      <c r="J1367">
        <v>10</v>
      </c>
      <c r="K1367">
        <f t="shared" si="64"/>
        <v>0</v>
      </c>
      <c r="L1367">
        <f t="shared" si="65"/>
        <v>10</v>
      </c>
      <c r="M1367">
        <v>10</v>
      </c>
      <c r="N1367" s="3">
        <v>46388</v>
      </c>
      <c r="O1367" s="6">
        <v>0</v>
      </c>
    </row>
    <row r="1368" spans="1:15">
      <c r="A1368" t="str">
        <f t="shared" si="63"/>
        <v>Qiuvita Biru 16.32.16 20 X 500 gr464780</v>
      </c>
      <c r="B1368" t="s">
        <v>11187</v>
      </c>
      <c r="C1368" t="s">
        <v>15750</v>
      </c>
      <c r="D1368" t="s">
        <v>13271</v>
      </c>
      <c r="E1368" t="s">
        <v>1723</v>
      </c>
      <c r="F1368">
        <v>20</v>
      </c>
      <c r="G1368">
        <v>1</v>
      </c>
      <c r="H1368">
        <v>1</v>
      </c>
      <c r="I1368">
        <v>20</v>
      </c>
      <c r="J1368">
        <v>2880</v>
      </c>
      <c r="K1368">
        <f t="shared" si="64"/>
        <v>144</v>
      </c>
      <c r="L1368">
        <f t="shared" si="65"/>
        <v>0</v>
      </c>
      <c r="M1368">
        <v>2880</v>
      </c>
      <c r="N1368" s="3">
        <v>46478</v>
      </c>
      <c r="O1368" s="6">
        <v>0</v>
      </c>
    </row>
    <row r="1369" spans="1:15">
      <c r="A1369" t="str">
        <f t="shared" si="63"/>
        <v>Qiuvita Biru 16.32.16 20 X 500 gr464470</v>
      </c>
      <c r="B1369" t="s">
        <v>11188</v>
      </c>
      <c r="C1369" t="s">
        <v>15751</v>
      </c>
      <c r="D1369" t="s">
        <v>13272</v>
      </c>
      <c r="E1369" t="s">
        <v>1723</v>
      </c>
      <c r="F1369">
        <v>20</v>
      </c>
      <c r="G1369">
        <v>1</v>
      </c>
      <c r="H1369">
        <v>1</v>
      </c>
      <c r="I1369">
        <v>20</v>
      </c>
      <c r="J1369">
        <v>4110</v>
      </c>
      <c r="K1369">
        <f t="shared" si="64"/>
        <v>205</v>
      </c>
      <c r="L1369">
        <f t="shared" si="65"/>
        <v>10</v>
      </c>
      <c r="M1369">
        <v>4110</v>
      </c>
      <c r="N1369" s="3">
        <v>46447</v>
      </c>
      <c r="O1369" s="6">
        <v>0</v>
      </c>
    </row>
    <row r="1370" spans="1:15">
      <c r="A1370" t="str">
        <f t="shared" si="63"/>
        <v>Qiuvita Hayati 20 X 1 ltr459920</v>
      </c>
      <c r="B1370" t="s">
        <v>11189</v>
      </c>
      <c r="C1370" t="s">
        <v>15752</v>
      </c>
      <c r="D1370" t="s">
        <v>13273</v>
      </c>
      <c r="E1370" t="s">
        <v>1724</v>
      </c>
      <c r="F1370">
        <v>20</v>
      </c>
      <c r="G1370">
        <v>1</v>
      </c>
      <c r="H1370">
        <v>1</v>
      </c>
      <c r="I1370">
        <v>20</v>
      </c>
      <c r="J1370">
        <v>695</v>
      </c>
      <c r="K1370">
        <f t="shared" si="64"/>
        <v>34</v>
      </c>
      <c r="L1370">
        <f t="shared" si="65"/>
        <v>15</v>
      </c>
      <c r="M1370">
        <v>695</v>
      </c>
      <c r="N1370" s="3">
        <v>45992</v>
      </c>
      <c r="O1370" s="6">
        <v>0</v>
      </c>
    </row>
    <row r="1371" spans="1:15">
      <c r="A1371" t="str">
        <f t="shared" si="63"/>
        <v>Qiuvita Hayati 25 X 100 ml456270</v>
      </c>
      <c r="B1371" t="s">
        <v>11190</v>
      </c>
      <c r="C1371" t="s">
        <v>15753</v>
      </c>
      <c r="D1371" t="s">
        <v>13274</v>
      </c>
      <c r="E1371" t="s">
        <v>1725</v>
      </c>
      <c r="F1371">
        <v>25</v>
      </c>
      <c r="G1371">
        <v>1</v>
      </c>
      <c r="H1371">
        <v>1</v>
      </c>
      <c r="I1371">
        <v>25</v>
      </c>
      <c r="J1371">
        <v>744</v>
      </c>
      <c r="K1371">
        <f t="shared" si="64"/>
        <v>29</v>
      </c>
      <c r="L1371">
        <f t="shared" si="65"/>
        <v>19</v>
      </c>
      <c r="M1371">
        <v>744</v>
      </c>
      <c r="N1371" s="3">
        <v>45627</v>
      </c>
      <c r="O1371" s="6">
        <v>0</v>
      </c>
    </row>
    <row r="1372" spans="1:15">
      <c r="A1372" t="str">
        <f t="shared" si="63"/>
        <v>Qiuvita Hayati 30 X 250 ml456270</v>
      </c>
      <c r="B1372" t="s">
        <v>11191</v>
      </c>
      <c r="C1372" t="s">
        <v>15754</v>
      </c>
      <c r="D1372" t="s">
        <v>13275</v>
      </c>
      <c r="E1372" t="s">
        <v>1726</v>
      </c>
      <c r="F1372">
        <v>30</v>
      </c>
      <c r="G1372">
        <v>1</v>
      </c>
      <c r="H1372">
        <v>1</v>
      </c>
      <c r="I1372">
        <v>30</v>
      </c>
      <c r="J1372">
        <v>87</v>
      </c>
      <c r="K1372">
        <f t="shared" si="64"/>
        <v>2</v>
      </c>
      <c r="L1372">
        <f t="shared" si="65"/>
        <v>27</v>
      </c>
      <c r="M1372">
        <v>87</v>
      </c>
      <c r="N1372" s="3">
        <v>45627</v>
      </c>
      <c r="O1372" s="6">
        <v>0</v>
      </c>
    </row>
    <row r="1373" spans="1:15">
      <c r="A1373" t="str">
        <f t="shared" si="63"/>
        <v>Qiuvita Hayati 30 X 500 ml456270</v>
      </c>
      <c r="B1373" t="s">
        <v>11192</v>
      </c>
      <c r="C1373" t="s">
        <v>15755</v>
      </c>
      <c r="D1373" t="s">
        <v>13276</v>
      </c>
      <c r="E1373" t="s">
        <v>1727</v>
      </c>
      <c r="F1373">
        <v>30</v>
      </c>
      <c r="G1373">
        <v>1</v>
      </c>
      <c r="H1373">
        <v>1</v>
      </c>
      <c r="I1373">
        <v>30</v>
      </c>
      <c r="J1373">
        <v>341</v>
      </c>
      <c r="K1373">
        <f t="shared" si="64"/>
        <v>11</v>
      </c>
      <c r="L1373">
        <f t="shared" si="65"/>
        <v>11</v>
      </c>
      <c r="M1373">
        <v>341</v>
      </c>
      <c r="N1373" s="3">
        <v>45627</v>
      </c>
      <c r="O1373" s="6">
        <v>0</v>
      </c>
    </row>
    <row r="1374" spans="1:15">
      <c r="A1374" t="str">
        <f t="shared" si="63"/>
        <v>Qiuvita Hijau 32.11.11 100 X 100 gr455660</v>
      </c>
      <c r="B1374" t="s">
        <v>11193</v>
      </c>
      <c r="C1374" t="s">
        <v>15756</v>
      </c>
      <c r="D1374" t="s">
        <v>13277</v>
      </c>
      <c r="E1374" t="s">
        <v>1728</v>
      </c>
      <c r="F1374">
        <v>100</v>
      </c>
      <c r="G1374">
        <v>1</v>
      </c>
      <c r="H1374">
        <v>1</v>
      </c>
      <c r="I1374">
        <v>100</v>
      </c>
      <c r="J1374">
        <v>6951</v>
      </c>
      <c r="K1374">
        <f t="shared" si="64"/>
        <v>69</v>
      </c>
      <c r="L1374">
        <f t="shared" si="65"/>
        <v>51</v>
      </c>
      <c r="M1374">
        <v>6951</v>
      </c>
      <c r="N1374" s="3">
        <v>45566</v>
      </c>
      <c r="O1374" s="6">
        <v>0</v>
      </c>
    </row>
    <row r="1375" spans="1:15">
      <c r="A1375" t="str">
        <f t="shared" si="63"/>
        <v>Qiuvita Hijau 32.11.11 100 X 100 gr455970</v>
      </c>
      <c r="B1375" t="s">
        <v>11194</v>
      </c>
      <c r="C1375" t="s">
        <v>15757</v>
      </c>
      <c r="D1375" t="s">
        <v>13278</v>
      </c>
      <c r="E1375" t="s">
        <v>1728</v>
      </c>
      <c r="F1375">
        <v>100</v>
      </c>
      <c r="G1375">
        <v>1</v>
      </c>
      <c r="H1375">
        <v>1</v>
      </c>
      <c r="I1375">
        <v>100</v>
      </c>
      <c r="J1375">
        <v>1400</v>
      </c>
      <c r="K1375">
        <f t="shared" si="64"/>
        <v>14</v>
      </c>
      <c r="L1375">
        <f t="shared" si="65"/>
        <v>0</v>
      </c>
      <c r="M1375">
        <v>1400</v>
      </c>
      <c r="N1375" s="3">
        <v>45597</v>
      </c>
      <c r="O1375" s="6">
        <v>0</v>
      </c>
    </row>
    <row r="1376" spans="1:15">
      <c r="A1376" t="str">
        <f t="shared" si="63"/>
        <v>Qiuvita Hijau 32.11.11 20 X 500 gr462660</v>
      </c>
      <c r="B1376" t="s">
        <v>11195</v>
      </c>
      <c r="C1376" t="s">
        <v>15758</v>
      </c>
      <c r="D1376" t="s">
        <v>13279</v>
      </c>
      <c r="E1376" t="s">
        <v>1729</v>
      </c>
      <c r="F1376">
        <v>20</v>
      </c>
      <c r="G1376">
        <v>1</v>
      </c>
      <c r="H1376">
        <v>1</v>
      </c>
      <c r="I1376">
        <v>20</v>
      </c>
      <c r="J1376">
        <v>2</v>
      </c>
      <c r="K1376">
        <f t="shared" si="64"/>
        <v>0</v>
      </c>
      <c r="L1376">
        <f t="shared" si="65"/>
        <v>2</v>
      </c>
      <c r="M1376">
        <v>2</v>
      </c>
      <c r="N1376" s="3">
        <v>46266</v>
      </c>
      <c r="O1376" s="6">
        <v>0</v>
      </c>
    </row>
    <row r="1377" spans="1:15">
      <c r="A1377" t="str">
        <f t="shared" si="63"/>
        <v>Qiuvita Hijau 32.11.11 20 X 500 gr464470</v>
      </c>
      <c r="B1377" t="s">
        <v>11196</v>
      </c>
      <c r="C1377" t="s">
        <v>15759</v>
      </c>
      <c r="D1377" t="s">
        <v>13280</v>
      </c>
      <c r="E1377" t="s">
        <v>1729</v>
      </c>
      <c r="F1377">
        <v>20</v>
      </c>
      <c r="G1377">
        <v>1</v>
      </c>
      <c r="H1377">
        <v>1</v>
      </c>
      <c r="I1377">
        <v>20</v>
      </c>
      <c r="J1377">
        <v>1982</v>
      </c>
      <c r="K1377">
        <f t="shared" si="64"/>
        <v>99</v>
      </c>
      <c r="L1377">
        <f t="shared" si="65"/>
        <v>2</v>
      </c>
      <c r="M1377">
        <v>1982</v>
      </c>
      <c r="N1377" s="3">
        <v>46447</v>
      </c>
      <c r="O1377" s="6">
        <v>0</v>
      </c>
    </row>
    <row r="1378" spans="1:15">
      <c r="A1378" t="str">
        <f t="shared" si="63"/>
        <v>Qiuvita Merah 16.11.32 100 X 100 gr455660</v>
      </c>
      <c r="B1378" t="s">
        <v>11197</v>
      </c>
      <c r="C1378" t="s">
        <v>15760</v>
      </c>
      <c r="D1378" t="s">
        <v>13281</v>
      </c>
      <c r="E1378" t="s">
        <v>1730</v>
      </c>
      <c r="F1378">
        <v>100</v>
      </c>
      <c r="G1378">
        <v>1</v>
      </c>
      <c r="H1378">
        <v>1</v>
      </c>
      <c r="I1378">
        <v>100</v>
      </c>
      <c r="J1378">
        <v>14848</v>
      </c>
      <c r="K1378">
        <f t="shared" si="64"/>
        <v>148</v>
      </c>
      <c r="L1378">
        <f t="shared" si="65"/>
        <v>48</v>
      </c>
      <c r="M1378">
        <v>14848</v>
      </c>
      <c r="N1378" s="3">
        <v>45566</v>
      </c>
      <c r="O1378" s="6">
        <v>0</v>
      </c>
    </row>
    <row r="1379" spans="1:15">
      <c r="A1379" t="str">
        <f t="shared" si="63"/>
        <v>Qiuvita Merah 16.11.32 100 X 100 gr455970</v>
      </c>
      <c r="B1379" t="s">
        <v>11198</v>
      </c>
      <c r="C1379" t="s">
        <v>15761</v>
      </c>
      <c r="D1379" t="s">
        <v>13282</v>
      </c>
      <c r="E1379" t="s">
        <v>1730</v>
      </c>
      <c r="F1379">
        <v>100</v>
      </c>
      <c r="G1379">
        <v>1</v>
      </c>
      <c r="H1379">
        <v>1</v>
      </c>
      <c r="I1379">
        <v>100</v>
      </c>
      <c r="J1379">
        <v>2500</v>
      </c>
      <c r="K1379">
        <f t="shared" si="64"/>
        <v>25</v>
      </c>
      <c r="L1379">
        <f t="shared" si="65"/>
        <v>0</v>
      </c>
      <c r="M1379">
        <v>2500</v>
      </c>
      <c r="N1379" s="3">
        <v>45597</v>
      </c>
      <c r="O1379" s="6">
        <v>0</v>
      </c>
    </row>
    <row r="1380" spans="1:15">
      <c r="A1380" t="str">
        <f t="shared" si="63"/>
        <v>Qiuvita Merah 16.11.32 100 X 100 gr453520</v>
      </c>
      <c r="B1380" t="s">
        <v>11199</v>
      </c>
      <c r="C1380" t="s">
        <v>15762</v>
      </c>
      <c r="D1380" t="s">
        <v>13283</v>
      </c>
      <c r="E1380" t="s">
        <v>1730</v>
      </c>
      <c r="F1380">
        <v>100</v>
      </c>
      <c r="G1380">
        <v>1</v>
      </c>
      <c r="H1380">
        <v>1</v>
      </c>
      <c r="I1380">
        <v>100</v>
      </c>
      <c r="J1380">
        <v>6041</v>
      </c>
      <c r="K1380">
        <f t="shared" si="64"/>
        <v>60</v>
      </c>
      <c r="L1380">
        <f t="shared" si="65"/>
        <v>41</v>
      </c>
      <c r="M1380">
        <v>6041</v>
      </c>
      <c r="N1380" s="3">
        <v>45352</v>
      </c>
      <c r="O1380" s="6">
        <v>0</v>
      </c>
    </row>
    <row r="1381" spans="1:15">
      <c r="A1381" t="str">
        <f t="shared" si="63"/>
        <v>Qiuvita Merah 16.11.32 20 X 500 gr464780</v>
      </c>
      <c r="B1381" t="s">
        <v>11200</v>
      </c>
      <c r="C1381" t="s">
        <v>15763</v>
      </c>
      <c r="D1381" t="s">
        <v>13284</v>
      </c>
      <c r="E1381" t="s">
        <v>1731</v>
      </c>
      <c r="F1381">
        <v>20</v>
      </c>
      <c r="G1381">
        <v>1</v>
      </c>
      <c r="H1381">
        <v>1</v>
      </c>
      <c r="I1381">
        <v>20</v>
      </c>
      <c r="J1381">
        <v>2230</v>
      </c>
      <c r="K1381">
        <f t="shared" si="64"/>
        <v>111</v>
      </c>
      <c r="L1381">
        <f t="shared" si="65"/>
        <v>10</v>
      </c>
      <c r="M1381">
        <v>2230</v>
      </c>
      <c r="N1381" s="3">
        <v>46478</v>
      </c>
      <c r="O1381" s="6">
        <v>0</v>
      </c>
    </row>
    <row r="1382" spans="1:15">
      <c r="A1382" t="str">
        <f t="shared" si="63"/>
        <v>Qiuvita Merah 16.11.32 20 X 500 gr465390</v>
      </c>
      <c r="B1382" t="s">
        <v>11201</v>
      </c>
      <c r="C1382" t="s">
        <v>15764</v>
      </c>
      <c r="D1382" t="s">
        <v>13285</v>
      </c>
      <c r="E1382" t="s">
        <v>1731</v>
      </c>
      <c r="F1382">
        <v>20</v>
      </c>
      <c r="G1382">
        <v>1</v>
      </c>
      <c r="H1382">
        <v>1</v>
      </c>
      <c r="I1382">
        <v>20</v>
      </c>
      <c r="J1382">
        <v>2440</v>
      </c>
      <c r="K1382">
        <f t="shared" si="64"/>
        <v>122</v>
      </c>
      <c r="L1382">
        <f t="shared" si="65"/>
        <v>0</v>
      </c>
      <c r="M1382">
        <v>2440</v>
      </c>
      <c r="N1382" s="3">
        <v>46539</v>
      </c>
      <c r="O1382" s="6">
        <v>0</v>
      </c>
    </row>
    <row r="1383" spans="1:15">
      <c r="A1383" t="str">
        <f t="shared" si="63"/>
        <v>Quilt 200 SE 40 X 250 ml455050</v>
      </c>
      <c r="B1383" t="s">
        <v>11202</v>
      </c>
      <c r="C1383" t="s">
        <v>15765</v>
      </c>
      <c r="D1383" t="s">
        <v>13286</v>
      </c>
      <c r="E1383" t="s">
        <v>1732</v>
      </c>
      <c r="F1383">
        <v>40</v>
      </c>
      <c r="G1383">
        <v>1</v>
      </c>
      <c r="H1383">
        <v>1</v>
      </c>
      <c r="I1383">
        <v>40</v>
      </c>
      <c r="J1383">
        <v>7120</v>
      </c>
      <c r="K1383">
        <f t="shared" si="64"/>
        <v>178</v>
      </c>
      <c r="L1383">
        <f t="shared" si="65"/>
        <v>0</v>
      </c>
      <c r="M1383">
        <v>7120</v>
      </c>
      <c r="N1383" s="3">
        <v>45505</v>
      </c>
      <c r="O1383" s="6">
        <v>0</v>
      </c>
    </row>
    <row r="1384" spans="1:15">
      <c r="A1384" t="str">
        <f t="shared" si="63"/>
        <v>Quilt 200 SE 40 X 250 ml454440</v>
      </c>
      <c r="B1384" t="s">
        <v>11203</v>
      </c>
      <c r="C1384" t="s">
        <v>15766</v>
      </c>
      <c r="D1384" t="s">
        <v>13287</v>
      </c>
      <c r="E1384" t="s">
        <v>1732</v>
      </c>
      <c r="F1384">
        <v>40</v>
      </c>
      <c r="G1384">
        <v>1</v>
      </c>
      <c r="H1384">
        <v>1</v>
      </c>
      <c r="I1384">
        <v>40</v>
      </c>
      <c r="J1384">
        <v>8548</v>
      </c>
      <c r="K1384">
        <f t="shared" si="64"/>
        <v>213</v>
      </c>
      <c r="L1384">
        <f t="shared" si="65"/>
        <v>28</v>
      </c>
      <c r="M1384">
        <v>8548</v>
      </c>
      <c r="N1384" s="3">
        <v>45444</v>
      </c>
      <c r="O1384" s="6">
        <v>0</v>
      </c>
    </row>
    <row r="1385" spans="1:15">
      <c r="A1385" t="str">
        <f t="shared" si="63"/>
        <v>Raja Mulsa Hijau 60 X 260 mt1/1/10000</v>
      </c>
      <c r="B1385" t="s">
        <v>11204</v>
      </c>
      <c r="C1385" t="s">
        <v>15767</v>
      </c>
      <c r="D1385" t="s">
        <v>13288</v>
      </c>
      <c r="E1385" t="s">
        <v>1735</v>
      </c>
      <c r="F1385">
        <v>1</v>
      </c>
      <c r="G1385">
        <v>1</v>
      </c>
      <c r="H1385">
        <v>1</v>
      </c>
      <c r="I1385">
        <v>1</v>
      </c>
      <c r="J1385">
        <v>4</v>
      </c>
      <c r="K1385">
        <f t="shared" si="64"/>
        <v>4</v>
      </c>
      <c r="L1385">
        <f t="shared" si="65"/>
        <v>0</v>
      </c>
      <c r="M1385">
        <v>4</v>
      </c>
      <c r="N1385" s="3" t="s">
        <v>2222</v>
      </c>
      <c r="O1385" s="6">
        <v>0</v>
      </c>
    </row>
    <row r="1386" spans="1:15">
      <c r="A1386" t="str">
        <f t="shared" si="63"/>
        <v>Raja Mulsa Hijau 60 X 530 mt1/1/10000</v>
      </c>
      <c r="B1386" t="s">
        <v>11205</v>
      </c>
      <c r="C1386" t="s">
        <v>15768</v>
      </c>
      <c r="D1386" t="s">
        <v>13289</v>
      </c>
      <c r="E1386" t="s">
        <v>1736</v>
      </c>
      <c r="F1386">
        <v>1</v>
      </c>
      <c r="G1386">
        <v>1</v>
      </c>
      <c r="H1386">
        <v>1</v>
      </c>
      <c r="I1386">
        <v>1</v>
      </c>
      <c r="J1386">
        <v>2</v>
      </c>
      <c r="K1386">
        <f t="shared" si="64"/>
        <v>2</v>
      </c>
      <c r="L1386">
        <f t="shared" si="65"/>
        <v>0</v>
      </c>
      <c r="M1386">
        <v>2</v>
      </c>
      <c r="N1386" s="3" t="s">
        <v>2222</v>
      </c>
      <c r="O1386" s="6">
        <v>0</v>
      </c>
    </row>
    <row r="1387" spans="1:15">
      <c r="A1387" t="str">
        <f t="shared" si="63"/>
        <v>Ratchet 250 EC 100 ml (sampel)1/1/10000</v>
      </c>
      <c r="B1387" t="s">
        <v>11206</v>
      </c>
      <c r="C1387" t="s">
        <v>15769</v>
      </c>
      <c r="D1387" t="s">
        <v>13290</v>
      </c>
      <c r="E1387" t="s">
        <v>1737</v>
      </c>
      <c r="F1387">
        <v>1</v>
      </c>
      <c r="G1387">
        <v>1</v>
      </c>
      <c r="H1387">
        <v>1</v>
      </c>
      <c r="I1387">
        <v>1</v>
      </c>
      <c r="J1387">
        <v>8</v>
      </c>
      <c r="K1387">
        <f t="shared" si="64"/>
        <v>8</v>
      </c>
      <c r="L1387">
        <f t="shared" si="65"/>
        <v>0</v>
      </c>
      <c r="M1387">
        <v>8</v>
      </c>
      <c r="N1387" s="3" t="s">
        <v>2222</v>
      </c>
      <c r="O1387" s="6">
        <v>0</v>
      </c>
    </row>
    <row r="1388" spans="1:15">
      <c r="A1388" t="str">
        <f t="shared" si="63"/>
        <v>Ratgone 0.005 BB 10 X 1 kg467530</v>
      </c>
      <c r="B1388" t="s">
        <v>11207</v>
      </c>
      <c r="C1388" t="s">
        <v>15770</v>
      </c>
      <c r="D1388" t="s">
        <v>13291</v>
      </c>
      <c r="E1388" t="s">
        <v>1738</v>
      </c>
      <c r="F1388">
        <v>10</v>
      </c>
      <c r="G1388">
        <v>1</v>
      </c>
      <c r="H1388">
        <v>1</v>
      </c>
      <c r="I1388">
        <v>10</v>
      </c>
      <c r="J1388">
        <v>1</v>
      </c>
      <c r="K1388">
        <f t="shared" si="64"/>
        <v>0</v>
      </c>
      <c r="L1388">
        <f t="shared" si="65"/>
        <v>1</v>
      </c>
      <c r="M1388">
        <v>1</v>
      </c>
      <c r="N1388" s="3">
        <v>46753</v>
      </c>
      <c r="O1388" s="6">
        <v>0</v>
      </c>
    </row>
    <row r="1389" spans="1:15">
      <c r="A1389" t="str">
        <f t="shared" si="63"/>
        <v>Ratgone 0.005 BB 10 X 1 kg461740</v>
      </c>
      <c r="B1389" t="s">
        <v>11208</v>
      </c>
      <c r="C1389" t="s">
        <v>15771</v>
      </c>
      <c r="D1389" t="s">
        <v>13292</v>
      </c>
      <c r="E1389" t="s">
        <v>1738</v>
      </c>
      <c r="F1389">
        <v>10</v>
      </c>
      <c r="G1389">
        <v>1</v>
      </c>
      <c r="H1389">
        <v>1</v>
      </c>
      <c r="I1389">
        <v>10</v>
      </c>
      <c r="J1389">
        <v>50</v>
      </c>
      <c r="K1389">
        <f t="shared" si="64"/>
        <v>5</v>
      </c>
      <c r="L1389">
        <f t="shared" si="65"/>
        <v>0</v>
      </c>
      <c r="M1389">
        <v>50</v>
      </c>
      <c r="N1389" s="3">
        <v>46174</v>
      </c>
      <c r="O1389" s="6">
        <v>0</v>
      </c>
    </row>
    <row r="1390" spans="1:15">
      <c r="A1390" t="str">
        <f t="shared" si="63"/>
        <v>Ratol 80 P 10 X 100 X 10 gr458090</v>
      </c>
      <c r="B1390" t="s">
        <v>11209</v>
      </c>
      <c r="C1390" t="s">
        <v>15772</v>
      </c>
      <c r="D1390" t="s">
        <v>13293</v>
      </c>
      <c r="E1390" t="s">
        <v>1741</v>
      </c>
      <c r="F1390">
        <v>10</v>
      </c>
      <c r="G1390">
        <v>100</v>
      </c>
      <c r="H1390">
        <v>1</v>
      </c>
      <c r="I1390">
        <v>1000</v>
      </c>
      <c r="J1390">
        <v>41004</v>
      </c>
      <c r="K1390">
        <f t="shared" si="64"/>
        <v>41</v>
      </c>
      <c r="L1390">
        <f t="shared" si="65"/>
        <v>4</v>
      </c>
      <c r="M1390">
        <v>41004</v>
      </c>
      <c r="N1390" s="3">
        <v>45809</v>
      </c>
      <c r="O1390" s="6">
        <v>0</v>
      </c>
    </row>
    <row r="1391" spans="1:15">
      <c r="A1391" t="str">
        <f t="shared" si="63"/>
        <v>Reactive 490 SL 20 ltr471190</v>
      </c>
      <c r="B1391" t="s">
        <v>11210</v>
      </c>
      <c r="C1391" t="s">
        <v>15773</v>
      </c>
      <c r="D1391" t="s">
        <v>13294</v>
      </c>
      <c r="E1391" t="s">
        <v>1744</v>
      </c>
      <c r="F1391">
        <v>1</v>
      </c>
      <c r="G1391">
        <v>1</v>
      </c>
      <c r="H1391">
        <v>1</v>
      </c>
      <c r="I1391">
        <v>1</v>
      </c>
      <c r="J1391">
        <v>62</v>
      </c>
      <c r="K1391">
        <f t="shared" si="64"/>
        <v>62</v>
      </c>
      <c r="L1391">
        <f t="shared" si="65"/>
        <v>0</v>
      </c>
      <c r="M1391">
        <v>62</v>
      </c>
      <c r="N1391" s="3">
        <v>47119</v>
      </c>
      <c r="O1391" s="6">
        <v>0</v>
      </c>
    </row>
    <row r="1392" spans="1:15">
      <c r="A1392" t="str">
        <f t="shared" si="63"/>
        <v>Reactive 490 SL 20 X 1 ltr471500</v>
      </c>
      <c r="B1392" t="s">
        <v>11211</v>
      </c>
      <c r="C1392" t="s">
        <v>15774</v>
      </c>
      <c r="D1392" t="s">
        <v>13295</v>
      </c>
      <c r="E1392" t="s">
        <v>1745</v>
      </c>
      <c r="F1392">
        <v>20</v>
      </c>
      <c r="G1392">
        <v>1</v>
      </c>
      <c r="H1392">
        <v>1</v>
      </c>
      <c r="I1392">
        <v>20</v>
      </c>
      <c r="J1392">
        <v>3600</v>
      </c>
      <c r="K1392">
        <f t="shared" si="64"/>
        <v>180</v>
      </c>
      <c r="L1392">
        <f t="shared" si="65"/>
        <v>0</v>
      </c>
      <c r="M1392">
        <v>3600</v>
      </c>
      <c r="N1392" s="3">
        <v>47150</v>
      </c>
      <c r="O1392" s="6">
        <v>0</v>
      </c>
    </row>
    <row r="1393" spans="1:15">
      <c r="A1393" t="str">
        <f t="shared" si="63"/>
        <v>Regent Red 24 X 250 ml461430</v>
      </c>
      <c r="B1393" t="s">
        <v>11212</v>
      </c>
      <c r="C1393" t="s">
        <v>15775</v>
      </c>
      <c r="D1393" t="s">
        <v>13296</v>
      </c>
      <c r="E1393" t="s">
        <v>1746</v>
      </c>
      <c r="F1393">
        <v>24</v>
      </c>
      <c r="G1393">
        <v>1</v>
      </c>
      <c r="H1393">
        <v>1</v>
      </c>
      <c r="I1393">
        <v>24</v>
      </c>
      <c r="J1393">
        <v>1745</v>
      </c>
      <c r="K1393">
        <f t="shared" si="64"/>
        <v>72</v>
      </c>
      <c r="L1393">
        <f t="shared" si="65"/>
        <v>17</v>
      </c>
      <c r="M1393">
        <v>1745</v>
      </c>
      <c r="N1393" s="3">
        <v>46143</v>
      </c>
      <c r="O1393" s="6">
        <v>0</v>
      </c>
    </row>
    <row r="1394" spans="1:15">
      <c r="A1394" t="str">
        <f t="shared" si="63"/>
        <v>Regent Red 48 X 100 ml461430</v>
      </c>
      <c r="B1394" t="s">
        <v>11213</v>
      </c>
      <c r="C1394" t="s">
        <v>15776</v>
      </c>
      <c r="D1394" t="s">
        <v>13297</v>
      </c>
      <c r="E1394" t="s">
        <v>1748</v>
      </c>
      <c r="F1394">
        <v>48</v>
      </c>
      <c r="G1394">
        <v>1</v>
      </c>
      <c r="H1394">
        <v>1</v>
      </c>
      <c r="I1394">
        <v>48</v>
      </c>
      <c r="J1394">
        <v>3345</v>
      </c>
      <c r="K1394">
        <f t="shared" si="64"/>
        <v>69</v>
      </c>
      <c r="L1394">
        <f t="shared" si="65"/>
        <v>33</v>
      </c>
      <c r="M1394">
        <v>3345</v>
      </c>
      <c r="N1394" s="3">
        <v>46143</v>
      </c>
      <c r="O1394" s="6">
        <v>0</v>
      </c>
    </row>
    <row r="1395" spans="1:15">
      <c r="A1395" t="str">
        <f t="shared" si="63"/>
        <v>Regent Red 80 X 50 ml461430</v>
      </c>
      <c r="B1395" t="s">
        <v>11214</v>
      </c>
      <c r="C1395" t="s">
        <v>15777</v>
      </c>
      <c r="D1395" t="s">
        <v>13298</v>
      </c>
      <c r="E1395" t="s">
        <v>1750</v>
      </c>
      <c r="F1395">
        <v>80</v>
      </c>
      <c r="G1395">
        <v>1</v>
      </c>
      <c r="H1395">
        <v>1</v>
      </c>
      <c r="I1395">
        <v>80</v>
      </c>
      <c r="J1395">
        <v>4720</v>
      </c>
      <c r="K1395">
        <f t="shared" si="64"/>
        <v>59</v>
      </c>
      <c r="L1395">
        <f t="shared" si="65"/>
        <v>0</v>
      </c>
      <c r="M1395">
        <v>4720</v>
      </c>
      <c r="N1395" s="3">
        <v>46143</v>
      </c>
      <c r="O1395" s="6">
        <v>0</v>
      </c>
    </row>
    <row r="1396" spans="1:15">
      <c r="A1396" t="str">
        <f t="shared" si="63"/>
        <v>Remazole-P 490 EC 100 X 100 ml464190</v>
      </c>
      <c r="B1396" t="s">
        <v>11215</v>
      </c>
      <c r="C1396" t="s">
        <v>15778</v>
      </c>
      <c r="D1396" t="s">
        <v>13299</v>
      </c>
      <c r="E1396" t="s">
        <v>1752</v>
      </c>
      <c r="F1396">
        <v>100</v>
      </c>
      <c r="G1396">
        <v>1</v>
      </c>
      <c r="H1396">
        <v>1</v>
      </c>
      <c r="I1396">
        <v>100</v>
      </c>
      <c r="J1396">
        <v>85</v>
      </c>
      <c r="K1396">
        <f t="shared" si="64"/>
        <v>0</v>
      </c>
      <c r="L1396">
        <f t="shared" si="65"/>
        <v>85</v>
      </c>
      <c r="M1396">
        <v>85</v>
      </c>
      <c r="N1396" s="3">
        <v>46419</v>
      </c>
      <c r="O1396" s="6">
        <v>0</v>
      </c>
    </row>
    <row r="1397" spans="1:15">
      <c r="A1397" t="str">
        <f t="shared" si="63"/>
        <v>Remazole-P 490 EC 20 X 400 ml469350</v>
      </c>
      <c r="B1397" t="s">
        <v>11216</v>
      </c>
      <c r="C1397" t="s">
        <v>15779</v>
      </c>
      <c r="D1397" t="s">
        <v>13300</v>
      </c>
      <c r="E1397" t="s">
        <v>1753</v>
      </c>
      <c r="F1397">
        <v>20</v>
      </c>
      <c r="G1397">
        <v>1</v>
      </c>
      <c r="H1397">
        <v>1</v>
      </c>
      <c r="I1397">
        <v>20</v>
      </c>
      <c r="J1397">
        <v>17</v>
      </c>
      <c r="K1397">
        <f t="shared" si="64"/>
        <v>0</v>
      </c>
      <c r="L1397">
        <f t="shared" si="65"/>
        <v>17</v>
      </c>
      <c r="M1397">
        <v>17</v>
      </c>
      <c r="N1397" s="3">
        <v>46935</v>
      </c>
      <c r="O1397" s="6">
        <v>0</v>
      </c>
    </row>
    <row r="1398" spans="1:15">
      <c r="A1398" t="str">
        <f t="shared" si="63"/>
        <v>Remazole-P 490 EC 20 X 400 ml471190</v>
      </c>
      <c r="B1398" t="s">
        <v>11217</v>
      </c>
      <c r="C1398" t="s">
        <v>15780</v>
      </c>
      <c r="D1398" t="s">
        <v>13301</v>
      </c>
      <c r="E1398" t="s">
        <v>1753</v>
      </c>
      <c r="F1398">
        <v>20</v>
      </c>
      <c r="G1398">
        <v>1</v>
      </c>
      <c r="H1398">
        <v>1</v>
      </c>
      <c r="I1398">
        <v>20</v>
      </c>
      <c r="J1398">
        <v>780</v>
      </c>
      <c r="K1398">
        <f t="shared" si="64"/>
        <v>39</v>
      </c>
      <c r="L1398">
        <f t="shared" si="65"/>
        <v>0</v>
      </c>
      <c r="M1398">
        <v>780</v>
      </c>
      <c r="N1398" s="3">
        <v>47119</v>
      </c>
      <c r="O1398" s="6">
        <v>0</v>
      </c>
    </row>
    <row r="1399" spans="1:15">
      <c r="A1399" t="str">
        <f t="shared" si="63"/>
        <v>Remazole-P 490 EC 20 X 400 ml471500</v>
      </c>
      <c r="B1399" t="s">
        <v>11218</v>
      </c>
      <c r="C1399" t="s">
        <v>15781</v>
      </c>
      <c r="D1399" t="s">
        <v>13302</v>
      </c>
      <c r="E1399" t="s">
        <v>1753</v>
      </c>
      <c r="F1399">
        <v>20</v>
      </c>
      <c r="G1399">
        <v>1</v>
      </c>
      <c r="H1399">
        <v>1</v>
      </c>
      <c r="I1399">
        <v>20</v>
      </c>
      <c r="J1399">
        <v>1080</v>
      </c>
      <c r="K1399">
        <f t="shared" si="64"/>
        <v>54</v>
      </c>
      <c r="L1399">
        <f t="shared" si="65"/>
        <v>0</v>
      </c>
      <c r="M1399">
        <v>1080</v>
      </c>
      <c r="N1399" s="3">
        <v>47150</v>
      </c>
      <c r="O1399" s="6">
        <v>0</v>
      </c>
    </row>
    <row r="1400" spans="1:15">
      <c r="A1400" t="str">
        <f t="shared" si="63"/>
        <v>Remazole-P 490 EC 20 X 400 ml472090</v>
      </c>
      <c r="B1400" t="s">
        <v>11219</v>
      </c>
      <c r="C1400" t="s">
        <v>15782</v>
      </c>
      <c r="D1400" t="s">
        <v>13303</v>
      </c>
      <c r="E1400" t="s">
        <v>1753</v>
      </c>
      <c r="F1400">
        <v>20</v>
      </c>
      <c r="G1400">
        <v>1</v>
      </c>
      <c r="H1400">
        <v>1</v>
      </c>
      <c r="I1400">
        <v>20</v>
      </c>
      <c r="J1400">
        <v>2480</v>
      </c>
      <c r="K1400">
        <f t="shared" si="64"/>
        <v>124</v>
      </c>
      <c r="L1400">
        <f t="shared" si="65"/>
        <v>0</v>
      </c>
      <c r="M1400">
        <v>2480</v>
      </c>
      <c r="N1400" s="3">
        <v>47209</v>
      </c>
      <c r="O1400" s="6">
        <v>0</v>
      </c>
    </row>
    <row r="1401" spans="1:15">
      <c r="A1401" t="str">
        <f t="shared" si="63"/>
        <v>Remazole-P 490 EC 40 X 250 ml468130</v>
      </c>
      <c r="B1401" t="s">
        <v>11220</v>
      </c>
      <c r="C1401" t="s">
        <v>15783</v>
      </c>
      <c r="D1401" t="s">
        <v>13304</v>
      </c>
      <c r="E1401" t="s">
        <v>1754</v>
      </c>
      <c r="F1401">
        <v>40</v>
      </c>
      <c r="G1401">
        <v>1</v>
      </c>
      <c r="H1401">
        <v>1</v>
      </c>
      <c r="I1401">
        <v>40</v>
      </c>
      <c r="J1401">
        <v>290</v>
      </c>
      <c r="K1401">
        <f t="shared" si="64"/>
        <v>7</v>
      </c>
      <c r="L1401">
        <f t="shared" si="65"/>
        <v>10</v>
      </c>
      <c r="M1401">
        <v>290</v>
      </c>
      <c r="N1401" s="3">
        <v>46813</v>
      </c>
      <c r="O1401" s="6">
        <v>0</v>
      </c>
    </row>
    <row r="1402" spans="1:15">
      <c r="A1402" t="str">
        <f t="shared" si="63"/>
        <v>Remazole-P 490 EC 40 X 250 ml470580</v>
      </c>
      <c r="B1402" t="s">
        <v>11221</v>
      </c>
      <c r="C1402" t="s">
        <v>15784</v>
      </c>
      <c r="D1402" t="s">
        <v>13305</v>
      </c>
      <c r="E1402" t="s">
        <v>1754</v>
      </c>
      <c r="F1402">
        <v>40</v>
      </c>
      <c r="G1402">
        <v>1</v>
      </c>
      <c r="H1402">
        <v>1</v>
      </c>
      <c r="I1402">
        <v>40</v>
      </c>
      <c r="J1402">
        <v>1360</v>
      </c>
      <c r="K1402">
        <f t="shared" si="64"/>
        <v>34</v>
      </c>
      <c r="L1402">
        <f t="shared" si="65"/>
        <v>0</v>
      </c>
      <c r="M1402">
        <v>1360</v>
      </c>
      <c r="N1402" s="3">
        <v>47058</v>
      </c>
      <c r="O1402" s="6">
        <v>0</v>
      </c>
    </row>
    <row r="1403" spans="1:15">
      <c r="A1403" t="str">
        <f t="shared" si="63"/>
        <v>Remazole-P 490 EC 40 X 250 ml468740</v>
      </c>
      <c r="B1403" t="s">
        <v>11222</v>
      </c>
      <c r="C1403" t="s">
        <v>15785</v>
      </c>
      <c r="D1403" t="s">
        <v>13306</v>
      </c>
      <c r="E1403" t="s">
        <v>1754</v>
      </c>
      <c r="F1403">
        <v>40</v>
      </c>
      <c r="G1403">
        <v>1</v>
      </c>
      <c r="H1403">
        <v>1</v>
      </c>
      <c r="I1403">
        <v>40</v>
      </c>
      <c r="J1403">
        <v>3080</v>
      </c>
      <c r="K1403">
        <f t="shared" si="64"/>
        <v>77</v>
      </c>
      <c r="L1403">
        <f t="shared" si="65"/>
        <v>0</v>
      </c>
      <c r="M1403">
        <v>3080</v>
      </c>
      <c r="N1403" s="3">
        <v>46874</v>
      </c>
      <c r="O1403" s="6">
        <v>0</v>
      </c>
    </row>
    <row r="1404" spans="1:15">
      <c r="A1404" t="str">
        <f t="shared" si="63"/>
        <v>Revus 250 SC 40 X 250 ml455360</v>
      </c>
      <c r="B1404" t="s">
        <v>11223</v>
      </c>
      <c r="C1404" t="s">
        <v>15786</v>
      </c>
      <c r="D1404" t="s">
        <v>13307</v>
      </c>
      <c r="E1404" t="s">
        <v>1755</v>
      </c>
      <c r="F1404">
        <v>40</v>
      </c>
      <c r="G1404">
        <v>1</v>
      </c>
      <c r="H1404">
        <v>1</v>
      </c>
      <c r="I1404">
        <v>40</v>
      </c>
      <c r="J1404">
        <v>4</v>
      </c>
      <c r="K1404">
        <f t="shared" si="64"/>
        <v>0</v>
      </c>
      <c r="L1404">
        <f t="shared" si="65"/>
        <v>4</v>
      </c>
      <c r="M1404">
        <v>4</v>
      </c>
      <c r="N1404" s="3">
        <v>45536</v>
      </c>
      <c r="O1404" s="6">
        <v>0</v>
      </c>
    </row>
    <row r="1405" spans="1:15">
      <c r="A1405" t="str">
        <f t="shared" si="63"/>
        <v>Revus Opti 440 SC 20 X 250 ml456890</v>
      </c>
      <c r="B1405" t="s">
        <v>11224</v>
      </c>
      <c r="C1405" t="s">
        <v>15787</v>
      </c>
      <c r="D1405" t="s">
        <v>13308</v>
      </c>
      <c r="E1405" t="s">
        <v>1757</v>
      </c>
      <c r="F1405">
        <v>20</v>
      </c>
      <c r="G1405">
        <v>1</v>
      </c>
      <c r="H1405">
        <v>1</v>
      </c>
      <c r="I1405">
        <v>20</v>
      </c>
      <c r="J1405">
        <v>180</v>
      </c>
      <c r="K1405">
        <f t="shared" si="64"/>
        <v>9</v>
      </c>
      <c r="L1405">
        <f t="shared" si="65"/>
        <v>0</v>
      </c>
      <c r="M1405">
        <v>180</v>
      </c>
      <c r="N1405" s="3">
        <v>45689</v>
      </c>
      <c r="O1405" s="6">
        <v>0</v>
      </c>
    </row>
    <row r="1406" spans="1:15">
      <c r="A1406" t="str">
        <f t="shared" si="63"/>
        <v>Revus Opti 440 SC 20 X 250 ml457780</v>
      </c>
      <c r="B1406" t="s">
        <v>11225</v>
      </c>
      <c r="C1406" t="s">
        <v>15788</v>
      </c>
      <c r="D1406" t="s">
        <v>13309</v>
      </c>
      <c r="E1406" t="s">
        <v>1757</v>
      </c>
      <c r="F1406">
        <v>20</v>
      </c>
      <c r="G1406">
        <v>1</v>
      </c>
      <c r="H1406">
        <v>1</v>
      </c>
      <c r="I1406">
        <v>20</v>
      </c>
      <c r="J1406">
        <v>500</v>
      </c>
      <c r="K1406">
        <f t="shared" si="64"/>
        <v>25</v>
      </c>
      <c r="L1406">
        <f t="shared" si="65"/>
        <v>0</v>
      </c>
      <c r="M1406">
        <v>500</v>
      </c>
      <c r="N1406" s="3">
        <v>45778</v>
      </c>
      <c r="O1406" s="6">
        <v>0</v>
      </c>
    </row>
    <row r="1407" spans="1:15">
      <c r="A1407" t="str">
        <f t="shared" si="63"/>
        <v>Ridomil Gold MZ 4/64 WG 100 X 100 gr455970</v>
      </c>
      <c r="B1407" t="s">
        <v>11226</v>
      </c>
      <c r="C1407" t="s">
        <v>15789</v>
      </c>
      <c r="D1407" t="s">
        <v>13310</v>
      </c>
      <c r="E1407" t="s">
        <v>1761</v>
      </c>
      <c r="F1407">
        <v>100</v>
      </c>
      <c r="G1407">
        <v>1</v>
      </c>
      <c r="H1407">
        <v>1</v>
      </c>
      <c r="I1407">
        <v>100</v>
      </c>
      <c r="J1407">
        <v>2880</v>
      </c>
      <c r="K1407">
        <f t="shared" si="64"/>
        <v>28</v>
      </c>
      <c r="L1407">
        <f t="shared" si="65"/>
        <v>80</v>
      </c>
      <c r="M1407">
        <v>2880</v>
      </c>
      <c r="N1407" s="3">
        <v>45597</v>
      </c>
      <c r="O1407" s="6">
        <v>0</v>
      </c>
    </row>
    <row r="1408" spans="1:15">
      <c r="A1408" t="str">
        <f t="shared" si="63"/>
        <v>Ridomil Gold MZ 4/64 WG 100 X 100 gr458090</v>
      </c>
      <c r="B1408" t="s">
        <v>11227</v>
      </c>
      <c r="C1408" t="s">
        <v>15790</v>
      </c>
      <c r="D1408" t="s">
        <v>13311</v>
      </c>
      <c r="E1408" t="s">
        <v>1761</v>
      </c>
      <c r="F1408">
        <v>100</v>
      </c>
      <c r="G1408">
        <v>1</v>
      </c>
      <c r="H1408">
        <v>1</v>
      </c>
      <c r="I1408">
        <v>100</v>
      </c>
      <c r="J1408">
        <v>3700</v>
      </c>
      <c r="K1408">
        <f t="shared" si="64"/>
        <v>37</v>
      </c>
      <c r="L1408">
        <f t="shared" si="65"/>
        <v>0</v>
      </c>
      <c r="M1408">
        <v>3700</v>
      </c>
      <c r="N1408" s="3">
        <v>45809</v>
      </c>
      <c r="O1408" s="6">
        <v>0</v>
      </c>
    </row>
    <row r="1409" spans="1:15">
      <c r="A1409" t="str">
        <f t="shared" si="63"/>
        <v>Ridomil Gold MZ 4/64 WG 100 X 100 gr460230</v>
      </c>
      <c r="B1409" t="s">
        <v>11228</v>
      </c>
      <c r="C1409" t="s">
        <v>15791</v>
      </c>
      <c r="D1409" t="s">
        <v>13312</v>
      </c>
      <c r="E1409" t="s">
        <v>1761</v>
      </c>
      <c r="F1409">
        <v>100</v>
      </c>
      <c r="G1409">
        <v>1</v>
      </c>
      <c r="H1409">
        <v>1</v>
      </c>
      <c r="I1409">
        <v>100</v>
      </c>
      <c r="J1409">
        <v>11300</v>
      </c>
      <c r="K1409">
        <f t="shared" si="64"/>
        <v>113</v>
      </c>
      <c r="L1409">
        <f t="shared" si="65"/>
        <v>0</v>
      </c>
      <c r="M1409">
        <v>11300</v>
      </c>
      <c r="N1409" s="3">
        <v>46023</v>
      </c>
      <c r="O1409" s="6">
        <v>0</v>
      </c>
    </row>
    <row r="1410" spans="1:15">
      <c r="A1410" t="str">
        <f t="shared" si="63"/>
        <v>Ridomil Gold MZ 4/64 WG 20 X 500 gr457780</v>
      </c>
      <c r="B1410" t="s">
        <v>11229</v>
      </c>
      <c r="C1410" t="s">
        <v>15792</v>
      </c>
      <c r="D1410" t="s">
        <v>13313</v>
      </c>
      <c r="E1410" t="s">
        <v>1767</v>
      </c>
      <c r="F1410">
        <v>20</v>
      </c>
      <c r="G1410">
        <v>1</v>
      </c>
      <c r="H1410">
        <v>1</v>
      </c>
      <c r="I1410">
        <v>20</v>
      </c>
      <c r="J1410">
        <v>108</v>
      </c>
      <c r="K1410">
        <f t="shared" si="64"/>
        <v>5</v>
      </c>
      <c r="L1410">
        <f t="shared" si="65"/>
        <v>8</v>
      </c>
      <c r="M1410">
        <v>108</v>
      </c>
      <c r="N1410" s="3">
        <v>45778</v>
      </c>
      <c r="O1410" s="6">
        <v>0</v>
      </c>
    </row>
    <row r="1411" spans="1:15">
      <c r="A1411" t="str">
        <f t="shared" ref="A1411:A1474" si="66">E1411&amp;N1411&amp;O1411</f>
        <v>Ridomil Gold MZ 4/64 WG 20 X 500 gr462660</v>
      </c>
      <c r="B1411" t="s">
        <v>11230</v>
      </c>
      <c r="C1411" t="s">
        <v>15793</v>
      </c>
      <c r="D1411" t="s">
        <v>13314</v>
      </c>
      <c r="E1411" t="s">
        <v>1767</v>
      </c>
      <c r="F1411">
        <v>20</v>
      </c>
      <c r="G1411">
        <v>1</v>
      </c>
      <c r="H1411">
        <v>1</v>
      </c>
      <c r="I1411">
        <v>20</v>
      </c>
      <c r="J1411">
        <v>1760</v>
      </c>
      <c r="K1411">
        <f t="shared" ref="K1411:K1474" si="67">ROUNDDOWN(J1411/I1411,0)</f>
        <v>88</v>
      </c>
      <c r="L1411">
        <f t="shared" ref="L1411:L1474" si="68">J1411-K1411*I1411</f>
        <v>0</v>
      </c>
      <c r="M1411">
        <v>1760</v>
      </c>
      <c r="N1411" s="3">
        <v>46266</v>
      </c>
      <c r="O1411" s="6">
        <v>0</v>
      </c>
    </row>
    <row r="1412" spans="1:15">
      <c r="A1412" t="str">
        <f t="shared" si="66"/>
        <v>Ridomil Gold MZ 4/64 WG 20 X 500 gr461430</v>
      </c>
      <c r="B1412" t="s">
        <v>11231</v>
      </c>
      <c r="C1412" t="s">
        <v>15794</v>
      </c>
      <c r="D1412" t="s">
        <v>13315</v>
      </c>
      <c r="E1412" t="s">
        <v>1767</v>
      </c>
      <c r="F1412">
        <v>20</v>
      </c>
      <c r="G1412">
        <v>1</v>
      </c>
      <c r="H1412">
        <v>1</v>
      </c>
      <c r="I1412">
        <v>20</v>
      </c>
      <c r="J1412">
        <v>1040</v>
      </c>
      <c r="K1412">
        <f t="shared" si="67"/>
        <v>52</v>
      </c>
      <c r="L1412">
        <f t="shared" si="68"/>
        <v>0</v>
      </c>
      <c r="M1412">
        <v>1040</v>
      </c>
      <c r="N1412" s="3">
        <v>46143</v>
      </c>
      <c r="O1412" s="6">
        <v>0</v>
      </c>
    </row>
    <row r="1413" spans="1:15">
      <c r="A1413" t="str">
        <f t="shared" si="66"/>
        <v>Ridomil Gold MZ 4/64 WG 40 X 250 gr460230</v>
      </c>
      <c r="B1413" t="s">
        <v>11232</v>
      </c>
      <c r="C1413" t="s">
        <v>15795</v>
      </c>
      <c r="D1413" t="s">
        <v>13316</v>
      </c>
      <c r="E1413" t="s">
        <v>1771</v>
      </c>
      <c r="F1413">
        <v>40</v>
      </c>
      <c r="G1413">
        <v>1</v>
      </c>
      <c r="H1413">
        <v>1</v>
      </c>
      <c r="I1413">
        <v>40</v>
      </c>
      <c r="J1413">
        <v>2333</v>
      </c>
      <c r="K1413">
        <f t="shared" si="67"/>
        <v>58</v>
      </c>
      <c r="L1413">
        <f t="shared" si="68"/>
        <v>13</v>
      </c>
      <c r="M1413">
        <v>2333</v>
      </c>
      <c r="N1413" s="3">
        <v>46023</v>
      </c>
      <c r="O1413" s="6">
        <v>0</v>
      </c>
    </row>
    <row r="1414" spans="1:15">
      <c r="A1414" t="str">
        <f t="shared" si="66"/>
        <v>Ridomil Gold MZ 4/64 WG 40 X 250 gr462660</v>
      </c>
      <c r="B1414" t="s">
        <v>11233</v>
      </c>
      <c r="C1414" t="s">
        <v>15796</v>
      </c>
      <c r="D1414" t="s">
        <v>13317</v>
      </c>
      <c r="E1414" t="s">
        <v>1771</v>
      </c>
      <c r="F1414">
        <v>40</v>
      </c>
      <c r="G1414">
        <v>1</v>
      </c>
      <c r="H1414">
        <v>1</v>
      </c>
      <c r="I1414">
        <v>40</v>
      </c>
      <c r="J1414">
        <v>6000</v>
      </c>
      <c r="K1414">
        <f t="shared" si="67"/>
        <v>150</v>
      </c>
      <c r="L1414">
        <f t="shared" si="68"/>
        <v>0</v>
      </c>
      <c r="M1414">
        <v>6000</v>
      </c>
      <c r="N1414" s="3">
        <v>46266</v>
      </c>
      <c r="O1414" s="6">
        <v>0</v>
      </c>
    </row>
    <row r="1415" spans="1:15">
      <c r="A1415" t="str">
        <f t="shared" si="66"/>
        <v>Ring Biru Plastik Kecil1/1/10000</v>
      </c>
      <c r="B1415" t="s">
        <v>11234</v>
      </c>
      <c r="C1415" t="s">
        <v>15797</v>
      </c>
      <c r="D1415" t="s">
        <v>13318</v>
      </c>
      <c r="E1415" t="s">
        <v>1775</v>
      </c>
      <c r="F1415">
        <v>1</v>
      </c>
      <c r="G1415">
        <v>1</v>
      </c>
      <c r="H1415">
        <v>1</v>
      </c>
      <c r="I1415">
        <v>1</v>
      </c>
      <c r="J1415">
        <v>40</v>
      </c>
      <c r="K1415">
        <f t="shared" si="67"/>
        <v>40</v>
      </c>
      <c r="L1415">
        <f t="shared" si="68"/>
        <v>0</v>
      </c>
      <c r="M1415">
        <v>40</v>
      </c>
      <c r="N1415" s="3" t="s">
        <v>2222</v>
      </c>
      <c r="O1415" s="6">
        <v>0</v>
      </c>
    </row>
    <row r="1416" spans="1:15">
      <c r="A1416" t="str">
        <f t="shared" si="66"/>
        <v>Ring Karet Tg1/1/10000</v>
      </c>
      <c r="B1416" t="s">
        <v>11235</v>
      </c>
      <c r="C1416" t="s">
        <v>15798</v>
      </c>
      <c r="D1416" t="s">
        <v>13319</v>
      </c>
      <c r="E1416" t="s">
        <v>1776</v>
      </c>
      <c r="F1416">
        <v>1</v>
      </c>
      <c r="G1416">
        <v>1</v>
      </c>
      <c r="H1416">
        <v>1</v>
      </c>
      <c r="I1416">
        <v>1</v>
      </c>
      <c r="J1416">
        <v>6422</v>
      </c>
      <c r="K1416">
        <f t="shared" si="67"/>
        <v>6422</v>
      </c>
      <c r="L1416">
        <f t="shared" si="68"/>
        <v>0</v>
      </c>
      <c r="M1416">
        <v>6422</v>
      </c>
      <c r="N1416" s="3" t="s">
        <v>2222</v>
      </c>
      <c r="O1416" s="6">
        <v>0</v>
      </c>
    </row>
    <row r="1417" spans="1:15">
      <c r="A1417" t="str">
        <f t="shared" si="66"/>
        <v>Ring Penyokong 14 ltr Star Metal1/1/10000</v>
      </c>
      <c r="B1417" t="s">
        <v>11236</v>
      </c>
      <c r="C1417" t="s">
        <v>15799</v>
      </c>
      <c r="D1417" t="s">
        <v>13320</v>
      </c>
      <c r="E1417" t="s">
        <v>1777</v>
      </c>
      <c r="F1417">
        <v>1</v>
      </c>
      <c r="G1417">
        <v>1</v>
      </c>
      <c r="H1417">
        <v>1</v>
      </c>
      <c r="I1417">
        <v>1</v>
      </c>
      <c r="J1417">
        <v>90</v>
      </c>
      <c r="K1417">
        <f t="shared" si="67"/>
        <v>90</v>
      </c>
      <c r="L1417">
        <f t="shared" si="68"/>
        <v>0</v>
      </c>
      <c r="M1417">
        <v>90</v>
      </c>
      <c r="N1417" s="3" t="s">
        <v>2222</v>
      </c>
      <c r="O1417" s="6">
        <v>0</v>
      </c>
    </row>
    <row r="1418" spans="1:15">
      <c r="A1418" t="str">
        <f t="shared" si="66"/>
        <v>Ring Penyokong 17 ltr Star Metal1/1/10000</v>
      </c>
      <c r="B1418" t="s">
        <v>11237</v>
      </c>
      <c r="C1418" t="s">
        <v>15800</v>
      </c>
      <c r="D1418" t="s">
        <v>13321</v>
      </c>
      <c r="E1418" t="s">
        <v>1778</v>
      </c>
      <c r="F1418">
        <v>1</v>
      </c>
      <c r="G1418">
        <v>1</v>
      </c>
      <c r="H1418">
        <v>1</v>
      </c>
      <c r="I1418">
        <v>1</v>
      </c>
      <c r="J1418">
        <v>95</v>
      </c>
      <c r="K1418">
        <f t="shared" si="67"/>
        <v>95</v>
      </c>
      <c r="L1418">
        <f t="shared" si="68"/>
        <v>0</v>
      </c>
      <c r="M1418">
        <v>95</v>
      </c>
      <c r="N1418" s="3" t="s">
        <v>2222</v>
      </c>
      <c r="O1418" s="6">
        <v>0</v>
      </c>
    </row>
    <row r="1419" spans="1:15">
      <c r="A1419" t="str">
        <f t="shared" si="66"/>
        <v>Riomax 300 EC 100 X 100 ml469660</v>
      </c>
      <c r="B1419" t="s">
        <v>11238</v>
      </c>
      <c r="C1419" t="s">
        <v>15801</v>
      </c>
      <c r="D1419" t="s">
        <v>13322</v>
      </c>
      <c r="E1419" t="s">
        <v>1779</v>
      </c>
      <c r="F1419">
        <v>100</v>
      </c>
      <c r="G1419">
        <v>1</v>
      </c>
      <c r="H1419">
        <v>1</v>
      </c>
      <c r="I1419">
        <v>100</v>
      </c>
      <c r="J1419">
        <v>480</v>
      </c>
      <c r="K1419">
        <f t="shared" si="67"/>
        <v>4</v>
      </c>
      <c r="L1419">
        <f t="shared" si="68"/>
        <v>80</v>
      </c>
      <c r="M1419">
        <v>480</v>
      </c>
      <c r="N1419" s="3">
        <v>46966</v>
      </c>
      <c r="O1419" s="6">
        <v>0</v>
      </c>
    </row>
    <row r="1420" spans="1:15">
      <c r="A1420" t="str">
        <f t="shared" si="66"/>
        <v>Riomax 300 EC 100 X 100 ml471500</v>
      </c>
      <c r="B1420" t="s">
        <v>11239</v>
      </c>
      <c r="C1420" t="s">
        <v>15802</v>
      </c>
      <c r="D1420" t="s">
        <v>13323</v>
      </c>
      <c r="E1420" t="s">
        <v>1779</v>
      </c>
      <c r="F1420">
        <v>100</v>
      </c>
      <c r="G1420">
        <v>1</v>
      </c>
      <c r="H1420">
        <v>1</v>
      </c>
      <c r="I1420">
        <v>100</v>
      </c>
      <c r="J1420">
        <v>1000</v>
      </c>
      <c r="K1420">
        <f t="shared" si="67"/>
        <v>10</v>
      </c>
      <c r="L1420">
        <f t="shared" si="68"/>
        <v>0</v>
      </c>
      <c r="M1420">
        <v>1000</v>
      </c>
      <c r="N1420" s="3">
        <v>47150</v>
      </c>
      <c r="O1420" s="6">
        <v>0</v>
      </c>
    </row>
    <row r="1421" spans="1:15">
      <c r="A1421" t="str">
        <f t="shared" si="66"/>
        <v>Riomax 300 EC 40 X 250 ml469660</v>
      </c>
      <c r="B1421" t="s">
        <v>11240</v>
      </c>
      <c r="C1421" t="s">
        <v>15803</v>
      </c>
      <c r="D1421" t="s">
        <v>13324</v>
      </c>
      <c r="E1421" t="s">
        <v>1782</v>
      </c>
      <c r="F1421">
        <v>40</v>
      </c>
      <c r="G1421">
        <v>1</v>
      </c>
      <c r="H1421">
        <v>1</v>
      </c>
      <c r="I1421">
        <v>40</v>
      </c>
      <c r="J1421">
        <v>415</v>
      </c>
      <c r="K1421">
        <f t="shared" si="67"/>
        <v>10</v>
      </c>
      <c r="L1421">
        <f t="shared" si="68"/>
        <v>15</v>
      </c>
      <c r="M1421">
        <v>415</v>
      </c>
      <c r="N1421" s="3">
        <v>46966</v>
      </c>
      <c r="O1421" s="6">
        <v>0</v>
      </c>
    </row>
    <row r="1422" spans="1:15">
      <c r="A1422" t="str">
        <f t="shared" si="66"/>
        <v>Robust 40 X 200 ml470270</v>
      </c>
      <c r="B1422" t="s">
        <v>11241</v>
      </c>
      <c r="C1422" t="s">
        <v>15804</v>
      </c>
      <c r="D1422" t="s">
        <v>13325</v>
      </c>
      <c r="E1422" t="s">
        <v>1783</v>
      </c>
      <c r="F1422">
        <v>40</v>
      </c>
      <c r="G1422">
        <v>1</v>
      </c>
      <c r="H1422">
        <v>1</v>
      </c>
      <c r="I1422">
        <v>40</v>
      </c>
      <c r="J1422">
        <v>2</v>
      </c>
      <c r="K1422">
        <f t="shared" si="67"/>
        <v>0</v>
      </c>
      <c r="L1422">
        <f t="shared" si="68"/>
        <v>2</v>
      </c>
      <c r="M1422">
        <v>2</v>
      </c>
      <c r="N1422" s="3">
        <v>47027</v>
      </c>
      <c r="O1422" s="6">
        <v>0</v>
      </c>
    </row>
    <row r="1423" spans="1:15">
      <c r="A1423" t="str">
        <f t="shared" si="66"/>
        <v>Robust 40 X 200 ml470580</v>
      </c>
      <c r="B1423" t="s">
        <v>11242</v>
      </c>
      <c r="C1423" t="s">
        <v>15805</v>
      </c>
      <c r="D1423" t="s">
        <v>13326</v>
      </c>
      <c r="E1423" t="s">
        <v>1783</v>
      </c>
      <c r="F1423">
        <v>40</v>
      </c>
      <c r="G1423">
        <v>1</v>
      </c>
      <c r="H1423">
        <v>1</v>
      </c>
      <c r="I1423">
        <v>40</v>
      </c>
      <c r="J1423">
        <v>440</v>
      </c>
      <c r="K1423">
        <f t="shared" si="67"/>
        <v>11</v>
      </c>
      <c r="L1423">
        <f t="shared" si="68"/>
        <v>0</v>
      </c>
      <c r="M1423">
        <v>440</v>
      </c>
      <c r="N1423" s="3">
        <v>47058</v>
      </c>
      <c r="O1423" s="6">
        <v>0</v>
      </c>
    </row>
    <row r="1424" spans="1:15">
      <c r="A1424" t="str">
        <f t="shared" si="66"/>
        <v>Robust 40 X 200 ml472390</v>
      </c>
      <c r="B1424" t="s">
        <v>11243</v>
      </c>
      <c r="C1424" t="s">
        <v>15806</v>
      </c>
      <c r="D1424" t="s">
        <v>13327</v>
      </c>
      <c r="E1424" t="s">
        <v>1783</v>
      </c>
      <c r="F1424">
        <v>40</v>
      </c>
      <c r="G1424">
        <v>1</v>
      </c>
      <c r="H1424">
        <v>1</v>
      </c>
      <c r="I1424">
        <v>40</v>
      </c>
      <c r="J1424">
        <v>1400</v>
      </c>
      <c r="K1424">
        <f t="shared" si="67"/>
        <v>35</v>
      </c>
      <c r="L1424">
        <f t="shared" si="68"/>
        <v>0</v>
      </c>
      <c r="M1424">
        <v>1400</v>
      </c>
      <c r="N1424" s="3">
        <v>47239</v>
      </c>
      <c r="O1424" s="6">
        <v>0</v>
      </c>
    </row>
    <row r="1425" spans="1:15">
      <c r="A1425" t="str">
        <f t="shared" si="66"/>
        <v>Robust 50 X 100 ml469970</v>
      </c>
      <c r="B1425" t="s">
        <v>11244</v>
      </c>
      <c r="C1425" t="s">
        <v>15807</v>
      </c>
      <c r="D1425" t="s">
        <v>13328</v>
      </c>
      <c r="E1425" t="s">
        <v>1784</v>
      </c>
      <c r="F1425">
        <v>50</v>
      </c>
      <c r="G1425">
        <v>1</v>
      </c>
      <c r="H1425">
        <v>1</v>
      </c>
      <c r="I1425">
        <v>50</v>
      </c>
      <c r="J1425">
        <v>348</v>
      </c>
      <c r="K1425">
        <f t="shared" si="67"/>
        <v>6</v>
      </c>
      <c r="L1425">
        <f t="shared" si="68"/>
        <v>48</v>
      </c>
      <c r="M1425">
        <v>348</v>
      </c>
      <c r="N1425" s="3">
        <v>46997</v>
      </c>
      <c r="O1425" s="6">
        <v>0</v>
      </c>
    </row>
    <row r="1426" spans="1:15">
      <c r="A1426" t="str">
        <f t="shared" si="66"/>
        <v>Robust 50 X 100 ml470580</v>
      </c>
      <c r="B1426" t="s">
        <v>11245</v>
      </c>
      <c r="C1426" t="s">
        <v>15808</v>
      </c>
      <c r="D1426" t="s">
        <v>13329</v>
      </c>
      <c r="E1426" t="s">
        <v>1784</v>
      </c>
      <c r="F1426">
        <v>50</v>
      </c>
      <c r="G1426">
        <v>1</v>
      </c>
      <c r="H1426">
        <v>1</v>
      </c>
      <c r="I1426">
        <v>50</v>
      </c>
      <c r="J1426">
        <v>850</v>
      </c>
      <c r="K1426">
        <f t="shared" si="67"/>
        <v>17</v>
      </c>
      <c r="L1426">
        <f t="shared" si="68"/>
        <v>0</v>
      </c>
      <c r="M1426">
        <v>850</v>
      </c>
      <c r="N1426" s="3">
        <v>47058</v>
      </c>
      <c r="O1426" s="6">
        <v>0</v>
      </c>
    </row>
    <row r="1427" spans="1:15">
      <c r="A1427" t="str">
        <f t="shared" si="66"/>
        <v>Roger 480 SL 20 X 1 ltr469350</v>
      </c>
      <c r="B1427" t="s">
        <v>11246</v>
      </c>
      <c r="C1427" t="s">
        <v>15809</v>
      </c>
      <c r="D1427" t="s">
        <v>13330</v>
      </c>
      <c r="E1427" t="s">
        <v>1785</v>
      </c>
      <c r="F1427">
        <v>20</v>
      </c>
      <c r="G1427">
        <v>1</v>
      </c>
      <c r="H1427">
        <v>1</v>
      </c>
      <c r="I1427">
        <v>20</v>
      </c>
      <c r="J1427">
        <v>8</v>
      </c>
      <c r="K1427">
        <f t="shared" si="67"/>
        <v>0</v>
      </c>
      <c r="L1427">
        <f t="shared" si="68"/>
        <v>8</v>
      </c>
      <c r="M1427">
        <v>8</v>
      </c>
      <c r="N1427" s="3">
        <v>46935</v>
      </c>
      <c r="O1427" s="6">
        <v>0</v>
      </c>
    </row>
    <row r="1428" spans="1:15">
      <c r="A1428" t="str">
        <f t="shared" si="66"/>
        <v>Roger 480 SL 20 X 1 ltr470880</v>
      </c>
      <c r="B1428" t="s">
        <v>11247</v>
      </c>
      <c r="C1428" t="s">
        <v>15810</v>
      </c>
      <c r="D1428" t="s">
        <v>13331</v>
      </c>
      <c r="E1428" t="s">
        <v>1785</v>
      </c>
      <c r="F1428">
        <v>20</v>
      </c>
      <c r="G1428">
        <v>1</v>
      </c>
      <c r="H1428">
        <v>1</v>
      </c>
      <c r="I1428">
        <v>20</v>
      </c>
      <c r="J1428">
        <v>2420</v>
      </c>
      <c r="K1428">
        <f t="shared" si="67"/>
        <v>121</v>
      </c>
      <c r="L1428">
        <f t="shared" si="68"/>
        <v>0</v>
      </c>
      <c r="M1428">
        <v>2420</v>
      </c>
      <c r="N1428" s="3">
        <v>47088</v>
      </c>
      <c r="O1428" s="6">
        <v>0</v>
      </c>
    </row>
    <row r="1429" spans="1:15">
      <c r="A1429" t="str">
        <f t="shared" si="66"/>
        <v>Roger 480 SL 4 X 5 ltr467530</v>
      </c>
      <c r="B1429" t="s">
        <v>11248</v>
      </c>
      <c r="C1429" t="s">
        <v>15811</v>
      </c>
      <c r="D1429" t="s">
        <v>13332</v>
      </c>
      <c r="E1429" t="s">
        <v>1788</v>
      </c>
      <c r="F1429">
        <v>4</v>
      </c>
      <c r="G1429">
        <v>1</v>
      </c>
      <c r="H1429">
        <v>1</v>
      </c>
      <c r="I1429">
        <v>4</v>
      </c>
      <c r="J1429">
        <v>160</v>
      </c>
      <c r="K1429">
        <f t="shared" si="67"/>
        <v>40</v>
      </c>
      <c r="L1429">
        <f t="shared" si="68"/>
        <v>0</v>
      </c>
      <c r="M1429">
        <v>160</v>
      </c>
      <c r="N1429" s="3">
        <v>46753</v>
      </c>
      <c r="O1429" s="6">
        <v>0</v>
      </c>
    </row>
    <row r="1430" spans="1:15">
      <c r="A1430" t="str">
        <f t="shared" si="66"/>
        <v>Rotraz 200 EC 20 X 500 ml461430</v>
      </c>
      <c r="B1430" t="s">
        <v>11249</v>
      </c>
      <c r="C1430" t="s">
        <v>15812</v>
      </c>
      <c r="D1430" t="s">
        <v>13333</v>
      </c>
      <c r="E1430" t="s">
        <v>1790</v>
      </c>
      <c r="F1430">
        <v>20</v>
      </c>
      <c r="G1430">
        <v>1</v>
      </c>
      <c r="H1430">
        <v>1</v>
      </c>
      <c r="I1430">
        <v>20</v>
      </c>
      <c r="J1430">
        <v>2199</v>
      </c>
      <c r="K1430">
        <f t="shared" si="67"/>
        <v>109</v>
      </c>
      <c r="L1430">
        <f t="shared" si="68"/>
        <v>19</v>
      </c>
      <c r="M1430">
        <v>2199</v>
      </c>
      <c r="N1430" s="3">
        <v>46143</v>
      </c>
      <c r="O1430" s="6">
        <v>0</v>
      </c>
    </row>
    <row r="1431" spans="1:15">
      <c r="A1431" t="str">
        <f t="shared" si="66"/>
        <v>Rotraz 200 EC 50 X 100 ml459920</v>
      </c>
      <c r="B1431" t="s">
        <v>11250</v>
      </c>
      <c r="C1431" t="s">
        <v>15813</v>
      </c>
      <c r="D1431" t="s">
        <v>13334</v>
      </c>
      <c r="E1431" t="s">
        <v>1791</v>
      </c>
      <c r="F1431">
        <v>50</v>
      </c>
      <c r="G1431">
        <v>1</v>
      </c>
      <c r="H1431">
        <v>1</v>
      </c>
      <c r="I1431">
        <v>50</v>
      </c>
      <c r="J1431">
        <v>1912</v>
      </c>
      <c r="K1431">
        <f t="shared" si="67"/>
        <v>38</v>
      </c>
      <c r="L1431">
        <f t="shared" si="68"/>
        <v>12</v>
      </c>
      <c r="M1431">
        <v>1912</v>
      </c>
      <c r="N1431" s="3">
        <v>45992</v>
      </c>
      <c r="O1431" s="6">
        <v>0</v>
      </c>
    </row>
    <row r="1432" spans="1:15">
      <c r="A1432" t="str">
        <f t="shared" si="66"/>
        <v>Rotraz 200 EC 50 X 100 ml460540</v>
      </c>
      <c r="B1432" t="s">
        <v>11251</v>
      </c>
      <c r="C1432" t="s">
        <v>15814</v>
      </c>
      <c r="D1432" t="s">
        <v>13335</v>
      </c>
      <c r="E1432" t="s">
        <v>1791</v>
      </c>
      <c r="F1432">
        <v>50</v>
      </c>
      <c r="G1432">
        <v>1</v>
      </c>
      <c r="H1432">
        <v>1</v>
      </c>
      <c r="I1432">
        <v>50</v>
      </c>
      <c r="J1432">
        <v>2500</v>
      </c>
      <c r="K1432">
        <f t="shared" si="67"/>
        <v>50</v>
      </c>
      <c r="L1432">
        <f t="shared" si="68"/>
        <v>0</v>
      </c>
      <c r="M1432">
        <v>2500</v>
      </c>
      <c r="N1432" s="3">
        <v>46054</v>
      </c>
      <c r="O1432" s="6">
        <v>0</v>
      </c>
    </row>
    <row r="1433" spans="1:15">
      <c r="A1433" t="str">
        <f t="shared" si="66"/>
        <v>Round Up 486 SL 12 X 1 ltr472390</v>
      </c>
      <c r="B1433" t="s">
        <v>11252</v>
      </c>
      <c r="C1433" t="s">
        <v>15815</v>
      </c>
      <c r="D1433" t="s">
        <v>13336</v>
      </c>
      <c r="E1433" t="s">
        <v>1792</v>
      </c>
      <c r="F1433">
        <v>12</v>
      </c>
      <c r="G1433">
        <v>1</v>
      </c>
      <c r="H1433">
        <v>1</v>
      </c>
      <c r="I1433">
        <v>12</v>
      </c>
      <c r="J1433">
        <v>9624</v>
      </c>
      <c r="K1433">
        <f t="shared" si="67"/>
        <v>802</v>
      </c>
      <c r="L1433">
        <f t="shared" si="68"/>
        <v>0</v>
      </c>
      <c r="M1433">
        <v>9624</v>
      </c>
      <c r="N1433" s="3">
        <v>47239</v>
      </c>
      <c r="O1433" s="6">
        <v>0</v>
      </c>
    </row>
    <row r="1434" spans="1:15">
      <c r="A1434" t="str">
        <f t="shared" si="66"/>
        <v>Round Up 486 SL 20 ltr470580</v>
      </c>
      <c r="B1434" t="s">
        <v>11253</v>
      </c>
      <c r="C1434" t="s">
        <v>15816</v>
      </c>
      <c r="D1434" t="s">
        <v>13337</v>
      </c>
      <c r="E1434" t="s">
        <v>1793</v>
      </c>
      <c r="F1434">
        <v>1</v>
      </c>
      <c r="G1434">
        <v>1</v>
      </c>
      <c r="H1434">
        <v>1</v>
      </c>
      <c r="I1434">
        <v>1</v>
      </c>
      <c r="J1434">
        <v>213</v>
      </c>
      <c r="K1434">
        <f t="shared" si="67"/>
        <v>213</v>
      </c>
      <c r="L1434">
        <f t="shared" si="68"/>
        <v>0</v>
      </c>
      <c r="M1434">
        <v>213</v>
      </c>
      <c r="N1434" s="3">
        <v>47058</v>
      </c>
      <c r="O1434" s="6">
        <v>0</v>
      </c>
    </row>
    <row r="1435" spans="1:15">
      <c r="A1435" t="str">
        <f t="shared" si="66"/>
        <v>Round Up 486 SL 4 X 4 ltr472390</v>
      </c>
      <c r="B1435" t="s">
        <v>11254</v>
      </c>
      <c r="C1435" t="s">
        <v>15817</v>
      </c>
      <c r="D1435" t="s">
        <v>13338</v>
      </c>
      <c r="E1435" t="s">
        <v>1794</v>
      </c>
      <c r="F1435">
        <v>4</v>
      </c>
      <c r="G1435">
        <v>1</v>
      </c>
      <c r="H1435">
        <v>1</v>
      </c>
      <c r="I1435">
        <v>4</v>
      </c>
      <c r="J1435">
        <v>380</v>
      </c>
      <c r="K1435">
        <f t="shared" si="67"/>
        <v>95</v>
      </c>
      <c r="L1435">
        <f t="shared" si="68"/>
        <v>0</v>
      </c>
      <c r="M1435">
        <v>380</v>
      </c>
      <c r="N1435" s="3">
        <v>47239</v>
      </c>
      <c r="O1435" s="6">
        <v>0</v>
      </c>
    </row>
    <row r="1436" spans="1:15">
      <c r="A1436" t="str">
        <f t="shared" si="66"/>
        <v>Round Up 486 SL 50 X 200 ml471780</v>
      </c>
      <c r="B1436" t="s">
        <v>11255</v>
      </c>
      <c r="C1436" t="s">
        <v>15818</v>
      </c>
      <c r="D1436" t="s">
        <v>13339</v>
      </c>
      <c r="E1436" t="s">
        <v>1795</v>
      </c>
      <c r="F1436">
        <v>50</v>
      </c>
      <c r="G1436">
        <v>1</v>
      </c>
      <c r="H1436">
        <v>1</v>
      </c>
      <c r="I1436">
        <v>50</v>
      </c>
      <c r="J1436">
        <v>13110</v>
      </c>
      <c r="K1436">
        <f t="shared" si="67"/>
        <v>262</v>
      </c>
      <c r="L1436">
        <f t="shared" si="68"/>
        <v>10</v>
      </c>
      <c r="M1436">
        <v>13110</v>
      </c>
      <c r="N1436" s="3">
        <v>47178</v>
      </c>
      <c r="O1436" s="6">
        <v>0</v>
      </c>
    </row>
    <row r="1437" spans="1:15">
      <c r="A1437" t="str">
        <f t="shared" si="66"/>
        <v>Round Up 486 SL 50 X 200 ml472390</v>
      </c>
      <c r="B1437" t="s">
        <v>11256</v>
      </c>
      <c r="C1437" t="s">
        <v>15819</v>
      </c>
      <c r="D1437" t="s">
        <v>13340</v>
      </c>
      <c r="E1437" t="s">
        <v>1795</v>
      </c>
      <c r="F1437">
        <v>50</v>
      </c>
      <c r="G1437">
        <v>1</v>
      </c>
      <c r="H1437">
        <v>1</v>
      </c>
      <c r="I1437">
        <v>50</v>
      </c>
      <c r="J1437">
        <v>25000</v>
      </c>
      <c r="K1437">
        <f t="shared" si="67"/>
        <v>500</v>
      </c>
      <c r="L1437">
        <f t="shared" si="68"/>
        <v>0</v>
      </c>
      <c r="M1437">
        <v>25000</v>
      </c>
      <c r="N1437" s="3">
        <v>47239</v>
      </c>
      <c r="O1437" s="6">
        <v>0</v>
      </c>
    </row>
    <row r="1438" spans="1:15">
      <c r="A1438" t="str">
        <f t="shared" si="66"/>
        <v>Roupix 455/100 SL 20 X 1 ltr472700</v>
      </c>
      <c r="B1438" t="s">
        <v>11257</v>
      </c>
      <c r="C1438" t="s">
        <v>15820</v>
      </c>
      <c r="D1438" t="s">
        <v>13341</v>
      </c>
      <c r="E1438" t="s">
        <v>1796</v>
      </c>
      <c r="F1438">
        <v>20</v>
      </c>
      <c r="G1438">
        <v>1</v>
      </c>
      <c r="H1438">
        <v>1</v>
      </c>
      <c r="I1438">
        <v>20</v>
      </c>
      <c r="J1438">
        <v>2000</v>
      </c>
      <c r="K1438">
        <f t="shared" si="67"/>
        <v>100</v>
      </c>
      <c r="L1438">
        <f t="shared" si="68"/>
        <v>0</v>
      </c>
      <c r="M1438">
        <v>2000</v>
      </c>
      <c r="N1438" s="3">
        <v>47270</v>
      </c>
      <c r="O1438" s="6">
        <v>0</v>
      </c>
    </row>
    <row r="1439" spans="1:15">
      <c r="A1439" t="str">
        <f t="shared" si="66"/>
        <v>Roza Xtra 610 EC 100 X 100 ml463880</v>
      </c>
      <c r="B1439" t="s">
        <v>11258</v>
      </c>
      <c r="C1439" t="s">
        <v>15821</v>
      </c>
      <c r="D1439" t="s">
        <v>13342</v>
      </c>
      <c r="E1439" t="s">
        <v>1797</v>
      </c>
      <c r="F1439">
        <v>100</v>
      </c>
      <c r="G1439">
        <v>1</v>
      </c>
      <c r="H1439">
        <v>1</v>
      </c>
      <c r="I1439">
        <v>100</v>
      </c>
      <c r="J1439">
        <v>2</v>
      </c>
      <c r="K1439">
        <f t="shared" si="67"/>
        <v>0</v>
      </c>
      <c r="L1439">
        <f t="shared" si="68"/>
        <v>2</v>
      </c>
      <c r="M1439">
        <v>2</v>
      </c>
      <c r="N1439" s="3">
        <v>46388</v>
      </c>
      <c r="O1439" s="6">
        <v>0</v>
      </c>
    </row>
    <row r="1440" spans="1:15">
      <c r="A1440" t="str">
        <f t="shared" si="66"/>
        <v>Roza Xtra 610 EC 100 X 100 ml471500</v>
      </c>
      <c r="B1440" t="s">
        <v>11259</v>
      </c>
      <c r="C1440" t="s">
        <v>15822</v>
      </c>
      <c r="D1440" t="s">
        <v>13343</v>
      </c>
      <c r="E1440" t="s">
        <v>1797</v>
      </c>
      <c r="F1440">
        <v>100</v>
      </c>
      <c r="G1440">
        <v>1</v>
      </c>
      <c r="H1440">
        <v>1</v>
      </c>
      <c r="I1440">
        <v>100</v>
      </c>
      <c r="J1440">
        <v>2700</v>
      </c>
      <c r="K1440">
        <f t="shared" si="67"/>
        <v>27</v>
      </c>
      <c r="L1440">
        <f t="shared" si="68"/>
        <v>0</v>
      </c>
      <c r="M1440">
        <v>2700</v>
      </c>
      <c r="N1440" s="3">
        <v>47150</v>
      </c>
      <c r="O1440" s="6">
        <v>0</v>
      </c>
    </row>
    <row r="1441" spans="1:15">
      <c r="A1441" t="str">
        <f t="shared" si="66"/>
        <v>Roza Xtra 610 EC 12 X 900 ml467220</v>
      </c>
      <c r="B1441" t="s">
        <v>11260</v>
      </c>
      <c r="C1441" t="s">
        <v>15823</v>
      </c>
      <c r="D1441" t="s">
        <v>13344</v>
      </c>
      <c r="E1441" t="s">
        <v>1799</v>
      </c>
      <c r="F1441">
        <v>12</v>
      </c>
      <c r="G1441">
        <v>1</v>
      </c>
      <c r="H1441">
        <v>1</v>
      </c>
      <c r="I1441">
        <v>12</v>
      </c>
      <c r="J1441">
        <v>84</v>
      </c>
      <c r="K1441">
        <f t="shared" si="67"/>
        <v>7</v>
      </c>
      <c r="L1441">
        <f t="shared" si="68"/>
        <v>0</v>
      </c>
      <c r="M1441">
        <v>84</v>
      </c>
      <c r="N1441" s="3">
        <v>46722</v>
      </c>
      <c r="O1441" s="6">
        <v>0</v>
      </c>
    </row>
    <row r="1442" spans="1:15">
      <c r="A1442" t="str">
        <f t="shared" si="66"/>
        <v>Roza Xtra 610 EC 12 X 900 ml468130</v>
      </c>
      <c r="B1442" t="s">
        <v>11261</v>
      </c>
      <c r="C1442" t="s">
        <v>15824</v>
      </c>
      <c r="D1442" t="s">
        <v>13345</v>
      </c>
      <c r="E1442" t="s">
        <v>1799</v>
      </c>
      <c r="F1442">
        <v>12</v>
      </c>
      <c r="G1442">
        <v>1</v>
      </c>
      <c r="H1442">
        <v>1</v>
      </c>
      <c r="I1442">
        <v>12</v>
      </c>
      <c r="J1442">
        <v>360</v>
      </c>
      <c r="K1442">
        <f t="shared" si="67"/>
        <v>30</v>
      </c>
      <c r="L1442">
        <f t="shared" si="68"/>
        <v>0</v>
      </c>
      <c r="M1442">
        <v>360</v>
      </c>
      <c r="N1442" s="3">
        <v>46813</v>
      </c>
      <c r="O1442" s="6">
        <v>0</v>
      </c>
    </row>
    <row r="1443" spans="1:15">
      <c r="A1443" t="str">
        <f t="shared" si="66"/>
        <v>Roza Xtra 610 EC 20 X 400 ml466000</v>
      </c>
      <c r="B1443" t="s">
        <v>11262</v>
      </c>
      <c r="C1443" t="s">
        <v>15825</v>
      </c>
      <c r="D1443" t="s">
        <v>13346</v>
      </c>
      <c r="E1443" t="s">
        <v>1801</v>
      </c>
      <c r="F1443">
        <v>20</v>
      </c>
      <c r="G1443">
        <v>1</v>
      </c>
      <c r="H1443">
        <v>1</v>
      </c>
      <c r="I1443">
        <v>20</v>
      </c>
      <c r="J1443">
        <v>461</v>
      </c>
      <c r="K1443">
        <f t="shared" si="67"/>
        <v>23</v>
      </c>
      <c r="L1443">
        <f t="shared" si="68"/>
        <v>1</v>
      </c>
      <c r="M1443">
        <v>461</v>
      </c>
      <c r="N1443" s="3">
        <v>46600</v>
      </c>
      <c r="O1443" s="6">
        <v>0</v>
      </c>
    </row>
    <row r="1444" spans="1:15">
      <c r="A1444" t="str">
        <f t="shared" si="66"/>
        <v>Roza Xtra 610 EC 20 X 400 ml469050</v>
      </c>
      <c r="B1444" t="s">
        <v>11263</v>
      </c>
      <c r="C1444" t="s">
        <v>15826</v>
      </c>
      <c r="D1444" t="s">
        <v>13347</v>
      </c>
      <c r="E1444" t="s">
        <v>1801</v>
      </c>
      <c r="F1444">
        <v>20</v>
      </c>
      <c r="G1444">
        <v>1</v>
      </c>
      <c r="H1444">
        <v>1</v>
      </c>
      <c r="I1444">
        <v>20</v>
      </c>
      <c r="J1444">
        <v>580</v>
      </c>
      <c r="K1444">
        <f t="shared" si="67"/>
        <v>29</v>
      </c>
      <c r="L1444">
        <f t="shared" si="68"/>
        <v>0</v>
      </c>
      <c r="M1444">
        <v>580</v>
      </c>
      <c r="N1444" s="3">
        <v>46905</v>
      </c>
      <c r="O1444" s="6">
        <v>0</v>
      </c>
    </row>
    <row r="1445" spans="1:15">
      <c r="A1445" t="str">
        <f t="shared" si="66"/>
        <v>Rumpas 120 EW 100 X 100 ml460230</v>
      </c>
      <c r="B1445" t="s">
        <v>11264</v>
      </c>
      <c r="C1445" t="s">
        <v>15827</v>
      </c>
      <c r="D1445" t="s">
        <v>13348</v>
      </c>
      <c r="E1445" t="s">
        <v>1803</v>
      </c>
      <c r="F1445">
        <v>100</v>
      </c>
      <c r="G1445">
        <v>1</v>
      </c>
      <c r="H1445">
        <v>1</v>
      </c>
      <c r="I1445">
        <v>100</v>
      </c>
      <c r="J1445">
        <v>1</v>
      </c>
      <c r="K1445">
        <f t="shared" si="67"/>
        <v>0</v>
      </c>
      <c r="L1445">
        <f t="shared" si="68"/>
        <v>1</v>
      </c>
      <c r="M1445">
        <v>1</v>
      </c>
      <c r="N1445" s="3">
        <v>46023</v>
      </c>
      <c r="O1445" s="6">
        <v>0</v>
      </c>
    </row>
    <row r="1446" spans="1:15">
      <c r="A1446" t="str">
        <f t="shared" si="66"/>
        <v>Rumpas 120 EW 100 X 100 ml461130</v>
      </c>
      <c r="B1446" t="s">
        <v>11265</v>
      </c>
      <c r="C1446" t="s">
        <v>15828</v>
      </c>
      <c r="D1446" t="s">
        <v>13349</v>
      </c>
      <c r="E1446" t="s">
        <v>1803</v>
      </c>
      <c r="F1446">
        <v>100</v>
      </c>
      <c r="G1446">
        <v>1</v>
      </c>
      <c r="H1446">
        <v>1</v>
      </c>
      <c r="I1446">
        <v>100</v>
      </c>
      <c r="J1446">
        <v>23270</v>
      </c>
      <c r="K1446">
        <f t="shared" si="67"/>
        <v>232</v>
      </c>
      <c r="L1446">
        <f t="shared" si="68"/>
        <v>70</v>
      </c>
      <c r="M1446">
        <v>23270</v>
      </c>
      <c r="N1446" s="3">
        <v>46113</v>
      </c>
      <c r="O1446" s="6">
        <v>0</v>
      </c>
    </row>
    <row r="1447" spans="1:15">
      <c r="A1447" t="str">
        <f t="shared" si="66"/>
        <v>Rumpas 120 EW 40 X 250 ml461130</v>
      </c>
      <c r="B1447" t="s">
        <v>11266</v>
      </c>
      <c r="C1447" t="s">
        <v>15829</v>
      </c>
      <c r="D1447" t="s">
        <v>13350</v>
      </c>
      <c r="E1447" t="s">
        <v>1806</v>
      </c>
      <c r="F1447">
        <v>40</v>
      </c>
      <c r="G1447">
        <v>1</v>
      </c>
      <c r="H1447">
        <v>1</v>
      </c>
      <c r="I1447">
        <v>40</v>
      </c>
      <c r="J1447">
        <v>7380</v>
      </c>
      <c r="K1447">
        <f t="shared" si="67"/>
        <v>184</v>
      </c>
      <c r="L1447">
        <f t="shared" si="68"/>
        <v>20</v>
      </c>
      <c r="M1447">
        <v>7380</v>
      </c>
      <c r="N1447" s="3">
        <v>46113</v>
      </c>
      <c r="O1447" s="6">
        <v>0</v>
      </c>
    </row>
    <row r="1448" spans="1:15">
      <c r="A1448" t="str">
        <f t="shared" si="66"/>
        <v>Saaf 75 WP 20 X 400 gr462350</v>
      </c>
      <c r="B1448" t="s">
        <v>11267</v>
      </c>
      <c r="C1448" t="s">
        <v>15830</v>
      </c>
      <c r="D1448" t="s">
        <v>13351</v>
      </c>
      <c r="E1448" t="s">
        <v>1808</v>
      </c>
      <c r="F1448">
        <v>20</v>
      </c>
      <c r="G1448">
        <v>1</v>
      </c>
      <c r="H1448">
        <v>1</v>
      </c>
      <c r="I1448">
        <v>20</v>
      </c>
      <c r="J1448">
        <v>500</v>
      </c>
      <c r="K1448">
        <f t="shared" si="67"/>
        <v>25</v>
      </c>
      <c r="L1448">
        <f t="shared" si="68"/>
        <v>0</v>
      </c>
      <c r="M1448">
        <v>500</v>
      </c>
      <c r="N1448" s="3">
        <v>46235</v>
      </c>
      <c r="O1448" s="6">
        <v>0</v>
      </c>
    </row>
    <row r="1449" spans="1:15">
      <c r="A1449" t="str">
        <f t="shared" si="66"/>
        <v>Sabun Harimau Kuat 24 X 300 gr1/1/10000</v>
      </c>
      <c r="B1449" t="s">
        <v>11268</v>
      </c>
      <c r="C1449" t="s">
        <v>15831</v>
      </c>
      <c r="D1449" t="s">
        <v>13352</v>
      </c>
      <c r="E1449" t="s">
        <v>1810</v>
      </c>
      <c r="F1449">
        <v>24</v>
      </c>
      <c r="G1449">
        <v>1</v>
      </c>
      <c r="H1449">
        <v>1</v>
      </c>
      <c r="I1449">
        <v>24</v>
      </c>
      <c r="J1449">
        <v>714</v>
      </c>
      <c r="K1449">
        <f t="shared" si="67"/>
        <v>29</v>
      </c>
      <c r="L1449">
        <f t="shared" si="68"/>
        <v>18</v>
      </c>
      <c r="M1449">
        <v>714</v>
      </c>
      <c r="N1449" s="3" t="s">
        <v>2222</v>
      </c>
      <c r="O1449" s="6">
        <v>0</v>
      </c>
    </row>
    <row r="1450" spans="1:15">
      <c r="A1450" t="str">
        <f t="shared" si="66"/>
        <v>Sagri-Meth 77 SP 100 X 100 gr466000</v>
      </c>
      <c r="B1450" t="s">
        <v>11269</v>
      </c>
      <c r="C1450" t="s">
        <v>15832</v>
      </c>
      <c r="D1450" t="s">
        <v>13353</v>
      </c>
      <c r="E1450" t="s">
        <v>1811</v>
      </c>
      <c r="F1450">
        <v>100</v>
      </c>
      <c r="G1450">
        <v>1</v>
      </c>
      <c r="H1450">
        <v>1</v>
      </c>
      <c r="I1450">
        <v>100</v>
      </c>
      <c r="J1450">
        <v>700</v>
      </c>
      <c r="K1450">
        <f t="shared" si="67"/>
        <v>7</v>
      </c>
      <c r="L1450">
        <f t="shared" si="68"/>
        <v>0</v>
      </c>
      <c r="M1450">
        <v>700</v>
      </c>
      <c r="N1450" s="3">
        <v>46600</v>
      </c>
      <c r="O1450" s="6">
        <v>0</v>
      </c>
    </row>
    <row r="1451" spans="1:15">
      <c r="A1451" t="str">
        <f t="shared" si="66"/>
        <v>Sagri-Meth 77 SP 100 X 100 gr460820</v>
      </c>
      <c r="B1451" t="s">
        <v>11270</v>
      </c>
      <c r="C1451" t="s">
        <v>15833</v>
      </c>
      <c r="D1451" t="s">
        <v>13354</v>
      </c>
      <c r="E1451" t="s">
        <v>1811</v>
      </c>
      <c r="F1451">
        <v>100</v>
      </c>
      <c r="G1451">
        <v>1</v>
      </c>
      <c r="H1451">
        <v>1</v>
      </c>
      <c r="I1451">
        <v>100</v>
      </c>
      <c r="J1451">
        <v>3558</v>
      </c>
      <c r="K1451">
        <f t="shared" si="67"/>
        <v>35</v>
      </c>
      <c r="L1451">
        <f t="shared" si="68"/>
        <v>58</v>
      </c>
      <c r="M1451">
        <v>3558</v>
      </c>
      <c r="N1451" s="3">
        <v>46082</v>
      </c>
      <c r="O1451" s="6">
        <v>0</v>
      </c>
    </row>
    <row r="1452" spans="1:15">
      <c r="A1452" t="str">
        <f t="shared" si="66"/>
        <v>Sagri-Meth 77 SP 25 X 400 gr460540</v>
      </c>
      <c r="B1452" t="s">
        <v>11271</v>
      </c>
      <c r="C1452" t="s">
        <v>15834</v>
      </c>
      <c r="D1452" t="s">
        <v>13355</v>
      </c>
      <c r="E1452" t="s">
        <v>1812</v>
      </c>
      <c r="F1452">
        <v>25</v>
      </c>
      <c r="G1452">
        <v>1</v>
      </c>
      <c r="H1452">
        <v>1</v>
      </c>
      <c r="I1452">
        <v>25</v>
      </c>
      <c r="J1452">
        <v>25</v>
      </c>
      <c r="K1452">
        <f t="shared" si="67"/>
        <v>1</v>
      </c>
      <c r="L1452">
        <f t="shared" si="68"/>
        <v>0</v>
      </c>
      <c r="M1452">
        <v>25</v>
      </c>
      <c r="N1452" s="3">
        <v>46054</v>
      </c>
      <c r="O1452" s="6">
        <v>0</v>
      </c>
    </row>
    <row r="1453" spans="1:15">
      <c r="A1453" t="str">
        <f t="shared" si="66"/>
        <v>Sagri-Meth 77 SP 25 X 400 gr466310</v>
      </c>
      <c r="B1453" t="s">
        <v>11272</v>
      </c>
      <c r="C1453" t="s">
        <v>15835</v>
      </c>
      <c r="D1453" t="s">
        <v>13356</v>
      </c>
      <c r="E1453" t="s">
        <v>1812</v>
      </c>
      <c r="F1453">
        <v>25</v>
      </c>
      <c r="G1453">
        <v>1</v>
      </c>
      <c r="H1453">
        <v>1</v>
      </c>
      <c r="I1453">
        <v>25</v>
      </c>
      <c r="J1453">
        <v>450</v>
      </c>
      <c r="K1453">
        <f t="shared" si="67"/>
        <v>18</v>
      </c>
      <c r="L1453">
        <f t="shared" si="68"/>
        <v>0</v>
      </c>
      <c r="M1453">
        <v>450</v>
      </c>
      <c r="N1453" s="3">
        <v>46631</v>
      </c>
      <c r="O1453" s="6">
        <v>0</v>
      </c>
    </row>
    <row r="1454" spans="1:15">
      <c r="A1454" t="str">
        <f t="shared" si="66"/>
        <v>Sagri-Meth 77 SP 25 X 400 gr465690</v>
      </c>
      <c r="B1454" t="s">
        <v>11273</v>
      </c>
      <c r="C1454" t="s">
        <v>15836</v>
      </c>
      <c r="D1454" t="s">
        <v>13357</v>
      </c>
      <c r="E1454" t="s">
        <v>1812</v>
      </c>
      <c r="F1454">
        <v>25</v>
      </c>
      <c r="G1454">
        <v>1</v>
      </c>
      <c r="H1454">
        <v>1</v>
      </c>
      <c r="I1454">
        <v>25</v>
      </c>
      <c r="J1454">
        <v>775</v>
      </c>
      <c r="K1454">
        <f t="shared" si="67"/>
        <v>31</v>
      </c>
      <c r="L1454">
        <f t="shared" si="68"/>
        <v>0</v>
      </c>
      <c r="M1454">
        <v>775</v>
      </c>
      <c r="N1454" s="3">
        <v>46569</v>
      </c>
      <c r="O1454" s="6">
        <v>0</v>
      </c>
    </row>
    <row r="1455" spans="1:15">
      <c r="A1455" t="str">
        <f t="shared" si="66"/>
        <v>Sagri-Mox 52 WP 100 X 100 gr459920</v>
      </c>
      <c r="B1455" t="s">
        <v>11274</v>
      </c>
      <c r="C1455" t="s">
        <v>15837</v>
      </c>
      <c r="D1455" t="s">
        <v>13358</v>
      </c>
      <c r="E1455" t="s">
        <v>1813</v>
      </c>
      <c r="F1455">
        <v>100</v>
      </c>
      <c r="G1455">
        <v>1</v>
      </c>
      <c r="H1455">
        <v>1</v>
      </c>
      <c r="I1455">
        <v>100</v>
      </c>
      <c r="J1455">
        <v>2214</v>
      </c>
      <c r="K1455">
        <f t="shared" si="67"/>
        <v>22</v>
      </c>
      <c r="L1455">
        <f t="shared" si="68"/>
        <v>14</v>
      </c>
      <c r="M1455">
        <v>2214</v>
      </c>
      <c r="N1455" s="3">
        <v>45992</v>
      </c>
      <c r="O1455" s="6">
        <v>0</v>
      </c>
    </row>
    <row r="1456" spans="1:15">
      <c r="A1456" t="str">
        <f t="shared" si="66"/>
        <v>Sagri-Mox 52 WP 25 X 400 gr461130</v>
      </c>
      <c r="B1456" t="s">
        <v>11275</v>
      </c>
      <c r="C1456" t="s">
        <v>15838</v>
      </c>
      <c r="D1456" t="s">
        <v>13359</v>
      </c>
      <c r="E1456" t="s">
        <v>1814</v>
      </c>
      <c r="F1456">
        <v>25</v>
      </c>
      <c r="G1456">
        <v>1</v>
      </c>
      <c r="H1456">
        <v>1</v>
      </c>
      <c r="I1456">
        <v>25</v>
      </c>
      <c r="J1456">
        <v>1362</v>
      </c>
      <c r="K1456">
        <f t="shared" si="67"/>
        <v>54</v>
      </c>
      <c r="L1456">
        <f t="shared" si="68"/>
        <v>12</v>
      </c>
      <c r="M1456">
        <v>1362</v>
      </c>
      <c r="N1456" s="3">
        <v>46113</v>
      </c>
      <c r="O1456" s="6">
        <v>0</v>
      </c>
    </row>
    <row r="1457" spans="1:15">
      <c r="A1457" t="str">
        <f t="shared" si="66"/>
        <v>Sagri-Storm 100/400/50 SC 20 X 1 ltr463270</v>
      </c>
      <c r="B1457" t="s">
        <v>11276</v>
      </c>
      <c r="C1457" t="s">
        <v>15839</v>
      </c>
      <c r="D1457" t="s">
        <v>13360</v>
      </c>
      <c r="E1457" t="s">
        <v>1815</v>
      </c>
      <c r="F1457">
        <v>20</v>
      </c>
      <c r="G1457">
        <v>1</v>
      </c>
      <c r="H1457">
        <v>1</v>
      </c>
      <c r="I1457">
        <v>20</v>
      </c>
      <c r="J1457">
        <v>7</v>
      </c>
      <c r="K1457">
        <f t="shared" si="67"/>
        <v>0</v>
      </c>
      <c r="L1457">
        <f t="shared" si="68"/>
        <v>7</v>
      </c>
      <c r="M1457">
        <v>7</v>
      </c>
      <c r="N1457" s="3">
        <v>46327</v>
      </c>
      <c r="O1457" s="6">
        <v>0</v>
      </c>
    </row>
    <row r="1458" spans="1:15">
      <c r="A1458" t="str">
        <f t="shared" si="66"/>
        <v>Sagri-Storm 100/400/50 SC 20 X 1 ltr466610</v>
      </c>
      <c r="B1458" t="s">
        <v>11277</v>
      </c>
      <c r="C1458" t="s">
        <v>15840</v>
      </c>
      <c r="D1458" t="s">
        <v>13361</v>
      </c>
      <c r="E1458" t="s">
        <v>1815</v>
      </c>
      <c r="F1458">
        <v>20</v>
      </c>
      <c r="G1458">
        <v>1</v>
      </c>
      <c r="H1458">
        <v>1</v>
      </c>
      <c r="I1458">
        <v>20</v>
      </c>
      <c r="J1458">
        <v>900</v>
      </c>
      <c r="K1458">
        <f t="shared" si="67"/>
        <v>45</v>
      </c>
      <c r="L1458">
        <f t="shared" si="68"/>
        <v>0</v>
      </c>
      <c r="M1458">
        <v>900</v>
      </c>
      <c r="N1458" s="3">
        <v>46661</v>
      </c>
      <c r="O1458" s="6">
        <v>0</v>
      </c>
    </row>
    <row r="1459" spans="1:15">
      <c r="A1459" t="str">
        <f t="shared" si="66"/>
        <v>Sagri-Storm 100/400/50 SC 20 X 500 ml466610</v>
      </c>
      <c r="B1459" t="s">
        <v>11278</v>
      </c>
      <c r="C1459" t="s">
        <v>15841</v>
      </c>
      <c r="D1459" t="s">
        <v>13362</v>
      </c>
      <c r="E1459" t="s">
        <v>1816</v>
      </c>
      <c r="F1459">
        <v>20</v>
      </c>
      <c r="G1459">
        <v>1</v>
      </c>
      <c r="H1459">
        <v>1</v>
      </c>
      <c r="I1459">
        <v>20</v>
      </c>
      <c r="J1459">
        <v>740</v>
      </c>
      <c r="K1459">
        <f t="shared" si="67"/>
        <v>37</v>
      </c>
      <c r="L1459">
        <f t="shared" si="68"/>
        <v>0</v>
      </c>
      <c r="M1459">
        <v>740</v>
      </c>
      <c r="N1459" s="3">
        <v>46661</v>
      </c>
      <c r="O1459" s="6">
        <v>0</v>
      </c>
    </row>
    <row r="1460" spans="1:15">
      <c r="A1460" t="str">
        <f t="shared" si="66"/>
        <v>Sagri-Storm 100/400/50 SC 40 X 250 ml462960</v>
      </c>
      <c r="B1460" t="s">
        <v>11279</v>
      </c>
      <c r="C1460" t="s">
        <v>15842</v>
      </c>
      <c r="D1460" t="s">
        <v>13363</v>
      </c>
      <c r="E1460" t="s">
        <v>1817</v>
      </c>
      <c r="F1460">
        <v>40</v>
      </c>
      <c r="G1460">
        <v>1</v>
      </c>
      <c r="H1460">
        <v>1</v>
      </c>
      <c r="I1460">
        <v>40</v>
      </c>
      <c r="J1460">
        <v>766</v>
      </c>
      <c r="K1460">
        <f t="shared" si="67"/>
        <v>19</v>
      </c>
      <c r="L1460">
        <f t="shared" si="68"/>
        <v>6</v>
      </c>
      <c r="M1460">
        <v>766</v>
      </c>
      <c r="N1460" s="3">
        <v>46296</v>
      </c>
      <c r="O1460" s="6">
        <v>0</v>
      </c>
    </row>
    <row r="1461" spans="1:15">
      <c r="A1461" t="str">
        <f t="shared" si="66"/>
        <v>Sajadah1/1/10000</v>
      </c>
      <c r="B1461" t="s">
        <v>11280</v>
      </c>
      <c r="C1461" t="s">
        <v>15843</v>
      </c>
      <c r="D1461" t="s">
        <v>13364</v>
      </c>
      <c r="E1461" t="s">
        <v>1819</v>
      </c>
      <c r="F1461">
        <v>1</v>
      </c>
      <c r="G1461">
        <v>1</v>
      </c>
      <c r="H1461">
        <v>1</v>
      </c>
      <c r="I1461">
        <v>1</v>
      </c>
      <c r="J1461">
        <v>10</v>
      </c>
      <c r="K1461">
        <f t="shared" si="67"/>
        <v>10</v>
      </c>
      <c r="L1461">
        <f t="shared" si="68"/>
        <v>0</v>
      </c>
      <c r="M1461">
        <v>10</v>
      </c>
      <c r="N1461" s="3" t="s">
        <v>2222</v>
      </c>
      <c r="O1461" s="6">
        <v>0</v>
      </c>
    </row>
    <row r="1462" spans="1:15">
      <c r="A1462" t="str">
        <f t="shared" si="66"/>
        <v>Saringan Tabung 14 ltr &amp; 17 ltr Star Metal1/1/10000</v>
      </c>
      <c r="B1462" t="s">
        <v>11281</v>
      </c>
      <c r="C1462" t="s">
        <v>15844</v>
      </c>
      <c r="D1462" t="s">
        <v>13365</v>
      </c>
      <c r="E1462" t="s">
        <v>1820</v>
      </c>
      <c r="F1462">
        <v>1</v>
      </c>
      <c r="G1462">
        <v>1</v>
      </c>
      <c r="H1462">
        <v>1</v>
      </c>
      <c r="I1462">
        <v>1</v>
      </c>
      <c r="J1462">
        <v>100</v>
      </c>
      <c r="K1462">
        <f t="shared" si="67"/>
        <v>100</v>
      </c>
      <c r="L1462">
        <f t="shared" si="68"/>
        <v>0</v>
      </c>
      <c r="M1462">
        <v>100</v>
      </c>
      <c r="N1462" s="3" t="s">
        <v>2222</v>
      </c>
      <c r="O1462" s="6">
        <v>0</v>
      </c>
    </row>
    <row r="1463" spans="1:15">
      <c r="A1463" t="str">
        <f t="shared" si="66"/>
        <v>Saringan Tangki Star Metal1/1/10000</v>
      </c>
      <c r="B1463" t="s">
        <v>11282</v>
      </c>
      <c r="C1463" t="s">
        <v>15845</v>
      </c>
      <c r="D1463" t="s">
        <v>13366</v>
      </c>
      <c r="E1463" t="s">
        <v>1821</v>
      </c>
      <c r="F1463">
        <v>1</v>
      </c>
      <c r="G1463">
        <v>1</v>
      </c>
      <c r="H1463">
        <v>1</v>
      </c>
      <c r="I1463">
        <v>1</v>
      </c>
      <c r="J1463">
        <v>3</v>
      </c>
      <c r="K1463">
        <f t="shared" si="67"/>
        <v>3</v>
      </c>
      <c r="L1463">
        <f t="shared" si="68"/>
        <v>0</v>
      </c>
      <c r="M1463">
        <v>3</v>
      </c>
      <c r="N1463" s="3" t="s">
        <v>2222</v>
      </c>
      <c r="O1463" s="6">
        <v>0</v>
      </c>
    </row>
    <row r="1464" spans="1:15">
      <c r="A1464" t="str">
        <f t="shared" si="66"/>
        <v>Sarung1/1/10000</v>
      </c>
      <c r="B1464" t="s">
        <v>11283</v>
      </c>
      <c r="C1464" t="s">
        <v>15846</v>
      </c>
      <c r="D1464" t="s">
        <v>13367</v>
      </c>
      <c r="E1464" t="s">
        <v>1822</v>
      </c>
      <c r="F1464">
        <v>1</v>
      </c>
      <c r="G1464">
        <v>1</v>
      </c>
      <c r="H1464">
        <v>1</v>
      </c>
      <c r="I1464">
        <v>1</v>
      </c>
      <c r="J1464">
        <v>864</v>
      </c>
      <c r="K1464">
        <f t="shared" si="67"/>
        <v>864</v>
      </c>
      <c r="L1464">
        <f t="shared" si="68"/>
        <v>0</v>
      </c>
      <c r="M1464">
        <v>864</v>
      </c>
      <c r="N1464" s="3" t="s">
        <v>2222</v>
      </c>
      <c r="O1464" s="6">
        <v>0</v>
      </c>
    </row>
    <row r="1465" spans="1:15">
      <c r="A1465" t="str">
        <f t="shared" si="66"/>
        <v>Sarung Abu Rizqi1/1/10000</v>
      </c>
      <c r="B1465" t="s">
        <v>11284</v>
      </c>
      <c r="C1465" t="s">
        <v>15847</v>
      </c>
      <c r="D1465" t="s">
        <v>13368</v>
      </c>
      <c r="E1465" t="s">
        <v>1823</v>
      </c>
      <c r="F1465">
        <v>1</v>
      </c>
      <c r="G1465">
        <v>1</v>
      </c>
      <c r="H1465">
        <v>1</v>
      </c>
      <c r="I1465">
        <v>1</v>
      </c>
      <c r="J1465">
        <v>589</v>
      </c>
      <c r="K1465">
        <f t="shared" si="67"/>
        <v>589</v>
      </c>
      <c r="L1465">
        <f t="shared" si="68"/>
        <v>0</v>
      </c>
      <c r="M1465">
        <v>589</v>
      </c>
      <c r="N1465" s="3" t="s">
        <v>2222</v>
      </c>
      <c r="O1465" s="6">
        <v>0</v>
      </c>
    </row>
    <row r="1466" spans="1:15">
      <c r="A1466" t="str">
        <f t="shared" si="66"/>
        <v>Sarung Arabi Madinah1/1/10000</v>
      </c>
      <c r="B1466" t="s">
        <v>11285</v>
      </c>
      <c r="C1466" t="s">
        <v>15848</v>
      </c>
      <c r="D1466" t="s">
        <v>13369</v>
      </c>
      <c r="E1466" t="s">
        <v>1824</v>
      </c>
      <c r="F1466">
        <v>1</v>
      </c>
      <c r="G1466">
        <v>1</v>
      </c>
      <c r="H1466">
        <v>1</v>
      </c>
      <c r="I1466">
        <v>1</v>
      </c>
      <c r="J1466">
        <v>23</v>
      </c>
      <c r="K1466">
        <f t="shared" si="67"/>
        <v>23</v>
      </c>
      <c r="L1466">
        <f t="shared" si="68"/>
        <v>0</v>
      </c>
      <c r="M1466">
        <v>23</v>
      </c>
      <c r="N1466" s="3" t="s">
        <v>2222</v>
      </c>
      <c r="O1466" s="6">
        <v>0</v>
      </c>
    </row>
    <row r="1467" spans="1:15">
      <c r="A1467" t="str">
        <f t="shared" si="66"/>
        <v>Sarung Atlas1/1/10000</v>
      </c>
      <c r="B1467" t="s">
        <v>11286</v>
      </c>
      <c r="C1467" t="s">
        <v>15849</v>
      </c>
      <c r="D1467" t="s">
        <v>13370</v>
      </c>
      <c r="E1467" t="s">
        <v>1825</v>
      </c>
      <c r="F1467">
        <v>1</v>
      </c>
      <c r="G1467">
        <v>1</v>
      </c>
      <c r="H1467">
        <v>1</v>
      </c>
      <c r="I1467">
        <v>1</v>
      </c>
      <c r="J1467">
        <v>2925</v>
      </c>
      <c r="K1467">
        <f t="shared" si="67"/>
        <v>2925</v>
      </c>
      <c r="L1467">
        <f t="shared" si="68"/>
        <v>0</v>
      </c>
      <c r="M1467">
        <v>2925</v>
      </c>
      <c r="N1467" s="3" t="s">
        <v>2222</v>
      </c>
      <c r="O1467" s="6">
        <v>0</v>
      </c>
    </row>
    <row r="1468" spans="1:15">
      <c r="A1468" t="str">
        <f t="shared" si="66"/>
        <v>Sarung Gajah Duduk1/1/10000</v>
      </c>
      <c r="B1468" t="s">
        <v>11287</v>
      </c>
      <c r="C1468" t="s">
        <v>15850</v>
      </c>
      <c r="D1468" t="s">
        <v>13371</v>
      </c>
      <c r="E1468" t="s">
        <v>1826</v>
      </c>
      <c r="F1468">
        <v>1</v>
      </c>
      <c r="G1468">
        <v>1</v>
      </c>
      <c r="H1468">
        <v>1</v>
      </c>
      <c r="I1468">
        <v>1</v>
      </c>
      <c r="J1468">
        <v>160</v>
      </c>
      <c r="K1468">
        <f t="shared" si="67"/>
        <v>160</v>
      </c>
      <c r="L1468">
        <f t="shared" si="68"/>
        <v>0</v>
      </c>
      <c r="M1468">
        <v>160</v>
      </c>
      <c r="N1468" s="3" t="s">
        <v>2222</v>
      </c>
      <c r="O1468" s="6">
        <v>0</v>
      </c>
    </row>
    <row r="1469" spans="1:15">
      <c r="A1469" t="str">
        <f t="shared" si="66"/>
        <v>Sarung Gajah Duduk442820</v>
      </c>
      <c r="B1469" t="s">
        <v>11288</v>
      </c>
      <c r="C1469" t="s">
        <v>15851</v>
      </c>
      <c r="D1469" t="s">
        <v>13372</v>
      </c>
      <c r="E1469" t="s">
        <v>1826</v>
      </c>
      <c r="F1469">
        <v>1</v>
      </c>
      <c r="G1469">
        <v>1</v>
      </c>
      <c r="H1469">
        <v>1</v>
      </c>
      <c r="I1469">
        <v>1</v>
      </c>
      <c r="J1469">
        <v>317</v>
      </c>
      <c r="K1469">
        <f t="shared" si="67"/>
        <v>317</v>
      </c>
      <c r="L1469">
        <f t="shared" si="68"/>
        <v>0</v>
      </c>
      <c r="M1469">
        <v>317</v>
      </c>
      <c r="N1469" s="3">
        <v>44282</v>
      </c>
      <c r="O1469" s="6">
        <v>0</v>
      </c>
    </row>
    <row r="1470" spans="1:15">
      <c r="A1470" t="str">
        <f t="shared" si="66"/>
        <v>Sarung Gajah Kembar1/1/10000</v>
      </c>
      <c r="B1470" t="s">
        <v>11289</v>
      </c>
      <c r="C1470" t="s">
        <v>15852</v>
      </c>
      <c r="D1470" t="s">
        <v>13373</v>
      </c>
      <c r="E1470" t="s">
        <v>1827</v>
      </c>
      <c r="F1470">
        <v>1</v>
      </c>
      <c r="G1470">
        <v>1</v>
      </c>
      <c r="H1470">
        <v>1</v>
      </c>
      <c r="I1470">
        <v>1</v>
      </c>
      <c r="J1470">
        <v>46</v>
      </c>
      <c r="K1470">
        <f t="shared" si="67"/>
        <v>46</v>
      </c>
      <c r="L1470">
        <f t="shared" si="68"/>
        <v>0</v>
      </c>
      <c r="M1470">
        <v>46</v>
      </c>
      <c r="N1470" s="3" t="s">
        <v>2222</v>
      </c>
      <c r="O1470" s="6">
        <v>0</v>
      </c>
    </row>
    <row r="1471" spans="1:15">
      <c r="A1471" t="str">
        <f t="shared" si="66"/>
        <v>Sarung Java Karlos1/1/10000</v>
      </c>
      <c r="B1471" t="s">
        <v>11290</v>
      </c>
      <c r="C1471" t="s">
        <v>15853</v>
      </c>
      <c r="D1471" t="s">
        <v>13374</v>
      </c>
      <c r="E1471" t="s">
        <v>1828</v>
      </c>
      <c r="F1471">
        <v>1</v>
      </c>
      <c r="G1471">
        <v>1</v>
      </c>
      <c r="H1471">
        <v>1</v>
      </c>
      <c r="I1471">
        <v>1</v>
      </c>
      <c r="J1471">
        <v>36</v>
      </c>
      <c r="K1471">
        <f t="shared" si="67"/>
        <v>36</v>
      </c>
      <c r="L1471">
        <f t="shared" si="68"/>
        <v>0</v>
      </c>
      <c r="M1471">
        <v>36</v>
      </c>
      <c r="N1471" s="3" t="s">
        <v>2222</v>
      </c>
      <c r="O1471" s="6">
        <v>0</v>
      </c>
    </row>
    <row r="1472" spans="1:15">
      <c r="A1472" t="str">
        <f t="shared" si="66"/>
        <v>Sarung Jenggolo1/1/10000</v>
      </c>
      <c r="B1472" t="s">
        <v>11291</v>
      </c>
      <c r="C1472" t="s">
        <v>15854</v>
      </c>
      <c r="D1472" t="s">
        <v>13375</v>
      </c>
      <c r="E1472" t="s">
        <v>1829</v>
      </c>
      <c r="F1472">
        <v>1</v>
      </c>
      <c r="G1472">
        <v>1</v>
      </c>
      <c r="H1472">
        <v>1</v>
      </c>
      <c r="I1472">
        <v>1</v>
      </c>
      <c r="J1472">
        <v>541</v>
      </c>
      <c r="K1472">
        <f t="shared" si="67"/>
        <v>541</v>
      </c>
      <c r="L1472">
        <f t="shared" si="68"/>
        <v>0</v>
      </c>
      <c r="M1472">
        <v>541</v>
      </c>
      <c r="N1472" s="3" t="s">
        <v>2222</v>
      </c>
      <c r="O1472" s="6">
        <v>0</v>
      </c>
    </row>
    <row r="1473" spans="1:15">
      <c r="A1473" t="str">
        <f t="shared" si="66"/>
        <v>Sarung Ramadhani1/1/10000</v>
      </c>
      <c r="B1473" t="s">
        <v>11292</v>
      </c>
      <c r="C1473" t="s">
        <v>15855</v>
      </c>
      <c r="D1473" t="s">
        <v>13376</v>
      </c>
      <c r="E1473" t="s">
        <v>1830</v>
      </c>
      <c r="F1473">
        <v>1</v>
      </c>
      <c r="G1473">
        <v>1</v>
      </c>
      <c r="H1473">
        <v>1</v>
      </c>
      <c r="I1473">
        <v>1</v>
      </c>
      <c r="J1473">
        <v>10</v>
      </c>
      <c r="K1473">
        <f t="shared" si="67"/>
        <v>10</v>
      </c>
      <c r="L1473">
        <f t="shared" si="68"/>
        <v>0</v>
      </c>
      <c r="M1473">
        <v>10</v>
      </c>
      <c r="N1473" s="3" t="s">
        <v>2222</v>
      </c>
      <c r="O1473" s="6">
        <v>0</v>
      </c>
    </row>
    <row r="1474" spans="1:15">
      <c r="A1474" t="str">
        <f t="shared" si="66"/>
        <v>Sarung Samarinda1/1/10000</v>
      </c>
      <c r="B1474" t="s">
        <v>11293</v>
      </c>
      <c r="C1474" t="s">
        <v>15856</v>
      </c>
      <c r="D1474" t="s">
        <v>13377</v>
      </c>
      <c r="E1474" t="s">
        <v>1831</v>
      </c>
      <c r="F1474">
        <v>1</v>
      </c>
      <c r="G1474">
        <v>1</v>
      </c>
      <c r="H1474">
        <v>1</v>
      </c>
      <c r="I1474">
        <v>1</v>
      </c>
      <c r="J1474">
        <v>106</v>
      </c>
      <c r="K1474">
        <f t="shared" si="67"/>
        <v>106</v>
      </c>
      <c r="L1474">
        <f t="shared" si="68"/>
        <v>0</v>
      </c>
      <c r="M1474">
        <v>106</v>
      </c>
      <c r="N1474" s="3" t="s">
        <v>2222</v>
      </c>
      <c r="O1474" s="6">
        <v>0</v>
      </c>
    </row>
    <row r="1475" spans="1:15">
      <c r="A1475" t="str">
        <f t="shared" ref="A1475:A1538" si="69">E1475&amp;N1475&amp;O1475</f>
        <v>Sarung Wadimor1/1/10000</v>
      </c>
      <c r="B1475" t="s">
        <v>11294</v>
      </c>
      <c r="C1475" t="s">
        <v>15857</v>
      </c>
      <c r="D1475" t="s">
        <v>13378</v>
      </c>
      <c r="E1475" t="s">
        <v>1832</v>
      </c>
      <c r="F1475">
        <v>1</v>
      </c>
      <c r="G1475">
        <v>1</v>
      </c>
      <c r="H1475">
        <v>1</v>
      </c>
      <c r="I1475">
        <v>1</v>
      </c>
      <c r="J1475">
        <v>165</v>
      </c>
      <c r="K1475">
        <f t="shared" ref="K1475:K1538" si="70">ROUNDDOWN(J1475/I1475,0)</f>
        <v>165</v>
      </c>
      <c r="L1475">
        <f t="shared" ref="L1475:L1538" si="71">J1475-K1475*I1475</f>
        <v>0</v>
      </c>
      <c r="M1475">
        <v>165</v>
      </c>
      <c r="N1475" s="3" t="s">
        <v>2222</v>
      </c>
      <c r="O1475" s="6">
        <v>0</v>
      </c>
    </row>
    <row r="1476" spans="1:15">
      <c r="A1476" t="str">
        <f t="shared" si="69"/>
        <v>Saturn Plus 20 X 1 ltr471190</v>
      </c>
      <c r="B1476" t="s">
        <v>11295</v>
      </c>
      <c r="C1476" t="s">
        <v>15858</v>
      </c>
      <c r="D1476" t="s">
        <v>13379</v>
      </c>
      <c r="E1476" t="s">
        <v>1833</v>
      </c>
      <c r="F1476">
        <v>20</v>
      </c>
      <c r="G1476">
        <v>1</v>
      </c>
      <c r="H1476">
        <v>1</v>
      </c>
      <c r="I1476">
        <v>20</v>
      </c>
      <c r="J1476">
        <v>760</v>
      </c>
      <c r="K1476">
        <f t="shared" si="70"/>
        <v>38</v>
      </c>
      <c r="L1476">
        <f t="shared" si="71"/>
        <v>0</v>
      </c>
      <c r="M1476">
        <v>760</v>
      </c>
      <c r="N1476" s="3">
        <v>47119</v>
      </c>
      <c r="O1476" s="6">
        <v>0</v>
      </c>
    </row>
    <row r="1477" spans="1:15">
      <c r="A1477" t="str">
        <f t="shared" si="69"/>
        <v>Saturn Plus 20 X 250 ml470880</v>
      </c>
      <c r="B1477" t="s">
        <v>11296</v>
      </c>
      <c r="C1477" t="s">
        <v>15859</v>
      </c>
      <c r="D1477" t="s">
        <v>13380</v>
      </c>
      <c r="E1477" t="s">
        <v>1834</v>
      </c>
      <c r="F1477">
        <v>20</v>
      </c>
      <c r="G1477">
        <v>1</v>
      </c>
      <c r="H1477">
        <v>1</v>
      </c>
      <c r="I1477">
        <v>20</v>
      </c>
      <c r="J1477">
        <v>2</v>
      </c>
      <c r="K1477">
        <f t="shared" si="70"/>
        <v>0</v>
      </c>
      <c r="L1477">
        <f t="shared" si="71"/>
        <v>2</v>
      </c>
      <c r="M1477">
        <v>2</v>
      </c>
      <c r="N1477" s="3">
        <v>47088</v>
      </c>
      <c r="O1477" s="6">
        <v>0</v>
      </c>
    </row>
    <row r="1478" spans="1:15">
      <c r="A1478" t="str">
        <f t="shared" si="69"/>
        <v>Saturn Plus 20 X 250 ml472090</v>
      </c>
      <c r="B1478" t="s">
        <v>11297</v>
      </c>
      <c r="C1478" t="s">
        <v>15860</v>
      </c>
      <c r="D1478" t="s">
        <v>13381</v>
      </c>
      <c r="E1478" t="s">
        <v>1834</v>
      </c>
      <c r="F1478">
        <v>20</v>
      </c>
      <c r="G1478">
        <v>1</v>
      </c>
      <c r="H1478">
        <v>1</v>
      </c>
      <c r="I1478">
        <v>20</v>
      </c>
      <c r="J1478">
        <v>3240</v>
      </c>
      <c r="K1478">
        <f t="shared" si="70"/>
        <v>162</v>
      </c>
      <c r="L1478">
        <f t="shared" si="71"/>
        <v>0</v>
      </c>
      <c r="M1478">
        <v>3240</v>
      </c>
      <c r="N1478" s="3">
        <v>47209</v>
      </c>
      <c r="O1478" s="6">
        <v>0</v>
      </c>
    </row>
    <row r="1479" spans="1:15">
      <c r="A1479" t="str">
        <f t="shared" si="69"/>
        <v>Saturn Plus 20 X 500 ml470880</v>
      </c>
      <c r="B1479" t="s">
        <v>11298</v>
      </c>
      <c r="C1479" t="s">
        <v>15861</v>
      </c>
      <c r="D1479" t="s">
        <v>13382</v>
      </c>
      <c r="E1479" t="s">
        <v>1835</v>
      </c>
      <c r="F1479">
        <v>20</v>
      </c>
      <c r="G1479">
        <v>1</v>
      </c>
      <c r="H1479">
        <v>1</v>
      </c>
      <c r="I1479">
        <v>20</v>
      </c>
      <c r="J1479">
        <v>7</v>
      </c>
      <c r="K1479">
        <f t="shared" si="70"/>
        <v>0</v>
      </c>
      <c r="L1479">
        <f t="shared" si="71"/>
        <v>7</v>
      </c>
      <c r="M1479">
        <v>7</v>
      </c>
      <c r="N1479" s="3">
        <v>47088</v>
      </c>
      <c r="O1479" s="6">
        <v>0</v>
      </c>
    </row>
    <row r="1480" spans="1:15">
      <c r="A1480" t="str">
        <f t="shared" si="69"/>
        <v>Saturn Plus 20 X 500 ml471190</v>
      </c>
      <c r="B1480" t="s">
        <v>11299</v>
      </c>
      <c r="C1480" t="s">
        <v>15862</v>
      </c>
      <c r="D1480" t="s">
        <v>13383</v>
      </c>
      <c r="E1480" t="s">
        <v>1835</v>
      </c>
      <c r="F1480">
        <v>20</v>
      </c>
      <c r="G1480">
        <v>1</v>
      </c>
      <c r="H1480">
        <v>1</v>
      </c>
      <c r="I1480">
        <v>20</v>
      </c>
      <c r="J1480">
        <v>1740</v>
      </c>
      <c r="K1480">
        <f t="shared" si="70"/>
        <v>87</v>
      </c>
      <c r="L1480">
        <f t="shared" si="71"/>
        <v>0</v>
      </c>
      <c r="M1480">
        <v>1740</v>
      </c>
      <c r="N1480" s="3">
        <v>47119</v>
      </c>
      <c r="O1480" s="6">
        <v>0</v>
      </c>
    </row>
    <row r="1481" spans="1:15">
      <c r="A1481" t="str">
        <f t="shared" si="69"/>
        <v>Saturn Plus 20 X 500 ml472090</v>
      </c>
      <c r="B1481" t="s">
        <v>11300</v>
      </c>
      <c r="C1481" t="s">
        <v>15863</v>
      </c>
      <c r="D1481" t="s">
        <v>13384</v>
      </c>
      <c r="E1481" t="s">
        <v>1835</v>
      </c>
      <c r="F1481">
        <v>20</v>
      </c>
      <c r="G1481">
        <v>1</v>
      </c>
      <c r="H1481">
        <v>1</v>
      </c>
      <c r="I1481">
        <v>20</v>
      </c>
      <c r="J1481">
        <v>2600</v>
      </c>
      <c r="K1481">
        <f t="shared" si="70"/>
        <v>130</v>
      </c>
      <c r="L1481">
        <f t="shared" si="71"/>
        <v>0</v>
      </c>
      <c r="M1481">
        <v>2600</v>
      </c>
      <c r="N1481" s="3">
        <v>47209</v>
      </c>
      <c r="O1481" s="6">
        <v>0</v>
      </c>
    </row>
    <row r="1482" spans="1:15">
      <c r="A1482" t="str">
        <f t="shared" si="69"/>
        <v>Satyazeb 80 WP 20 X 1 kg464470</v>
      </c>
      <c r="B1482" t="s">
        <v>11301</v>
      </c>
      <c r="C1482" t="s">
        <v>15864</v>
      </c>
      <c r="D1482" t="s">
        <v>13385</v>
      </c>
      <c r="E1482" t="s">
        <v>1836</v>
      </c>
      <c r="F1482">
        <v>20</v>
      </c>
      <c r="G1482">
        <v>1</v>
      </c>
      <c r="H1482">
        <v>1</v>
      </c>
      <c r="I1482">
        <v>20</v>
      </c>
      <c r="J1482">
        <v>945</v>
      </c>
      <c r="K1482">
        <f t="shared" si="70"/>
        <v>47</v>
      </c>
      <c r="L1482">
        <f t="shared" si="71"/>
        <v>5</v>
      </c>
      <c r="M1482">
        <v>945</v>
      </c>
      <c r="N1482" s="3">
        <v>46447</v>
      </c>
      <c r="O1482" s="6">
        <v>0</v>
      </c>
    </row>
    <row r="1483" spans="1:15">
      <c r="A1483" t="str">
        <f t="shared" si="69"/>
        <v>Score 250 EC 40 X 250 ml459920</v>
      </c>
      <c r="B1483" t="s">
        <v>11302</v>
      </c>
      <c r="C1483" t="s">
        <v>15865</v>
      </c>
      <c r="D1483" t="s">
        <v>13386</v>
      </c>
      <c r="E1483" t="s">
        <v>1841</v>
      </c>
      <c r="F1483">
        <v>40</v>
      </c>
      <c r="G1483">
        <v>1</v>
      </c>
      <c r="H1483">
        <v>1</v>
      </c>
      <c r="I1483">
        <v>40</v>
      </c>
      <c r="J1483">
        <v>9993</v>
      </c>
      <c r="K1483">
        <f t="shared" si="70"/>
        <v>249</v>
      </c>
      <c r="L1483">
        <f t="shared" si="71"/>
        <v>33</v>
      </c>
      <c r="M1483">
        <v>9993</v>
      </c>
      <c r="N1483" s="3">
        <v>45992</v>
      </c>
      <c r="O1483" s="6">
        <v>0</v>
      </c>
    </row>
    <row r="1484" spans="1:15">
      <c r="A1484" t="str">
        <f t="shared" si="69"/>
        <v>Score 250 EC 40 X 250 ml460820</v>
      </c>
      <c r="B1484" t="s">
        <v>11303</v>
      </c>
      <c r="C1484" t="s">
        <v>15866</v>
      </c>
      <c r="D1484" t="s">
        <v>13387</v>
      </c>
      <c r="E1484" t="s">
        <v>1841</v>
      </c>
      <c r="F1484">
        <v>40</v>
      </c>
      <c r="G1484">
        <v>1</v>
      </c>
      <c r="H1484">
        <v>1</v>
      </c>
      <c r="I1484">
        <v>40</v>
      </c>
      <c r="J1484">
        <v>21</v>
      </c>
      <c r="K1484">
        <f t="shared" si="70"/>
        <v>0</v>
      </c>
      <c r="L1484">
        <f t="shared" si="71"/>
        <v>21</v>
      </c>
      <c r="M1484">
        <v>21</v>
      </c>
      <c r="N1484" s="3">
        <v>46082</v>
      </c>
      <c r="O1484" s="6">
        <v>0</v>
      </c>
    </row>
    <row r="1485" spans="1:15">
      <c r="A1485" t="str">
        <f t="shared" si="69"/>
        <v>Score 250 EC 40 X 250 ml461130</v>
      </c>
      <c r="B1485" t="s">
        <v>11304</v>
      </c>
      <c r="C1485" t="s">
        <v>15867</v>
      </c>
      <c r="D1485" t="s">
        <v>13388</v>
      </c>
      <c r="E1485" t="s">
        <v>1841</v>
      </c>
      <c r="F1485">
        <v>40</v>
      </c>
      <c r="G1485">
        <v>1</v>
      </c>
      <c r="H1485">
        <v>1</v>
      </c>
      <c r="I1485">
        <v>40</v>
      </c>
      <c r="J1485">
        <v>34800</v>
      </c>
      <c r="K1485">
        <f t="shared" si="70"/>
        <v>870</v>
      </c>
      <c r="L1485">
        <f t="shared" si="71"/>
        <v>0</v>
      </c>
      <c r="M1485">
        <v>34800</v>
      </c>
      <c r="N1485" s="3">
        <v>46113</v>
      </c>
      <c r="O1485" s="6">
        <v>0</v>
      </c>
    </row>
    <row r="1486" spans="1:15">
      <c r="A1486" t="str">
        <f t="shared" si="69"/>
        <v>Score 250 EC 40 X 250 ml460230</v>
      </c>
      <c r="B1486" t="s">
        <v>11305</v>
      </c>
      <c r="C1486" t="s">
        <v>15868</v>
      </c>
      <c r="D1486" t="s">
        <v>13389</v>
      </c>
      <c r="E1486" t="s">
        <v>1841</v>
      </c>
      <c r="F1486">
        <v>40</v>
      </c>
      <c r="G1486">
        <v>1</v>
      </c>
      <c r="H1486">
        <v>1</v>
      </c>
      <c r="I1486">
        <v>40</v>
      </c>
      <c r="J1486">
        <v>11760</v>
      </c>
      <c r="K1486">
        <f t="shared" si="70"/>
        <v>294</v>
      </c>
      <c r="L1486">
        <f t="shared" si="71"/>
        <v>0</v>
      </c>
      <c r="M1486">
        <v>11760</v>
      </c>
      <c r="N1486" s="3">
        <v>46023</v>
      </c>
      <c r="O1486" s="6">
        <v>0</v>
      </c>
    </row>
    <row r="1487" spans="1:15">
      <c r="A1487" t="str">
        <f t="shared" si="69"/>
        <v>Score 250 EC 40 X 250 ml460540</v>
      </c>
      <c r="B1487" t="s">
        <v>11306</v>
      </c>
      <c r="C1487" t="s">
        <v>15869</v>
      </c>
      <c r="D1487" t="s">
        <v>13390</v>
      </c>
      <c r="E1487" t="s">
        <v>1841</v>
      </c>
      <c r="F1487">
        <v>40</v>
      </c>
      <c r="G1487">
        <v>1</v>
      </c>
      <c r="H1487">
        <v>1</v>
      </c>
      <c r="I1487">
        <v>40</v>
      </c>
      <c r="J1487">
        <v>35200</v>
      </c>
      <c r="K1487">
        <f t="shared" si="70"/>
        <v>880</v>
      </c>
      <c r="L1487">
        <f t="shared" si="71"/>
        <v>0</v>
      </c>
      <c r="M1487">
        <v>35200</v>
      </c>
      <c r="N1487" s="3">
        <v>46054</v>
      </c>
      <c r="O1487" s="6">
        <v>0</v>
      </c>
    </row>
    <row r="1488" spans="1:15">
      <c r="A1488" t="str">
        <f t="shared" si="69"/>
        <v>Score 250 EC 50 X 80 ml459920</v>
      </c>
      <c r="B1488" t="s">
        <v>11307</v>
      </c>
      <c r="C1488" t="s">
        <v>15870</v>
      </c>
      <c r="D1488" t="s">
        <v>13391</v>
      </c>
      <c r="E1488" t="s">
        <v>1858</v>
      </c>
      <c r="F1488">
        <v>50</v>
      </c>
      <c r="G1488">
        <v>1</v>
      </c>
      <c r="H1488">
        <v>1</v>
      </c>
      <c r="I1488">
        <v>50</v>
      </c>
      <c r="J1488">
        <v>1</v>
      </c>
      <c r="K1488">
        <f t="shared" si="70"/>
        <v>0</v>
      </c>
      <c r="L1488">
        <f t="shared" si="71"/>
        <v>1</v>
      </c>
      <c r="M1488">
        <v>1</v>
      </c>
      <c r="N1488" s="3">
        <v>45992</v>
      </c>
      <c r="O1488" s="6">
        <v>0</v>
      </c>
    </row>
    <row r="1489" spans="1:15">
      <c r="A1489" t="str">
        <f t="shared" si="69"/>
        <v>Score 250 EC 50 X 80 ml461130</v>
      </c>
      <c r="B1489" t="s">
        <v>11308</v>
      </c>
      <c r="C1489" t="s">
        <v>15871</v>
      </c>
      <c r="D1489" t="s">
        <v>13392</v>
      </c>
      <c r="E1489" t="s">
        <v>1858</v>
      </c>
      <c r="F1489">
        <v>50</v>
      </c>
      <c r="G1489">
        <v>1</v>
      </c>
      <c r="H1489">
        <v>1</v>
      </c>
      <c r="I1489">
        <v>50</v>
      </c>
      <c r="J1489">
        <v>38530</v>
      </c>
      <c r="K1489">
        <f t="shared" si="70"/>
        <v>770</v>
      </c>
      <c r="L1489">
        <f t="shared" si="71"/>
        <v>30</v>
      </c>
      <c r="M1489">
        <v>38530</v>
      </c>
      <c r="N1489" s="3">
        <v>46113</v>
      </c>
      <c r="O1489" s="6">
        <v>0</v>
      </c>
    </row>
    <row r="1490" spans="1:15">
      <c r="A1490" t="str">
        <f t="shared" si="69"/>
        <v>Score 250 EC 50 X 80 ml460230</v>
      </c>
      <c r="B1490" t="s">
        <v>11309</v>
      </c>
      <c r="C1490" t="s">
        <v>15872</v>
      </c>
      <c r="D1490" t="s">
        <v>13393</v>
      </c>
      <c r="E1490" t="s">
        <v>1858</v>
      </c>
      <c r="F1490">
        <v>50</v>
      </c>
      <c r="G1490">
        <v>1</v>
      </c>
      <c r="H1490">
        <v>1</v>
      </c>
      <c r="I1490">
        <v>50</v>
      </c>
      <c r="J1490">
        <v>14150</v>
      </c>
      <c r="K1490">
        <f t="shared" si="70"/>
        <v>283</v>
      </c>
      <c r="L1490">
        <f t="shared" si="71"/>
        <v>0</v>
      </c>
      <c r="M1490">
        <v>14150</v>
      </c>
      <c r="N1490" s="3">
        <v>46023</v>
      </c>
      <c r="O1490" s="6">
        <v>0</v>
      </c>
    </row>
    <row r="1491" spans="1:15">
      <c r="A1491" t="str">
        <f t="shared" si="69"/>
        <v>Sealing Gasket Yamaha1/1/10000</v>
      </c>
      <c r="B1491" t="s">
        <v>11310</v>
      </c>
      <c r="C1491" t="s">
        <v>15873</v>
      </c>
      <c r="D1491" t="s">
        <v>13394</v>
      </c>
      <c r="E1491" t="s">
        <v>1864</v>
      </c>
      <c r="F1491">
        <v>1</v>
      </c>
      <c r="G1491">
        <v>1</v>
      </c>
      <c r="H1491">
        <v>1</v>
      </c>
      <c r="I1491">
        <v>1</v>
      </c>
      <c r="J1491">
        <v>20</v>
      </c>
      <c r="K1491">
        <f t="shared" si="70"/>
        <v>20</v>
      </c>
      <c r="L1491">
        <f t="shared" si="71"/>
        <v>0</v>
      </c>
      <c r="M1491">
        <v>20</v>
      </c>
      <c r="N1491" s="3" t="s">
        <v>2222</v>
      </c>
      <c r="O1491" s="6">
        <v>0</v>
      </c>
    </row>
    <row r="1492" spans="1:15">
      <c r="A1492" t="str">
        <f t="shared" si="69"/>
        <v>Sekop Tanaman Goodman Transplanter 05-008 100 X 11/1/10000</v>
      </c>
      <c r="B1492" t="s">
        <v>11311</v>
      </c>
      <c r="C1492" t="s">
        <v>15874</v>
      </c>
      <c r="D1492" t="s">
        <v>13395</v>
      </c>
      <c r="E1492" t="s">
        <v>1865</v>
      </c>
      <c r="F1492">
        <v>100</v>
      </c>
      <c r="G1492">
        <v>1</v>
      </c>
      <c r="H1492">
        <v>1</v>
      </c>
      <c r="I1492">
        <v>100</v>
      </c>
      <c r="J1492">
        <v>34</v>
      </c>
      <c r="K1492">
        <f t="shared" si="70"/>
        <v>0</v>
      </c>
      <c r="L1492">
        <f t="shared" si="71"/>
        <v>34</v>
      </c>
      <c r="M1492">
        <v>34</v>
      </c>
      <c r="N1492" s="3" t="s">
        <v>2222</v>
      </c>
      <c r="O1492" s="6">
        <v>0</v>
      </c>
    </row>
    <row r="1493" spans="1:15">
      <c r="A1493" t="str">
        <f t="shared" si="69"/>
        <v>Selang + Kran Pencet Baru (GA)1/1/10000</v>
      </c>
      <c r="B1493" t="s">
        <v>11312</v>
      </c>
      <c r="C1493" t="s">
        <v>15875</v>
      </c>
      <c r="D1493" t="s">
        <v>13396</v>
      </c>
      <c r="E1493" t="s">
        <v>1867</v>
      </c>
      <c r="F1493">
        <v>1</v>
      </c>
      <c r="G1493">
        <v>1</v>
      </c>
      <c r="H1493">
        <v>1</v>
      </c>
      <c r="I1493">
        <v>1</v>
      </c>
      <c r="J1493">
        <v>2</v>
      </c>
      <c r="K1493">
        <f t="shared" si="70"/>
        <v>2</v>
      </c>
      <c r="L1493">
        <f t="shared" si="71"/>
        <v>0</v>
      </c>
      <c r="M1493">
        <v>2</v>
      </c>
      <c r="N1493" s="3" t="s">
        <v>2222</v>
      </c>
      <c r="O1493" s="6">
        <v>0</v>
      </c>
    </row>
    <row r="1494" spans="1:15">
      <c r="A1494" t="str">
        <f t="shared" si="69"/>
        <v>Selang Drip 010 X 4 X 100 HTM @0.7kg/rol (sample)1/1/10000</v>
      </c>
      <c r="B1494" t="s">
        <v>11313</v>
      </c>
      <c r="C1494" t="s">
        <v>15876</v>
      </c>
      <c r="D1494" t="s">
        <v>13397</v>
      </c>
      <c r="E1494" t="s">
        <v>1868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f t="shared" si="70"/>
        <v>1</v>
      </c>
      <c r="L1494">
        <f t="shared" si="71"/>
        <v>0</v>
      </c>
      <c r="M1494">
        <v>1</v>
      </c>
      <c r="N1494" s="3" t="s">
        <v>2222</v>
      </c>
      <c r="O1494" s="6">
        <v>0</v>
      </c>
    </row>
    <row r="1495" spans="1:15">
      <c r="A1495" t="str">
        <f t="shared" si="69"/>
        <v>Selang Drip 010 X 4 X 200 HTM @1.4kg/rol (sample)1/1/10000</v>
      </c>
      <c r="B1495" t="s">
        <v>11314</v>
      </c>
      <c r="C1495" t="s">
        <v>15877</v>
      </c>
      <c r="D1495" t="s">
        <v>13398</v>
      </c>
      <c r="E1495" t="s">
        <v>1869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f t="shared" si="70"/>
        <v>1</v>
      </c>
      <c r="L1495">
        <f t="shared" si="71"/>
        <v>0</v>
      </c>
      <c r="M1495">
        <v>1</v>
      </c>
      <c r="N1495" s="3" t="s">
        <v>2222</v>
      </c>
      <c r="O1495" s="6">
        <v>0</v>
      </c>
    </row>
    <row r="1496" spans="1:15">
      <c r="A1496" t="str">
        <f t="shared" si="69"/>
        <v>Selang Drip 015 X 4 X 100 HTM @1.2kg/rol (sample)1/1/10000</v>
      </c>
      <c r="B1496" t="s">
        <v>11315</v>
      </c>
      <c r="C1496" t="s">
        <v>15878</v>
      </c>
      <c r="D1496" t="s">
        <v>13399</v>
      </c>
      <c r="E1496" t="s">
        <v>1870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f t="shared" si="70"/>
        <v>1</v>
      </c>
      <c r="L1496">
        <f t="shared" si="71"/>
        <v>0</v>
      </c>
      <c r="M1496">
        <v>1</v>
      </c>
      <c r="N1496" s="3" t="s">
        <v>2222</v>
      </c>
      <c r="O1496" s="6">
        <v>0</v>
      </c>
    </row>
    <row r="1497" spans="1:15">
      <c r="A1497" t="str">
        <f t="shared" si="69"/>
        <v>Selang Drip 015 X 4 X 200 HTM @2.4kg/rol (sample)1/1/10000</v>
      </c>
      <c r="B1497" t="s">
        <v>11316</v>
      </c>
      <c r="C1497" t="s">
        <v>15879</v>
      </c>
      <c r="D1497" t="s">
        <v>13400</v>
      </c>
      <c r="E1497" t="s">
        <v>1871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f t="shared" si="70"/>
        <v>1</v>
      </c>
      <c r="L1497">
        <f t="shared" si="71"/>
        <v>0</v>
      </c>
      <c r="M1497">
        <v>1</v>
      </c>
      <c r="N1497" s="3" t="s">
        <v>2222</v>
      </c>
      <c r="O1497" s="6">
        <v>0</v>
      </c>
    </row>
    <row r="1498" spans="1:15">
      <c r="A1498" t="str">
        <f t="shared" si="69"/>
        <v>Selang Drip 05 X 4 X 300 HTM @0.8kg/rol (sample)1/1/10000</v>
      </c>
      <c r="B1498" t="s">
        <v>11317</v>
      </c>
      <c r="C1498" t="s">
        <v>15880</v>
      </c>
      <c r="D1498" t="s">
        <v>13401</v>
      </c>
      <c r="E1498" t="s">
        <v>1872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f t="shared" si="70"/>
        <v>1</v>
      </c>
      <c r="L1498">
        <f t="shared" si="71"/>
        <v>0</v>
      </c>
      <c r="M1498">
        <v>1</v>
      </c>
      <c r="N1498" s="3" t="s">
        <v>2222</v>
      </c>
      <c r="O1498" s="6">
        <v>0</v>
      </c>
    </row>
    <row r="1499" spans="1:15">
      <c r="A1499" t="str">
        <f t="shared" si="69"/>
        <v>Selang Drip 05 X 4 X 90 HTM @0.24kg/rol (sample)1/1/10000</v>
      </c>
      <c r="B1499" t="s">
        <v>11318</v>
      </c>
      <c r="C1499" t="s">
        <v>15881</v>
      </c>
      <c r="D1499" t="s">
        <v>13402</v>
      </c>
      <c r="E1499" t="s">
        <v>1873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f t="shared" si="70"/>
        <v>1</v>
      </c>
      <c r="L1499">
        <f t="shared" si="71"/>
        <v>0</v>
      </c>
      <c r="M1499">
        <v>1</v>
      </c>
      <c r="N1499" s="3" t="s">
        <v>2222</v>
      </c>
      <c r="O1499" s="6">
        <v>0</v>
      </c>
    </row>
    <row r="1500" spans="1:15">
      <c r="A1500" t="str">
        <f t="shared" si="69"/>
        <v>Selang Orange Komplit+G. Plastik Star Metal1/1/10000</v>
      </c>
      <c r="B1500" t="s">
        <v>11319</v>
      </c>
      <c r="C1500" t="s">
        <v>15882</v>
      </c>
      <c r="D1500" t="s">
        <v>13403</v>
      </c>
      <c r="E1500" t="s">
        <v>1874</v>
      </c>
      <c r="F1500">
        <v>1</v>
      </c>
      <c r="G1500">
        <v>1</v>
      </c>
      <c r="H1500">
        <v>1</v>
      </c>
      <c r="I1500">
        <v>1</v>
      </c>
      <c r="J1500">
        <v>817</v>
      </c>
      <c r="K1500">
        <f t="shared" si="70"/>
        <v>817</v>
      </c>
      <c r="L1500">
        <f t="shared" si="71"/>
        <v>0</v>
      </c>
      <c r="M1500">
        <v>817</v>
      </c>
      <c r="N1500" s="3" t="s">
        <v>2222</v>
      </c>
      <c r="O1500" s="6">
        <v>0</v>
      </c>
    </row>
    <row r="1501" spans="1:15">
      <c r="A1501" t="str">
        <f t="shared" si="69"/>
        <v>Selang Plastik1/1/10000</v>
      </c>
      <c r="B1501" t="s">
        <v>11320</v>
      </c>
      <c r="C1501" t="s">
        <v>15883</v>
      </c>
      <c r="D1501" t="s">
        <v>13404</v>
      </c>
      <c r="E1501" t="s">
        <v>1875</v>
      </c>
      <c r="F1501">
        <v>1</v>
      </c>
      <c r="G1501">
        <v>1</v>
      </c>
      <c r="H1501">
        <v>1</v>
      </c>
      <c r="I1501">
        <v>1</v>
      </c>
      <c r="J1501">
        <v>15</v>
      </c>
      <c r="K1501">
        <f t="shared" si="70"/>
        <v>15</v>
      </c>
      <c r="L1501">
        <f t="shared" si="71"/>
        <v>0</v>
      </c>
      <c r="M1501">
        <v>15</v>
      </c>
      <c r="N1501" s="3" t="s">
        <v>2222</v>
      </c>
      <c r="O1501" s="6">
        <v>0</v>
      </c>
    </row>
    <row r="1502" spans="1:15">
      <c r="A1502" t="str">
        <f t="shared" si="69"/>
        <v>Selang YT 4L, 5L, 7L &amp; 9L1/1/10000</v>
      </c>
      <c r="B1502" t="s">
        <v>11321</v>
      </c>
      <c r="C1502" t="s">
        <v>15884</v>
      </c>
      <c r="D1502" t="s">
        <v>13405</v>
      </c>
      <c r="E1502" t="s">
        <v>1876</v>
      </c>
      <c r="F1502">
        <v>1</v>
      </c>
      <c r="G1502">
        <v>1</v>
      </c>
      <c r="H1502">
        <v>1</v>
      </c>
      <c r="I1502">
        <v>1</v>
      </c>
      <c r="J1502">
        <v>185</v>
      </c>
      <c r="K1502">
        <f t="shared" si="70"/>
        <v>185</v>
      </c>
      <c r="L1502">
        <f t="shared" si="71"/>
        <v>0</v>
      </c>
      <c r="M1502">
        <v>185</v>
      </c>
      <c r="N1502" s="3" t="s">
        <v>2222</v>
      </c>
      <c r="O1502" s="6">
        <v>0</v>
      </c>
    </row>
    <row r="1503" spans="1:15">
      <c r="A1503" t="str">
        <f t="shared" si="69"/>
        <v>Sepeda Listrik tipe GD Golden Monkey 140 ( Kuning )1/1/10000</v>
      </c>
      <c r="B1503" t="s">
        <v>11322</v>
      </c>
      <c r="C1503" t="s">
        <v>15885</v>
      </c>
      <c r="D1503" t="s">
        <v>13406</v>
      </c>
      <c r="E1503" t="s">
        <v>1877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f t="shared" si="70"/>
        <v>1</v>
      </c>
      <c r="L1503">
        <f t="shared" si="71"/>
        <v>0</v>
      </c>
      <c r="M1503">
        <v>1</v>
      </c>
      <c r="N1503" s="3" t="s">
        <v>2222</v>
      </c>
      <c r="O1503" s="6">
        <v>0</v>
      </c>
    </row>
    <row r="1504" spans="1:15">
      <c r="A1504" t="str">
        <f t="shared" si="69"/>
        <v>Sepeda Listrik tipe GD Golden Monkey 140 ( Merah )1/1/10000</v>
      </c>
      <c r="B1504" t="s">
        <v>11323</v>
      </c>
      <c r="C1504" t="s">
        <v>15886</v>
      </c>
      <c r="D1504" t="s">
        <v>13407</v>
      </c>
      <c r="E1504" t="s">
        <v>1878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f t="shared" si="70"/>
        <v>1</v>
      </c>
      <c r="L1504">
        <f t="shared" si="71"/>
        <v>0</v>
      </c>
      <c r="M1504">
        <v>1</v>
      </c>
      <c r="N1504" s="3" t="s">
        <v>2222</v>
      </c>
      <c r="O1504" s="6">
        <v>0</v>
      </c>
    </row>
    <row r="1505" spans="1:15">
      <c r="A1505" t="str">
        <f t="shared" si="69"/>
        <v>Sepeda Motor Honda Beat 125 Biru Hitam1/1/10000</v>
      </c>
      <c r="B1505" t="s">
        <v>11324</v>
      </c>
      <c r="C1505" t="s">
        <v>15887</v>
      </c>
      <c r="D1505" t="s">
        <v>13408</v>
      </c>
      <c r="E1505" t="s">
        <v>1879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f t="shared" si="70"/>
        <v>1</v>
      </c>
      <c r="L1505">
        <f t="shared" si="71"/>
        <v>0</v>
      </c>
      <c r="M1505">
        <v>1</v>
      </c>
      <c r="N1505" s="3" t="s">
        <v>2222</v>
      </c>
      <c r="O1505" s="6">
        <v>0</v>
      </c>
    </row>
    <row r="1506" spans="1:15">
      <c r="A1506" t="str">
        <f t="shared" si="69"/>
        <v>Sepeda Motor Vario 125 Merah1/1/10000</v>
      </c>
      <c r="B1506" t="s">
        <v>11325</v>
      </c>
      <c r="C1506" t="s">
        <v>15888</v>
      </c>
      <c r="D1506" t="s">
        <v>13409</v>
      </c>
      <c r="E1506" t="s">
        <v>1880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f t="shared" si="70"/>
        <v>1</v>
      </c>
      <c r="L1506">
        <f t="shared" si="71"/>
        <v>0</v>
      </c>
      <c r="M1506">
        <v>1</v>
      </c>
      <c r="N1506" s="3" t="s">
        <v>2222</v>
      </c>
      <c r="O1506" s="6">
        <v>0</v>
      </c>
    </row>
    <row r="1507" spans="1:15">
      <c r="A1507" t="str">
        <f t="shared" si="69"/>
        <v>Sepeda Motor Yamaha Gear 125 (Hitam)1/1/10000</v>
      </c>
      <c r="B1507" t="s">
        <v>11326</v>
      </c>
      <c r="C1507" t="s">
        <v>15889</v>
      </c>
      <c r="D1507" t="s">
        <v>13410</v>
      </c>
      <c r="E1507" t="s">
        <v>1881</v>
      </c>
      <c r="F1507">
        <v>1</v>
      </c>
      <c r="G1507">
        <v>1</v>
      </c>
      <c r="H1507">
        <v>1</v>
      </c>
      <c r="I1507">
        <v>1</v>
      </c>
      <c r="J1507">
        <v>2</v>
      </c>
      <c r="K1507">
        <f t="shared" si="70"/>
        <v>2</v>
      </c>
      <c r="L1507">
        <f t="shared" si="71"/>
        <v>0</v>
      </c>
      <c r="M1507">
        <v>2</v>
      </c>
      <c r="N1507" s="3" t="s">
        <v>2222</v>
      </c>
      <c r="O1507" s="6">
        <v>0</v>
      </c>
    </row>
    <row r="1508" spans="1:15">
      <c r="A1508" t="str">
        <f t="shared" si="69"/>
        <v>Sevin 85 SP 100 X 100 gr468440</v>
      </c>
      <c r="B1508" t="s">
        <v>11327</v>
      </c>
      <c r="C1508" t="s">
        <v>15890</v>
      </c>
      <c r="D1508" t="s">
        <v>13411</v>
      </c>
      <c r="E1508" t="s">
        <v>1882</v>
      </c>
      <c r="F1508">
        <v>100</v>
      </c>
      <c r="G1508">
        <v>1</v>
      </c>
      <c r="H1508">
        <v>1</v>
      </c>
      <c r="I1508">
        <v>100</v>
      </c>
      <c r="J1508">
        <v>3235</v>
      </c>
      <c r="K1508">
        <f t="shared" si="70"/>
        <v>32</v>
      </c>
      <c r="L1508">
        <f t="shared" si="71"/>
        <v>35</v>
      </c>
      <c r="M1508">
        <v>3235</v>
      </c>
      <c r="N1508" s="3">
        <v>46844</v>
      </c>
      <c r="O1508" s="6">
        <v>0</v>
      </c>
    </row>
    <row r="1509" spans="1:15">
      <c r="A1509" t="str">
        <f t="shared" si="69"/>
        <v>SG.01 30 X 500 gr (M2U)457480</v>
      </c>
      <c r="B1509" t="s">
        <v>11328</v>
      </c>
      <c r="C1509" t="s">
        <v>15891</v>
      </c>
      <c r="D1509" t="s">
        <v>13412</v>
      </c>
      <c r="E1509" t="s">
        <v>1887</v>
      </c>
      <c r="F1509">
        <v>30</v>
      </c>
      <c r="G1509">
        <v>1</v>
      </c>
      <c r="H1509">
        <v>1</v>
      </c>
      <c r="I1509">
        <v>30</v>
      </c>
      <c r="J1509">
        <v>30</v>
      </c>
      <c r="K1509">
        <f t="shared" si="70"/>
        <v>1</v>
      </c>
      <c r="L1509">
        <f t="shared" si="71"/>
        <v>0</v>
      </c>
      <c r="M1509">
        <v>30</v>
      </c>
      <c r="N1509" s="3">
        <v>45748</v>
      </c>
      <c r="O1509" s="6">
        <v>0</v>
      </c>
    </row>
    <row r="1510" spans="1:15">
      <c r="A1510" t="str">
        <f t="shared" si="69"/>
        <v>SG.01 30 X 500 gr (M2U)458390</v>
      </c>
      <c r="B1510" t="s">
        <v>11329</v>
      </c>
      <c r="C1510" t="s">
        <v>15892</v>
      </c>
      <c r="D1510" t="s">
        <v>13413</v>
      </c>
      <c r="E1510" t="s">
        <v>1887</v>
      </c>
      <c r="F1510">
        <v>30</v>
      </c>
      <c r="G1510">
        <v>1</v>
      </c>
      <c r="H1510">
        <v>1</v>
      </c>
      <c r="I1510">
        <v>30</v>
      </c>
      <c r="J1510">
        <v>120</v>
      </c>
      <c r="K1510">
        <f t="shared" si="70"/>
        <v>4</v>
      </c>
      <c r="L1510">
        <f t="shared" si="71"/>
        <v>0</v>
      </c>
      <c r="M1510">
        <v>120</v>
      </c>
      <c r="N1510" s="3">
        <v>45839</v>
      </c>
      <c r="O1510" s="6">
        <v>0</v>
      </c>
    </row>
    <row r="1511" spans="1:15">
      <c r="A1511" t="str">
        <f t="shared" si="69"/>
        <v>SG.01 30 X 500 gr (M2U)456270</v>
      </c>
      <c r="B1511" t="s">
        <v>11330</v>
      </c>
      <c r="C1511" t="s">
        <v>15893</v>
      </c>
      <c r="D1511" t="s">
        <v>13414</v>
      </c>
      <c r="E1511" t="s">
        <v>1887</v>
      </c>
      <c r="F1511">
        <v>30</v>
      </c>
      <c r="G1511">
        <v>1</v>
      </c>
      <c r="H1511">
        <v>1</v>
      </c>
      <c r="I1511">
        <v>30</v>
      </c>
      <c r="J1511">
        <v>139</v>
      </c>
      <c r="K1511">
        <f t="shared" si="70"/>
        <v>4</v>
      </c>
      <c r="L1511">
        <f t="shared" si="71"/>
        <v>19</v>
      </c>
      <c r="M1511">
        <v>139</v>
      </c>
      <c r="N1511" s="3">
        <v>45627</v>
      </c>
      <c r="O1511" s="6">
        <v>0</v>
      </c>
    </row>
    <row r="1512" spans="1:15">
      <c r="A1512" t="str">
        <f t="shared" si="69"/>
        <v>SG.01 30 X 500 gr (M2U)457780</v>
      </c>
      <c r="B1512" t="s">
        <v>11331</v>
      </c>
      <c r="C1512" t="s">
        <v>15894</v>
      </c>
      <c r="D1512" t="s">
        <v>13415</v>
      </c>
      <c r="E1512" t="s">
        <v>1887</v>
      </c>
      <c r="F1512">
        <v>30</v>
      </c>
      <c r="G1512">
        <v>1</v>
      </c>
      <c r="H1512">
        <v>1</v>
      </c>
      <c r="I1512">
        <v>30</v>
      </c>
      <c r="J1512">
        <v>750</v>
      </c>
      <c r="K1512">
        <f t="shared" si="70"/>
        <v>25</v>
      </c>
      <c r="L1512">
        <f t="shared" si="71"/>
        <v>0</v>
      </c>
      <c r="M1512">
        <v>750</v>
      </c>
      <c r="N1512" s="3">
        <v>45778</v>
      </c>
      <c r="O1512" s="6">
        <v>0</v>
      </c>
    </row>
    <row r="1513" spans="1:15">
      <c r="A1513" t="str">
        <f t="shared" si="69"/>
        <v>SG.05 200 X 100 gr (M2U)447740</v>
      </c>
      <c r="B1513" t="s">
        <v>11332</v>
      </c>
      <c r="C1513" t="s">
        <v>15895</v>
      </c>
      <c r="D1513" t="s">
        <v>13416</v>
      </c>
      <c r="E1513" t="s">
        <v>1888</v>
      </c>
      <c r="F1513">
        <v>200</v>
      </c>
      <c r="G1513">
        <v>1</v>
      </c>
      <c r="H1513">
        <v>1</v>
      </c>
      <c r="I1513">
        <v>200</v>
      </c>
      <c r="J1513">
        <v>200</v>
      </c>
      <c r="K1513">
        <f t="shared" si="70"/>
        <v>1</v>
      </c>
      <c r="L1513">
        <f t="shared" si="71"/>
        <v>0</v>
      </c>
      <c r="M1513">
        <v>200</v>
      </c>
      <c r="N1513" s="3">
        <v>44774</v>
      </c>
      <c r="O1513" s="6">
        <v>0</v>
      </c>
    </row>
    <row r="1514" spans="1:15">
      <c r="A1514" t="str">
        <f t="shared" si="69"/>
        <v>SG.05 200 X 100 gr (M2U)458700</v>
      </c>
      <c r="B1514" t="s">
        <v>11333</v>
      </c>
      <c r="C1514" t="s">
        <v>15896</v>
      </c>
      <c r="D1514" t="s">
        <v>13417</v>
      </c>
      <c r="E1514" t="s">
        <v>1888</v>
      </c>
      <c r="F1514">
        <v>200</v>
      </c>
      <c r="G1514">
        <v>1</v>
      </c>
      <c r="H1514">
        <v>1</v>
      </c>
      <c r="I1514">
        <v>200</v>
      </c>
      <c r="J1514">
        <v>4690</v>
      </c>
      <c r="K1514">
        <f t="shared" si="70"/>
        <v>23</v>
      </c>
      <c r="L1514">
        <f t="shared" si="71"/>
        <v>90</v>
      </c>
      <c r="M1514">
        <v>4690</v>
      </c>
      <c r="N1514" s="3">
        <v>45870</v>
      </c>
      <c r="O1514" s="6">
        <v>0</v>
      </c>
    </row>
    <row r="1515" spans="1:15">
      <c r="A1515" t="str">
        <f t="shared" si="69"/>
        <v>SG.05 30 X 500 gr (M2U)458090</v>
      </c>
      <c r="B1515" t="s">
        <v>11334</v>
      </c>
      <c r="C1515" t="s">
        <v>15897</v>
      </c>
      <c r="D1515" t="s">
        <v>13418</v>
      </c>
      <c r="E1515" t="s">
        <v>1891</v>
      </c>
      <c r="F1515">
        <v>30</v>
      </c>
      <c r="G1515">
        <v>1</v>
      </c>
      <c r="H1515">
        <v>1</v>
      </c>
      <c r="I1515">
        <v>30</v>
      </c>
      <c r="J1515">
        <v>14</v>
      </c>
      <c r="K1515">
        <f t="shared" si="70"/>
        <v>0</v>
      </c>
      <c r="L1515">
        <f t="shared" si="71"/>
        <v>14</v>
      </c>
      <c r="M1515">
        <v>14</v>
      </c>
      <c r="N1515" s="3">
        <v>45809</v>
      </c>
      <c r="O1515" s="6">
        <v>0</v>
      </c>
    </row>
    <row r="1516" spans="1:15">
      <c r="A1516" t="str">
        <f t="shared" si="69"/>
        <v>SG.05 30 X 500 gr (M2U)458390</v>
      </c>
      <c r="B1516" t="s">
        <v>11335</v>
      </c>
      <c r="C1516" t="s">
        <v>15898</v>
      </c>
      <c r="D1516" t="s">
        <v>13419</v>
      </c>
      <c r="E1516" t="s">
        <v>1891</v>
      </c>
      <c r="F1516">
        <v>30</v>
      </c>
      <c r="G1516">
        <v>1</v>
      </c>
      <c r="H1516">
        <v>1</v>
      </c>
      <c r="I1516">
        <v>30</v>
      </c>
      <c r="J1516">
        <v>390</v>
      </c>
      <c r="K1516">
        <f t="shared" si="70"/>
        <v>13</v>
      </c>
      <c r="L1516">
        <f t="shared" si="71"/>
        <v>0</v>
      </c>
      <c r="M1516">
        <v>390</v>
      </c>
      <c r="N1516" s="3">
        <v>45839</v>
      </c>
      <c r="O1516" s="6">
        <v>0</v>
      </c>
    </row>
    <row r="1517" spans="1:15">
      <c r="A1517" t="str">
        <f t="shared" si="69"/>
        <v>Shallot 600 SL 10 X 460 ml (Sample)1/1/10000</v>
      </c>
      <c r="B1517" t="s">
        <v>11336</v>
      </c>
      <c r="C1517" t="s">
        <v>15899</v>
      </c>
      <c r="D1517" t="s">
        <v>13420</v>
      </c>
      <c r="E1517" t="s">
        <v>1892</v>
      </c>
      <c r="F1517">
        <v>10</v>
      </c>
      <c r="G1517">
        <v>1</v>
      </c>
      <c r="H1517">
        <v>1</v>
      </c>
      <c r="I1517">
        <v>10</v>
      </c>
      <c r="J1517">
        <v>40</v>
      </c>
      <c r="K1517">
        <f t="shared" si="70"/>
        <v>4</v>
      </c>
      <c r="L1517">
        <f t="shared" si="71"/>
        <v>0</v>
      </c>
      <c r="M1517">
        <v>40</v>
      </c>
      <c r="N1517" s="3" t="s">
        <v>2222</v>
      </c>
      <c r="O1517" s="6">
        <v>0</v>
      </c>
    </row>
    <row r="1518" spans="1:15">
      <c r="A1518" t="str">
        <f t="shared" si="69"/>
        <v>Sign Board Associate1/1/10000</v>
      </c>
      <c r="B1518" t="s">
        <v>11337</v>
      </c>
      <c r="C1518" t="s">
        <v>15900</v>
      </c>
      <c r="D1518" t="s">
        <v>13421</v>
      </c>
      <c r="E1518" t="s">
        <v>1893</v>
      </c>
      <c r="F1518">
        <v>1</v>
      </c>
      <c r="G1518">
        <v>1</v>
      </c>
      <c r="H1518">
        <v>1</v>
      </c>
      <c r="I1518">
        <v>1</v>
      </c>
      <c r="J1518">
        <v>175</v>
      </c>
      <c r="K1518">
        <f t="shared" si="70"/>
        <v>175</v>
      </c>
      <c r="L1518">
        <f t="shared" si="71"/>
        <v>0</v>
      </c>
      <c r="M1518">
        <v>175</v>
      </c>
      <c r="N1518" s="3" t="s">
        <v>2222</v>
      </c>
      <c r="O1518" s="6">
        <v>0</v>
      </c>
    </row>
    <row r="1519" spans="1:15">
      <c r="A1519" t="str">
        <f t="shared" si="69"/>
        <v>Siklon 5.7 WG 4 X 40 X 25 gr470880</v>
      </c>
      <c r="B1519" t="s">
        <v>11338</v>
      </c>
      <c r="C1519" t="s">
        <v>15901</v>
      </c>
      <c r="D1519" t="s">
        <v>13422</v>
      </c>
      <c r="E1519" t="s">
        <v>1894</v>
      </c>
      <c r="F1519">
        <v>4</v>
      </c>
      <c r="G1519">
        <v>40</v>
      </c>
      <c r="H1519">
        <v>1</v>
      </c>
      <c r="I1519">
        <v>160</v>
      </c>
      <c r="J1519">
        <v>3333</v>
      </c>
      <c r="K1519">
        <f t="shared" si="70"/>
        <v>20</v>
      </c>
      <c r="L1519">
        <f t="shared" si="71"/>
        <v>133</v>
      </c>
      <c r="M1519">
        <v>3333</v>
      </c>
      <c r="N1519" s="3">
        <v>47088</v>
      </c>
      <c r="O1519" s="6">
        <v>0</v>
      </c>
    </row>
    <row r="1520" spans="1:15">
      <c r="A1520" t="str">
        <f t="shared" si="69"/>
        <v>Simodis 100 DC 50 X 100 ml464470</v>
      </c>
      <c r="B1520" t="s">
        <v>11339</v>
      </c>
      <c r="C1520" t="s">
        <v>15902</v>
      </c>
      <c r="D1520" t="s">
        <v>13423</v>
      </c>
      <c r="E1520" t="s">
        <v>1895</v>
      </c>
      <c r="F1520">
        <v>50</v>
      </c>
      <c r="G1520">
        <v>1</v>
      </c>
      <c r="H1520">
        <v>1</v>
      </c>
      <c r="I1520">
        <v>50</v>
      </c>
      <c r="J1520">
        <v>41</v>
      </c>
      <c r="K1520">
        <f t="shared" si="70"/>
        <v>0</v>
      </c>
      <c r="L1520">
        <f t="shared" si="71"/>
        <v>41</v>
      </c>
      <c r="M1520">
        <v>41</v>
      </c>
      <c r="N1520" s="3">
        <v>46447</v>
      </c>
      <c r="O1520" s="6">
        <v>0</v>
      </c>
    </row>
    <row r="1521" spans="1:15">
      <c r="A1521" t="str">
        <f t="shared" si="69"/>
        <v>Simodis 100 DC 50 X 100 ml464780</v>
      </c>
      <c r="B1521" t="s">
        <v>11340</v>
      </c>
      <c r="C1521" t="s">
        <v>15903</v>
      </c>
      <c r="D1521" t="s">
        <v>13424</v>
      </c>
      <c r="E1521" t="s">
        <v>1895</v>
      </c>
      <c r="F1521">
        <v>50</v>
      </c>
      <c r="G1521">
        <v>1</v>
      </c>
      <c r="H1521">
        <v>1</v>
      </c>
      <c r="I1521">
        <v>50</v>
      </c>
      <c r="J1521">
        <v>1500</v>
      </c>
      <c r="K1521">
        <f t="shared" si="70"/>
        <v>30</v>
      </c>
      <c r="L1521">
        <f t="shared" si="71"/>
        <v>0</v>
      </c>
      <c r="M1521">
        <v>1500</v>
      </c>
      <c r="N1521" s="3">
        <v>46478</v>
      </c>
      <c r="O1521" s="6">
        <v>0</v>
      </c>
    </row>
    <row r="1522" spans="1:15">
      <c r="A1522" t="str">
        <f t="shared" si="69"/>
        <v>Sinagrowth 20 TB 100 X 10 X 5 gr462040</v>
      </c>
      <c r="B1522" t="s">
        <v>11341</v>
      </c>
      <c r="C1522" t="s">
        <v>15904</v>
      </c>
      <c r="D1522" t="s">
        <v>13425</v>
      </c>
      <c r="E1522" t="s">
        <v>1900</v>
      </c>
      <c r="F1522">
        <v>10</v>
      </c>
      <c r="G1522">
        <v>100</v>
      </c>
      <c r="H1522">
        <v>1</v>
      </c>
      <c r="I1522">
        <v>1000</v>
      </c>
      <c r="J1522">
        <v>8470</v>
      </c>
      <c r="K1522">
        <f t="shared" si="70"/>
        <v>8</v>
      </c>
      <c r="L1522">
        <f t="shared" si="71"/>
        <v>470</v>
      </c>
      <c r="M1522">
        <v>8470</v>
      </c>
      <c r="N1522" s="3">
        <v>46204</v>
      </c>
      <c r="O1522" s="6">
        <v>0</v>
      </c>
    </row>
    <row r="1523" spans="1:15">
      <c r="A1523" t="str">
        <f t="shared" si="69"/>
        <v>Sinasen 300 SC 40 X 250 ml469050</v>
      </c>
      <c r="B1523" t="s">
        <v>11342</v>
      </c>
      <c r="C1523" t="s">
        <v>15905</v>
      </c>
      <c r="D1523" t="s">
        <v>13426</v>
      </c>
      <c r="E1523" t="s">
        <v>1901</v>
      </c>
      <c r="F1523">
        <v>40</v>
      </c>
      <c r="G1523">
        <v>1</v>
      </c>
      <c r="H1523">
        <v>1</v>
      </c>
      <c r="I1523">
        <v>40</v>
      </c>
      <c r="J1523">
        <v>285</v>
      </c>
      <c r="K1523">
        <f t="shared" si="70"/>
        <v>7</v>
      </c>
      <c r="L1523">
        <f t="shared" si="71"/>
        <v>5</v>
      </c>
      <c r="M1523">
        <v>285</v>
      </c>
      <c r="N1523" s="3">
        <v>46905</v>
      </c>
      <c r="O1523" s="6">
        <v>0</v>
      </c>
    </row>
    <row r="1524" spans="1:15">
      <c r="A1524" t="str">
        <f t="shared" si="69"/>
        <v>Sinasen 300 SC 40 X 250 ml469350</v>
      </c>
      <c r="B1524" t="s">
        <v>11343</v>
      </c>
      <c r="C1524" t="s">
        <v>15906</v>
      </c>
      <c r="D1524" t="s">
        <v>13427</v>
      </c>
      <c r="E1524" t="s">
        <v>1901</v>
      </c>
      <c r="F1524">
        <v>40</v>
      </c>
      <c r="G1524">
        <v>1</v>
      </c>
      <c r="H1524">
        <v>1</v>
      </c>
      <c r="I1524">
        <v>40</v>
      </c>
      <c r="J1524">
        <v>2760</v>
      </c>
      <c r="K1524">
        <f t="shared" si="70"/>
        <v>69</v>
      </c>
      <c r="L1524">
        <f t="shared" si="71"/>
        <v>0</v>
      </c>
      <c r="M1524">
        <v>2760</v>
      </c>
      <c r="N1524" s="3">
        <v>46935</v>
      </c>
      <c r="O1524" s="6">
        <v>0</v>
      </c>
    </row>
    <row r="1525" spans="1:15">
      <c r="A1525" t="str">
        <f t="shared" si="69"/>
        <v>Sinasen 300 SC 40 X 250 ml (Sample)469050</v>
      </c>
      <c r="B1525" t="s">
        <v>11344</v>
      </c>
      <c r="C1525" t="s">
        <v>15907</v>
      </c>
      <c r="D1525" t="s">
        <v>13428</v>
      </c>
      <c r="E1525" t="s">
        <v>1902</v>
      </c>
      <c r="F1525">
        <v>40</v>
      </c>
      <c r="G1525">
        <v>1</v>
      </c>
      <c r="H1525">
        <v>1</v>
      </c>
      <c r="I1525">
        <v>40</v>
      </c>
      <c r="J1525">
        <v>6</v>
      </c>
      <c r="K1525">
        <f t="shared" si="70"/>
        <v>0</v>
      </c>
      <c r="L1525">
        <f t="shared" si="71"/>
        <v>6</v>
      </c>
      <c r="M1525">
        <v>6</v>
      </c>
      <c r="N1525" s="3">
        <v>46905</v>
      </c>
      <c r="O1525" s="6">
        <v>0</v>
      </c>
    </row>
    <row r="1526" spans="1:15">
      <c r="A1526" t="str">
        <f t="shared" si="69"/>
        <v>Sinergy 300 EC 40 X 250 ml469350</v>
      </c>
      <c r="B1526" t="s">
        <v>11345</v>
      </c>
      <c r="C1526" t="s">
        <v>15908</v>
      </c>
      <c r="D1526" t="s">
        <v>13429</v>
      </c>
      <c r="E1526" t="s">
        <v>1903</v>
      </c>
      <c r="F1526">
        <v>40</v>
      </c>
      <c r="G1526">
        <v>1</v>
      </c>
      <c r="H1526">
        <v>1</v>
      </c>
      <c r="I1526">
        <v>40</v>
      </c>
      <c r="J1526">
        <v>1</v>
      </c>
      <c r="K1526">
        <f t="shared" si="70"/>
        <v>0</v>
      </c>
      <c r="L1526">
        <f t="shared" si="71"/>
        <v>1</v>
      </c>
      <c r="M1526">
        <v>1</v>
      </c>
      <c r="N1526" s="3">
        <v>46935</v>
      </c>
      <c r="O1526" s="6">
        <v>0</v>
      </c>
    </row>
    <row r="1527" spans="1:15">
      <c r="A1527" t="str">
        <f t="shared" si="69"/>
        <v>Sinergy 300 EC 40 X 250 ml467840</v>
      </c>
      <c r="B1527" t="s">
        <v>11346</v>
      </c>
      <c r="C1527" t="s">
        <v>15909</v>
      </c>
      <c r="D1527" t="s">
        <v>13430</v>
      </c>
      <c r="E1527" t="s">
        <v>1903</v>
      </c>
      <c r="F1527">
        <v>40</v>
      </c>
      <c r="G1527">
        <v>1</v>
      </c>
      <c r="H1527">
        <v>1</v>
      </c>
      <c r="I1527">
        <v>40</v>
      </c>
      <c r="J1527">
        <v>3</v>
      </c>
      <c r="K1527">
        <f t="shared" si="70"/>
        <v>0</v>
      </c>
      <c r="L1527">
        <f t="shared" si="71"/>
        <v>3</v>
      </c>
      <c r="M1527">
        <v>3</v>
      </c>
      <c r="N1527" s="3">
        <v>46784</v>
      </c>
      <c r="O1527" s="6">
        <v>0</v>
      </c>
    </row>
    <row r="1528" spans="1:15">
      <c r="A1528" t="str">
        <f t="shared" si="69"/>
        <v>Sinergy 300 EC 40 X 250 ml469660</v>
      </c>
      <c r="B1528" t="s">
        <v>11347</v>
      </c>
      <c r="C1528" t="s">
        <v>15910</v>
      </c>
      <c r="D1528" t="s">
        <v>13431</v>
      </c>
      <c r="E1528" t="s">
        <v>1903</v>
      </c>
      <c r="F1528">
        <v>40</v>
      </c>
      <c r="G1528">
        <v>1</v>
      </c>
      <c r="H1528">
        <v>1</v>
      </c>
      <c r="I1528">
        <v>40</v>
      </c>
      <c r="J1528">
        <v>40</v>
      </c>
      <c r="K1528">
        <f t="shared" si="70"/>
        <v>1</v>
      </c>
      <c r="L1528">
        <f t="shared" si="71"/>
        <v>0</v>
      </c>
      <c r="M1528">
        <v>40</v>
      </c>
      <c r="N1528" s="3">
        <v>46966</v>
      </c>
      <c r="O1528" s="6">
        <v>0</v>
      </c>
    </row>
    <row r="1529" spans="1:15">
      <c r="A1529" t="str">
        <f t="shared" si="69"/>
        <v>Sinergy 300 EC 40 X 250 ml470270</v>
      </c>
      <c r="B1529" t="s">
        <v>11348</v>
      </c>
      <c r="C1529" t="s">
        <v>15911</v>
      </c>
      <c r="D1529" t="s">
        <v>13432</v>
      </c>
      <c r="E1529" t="s">
        <v>1903</v>
      </c>
      <c r="F1529">
        <v>40</v>
      </c>
      <c r="G1529">
        <v>1</v>
      </c>
      <c r="H1529">
        <v>1</v>
      </c>
      <c r="I1529">
        <v>40</v>
      </c>
      <c r="J1529">
        <v>243</v>
      </c>
      <c r="K1529">
        <f t="shared" si="70"/>
        <v>6</v>
      </c>
      <c r="L1529">
        <f t="shared" si="71"/>
        <v>3</v>
      </c>
      <c r="M1529">
        <v>243</v>
      </c>
      <c r="N1529" s="3">
        <v>47027</v>
      </c>
      <c r="O1529" s="6">
        <v>0</v>
      </c>
    </row>
    <row r="1530" spans="1:15">
      <c r="A1530" t="str">
        <f t="shared" si="69"/>
        <v>Sinergy 300 EC 40 X 250 ml472390</v>
      </c>
      <c r="B1530" t="s">
        <v>11349</v>
      </c>
      <c r="C1530" t="s">
        <v>15912</v>
      </c>
      <c r="D1530" t="s">
        <v>13433</v>
      </c>
      <c r="E1530" t="s">
        <v>1903</v>
      </c>
      <c r="F1530">
        <v>40</v>
      </c>
      <c r="G1530">
        <v>1</v>
      </c>
      <c r="H1530">
        <v>1</v>
      </c>
      <c r="I1530">
        <v>40</v>
      </c>
      <c r="J1530">
        <v>1800</v>
      </c>
      <c r="K1530">
        <f t="shared" si="70"/>
        <v>45</v>
      </c>
      <c r="L1530">
        <f t="shared" si="71"/>
        <v>0</v>
      </c>
      <c r="M1530">
        <v>1800</v>
      </c>
      <c r="N1530" s="3">
        <v>47239</v>
      </c>
      <c r="O1530" s="6">
        <v>0</v>
      </c>
    </row>
    <row r="1531" spans="1:15">
      <c r="A1531" t="str">
        <f t="shared" si="69"/>
        <v>Sinergy 300 EC 40 X 250 ml472700</v>
      </c>
      <c r="B1531" t="s">
        <v>11350</v>
      </c>
      <c r="C1531" t="s">
        <v>15913</v>
      </c>
      <c r="D1531" t="s">
        <v>13434</v>
      </c>
      <c r="E1531" t="s">
        <v>1903</v>
      </c>
      <c r="F1531">
        <v>40</v>
      </c>
      <c r="G1531">
        <v>1</v>
      </c>
      <c r="H1531">
        <v>1</v>
      </c>
      <c r="I1531">
        <v>40</v>
      </c>
      <c r="J1531">
        <v>3720</v>
      </c>
      <c r="K1531">
        <f t="shared" si="70"/>
        <v>93</v>
      </c>
      <c r="L1531">
        <f t="shared" si="71"/>
        <v>0</v>
      </c>
      <c r="M1531">
        <v>3720</v>
      </c>
      <c r="N1531" s="3">
        <v>47270</v>
      </c>
      <c r="O1531" s="6">
        <v>0</v>
      </c>
    </row>
    <row r="1532" spans="1:15">
      <c r="A1532" t="str">
        <f t="shared" si="69"/>
        <v>Sinergy 300 EC 40 X 250 ml471780</v>
      </c>
      <c r="B1532" t="s">
        <v>11351</v>
      </c>
      <c r="C1532" t="s">
        <v>15914</v>
      </c>
      <c r="D1532" t="s">
        <v>13435</v>
      </c>
      <c r="E1532" t="s">
        <v>1903</v>
      </c>
      <c r="F1532">
        <v>40</v>
      </c>
      <c r="G1532">
        <v>1</v>
      </c>
      <c r="H1532">
        <v>1</v>
      </c>
      <c r="I1532">
        <v>40</v>
      </c>
      <c r="J1532">
        <v>4880</v>
      </c>
      <c r="K1532">
        <f t="shared" si="70"/>
        <v>122</v>
      </c>
      <c r="L1532">
        <f t="shared" si="71"/>
        <v>0</v>
      </c>
      <c r="M1532">
        <v>4880</v>
      </c>
      <c r="N1532" s="3">
        <v>47178</v>
      </c>
      <c r="O1532" s="6">
        <v>0</v>
      </c>
    </row>
    <row r="1533" spans="1:15">
      <c r="A1533" t="str">
        <f t="shared" si="69"/>
        <v>Sinergy 300 EC 50 X 80 ml468740</v>
      </c>
      <c r="B1533" t="s">
        <v>11352</v>
      </c>
      <c r="C1533" t="s">
        <v>15915</v>
      </c>
      <c r="D1533" t="s">
        <v>13436</v>
      </c>
      <c r="E1533" t="s">
        <v>1904</v>
      </c>
      <c r="F1533">
        <v>50</v>
      </c>
      <c r="G1533">
        <v>1</v>
      </c>
      <c r="H1533">
        <v>1</v>
      </c>
      <c r="I1533">
        <v>50</v>
      </c>
      <c r="J1533">
        <v>35</v>
      </c>
      <c r="K1533">
        <f t="shared" si="70"/>
        <v>0</v>
      </c>
      <c r="L1533">
        <f t="shared" si="71"/>
        <v>35</v>
      </c>
      <c r="M1533">
        <v>35</v>
      </c>
      <c r="N1533" s="3">
        <v>46874</v>
      </c>
      <c r="O1533" s="6">
        <v>0</v>
      </c>
    </row>
    <row r="1534" spans="1:15">
      <c r="A1534" t="str">
        <f t="shared" si="69"/>
        <v>Sinergy 300 EC 50 X 80 ml472390</v>
      </c>
      <c r="B1534" t="s">
        <v>11353</v>
      </c>
      <c r="C1534" t="s">
        <v>15916</v>
      </c>
      <c r="D1534" t="s">
        <v>13437</v>
      </c>
      <c r="E1534" t="s">
        <v>1904</v>
      </c>
      <c r="F1534">
        <v>50</v>
      </c>
      <c r="G1534">
        <v>1</v>
      </c>
      <c r="H1534">
        <v>1</v>
      </c>
      <c r="I1534">
        <v>50</v>
      </c>
      <c r="J1534">
        <v>650</v>
      </c>
      <c r="K1534">
        <f t="shared" si="70"/>
        <v>13</v>
      </c>
      <c r="L1534">
        <f t="shared" si="71"/>
        <v>0</v>
      </c>
      <c r="M1534">
        <v>650</v>
      </c>
      <c r="N1534" s="3">
        <v>47239</v>
      </c>
      <c r="O1534" s="6">
        <v>0</v>
      </c>
    </row>
    <row r="1535" spans="1:15">
      <c r="A1535" t="str">
        <f t="shared" si="69"/>
        <v>Sinergy 300 EC 50 X 80 ml472700</v>
      </c>
      <c r="B1535" t="s">
        <v>11354</v>
      </c>
      <c r="C1535" t="s">
        <v>15917</v>
      </c>
      <c r="D1535" t="s">
        <v>13438</v>
      </c>
      <c r="E1535" t="s">
        <v>1904</v>
      </c>
      <c r="F1535">
        <v>50</v>
      </c>
      <c r="G1535">
        <v>1</v>
      </c>
      <c r="H1535">
        <v>1</v>
      </c>
      <c r="I1535">
        <v>50</v>
      </c>
      <c r="J1535">
        <v>5600</v>
      </c>
      <c r="K1535">
        <f t="shared" si="70"/>
        <v>112</v>
      </c>
      <c r="L1535">
        <f t="shared" si="71"/>
        <v>0</v>
      </c>
      <c r="M1535">
        <v>5600</v>
      </c>
      <c r="N1535" s="3">
        <v>47270</v>
      </c>
      <c r="O1535" s="6">
        <v>0</v>
      </c>
    </row>
    <row r="1536" spans="1:15">
      <c r="A1536" t="str">
        <f t="shared" si="69"/>
        <v>Sivanto Prime 200 SL 100 X 100 ml460540</v>
      </c>
      <c r="B1536" t="s">
        <v>11355</v>
      </c>
      <c r="C1536" t="s">
        <v>15918</v>
      </c>
      <c r="D1536" t="s">
        <v>13439</v>
      </c>
      <c r="E1536" t="s">
        <v>1905</v>
      </c>
      <c r="F1536">
        <v>100</v>
      </c>
      <c r="G1536">
        <v>1</v>
      </c>
      <c r="H1536">
        <v>1</v>
      </c>
      <c r="I1536">
        <v>100</v>
      </c>
      <c r="J1536">
        <v>3274</v>
      </c>
      <c r="K1536">
        <f t="shared" si="70"/>
        <v>32</v>
      </c>
      <c r="L1536">
        <f t="shared" si="71"/>
        <v>74</v>
      </c>
      <c r="M1536">
        <v>3274</v>
      </c>
      <c r="N1536" s="3">
        <v>46054</v>
      </c>
      <c r="O1536" s="6">
        <v>0</v>
      </c>
    </row>
    <row r="1537" spans="1:15">
      <c r="A1537" t="str">
        <f t="shared" si="69"/>
        <v>Skies 20 ltr461740</v>
      </c>
      <c r="B1537" t="s">
        <v>11356</v>
      </c>
      <c r="C1537" t="s">
        <v>15919</v>
      </c>
      <c r="D1537" t="s">
        <v>13440</v>
      </c>
      <c r="E1537" t="s">
        <v>1907</v>
      </c>
      <c r="F1537">
        <v>1</v>
      </c>
      <c r="G1537">
        <v>1</v>
      </c>
      <c r="H1537">
        <v>1</v>
      </c>
      <c r="I1537">
        <v>1</v>
      </c>
      <c r="J1537">
        <v>20</v>
      </c>
      <c r="K1537">
        <f t="shared" si="70"/>
        <v>20</v>
      </c>
      <c r="L1537">
        <f t="shared" si="71"/>
        <v>0</v>
      </c>
      <c r="M1537">
        <v>20</v>
      </c>
      <c r="N1537" s="3">
        <v>46174</v>
      </c>
      <c r="O1537" s="6">
        <v>0</v>
      </c>
    </row>
    <row r="1538" spans="1:15">
      <c r="A1538" t="str">
        <f t="shared" si="69"/>
        <v>Skies 4 X 5 ltr457480</v>
      </c>
      <c r="B1538" t="s">
        <v>11357</v>
      </c>
      <c r="C1538" t="s">
        <v>15920</v>
      </c>
      <c r="D1538" t="s">
        <v>13441</v>
      </c>
      <c r="E1538" t="s">
        <v>1908</v>
      </c>
      <c r="F1538">
        <v>4</v>
      </c>
      <c r="G1538">
        <v>1</v>
      </c>
      <c r="H1538">
        <v>1</v>
      </c>
      <c r="I1538">
        <v>4</v>
      </c>
      <c r="J1538">
        <v>92</v>
      </c>
      <c r="K1538">
        <f t="shared" si="70"/>
        <v>23</v>
      </c>
      <c r="L1538">
        <f t="shared" si="71"/>
        <v>0</v>
      </c>
      <c r="M1538">
        <v>92</v>
      </c>
      <c r="N1538" s="3">
        <v>45748</v>
      </c>
      <c r="O1538" s="6">
        <v>0</v>
      </c>
    </row>
    <row r="1539" spans="1:15">
      <c r="A1539" t="str">
        <f t="shared" ref="A1539:A1602" si="72">E1539&amp;N1539&amp;O1539</f>
        <v>Snowden 30 EC 100 ml (sampel)1/1/10000</v>
      </c>
      <c r="B1539" t="s">
        <v>11358</v>
      </c>
      <c r="C1539" t="s">
        <v>15921</v>
      </c>
      <c r="D1539" t="s">
        <v>13442</v>
      </c>
      <c r="E1539" t="s">
        <v>1914</v>
      </c>
      <c r="F1539">
        <v>1</v>
      </c>
      <c r="G1539">
        <v>1</v>
      </c>
      <c r="H1539">
        <v>1</v>
      </c>
      <c r="I1539">
        <v>1</v>
      </c>
      <c r="J1539">
        <v>7</v>
      </c>
      <c r="K1539">
        <f t="shared" ref="K1539:K1602" si="73">ROUNDDOWN(J1539/I1539,0)</f>
        <v>7</v>
      </c>
      <c r="L1539">
        <f t="shared" ref="L1539:L1602" si="74">J1539-K1539*I1539</f>
        <v>0</v>
      </c>
      <c r="M1539">
        <v>7</v>
      </c>
      <c r="N1539" s="3" t="s">
        <v>2222</v>
      </c>
      <c r="O1539" s="6">
        <v>0</v>
      </c>
    </row>
    <row r="1540" spans="1:15">
      <c r="A1540" t="str">
        <f t="shared" si="72"/>
        <v>Sofia 200/70/30 OD 16 X 500 ml466310</v>
      </c>
      <c r="B1540" t="s">
        <v>11359</v>
      </c>
      <c r="C1540" t="s">
        <v>15922</v>
      </c>
      <c r="D1540" t="s">
        <v>13443</v>
      </c>
      <c r="E1540" t="s">
        <v>1915</v>
      </c>
      <c r="F1540">
        <v>16</v>
      </c>
      <c r="G1540">
        <v>1</v>
      </c>
      <c r="H1540">
        <v>1</v>
      </c>
      <c r="I1540">
        <v>16</v>
      </c>
      <c r="J1540">
        <v>7</v>
      </c>
      <c r="K1540">
        <f t="shared" si="73"/>
        <v>0</v>
      </c>
      <c r="L1540">
        <f t="shared" si="74"/>
        <v>7</v>
      </c>
      <c r="M1540">
        <v>7</v>
      </c>
      <c r="N1540" s="3">
        <v>46631</v>
      </c>
      <c r="O1540" s="6">
        <v>0</v>
      </c>
    </row>
    <row r="1541" spans="1:15">
      <c r="A1541" t="str">
        <f t="shared" si="72"/>
        <v>Sofia 200/70/30 OD 32 X 250 ml464470</v>
      </c>
      <c r="B1541" t="s">
        <v>11360</v>
      </c>
      <c r="C1541" t="s">
        <v>15923</v>
      </c>
      <c r="D1541" t="s">
        <v>13444</v>
      </c>
      <c r="E1541" t="s">
        <v>1916</v>
      </c>
      <c r="F1541">
        <v>32</v>
      </c>
      <c r="G1541">
        <v>1</v>
      </c>
      <c r="H1541">
        <v>1</v>
      </c>
      <c r="I1541">
        <v>32</v>
      </c>
      <c r="J1541">
        <v>137</v>
      </c>
      <c r="K1541">
        <f t="shared" si="73"/>
        <v>4</v>
      </c>
      <c r="L1541">
        <f t="shared" si="74"/>
        <v>9</v>
      </c>
      <c r="M1541">
        <v>137</v>
      </c>
      <c r="N1541" s="3">
        <v>46447</v>
      </c>
      <c r="O1541" s="6">
        <v>0</v>
      </c>
    </row>
    <row r="1542" spans="1:15">
      <c r="A1542" t="str">
        <f t="shared" si="72"/>
        <v>Sofia 200/70/30 OD 32 X 250 ml466000</v>
      </c>
      <c r="B1542" t="s">
        <v>11361</v>
      </c>
      <c r="C1542" t="s">
        <v>15924</v>
      </c>
      <c r="D1542" t="s">
        <v>13445</v>
      </c>
      <c r="E1542" t="s">
        <v>1916</v>
      </c>
      <c r="F1542">
        <v>32</v>
      </c>
      <c r="G1542">
        <v>1</v>
      </c>
      <c r="H1542">
        <v>1</v>
      </c>
      <c r="I1542">
        <v>32</v>
      </c>
      <c r="J1542">
        <v>704</v>
      </c>
      <c r="K1542">
        <f t="shared" si="73"/>
        <v>22</v>
      </c>
      <c r="L1542">
        <f t="shared" si="74"/>
        <v>0</v>
      </c>
      <c r="M1542">
        <v>704</v>
      </c>
      <c r="N1542" s="3">
        <v>46600</v>
      </c>
      <c r="O1542" s="6">
        <v>0</v>
      </c>
    </row>
    <row r="1543" spans="1:15">
      <c r="A1543" t="str">
        <f t="shared" si="72"/>
        <v>Sofia 200/70/30 OD 8 X 1 ltr466310</v>
      </c>
      <c r="B1543" t="s">
        <v>11362</v>
      </c>
      <c r="C1543" t="s">
        <v>15925</v>
      </c>
      <c r="D1543" t="s">
        <v>13446</v>
      </c>
      <c r="E1543" t="s">
        <v>1917</v>
      </c>
      <c r="F1543">
        <v>8</v>
      </c>
      <c r="G1543">
        <v>1</v>
      </c>
      <c r="H1543">
        <v>1</v>
      </c>
      <c r="I1543">
        <v>8</v>
      </c>
      <c r="J1543">
        <v>975</v>
      </c>
      <c r="K1543">
        <f t="shared" si="73"/>
        <v>121</v>
      </c>
      <c r="L1543">
        <f t="shared" si="74"/>
        <v>7</v>
      </c>
      <c r="M1543">
        <v>975</v>
      </c>
      <c r="N1543" s="3">
        <v>46631</v>
      </c>
      <c r="O1543" s="6">
        <v>0</v>
      </c>
    </row>
    <row r="1544" spans="1:15">
      <c r="A1544" t="str">
        <f t="shared" si="72"/>
        <v>Sofia 200/70/30 OD 8 X 1 ltr466920</v>
      </c>
      <c r="B1544" t="s">
        <v>11363</v>
      </c>
      <c r="C1544" t="s">
        <v>15926</v>
      </c>
      <c r="D1544" t="s">
        <v>13447</v>
      </c>
      <c r="E1544" t="s">
        <v>1917</v>
      </c>
      <c r="F1544">
        <v>8</v>
      </c>
      <c r="G1544">
        <v>1</v>
      </c>
      <c r="H1544">
        <v>1</v>
      </c>
      <c r="I1544">
        <v>8</v>
      </c>
      <c r="J1544">
        <v>1192</v>
      </c>
      <c r="K1544">
        <f t="shared" si="73"/>
        <v>149</v>
      </c>
      <c r="L1544">
        <f t="shared" si="74"/>
        <v>0</v>
      </c>
      <c r="M1544">
        <v>1192</v>
      </c>
      <c r="N1544" s="3">
        <v>46692</v>
      </c>
      <c r="O1544" s="6">
        <v>0</v>
      </c>
    </row>
    <row r="1545" spans="1:15">
      <c r="A1545" t="str">
        <f t="shared" si="72"/>
        <v>Sofia 200/70/30 OD 8 X 1 ltr467220</v>
      </c>
      <c r="B1545" t="s">
        <v>11364</v>
      </c>
      <c r="C1545" t="s">
        <v>15927</v>
      </c>
      <c r="D1545" t="s">
        <v>13448</v>
      </c>
      <c r="E1545" t="s">
        <v>1917</v>
      </c>
      <c r="F1545">
        <v>8</v>
      </c>
      <c r="G1545">
        <v>1</v>
      </c>
      <c r="H1545">
        <v>1</v>
      </c>
      <c r="I1545">
        <v>8</v>
      </c>
      <c r="J1545">
        <v>288</v>
      </c>
      <c r="K1545">
        <f t="shared" si="73"/>
        <v>36</v>
      </c>
      <c r="L1545">
        <f t="shared" si="74"/>
        <v>0</v>
      </c>
      <c r="M1545">
        <v>288</v>
      </c>
      <c r="N1545" s="3">
        <v>46722</v>
      </c>
      <c r="O1545" s="6">
        <v>0</v>
      </c>
    </row>
    <row r="1546" spans="1:15">
      <c r="A1546" t="str">
        <f t="shared" si="72"/>
        <v>Sorexin 100 SC 250 ml (Sample)1/1/10000</v>
      </c>
      <c r="B1546" t="s">
        <v>11365</v>
      </c>
      <c r="C1546" t="s">
        <v>15928</v>
      </c>
      <c r="D1546" t="s">
        <v>13449</v>
      </c>
      <c r="E1546" t="s">
        <v>1918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f t="shared" si="73"/>
        <v>1</v>
      </c>
      <c r="L1546">
        <f t="shared" si="74"/>
        <v>0</v>
      </c>
      <c r="M1546">
        <v>1</v>
      </c>
      <c r="N1546" s="3" t="s">
        <v>2222</v>
      </c>
      <c r="O1546" s="6">
        <v>0</v>
      </c>
    </row>
    <row r="1547" spans="1:15">
      <c r="A1547" t="str">
        <f t="shared" si="72"/>
        <v>Sortie 36/6 WP 30 X 400 gr (M2U)460230</v>
      </c>
      <c r="B1547" t="s">
        <v>11366</v>
      </c>
      <c r="C1547" t="s">
        <v>15929</v>
      </c>
      <c r="D1547" t="s">
        <v>13450</v>
      </c>
      <c r="E1547" t="s">
        <v>1919</v>
      </c>
      <c r="F1547">
        <v>30</v>
      </c>
      <c r="G1547">
        <v>1</v>
      </c>
      <c r="H1547">
        <v>1</v>
      </c>
      <c r="I1547">
        <v>30</v>
      </c>
      <c r="J1547">
        <v>94</v>
      </c>
      <c r="K1547">
        <f t="shared" si="73"/>
        <v>3</v>
      </c>
      <c r="L1547">
        <f t="shared" si="74"/>
        <v>4</v>
      </c>
      <c r="M1547">
        <v>94</v>
      </c>
      <c r="N1547" s="3">
        <v>46023</v>
      </c>
      <c r="O1547" s="6">
        <v>0</v>
      </c>
    </row>
    <row r="1548" spans="1:15">
      <c r="A1548" t="str">
        <f t="shared" si="72"/>
        <v>Spanduk Bionta1/1/10000</v>
      </c>
      <c r="B1548" t="s">
        <v>11367</v>
      </c>
      <c r="C1548" t="s">
        <v>15930</v>
      </c>
      <c r="D1548" t="s">
        <v>13451</v>
      </c>
      <c r="E1548" t="s">
        <v>1920</v>
      </c>
      <c r="F1548">
        <v>1</v>
      </c>
      <c r="G1548">
        <v>1</v>
      </c>
      <c r="H1548">
        <v>1</v>
      </c>
      <c r="I1548">
        <v>1</v>
      </c>
      <c r="J1548">
        <v>22</v>
      </c>
      <c r="K1548">
        <f t="shared" si="73"/>
        <v>22</v>
      </c>
      <c r="L1548">
        <f t="shared" si="74"/>
        <v>0</v>
      </c>
      <c r="M1548">
        <v>22</v>
      </c>
      <c r="N1548" s="3" t="s">
        <v>2222</v>
      </c>
      <c r="O1548" s="6">
        <v>0</v>
      </c>
    </row>
    <row r="1549" spans="1:15">
      <c r="A1549" t="str">
        <f t="shared" si="72"/>
        <v>Spanduk Mulsa Karisma1/1/10000</v>
      </c>
      <c r="B1549" t="s">
        <v>11368</v>
      </c>
      <c r="C1549" t="s">
        <v>15931</v>
      </c>
      <c r="D1549" t="s">
        <v>13452</v>
      </c>
      <c r="E1549" t="s">
        <v>1921</v>
      </c>
      <c r="F1549">
        <v>1</v>
      </c>
      <c r="G1549">
        <v>1</v>
      </c>
      <c r="H1549">
        <v>1</v>
      </c>
      <c r="I1549">
        <v>1</v>
      </c>
      <c r="J1549">
        <v>13</v>
      </c>
      <c r="K1549">
        <f t="shared" si="73"/>
        <v>13</v>
      </c>
      <c r="L1549">
        <f t="shared" si="74"/>
        <v>0</v>
      </c>
      <c r="M1549">
        <v>13</v>
      </c>
      <c r="N1549" s="3" t="s">
        <v>2222</v>
      </c>
      <c r="O1549" s="6">
        <v>0</v>
      </c>
    </row>
    <row r="1550" spans="1:15">
      <c r="A1550" t="str">
        <f t="shared" si="72"/>
        <v>Spie Pen1/1/10000</v>
      </c>
      <c r="B1550" t="s">
        <v>11369</v>
      </c>
      <c r="C1550" t="s">
        <v>15932</v>
      </c>
      <c r="D1550" t="s">
        <v>13453</v>
      </c>
      <c r="E1550" t="s">
        <v>1922</v>
      </c>
      <c r="F1550">
        <v>1</v>
      </c>
      <c r="G1550">
        <v>1</v>
      </c>
      <c r="H1550">
        <v>1</v>
      </c>
      <c r="I1550">
        <v>1</v>
      </c>
      <c r="J1550">
        <v>24</v>
      </c>
      <c r="K1550">
        <f t="shared" si="73"/>
        <v>24</v>
      </c>
      <c r="L1550">
        <f t="shared" si="74"/>
        <v>0</v>
      </c>
      <c r="M1550">
        <v>24</v>
      </c>
      <c r="N1550" s="3" t="s">
        <v>2222</v>
      </c>
      <c r="O1550" s="6">
        <v>0</v>
      </c>
    </row>
    <row r="1551" spans="1:15">
      <c r="A1551" t="str">
        <f t="shared" si="72"/>
        <v>Spindle Screw Cap Pc1/1/10000</v>
      </c>
      <c r="B1551" t="s">
        <v>11370</v>
      </c>
      <c r="C1551" t="s">
        <v>15933</v>
      </c>
      <c r="D1551" t="s">
        <v>13454</v>
      </c>
      <c r="E1551" t="s">
        <v>1923</v>
      </c>
      <c r="F1551">
        <v>1</v>
      </c>
      <c r="G1551">
        <v>1</v>
      </c>
      <c r="H1551">
        <v>1</v>
      </c>
      <c r="I1551">
        <v>1</v>
      </c>
      <c r="J1551">
        <v>115</v>
      </c>
      <c r="K1551">
        <f t="shared" si="73"/>
        <v>115</v>
      </c>
      <c r="L1551">
        <f t="shared" si="74"/>
        <v>0</v>
      </c>
      <c r="M1551">
        <v>115</v>
      </c>
      <c r="N1551" s="3" t="s">
        <v>2222</v>
      </c>
      <c r="O1551" s="6">
        <v>0</v>
      </c>
    </row>
    <row r="1552" spans="1:15">
      <c r="A1552" t="str">
        <f t="shared" si="72"/>
        <v>Spontan 400 SL 12 X 1 ltr466920</v>
      </c>
      <c r="B1552" t="s">
        <v>11371</v>
      </c>
      <c r="C1552" t="s">
        <v>15934</v>
      </c>
      <c r="D1552" t="s">
        <v>13455</v>
      </c>
      <c r="E1552" t="s">
        <v>1924</v>
      </c>
      <c r="F1552">
        <v>12</v>
      </c>
      <c r="G1552">
        <v>1</v>
      </c>
      <c r="H1552">
        <v>1</v>
      </c>
      <c r="I1552">
        <v>12</v>
      </c>
      <c r="J1552">
        <v>1</v>
      </c>
      <c r="K1552">
        <f t="shared" si="73"/>
        <v>0</v>
      </c>
      <c r="L1552">
        <f t="shared" si="74"/>
        <v>1</v>
      </c>
      <c r="M1552">
        <v>1</v>
      </c>
      <c r="N1552" s="3">
        <v>46692</v>
      </c>
      <c r="O1552" s="6">
        <v>0</v>
      </c>
    </row>
    <row r="1553" spans="1:15">
      <c r="A1553" t="str">
        <f t="shared" si="72"/>
        <v>Spontan 400 SL 12 X 1 ltr468440</v>
      </c>
      <c r="B1553" t="s">
        <v>11372</v>
      </c>
      <c r="C1553" t="s">
        <v>15935</v>
      </c>
      <c r="D1553" t="s">
        <v>13456</v>
      </c>
      <c r="E1553" t="s">
        <v>1924</v>
      </c>
      <c r="F1553">
        <v>12</v>
      </c>
      <c r="G1553">
        <v>1</v>
      </c>
      <c r="H1553">
        <v>1</v>
      </c>
      <c r="I1553">
        <v>12</v>
      </c>
      <c r="J1553">
        <v>3070</v>
      </c>
      <c r="K1553">
        <f t="shared" si="73"/>
        <v>255</v>
      </c>
      <c r="L1553">
        <f t="shared" si="74"/>
        <v>10</v>
      </c>
      <c r="M1553">
        <v>3070</v>
      </c>
      <c r="N1553" s="3">
        <v>46844</v>
      </c>
      <c r="O1553" s="6">
        <v>0</v>
      </c>
    </row>
    <row r="1554" spans="1:15">
      <c r="A1554" t="str">
        <f t="shared" si="72"/>
        <v>Spontan 400 SL 12 X 1 ltr468740</v>
      </c>
      <c r="B1554" t="s">
        <v>11373</v>
      </c>
      <c r="C1554" t="s">
        <v>15936</v>
      </c>
      <c r="D1554" t="s">
        <v>13457</v>
      </c>
      <c r="E1554" t="s">
        <v>1924</v>
      </c>
      <c r="F1554">
        <v>12</v>
      </c>
      <c r="G1554">
        <v>1</v>
      </c>
      <c r="H1554">
        <v>1</v>
      </c>
      <c r="I1554">
        <v>12</v>
      </c>
      <c r="J1554">
        <v>9600</v>
      </c>
      <c r="K1554">
        <f t="shared" si="73"/>
        <v>800</v>
      </c>
      <c r="L1554">
        <f t="shared" si="74"/>
        <v>0</v>
      </c>
      <c r="M1554">
        <v>9600</v>
      </c>
      <c r="N1554" s="3">
        <v>46874</v>
      </c>
      <c r="O1554" s="6">
        <v>0</v>
      </c>
    </row>
    <row r="1555" spans="1:15">
      <c r="A1555" t="str">
        <f t="shared" si="72"/>
        <v>Spontan 400 SL 20 X 200 ml468440</v>
      </c>
      <c r="B1555" t="s">
        <v>11374</v>
      </c>
      <c r="C1555" t="s">
        <v>15937</v>
      </c>
      <c r="D1555" t="s">
        <v>13458</v>
      </c>
      <c r="E1555" t="s">
        <v>1934</v>
      </c>
      <c r="F1555">
        <v>20</v>
      </c>
      <c r="G1555">
        <v>1</v>
      </c>
      <c r="H1555">
        <v>1</v>
      </c>
      <c r="I1555">
        <v>20</v>
      </c>
      <c r="J1555">
        <v>3150</v>
      </c>
      <c r="K1555">
        <f t="shared" si="73"/>
        <v>157</v>
      </c>
      <c r="L1555">
        <f t="shared" si="74"/>
        <v>10</v>
      </c>
      <c r="M1555">
        <v>3150</v>
      </c>
      <c r="N1555" s="3">
        <v>46844</v>
      </c>
      <c r="O1555" s="6">
        <v>0</v>
      </c>
    </row>
    <row r="1556" spans="1:15">
      <c r="A1556" t="str">
        <f t="shared" si="72"/>
        <v>Spontan 400 SL 20 X 200 ml468740</v>
      </c>
      <c r="B1556" t="s">
        <v>11375</v>
      </c>
      <c r="C1556" t="s">
        <v>15938</v>
      </c>
      <c r="D1556" t="s">
        <v>13459</v>
      </c>
      <c r="E1556" t="s">
        <v>1934</v>
      </c>
      <c r="F1556">
        <v>20</v>
      </c>
      <c r="G1556">
        <v>1</v>
      </c>
      <c r="H1556">
        <v>1</v>
      </c>
      <c r="I1556">
        <v>20</v>
      </c>
      <c r="J1556">
        <v>4000</v>
      </c>
      <c r="K1556">
        <f t="shared" si="73"/>
        <v>200</v>
      </c>
      <c r="L1556">
        <f t="shared" si="74"/>
        <v>0</v>
      </c>
      <c r="M1556">
        <v>4000</v>
      </c>
      <c r="N1556" s="3">
        <v>46874</v>
      </c>
      <c r="O1556" s="6">
        <v>0</v>
      </c>
    </row>
    <row r="1557" spans="1:15">
      <c r="A1557" t="str">
        <f t="shared" si="72"/>
        <v>Spontan 400 SL 20 X 500 ml468740</v>
      </c>
      <c r="B1557" t="s">
        <v>11376</v>
      </c>
      <c r="C1557" t="s">
        <v>15939</v>
      </c>
      <c r="D1557" t="s">
        <v>13460</v>
      </c>
      <c r="E1557" t="s">
        <v>1940</v>
      </c>
      <c r="F1557">
        <v>20</v>
      </c>
      <c r="G1557">
        <v>1</v>
      </c>
      <c r="H1557">
        <v>1</v>
      </c>
      <c r="I1557">
        <v>20</v>
      </c>
      <c r="J1557">
        <v>19585</v>
      </c>
      <c r="K1557">
        <f t="shared" si="73"/>
        <v>979</v>
      </c>
      <c r="L1557">
        <f t="shared" si="74"/>
        <v>5</v>
      </c>
      <c r="M1557">
        <v>19585</v>
      </c>
      <c r="N1557" s="3">
        <v>46874</v>
      </c>
      <c r="O1557" s="6">
        <v>0</v>
      </c>
    </row>
    <row r="1558" spans="1:15">
      <c r="A1558" t="str">
        <f t="shared" si="72"/>
        <v>Spontas 450 SL 10 X 1 ltr471500</v>
      </c>
      <c r="B1558" t="s">
        <v>11377</v>
      </c>
      <c r="C1558" t="s">
        <v>15940</v>
      </c>
      <c r="D1558" t="s">
        <v>13461</v>
      </c>
      <c r="E1558" t="s">
        <v>1945</v>
      </c>
      <c r="F1558">
        <v>10</v>
      </c>
      <c r="G1558">
        <v>1</v>
      </c>
      <c r="H1558">
        <v>1</v>
      </c>
      <c r="I1558">
        <v>10</v>
      </c>
      <c r="J1558">
        <v>20</v>
      </c>
      <c r="K1558">
        <f t="shared" si="73"/>
        <v>2</v>
      </c>
      <c r="L1558">
        <f t="shared" si="74"/>
        <v>0</v>
      </c>
      <c r="M1558">
        <v>20</v>
      </c>
      <c r="N1558" s="3">
        <v>47150</v>
      </c>
      <c r="O1558" s="6">
        <v>0</v>
      </c>
    </row>
    <row r="1559" spans="1:15">
      <c r="A1559" t="str">
        <f t="shared" si="72"/>
        <v>Spontas 450 SL 20 X 500 ml467530</v>
      </c>
      <c r="B1559" t="s">
        <v>11378</v>
      </c>
      <c r="C1559" t="s">
        <v>15941</v>
      </c>
      <c r="D1559" t="s">
        <v>13462</v>
      </c>
      <c r="E1559" t="s">
        <v>1946</v>
      </c>
      <c r="F1559">
        <v>20</v>
      </c>
      <c r="G1559">
        <v>1</v>
      </c>
      <c r="H1559">
        <v>1</v>
      </c>
      <c r="I1559">
        <v>20</v>
      </c>
      <c r="J1559">
        <v>779</v>
      </c>
      <c r="K1559">
        <f t="shared" si="73"/>
        <v>38</v>
      </c>
      <c r="L1559">
        <f t="shared" si="74"/>
        <v>19</v>
      </c>
      <c r="M1559">
        <v>779</v>
      </c>
      <c r="N1559" s="3">
        <v>46753</v>
      </c>
      <c r="O1559" s="6">
        <v>0</v>
      </c>
    </row>
    <row r="1560" spans="1:15">
      <c r="A1560" t="str">
        <f t="shared" si="72"/>
        <v>Spontas 450 SL 50 X 200 ml467220</v>
      </c>
      <c r="B1560" t="s">
        <v>11379</v>
      </c>
      <c r="C1560" t="s">
        <v>15942</v>
      </c>
      <c r="D1560" t="s">
        <v>13463</v>
      </c>
      <c r="E1560" t="s">
        <v>1947</v>
      </c>
      <c r="F1560">
        <v>50</v>
      </c>
      <c r="G1560">
        <v>1</v>
      </c>
      <c r="H1560">
        <v>1</v>
      </c>
      <c r="I1560">
        <v>50</v>
      </c>
      <c r="J1560">
        <v>595</v>
      </c>
      <c r="K1560">
        <f t="shared" si="73"/>
        <v>11</v>
      </c>
      <c r="L1560">
        <f t="shared" si="74"/>
        <v>45</v>
      </c>
      <c r="M1560">
        <v>595</v>
      </c>
      <c r="N1560" s="3">
        <v>46722</v>
      </c>
      <c r="O1560" s="6">
        <v>0</v>
      </c>
    </row>
    <row r="1561" spans="1:15">
      <c r="A1561" t="str">
        <f t="shared" si="72"/>
        <v>Sprayboost 30 X 15 X 25 ml457480</v>
      </c>
      <c r="B1561" t="s">
        <v>11380</v>
      </c>
      <c r="C1561" t="s">
        <v>15943</v>
      </c>
      <c r="D1561" t="s">
        <v>13464</v>
      </c>
      <c r="E1561" t="s">
        <v>1948</v>
      </c>
      <c r="F1561">
        <v>30</v>
      </c>
      <c r="G1561">
        <v>15</v>
      </c>
      <c r="H1561">
        <v>1</v>
      </c>
      <c r="I1561">
        <v>450</v>
      </c>
      <c r="J1561">
        <v>1430</v>
      </c>
      <c r="K1561">
        <f t="shared" si="73"/>
        <v>3</v>
      </c>
      <c r="L1561">
        <f t="shared" si="74"/>
        <v>80</v>
      </c>
      <c r="M1561">
        <v>1430</v>
      </c>
      <c r="N1561" s="3">
        <v>45748</v>
      </c>
      <c r="O1561" s="6">
        <v>0</v>
      </c>
    </row>
    <row r="1562" spans="1:15">
      <c r="A1562" t="str">
        <f t="shared" si="72"/>
        <v>Sprayboost 40 X 250 ml456890</v>
      </c>
      <c r="B1562" t="s">
        <v>11381</v>
      </c>
      <c r="C1562" t="s">
        <v>15944</v>
      </c>
      <c r="D1562" t="s">
        <v>13465</v>
      </c>
      <c r="E1562" t="s">
        <v>1949</v>
      </c>
      <c r="F1562">
        <v>40</v>
      </c>
      <c r="G1562">
        <v>1</v>
      </c>
      <c r="H1562">
        <v>1</v>
      </c>
      <c r="I1562">
        <v>40</v>
      </c>
      <c r="J1562">
        <v>121</v>
      </c>
      <c r="K1562">
        <f t="shared" si="73"/>
        <v>3</v>
      </c>
      <c r="L1562">
        <f t="shared" si="74"/>
        <v>1</v>
      </c>
      <c r="M1562">
        <v>121</v>
      </c>
      <c r="N1562" s="3">
        <v>45689</v>
      </c>
      <c r="O1562" s="6">
        <v>0</v>
      </c>
    </row>
    <row r="1563" spans="1:15">
      <c r="A1563" t="str">
        <f t="shared" si="72"/>
        <v>Sprayboost 50 X 100 ml456920</v>
      </c>
      <c r="B1563" t="s">
        <v>11382</v>
      </c>
      <c r="C1563" t="s">
        <v>15945</v>
      </c>
      <c r="D1563" t="s">
        <v>13466</v>
      </c>
      <c r="E1563" t="s">
        <v>1951</v>
      </c>
      <c r="F1563">
        <v>50</v>
      </c>
      <c r="G1563">
        <v>1</v>
      </c>
      <c r="H1563">
        <v>1</v>
      </c>
      <c r="I1563">
        <v>50</v>
      </c>
      <c r="J1563">
        <v>561</v>
      </c>
      <c r="K1563">
        <f t="shared" si="73"/>
        <v>11</v>
      </c>
      <c r="L1563">
        <f t="shared" si="74"/>
        <v>11</v>
      </c>
      <c r="M1563">
        <v>561</v>
      </c>
      <c r="N1563" s="3">
        <v>45692</v>
      </c>
      <c r="O1563" s="6">
        <v>0</v>
      </c>
    </row>
    <row r="1564" spans="1:15">
      <c r="A1564" t="str">
        <f t="shared" si="72"/>
        <v>Sprayboost 50 X 50 ml456920</v>
      </c>
      <c r="B1564" t="s">
        <v>11383</v>
      </c>
      <c r="C1564" t="s">
        <v>15946</v>
      </c>
      <c r="D1564" t="s">
        <v>13467</v>
      </c>
      <c r="E1564" t="s">
        <v>1952</v>
      </c>
      <c r="F1564">
        <v>50</v>
      </c>
      <c r="G1564">
        <v>1</v>
      </c>
      <c r="H1564">
        <v>1</v>
      </c>
      <c r="I1564">
        <v>50</v>
      </c>
      <c r="J1564">
        <v>165</v>
      </c>
      <c r="K1564">
        <f t="shared" si="73"/>
        <v>3</v>
      </c>
      <c r="L1564">
        <f t="shared" si="74"/>
        <v>15</v>
      </c>
      <c r="M1564">
        <v>165</v>
      </c>
      <c r="N1564" s="3">
        <v>45692</v>
      </c>
      <c r="O1564" s="6">
        <v>0</v>
      </c>
    </row>
    <row r="1565" spans="1:15">
      <c r="A1565" t="str">
        <f t="shared" si="72"/>
        <v>Sprayer 3 IN 1 KAN 16 Ltr1/1/10000</v>
      </c>
      <c r="B1565" t="s">
        <v>11384</v>
      </c>
      <c r="C1565" t="s">
        <v>15947</v>
      </c>
      <c r="D1565" t="s">
        <v>13468</v>
      </c>
      <c r="E1565" t="s">
        <v>1953</v>
      </c>
      <c r="F1565">
        <v>1</v>
      </c>
      <c r="G1565">
        <v>1</v>
      </c>
      <c r="H1565">
        <v>1</v>
      </c>
      <c r="I1565">
        <v>1</v>
      </c>
      <c r="J1565">
        <v>10</v>
      </c>
      <c r="K1565">
        <f t="shared" si="73"/>
        <v>10</v>
      </c>
      <c r="L1565">
        <f t="shared" si="74"/>
        <v>0</v>
      </c>
      <c r="M1565">
        <v>10</v>
      </c>
      <c r="N1565" s="3" t="s">
        <v>2222</v>
      </c>
      <c r="O1565" s="6">
        <v>0</v>
      </c>
    </row>
    <row r="1566" spans="1:15">
      <c r="A1566" t="str">
        <f t="shared" si="72"/>
        <v>Sprayer Apung Hokita1/1/10000</v>
      </c>
      <c r="B1566" t="s">
        <v>11385</v>
      </c>
      <c r="C1566" t="s">
        <v>15948</v>
      </c>
      <c r="D1566" t="s">
        <v>13469</v>
      </c>
      <c r="E1566" t="s">
        <v>1954</v>
      </c>
      <c r="F1566">
        <v>1</v>
      </c>
      <c r="G1566">
        <v>1</v>
      </c>
      <c r="H1566">
        <v>1</v>
      </c>
      <c r="I1566">
        <v>1</v>
      </c>
      <c r="J1566">
        <v>5</v>
      </c>
      <c r="K1566">
        <f t="shared" si="73"/>
        <v>5</v>
      </c>
      <c r="L1566">
        <f t="shared" si="74"/>
        <v>0</v>
      </c>
      <c r="M1566">
        <v>5</v>
      </c>
      <c r="N1566" s="3" t="s">
        <v>2222</v>
      </c>
      <c r="O1566" s="6">
        <v>0</v>
      </c>
    </row>
    <row r="1567" spans="1:15">
      <c r="A1567" t="str">
        <f t="shared" si="72"/>
        <v>Sprayer Bonanza 20 X 2 ltr1/1/10000</v>
      </c>
      <c r="B1567" t="s">
        <v>11386</v>
      </c>
      <c r="C1567" t="s">
        <v>15949</v>
      </c>
      <c r="D1567" t="s">
        <v>13470</v>
      </c>
      <c r="E1567" t="s">
        <v>1955</v>
      </c>
      <c r="F1567">
        <v>20</v>
      </c>
      <c r="G1567">
        <v>1</v>
      </c>
      <c r="H1567">
        <v>1</v>
      </c>
      <c r="I1567">
        <v>20</v>
      </c>
      <c r="J1567">
        <v>1</v>
      </c>
      <c r="K1567">
        <f t="shared" si="73"/>
        <v>0</v>
      </c>
      <c r="L1567">
        <f t="shared" si="74"/>
        <v>1</v>
      </c>
      <c r="M1567">
        <v>1</v>
      </c>
      <c r="N1567" s="3" t="s">
        <v>2222</v>
      </c>
      <c r="O1567" s="6">
        <v>0</v>
      </c>
    </row>
    <row r="1568" spans="1:15">
      <c r="A1568" t="str">
        <f t="shared" si="72"/>
        <v>Sprayer Elektrik Joeragan 16 L Battery1/1/10000</v>
      </c>
      <c r="B1568" t="s">
        <v>11387</v>
      </c>
      <c r="C1568" t="s">
        <v>15950</v>
      </c>
      <c r="D1568" t="s">
        <v>13471</v>
      </c>
      <c r="E1568" t="s">
        <v>1956</v>
      </c>
      <c r="F1568">
        <v>1</v>
      </c>
      <c r="G1568">
        <v>1</v>
      </c>
      <c r="H1568">
        <v>1</v>
      </c>
      <c r="I1568">
        <v>1</v>
      </c>
      <c r="J1568">
        <v>190</v>
      </c>
      <c r="K1568">
        <f t="shared" si="73"/>
        <v>190</v>
      </c>
      <c r="L1568">
        <f t="shared" si="74"/>
        <v>0</v>
      </c>
      <c r="M1568">
        <v>190</v>
      </c>
      <c r="N1568" s="3" t="s">
        <v>2222</v>
      </c>
      <c r="O1568" s="6">
        <v>0</v>
      </c>
    </row>
    <row r="1569" spans="1:15">
      <c r="A1569" t="str">
        <f t="shared" si="72"/>
        <v>Sprayer Elektrik Quda Karisma 10 L 1 X 6 pcs1/1/10000</v>
      </c>
      <c r="B1569" t="s">
        <v>11388</v>
      </c>
      <c r="C1569" t="s">
        <v>15951</v>
      </c>
      <c r="D1569" t="s">
        <v>13472</v>
      </c>
      <c r="E1569" t="s">
        <v>1957</v>
      </c>
      <c r="F1569">
        <v>6</v>
      </c>
      <c r="G1569">
        <v>1</v>
      </c>
      <c r="H1569">
        <v>1</v>
      </c>
      <c r="I1569">
        <v>6</v>
      </c>
      <c r="J1569">
        <v>176</v>
      </c>
      <c r="K1569">
        <f t="shared" si="73"/>
        <v>29</v>
      </c>
      <c r="L1569">
        <f t="shared" si="74"/>
        <v>2</v>
      </c>
      <c r="M1569">
        <v>176</v>
      </c>
      <c r="N1569" s="3" t="s">
        <v>2222</v>
      </c>
      <c r="O1569" s="6">
        <v>0</v>
      </c>
    </row>
    <row r="1570" spans="1:15">
      <c r="A1570" t="str">
        <f t="shared" si="72"/>
        <v>Sprayer Elektrik Quda Karisma 16 ltr1/1/10000</v>
      </c>
      <c r="B1570" t="s">
        <v>11389</v>
      </c>
      <c r="C1570" t="s">
        <v>15952</v>
      </c>
      <c r="D1570" t="s">
        <v>13473</v>
      </c>
      <c r="E1570" t="s">
        <v>1958</v>
      </c>
      <c r="F1570">
        <v>1</v>
      </c>
      <c r="G1570">
        <v>1</v>
      </c>
      <c r="H1570">
        <v>1</v>
      </c>
      <c r="I1570">
        <v>1</v>
      </c>
      <c r="J1570">
        <v>700</v>
      </c>
      <c r="K1570">
        <f t="shared" si="73"/>
        <v>700</v>
      </c>
      <c r="L1570">
        <f t="shared" si="74"/>
        <v>0</v>
      </c>
      <c r="M1570">
        <v>700</v>
      </c>
      <c r="N1570" s="3" t="s">
        <v>2222</v>
      </c>
      <c r="O1570" s="6">
        <v>0</v>
      </c>
    </row>
    <row r="1571" spans="1:15">
      <c r="A1571" t="str">
        <f t="shared" si="72"/>
        <v>Sprayer Elektrik Quda Karisma 5 L 1 x 6 pcs1/1/10000</v>
      </c>
      <c r="B1571" t="s">
        <v>11390</v>
      </c>
      <c r="C1571" t="s">
        <v>15953</v>
      </c>
      <c r="D1571" t="s">
        <v>13474</v>
      </c>
      <c r="E1571" t="s">
        <v>1959</v>
      </c>
      <c r="F1571">
        <v>6</v>
      </c>
      <c r="G1571">
        <v>1</v>
      </c>
      <c r="H1571">
        <v>1</v>
      </c>
      <c r="I1571">
        <v>6</v>
      </c>
      <c r="J1571">
        <v>627</v>
      </c>
      <c r="K1571">
        <f t="shared" si="73"/>
        <v>104</v>
      </c>
      <c r="L1571">
        <f t="shared" si="74"/>
        <v>3</v>
      </c>
      <c r="M1571">
        <v>627</v>
      </c>
      <c r="N1571" s="3" t="s">
        <v>2222</v>
      </c>
      <c r="O1571" s="6">
        <v>0</v>
      </c>
    </row>
    <row r="1572" spans="1:15">
      <c r="A1572" t="str">
        <f t="shared" si="72"/>
        <v>Sprayer Hokita 30 X 1 ltr1/1/10000</v>
      </c>
      <c r="B1572" t="s">
        <v>11391</v>
      </c>
      <c r="C1572" t="s">
        <v>15954</v>
      </c>
      <c r="D1572" t="s">
        <v>13475</v>
      </c>
      <c r="E1572" t="s">
        <v>1960</v>
      </c>
      <c r="F1572">
        <v>30</v>
      </c>
      <c r="G1572">
        <v>1</v>
      </c>
      <c r="H1572">
        <v>1</v>
      </c>
      <c r="I1572">
        <v>30</v>
      </c>
      <c r="J1572">
        <v>2462</v>
      </c>
      <c r="K1572">
        <f t="shared" si="73"/>
        <v>82</v>
      </c>
      <c r="L1572">
        <f t="shared" si="74"/>
        <v>2</v>
      </c>
      <c r="M1572">
        <v>2462</v>
      </c>
      <c r="N1572" s="3" t="s">
        <v>2222</v>
      </c>
      <c r="O1572" s="6">
        <v>0</v>
      </c>
    </row>
    <row r="1573" spans="1:15">
      <c r="A1573" t="str">
        <f t="shared" si="72"/>
        <v>Sprayer Quda Karisma 5 L 1 x 6 pcs (Kuning)1/1/10000</v>
      </c>
      <c r="B1573" t="s">
        <v>11392</v>
      </c>
      <c r="C1573" t="s">
        <v>15955</v>
      </c>
      <c r="D1573" t="s">
        <v>13476</v>
      </c>
      <c r="E1573" t="s">
        <v>1961</v>
      </c>
      <c r="F1573">
        <v>6</v>
      </c>
      <c r="G1573">
        <v>1</v>
      </c>
      <c r="H1573">
        <v>1</v>
      </c>
      <c r="I1573">
        <v>6</v>
      </c>
      <c r="J1573">
        <v>1378</v>
      </c>
      <c r="K1573">
        <f t="shared" si="73"/>
        <v>229</v>
      </c>
      <c r="L1573">
        <f t="shared" si="74"/>
        <v>4</v>
      </c>
      <c r="M1573">
        <v>1378</v>
      </c>
      <c r="N1573" s="3" t="s">
        <v>2222</v>
      </c>
      <c r="O1573" s="6">
        <v>0</v>
      </c>
    </row>
    <row r="1574" spans="1:15">
      <c r="A1574" t="str">
        <f t="shared" si="72"/>
        <v>Sprayer Senapan Magneto1/1/10000</v>
      </c>
      <c r="B1574" t="s">
        <v>11393</v>
      </c>
      <c r="C1574" t="s">
        <v>15956</v>
      </c>
      <c r="D1574" t="s">
        <v>13477</v>
      </c>
      <c r="E1574" t="s">
        <v>1962</v>
      </c>
      <c r="F1574">
        <v>1</v>
      </c>
      <c r="G1574">
        <v>1</v>
      </c>
      <c r="H1574">
        <v>1</v>
      </c>
      <c r="I1574">
        <v>1</v>
      </c>
      <c r="J1574">
        <v>28</v>
      </c>
      <c r="K1574">
        <f t="shared" si="73"/>
        <v>28</v>
      </c>
      <c r="L1574">
        <f t="shared" si="74"/>
        <v>0</v>
      </c>
      <c r="M1574">
        <v>28</v>
      </c>
      <c r="N1574" s="3" t="s">
        <v>2222</v>
      </c>
      <c r="O1574" s="6">
        <v>0</v>
      </c>
    </row>
    <row r="1575" spans="1:15">
      <c r="A1575" t="str">
        <f t="shared" si="72"/>
        <v>Sprayer Ultra Elektrik New 16 ltr Type 31/1/10000</v>
      </c>
      <c r="B1575" t="s">
        <v>11394</v>
      </c>
      <c r="C1575" t="s">
        <v>15957</v>
      </c>
      <c r="D1575" t="s">
        <v>13478</v>
      </c>
      <c r="E1575" t="s">
        <v>1963</v>
      </c>
      <c r="F1575">
        <v>1</v>
      </c>
      <c r="G1575">
        <v>1</v>
      </c>
      <c r="H1575">
        <v>1</v>
      </c>
      <c r="I1575">
        <v>1</v>
      </c>
      <c r="J1575">
        <v>115</v>
      </c>
      <c r="K1575">
        <f t="shared" si="73"/>
        <v>115</v>
      </c>
      <c r="L1575">
        <f t="shared" si="74"/>
        <v>0</v>
      </c>
      <c r="M1575">
        <v>115</v>
      </c>
      <c r="N1575" s="3" t="s">
        <v>2222</v>
      </c>
      <c r="O1575" s="6">
        <v>0</v>
      </c>
    </row>
    <row r="1576" spans="1:15">
      <c r="A1576" t="str">
        <f t="shared" si="72"/>
        <v>Sprayer Ultra Elektrik New 16 ltr Type 41/1/10000</v>
      </c>
      <c r="B1576" t="s">
        <v>11395</v>
      </c>
      <c r="C1576" t="s">
        <v>15958</v>
      </c>
      <c r="D1576" t="s">
        <v>13479</v>
      </c>
      <c r="E1576" t="s">
        <v>1964</v>
      </c>
      <c r="F1576">
        <v>1</v>
      </c>
      <c r="G1576">
        <v>1</v>
      </c>
      <c r="H1576">
        <v>1</v>
      </c>
      <c r="I1576">
        <v>1</v>
      </c>
      <c r="J1576">
        <v>44</v>
      </c>
      <c r="K1576">
        <f t="shared" si="73"/>
        <v>44</v>
      </c>
      <c r="L1576">
        <f t="shared" si="74"/>
        <v>0</v>
      </c>
      <c r="M1576">
        <v>44</v>
      </c>
      <c r="N1576" s="3" t="s">
        <v>2222</v>
      </c>
      <c r="O1576" s="6">
        <v>0</v>
      </c>
    </row>
    <row r="1577" spans="1:15">
      <c r="A1577" t="str">
        <f t="shared" si="72"/>
        <v>Spuyer L 31/1/10000</v>
      </c>
      <c r="B1577" t="s">
        <v>11396</v>
      </c>
      <c r="C1577" t="s">
        <v>15959</v>
      </c>
      <c r="D1577" t="s">
        <v>13480</v>
      </c>
      <c r="E1577" t="s">
        <v>1965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f t="shared" si="73"/>
        <v>1</v>
      </c>
      <c r="L1577">
        <f t="shared" si="74"/>
        <v>0</v>
      </c>
      <c r="M1577">
        <v>1</v>
      </c>
      <c r="N1577" s="3" t="s">
        <v>2222</v>
      </c>
      <c r="O1577" s="6">
        <v>0</v>
      </c>
    </row>
    <row r="1578" spans="1:15">
      <c r="A1578" t="str">
        <f t="shared" si="72"/>
        <v>Spuyer L 81/1/10000</v>
      </c>
      <c r="B1578" t="s">
        <v>11397</v>
      </c>
      <c r="C1578" t="s">
        <v>15960</v>
      </c>
      <c r="D1578" t="s">
        <v>13481</v>
      </c>
      <c r="E1578" t="s">
        <v>1966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f t="shared" si="73"/>
        <v>1</v>
      </c>
      <c r="L1578">
        <f t="shared" si="74"/>
        <v>0</v>
      </c>
      <c r="M1578">
        <v>1</v>
      </c>
      <c r="N1578" s="3" t="s">
        <v>2222</v>
      </c>
      <c r="O1578" s="6">
        <v>0</v>
      </c>
    </row>
    <row r="1579" spans="1:15">
      <c r="A1579" t="str">
        <f t="shared" si="72"/>
        <v>Spuyer LB 4 Stell1/1/10000</v>
      </c>
      <c r="B1579" t="s">
        <v>11398</v>
      </c>
      <c r="C1579" t="s">
        <v>15961</v>
      </c>
      <c r="D1579" t="s">
        <v>13482</v>
      </c>
      <c r="E1579" t="s">
        <v>1967</v>
      </c>
      <c r="F1579">
        <v>1</v>
      </c>
      <c r="G1579">
        <v>1</v>
      </c>
      <c r="H1579">
        <v>1</v>
      </c>
      <c r="I1579">
        <v>1</v>
      </c>
      <c r="J1579">
        <v>12</v>
      </c>
      <c r="K1579">
        <f t="shared" si="73"/>
        <v>12</v>
      </c>
      <c r="L1579">
        <f t="shared" si="74"/>
        <v>0</v>
      </c>
      <c r="M1579">
        <v>12</v>
      </c>
      <c r="N1579" s="3" t="s">
        <v>2222</v>
      </c>
      <c r="O1579" s="6">
        <v>0</v>
      </c>
    </row>
    <row r="1580" spans="1:15">
      <c r="A1580" t="str">
        <f t="shared" si="72"/>
        <v>Spuyer Tunggal / Lancip Star Metal1/1/10000</v>
      </c>
      <c r="B1580" t="s">
        <v>11399</v>
      </c>
      <c r="C1580" t="s">
        <v>15962</v>
      </c>
      <c r="D1580" t="s">
        <v>13483</v>
      </c>
      <c r="E1580" t="s">
        <v>1968</v>
      </c>
      <c r="F1580">
        <v>1</v>
      </c>
      <c r="G1580">
        <v>1</v>
      </c>
      <c r="H1580">
        <v>1</v>
      </c>
      <c r="I1580">
        <v>1</v>
      </c>
      <c r="J1580">
        <v>54</v>
      </c>
      <c r="K1580">
        <f t="shared" si="73"/>
        <v>54</v>
      </c>
      <c r="L1580">
        <f t="shared" si="74"/>
        <v>0</v>
      </c>
      <c r="M1580">
        <v>54</v>
      </c>
      <c r="N1580" s="3" t="s">
        <v>2222</v>
      </c>
      <c r="O1580" s="6">
        <v>0</v>
      </c>
    </row>
    <row r="1581" spans="1:15">
      <c r="A1581" t="str">
        <f t="shared" si="72"/>
        <v>Spyker 135 SL 20 ltr472390</v>
      </c>
      <c r="B1581" t="s">
        <v>11400</v>
      </c>
      <c r="C1581" t="s">
        <v>15963</v>
      </c>
      <c r="D1581" t="s">
        <v>13484</v>
      </c>
      <c r="E1581" t="s">
        <v>1969</v>
      </c>
      <c r="F1581">
        <v>1</v>
      </c>
      <c r="G1581">
        <v>1</v>
      </c>
      <c r="H1581">
        <v>1</v>
      </c>
      <c r="I1581">
        <v>1</v>
      </c>
      <c r="J1581">
        <v>194</v>
      </c>
      <c r="K1581">
        <f t="shared" si="73"/>
        <v>194</v>
      </c>
      <c r="L1581">
        <f t="shared" si="74"/>
        <v>0</v>
      </c>
      <c r="M1581">
        <v>194</v>
      </c>
      <c r="N1581" s="3">
        <v>47239</v>
      </c>
      <c r="O1581" s="6">
        <v>0</v>
      </c>
    </row>
    <row r="1582" spans="1:15">
      <c r="A1582" t="str">
        <f t="shared" si="72"/>
        <v>Spyker 135 SL 20 X 1 ltr467530</v>
      </c>
      <c r="B1582" t="s">
        <v>11401</v>
      </c>
      <c r="C1582" t="s">
        <v>15964</v>
      </c>
      <c r="D1582" t="s">
        <v>13485</v>
      </c>
      <c r="E1582" t="s">
        <v>1971</v>
      </c>
      <c r="F1582">
        <v>20</v>
      </c>
      <c r="G1582">
        <v>1</v>
      </c>
      <c r="H1582">
        <v>1</v>
      </c>
      <c r="I1582">
        <v>20</v>
      </c>
      <c r="J1582">
        <v>8</v>
      </c>
      <c r="K1582">
        <f t="shared" si="73"/>
        <v>0</v>
      </c>
      <c r="L1582">
        <f t="shared" si="74"/>
        <v>8</v>
      </c>
      <c r="M1582">
        <v>8</v>
      </c>
      <c r="N1582" s="3">
        <v>46753</v>
      </c>
      <c r="O1582" s="6">
        <v>0</v>
      </c>
    </row>
    <row r="1583" spans="1:15">
      <c r="A1583" t="str">
        <f t="shared" si="72"/>
        <v>Spyker 135 SL 20 X 1 ltr472390</v>
      </c>
      <c r="B1583" t="s">
        <v>11402</v>
      </c>
      <c r="C1583" t="s">
        <v>15965</v>
      </c>
      <c r="D1583" t="s">
        <v>13486</v>
      </c>
      <c r="E1583" t="s">
        <v>1971</v>
      </c>
      <c r="F1583">
        <v>20</v>
      </c>
      <c r="G1583">
        <v>1</v>
      </c>
      <c r="H1583">
        <v>1</v>
      </c>
      <c r="I1583">
        <v>20</v>
      </c>
      <c r="J1583">
        <v>3340</v>
      </c>
      <c r="K1583">
        <f t="shared" si="73"/>
        <v>167</v>
      </c>
      <c r="L1583">
        <f t="shared" si="74"/>
        <v>0</v>
      </c>
      <c r="M1583">
        <v>3340</v>
      </c>
      <c r="N1583" s="3">
        <v>47239</v>
      </c>
      <c r="O1583" s="6">
        <v>0</v>
      </c>
    </row>
    <row r="1584" spans="1:15">
      <c r="A1584" t="str">
        <f t="shared" si="72"/>
        <v>Spyker 135 SL 4 X 5 ltr472390</v>
      </c>
      <c r="B1584" t="s">
        <v>11403</v>
      </c>
      <c r="C1584" t="s">
        <v>15966</v>
      </c>
      <c r="D1584" t="s">
        <v>13487</v>
      </c>
      <c r="E1584" t="s">
        <v>1975</v>
      </c>
      <c r="F1584">
        <v>4</v>
      </c>
      <c r="G1584">
        <v>1</v>
      </c>
      <c r="H1584">
        <v>1</v>
      </c>
      <c r="I1584">
        <v>4</v>
      </c>
      <c r="J1584">
        <v>168</v>
      </c>
      <c r="K1584">
        <f t="shared" si="73"/>
        <v>42</v>
      </c>
      <c r="L1584">
        <f t="shared" si="74"/>
        <v>0</v>
      </c>
      <c r="M1584">
        <v>168</v>
      </c>
      <c r="N1584" s="3">
        <v>47239</v>
      </c>
      <c r="O1584" s="6">
        <v>0</v>
      </c>
    </row>
    <row r="1585" spans="1:15">
      <c r="A1585" t="str">
        <f t="shared" si="72"/>
        <v>Stainless Steel Clip Yamaha1/1/10000</v>
      </c>
      <c r="B1585" t="s">
        <v>11404</v>
      </c>
      <c r="C1585" t="s">
        <v>15967</v>
      </c>
      <c r="D1585" t="s">
        <v>13488</v>
      </c>
      <c r="E1585" t="s">
        <v>1976</v>
      </c>
      <c r="F1585">
        <v>1</v>
      </c>
      <c r="G1585">
        <v>1</v>
      </c>
      <c r="H1585">
        <v>1</v>
      </c>
      <c r="I1585">
        <v>1</v>
      </c>
      <c r="J1585">
        <v>81</v>
      </c>
      <c r="K1585">
        <f t="shared" si="73"/>
        <v>81</v>
      </c>
      <c r="L1585">
        <f t="shared" si="74"/>
        <v>0</v>
      </c>
      <c r="M1585">
        <v>81</v>
      </c>
      <c r="N1585" s="3" t="s">
        <v>2222</v>
      </c>
      <c r="O1585" s="6">
        <v>0</v>
      </c>
    </row>
    <row r="1586" spans="1:15">
      <c r="A1586" t="str">
        <f t="shared" si="72"/>
        <v>Stand Fan Panalux1/1/10000</v>
      </c>
      <c r="B1586" t="s">
        <v>11405</v>
      </c>
      <c r="C1586" t="s">
        <v>15968</v>
      </c>
      <c r="D1586" t="s">
        <v>13489</v>
      </c>
      <c r="E1586" t="s">
        <v>1977</v>
      </c>
      <c r="F1586">
        <v>1</v>
      </c>
      <c r="G1586">
        <v>1</v>
      </c>
      <c r="H1586">
        <v>1</v>
      </c>
      <c r="I1586">
        <v>1</v>
      </c>
      <c r="J1586">
        <v>14</v>
      </c>
      <c r="K1586">
        <f t="shared" si="73"/>
        <v>14</v>
      </c>
      <c r="L1586">
        <f t="shared" si="74"/>
        <v>0</v>
      </c>
      <c r="M1586">
        <v>14</v>
      </c>
      <c r="N1586" s="3" t="s">
        <v>2222</v>
      </c>
      <c r="O1586" s="6">
        <v>0</v>
      </c>
    </row>
    <row r="1587" spans="1:15">
      <c r="A1587" t="str">
        <f t="shared" si="72"/>
        <v>Starcide 400 EC 100 gr1/1/10000</v>
      </c>
      <c r="B1587" t="s">
        <v>11406</v>
      </c>
      <c r="C1587" t="s">
        <v>15969</v>
      </c>
      <c r="D1587" t="s">
        <v>13490</v>
      </c>
      <c r="E1587" t="s">
        <v>1978</v>
      </c>
      <c r="F1587">
        <v>1</v>
      </c>
      <c r="G1587">
        <v>1</v>
      </c>
      <c r="H1587">
        <v>1</v>
      </c>
      <c r="I1587">
        <v>1</v>
      </c>
      <c r="J1587">
        <v>9</v>
      </c>
      <c r="K1587">
        <f t="shared" si="73"/>
        <v>9</v>
      </c>
      <c r="L1587">
        <f t="shared" si="74"/>
        <v>0</v>
      </c>
      <c r="M1587">
        <v>9</v>
      </c>
      <c r="N1587" s="3" t="s">
        <v>2222</v>
      </c>
      <c r="O1587" s="6">
        <v>0</v>
      </c>
    </row>
    <row r="1588" spans="1:15">
      <c r="A1588" t="str">
        <f t="shared" si="72"/>
        <v>Stargate 0.5 GR 10 X 2 kg459310</v>
      </c>
      <c r="B1588" t="s">
        <v>11407</v>
      </c>
      <c r="C1588" t="s">
        <v>15970</v>
      </c>
      <c r="D1588" t="s">
        <v>13491</v>
      </c>
      <c r="E1588" t="s">
        <v>1979</v>
      </c>
      <c r="F1588">
        <v>10</v>
      </c>
      <c r="G1588">
        <v>1</v>
      </c>
      <c r="H1588">
        <v>1</v>
      </c>
      <c r="I1588">
        <v>10</v>
      </c>
      <c r="J1588">
        <v>1469</v>
      </c>
      <c r="K1588">
        <f t="shared" si="73"/>
        <v>146</v>
      </c>
      <c r="L1588">
        <f t="shared" si="74"/>
        <v>9</v>
      </c>
      <c r="M1588">
        <v>1469</v>
      </c>
      <c r="N1588" s="3">
        <v>45931</v>
      </c>
      <c r="O1588" s="6">
        <v>0</v>
      </c>
    </row>
    <row r="1589" spans="1:15">
      <c r="A1589" t="str">
        <f t="shared" si="72"/>
        <v>Starkuat 135 SL 20 ltr470270</v>
      </c>
      <c r="B1589" t="s">
        <v>11408</v>
      </c>
      <c r="C1589" t="s">
        <v>15971</v>
      </c>
      <c r="D1589" t="s">
        <v>13492</v>
      </c>
      <c r="E1589" t="s">
        <v>1980</v>
      </c>
      <c r="F1589">
        <v>1</v>
      </c>
      <c r="G1589">
        <v>1</v>
      </c>
      <c r="H1589">
        <v>1</v>
      </c>
      <c r="I1589">
        <v>1</v>
      </c>
      <c r="J1589">
        <v>21</v>
      </c>
      <c r="K1589">
        <f t="shared" si="73"/>
        <v>21</v>
      </c>
      <c r="L1589">
        <f t="shared" si="74"/>
        <v>0</v>
      </c>
      <c r="M1589">
        <v>21</v>
      </c>
      <c r="N1589" s="3">
        <v>47027</v>
      </c>
      <c r="O1589" s="6">
        <v>0</v>
      </c>
    </row>
    <row r="1590" spans="1:15">
      <c r="A1590" t="str">
        <f t="shared" si="72"/>
        <v>Starkuat 135 SL 20 ltr464190</v>
      </c>
      <c r="B1590" t="s">
        <v>11409</v>
      </c>
      <c r="C1590" t="s">
        <v>15972</v>
      </c>
      <c r="D1590" t="s">
        <v>13493</v>
      </c>
      <c r="E1590" t="s">
        <v>1980</v>
      </c>
      <c r="F1590">
        <v>1</v>
      </c>
      <c r="G1590">
        <v>1</v>
      </c>
      <c r="H1590">
        <v>1</v>
      </c>
      <c r="I1590">
        <v>1</v>
      </c>
      <c r="J1590">
        <v>238</v>
      </c>
      <c r="K1590">
        <f t="shared" si="73"/>
        <v>238</v>
      </c>
      <c r="L1590">
        <f t="shared" si="74"/>
        <v>0</v>
      </c>
      <c r="M1590">
        <v>238</v>
      </c>
      <c r="N1590" s="3">
        <v>46419</v>
      </c>
      <c r="O1590" s="6">
        <v>0</v>
      </c>
    </row>
    <row r="1591" spans="1:15">
      <c r="A1591" t="str">
        <f t="shared" si="72"/>
        <v>Starkuat 135 SL 20 ltr465080</v>
      </c>
      <c r="B1591" t="s">
        <v>11410</v>
      </c>
      <c r="C1591" t="s">
        <v>15973</v>
      </c>
      <c r="D1591" t="s">
        <v>13494</v>
      </c>
      <c r="E1591" t="s">
        <v>1980</v>
      </c>
      <c r="F1591">
        <v>1</v>
      </c>
      <c r="G1591">
        <v>1</v>
      </c>
      <c r="H1591">
        <v>1</v>
      </c>
      <c r="I1591">
        <v>1</v>
      </c>
      <c r="J1591">
        <v>280</v>
      </c>
      <c r="K1591">
        <f t="shared" si="73"/>
        <v>280</v>
      </c>
      <c r="L1591">
        <f t="shared" si="74"/>
        <v>0</v>
      </c>
      <c r="M1591">
        <v>280</v>
      </c>
      <c r="N1591" s="3">
        <v>46508</v>
      </c>
      <c r="O1591" s="6">
        <v>0</v>
      </c>
    </row>
    <row r="1592" spans="1:15">
      <c r="A1592" t="str">
        <f t="shared" si="72"/>
        <v>Starkuat 135 SL 20 X 1 ltr469350</v>
      </c>
      <c r="B1592" t="s">
        <v>11411</v>
      </c>
      <c r="C1592" t="s">
        <v>15974</v>
      </c>
      <c r="D1592" t="s">
        <v>13495</v>
      </c>
      <c r="E1592" t="s">
        <v>1981</v>
      </c>
      <c r="F1592">
        <v>20</v>
      </c>
      <c r="G1592">
        <v>1</v>
      </c>
      <c r="H1592">
        <v>1</v>
      </c>
      <c r="I1592">
        <v>20</v>
      </c>
      <c r="J1592">
        <v>10</v>
      </c>
      <c r="K1592">
        <f t="shared" si="73"/>
        <v>0</v>
      </c>
      <c r="L1592">
        <f t="shared" si="74"/>
        <v>10</v>
      </c>
      <c r="M1592">
        <v>10</v>
      </c>
      <c r="N1592" s="3">
        <v>46935</v>
      </c>
      <c r="O1592" s="6">
        <v>0</v>
      </c>
    </row>
    <row r="1593" spans="1:15">
      <c r="A1593" t="str">
        <f t="shared" si="72"/>
        <v>Starkuat 135 SL 20 X 1 ltr465080</v>
      </c>
      <c r="B1593" t="s">
        <v>11412</v>
      </c>
      <c r="C1593" t="s">
        <v>15975</v>
      </c>
      <c r="D1593" t="s">
        <v>13496</v>
      </c>
      <c r="E1593" t="s">
        <v>1981</v>
      </c>
      <c r="F1593">
        <v>20</v>
      </c>
      <c r="G1593">
        <v>1</v>
      </c>
      <c r="H1593">
        <v>1</v>
      </c>
      <c r="I1593">
        <v>20</v>
      </c>
      <c r="J1593">
        <v>1500</v>
      </c>
      <c r="K1593">
        <f t="shared" si="73"/>
        <v>75</v>
      </c>
      <c r="L1593">
        <f t="shared" si="74"/>
        <v>0</v>
      </c>
      <c r="M1593">
        <v>1500</v>
      </c>
      <c r="N1593" s="3">
        <v>46508</v>
      </c>
      <c r="O1593" s="6">
        <v>0</v>
      </c>
    </row>
    <row r="1594" spans="1:15">
      <c r="A1594" t="str">
        <f t="shared" si="72"/>
        <v>Starkuat 135 SL 20 X 1 ltr470880</v>
      </c>
      <c r="B1594" t="s">
        <v>11413</v>
      </c>
      <c r="C1594" t="s">
        <v>15976</v>
      </c>
      <c r="D1594" t="s">
        <v>13497</v>
      </c>
      <c r="E1594" t="s">
        <v>1981</v>
      </c>
      <c r="F1594">
        <v>20</v>
      </c>
      <c r="G1594">
        <v>1</v>
      </c>
      <c r="H1594">
        <v>1</v>
      </c>
      <c r="I1594">
        <v>20</v>
      </c>
      <c r="J1594">
        <v>9060</v>
      </c>
      <c r="K1594">
        <f t="shared" si="73"/>
        <v>453</v>
      </c>
      <c r="L1594">
        <f t="shared" si="74"/>
        <v>0</v>
      </c>
      <c r="M1594">
        <v>9060</v>
      </c>
      <c r="N1594" s="3">
        <v>47088</v>
      </c>
      <c r="O1594" s="6">
        <v>0</v>
      </c>
    </row>
    <row r="1595" spans="1:15">
      <c r="A1595" t="str">
        <f t="shared" si="72"/>
        <v>Starkuat 135 SL 4 X 5 ltr464780</v>
      </c>
      <c r="B1595" t="s">
        <v>11414</v>
      </c>
      <c r="C1595" t="s">
        <v>15977</v>
      </c>
      <c r="D1595" t="s">
        <v>13498</v>
      </c>
      <c r="E1595" t="s">
        <v>1982</v>
      </c>
      <c r="F1595">
        <v>4</v>
      </c>
      <c r="G1595">
        <v>1</v>
      </c>
      <c r="H1595">
        <v>1</v>
      </c>
      <c r="I1595">
        <v>4</v>
      </c>
      <c r="J1595">
        <v>392</v>
      </c>
      <c r="K1595">
        <f t="shared" si="73"/>
        <v>98</v>
      </c>
      <c r="L1595">
        <f t="shared" si="74"/>
        <v>0</v>
      </c>
      <c r="M1595">
        <v>392</v>
      </c>
      <c r="N1595" s="3">
        <v>46478</v>
      </c>
      <c r="O1595" s="6">
        <v>0</v>
      </c>
    </row>
    <row r="1596" spans="1:15">
      <c r="A1596" t="str">
        <f t="shared" si="72"/>
        <v>Starkuat 135 SL 4 X 5 ltr469660</v>
      </c>
      <c r="B1596" t="s">
        <v>11415</v>
      </c>
      <c r="C1596" t="s">
        <v>15978</v>
      </c>
      <c r="D1596" t="s">
        <v>13499</v>
      </c>
      <c r="E1596" t="s">
        <v>1982</v>
      </c>
      <c r="F1596">
        <v>4</v>
      </c>
      <c r="G1596">
        <v>1</v>
      </c>
      <c r="H1596">
        <v>1</v>
      </c>
      <c r="I1596">
        <v>4</v>
      </c>
      <c r="J1596">
        <v>1056</v>
      </c>
      <c r="K1596">
        <f t="shared" si="73"/>
        <v>264</v>
      </c>
      <c r="L1596">
        <f t="shared" si="74"/>
        <v>0</v>
      </c>
      <c r="M1596">
        <v>1056</v>
      </c>
      <c r="N1596" s="3">
        <v>46966</v>
      </c>
      <c r="O1596" s="6">
        <v>0</v>
      </c>
    </row>
    <row r="1597" spans="1:15">
      <c r="A1597" t="str">
        <f t="shared" si="72"/>
        <v>Starphos 40 X 500 ml469050</v>
      </c>
      <c r="B1597" t="s">
        <v>11416</v>
      </c>
      <c r="C1597" t="s">
        <v>15979</v>
      </c>
      <c r="D1597" t="s">
        <v>13500</v>
      </c>
      <c r="E1597" t="s">
        <v>1983</v>
      </c>
      <c r="F1597">
        <v>40</v>
      </c>
      <c r="G1597">
        <v>1</v>
      </c>
      <c r="H1597">
        <v>1</v>
      </c>
      <c r="I1597">
        <v>40</v>
      </c>
      <c r="J1597">
        <v>17</v>
      </c>
      <c r="K1597">
        <f t="shared" si="73"/>
        <v>0</v>
      </c>
      <c r="L1597">
        <f t="shared" si="74"/>
        <v>17</v>
      </c>
      <c r="M1597">
        <v>17</v>
      </c>
      <c r="N1597" s="3">
        <v>46905</v>
      </c>
      <c r="O1597" s="6">
        <v>0</v>
      </c>
    </row>
    <row r="1598" spans="1:15">
      <c r="A1598" t="str">
        <f t="shared" si="72"/>
        <v>Starphos 40 X 500 ml471500</v>
      </c>
      <c r="B1598" t="s">
        <v>11417</v>
      </c>
      <c r="C1598" t="s">
        <v>15980</v>
      </c>
      <c r="D1598" t="s">
        <v>13501</v>
      </c>
      <c r="E1598" t="s">
        <v>1983</v>
      </c>
      <c r="F1598">
        <v>40</v>
      </c>
      <c r="G1598">
        <v>1</v>
      </c>
      <c r="H1598">
        <v>1</v>
      </c>
      <c r="I1598">
        <v>40</v>
      </c>
      <c r="J1598">
        <v>76</v>
      </c>
      <c r="K1598">
        <f t="shared" si="73"/>
        <v>1</v>
      </c>
      <c r="L1598">
        <f t="shared" si="74"/>
        <v>36</v>
      </c>
      <c r="M1598">
        <v>76</v>
      </c>
      <c r="N1598" s="3">
        <v>47150</v>
      </c>
      <c r="O1598" s="6">
        <v>0</v>
      </c>
    </row>
    <row r="1599" spans="1:15">
      <c r="A1599" t="str">
        <f t="shared" si="72"/>
        <v>Stick / Spindle Body Pc1/1/10000</v>
      </c>
      <c r="B1599" t="s">
        <v>11418</v>
      </c>
      <c r="C1599" t="s">
        <v>15981</v>
      </c>
      <c r="D1599" t="s">
        <v>13502</v>
      </c>
      <c r="E1599" t="s">
        <v>1984</v>
      </c>
      <c r="F1599">
        <v>1</v>
      </c>
      <c r="G1599">
        <v>1</v>
      </c>
      <c r="H1599">
        <v>1</v>
      </c>
      <c r="I1599">
        <v>1</v>
      </c>
      <c r="J1599">
        <v>21</v>
      </c>
      <c r="K1599">
        <f t="shared" si="73"/>
        <v>21</v>
      </c>
      <c r="L1599">
        <f t="shared" si="74"/>
        <v>0</v>
      </c>
      <c r="M1599">
        <v>21</v>
      </c>
      <c r="N1599" s="3" t="s">
        <v>2222</v>
      </c>
      <c r="O1599" s="6">
        <v>0</v>
      </c>
    </row>
    <row r="1600" spans="1:15">
      <c r="A1600" t="str">
        <f t="shared" si="72"/>
        <v>Suica 50/20 WG 5 X 10 X 100 gr462960</v>
      </c>
      <c r="B1600" t="s">
        <v>11419</v>
      </c>
      <c r="C1600" t="s">
        <v>15982</v>
      </c>
      <c r="D1600" t="s">
        <v>13503</v>
      </c>
      <c r="E1600" t="s">
        <v>1985</v>
      </c>
      <c r="F1600">
        <v>5</v>
      </c>
      <c r="G1600">
        <v>10</v>
      </c>
      <c r="H1600">
        <v>1</v>
      </c>
      <c r="I1600">
        <v>50</v>
      </c>
      <c r="J1600">
        <v>500</v>
      </c>
      <c r="K1600">
        <f t="shared" si="73"/>
        <v>10</v>
      </c>
      <c r="L1600">
        <f t="shared" si="74"/>
        <v>0</v>
      </c>
      <c r="M1600">
        <v>500</v>
      </c>
      <c r="N1600" s="3">
        <v>46296</v>
      </c>
      <c r="O1600" s="6">
        <v>0</v>
      </c>
    </row>
    <row r="1601" spans="1:15">
      <c r="A1601" t="str">
        <f t="shared" si="72"/>
        <v>Suica 50/20 WG 5 X 40 X 25 gr462960</v>
      </c>
      <c r="B1601" t="s">
        <v>11420</v>
      </c>
      <c r="C1601" t="s">
        <v>15983</v>
      </c>
      <c r="D1601" t="s">
        <v>13504</v>
      </c>
      <c r="E1601" t="s">
        <v>1986</v>
      </c>
      <c r="F1601">
        <v>5</v>
      </c>
      <c r="G1601">
        <v>40</v>
      </c>
      <c r="H1601">
        <v>1</v>
      </c>
      <c r="I1601">
        <v>200</v>
      </c>
      <c r="J1601">
        <v>203</v>
      </c>
      <c r="K1601">
        <f t="shared" si="73"/>
        <v>1</v>
      </c>
      <c r="L1601">
        <f t="shared" si="74"/>
        <v>3</v>
      </c>
      <c r="M1601">
        <v>203</v>
      </c>
      <c r="N1601" s="3">
        <v>46296</v>
      </c>
      <c r="O1601" s="6">
        <v>0</v>
      </c>
    </row>
    <row r="1602" spans="1:15">
      <c r="A1602" t="str">
        <f t="shared" si="72"/>
        <v>Switch Off 62.5 WG 20 X 20 X 20 gr467220</v>
      </c>
      <c r="B1602" t="s">
        <v>11421</v>
      </c>
      <c r="C1602" t="s">
        <v>15984</v>
      </c>
      <c r="D1602" t="s">
        <v>13505</v>
      </c>
      <c r="E1602" t="s">
        <v>1987</v>
      </c>
      <c r="F1602">
        <v>20</v>
      </c>
      <c r="G1602">
        <v>20</v>
      </c>
      <c r="H1602">
        <v>1</v>
      </c>
      <c r="I1602">
        <v>400</v>
      </c>
      <c r="J1602">
        <v>480</v>
      </c>
      <c r="K1602">
        <f t="shared" si="73"/>
        <v>1</v>
      </c>
      <c r="L1602">
        <f t="shared" si="74"/>
        <v>80</v>
      </c>
      <c r="M1602">
        <v>480</v>
      </c>
      <c r="N1602" s="3">
        <v>46722</v>
      </c>
      <c r="O1602" s="6">
        <v>0</v>
      </c>
    </row>
    <row r="1603" spans="1:15">
      <c r="A1603" t="str">
        <f t="shared" ref="A1603:A1666" si="75">E1603&amp;N1603&amp;O1603</f>
        <v>Symbisect 2/30 WG 100 X 50 gr465690</v>
      </c>
      <c r="B1603" t="s">
        <v>11422</v>
      </c>
      <c r="C1603" t="s">
        <v>15985</v>
      </c>
      <c r="D1603" t="s">
        <v>13506</v>
      </c>
      <c r="E1603" t="s">
        <v>1989</v>
      </c>
      <c r="F1603">
        <v>100</v>
      </c>
      <c r="G1603">
        <v>1</v>
      </c>
      <c r="H1603">
        <v>1</v>
      </c>
      <c r="I1603">
        <v>100</v>
      </c>
      <c r="J1603">
        <v>1444</v>
      </c>
      <c r="K1603">
        <f t="shared" ref="K1603:K1666" si="76">ROUNDDOWN(J1603/I1603,0)</f>
        <v>14</v>
      </c>
      <c r="L1603">
        <f t="shared" ref="L1603:L1666" si="77">J1603-K1603*I1603</f>
        <v>44</v>
      </c>
      <c r="M1603">
        <v>1444</v>
      </c>
      <c r="N1603" s="3">
        <v>46569</v>
      </c>
      <c r="O1603" s="6">
        <v>0</v>
      </c>
    </row>
    <row r="1604" spans="1:15">
      <c r="A1604" t="str">
        <f t="shared" si="75"/>
        <v>Symbisect 2/30 WG 50 X 100 gr470880</v>
      </c>
      <c r="B1604" t="s">
        <v>11423</v>
      </c>
      <c r="C1604" t="s">
        <v>15986</v>
      </c>
      <c r="D1604" t="s">
        <v>13507</v>
      </c>
      <c r="E1604" t="s">
        <v>1991</v>
      </c>
      <c r="F1604">
        <v>50</v>
      </c>
      <c r="G1604">
        <v>1</v>
      </c>
      <c r="H1604">
        <v>1</v>
      </c>
      <c r="I1604">
        <v>50</v>
      </c>
      <c r="J1604">
        <v>2364</v>
      </c>
      <c r="K1604">
        <f t="shared" si="76"/>
        <v>47</v>
      </c>
      <c r="L1604">
        <f t="shared" si="77"/>
        <v>14</v>
      </c>
      <c r="M1604">
        <v>2364</v>
      </c>
      <c r="N1604" s="3">
        <v>47088</v>
      </c>
      <c r="O1604" s="6">
        <v>0</v>
      </c>
    </row>
    <row r="1605" spans="1:15">
      <c r="A1605" t="str">
        <f t="shared" si="75"/>
        <v>Symbisect 2/30 WG 75 X 100 gr465690</v>
      </c>
      <c r="B1605" t="s">
        <v>11424</v>
      </c>
      <c r="C1605" t="s">
        <v>15987</v>
      </c>
      <c r="D1605" t="s">
        <v>13508</v>
      </c>
      <c r="E1605" t="s">
        <v>1992</v>
      </c>
      <c r="F1605">
        <v>75</v>
      </c>
      <c r="G1605">
        <v>1</v>
      </c>
      <c r="H1605">
        <v>1</v>
      </c>
      <c r="I1605">
        <v>75</v>
      </c>
      <c r="J1605">
        <v>3</v>
      </c>
      <c r="K1605">
        <f t="shared" si="76"/>
        <v>0</v>
      </c>
      <c r="L1605">
        <f t="shared" si="77"/>
        <v>3</v>
      </c>
      <c r="M1605">
        <v>3</v>
      </c>
      <c r="N1605" s="3">
        <v>46569</v>
      </c>
      <c r="O1605" s="6">
        <v>0</v>
      </c>
    </row>
    <row r="1606" spans="1:15">
      <c r="A1606" t="str">
        <f t="shared" si="75"/>
        <v>Symphony Plus 32 X 250 ml459920</v>
      </c>
      <c r="B1606" t="s">
        <v>11425</v>
      </c>
      <c r="C1606" t="s">
        <v>15988</v>
      </c>
      <c r="D1606" t="s">
        <v>13509</v>
      </c>
      <c r="E1606" t="s">
        <v>1993</v>
      </c>
      <c r="F1606">
        <v>32</v>
      </c>
      <c r="G1606">
        <v>1</v>
      </c>
      <c r="H1606">
        <v>1</v>
      </c>
      <c r="I1606">
        <v>32</v>
      </c>
      <c r="J1606">
        <v>160</v>
      </c>
      <c r="K1606">
        <f t="shared" si="76"/>
        <v>5</v>
      </c>
      <c r="L1606">
        <f t="shared" si="77"/>
        <v>0</v>
      </c>
      <c r="M1606">
        <v>160</v>
      </c>
      <c r="N1606" s="3">
        <v>45992</v>
      </c>
      <c r="O1606" s="6">
        <v>0</v>
      </c>
    </row>
    <row r="1607" spans="1:15">
      <c r="A1607" t="str">
        <f t="shared" si="75"/>
        <v>Symphony Plus 32 X 250 ml464780</v>
      </c>
      <c r="B1607" t="s">
        <v>11426</v>
      </c>
      <c r="C1607" t="s">
        <v>15989</v>
      </c>
      <c r="D1607" t="s">
        <v>13510</v>
      </c>
      <c r="E1607" t="s">
        <v>1993</v>
      </c>
      <c r="F1607">
        <v>32</v>
      </c>
      <c r="G1607">
        <v>1</v>
      </c>
      <c r="H1607">
        <v>1</v>
      </c>
      <c r="I1607">
        <v>32</v>
      </c>
      <c r="J1607">
        <v>1760</v>
      </c>
      <c r="K1607">
        <f t="shared" si="76"/>
        <v>55</v>
      </c>
      <c r="L1607">
        <f t="shared" si="77"/>
        <v>0</v>
      </c>
      <c r="M1607">
        <v>1760</v>
      </c>
      <c r="N1607" s="3">
        <v>46478</v>
      </c>
      <c r="O1607" s="6">
        <v>0</v>
      </c>
    </row>
    <row r="1608" spans="1:15">
      <c r="A1608" t="str">
        <f t="shared" si="75"/>
        <v>Symphony Plus 40 X 100 ml465390</v>
      </c>
      <c r="B1608" t="s">
        <v>11427</v>
      </c>
      <c r="C1608" t="s">
        <v>15990</v>
      </c>
      <c r="D1608" t="s">
        <v>13511</v>
      </c>
      <c r="E1608" t="s">
        <v>1996</v>
      </c>
      <c r="F1608">
        <v>40</v>
      </c>
      <c r="G1608">
        <v>1</v>
      </c>
      <c r="H1608">
        <v>1</v>
      </c>
      <c r="I1608">
        <v>40</v>
      </c>
      <c r="J1608">
        <v>1200</v>
      </c>
      <c r="K1608">
        <f t="shared" si="76"/>
        <v>30</v>
      </c>
      <c r="L1608">
        <f t="shared" si="77"/>
        <v>0</v>
      </c>
      <c r="M1608">
        <v>1200</v>
      </c>
      <c r="N1608" s="3">
        <v>46539</v>
      </c>
      <c r="O1608" s="6">
        <v>0</v>
      </c>
    </row>
    <row r="1609" spans="1:15">
      <c r="A1609" t="str">
        <f t="shared" si="75"/>
        <v>Symphony Plus 40 X 100 ml459920</v>
      </c>
      <c r="B1609" t="s">
        <v>11428</v>
      </c>
      <c r="C1609" t="s">
        <v>15991</v>
      </c>
      <c r="D1609" t="s">
        <v>13512</v>
      </c>
      <c r="E1609" t="s">
        <v>1996</v>
      </c>
      <c r="F1609">
        <v>40</v>
      </c>
      <c r="G1609">
        <v>1</v>
      </c>
      <c r="H1609">
        <v>1</v>
      </c>
      <c r="I1609">
        <v>40</v>
      </c>
      <c r="J1609">
        <v>1681</v>
      </c>
      <c r="K1609">
        <f t="shared" si="76"/>
        <v>42</v>
      </c>
      <c r="L1609">
        <f t="shared" si="77"/>
        <v>1</v>
      </c>
      <c r="M1609">
        <v>1681</v>
      </c>
      <c r="N1609" s="3">
        <v>45992</v>
      </c>
      <c r="O1609" s="6">
        <v>0</v>
      </c>
    </row>
    <row r="1610" spans="1:15">
      <c r="A1610" t="str">
        <f t="shared" si="75"/>
        <v>Tabung Kosong1/1/10000</v>
      </c>
      <c r="B1610" t="s">
        <v>11429</v>
      </c>
      <c r="C1610" t="s">
        <v>15992</v>
      </c>
      <c r="D1610" t="s">
        <v>13513</v>
      </c>
      <c r="E1610" t="s">
        <v>1998</v>
      </c>
      <c r="F1610">
        <v>1</v>
      </c>
      <c r="G1610">
        <v>1</v>
      </c>
      <c r="H1610">
        <v>1</v>
      </c>
      <c r="I1610">
        <v>1</v>
      </c>
      <c r="J1610">
        <v>10</v>
      </c>
      <c r="K1610">
        <f t="shared" si="76"/>
        <v>10</v>
      </c>
      <c r="L1610">
        <f t="shared" si="77"/>
        <v>0</v>
      </c>
      <c r="M1610">
        <v>10</v>
      </c>
      <c r="N1610" s="3" t="s">
        <v>2222</v>
      </c>
      <c r="O1610" s="6">
        <v>0</v>
      </c>
    </row>
    <row r="1611" spans="1:15">
      <c r="A1611" t="str">
        <f t="shared" si="75"/>
        <v>Tabung Pompa Komplit 14 ltr1/1/10000</v>
      </c>
      <c r="B1611" t="s">
        <v>11430</v>
      </c>
      <c r="C1611" t="s">
        <v>15993</v>
      </c>
      <c r="D1611" t="s">
        <v>13514</v>
      </c>
      <c r="E1611" t="s">
        <v>1999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f t="shared" si="76"/>
        <v>1</v>
      </c>
      <c r="L1611">
        <f t="shared" si="77"/>
        <v>0</v>
      </c>
      <c r="M1611">
        <v>1</v>
      </c>
      <c r="N1611" s="3" t="s">
        <v>2222</v>
      </c>
      <c r="O1611" s="6">
        <v>0</v>
      </c>
    </row>
    <row r="1612" spans="1:15">
      <c r="A1612" t="str">
        <f t="shared" si="75"/>
        <v>Tali Bahu EDD1/1/10000</v>
      </c>
      <c r="B1612" t="s">
        <v>11431</v>
      </c>
      <c r="C1612" t="s">
        <v>15994</v>
      </c>
      <c r="D1612" t="s">
        <v>13515</v>
      </c>
      <c r="E1612" t="s">
        <v>2000</v>
      </c>
      <c r="F1612">
        <v>1</v>
      </c>
      <c r="G1612">
        <v>1</v>
      </c>
      <c r="H1612">
        <v>1</v>
      </c>
      <c r="I1612">
        <v>1</v>
      </c>
      <c r="J1612">
        <v>10</v>
      </c>
      <c r="K1612">
        <f t="shared" si="76"/>
        <v>10</v>
      </c>
      <c r="L1612">
        <f t="shared" si="77"/>
        <v>0</v>
      </c>
      <c r="M1612">
        <v>10</v>
      </c>
      <c r="N1612" s="3" t="s">
        <v>2222</v>
      </c>
      <c r="O1612" s="6">
        <v>0</v>
      </c>
    </row>
    <row r="1613" spans="1:15">
      <c r="A1613" t="str">
        <f t="shared" si="75"/>
        <v>Tali Gawar 989 40 X 600 gr1/1/10000</v>
      </c>
      <c r="B1613" t="s">
        <v>11432</v>
      </c>
      <c r="C1613" t="s">
        <v>15995</v>
      </c>
      <c r="D1613" t="s">
        <v>13516</v>
      </c>
      <c r="E1613" t="s">
        <v>2001</v>
      </c>
      <c r="F1613">
        <v>40</v>
      </c>
      <c r="G1613">
        <v>1</v>
      </c>
      <c r="H1613">
        <v>1</v>
      </c>
      <c r="I1613">
        <v>40</v>
      </c>
      <c r="J1613">
        <v>410</v>
      </c>
      <c r="K1613">
        <f t="shared" si="76"/>
        <v>10</v>
      </c>
      <c r="L1613">
        <f t="shared" si="77"/>
        <v>10</v>
      </c>
      <c r="M1613">
        <v>410</v>
      </c>
      <c r="N1613" s="3" t="s">
        <v>2222</v>
      </c>
      <c r="O1613" s="6">
        <v>0</v>
      </c>
    </row>
    <row r="1614" spans="1:15">
      <c r="A1614" t="str">
        <f t="shared" si="75"/>
        <v>Tali Gendong1/1/10000</v>
      </c>
      <c r="B1614" t="s">
        <v>11433</v>
      </c>
      <c r="C1614" t="s">
        <v>15996</v>
      </c>
      <c r="D1614" t="s">
        <v>13517</v>
      </c>
      <c r="E1614" t="s">
        <v>2002</v>
      </c>
      <c r="F1614">
        <v>1</v>
      </c>
      <c r="G1614">
        <v>1</v>
      </c>
      <c r="H1614">
        <v>1</v>
      </c>
      <c r="I1614">
        <v>1</v>
      </c>
      <c r="J1614">
        <v>10</v>
      </c>
      <c r="K1614">
        <f t="shared" si="76"/>
        <v>10</v>
      </c>
      <c r="L1614">
        <f t="shared" si="77"/>
        <v>0</v>
      </c>
      <c r="M1614">
        <v>10</v>
      </c>
      <c r="N1614" s="3" t="s">
        <v>2222</v>
      </c>
      <c r="O1614" s="6">
        <v>0</v>
      </c>
    </row>
    <row r="1615" spans="1:15">
      <c r="A1615" t="str">
        <f t="shared" si="75"/>
        <v>Tali Gendong GA1/1/10000</v>
      </c>
      <c r="B1615" t="s">
        <v>11434</v>
      </c>
      <c r="C1615" t="s">
        <v>15997</v>
      </c>
      <c r="D1615" t="s">
        <v>13518</v>
      </c>
      <c r="E1615" t="s">
        <v>2003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f t="shared" si="76"/>
        <v>1</v>
      </c>
      <c r="L1615">
        <f t="shared" si="77"/>
        <v>0</v>
      </c>
      <c r="M1615">
        <v>1</v>
      </c>
      <c r="N1615" s="3" t="s">
        <v>2222</v>
      </c>
      <c r="O1615" s="6">
        <v>0</v>
      </c>
    </row>
    <row r="1616" spans="1:15">
      <c r="A1616" t="str">
        <f t="shared" si="75"/>
        <v>Tali Gendong Hijau Star Metal1/1/10000</v>
      </c>
      <c r="B1616" t="s">
        <v>11435</v>
      </c>
      <c r="C1616" t="s">
        <v>15998</v>
      </c>
      <c r="D1616" t="s">
        <v>13519</v>
      </c>
      <c r="E1616" t="s">
        <v>2004</v>
      </c>
      <c r="F1616">
        <v>1</v>
      </c>
      <c r="G1616">
        <v>1</v>
      </c>
      <c r="H1616">
        <v>1</v>
      </c>
      <c r="I1616">
        <v>1</v>
      </c>
      <c r="J1616">
        <v>28</v>
      </c>
      <c r="K1616">
        <f t="shared" si="76"/>
        <v>28</v>
      </c>
      <c r="L1616">
        <f t="shared" si="77"/>
        <v>0</v>
      </c>
      <c r="M1616">
        <v>28</v>
      </c>
      <c r="N1616" s="3" t="s">
        <v>2222</v>
      </c>
      <c r="O1616" s="6">
        <v>0</v>
      </c>
    </row>
    <row r="1617" spans="1:15">
      <c r="A1617" t="str">
        <f t="shared" si="75"/>
        <v>Tali Kapas Cap Kelud 15 X 900 gr (Putih)1/1/10000</v>
      </c>
      <c r="B1617" t="s">
        <v>11436</v>
      </c>
      <c r="C1617" t="s">
        <v>15999</v>
      </c>
      <c r="D1617" t="s">
        <v>13520</v>
      </c>
      <c r="E1617" t="s">
        <v>2005</v>
      </c>
      <c r="F1617">
        <v>15</v>
      </c>
      <c r="G1617">
        <v>1</v>
      </c>
      <c r="H1617">
        <v>1</v>
      </c>
      <c r="I1617">
        <v>15</v>
      </c>
      <c r="J1617">
        <v>242</v>
      </c>
      <c r="K1617">
        <f t="shared" si="76"/>
        <v>16</v>
      </c>
      <c r="L1617">
        <f t="shared" si="77"/>
        <v>2</v>
      </c>
      <c r="M1617">
        <v>242</v>
      </c>
      <c r="N1617" s="3" t="s">
        <v>2222</v>
      </c>
      <c r="O1617" s="6">
        <v>0</v>
      </c>
    </row>
    <row r="1618" spans="1:15">
      <c r="A1618" t="str">
        <f t="shared" si="75"/>
        <v>Tali Kapas Cap Kelud 28 X 450 gr (Putih)1/1/10000</v>
      </c>
      <c r="B1618" t="s">
        <v>11437</v>
      </c>
      <c r="C1618" t="s">
        <v>16000</v>
      </c>
      <c r="D1618" t="s">
        <v>13521</v>
      </c>
      <c r="E1618" t="s">
        <v>2006</v>
      </c>
      <c r="F1618">
        <v>28</v>
      </c>
      <c r="G1618">
        <v>1</v>
      </c>
      <c r="H1618">
        <v>1</v>
      </c>
      <c r="I1618">
        <v>28</v>
      </c>
      <c r="J1618">
        <v>103</v>
      </c>
      <c r="K1618">
        <f t="shared" si="76"/>
        <v>3</v>
      </c>
      <c r="L1618">
        <f t="shared" si="77"/>
        <v>19</v>
      </c>
      <c r="M1618">
        <v>103</v>
      </c>
      <c r="N1618" s="3" t="s">
        <v>2222</v>
      </c>
      <c r="O1618" s="6">
        <v>0</v>
      </c>
    </row>
    <row r="1619" spans="1:15">
      <c r="A1619" t="str">
        <f t="shared" si="75"/>
        <v>Tali Surya1/1/10000</v>
      </c>
      <c r="B1619" t="s">
        <v>11438</v>
      </c>
      <c r="C1619" t="s">
        <v>16001</v>
      </c>
      <c r="D1619" t="s">
        <v>13522</v>
      </c>
      <c r="E1619" t="s">
        <v>2007</v>
      </c>
      <c r="F1619">
        <v>1</v>
      </c>
      <c r="G1619">
        <v>1</v>
      </c>
      <c r="H1619">
        <v>1</v>
      </c>
      <c r="I1619">
        <v>1</v>
      </c>
      <c r="J1619">
        <v>3331.2</v>
      </c>
      <c r="K1619">
        <f t="shared" si="76"/>
        <v>3331</v>
      </c>
      <c r="L1619">
        <f t="shared" si="77"/>
        <v>0.1999999999998181</v>
      </c>
      <c r="M1619">
        <v>3331.2</v>
      </c>
      <c r="N1619" s="3" t="s">
        <v>2222</v>
      </c>
      <c r="O1619" s="6">
        <v>0</v>
      </c>
    </row>
    <row r="1620" spans="1:15">
      <c r="A1620" t="str">
        <f t="shared" si="75"/>
        <v>Tamicor 250 EC 40 X 100 ml466000</v>
      </c>
      <c r="B1620" t="s">
        <v>11439</v>
      </c>
      <c r="C1620" t="s">
        <v>16002</v>
      </c>
      <c r="D1620" t="s">
        <v>13523</v>
      </c>
      <c r="E1620" t="s">
        <v>2008</v>
      </c>
      <c r="F1620">
        <v>40</v>
      </c>
      <c r="G1620">
        <v>1</v>
      </c>
      <c r="H1620">
        <v>1</v>
      </c>
      <c r="I1620">
        <v>40</v>
      </c>
      <c r="J1620">
        <v>120</v>
      </c>
      <c r="K1620">
        <f t="shared" si="76"/>
        <v>3</v>
      </c>
      <c r="L1620">
        <f t="shared" si="77"/>
        <v>0</v>
      </c>
      <c r="M1620">
        <v>120</v>
      </c>
      <c r="N1620" s="3">
        <v>46600</v>
      </c>
      <c r="O1620" s="6">
        <v>0</v>
      </c>
    </row>
    <row r="1621" spans="1:15">
      <c r="A1621" t="str">
        <f t="shared" si="75"/>
        <v>Tamoxanil 6/24 WP 20 X 400 gr456580</v>
      </c>
      <c r="B1621" t="s">
        <v>11440</v>
      </c>
      <c r="C1621" t="s">
        <v>16003</v>
      </c>
      <c r="D1621" t="s">
        <v>13524</v>
      </c>
      <c r="E1621" t="s">
        <v>2009</v>
      </c>
      <c r="F1621">
        <v>20</v>
      </c>
      <c r="G1621">
        <v>1</v>
      </c>
      <c r="H1621">
        <v>1</v>
      </c>
      <c r="I1621">
        <v>20</v>
      </c>
      <c r="J1621">
        <v>20</v>
      </c>
      <c r="K1621">
        <f t="shared" si="76"/>
        <v>1</v>
      </c>
      <c r="L1621">
        <f t="shared" si="77"/>
        <v>0</v>
      </c>
      <c r="M1621">
        <v>20</v>
      </c>
      <c r="N1621" s="3">
        <v>45658</v>
      </c>
      <c r="O1621" s="6">
        <v>0</v>
      </c>
    </row>
    <row r="1622" spans="1:15">
      <c r="A1622" t="str">
        <f t="shared" si="75"/>
        <v>Tampidor 200 SL 40 X 100 ml469050</v>
      </c>
      <c r="B1622" t="s">
        <v>11441</v>
      </c>
      <c r="C1622" t="s">
        <v>16004</v>
      </c>
      <c r="D1622" t="s">
        <v>13525</v>
      </c>
      <c r="E1622" t="s">
        <v>2010</v>
      </c>
      <c r="F1622">
        <v>40</v>
      </c>
      <c r="G1622">
        <v>1</v>
      </c>
      <c r="H1622">
        <v>1</v>
      </c>
      <c r="I1622">
        <v>40</v>
      </c>
      <c r="J1622">
        <v>70</v>
      </c>
      <c r="K1622">
        <f t="shared" si="76"/>
        <v>1</v>
      </c>
      <c r="L1622">
        <f t="shared" si="77"/>
        <v>30</v>
      </c>
      <c r="M1622">
        <v>70</v>
      </c>
      <c r="N1622" s="3">
        <v>46905</v>
      </c>
      <c r="O1622" s="6">
        <v>0</v>
      </c>
    </row>
    <row r="1623" spans="1:15">
      <c r="A1623" t="str">
        <f t="shared" si="75"/>
        <v>Tampidor 200 SL 40 X 200 ml469050</v>
      </c>
      <c r="B1623" t="s">
        <v>11442</v>
      </c>
      <c r="C1623" t="s">
        <v>16005</v>
      </c>
      <c r="D1623" t="s">
        <v>13526</v>
      </c>
      <c r="E1623" t="s">
        <v>2012</v>
      </c>
      <c r="F1623">
        <v>40</v>
      </c>
      <c r="G1623">
        <v>1</v>
      </c>
      <c r="H1623">
        <v>1</v>
      </c>
      <c r="I1623">
        <v>40</v>
      </c>
      <c r="J1623">
        <v>197</v>
      </c>
      <c r="K1623">
        <f t="shared" si="76"/>
        <v>4</v>
      </c>
      <c r="L1623">
        <f t="shared" si="77"/>
        <v>37</v>
      </c>
      <c r="M1623">
        <v>197</v>
      </c>
      <c r="N1623" s="3">
        <v>46905</v>
      </c>
      <c r="O1623" s="6">
        <v>0</v>
      </c>
    </row>
    <row r="1624" spans="1:15">
      <c r="A1624" t="str">
        <f t="shared" si="75"/>
        <v>Tampidor 25 WP 100 X 100 gr455660</v>
      </c>
      <c r="B1624" t="s">
        <v>11443</v>
      </c>
      <c r="C1624" t="s">
        <v>16006</v>
      </c>
      <c r="D1624" t="s">
        <v>13527</v>
      </c>
      <c r="E1624" t="s">
        <v>2013</v>
      </c>
      <c r="F1624">
        <v>100</v>
      </c>
      <c r="G1624">
        <v>1</v>
      </c>
      <c r="H1624">
        <v>1</v>
      </c>
      <c r="I1624">
        <v>100</v>
      </c>
      <c r="J1624">
        <v>1695</v>
      </c>
      <c r="K1624">
        <f t="shared" si="76"/>
        <v>16</v>
      </c>
      <c r="L1624">
        <f t="shared" si="77"/>
        <v>95</v>
      </c>
      <c r="M1624">
        <v>1695</v>
      </c>
      <c r="N1624" s="3">
        <v>45566</v>
      </c>
      <c r="O1624" s="6">
        <v>0</v>
      </c>
    </row>
    <row r="1625" spans="1:15">
      <c r="A1625" t="str">
        <f t="shared" si="75"/>
        <v>Tamuldok 25 EC 20 X 250 ml458700</v>
      </c>
      <c r="B1625" t="s">
        <v>11444</v>
      </c>
      <c r="C1625" t="s">
        <v>16007</v>
      </c>
      <c r="D1625" t="s">
        <v>13528</v>
      </c>
      <c r="E1625" t="s">
        <v>2016</v>
      </c>
      <c r="F1625">
        <v>20</v>
      </c>
      <c r="G1625">
        <v>1</v>
      </c>
      <c r="H1625">
        <v>1</v>
      </c>
      <c r="I1625">
        <v>20</v>
      </c>
      <c r="J1625">
        <v>100</v>
      </c>
      <c r="K1625">
        <f t="shared" si="76"/>
        <v>5</v>
      </c>
      <c r="L1625">
        <f t="shared" si="77"/>
        <v>0</v>
      </c>
      <c r="M1625">
        <v>100</v>
      </c>
      <c r="N1625" s="3">
        <v>45870</v>
      </c>
      <c r="O1625" s="6">
        <v>0</v>
      </c>
    </row>
    <row r="1626" spans="1:15">
      <c r="A1626" t="str">
        <f t="shared" si="75"/>
        <v>Tamuldok 25 EC 20 X 500 ml458700</v>
      </c>
      <c r="B1626" t="s">
        <v>11445</v>
      </c>
      <c r="C1626" t="s">
        <v>16008</v>
      </c>
      <c r="D1626" t="s">
        <v>13529</v>
      </c>
      <c r="E1626" t="s">
        <v>2018</v>
      </c>
      <c r="F1626">
        <v>20</v>
      </c>
      <c r="G1626">
        <v>1</v>
      </c>
      <c r="H1626">
        <v>1</v>
      </c>
      <c r="I1626">
        <v>20</v>
      </c>
      <c r="J1626">
        <v>100</v>
      </c>
      <c r="K1626">
        <f t="shared" si="76"/>
        <v>5</v>
      </c>
      <c r="L1626">
        <f t="shared" si="77"/>
        <v>0</v>
      </c>
      <c r="M1626">
        <v>100</v>
      </c>
      <c r="N1626" s="3">
        <v>45870</v>
      </c>
      <c r="O1626" s="6">
        <v>0</v>
      </c>
    </row>
    <row r="1627" spans="1:15">
      <c r="A1627" t="str">
        <f t="shared" si="75"/>
        <v>Tang Lipat set1/1/10000</v>
      </c>
      <c r="B1627" t="s">
        <v>11446</v>
      </c>
      <c r="C1627" t="s">
        <v>16009</v>
      </c>
      <c r="D1627" t="s">
        <v>13530</v>
      </c>
      <c r="E1627" t="s">
        <v>2020</v>
      </c>
      <c r="F1627">
        <v>1</v>
      </c>
      <c r="G1627">
        <v>1</v>
      </c>
      <c r="H1627">
        <v>1</v>
      </c>
      <c r="I1627">
        <v>1</v>
      </c>
      <c r="J1627">
        <v>10</v>
      </c>
      <c r="K1627">
        <f t="shared" si="76"/>
        <v>10</v>
      </c>
      <c r="L1627">
        <f t="shared" si="77"/>
        <v>0</v>
      </c>
      <c r="M1627">
        <v>10</v>
      </c>
      <c r="N1627" s="3" t="s">
        <v>2222</v>
      </c>
      <c r="O1627" s="6">
        <v>0</v>
      </c>
    </row>
    <row r="1628" spans="1:15">
      <c r="A1628" t="str">
        <f t="shared" si="75"/>
        <v>Tangki ABC 16 ltr BTR (Kuning)1/1/10000</v>
      </c>
      <c r="B1628" t="s">
        <v>11447</v>
      </c>
      <c r="C1628" t="s">
        <v>16010</v>
      </c>
      <c r="D1628" t="s">
        <v>13531</v>
      </c>
      <c r="E1628" t="s">
        <v>2021</v>
      </c>
      <c r="F1628">
        <v>1</v>
      </c>
      <c r="G1628">
        <v>1</v>
      </c>
      <c r="H1628">
        <v>1</v>
      </c>
      <c r="I1628">
        <v>1</v>
      </c>
      <c r="J1628">
        <v>18</v>
      </c>
      <c r="K1628">
        <f t="shared" si="76"/>
        <v>18</v>
      </c>
      <c r="L1628">
        <f t="shared" si="77"/>
        <v>0</v>
      </c>
      <c r="M1628">
        <v>18</v>
      </c>
      <c r="N1628" s="3" t="s">
        <v>2222</v>
      </c>
      <c r="O1628" s="6">
        <v>0</v>
      </c>
    </row>
    <row r="1629" spans="1:15">
      <c r="A1629" t="str">
        <f t="shared" si="75"/>
        <v>Tangki ABC 20 Ltr-71/1/10000</v>
      </c>
      <c r="B1629" t="s">
        <v>11448</v>
      </c>
      <c r="C1629" t="s">
        <v>16011</v>
      </c>
      <c r="D1629" t="s">
        <v>13532</v>
      </c>
      <c r="E1629" t="s">
        <v>2022</v>
      </c>
      <c r="F1629">
        <v>1</v>
      </c>
      <c r="G1629">
        <v>1</v>
      </c>
      <c r="H1629">
        <v>1</v>
      </c>
      <c r="I1629">
        <v>1</v>
      </c>
      <c r="J1629">
        <v>14</v>
      </c>
      <c r="K1629">
        <f t="shared" si="76"/>
        <v>14</v>
      </c>
      <c r="L1629">
        <f t="shared" si="77"/>
        <v>0</v>
      </c>
      <c r="M1629">
        <v>14</v>
      </c>
      <c r="N1629" s="3" t="s">
        <v>2222</v>
      </c>
      <c r="O1629" s="6">
        <v>0</v>
      </c>
    </row>
    <row r="1630" spans="1:15">
      <c r="A1630" t="str">
        <f t="shared" si="75"/>
        <v>Tangki Dragon Star 16 ltr baterai (Biru)1/1/10000</v>
      </c>
      <c r="B1630" t="s">
        <v>11449</v>
      </c>
      <c r="C1630" t="s">
        <v>16012</v>
      </c>
      <c r="D1630" t="s">
        <v>13533</v>
      </c>
      <c r="E1630" t="s">
        <v>2023</v>
      </c>
      <c r="F1630">
        <v>1</v>
      </c>
      <c r="G1630">
        <v>1</v>
      </c>
      <c r="H1630">
        <v>1</v>
      </c>
      <c r="I1630">
        <v>1</v>
      </c>
      <c r="J1630">
        <v>672</v>
      </c>
      <c r="K1630">
        <f t="shared" si="76"/>
        <v>672</v>
      </c>
      <c r="L1630">
        <f t="shared" si="77"/>
        <v>0</v>
      </c>
      <c r="M1630">
        <v>672</v>
      </c>
      <c r="N1630" s="3" t="s">
        <v>2222</v>
      </c>
      <c r="O1630" s="6">
        <v>0</v>
      </c>
    </row>
    <row r="1631" spans="1:15">
      <c r="A1631" t="str">
        <f t="shared" si="75"/>
        <v>Tangki Dragon Star 16 ltr baterai (Hijau)1/1/10000</v>
      </c>
      <c r="B1631" t="s">
        <v>11450</v>
      </c>
      <c r="C1631" t="s">
        <v>16013</v>
      </c>
      <c r="D1631" t="s">
        <v>13534</v>
      </c>
      <c r="E1631" t="s">
        <v>2024</v>
      </c>
      <c r="F1631">
        <v>1</v>
      </c>
      <c r="G1631">
        <v>1</v>
      </c>
      <c r="H1631">
        <v>1</v>
      </c>
      <c r="I1631">
        <v>1</v>
      </c>
      <c r="J1631">
        <v>562</v>
      </c>
      <c r="K1631">
        <f t="shared" si="76"/>
        <v>562</v>
      </c>
      <c r="L1631">
        <f t="shared" si="77"/>
        <v>0</v>
      </c>
      <c r="M1631">
        <v>562</v>
      </c>
      <c r="N1631" s="3" t="s">
        <v>2222</v>
      </c>
      <c r="O1631" s="6">
        <v>0</v>
      </c>
    </row>
    <row r="1632" spans="1:15">
      <c r="A1632" t="str">
        <f t="shared" si="75"/>
        <v>Tangki Eye Brand 17 ltr1/1/10000</v>
      </c>
      <c r="B1632" t="s">
        <v>11451</v>
      </c>
      <c r="C1632" t="s">
        <v>16014</v>
      </c>
      <c r="D1632" t="s">
        <v>13535</v>
      </c>
      <c r="E1632" t="s">
        <v>2025</v>
      </c>
      <c r="F1632">
        <v>1</v>
      </c>
      <c r="G1632">
        <v>1</v>
      </c>
      <c r="H1632">
        <v>1</v>
      </c>
      <c r="I1632">
        <v>1</v>
      </c>
      <c r="J1632">
        <v>42</v>
      </c>
      <c r="K1632">
        <f t="shared" si="76"/>
        <v>42</v>
      </c>
      <c r="L1632">
        <f t="shared" si="77"/>
        <v>0</v>
      </c>
      <c r="M1632">
        <v>42</v>
      </c>
      <c r="N1632" s="3" t="s">
        <v>2222</v>
      </c>
      <c r="O1632" s="6">
        <v>0</v>
      </c>
    </row>
    <row r="1633" spans="1:15">
      <c r="A1633" t="str">
        <f t="shared" si="75"/>
        <v>Tangki Jacto 16 ltr1/1/10000</v>
      </c>
      <c r="B1633" t="s">
        <v>11452</v>
      </c>
      <c r="C1633" t="s">
        <v>16015</v>
      </c>
      <c r="D1633" t="s">
        <v>13536</v>
      </c>
      <c r="E1633" t="s">
        <v>2026</v>
      </c>
      <c r="F1633">
        <v>1</v>
      </c>
      <c r="G1633">
        <v>1</v>
      </c>
      <c r="H1633">
        <v>1</v>
      </c>
      <c r="I1633">
        <v>1</v>
      </c>
      <c r="J1633">
        <v>8</v>
      </c>
      <c r="K1633">
        <f t="shared" si="76"/>
        <v>8</v>
      </c>
      <c r="L1633">
        <f t="shared" si="77"/>
        <v>0</v>
      </c>
      <c r="M1633">
        <v>8</v>
      </c>
      <c r="N1633" s="3" t="s">
        <v>2222</v>
      </c>
      <c r="O1633" s="6">
        <v>0</v>
      </c>
    </row>
    <row r="1634" spans="1:15">
      <c r="A1634" t="str">
        <f t="shared" si="75"/>
        <v>Tangki Swan 16 ltr F (BTR)1/1/10000</v>
      </c>
      <c r="B1634" t="s">
        <v>11453</v>
      </c>
      <c r="C1634" t="s">
        <v>16016</v>
      </c>
      <c r="D1634" t="s">
        <v>13537</v>
      </c>
      <c r="E1634" t="s">
        <v>2030</v>
      </c>
      <c r="F1634">
        <v>1</v>
      </c>
      <c r="G1634">
        <v>1</v>
      </c>
      <c r="H1634">
        <v>1</v>
      </c>
      <c r="I1634">
        <v>1</v>
      </c>
      <c r="J1634">
        <v>4</v>
      </c>
      <c r="K1634">
        <f t="shared" si="76"/>
        <v>4</v>
      </c>
      <c r="L1634">
        <f t="shared" si="77"/>
        <v>0</v>
      </c>
      <c r="M1634">
        <v>4</v>
      </c>
      <c r="N1634" s="3" t="s">
        <v>2222</v>
      </c>
      <c r="O1634" s="6">
        <v>0</v>
      </c>
    </row>
    <row r="1635" spans="1:15">
      <c r="A1635" t="str">
        <f t="shared" si="75"/>
        <v>Tangki Swan 16 ltr F (BTR) Bisi1/1/10000</v>
      </c>
      <c r="B1635" t="s">
        <v>11454</v>
      </c>
      <c r="C1635" t="s">
        <v>16017</v>
      </c>
      <c r="D1635" t="s">
        <v>13538</v>
      </c>
      <c r="E1635" t="s">
        <v>2031</v>
      </c>
      <c r="F1635">
        <v>1</v>
      </c>
      <c r="G1635">
        <v>1</v>
      </c>
      <c r="H1635">
        <v>1</v>
      </c>
      <c r="I1635">
        <v>1</v>
      </c>
      <c r="J1635">
        <v>46</v>
      </c>
      <c r="K1635">
        <f t="shared" si="76"/>
        <v>46</v>
      </c>
      <c r="L1635">
        <f t="shared" si="77"/>
        <v>0</v>
      </c>
      <c r="M1635">
        <v>46</v>
      </c>
      <c r="N1635" s="3" t="s">
        <v>2222</v>
      </c>
      <c r="O1635" s="6">
        <v>0</v>
      </c>
    </row>
    <row r="1636" spans="1:15">
      <c r="A1636" t="str">
        <f t="shared" si="75"/>
        <v>Tangki Swan 16 ltr F (BTR) Kuningan1/1/10000</v>
      </c>
      <c r="B1636" t="s">
        <v>11455</v>
      </c>
      <c r="C1636" t="s">
        <v>16018</v>
      </c>
      <c r="D1636" t="s">
        <v>13539</v>
      </c>
      <c r="E1636" t="s">
        <v>2032</v>
      </c>
      <c r="F1636">
        <v>1</v>
      </c>
      <c r="G1636">
        <v>1</v>
      </c>
      <c r="H1636">
        <v>1</v>
      </c>
      <c r="I1636">
        <v>1</v>
      </c>
      <c r="J1636">
        <v>22</v>
      </c>
      <c r="K1636">
        <f t="shared" si="76"/>
        <v>22</v>
      </c>
      <c r="L1636">
        <f t="shared" si="77"/>
        <v>0</v>
      </c>
      <c r="M1636">
        <v>22</v>
      </c>
      <c r="N1636" s="3" t="s">
        <v>2222</v>
      </c>
      <c r="O1636" s="6">
        <v>0</v>
      </c>
    </row>
    <row r="1637" spans="1:15">
      <c r="A1637" t="str">
        <f t="shared" si="75"/>
        <v>Tangki TOP AGRI Double Fungsi 16 ltr baterai1/1/10000</v>
      </c>
      <c r="B1637" t="s">
        <v>11456</v>
      </c>
      <c r="C1637" t="s">
        <v>16019</v>
      </c>
      <c r="D1637" t="s">
        <v>13540</v>
      </c>
      <c r="E1637" t="s">
        <v>2033</v>
      </c>
      <c r="F1637">
        <v>1</v>
      </c>
      <c r="G1637">
        <v>1</v>
      </c>
      <c r="H1637">
        <v>1</v>
      </c>
      <c r="I1637">
        <v>1</v>
      </c>
      <c r="J1637">
        <v>54</v>
      </c>
      <c r="K1637">
        <f t="shared" si="76"/>
        <v>54</v>
      </c>
      <c r="L1637">
        <f t="shared" si="77"/>
        <v>0</v>
      </c>
      <c r="M1637">
        <v>54</v>
      </c>
      <c r="N1637" s="3" t="s">
        <v>2222</v>
      </c>
      <c r="O1637" s="6">
        <v>0</v>
      </c>
    </row>
    <row r="1638" spans="1:15">
      <c r="A1638" t="str">
        <f t="shared" si="75"/>
        <v>Tangki TOP AGRI Single Fungsi 16 ltr baterai1/1/10000</v>
      </c>
      <c r="B1638" t="s">
        <v>11457</v>
      </c>
      <c r="C1638" t="s">
        <v>16020</v>
      </c>
      <c r="D1638" t="s">
        <v>13541</v>
      </c>
      <c r="E1638" t="s">
        <v>2034</v>
      </c>
      <c r="F1638">
        <v>1</v>
      </c>
      <c r="G1638">
        <v>1</v>
      </c>
      <c r="H1638">
        <v>1</v>
      </c>
      <c r="I1638">
        <v>1</v>
      </c>
      <c r="J1638">
        <v>28</v>
      </c>
      <c r="K1638">
        <f t="shared" si="76"/>
        <v>28</v>
      </c>
      <c r="L1638">
        <f t="shared" si="77"/>
        <v>0</v>
      </c>
      <c r="M1638">
        <v>28</v>
      </c>
      <c r="N1638" s="3" t="s">
        <v>2222</v>
      </c>
      <c r="O1638" s="6">
        <v>0</v>
      </c>
    </row>
    <row r="1639" spans="1:15">
      <c r="A1639" t="str">
        <f t="shared" si="75"/>
        <v>Tangki Yoto 14 ltr SS BTR1/1/10000</v>
      </c>
      <c r="B1639" t="s">
        <v>11458</v>
      </c>
      <c r="C1639" t="s">
        <v>16021</v>
      </c>
      <c r="D1639" t="s">
        <v>13542</v>
      </c>
      <c r="E1639" t="s">
        <v>2037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f t="shared" si="76"/>
        <v>1</v>
      </c>
      <c r="L1639">
        <f t="shared" si="77"/>
        <v>0</v>
      </c>
      <c r="M1639">
        <v>1</v>
      </c>
      <c r="N1639" s="3" t="s">
        <v>2222</v>
      </c>
      <c r="O1639" s="6">
        <v>0</v>
      </c>
    </row>
    <row r="1640" spans="1:15">
      <c r="A1640" t="str">
        <f t="shared" si="75"/>
        <v>Termikon 15 EC 20 X 400 ml470580</v>
      </c>
      <c r="B1640" t="s">
        <v>11459</v>
      </c>
      <c r="C1640" t="s">
        <v>16022</v>
      </c>
      <c r="D1640" t="s">
        <v>13543</v>
      </c>
      <c r="E1640" t="s">
        <v>2038</v>
      </c>
      <c r="F1640">
        <v>20</v>
      </c>
      <c r="G1640">
        <v>1</v>
      </c>
      <c r="H1640">
        <v>1</v>
      </c>
      <c r="I1640">
        <v>20</v>
      </c>
      <c r="J1640">
        <v>19</v>
      </c>
      <c r="K1640">
        <f t="shared" si="76"/>
        <v>0</v>
      </c>
      <c r="L1640">
        <f t="shared" si="77"/>
        <v>19</v>
      </c>
      <c r="M1640">
        <v>19</v>
      </c>
      <c r="N1640" s="3">
        <v>47058</v>
      </c>
      <c r="O1640" s="6">
        <v>0</v>
      </c>
    </row>
    <row r="1641" spans="1:15">
      <c r="A1641" t="str">
        <f t="shared" si="75"/>
        <v>Termikon 15 EC 20 X 400 ml471780</v>
      </c>
      <c r="B1641" t="s">
        <v>11460</v>
      </c>
      <c r="C1641" t="s">
        <v>16023</v>
      </c>
      <c r="D1641" t="s">
        <v>13544</v>
      </c>
      <c r="E1641" t="s">
        <v>2038</v>
      </c>
      <c r="F1641">
        <v>20</v>
      </c>
      <c r="G1641">
        <v>1</v>
      </c>
      <c r="H1641">
        <v>1</v>
      </c>
      <c r="I1641">
        <v>20</v>
      </c>
      <c r="J1641">
        <v>5400</v>
      </c>
      <c r="K1641">
        <f t="shared" si="76"/>
        <v>270</v>
      </c>
      <c r="L1641">
        <f t="shared" si="77"/>
        <v>0</v>
      </c>
      <c r="M1641">
        <v>5400</v>
      </c>
      <c r="N1641" s="3">
        <v>47178</v>
      </c>
      <c r="O1641" s="6">
        <v>0</v>
      </c>
    </row>
    <row r="1642" spans="1:15">
      <c r="A1642" t="str">
        <f t="shared" si="75"/>
        <v>Termikon 15 EC 50 X 100 ml471780</v>
      </c>
      <c r="B1642" t="s">
        <v>11461</v>
      </c>
      <c r="C1642" t="s">
        <v>16024</v>
      </c>
      <c r="D1642" t="s">
        <v>13545</v>
      </c>
      <c r="E1642" t="s">
        <v>2039</v>
      </c>
      <c r="F1642">
        <v>50</v>
      </c>
      <c r="G1642">
        <v>1</v>
      </c>
      <c r="H1642">
        <v>1</v>
      </c>
      <c r="I1642">
        <v>50</v>
      </c>
      <c r="J1642">
        <v>7352</v>
      </c>
      <c r="K1642">
        <f t="shared" si="76"/>
        <v>147</v>
      </c>
      <c r="L1642">
        <f t="shared" si="77"/>
        <v>2</v>
      </c>
      <c r="M1642">
        <v>7352</v>
      </c>
      <c r="N1642" s="3">
        <v>47178</v>
      </c>
      <c r="O1642" s="6">
        <v>0</v>
      </c>
    </row>
    <row r="1643" spans="1:15">
      <c r="A1643" t="str">
        <f t="shared" si="75"/>
        <v>Terminator 135 EC 20 X 500 ml460540</v>
      </c>
      <c r="B1643" t="s">
        <v>11462</v>
      </c>
      <c r="C1643" t="s">
        <v>16025</v>
      </c>
      <c r="D1643" t="s">
        <v>13546</v>
      </c>
      <c r="E1643" t="s">
        <v>2040</v>
      </c>
      <c r="F1643">
        <v>20</v>
      </c>
      <c r="G1643">
        <v>1</v>
      </c>
      <c r="H1643">
        <v>1</v>
      </c>
      <c r="I1643">
        <v>20</v>
      </c>
      <c r="J1643">
        <v>410</v>
      </c>
      <c r="K1643">
        <f t="shared" si="76"/>
        <v>20</v>
      </c>
      <c r="L1643">
        <f t="shared" si="77"/>
        <v>10</v>
      </c>
      <c r="M1643">
        <v>410</v>
      </c>
      <c r="N1643" s="3">
        <v>46054</v>
      </c>
      <c r="O1643" s="6">
        <v>0</v>
      </c>
    </row>
    <row r="1644" spans="1:15">
      <c r="A1644" t="str">
        <f t="shared" si="75"/>
        <v>Terminator 135 EC 40 X 250 ml467530</v>
      </c>
      <c r="B1644" t="s">
        <v>11463</v>
      </c>
      <c r="C1644" t="s">
        <v>16026</v>
      </c>
      <c r="D1644" t="s">
        <v>13547</v>
      </c>
      <c r="E1644" t="s">
        <v>2042</v>
      </c>
      <c r="F1644">
        <v>40</v>
      </c>
      <c r="G1644">
        <v>1</v>
      </c>
      <c r="H1644">
        <v>1</v>
      </c>
      <c r="I1644">
        <v>40</v>
      </c>
      <c r="J1644">
        <v>27</v>
      </c>
      <c r="K1644">
        <f t="shared" si="76"/>
        <v>0</v>
      </c>
      <c r="L1644">
        <f t="shared" si="77"/>
        <v>27</v>
      </c>
      <c r="M1644">
        <v>27</v>
      </c>
      <c r="N1644" s="3">
        <v>46753</v>
      </c>
      <c r="O1644" s="6">
        <v>0</v>
      </c>
    </row>
    <row r="1645" spans="1:15">
      <c r="A1645" t="str">
        <f t="shared" si="75"/>
        <v>Terminator 135 EC 40 X 250 ml470270</v>
      </c>
      <c r="B1645" t="s">
        <v>11464</v>
      </c>
      <c r="C1645" t="s">
        <v>16027</v>
      </c>
      <c r="D1645" t="s">
        <v>13548</v>
      </c>
      <c r="E1645" t="s">
        <v>2042</v>
      </c>
      <c r="F1645">
        <v>40</v>
      </c>
      <c r="G1645">
        <v>1</v>
      </c>
      <c r="H1645">
        <v>1</v>
      </c>
      <c r="I1645">
        <v>40</v>
      </c>
      <c r="J1645">
        <v>520</v>
      </c>
      <c r="K1645">
        <f t="shared" si="76"/>
        <v>13</v>
      </c>
      <c r="L1645">
        <f t="shared" si="77"/>
        <v>0</v>
      </c>
      <c r="M1645">
        <v>520</v>
      </c>
      <c r="N1645" s="3">
        <v>47027</v>
      </c>
      <c r="O1645" s="6">
        <v>0</v>
      </c>
    </row>
    <row r="1646" spans="1:15">
      <c r="A1646" t="str">
        <f t="shared" si="75"/>
        <v>Throne 250 EC 20 X 250 ml468130</v>
      </c>
      <c r="B1646" t="s">
        <v>11465</v>
      </c>
      <c r="C1646" t="s">
        <v>16028</v>
      </c>
      <c r="D1646" t="s">
        <v>13549</v>
      </c>
      <c r="E1646" t="s">
        <v>2049</v>
      </c>
      <c r="F1646">
        <v>20</v>
      </c>
      <c r="G1646">
        <v>1</v>
      </c>
      <c r="H1646">
        <v>1</v>
      </c>
      <c r="I1646">
        <v>20</v>
      </c>
      <c r="J1646">
        <v>350</v>
      </c>
      <c r="K1646">
        <f t="shared" si="76"/>
        <v>17</v>
      </c>
      <c r="L1646">
        <f t="shared" si="77"/>
        <v>10</v>
      </c>
      <c r="M1646">
        <v>350</v>
      </c>
      <c r="N1646" s="3">
        <v>46813</v>
      </c>
      <c r="O1646" s="6">
        <v>0</v>
      </c>
    </row>
    <row r="1647" spans="1:15">
      <c r="A1647" t="str">
        <f t="shared" si="75"/>
        <v>Throne 250 EC 20 X 500 ml465690</v>
      </c>
      <c r="B1647" t="s">
        <v>11466</v>
      </c>
      <c r="C1647" t="s">
        <v>16029</v>
      </c>
      <c r="D1647" t="s">
        <v>13550</v>
      </c>
      <c r="E1647" t="s">
        <v>2051</v>
      </c>
      <c r="F1647">
        <v>20</v>
      </c>
      <c r="G1647">
        <v>1</v>
      </c>
      <c r="H1647">
        <v>1</v>
      </c>
      <c r="I1647">
        <v>20</v>
      </c>
      <c r="J1647">
        <v>40</v>
      </c>
      <c r="K1647">
        <f t="shared" si="76"/>
        <v>2</v>
      </c>
      <c r="L1647">
        <f t="shared" si="77"/>
        <v>0</v>
      </c>
      <c r="M1647">
        <v>40</v>
      </c>
      <c r="N1647" s="3">
        <v>46569</v>
      </c>
      <c r="O1647" s="6">
        <v>0</v>
      </c>
    </row>
    <row r="1648" spans="1:15">
      <c r="A1648" t="str">
        <f t="shared" si="75"/>
        <v>Throne 250 EC 20 X 500 ml468130</v>
      </c>
      <c r="B1648" t="s">
        <v>11467</v>
      </c>
      <c r="C1648" t="s">
        <v>16030</v>
      </c>
      <c r="D1648" t="s">
        <v>13551</v>
      </c>
      <c r="E1648" t="s">
        <v>2051</v>
      </c>
      <c r="F1648">
        <v>20</v>
      </c>
      <c r="G1648">
        <v>1</v>
      </c>
      <c r="H1648">
        <v>1</v>
      </c>
      <c r="I1648">
        <v>20</v>
      </c>
      <c r="J1648">
        <v>400</v>
      </c>
      <c r="K1648">
        <f t="shared" si="76"/>
        <v>20</v>
      </c>
      <c r="L1648">
        <f t="shared" si="77"/>
        <v>0</v>
      </c>
      <c r="M1648">
        <v>400</v>
      </c>
      <c r="N1648" s="3">
        <v>46813</v>
      </c>
      <c r="O1648" s="6">
        <v>0</v>
      </c>
    </row>
    <row r="1649" spans="1:15">
      <c r="A1649" t="str">
        <f t="shared" si="75"/>
        <v>Tombol Regulator1/1/10000</v>
      </c>
      <c r="B1649" t="s">
        <v>11468</v>
      </c>
      <c r="C1649" t="s">
        <v>16031</v>
      </c>
      <c r="D1649" t="s">
        <v>13552</v>
      </c>
      <c r="E1649" t="s">
        <v>2061</v>
      </c>
      <c r="F1649">
        <v>1</v>
      </c>
      <c r="G1649">
        <v>1</v>
      </c>
      <c r="H1649">
        <v>1</v>
      </c>
      <c r="I1649">
        <v>1</v>
      </c>
      <c r="J1649">
        <v>10</v>
      </c>
      <c r="K1649">
        <f t="shared" si="76"/>
        <v>10</v>
      </c>
      <c r="L1649">
        <f t="shared" si="77"/>
        <v>0</v>
      </c>
      <c r="M1649">
        <v>10</v>
      </c>
      <c r="N1649" s="3" t="s">
        <v>2222</v>
      </c>
      <c r="O1649" s="6">
        <v>0</v>
      </c>
    </row>
    <row r="1650" spans="1:15">
      <c r="A1650" t="str">
        <f t="shared" si="75"/>
        <v>Topbas 400 SC 25 X 100 ml471190</v>
      </c>
      <c r="B1650" t="s">
        <v>11469</v>
      </c>
      <c r="C1650" t="s">
        <v>16032</v>
      </c>
      <c r="D1650" t="s">
        <v>13553</v>
      </c>
      <c r="E1650" t="s">
        <v>2062</v>
      </c>
      <c r="F1650">
        <v>25</v>
      </c>
      <c r="G1650">
        <v>1</v>
      </c>
      <c r="H1650">
        <v>1</v>
      </c>
      <c r="I1650">
        <v>25</v>
      </c>
      <c r="J1650">
        <v>312</v>
      </c>
      <c r="K1650">
        <f t="shared" si="76"/>
        <v>12</v>
      </c>
      <c r="L1650">
        <f t="shared" si="77"/>
        <v>12</v>
      </c>
      <c r="M1650">
        <v>312</v>
      </c>
      <c r="N1650" s="3">
        <v>47119</v>
      </c>
      <c r="O1650" s="6">
        <v>0</v>
      </c>
    </row>
    <row r="1651" spans="1:15">
      <c r="A1651" t="str">
        <f t="shared" si="75"/>
        <v>Topbas 400 SC 50 X 50 ml470880</v>
      </c>
      <c r="B1651" t="s">
        <v>11470</v>
      </c>
      <c r="C1651" t="s">
        <v>16033</v>
      </c>
      <c r="D1651" t="s">
        <v>13554</v>
      </c>
      <c r="E1651" t="s">
        <v>2063</v>
      </c>
      <c r="F1651">
        <v>50</v>
      </c>
      <c r="G1651">
        <v>1</v>
      </c>
      <c r="H1651">
        <v>1</v>
      </c>
      <c r="I1651">
        <v>50</v>
      </c>
      <c r="J1651">
        <v>194</v>
      </c>
      <c r="K1651">
        <f t="shared" si="76"/>
        <v>3</v>
      </c>
      <c r="L1651">
        <f t="shared" si="77"/>
        <v>44</v>
      </c>
      <c r="M1651">
        <v>194</v>
      </c>
      <c r="N1651" s="3">
        <v>47088</v>
      </c>
      <c r="O1651" s="6">
        <v>0</v>
      </c>
    </row>
    <row r="1652" spans="1:15">
      <c r="A1652" t="str">
        <f t="shared" si="75"/>
        <v>Topi Agricon1/1/10000</v>
      </c>
      <c r="B1652" t="s">
        <v>11471</v>
      </c>
      <c r="C1652" t="s">
        <v>16034</v>
      </c>
      <c r="D1652" t="s">
        <v>13555</v>
      </c>
      <c r="E1652" t="s">
        <v>2064</v>
      </c>
      <c r="F1652">
        <v>1</v>
      </c>
      <c r="G1652">
        <v>1</v>
      </c>
      <c r="H1652">
        <v>1</v>
      </c>
      <c r="I1652">
        <v>1</v>
      </c>
      <c r="J1652">
        <v>7626</v>
      </c>
      <c r="K1652">
        <f t="shared" si="76"/>
        <v>7626</v>
      </c>
      <c r="L1652">
        <f t="shared" si="77"/>
        <v>0</v>
      </c>
      <c r="M1652">
        <v>7626</v>
      </c>
      <c r="N1652" s="3" t="s">
        <v>2222</v>
      </c>
      <c r="O1652" s="6">
        <v>0</v>
      </c>
    </row>
    <row r="1653" spans="1:15">
      <c r="A1653" t="str">
        <f t="shared" si="75"/>
        <v>Topi Bayer1/1/10000</v>
      </c>
      <c r="B1653" t="s">
        <v>11472</v>
      </c>
      <c r="C1653" t="s">
        <v>16035</v>
      </c>
      <c r="D1653" t="s">
        <v>13556</v>
      </c>
      <c r="E1653" t="s">
        <v>2065</v>
      </c>
      <c r="F1653">
        <v>1</v>
      </c>
      <c r="G1653">
        <v>1</v>
      </c>
      <c r="H1653">
        <v>1</v>
      </c>
      <c r="I1653">
        <v>1</v>
      </c>
      <c r="J1653">
        <v>150</v>
      </c>
      <c r="K1653">
        <f t="shared" si="76"/>
        <v>150</v>
      </c>
      <c r="L1653">
        <f t="shared" si="77"/>
        <v>0</v>
      </c>
      <c r="M1653">
        <v>150</v>
      </c>
      <c r="N1653" s="3" t="s">
        <v>2222</v>
      </c>
      <c r="O1653" s="6">
        <v>0</v>
      </c>
    </row>
    <row r="1654" spans="1:15">
      <c r="A1654" t="str">
        <f t="shared" si="75"/>
        <v>Topi Jagung Bisi1/1/10000</v>
      </c>
      <c r="B1654" t="s">
        <v>11473</v>
      </c>
      <c r="C1654" t="s">
        <v>16036</v>
      </c>
      <c r="D1654" t="s">
        <v>13557</v>
      </c>
      <c r="E1654" t="s">
        <v>2066</v>
      </c>
      <c r="F1654">
        <v>1</v>
      </c>
      <c r="G1654">
        <v>1</v>
      </c>
      <c r="H1654">
        <v>1</v>
      </c>
      <c r="I1654">
        <v>1</v>
      </c>
      <c r="J1654">
        <v>30</v>
      </c>
      <c r="K1654">
        <f t="shared" si="76"/>
        <v>30</v>
      </c>
      <c r="L1654">
        <f t="shared" si="77"/>
        <v>0</v>
      </c>
      <c r="M1654">
        <v>30</v>
      </c>
      <c r="N1654" s="3" t="s">
        <v>2222</v>
      </c>
      <c r="O1654" s="6">
        <v>0</v>
      </c>
    </row>
    <row r="1655" spans="1:15">
      <c r="A1655" t="str">
        <f t="shared" si="75"/>
        <v>Topi Mulsa Hanoman1/1/10000</v>
      </c>
      <c r="B1655" t="s">
        <v>11474</v>
      </c>
      <c r="C1655" t="s">
        <v>16037</v>
      </c>
      <c r="D1655" t="s">
        <v>13558</v>
      </c>
      <c r="E1655" t="s">
        <v>2067</v>
      </c>
      <c r="F1655">
        <v>1</v>
      </c>
      <c r="G1655">
        <v>1</v>
      </c>
      <c r="H1655">
        <v>1</v>
      </c>
      <c r="I1655">
        <v>1</v>
      </c>
      <c r="J1655">
        <v>8</v>
      </c>
      <c r="K1655">
        <f t="shared" si="76"/>
        <v>8</v>
      </c>
      <c r="L1655">
        <f t="shared" si="77"/>
        <v>0</v>
      </c>
      <c r="M1655">
        <v>8</v>
      </c>
      <c r="N1655" s="3" t="s">
        <v>2222</v>
      </c>
      <c r="O1655" s="6">
        <v>0</v>
      </c>
    </row>
    <row r="1656" spans="1:15">
      <c r="A1656" t="str">
        <f t="shared" si="75"/>
        <v>Topi Orbit1/1/10000</v>
      </c>
      <c r="B1656" t="s">
        <v>11475</v>
      </c>
      <c r="C1656" t="s">
        <v>16038</v>
      </c>
      <c r="D1656" t="s">
        <v>13559</v>
      </c>
      <c r="E1656" t="s">
        <v>2068</v>
      </c>
      <c r="F1656">
        <v>1</v>
      </c>
      <c r="G1656">
        <v>1</v>
      </c>
      <c r="H1656">
        <v>1</v>
      </c>
      <c r="I1656">
        <v>1</v>
      </c>
      <c r="J1656">
        <v>175</v>
      </c>
      <c r="K1656">
        <f t="shared" si="76"/>
        <v>175</v>
      </c>
      <c r="L1656">
        <f t="shared" si="77"/>
        <v>0</v>
      </c>
      <c r="M1656">
        <v>175</v>
      </c>
      <c r="N1656" s="3" t="s">
        <v>2222</v>
      </c>
      <c r="O1656" s="6">
        <v>0</v>
      </c>
    </row>
    <row r="1657" spans="1:15">
      <c r="A1657" t="str">
        <f t="shared" si="75"/>
        <v>Topi Pertiwi1/1/10000</v>
      </c>
      <c r="B1657" t="s">
        <v>11476</v>
      </c>
      <c r="C1657" t="s">
        <v>16039</v>
      </c>
      <c r="D1657" t="s">
        <v>13560</v>
      </c>
      <c r="E1657" t="s">
        <v>2069</v>
      </c>
      <c r="F1657">
        <v>1</v>
      </c>
      <c r="G1657">
        <v>1</v>
      </c>
      <c r="H1657">
        <v>1</v>
      </c>
      <c r="I1657">
        <v>1</v>
      </c>
      <c r="J1657">
        <v>50</v>
      </c>
      <c r="K1657">
        <f t="shared" si="76"/>
        <v>50</v>
      </c>
      <c r="L1657">
        <f t="shared" si="77"/>
        <v>0</v>
      </c>
      <c r="M1657">
        <v>50</v>
      </c>
      <c r="N1657" s="3" t="s">
        <v>2222</v>
      </c>
      <c r="O1657" s="6">
        <v>0</v>
      </c>
    </row>
    <row r="1658" spans="1:15">
      <c r="A1658" t="str">
        <f t="shared" si="75"/>
        <v>Topi PT Karisma1/1/10000</v>
      </c>
      <c r="B1658" t="s">
        <v>11477</v>
      </c>
      <c r="C1658" t="s">
        <v>16040</v>
      </c>
      <c r="D1658" t="s">
        <v>13561</v>
      </c>
      <c r="E1658" t="s">
        <v>2070</v>
      </c>
      <c r="F1658">
        <v>1</v>
      </c>
      <c r="G1658">
        <v>1</v>
      </c>
      <c r="H1658">
        <v>1</v>
      </c>
      <c r="I1658">
        <v>1</v>
      </c>
      <c r="J1658">
        <v>100</v>
      </c>
      <c r="K1658">
        <f t="shared" si="76"/>
        <v>100</v>
      </c>
      <c r="L1658">
        <f t="shared" si="77"/>
        <v>0</v>
      </c>
      <c r="M1658">
        <v>100</v>
      </c>
      <c r="N1658" s="3" t="s">
        <v>2222</v>
      </c>
      <c r="O1658" s="6">
        <v>0</v>
      </c>
    </row>
    <row r="1659" spans="1:15">
      <c r="A1659" t="str">
        <f t="shared" si="75"/>
        <v>Topi Rimba Atonik1/1/10000</v>
      </c>
      <c r="B1659" t="s">
        <v>11478</v>
      </c>
      <c r="C1659" t="s">
        <v>16041</v>
      </c>
      <c r="D1659" t="s">
        <v>13562</v>
      </c>
      <c r="E1659" t="s">
        <v>2071</v>
      </c>
      <c r="F1659">
        <v>1</v>
      </c>
      <c r="G1659">
        <v>1</v>
      </c>
      <c r="H1659">
        <v>1</v>
      </c>
      <c r="I1659">
        <v>1</v>
      </c>
      <c r="J1659">
        <v>70</v>
      </c>
      <c r="K1659">
        <f t="shared" si="76"/>
        <v>70</v>
      </c>
      <c r="L1659">
        <f t="shared" si="77"/>
        <v>0</v>
      </c>
      <c r="M1659">
        <v>70</v>
      </c>
      <c r="N1659" s="3" t="s">
        <v>2222</v>
      </c>
      <c r="O1659" s="6">
        <v>0</v>
      </c>
    </row>
    <row r="1660" spans="1:15">
      <c r="A1660" t="str">
        <f t="shared" si="75"/>
        <v>Topi Syngenta1/1/10000</v>
      </c>
      <c r="B1660" t="s">
        <v>11479</v>
      </c>
      <c r="C1660" t="s">
        <v>16042</v>
      </c>
      <c r="D1660" t="s">
        <v>13563</v>
      </c>
      <c r="E1660" t="s">
        <v>2072</v>
      </c>
      <c r="F1660">
        <v>1</v>
      </c>
      <c r="G1660">
        <v>1</v>
      </c>
      <c r="H1660">
        <v>1</v>
      </c>
      <c r="I1660">
        <v>1</v>
      </c>
      <c r="J1660">
        <v>232</v>
      </c>
      <c r="K1660">
        <f t="shared" si="76"/>
        <v>232</v>
      </c>
      <c r="L1660">
        <f t="shared" si="77"/>
        <v>0</v>
      </c>
      <c r="M1660">
        <v>232</v>
      </c>
      <c r="N1660" s="3" t="s">
        <v>2222</v>
      </c>
      <c r="O1660" s="6">
        <v>0</v>
      </c>
    </row>
    <row r="1661" spans="1:15">
      <c r="A1661" t="str">
        <f t="shared" si="75"/>
        <v>Topida 25 WP 100 X 100 gr469350</v>
      </c>
      <c r="B1661" t="s">
        <v>11480</v>
      </c>
      <c r="C1661" t="s">
        <v>16043</v>
      </c>
      <c r="D1661" t="s">
        <v>13564</v>
      </c>
      <c r="E1661" t="s">
        <v>2073</v>
      </c>
      <c r="F1661">
        <v>100</v>
      </c>
      <c r="G1661">
        <v>1</v>
      </c>
      <c r="H1661">
        <v>1</v>
      </c>
      <c r="I1661">
        <v>100</v>
      </c>
      <c r="J1661">
        <v>824</v>
      </c>
      <c r="K1661">
        <f t="shared" si="76"/>
        <v>8</v>
      </c>
      <c r="L1661">
        <f t="shared" si="77"/>
        <v>24</v>
      </c>
      <c r="M1661">
        <v>824</v>
      </c>
      <c r="N1661" s="3">
        <v>46935</v>
      </c>
      <c r="O1661" s="6">
        <v>0</v>
      </c>
    </row>
    <row r="1662" spans="1:15">
      <c r="A1662" t="str">
        <f t="shared" si="75"/>
        <v>Topida 25 WP 50 X 100 gr474530</v>
      </c>
      <c r="B1662" t="s">
        <v>11481</v>
      </c>
      <c r="C1662" t="s">
        <v>16044</v>
      </c>
      <c r="D1662" t="s">
        <v>13565</v>
      </c>
      <c r="E1662" t="s">
        <v>2074</v>
      </c>
      <c r="F1662">
        <v>50</v>
      </c>
      <c r="G1662">
        <v>1</v>
      </c>
      <c r="H1662">
        <v>1</v>
      </c>
      <c r="I1662">
        <v>50</v>
      </c>
      <c r="J1662">
        <v>2400</v>
      </c>
      <c r="K1662">
        <f t="shared" si="76"/>
        <v>48</v>
      </c>
      <c r="L1662">
        <f t="shared" si="77"/>
        <v>0</v>
      </c>
      <c r="M1662">
        <v>2400</v>
      </c>
      <c r="N1662" s="3">
        <v>47453</v>
      </c>
      <c r="O1662" s="6">
        <v>0</v>
      </c>
    </row>
    <row r="1663" spans="1:15">
      <c r="A1663" t="str">
        <f t="shared" si="75"/>
        <v>Topjos 300 SL 20 X 1 ltr471780</v>
      </c>
      <c r="B1663" t="s">
        <v>11482</v>
      </c>
      <c r="C1663" t="s">
        <v>16045</v>
      </c>
      <c r="D1663" t="s">
        <v>13566</v>
      </c>
      <c r="E1663" t="s">
        <v>2075</v>
      </c>
      <c r="F1663">
        <v>20</v>
      </c>
      <c r="G1663">
        <v>1</v>
      </c>
      <c r="H1663">
        <v>1</v>
      </c>
      <c r="I1663">
        <v>20</v>
      </c>
      <c r="J1663">
        <v>2255</v>
      </c>
      <c r="K1663">
        <f t="shared" si="76"/>
        <v>112</v>
      </c>
      <c r="L1663">
        <f t="shared" si="77"/>
        <v>15</v>
      </c>
      <c r="M1663">
        <v>2255</v>
      </c>
      <c r="N1663" s="3">
        <v>47178</v>
      </c>
      <c r="O1663" s="6">
        <v>0</v>
      </c>
    </row>
    <row r="1664" spans="1:15">
      <c r="A1664" t="str">
        <f t="shared" si="75"/>
        <v>Topjos 300 SL 20 X 1 ltr472090</v>
      </c>
      <c r="B1664" t="s">
        <v>11483</v>
      </c>
      <c r="C1664" t="s">
        <v>16046</v>
      </c>
      <c r="D1664" t="s">
        <v>13567</v>
      </c>
      <c r="E1664" t="s">
        <v>2075</v>
      </c>
      <c r="F1664">
        <v>20</v>
      </c>
      <c r="G1664">
        <v>1</v>
      </c>
      <c r="H1664">
        <v>1</v>
      </c>
      <c r="I1664">
        <v>20</v>
      </c>
      <c r="J1664">
        <v>6960</v>
      </c>
      <c r="K1664">
        <f t="shared" si="76"/>
        <v>348</v>
      </c>
      <c r="L1664">
        <f t="shared" si="77"/>
        <v>0</v>
      </c>
      <c r="M1664">
        <v>6960</v>
      </c>
      <c r="N1664" s="3">
        <v>47209</v>
      </c>
      <c r="O1664" s="6">
        <v>0</v>
      </c>
    </row>
    <row r="1665" spans="1:15">
      <c r="A1665" t="str">
        <f t="shared" si="75"/>
        <v>Topsil B/K 30 X 450 gr461430</v>
      </c>
      <c r="B1665" t="s">
        <v>11484</v>
      </c>
      <c r="C1665" t="s">
        <v>16047</v>
      </c>
      <c r="D1665" t="s">
        <v>13568</v>
      </c>
      <c r="E1665" t="s">
        <v>2076</v>
      </c>
      <c r="F1665">
        <v>30</v>
      </c>
      <c r="G1665">
        <v>1</v>
      </c>
      <c r="H1665">
        <v>1</v>
      </c>
      <c r="I1665">
        <v>30</v>
      </c>
      <c r="J1665">
        <v>3006</v>
      </c>
      <c r="K1665">
        <f t="shared" si="76"/>
        <v>100</v>
      </c>
      <c r="L1665">
        <f t="shared" si="77"/>
        <v>6</v>
      </c>
      <c r="M1665">
        <v>3006</v>
      </c>
      <c r="N1665" s="3">
        <v>46143</v>
      </c>
      <c r="O1665" s="6">
        <v>0</v>
      </c>
    </row>
    <row r="1666" spans="1:15">
      <c r="A1666" t="str">
        <f t="shared" si="75"/>
        <v>Topsindo 70 WP 20 X 500 gr455050</v>
      </c>
      <c r="B1666" t="s">
        <v>11485</v>
      </c>
      <c r="C1666" t="s">
        <v>16048</v>
      </c>
      <c r="D1666" t="s">
        <v>13569</v>
      </c>
      <c r="E1666" t="s">
        <v>2077</v>
      </c>
      <c r="F1666">
        <v>20</v>
      </c>
      <c r="G1666">
        <v>1</v>
      </c>
      <c r="H1666">
        <v>1</v>
      </c>
      <c r="I1666">
        <v>20</v>
      </c>
      <c r="J1666">
        <v>4</v>
      </c>
      <c r="K1666">
        <f t="shared" si="76"/>
        <v>0</v>
      </c>
      <c r="L1666">
        <f t="shared" si="77"/>
        <v>4</v>
      </c>
      <c r="M1666">
        <v>4</v>
      </c>
      <c r="N1666" s="3">
        <v>45505</v>
      </c>
      <c r="O1666" s="6">
        <v>0</v>
      </c>
    </row>
    <row r="1667" spans="1:15">
      <c r="A1667" t="str">
        <f t="shared" ref="A1667:A1730" si="78">E1667&amp;N1667&amp;O1667</f>
        <v>Topsindo 70 WP 20 X 500 gr472090</v>
      </c>
      <c r="B1667" t="s">
        <v>11486</v>
      </c>
      <c r="C1667" t="s">
        <v>16049</v>
      </c>
      <c r="D1667" t="s">
        <v>13570</v>
      </c>
      <c r="E1667" t="s">
        <v>2077</v>
      </c>
      <c r="F1667">
        <v>20</v>
      </c>
      <c r="G1667">
        <v>1</v>
      </c>
      <c r="H1667">
        <v>1</v>
      </c>
      <c r="I1667">
        <v>20</v>
      </c>
      <c r="J1667">
        <v>162</v>
      </c>
      <c r="K1667">
        <f t="shared" ref="K1667:K1730" si="79">ROUNDDOWN(J1667/I1667,0)</f>
        <v>8</v>
      </c>
      <c r="L1667">
        <f t="shared" ref="L1667:L1730" si="80">J1667-K1667*I1667</f>
        <v>2</v>
      </c>
      <c r="M1667">
        <v>162</v>
      </c>
      <c r="N1667" s="3">
        <v>47209</v>
      </c>
      <c r="O1667" s="6">
        <v>0</v>
      </c>
    </row>
    <row r="1668" spans="1:15">
      <c r="A1668" t="str">
        <f t="shared" si="78"/>
        <v>Tori 50 WP 5 X 100 gr (Sample)1/1/10000</v>
      </c>
      <c r="B1668" t="s">
        <v>11487</v>
      </c>
      <c r="C1668" t="s">
        <v>16050</v>
      </c>
      <c r="D1668" t="s">
        <v>13571</v>
      </c>
      <c r="E1668" t="s">
        <v>2078</v>
      </c>
      <c r="F1668">
        <v>5</v>
      </c>
      <c r="G1668">
        <v>1</v>
      </c>
      <c r="H1668">
        <v>1</v>
      </c>
      <c r="I1668">
        <v>5</v>
      </c>
      <c r="J1668">
        <v>23</v>
      </c>
      <c r="K1668">
        <f t="shared" si="79"/>
        <v>4</v>
      </c>
      <c r="L1668">
        <f t="shared" si="80"/>
        <v>3</v>
      </c>
      <c r="M1668">
        <v>23</v>
      </c>
      <c r="N1668" s="3" t="s">
        <v>2222</v>
      </c>
      <c r="O1668" s="6">
        <v>0</v>
      </c>
    </row>
    <row r="1669" spans="1:15">
      <c r="A1669" t="str">
        <f t="shared" si="78"/>
        <v>Trigard 75 WP 10 X 10 X 50 gr459010</v>
      </c>
      <c r="B1669" t="s">
        <v>11488</v>
      </c>
      <c r="C1669" t="s">
        <v>16051</v>
      </c>
      <c r="D1669" t="s">
        <v>13572</v>
      </c>
      <c r="E1669" t="s">
        <v>2079</v>
      </c>
      <c r="F1669">
        <v>10</v>
      </c>
      <c r="G1669">
        <v>10</v>
      </c>
      <c r="H1669">
        <v>1</v>
      </c>
      <c r="I1669">
        <v>100</v>
      </c>
      <c r="J1669">
        <v>3980</v>
      </c>
      <c r="K1669">
        <f t="shared" si="79"/>
        <v>39</v>
      </c>
      <c r="L1669">
        <f t="shared" si="80"/>
        <v>80</v>
      </c>
      <c r="M1669">
        <v>3980</v>
      </c>
      <c r="N1669" s="3">
        <v>45901</v>
      </c>
      <c r="O1669" s="6">
        <v>0</v>
      </c>
    </row>
    <row r="1670" spans="1:15">
      <c r="A1670" t="str">
        <f t="shared" si="78"/>
        <v>Trigard 75 WP 12 X 10 X 25 gr460540</v>
      </c>
      <c r="B1670" t="s">
        <v>11489</v>
      </c>
      <c r="C1670" t="s">
        <v>16052</v>
      </c>
      <c r="D1670" t="s">
        <v>13573</v>
      </c>
      <c r="E1670" t="s">
        <v>2082</v>
      </c>
      <c r="F1670">
        <v>12</v>
      </c>
      <c r="G1670">
        <v>10</v>
      </c>
      <c r="H1670">
        <v>1</v>
      </c>
      <c r="I1670">
        <v>120</v>
      </c>
      <c r="J1670">
        <v>2850</v>
      </c>
      <c r="K1670">
        <f t="shared" si="79"/>
        <v>23</v>
      </c>
      <c r="L1670">
        <f t="shared" si="80"/>
        <v>90</v>
      </c>
      <c r="M1670">
        <v>2850</v>
      </c>
      <c r="N1670" s="3">
        <v>46054</v>
      </c>
      <c r="O1670" s="6">
        <v>0</v>
      </c>
    </row>
    <row r="1671" spans="1:15">
      <c r="A1671" t="str">
        <f t="shared" si="78"/>
        <v>Trip Oil 100 X 50 ml470580</v>
      </c>
      <c r="B1671" t="s">
        <v>11490</v>
      </c>
      <c r="C1671" t="s">
        <v>16053</v>
      </c>
      <c r="D1671" t="s">
        <v>13574</v>
      </c>
      <c r="E1671" t="s">
        <v>2084</v>
      </c>
      <c r="F1671">
        <v>100</v>
      </c>
      <c r="G1671">
        <v>1</v>
      </c>
      <c r="H1671">
        <v>1</v>
      </c>
      <c r="I1671">
        <v>100</v>
      </c>
      <c r="J1671">
        <v>1000</v>
      </c>
      <c r="K1671">
        <f t="shared" si="79"/>
        <v>10</v>
      </c>
      <c r="L1671">
        <f t="shared" si="80"/>
        <v>0</v>
      </c>
      <c r="M1671">
        <v>1000</v>
      </c>
      <c r="N1671" s="3">
        <v>47058</v>
      </c>
      <c r="O1671" s="6">
        <v>0</v>
      </c>
    </row>
    <row r="1672" spans="1:15">
      <c r="A1672" t="str">
        <f t="shared" si="78"/>
        <v>Trip Oil 100 X 50 ml468740</v>
      </c>
      <c r="B1672" t="s">
        <v>11491</v>
      </c>
      <c r="C1672" t="s">
        <v>16054</v>
      </c>
      <c r="D1672" t="s">
        <v>13575</v>
      </c>
      <c r="E1672" t="s">
        <v>2084</v>
      </c>
      <c r="F1672">
        <v>100</v>
      </c>
      <c r="G1672">
        <v>1</v>
      </c>
      <c r="H1672">
        <v>1</v>
      </c>
      <c r="I1672">
        <v>100</v>
      </c>
      <c r="J1672">
        <v>1470</v>
      </c>
      <c r="K1672">
        <f t="shared" si="79"/>
        <v>14</v>
      </c>
      <c r="L1672">
        <f t="shared" si="80"/>
        <v>70</v>
      </c>
      <c r="M1672">
        <v>1470</v>
      </c>
      <c r="N1672" s="3">
        <v>46874</v>
      </c>
      <c r="O1672" s="6">
        <v>0</v>
      </c>
    </row>
    <row r="1673" spans="1:15">
      <c r="A1673" t="str">
        <f t="shared" si="78"/>
        <v>Triple XXX 20 X 1 ltr469050</v>
      </c>
      <c r="B1673" t="s">
        <v>11492</v>
      </c>
      <c r="C1673" t="s">
        <v>16055</v>
      </c>
      <c r="D1673" t="s">
        <v>13576</v>
      </c>
      <c r="E1673" t="s">
        <v>2085</v>
      </c>
      <c r="F1673">
        <v>20</v>
      </c>
      <c r="G1673">
        <v>1</v>
      </c>
      <c r="H1673">
        <v>1</v>
      </c>
      <c r="I1673">
        <v>20</v>
      </c>
      <c r="J1673">
        <v>140</v>
      </c>
      <c r="K1673">
        <f t="shared" si="79"/>
        <v>7</v>
      </c>
      <c r="L1673">
        <f t="shared" si="80"/>
        <v>0</v>
      </c>
      <c r="M1673">
        <v>140</v>
      </c>
      <c r="N1673" s="3">
        <v>46905</v>
      </c>
      <c r="O1673" s="6">
        <v>0</v>
      </c>
    </row>
    <row r="1674" spans="1:15">
      <c r="A1674" t="str">
        <f t="shared" si="78"/>
        <v>Triplelima 555 SL 20 X 1 ltr471190</v>
      </c>
      <c r="B1674" t="s">
        <v>11493</v>
      </c>
      <c r="C1674" t="s">
        <v>16056</v>
      </c>
      <c r="D1674" t="s">
        <v>13577</v>
      </c>
      <c r="E1674" t="s">
        <v>2086</v>
      </c>
      <c r="F1674">
        <v>20</v>
      </c>
      <c r="G1674">
        <v>1</v>
      </c>
      <c r="H1674">
        <v>1</v>
      </c>
      <c r="I1674">
        <v>20</v>
      </c>
      <c r="J1674">
        <v>33</v>
      </c>
      <c r="K1674">
        <f t="shared" si="79"/>
        <v>1</v>
      </c>
      <c r="L1674">
        <f t="shared" si="80"/>
        <v>13</v>
      </c>
      <c r="M1674">
        <v>33</v>
      </c>
      <c r="N1674" s="3">
        <v>47119</v>
      </c>
      <c r="O1674" s="6">
        <v>0</v>
      </c>
    </row>
    <row r="1675" spans="1:15">
      <c r="A1675" t="str">
        <f t="shared" si="78"/>
        <v>Triplelima 555 SL 20 X 1 ltr472700</v>
      </c>
      <c r="B1675" t="s">
        <v>11494</v>
      </c>
      <c r="C1675" t="s">
        <v>16057</v>
      </c>
      <c r="D1675" t="s">
        <v>13578</v>
      </c>
      <c r="E1675" t="s">
        <v>2086</v>
      </c>
      <c r="F1675">
        <v>20</v>
      </c>
      <c r="G1675">
        <v>1</v>
      </c>
      <c r="H1675">
        <v>1</v>
      </c>
      <c r="I1675">
        <v>20</v>
      </c>
      <c r="J1675">
        <v>1880</v>
      </c>
      <c r="K1675">
        <f t="shared" si="79"/>
        <v>94</v>
      </c>
      <c r="L1675">
        <f t="shared" si="80"/>
        <v>0</v>
      </c>
      <c r="M1675">
        <v>1880</v>
      </c>
      <c r="N1675" s="3">
        <v>47270</v>
      </c>
      <c r="O1675" s="6">
        <v>0</v>
      </c>
    </row>
    <row r="1676" spans="1:15">
      <c r="A1676" t="str">
        <f t="shared" si="78"/>
        <v>Trisula 450 SL 20 X 1 ltr466610</v>
      </c>
      <c r="B1676" t="s">
        <v>11495</v>
      </c>
      <c r="C1676" t="s">
        <v>16058</v>
      </c>
      <c r="D1676" t="s">
        <v>13579</v>
      </c>
      <c r="E1676" t="s">
        <v>2087</v>
      </c>
      <c r="F1676">
        <v>20</v>
      </c>
      <c r="G1676">
        <v>1</v>
      </c>
      <c r="H1676">
        <v>1</v>
      </c>
      <c r="I1676">
        <v>20</v>
      </c>
      <c r="J1676">
        <v>41</v>
      </c>
      <c r="K1676">
        <f t="shared" si="79"/>
        <v>2</v>
      </c>
      <c r="L1676">
        <f t="shared" si="80"/>
        <v>1</v>
      </c>
      <c r="M1676">
        <v>41</v>
      </c>
      <c r="N1676" s="3">
        <v>46661</v>
      </c>
      <c r="O1676" s="6">
        <v>0</v>
      </c>
    </row>
    <row r="1677" spans="1:15">
      <c r="A1677" t="str">
        <f t="shared" si="78"/>
        <v>T-Shirt Polo Dithane/Dursban1/1/10000</v>
      </c>
      <c r="B1677" t="s">
        <v>11496</v>
      </c>
      <c r="C1677" t="s">
        <v>16059</v>
      </c>
      <c r="D1677" t="s">
        <v>13580</v>
      </c>
      <c r="E1677" t="s">
        <v>2089</v>
      </c>
      <c r="F1677">
        <v>1</v>
      </c>
      <c r="G1677">
        <v>1</v>
      </c>
      <c r="H1677">
        <v>1</v>
      </c>
      <c r="I1677">
        <v>1</v>
      </c>
      <c r="J1677">
        <v>40</v>
      </c>
      <c r="K1677">
        <f t="shared" si="79"/>
        <v>40</v>
      </c>
      <c r="L1677">
        <f t="shared" si="80"/>
        <v>0</v>
      </c>
      <c r="M1677">
        <v>40</v>
      </c>
      <c r="N1677" s="3" t="s">
        <v>2222</v>
      </c>
      <c r="O1677" s="6">
        <v>0</v>
      </c>
    </row>
    <row r="1678" spans="1:15">
      <c r="A1678" t="str">
        <f t="shared" si="78"/>
        <v>T-Shirt Polo Endure/Nurelle1/1/10000</v>
      </c>
      <c r="B1678" t="s">
        <v>11497</v>
      </c>
      <c r="C1678" t="s">
        <v>16060</v>
      </c>
      <c r="D1678" t="s">
        <v>13581</v>
      </c>
      <c r="E1678" t="s">
        <v>2090</v>
      </c>
      <c r="F1678">
        <v>1</v>
      </c>
      <c r="G1678">
        <v>1</v>
      </c>
      <c r="H1678">
        <v>1</v>
      </c>
      <c r="I1678">
        <v>1</v>
      </c>
      <c r="J1678">
        <v>40</v>
      </c>
      <c r="K1678">
        <f t="shared" si="79"/>
        <v>40</v>
      </c>
      <c r="L1678">
        <f t="shared" si="80"/>
        <v>0</v>
      </c>
      <c r="M1678">
        <v>40</v>
      </c>
      <c r="N1678" s="3" t="s">
        <v>2222</v>
      </c>
      <c r="O1678" s="6">
        <v>0</v>
      </c>
    </row>
    <row r="1679" spans="1:15">
      <c r="A1679" t="str">
        <f t="shared" si="78"/>
        <v>Tuntas 300/100 SL 20 X 1 ltr472390</v>
      </c>
      <c r="B1679" t="s">
        <v>11498</v>
      </c>
      <c r="C1679" t="s">
        <v>16061</v>
      </c>
      <c r="D1679" t="s">
        <v>13582</v>
      </c>
      <c r="E1679" t="s">
        <v>2091</v>
      </c>
      <c r="F1679">
        <v>20</v>
      </c>
      <c r="G1679">
        <v>1</v>
      </c>
      <c r="H1679">
        <v>1</v>
      </c>
      <c r="I1679">
        <v>20</v>
      </c>
      <c r="J1679">
        <v>5360</v>
      </c>
      <c r="K1679">
        <f t="shared" si="79"/>
        <v>268</v>
      </c>
      <c r="L1679">
        <f t="shared" si="80"/>
        <v>0</v>
      </c>
      <c r="M1679">
        <v>5360</v>
      </c>
      <c r="N1679" s="3">
        <v>47239</v>
      </c>
      <c r="O1679" s="6">
        <v>0</v>
      </c>
    </row>
    <row r="1680" spans="1:15">
      <c r="A1680" t="str">
        <f t="shared" si="78"/>
        <v>Tuntas 300/100 SL 20 X 1 ltr471780</v>
      </c>
      <c r="B1680" t="s">
        <v>11499</v>
      </c>
      <c r="C1680" t="s">
        <v>16062</v>
      </c>
      <c r="D1680" t="s">
        <v>13583</v>
      </c>
      <c r="E1680" t="s">
        <v>2091</v>
      </c>
      <c r="F1680">
        <v>20</v>
      </c>
      <c r="G1680">
        <v>1</v>
      </c>
      <c r="H1680">
        <v>1</v>
      </c>
      <c r="I1680">
        <v>20</v>
      </c>
      <c r="J1680">
        <v>720</v>
      </c>
      <c r="K1680">
        <f t="shared" si="79"/>
        <v>36</v>
      </c>
      <c r="L1680">
        <f t="shared" si="80"/>
        <v>0</v>
      </c>
      <c r="M1680">
        <v>720</v>
      </c>
      <c r="N1680" s="3">
        <v>47178</v>
      </c>
      <c r="O1680" s="6">
        <v>0</v>
      </c>
    </row>
    <row r="1681" spans="1:15">
      <c r="A1681" t="str">
        <f t="shared" si="78"/>
        <v>Tuntas 300/100 SL 20 X 1 ltr472090</v>
      </c>
      <c r="B1681" t="s">
        <v>11500</v>
      </c>
      <c r="C1681" t="s">
        <v>16063</v>
      </c>
      <c r="D1681" t="s">
        <v>13584</v>
      </c>
      <c r="E1681" t="s">
        <v>2091</v>
      </c>
      <c r="F1681">
        <v>20</v>
      </c>
      <c r="G1681">
        <v>1</v>
      </c>
      <c r="H1681">
        <v>1</v>
      </c>
      <c r="I1681">
        <v>20</v>
      </c>
      <c r="J1681">
        <v>1000</v>
      </c>
      <c r="K1681">
        <f t="shared" si="79"/>
        <v>50</v>
      </c>
      <c r="L1681">
        <f t="shared" si="80"/>
        <v>0</v>
      </c>
      <c r="M1681">
        <v>1000</v>
      </c>
      <c r="N1681" s="3">
        <v>47209</v>
      </c>
      <c r="O1681" s="6">
        <v>0</v>
      </c>
    </row>
    <row r="1682" spans="1:15">
      <c r="A1682" t="str">
        <f t="shared" si="78"/>
        <v>Tuntas 300/100 SL 20 X 500 ml468740</v>
      </c>
      <c r="B1682" t="s">
        <v>11501</v>
      </c>
      <c r="C1682" t="s">
        <v>16064</v>
      </c>
      <c r="D1682" t="s">
        <v>13585</v>
      </c>
      <c r="E1682" t="s">
        <v>2092</v>
      </c>
      <c r="F1682">
        <v>20</v>
      </c>
      <c r="G1682">
        <v>1</v>
      </c>
      <c r="H1682">
        <v>1</v>
      </c>
      <c r="I1682">
        <v>20</v>
      </c>
      <c r="J1682">
        <v>5</v>
      </c>
      <c r="K1682">
        <f t="shared" si="79"/>
        <v>0</v>
      </c>
      <c r="L1682">
        <f t="shared" si="80"/>
        <v>5</v>
      </c>
      <c r="M1682">
        <v>5</v>
      </c>
      <c r="N1682" s="3">
        <v>46874</v>
      </c>
      <c r="O1682" s="6">
        <v>0</v>
      </c>
    </row>
    <row r="1683" spans="1:15">
      <c r="A1683" t="str">
        <f t="shared" si="78"/>
        <v>Tuntas 300/100 SL 20 X 500 ml471190</v>
      </c>
      <c r="B1683" t="s">
        <v>11502</v>
      </c>
      <c r="C1683" t="s">
        <v>16065</v>
      </c>
      <c r="D1683" t="s">
        <v>13586</v>
      </c>
      <c r="E1683" t="s">
        <v>2092</v>
      </c>
      <c r="F1683">
        <v>20</v>
      </c>
      <c r="G1683">
        <v>1</v>
      </c>
      <c r="H1683">
        <v>1</v>
      </c>
      <c r="I1683">
        <v>20</v>
      </c>
      <c r="J1683">
        <v>10</v>
      </c>
      <c r="K1683">
        <f t="shared" si="79"/>
        <v>0</v>
      </c>
      <c r="L1683">
        <f t="shared" si="80"/>
        <v>10</v>
      </c>
      <c r="M1683">
        <v>10</v>
      </c>
      <c r="N1683" s="3">
        <v>47119</v>
      </c>
      <c r="O1683" s="6">
        <v>0</v>
      </c>
    </row>
    <row r="1684" spans="1:15">
      <c r="A1684" t="str">
        <f t="shared" si="78"/>
        <v>Tuntas 300/100 SL 20 X 500 ml472090</v>
      </c>
      <c r="B1684" t="s">
        <v>11503</v>
      </c>
      <c r="C1684" t="s">
        <v>16066</v>
      </c>
      <c r="D1684" t="s">
        <v>13587</v>
      </c>
      <c r="E1684" t="s">
        <v>2092</v>
      </c>
      <c r="F1684">
        <v>20</v>
      </c>
      <c r="G1684">
        <v>1</v>
      </c>
      <c r="H1684">
        <v>1</v>
      </c>
      <c r="I1684">
        <v>20</v>
      </c>
      <c r="J1684">
        <v>520</v>
      </c>
      <c r="K1684">
        <f t="shared" si="79"/>
        <v>26</v>
      </c>
      <c r="L1684">
        <f t="shared" si="80"/>
        <v>0</v>
      </c>
      <c r="M1684">
        <v>520</v>
      </c>
      <c r="N1684" s="3">
        <v>47209</v>
      </c>
      <c r="O1684" s="6">
        <v>0</v>
      </c>
    </row>
    <row r="1685" spans="1:15">
      <c r="A1685" t="str">
        <f t="shared" si="78"/>
        <v>Tutup Sprayer GA1/1/10000</v>
      </c>
      <c r="B1685" t="s">
        <v>11504</v>
      </c>
      <c r="C1685" t="s">
        <v>16067</v>
      </c>
      <c r="D1685" t="s">
        <v>13588</v>
      </c>
      <c r="E1685" t="s">
        <v>2093</v>
      </c>
      <c r="F1685">
        <v>1</v>
      </c>
      <c r="G1685">
        <v>1</v>
      </c>
      <c r="H1685">
        <v>1</v>
      </c>
      <c r="I1685">
        <v>1</v>
      </c>
      <c r="J1685">
        <v>9</v>
      </c>
      <c r="K1685">
        <f t="shared" si="79"/>
        <v>9</v>
      </c>
      <c r="L1685">
        <f t="shared" si="80"/>
        <v>0</v>
      </c>
      <c r="M1685">
        <v>9</v>
      </c>
      <c r="N1685" s="3" t="s">
        <v>2222</v>
      </c>
      <c r="O1685" s="6">
        <v>0</v>
      </c>
    </row>
    <row r="1686" spans="1:15">
      <c r="A1686" t="str">
        <f t="shared" si="78"/>
        <v>Tutup Tabung 14 ltr Star Metal1/1/10000</v>
      </c>
      <c r="B1686" t="s">
        <v>11505</v>
      </c>
      <c r="C1686" t="s">
        <v>16068</v>
      </c>
      <c r="D1686" t="s">
        <v>13589</v>
      </c>
      <c r="E1686" t="s">
        <v>2094</v>
      </c>
      <c r="F1686">
        <v>1</v>
      </c>
      <c r="G1686">
        <v>1</v>
      </c>
      <c r="H1686">
        <v>1</v>
      </c>
      <c r="I1686">
        <v>1</v>
      </c>
      <c r="J1686">
        <v>104</v>
      </c>
      <c r="K1686">
        <f t="shared" si="79"/>
        <v>104</v>
      </c>
      <c r="L1686">
        <f t="shared" si="80"/>
        <v>0</v>
      </c>
      <c r="M1686">
        <v>104</v>
      </c>
      <c r="N1686" s="3" t="s">
        <v>2222</v>
      </c>
      <c r="O1686" s="6">
        <v>0</v>
      </c>
    </row>
    <row r="1687" spans="1:15">
      <c r="A1687" t="str">
        <f t="shared" si="78"/>
        <v>Tutup Tabung 17 ltr Star Metal1/1/10000</v>
      </c>
      <c r="B1687" t="s">
        <v>11506</v>
      </c>
      <c r="C1687" t="s">
        <v>16069</v>
      </c>
      <c r="D1687" t="s">
        <v>13590</v>
      </c>
      <c r="E1687" t="s">
        <v>2095</v>
      </c>
      <c r="F1687">
        <v>1</v>
      </c>
      <c r="G1687">
        <v>1</v>
      </c>
      <c r="H1687">
        <v>1</v>
      </c>
      <c r="I1687">
        <v>1</v>
      </c>
      <c r="J1687">
        <v>45</v>
      </c>
      <c r="K1687">
        <f t="shared" si="79"/>
        <v>45</v>
      </c>
      <c r="L1687">
        <f t="shared" si="80"/>
        <v>0</v>
      </c>
      <c r="M1687">
        <v>45</v>
      </c>
      <c r="N1687" s="3" t="s">
        <v>2222</v>
      </c>
      <c r="O1687" s="6">
        <v>0</v>
      </c>
    </row>
    <row r="1688" spans="1:15">
      <c r="A1688" t="str">
        <f t="shared" si="78"/>
        <v>Tutup Tangki 20 ltr1/1/10000</v>
      </c>
      <c r="B1688" t="s">
        <v>11507</v>
      </c>
      <c r="C1688" t="s">
        <v>16070</v>
      </c>
      <c r="D1688" t="s">
        <v>13591</v>
      </c>
      <c r="E1688" t="s">
        <v>2096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f t="shared" si="79"/>
        <v>1</v>
      </c>
      <c r="L1688">
        <f t="shared" si="80"/>
        <v>0</v>
      </c>
      <c r="M1688">
        <v>1</v>
      </c>
      <c r="N1688" s="3" t="s">
        <v>2222</v>
      </c>
      <c r="O1688" s="6">
        <v>0</v>
      </c>
    </row>
    <row r="1689" spans="1:15">
      <c r="A1689" t="str">
        <f t="shared" si="78"/>
        <v>Tutup Tangki Babel Star Metal1/1/10000</v>
      </c>
      <c r="B1689" t="s">
        <v>11508</v>
      </c>
      <c r="C1689" t="s">
        <v>16071</v>
      </c>
      <c r="D1689" t="s">
        <v>13592</v>
      </c>
      <c r="E1689" t="s">
        <v>2097</v>
      </c>
      <c r="F1689">
        <v>1</v>
      </c>
      <c r="G1689">
        <v>1</v>
      </c>
      <c r="H1689">
        <v>1</v>
      </c>
      <c r="I1689">
        <v>1</v>
      </c>
      <c r="J1689">
        <v>9</v>
      </c>
      <c r="K1689">
        <f t="shared" si="79"/>
        <v>9</v>
      </c>
      <c r="L1689">
        <f t="shared" si="80"/>
        <v>0</v>
      </c>
      <c r="M1689">
        <v>9</v>
      </c>
      <c r="N1689" s="3" t="s">
        <v>2222</v>
      </c>
      <c r="O1689" s="6">
        <v>0</v>
      </c>
    </row>
    <row r="1690" spans="1:15">
      <c r="A1690" t="str">
        <f t="shared" si="78"/>
        <v>TV LED COOCA ANDROID1/1/10000</v>
      </c>
      <c r="B1690" t="s">
        <v>11509</v>
      </c>
      <c r="C1690" t="s">
        <v>16072</v>
      </c>
      <c r="D1690" t="s">
        <v>13593</v>
      </c>
      <c r="E1690" t="s">
        <v>2098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f t="shared" si="79"/>
        <v>1</v>
      </c>
      <c r="L1690">
        <f t="shared" si="80"/>
        <v>0</v>
      </c>
      <c r="M1690">
        <v>1</v>
      </c>
      <c r="N1690" s="3" t="s">
        <v>2222</v>
      </c>
      <c r="O1690" s="6">
        <v>0</v>
      </c>
    </row>
    <row r="1691" spans="1:15">
      <c r="A1691" t="str">
        <f t="shared" si="78"/>
        <v>TV LED LG 22"1/1/10000</v>
      </c>
      <c r="B1691" t="s">
        <v>11510</v>
      </c>
      <c r="C1691" t="s">
        <v>16073</v>
      </c>
      <c r="D1691" t="s">
        <v>13594</v>
      </c>
      <c r="E1691" t="s">
        <v>2099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f t="shared" si="79"/>
        <v>1</v>
      </c>
      <c r="L1691">
        <f t="shared" si="80"/>
        <v>0</v>
      </c>
      <c r="M1691">
        <v>1</v>
      </c>
      <c r="N1691" s="3" t="s">
        <v>2222</v>
      </c>
      <c r="O1691" s="6">
        <v>0</v>
      </c>
    </row>
    <row r="1692" spans="1:15">
      <c r="A1692" t="str">
        <f t="shared" si="78"/>
        <v>TV LED Samsung 32"1/1/10000</v>
      </c>
      <c r="B1692" t="s">
        <v>11511</v>
      </c>
      <c r="C1692" t="s">
        <v>16074</v>
      </c>
      <c r="D1692" t="s">
        <v>13595</v>
      </c>
      <c r="E1692" t="s">
        <v>2100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f t="shared" si="79"/>
        <v>1</v>
      </c>
      <c r="L1692">
        <f t="shared" si="80"/>
        <v>0</v>
      </c>
      <c r="M1692">
        <v>1</v>
      </c>
      <c r="N1692" s="3" t="s">
        <v>2222</v>
      </c>
      <c r="O1692" s="6">
        <v>0</v>
      </c>
    </row>
    <row r="1693" spans="1:15">
      <c r="A1693" t="str">
        <f t="shared" si="78"/>
        <v>TV LED Sharp Aquos 24"1/1/10000</v>
      </c>
      <c r="B1693" t="s">
        <v>11512</v>
      </c>
      <c r="C1693" t="s">
        <v>16075</v>
      </c>
      <c r="D1693" t="s">
        <v>13596</v>
      </c>
      <c r="E1693" t="s">
        <v>2101</v>
      </c>
      <c r="F1693">
        <v>1</v>
      </c>
      <c r="G1693">
        <v>1</v>
      </c>
      <c r="H1693">
        <v>1</v>
      </c>
      <c r="I1693">
        <v>1</v>
      </c>
      <c r="J1693">
        <v>3</v>
      </c>
      <c r="K1693">
        <f t="shared" si="79"/>
        <v>3</v>
      </c>
      <c r="L1693">
        <f t="shared" si="80"/>
        <v>0</v>
      </c>
      <c r="M1693">
        <v>3</v>
      </c>
      <c r="N1693" s="3" t="s">
        <v>2222</v>
      </c>
      <c r="O1693" s="6">
        <v>0</v>
      </c>
    </row>
    <row r="1694" spans="1:15">
      <c r="A1694" t="str">
        <f t="shared" si="78"/>
        <v>TV Samsung Full HD Smart TV 43"1/1/10000</v>
      </c>
      <c r="B1694" t="s">
        <v>11513</v>
      </c>
      <c r="C1694" t="s">
        <v>16076</v>
      </c>
      <c r="D1694" t="s">
        <v>13597</v>
      </c>
      <c r="E1694" t="s">
        <v>2102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f t="shared" si="79"/>
        <v>1</v>
      </c>
      <c r="L1694">
        <f t="shared" si="80"/>
        <v>0</v>
      </c>
      <c r="M1694">
        <v>1</v>
      </c>
      <c r="N1694" s="3" t="s">
        <v>2222</v>
      </c>
      <c r="O1694" s="6">
        <v>0</v>
      </c>
    </row>
    <row r="1695" spans="1:15">
      <c r="A1695" t="str">
        <f t="shared" si="78"/>
        <v>Ultrasoline 10 X 2 kg463880</v>
      </c>
      <c r="B1695" t="s">
        <v>11514</v>
      </c>
      <c r="C1695" t="s">
        <v>16077</v>
      </c>
      <c r="D1695" t="s">
        <v>13598</v>
      </c>
      <c r="E1695" t="s">
        <v>2103</v>
      </c>
      <c r="F1695">
        <v>10</v>
      </c>
      <c r="G1695">
        <v>1</v>
      </c>
      <c r="H1695">
        <v>1</v>
      </c>
      <c r="I1695">
        <v>10</v>
      </c>
      <c r="J1695">
        <v>400</v>
      </c>
      <c r="K1695">
        <f t="shared" si="79"/>
        <v>40</v>
      </c>
      <c r="L1695">
        <f t="shared" si="80"/>
        <v>0</v>
      </c>
      <c r="M1695">
        <v>400</v>
      </c>
      <c r="N1695" s="3">
        <v>46388</v>
      </c>
      <c r="O1695" s="6">
        <v>0</v>
      </c>
    </row>
    <row r="1696" spans="1:15">
      <c r="A1696" t="str">
        <f t="shared" si="78"/>
        <v>Umbul-umbul Desanto1/1/10000</v>
      </c>
      <c r="B1696" t="s">
        <v>11515</v>
      </c>
      <c r="C1696" t="s">
        <v>16078</v>
      </c>
      <c r="D1696" t="s">
        <v>13599</v>
      </c>
      <c r="E1696" t="s">
        <v>2104</v>
      </c>
      <c r="F1696">
        <v>1</v>
      </c>
      <c r="G1696">
        <v>1</v>
      </c>
      <c r="H1696">
        <v>1</v>
      </c>
      <c r="I1696">
        <v>1</v>
      </c>
      <c r="J1696">
        <v>6</v>
      </c>
      <c r="K1696">
        <f t="shared" si="79"/>
        <v>6</v>
      </c>
      <c r="L1696">
        <f t="shared" si="80"/>
        <v>0</v>
      </c>
      <c r="M1696">
        <v>6</v>
      </c>
      <c r="N1696" s="3" t="s">
        <v>2222</v>
      </c>
      <c r="O1696" s="6">
        <v>0</v>
      </c>
    </row>
    <row r="1697" spans="1:15">
      <c r="A1697" t="str">
        <f t="shared" si="78"/>
        <v>Unigo 400/40 EC 10 X 800 ml460820</v>
      </c>
      <c r="B1697" t="s">
        <v>11516</v>
      </c>
      <c r="C1697" t="s">
        <v>16079</v>
      </c>
      <c r="D1697" t="s">
        <v>13600</v>
      </c>
      <c r="E1697" t="s">
        <v>2105</v>
      </c>
      <c r="F1697">
        <v>10</v>
      </c>
      <c r="G1697">
        <v>1</v>
      </c>
      <c r="H1697">
        <v>1</v>
      </c>
      <c r="I1697">
        <v>10</v>
      </c>
      <c r="J1697">
        <v>250</v>
      </c>
      <c r="K1697">
        <f t="shared" si="79"/>
        <v>25</v>
      </c>
      <c r="L1697">
        <f t="shared" si="80"/>
        <v>0</v>
      </c>
      <c r="M1697">
        <v>250</v>
      </c>
      <c r="N1697" s="3">
        <v>46082</v>
      </c>
      <c r="O1697" s="6">
        <v>0</v>
      </c>
    </row>
    <row r="1698" spans="1:15">
      <c r="A1698" t="str">
        <f t="shared" si="78"/>
        <v>Unigo 400/40 EC 25 X 400 ml460820</v>
      </c>
      <c r="B1698" t="s">
        <v>11517</v>
      </c>
      <c r="C1698" t="s">
        <v>16080</v>
      </c>
      <c r="D1698" t="s">
        <v>13601</v>
      </c>
      <c r="E1698" t="s">
        <v>2106</v>
      </c>
      <c r="F1698">
        <v>20</v>
      </c>
      <c r="G1698">
        <v>1</v>
      </c>
      <c r="H1698">
        <v>1</v>
      </c>
      <c r="I1698">
        <v>20</v>
      </c>
      <c r="J1698">
        <v>500</v>
      </c>
      <c r="K1698">
        <f t="shared" si="79"/>
        <v>25</v>
      </c>
      <c r="L1698">
        <f t="shared" si="80"/>
        <v>0</v>
      </c>
      <c r="M1698">
        <v>500</v>
      </c>
      <c r="N1698" s="3">
        <v>46082</v>
      </c>
      <c r="O1698" s="6">
        <v>0</v>
      </c>
    </row>
    <row r="1699" spans="1:15">
      <c r="A1699" t="str">
        <f t="shared" si="78"/>
        <v>Unihit 120 SC 100 X 100 ml463570</v>
      </c>
      <c r="B1699" t="s">
        <v>11518</v>
      </c>
      <c r="C1699" t="s">
        <v>16081</v>
      </c>
      <c r="D1699" t="s">
        <v>13602</v>
      </c>
      <c r="E1699" t="s">
        <v>2107</v>
      </c>
      <c r="F1699">
        <v>100</v>
      </c>
      <c r="G1699">
        <v>1</v>
      </c>
      <c r="H1699">
        <v>1</v>
      </c>
      <c r="I1699">
        <v>100</v>
      </c>
      <c r="J1699">
        <v>2466</v>
      </c>
      <c r="K1699">
        <f t="shared" si="79"/>
        <v>24</v>
      </c>
      <c r="L1699">
        <f t="shared" si="80"/>
        <v>66</v>
      </c>
      <c r="M1699">
        <v>2466</v>
      </c>
      <c r="N1699" s="3">
        <v>46357</v>
      </c>
      <c r="O1699" s="6">
        <v>0</v>
      </c>
    </row>
    <row r="1700" spans="1:15">
      <c r="A1700" t="str">
        <f t="shared" si="78"/>
        <v>Unihit 120 SC 100 X 100 ml (Sample)461740</v>
      </c>
      <c r="B1700" t="s">
        <v>11519</v>
      </c>
      <c r="C1700" t="s">
        <v>16082</v>
      </c>
      <c r="D1700" t="s">
        <v>13603</v>
      </c>
      <c r="E1700" t="s">
        <v>2108</v>
      </c>
      <c r="F1700">
        <v>100</v>
      </c>
      <c r="G1700">
        <v>1</v>
      </c>
      <c r="H1700">
        <v>1</v>
      </c>
      <c r="I1700">
        <v>100</v>
      </c>
      <c r="J1700">
        <v>80</v>
      </c>
      <c r="K1700">
        <f t="shared" si="79"/>
        <v>0</v>
      </c>
      <c r="L1700">
        <f t="shared" si="80"/>
        <v>80</v>
      </c>
      <c r="M1700">
        <v>80</v>
      </c>
      <c r="N1700" s="3">
        <v>46174</v>
      </c>
      <c r="O1700" s="6">
        <v>0</v>
      </c>
    </row>
    <row r="1701" spans="1:15">
      <c r="A1701" t="str">
        <f t="shared" si="78"/>
        <v>Unihit 120 SC 20 X 500 ml462960</v>
      </c>
      <c r="B1701" t="s">
        <v>11520</v>
      </c>
      <c r="C1701" t="s">
        <v>16083</v>
      </c>
      <c r="D1701" t="s">
        <v>13604</v>
      </c>
      <c r="E1701" t="s">
        <v>2109</v>
      </c>
      <c r="F1701">
        <v>20</v>
      </c>
      <c r="G1701">
        <v>1</v>
      </c>
      <c r="H1701">
        <v>1</v>
      </c>
      <c r="I1701">
        <v>20</v>
      </c>
      <c r="J1701">
        <v>308</v>
      </c>
      <c r="K1701">
        <f t="shared" si="79"/>
        <v>15</v>
      </c>
      <c r="L1701">
        <f t="shared" si="80"/>
        <v>8</v>
      </c>
      <c r="M1701">
        <v>308</v>
      </c>
      <c r="N1701" s="3">
        <v>46296</v>
      </c>
      <c r="O1701" s="6">
        <v>0</v>
      </c>
    </row>
    <row r="1702" spans="1:15">
      <c r="A1702" t="str">
        <f t="shared" si="78"/>
        <v>Unihit 120 SC 40 X 250 ml463570</v>
      </c>
      <c r="B1702" t="s">
        <v>11521</v>
      </c>
      <c r="C1702" t="s">
        <v>16084</v>
      </c>
      <c r="D1702" t="s">
        <v>13605</v>
      </c>
      <c r="E1702" t="s">
        <v>2110</v>
      </c>
      <c r="F1702">
        <v>40</v>
      </c>
      <c r="G1702">
        <v>1</v>
      </c>
      <c r="H1702">
        <v>1</v>
      </c>
      <c r="I1702">
        <v>40</v>
      </c>
      <c r="J1702">
        <v>932</v>
      </c>
      <c r="K1702">
        <f t="shared" si="79"/>
        <v>23</v>
      </c>
      <c r="L1702">
        <f t="shared" si="80"/>
        <v>12</v>
      </c>
      <c r="M1702">
        <v>932</v>
      </c>
      <c r="N1702" s="3">
        <v>46357</v>
      </c>
      <c r="O1702" s="6">
        <v>0</v>
      </c>
    </row>
    <row r="1703" spans="1:15">
      <c r="A1703" t="str">
        <f t="shared" si="78"/>
        <v>Unirex 141/106 2 C 20 X 200 ml466310</v>
      </c>
      <c r="B1703" t="s">
        <v>11522</v>
      </c>
      <c r="C1703" t="s">
        <v>16085</v>
      </c>
      <c r="D1703" t="s">
        <v>13606</v>
      </c>
      <c r="E1703" t="s">
        <v>2111</v>
      </c>
      <c r="F1703">
        <v>20</v>
      </c>
      <c r="G1703">
        <v>1</v>
      </c>
      <c r="H1703">
        <v>1</v>
      </c>
      <c r="I1703">
        <v>20</v>
      </c>
      <c r="J1703">
        <v>853</v>
      </c>
      <c r="K1703">
        <f t="shared" si="79"/>
        <v>42</v>
      </c>
      <c r="L1703">
        <f t="shared" si="80"/>
        <v>13</v>
      </c>
      <c r="M1703">
        <v>853</v>
      </c>
      <c r="N1703" s="3">
        <v>46631</v>
      </c>
      <c r="O1703" s="6">
        <v>0</v>
      </c>
    </row>
    <row r="1704" spans="1:15">
      <c r="A1704" t="str">
        <f t="shared" si="78"/>
        <v>Unirex 141/106 2 C 20 X 200 ml469350</v>
      </c>
      <c r="B1704" t="s">
        <v>11523</v>
      </c>
      <c r="C1704" t="s">
        <v>16086</v>
      </c>
      <c r="D1704" t="s">
        <v>13607</v>
      </c>
      <c r="E1704" t="s">
        <v>2111</v>
      </c>
      <c r="F1704">
        <v>20</v>
      </c>
      <c r="G1704">
        <v>1</v>
      </c>
      <c r="H1704">
        <v>1</v>
      </c>
      <c r="I1704">
        <v>20</v>
      </c>
      <c r="J1704">
        <v>2000</v>
      </c>
      <c r="K1704">
        <f t="shared" si="79"/>
        <v>100</v>
      </c>
      <c r="L1704">
        <f t="shared" si="80"/>
        <v>0</v>
      </c>
      <c r="M1704">
        <v>2000</v>
      </c>
      <c r="N1704" s="3">
        <v>46935</v>
      </c>
      <c r="O1704" s="6">
        <v>0</v>
      </c>
    </row>
    <row r="1705" spans="1:15">
      <c r="A1705" t="str">
        <f t="shared" si="78"/>
        <v>Unirex 141/106 2 C 20 X 400 ml463880</v>
      </c>
      <c r="B1705" t="s">
        <v>11524</v>
      </c>
      <c r="C1705" t="s">
        <v>16087</v>
      </c>
      <c r="D1705" t="s">
        <v>13608</v>
      </c>
      <c r="E1705" t="s">
        <v>2112</v>
      </c>
      <c r="F1705">
        <v>20</v>
      </c>
      <c r="G1705">
        <v>1</v>
      </c>
      <c r="H1705">
        <v>1</v>
      </c>
      <c r="I1705">
        <v>20</v>
      </c>
      <c r="J1705">
        <v>30</v>
      </c>
      <c r="K1705">
        <f t="shared" si="79"/>
        <v>1</v>
      </c>
      <c r="L1705">
        <f t="shared" si="80"/>
        <v>10</v>
      </c>
      <c r="M1705">
        <v>30</v>
      </c>
      <c r="N1705" s="3">
        <v>46388</v>
      </c>
      <c r="O1705" s="6">
        <v>0</v>
      </c>
    </row>
    <row r="1706" spans="1:15">
      <c r="A1706" t="str">
        <f t="shared" si="78"/>
        <v>Unirex 141/106 2 C 20 X 400 ml469050</v>
      </c>
      <c r="B1706" t="s">
        <v>11525</v>
      </c>
      <c r="C1706" t="s">
        <v>16088</v>
      </c>
      <c r="D1706" t="s">
        <v>13609</v>
      </c>
      <c r="E1706" t="s">
        <v>2112</v>
      </c>
      <c r="F1706">
        <v>20</v>
      </c>
      <c r="G1706">
        <v>1</v>
      </c>
      <c r="H1706">
        <v>1</v>
      </c>
      <c r="I1706">
        <v>20</v>
      </c>
      <c r="J1706">
        <v>900</v>
      </c>
      <c r="K1706">
        <f t="shared" si="79"/>
        <v>45</v>
      </c>
      <c r="L1706">
        <f t="shared" si="80"/>
        <v>0</v>
      </c>
      <c r="M1706">
        <v>900</v>
      </c>
      <c r="N1706" s="3">
        <v>46905</v>
      </c>
      <c r="O1706" s="6">
        <v>0</v>
      </c>
    </row>
    <row r="1707" spans="1:15">
      <c r="A1707" t="str">
        <f t="shared" si="78"/>
        <v>Unirex 141/106 2 C 50 X 100 ml465690</v>
      </c>
      <c r="B1707" t="s">
        <v>11526</v>
      </c>
      <c r="C1707" t="s">
        <v>16089</v>
      </c>
      <c r="D1707" t="s">
        <v>13610</v>
      </c>
      <c r="E1707" t="s">
        <v>2113</v>
      </c>
      <c r="F1707">
        <v>50</v>
      </c>
      <c r="G1707">
        <v>1</v>
      </c>
      <c r="H1707">
        <v>1</v>
      </c>
      <c r="I1707">
        <v>50</v>
      </c>
      <c r="J1707">
        <v>350</v>
      </c>
      <c r="K1707">
        <f t="shared" si="79"/>
        <v>7</v>
      </c>
      <c r="L1707">
        <f t="shared" si="80"/>
        <v>0</v>
      </c>
      <c r="M1707">
        <v>350</v>
      </c>
      <c r="N1707" s="3">
        <v>46569</v>
      </c>
      <c r="O1707" s="6">
        <v>0</v>
      </c>
    </row>
    <row r="1708" spans="1:15">
      <c r="A1708" t="str">
        <f t="shared" si="78"/>
        <v>Unirex 141/106 2 C 50 X 100 ml472390</v>
      </c>
      <c r="B1708" t="s">
        <v>11527</v>
      </c>
      <c r="C1708" t="s">
        <v>16090</v>
      </c>
      <c r="D1708" t="s">
        <v>13611</v>
      </c>
      <c r="E1708" t="s">
        <v>2113</v>
      </c>
      <c r="F1708">
        <v>50</v>
      </c>
      <c r="G1708">
        <v>1</v>
      </c>
      <c r="H1708">
        <v>1</v>
      </c>
      <c r="I1708">
        <v>50</v>
      </c>
      <c r="J1708">
        <v>700</v>
      </c>
      <c r="K1708">
        <f t="shared" si="79"/>
        <v>14</v>
      </c>
      <c r="L1708">
        <f t="shared" si="80"/>
        <v>0</v>
      </c>
      <c r="M1708">
        <v>700</v>
      </c>
      <c r="N1708" s="3">
        <v>47239</v>
      </c>
      <c r="O1708" s="6">
        <v>0</v>
      </c>
    </row>
    <row r="1709" spans="1:15">
      <c r="A1709" t="str">
        <f t="shared" si="78"/>
        <v>Unirex 141/106 2 C 50 X 100 ml469350</v>
      </c>
      <c r="B1709" t="s">
        <v>11528</v>
      </c>
      <c r="C1709" t="s">
        <v>16091</v>
      </c>
      <c r="D1709" t="s">
        <v>13612</v>
      </c>
      <c r="E1709" t="s">
        <v>2113</v>
      </c>
      <c r="F1709">
        <v>50</v>
      </c>
      <c r="G1709">
        <v>1</v>
      </c>
      <c r="H1709">
        <v>1</v>
      </c>
      <c r="I1709">
        <v>50</v>
      </c>
      <c r="J1709">
        <v>2300</v>
      </c>
      <c r="K1709">
        <f t="shared" si="79"/>
        <v>46</v>
      </c>
      <c r="L1709">
        <f t="shared" si="80"/>
        <v>0</v>
      </c>
      <c r="M1709">
        <v>2300</v>
      </c>
      <c r="N1709" s="3">
        <v>46935</v>
      </c>
      <c r="O1709" s="6">
        <v>0</v>
      </c>
    </row>
    <row r="1710" spans="1:15">
      <c r="A1710" t="str">
        <f t="shared" si="78"/>
        <v>Unista 100 SC 10 X 1 ltr464190</v>
      </c>
      <c r="B1710" t="s">
        <v>11529</v>
      </c>
      <c r="C1710" t="s">
        <v>16092</v>
      </c>
      <c r="D1710" t="s">
        <v>13613</v>
      </c>
      <c r="E1710" t="s">
        <v>2114</v>
      </c>
      <c r="F1710">
        <v>10</v>
      </c>
      <c r="G1710">
        <v>1</v>
      </c>
      <c r="H1710">
        <v>1</v>
      </c>
      <c r="I1710">
        <v>10</v>
      </c>
      <c r="J1710">
        <v>100</v>
      </c>
      <c r="K1710">
        <f t="shared" si="79"/>
        <v>10</v>
      </c>
      <c r="L1710">
        <f t="shared" si="80"/>
        <v>0</v>
      </c>
      <c r="M1710">
        <v>100</v>
      </c>
      <c r="N1710" s="3">
        <v>46419</v>
      </c>
      <c r="O1710" s="6">
        <v>0</v>
      </c>
    </row>
    <row r="1711" spans="1:15">
      <c r="A1711" t="str">
        <f t="shared" si="78"/>
        <v>Unista 100 SC 20 X 500 ml464190</v>
      </c>
      <c r="B1711" t="s">
        <v>11530</v>
      </c>
      <c r="C1711" t="s">
        <v>16093</v>
      </c>
      <c r="D1711" t="s">
        <v>13614</v>
      </c>
      <c r="E1711" t="s">
        <v>2115</v>
      </c>
      <c r="F1711">
        <v>20</v>
      </c>
      <c r="G1711">
        <v>1</v>
      </c>
      <c r="H1711">
        <v>1</v>
      </c>
      <c r="I1711">
        <v>20</v>
      </c>
      <c r="J1711">
        <v>480</v>
      </c>
      <c r="K1711">
        <f t="shared" si="79"/>
        <v>24</v>
      </c>
      <c r="L1711">
        <f t="shared" si="80"/>
        <v>0</v>
      </c>
      <c r="M1711">
        <v>480</v>
      </c>
      <c r="N1711" s="3">
        <v>46419</v>
      </c>
      <c r="O1711" s="6">
        <v>0</v>
      </c>
    </row>
    <row r="1712" spans="1:15">
      <c r="A1712" t="str">
        <f t="shared" si="78"/>
        <v>Unista 100 SC 40 X 250 ml (Sample)461740</v>
      </c>
      <c r="B1712" t="s">
        <v>11531</v>
      </c>
      <c r="C1712" t="s">
        <v>16094</v>
      </c>
      <c r="D1712" t="s">
        <v>13615</v>
      </c>
      <c r="E1712" t="s">
        <v>2116</v>
      </c>
      <c r="F1712">
        <v>40</v>
      </c>
      <c r="G1712">
        <v>1</v>
      </c>
      <c r="H1712">
        <v>1</v>
      </c>
      <c r="I1712">
        <v>40</v>
      </c>
      <c r="J1712">
        <v>9</v>
      </c>
      <c r="K1712">
        <f t="shared" si="79"/>
        <v>0</v>
      </c>
      <c r="L1712">
        <f t="shared" si="80"/>
        <v>9</v>
      </c>
      <c r="M1712">
        <v>9</v>
      </c>
      <c r="N1712" s="3">
        <v>46174</v>
      </c>
      <c r="O1712" s="6">
        <v>0</v>
      </c>
    </row>
    <row r="1713" spans="1:15">
      <c r="A1713" t="str">
        <f t="shared" si="78"/>
        <v>Uprise 50 X 100 ml458390</v>
      </c>
      <c r="B1713" t="s">
        <v>11532</v>
      </c>
      <c r="C1713" t="s">
        <v>16095</v>
      </c>
      <c r="D1713" t="s">
        <v>13616</v>
      </c>
      <c r="E1713" t="s">
        <v>2117</v>
      </c>
      <c r="F1713">
        <v>50</v>
      </c>
      <c r="G1713">
        <v>1</v>
      </c>
      <c r="H1713">
        <v>1</v>
      </c>
      <c r="I1713">
        <v>50</v>
      </c>
      <c r="J1713">
        <v>4959</v>
      </c>
      <c r="K1713">
        <f t="shared" si="79"/>
        <v>99</v>
      </c>
      <c r="L1713">
        <f t="shared" si="80"/>
        <v>9</v>
      </c>
      <c r="M1713">
        <v>4959</v>
      </c>
      <c r="N1713" s="3">
        <v>45839</v>
      </c>
      <c r="O1713" s="6">
        <v>0</v>
      </c>
    </row>
    <row r="1714" spans="1:15">
      <c r="A1714" t="str">
        <f t="shared" si="78"/>
        <v>Vayego 200 SC 100 X 50 ml456890</v>
      </c>
      <c r="B1714" t="s">
        <v>11533</v>
      </c>
      <c r="C1714" t="s">
        <v>16096</v>
      </c>
      <c r="D1714" t="s">
        <v>13617</v>
      </c>
      <c r="E1714" t="s">
        <v>2118</v>
      </c>
      <c r="F1714">
        <v>100</v>
      </c>
      <c r="G1714">
        <v>1</v>
      </c>
      <c r="H1714">
        <v>1</v>
      </c>
      <c r="I1714">
        <v>100</v>
      </c>
      <c r="J1714">
        <v>45</v>
      </c>
      <c r="K1714">
        <f t="shared" si="79"/>
        <v>0</v>
      </c>
      <c r="L1714">
        <f t="shared" si="80"/>
        <v>45</v>
      </c>
      <c r="M1714">
        <v>45</v>
      </c>
      <c r="N1714" s="3">
        <v>45689</v>
      </c>
      <c r="O1714" s="6">
        <v>0</v>
      </c>
    </row>
    <row r="1715" spans="1:15">
      <c r="A1715" t="str">
        <f t="shared" si="78"/>
        <v>Vayego 200 SC 50 X 100 ml468440</v>
      </c>
      <c r="B1715" t="s">
        <v>11534</v>
      </c>
      <c r="C1715" t="s">
        <v>16097</v>
      </c>
      <c r="D1715" t="s">
        <v>13618</v>
      </c>
      <c r="E1715" t="s">
        <v>2120</v>
      </c>
      <c r="F1715">
        <v>50</v>
      </c>
      <c r="G1715">
        <v>1</v>
      </c>
      <c r="H1715">
        <v>1</v>
      </c>
      <c r="I1715">
        <v>50</v>
      </c>
      <c r="J1715">
        <v>15</v>
      </c>
      <c r="K1715">
        <f t="shared" si="79"/>
        <v>0</v>
      </c>
      <c r="L1715">
        <f t="shared" si="80"/>
        <v>15</v>
      </c>
      <c r="M1715">
        <v>15</v>
      </c>
      <c r="N1715" s="3">
        <v>46844</v>
      </c>
      <c r="O1715" s="6">
        <v>0</v>
      </c>
    </row>
    <row r="1716" spans="1:15">
      <c r="A1716" t="str">
        <f t="shared" si="78"/>
        <v>Vayego 200 SC 50 X 100 ml468740</v>
      </c>
      <c r="B1716" t="s">
        <v>11535</v>
      </c>
      <c r="C1716" t="s">
        <v>16098</v>
      </c>
      <c r="D1716" t="s">
        <v>13619</v>
      </c>
      <c r="E1716" t="s">
        <v>2120</v>
      </c>
      <c r="F1716">
        <v>50</v>
      </c>
      <c r="G1716">
        <v>1</v>
      </c>
      <c r="H1716">
        <v>1</v>
      </c>
      <c r="I1716">
        <v>50</v>
      </c>
      <c r="J1716">
        <v>200</v>
      </c>
      <c r="K1716">
        <f t="shared" si="79"/>
        <v>4</v>
      </c>
      <c r="L1716">
        <f t="shared" si="80"/>
        <v>0</v>
      </c>
      <c r="M1716">
        <v>200</v>
      </c>
      <c r="N1716" s="3">
        <v>46874</v>
      </c>
      <c r="O1716" s="6">
        <v>0</v>
      </c>
    </row>
    <row r="1717" spans="1:15">
      <c r="A1717" t="str">
        <f t="shared" si="78"/>
        <v>Ventory 865 SL 400 gr404520</v>
      </c>
      <c r="B1717" t="s">
        <v>11536</v>
      </c>
      <c r="C1717" t="s">
        <v>16099</v>
      </c>
      <c r="D1717" t="s">
        <v>13620</v>
      </c>
      <c r="E1717" t="s">
        <v>2123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f t="shared" si="79"/>
        <v>1</v>
      </c>
      <c r="L1717">
        <f t="shared" si="80"/>
        <v>0</v>
      </c>
      <c r="M1717">
        <v>1</v>
      </c>
      <c r="N1717" s="3">
        <v>40452</v>
      </c>
      <c r="O1717" s="6">
        <v>0</v>
      </c>
    </row>
    <row r="1718" spans="1:15">
      <c r="A1718" t="str">
        <f t="shared" si="78"/>
        <v>Vertibak 60 SP 50 X 100 gr460540</v>
      </c>
      <c r="B1718" t="s">
        <v>11537</v>
      </c>
      <c r="C1718" t="s">
        <v>16100</v>
      </c>
      <c r="D1718" t="s">
        <v>13621</v>
      </c>
      <c r="E1718" t="s">
        <v>2124</v>
      </c>
      <c r="F1718">
        <v>50</v>
      </c>
      <c r="G1718">
        <v>1</v>
      </c>
      <c r="H1718">
        <v>1</v>
      </c>
      <c r="I1718">
        <v>50</v>
      </c>
      <c r="J1718">
        <v>195</v>
      </c>
      <c r="K1718">
        <f t="shared" si="79"/>
        <v>3</v>
      </c>
      <c r="L1718">
        <f t="shared" si="80"/>
        <v>45</v>
      </c>
      <c r="M1718">
        <v>195</v>
      </c>
      <c r="N1718" s="3">
        <v>46054</v>
      </c>
      <c r="O1718" s="6">
        <v>0</v>
      </c>
    </row>
    <row r="1719" spans="1:15">
      <c r="A1719" t="str">
        <f t="shared" si="78"/>
        <v>Viaron 80 WP 10 X 1 kg469660</v>
      </c>
      <c r="B1719" t="s">
        <v>11538</v>
      </c>
      <c r="C1719" t="s">
        <v>16101</v>
      </c>
      <c r="D1719" t="s">
        <v>13622</v>
      </c>
      <c r="E1719" t="s">
        <v>2126</v>
      </c>
      <c r="F1719">
        <v>10</v>
      </c>
      <c r="G1719">
        <v>1</v>
      </c>
      <c r="H1719">
        <v>1</v>
      </c>
      <c r="I1719">
        <v>10</v>
      </c>
      <c r="J1719">
        <v>76</v>
      </c>
      <c r="K1719">
        <f t="shared" si="79"/>
        <v>7</v>
      </c>
      <c r="L1719">
        <f t="shared" si="80"/>
        <v>6</v>
      </c>
      <c r="M1719">
        <v>76</v>
      </c>
      <c r="N1719" s="3">
        <v>46966</v>
      </c>
      <c r="O1719" s="6">
        <v>0</v>
      </c>
    </row>
    <row r="1720" spans="1:15">
      <c r="A1720" t="str">
        <f t="shared" si="78"/>
        <v>Viaron 80 WP 10 X 1 kg472090</v>
      </c>
      <c r="B1720" t="s">
        <v>11539</v>
      </c>
      <c r="C1720" t="s">
        <v>16102</v>
      </c>
      <c r="D1720" t="s">
        <v>13623</v>
      </c>
      <c r="E1720" t="s">
        <v>2126</v>
      </c>
      <c r="F1720">
        <v>10</v>
      </c>
      <c r="G1720">
        <v>1</v>
      </c>
      <c r="H1720">
        <v>1</v>
      </c>
      <c r="I1720">
        <v>10</v>
      </c>
      <c r="J1720">
        <v>510</v>
      </c>
      <c r="K1720">
        <f t="shared" si="79"/>
        <v>51</v>
      </c>
      <c r="L1720">
        <f t="shared" si="80"/>
        <v>0</v>
      </c>
      <c r="M1720">
        <v>510</v>
      </c>
      <c r="N1720" s="3">
        <v>47209</v>
      </c>
      <c r="O1720" s="6">
        <v>0</v>
      </c>
    </row>
    <row r="1721" spans="1:15">
      <c r="A1721" t="str">
        <f t="shared" si="78"/>
        <v>Viaron 80 WP 10 X 1 kg472390</v>
      </c>
      <c r="B1721" t="s">
        <v>11540</v>
      </c>
      <c r="C1721" t="s">
        <v>16103</v>
      </c>
      <c r="D1721" t="s">
        <v>13624</v>
      </c>
      <c r="E1721" t="s">
        <v>2126</v>
      </c>
      <c r="F1721">
        <v>10</v>
      </c>
      <c r="G1721">
        <v>1</v>
      </c>
      <c r="H1721">
        <v>1</v>
      </c>
      <c r="I1721">
        <v>10</v>
      </c>
      <c r="J1721">
        <v>280</v>
      </c>
      <c r="K1721">
        <f t="shared" si="79"/>
        <v>28</v>
      </c>
      <c r="L1721">
        <f t="shared" si="80"/>
        <v>0</v>
      </c>
      <c r="M1721">
        <v>280</v>
      </c>
      <c r="N1721" s="3">
        <v>47239</v>
      </c>
      <c r="O1721" s="6">
        <v>0</v>
      </c>
    </row>
    <row r="1722" spans="1:15">
      <c r="A1722" t="str">
        <f t="shared" si="78"/>
        <v>Viaron 80 WP 40 X 250 gr468130</v>
      </c>
      <c r="B1722" t="s">
        <v>11541</v>
      </c>
      <c r="C1722" t="s">
        <v>16104</v>
      </c>
      <c r="D1722" t="s">
        <v>13625</v>
      </c>
      <c r="E1722" t="s">
        <v>2127</v>
      </c>
      <c r="F1722">
        <v>40</v>
      </c>
      <c r="G1722">
        <v>1</v>
      </c>
      <c r="H1722">
        <v>1</v>
      </c>
      <c r="I1722">
        <v>40</v>
      </c>
      <c r="J1722">
        <v>3665</v>
      </c>
      <c r="K1722">
        <f t="shared" si="79"/>
        <v>91</v>
      </c>
      <c r="L1722">
        <f t="shared" si="80"/>
        <v>25</v>
      </c>
      <c r="M1722">
        <v>3665</v>
      </c>
      <c r="N1722" s="3">
        <v>46813</v>
      </c>
      <c r="O1722" s="6">
        <v>0</v>
      </c>
    </row>
    <row r="1723" spans="1:15">
      <c r="A1723" t="str">
        <f t="shared" si="78"/>
        <v>Victar 80 WP 20 X 1 kg459310</v>
      </c>
      <c r="B1723" t="s">
        <v>11542</v>
      </c>
      <c r="C1723" t="s">
        <v>16105</v>
      </c>
      <c r="D1723" t="s">
        <v>13626</v>
      </c>
      <c r="E1723" t="s">
        <v>2128</v>
      </c>
      <c r="F1723">
        <v>20</v>
      </c>
      <c r="G1723">
        <v>1</v>
      </c>
      <c r="H1723">
        <v>1</v>
      </c>
      <c r="I1723">
        <v>20</v>
      </c>
      <c r="J1723">
        <v>520</v>
      </c>
      <c r="K1723">
        <f t="shared" si="79"/>
        <v>26</v>
      </c>
      <c r="L1723">
        <f t="shared" si="80"/>
        <v>0</v>
      </c>
      <c r="M1723">
        <v>520</v>
      </c>
      <c r="N1723" s="3">
        <v>45931</v>
      </c>
      <c r="O1723" s="6">
        <v>0</v>
      </c>
    </row>
    <row r="1724" spans="1:15">
      <c r="A1724" t="str">
        <f t="shared" si="78"/>
        <v>Victar 80 WP 20 X 1 kg460540</v>
      </c>
      <c r="B1724" t="s">
        <v>11543</v>
      </c>
      <c r="C1724" t="s">
        <v>16106</v>
      </c>
      <c r="D1724" t="s">
        <v>13627</v>
      </c>
      <c r="E1724" t="s">
        <v>2128</v>
      </c>
      <c r="F1724">
        <v>20</v>
      </c>
      <c r="G1724">
        <v>1</v>
      </c>
      <c r="H1724">
        <v>1</v>
      </c>
      <c r="I1724">
        <v>20</v>
      </c>
      <c r="J1724">
        <v>300</v>
      </c>
      <c r="K1724">
        <f t="shared" si="79"/>
        <v>15</v>
      </c>
      <c r="L1724">
        <f t="shared" si="80"/>
        <v>0</v>
      </c>
      <c r="M1724">
        <v>300</v>
      </c>
      <c r="N1724" s="3">
        <v>46054</v>
      </c>
      <c r="O1724" s="6">
        <v>0</v>
      </c>
    </row>
    <row r="1725" spans="1:15">
      <c r="A1725" t="str">
        <f t="shared" si="78"/>
        <v>Victar 80 WP 20 X 1 kg459920</v>
      </c>
      <c r="B1725" t="s">
        <v>11544</v>
      </c>
      <c r="C1725" t="s">
        <v>16107</v>
      </c>
      <c r="D1725" t="s">
        <v>13628</v>
      </c>
      <c r="E1725" t="s">
        <v>2128</v>
      </c>
      <c r="F1725">
        <v>20</v>
      </c>
      <c r="G1725">
        <v>1</v>
      </c>
      <c r="H1725">
        <v>1</v>
      </c>
      <c r="I1725">
        <v>20</v>
      </c>
      <c r="J1725">
        <v>480</v>
      </c>
      <c r="K1725">
        <f t="shared" si="79"/>
        <v>24</v>
      </c>
      <c r="L1725">
        <f t="shared" si="80"/>
        <v>0</v>
      </c>
      <c r="M1725">
        <v>480</v>
      </c>
      <c r="N1725" s="3">
        <v>45992</v>
      </c>
      <c r="O1725" s="6">
        <v>0</v>
      </c>
    </row>
    <row r="1726" spans="1:15">
      <c r="A1726" t="str">
        <f t="shared" si="78"/>
        <v>Victory 80 WP 20 X 1 kg459920</v>
      </c>
      <c r="B1726" t="s">
        <v>11545</v>
      </c>
      <c r="C1726" t="s">
        <v>16108</v>
      </c>
      <c r="D1726" t="s">
        <v>13629</v>
      </c>
      <c r="E1726" t="s">
        <v>2134</v>
      </c>
      <c r="F1726">
        <v>20</v>
      </c>
      <c r="G1726">
        <v>1</v>
      </c>
      <c r="H1726">
        <v>1</v>
      </c>
      <c r="I1726">
        <v>20</v>
      </c>
      <c r="J1726">
        <v>512</v>
      </c>
      <c r="K1726">
        <f t="shared" si="79"/>
        <v>25</v>
      </c>
      <c r="L1726">
        <f t="shared" si="80"/>
        <v>12</v>
      </c>
      <c r="M1726">
        <v>512</v>
      </c>
      <c r="N1726" s="3">
        <v>45992</v>
      </c>
      <c r="O1726" s="6">
        <v>0</v>
      </c>
    </row>
    <row r="1727" spans="1:15">
      <c r="A1727" t="str">
        <f t="shared" si="78"/>
        <v>Virtako 300 SC 10 X 20 X 10 ml458090</v>
      </c>
      <c r="B1727" t="s">
        <v>11546</v>
      </c>
      <c r="C1727" t="s">
        <v>16109</v>
      </c>
      <c r="D1727" t="s">
        <v>13630</v>
      </c>
      <c r="E1727" t="s">
        <v>2136</v>
      </c>
      <c r="F1727">
        <v>10</v>
      </c>
      <c r="G1727">
        <v>20</v>
      </c>
      <c r="H1727">
        <v>1</v>
      </c>
      <c r="I1727">
        <v>200</v>
      </c>
      <c r="J1727">
        <v>5</v>
      </c>
      <c r="K1727">
        <f t="shared" si="79"/>
        <v>0</v>
      </c>
      <c r="L1727">
        <f t="shared" si="80"/>
        <v>5</v>
      </c>
      <c r="M1727">
        <v>5</v>
      </c>
      <c r="N1727" s="3">
        <v>45809</v>
      </c>
      <c r="O1727" s="6">
        <v>0</v>
      </c>
    </row>
    <row r="1728" spans="1:15">
      <c r="A1728" t="str">
        <f t="shared" si="78"/>
        <v>Virtako 300 SC 10 X 20 X 10 ml461430</v>
      </c>
      <c r="B1728" t="s">
        <v>11547</v>
      </c>
      <c r="C1728" t="s">
        <v>16110</v>
      </c>
      <c r="D1728" t="s">
        <v>13631</v>
      </c>
      <c r="E1728" t="s">
        <v>2136</v>
      </c>
      <c r="F1728">
        <v>10</v>
      </c>
      <c r="G1728">
        <v>20</v>
      </c>
      <c r="H1728">
        <v>1</v>
      </c>
      <c r="I1728">
        <v>200</v>
      </c>
      <c r="J1728">
        <v>35360</v>
      </c>
      <c r="K1728">
        <f t="shared" si="79"/>
        <v>176</v>
      </c>
      <c r="L1728">
        <f t="shared" si="80"/>
        <v>160</v>
      </c>
      <c r="M1728">
        <v>35360</v>
      </c>
      <c r="N1728" s="3">
        <v>46143</v>
      </c>
      <c r="O1728" s="6">
        <v>0</v>
      </c>
    </row>
    <row r="1729" spans="1:15">
      <c r="A1729" t="str">
        <f t="shared" si="78"/>
        <v>Virtako 300 SC 100 X 50 ml461430</v>
      </c>
      <c r="B1729" t="s">
        <v>11548</v>
      </c>
      <c r="C1729" t="s">
        <v>16111</v>
      </c>
      <c r="D1729" t="s">
        <v>13632</v>
      </c>
      <c r="E1729" t="s">
        <v>2141</v>
      </c>
      <c r="F1729">
        <v>100</v>
      </c>
      <c r="G1729">
        <v>1</v>
      </c>
      <c r="H1729">
        <v>1</v>
      </c>
      <c r="I1729">
        <v>100</v>
      </c>
      <c r="J1729">
        <v>37853</v>
      </c>
      <c r="K1729">
        <f t="shared" si="79"/>
        <v>378</v>
      </c>
      <c r="L1729">
        <f t="shared" si="80"/>
        <v>53</v>
      </c>
      <c r="M1729">
        <v>37853</v>
      </c>
      <c r="N1729" s="3">
        <v>46143</v>
      </c>
      <c r="O1729" s="6">
        <v>0</v>
      </c>
    </row>
    <row r="1730" spans="1:15">
      <c r="A1730" t="str">
        <f t="shared" si="78"/>
        <v>Virtako 300 SC 100 X 50 ml460820</v>
      </c>
      <c r="B1730" t="s">
        <v>11549</v>
      </c>
      <c r="C1730" t="s">
        <v>16112</v>
      </c>
      <c r="D1730" t="s">
        <v>13633</v>
      </c>
      <c r="E1730" t="s">
        <v>2141</v>
      </c>
      <c r="F1730">
        <v>100</v>
      </c>
      <c r="G1730">
        <v>1</v>
      </c>
      <c r="H1730">
        <v>1</v>
      </c>
      <c r="I1730">
        <v>100</v>
      </c>
      <c r="J1730">
        <v>95</v>
      </c>
      <c r="K1730">
        <f t="shared" si="79"/>
        <v>0</v>
      </c>
      <c r="L1730">
        <f t="shared" si="80"/>
        <v>95</v>
      </c>
      <c r="M1730">
        <v>95</v>
      </c>
      <c r="N1730" s="3">
        <v>46082</v>
      </c>
      <c r="O1730" s="6">
        <v>0</v>
      </c>
    </row>
    <row r="1731" spans="1:15">
      <c r="A1731" t="str">
        <f t="shared" ref="A1731:A1794" si="81">E1731&amp;N1731&amp;O1731</f>
        <v>Virtako 300 SC 50 X 100 ml462040</v>
      </c>
      <c r="B1731" t="s">
        <v>11550</v>
      </c>
      <c r="C1731" t="s">
        <v>16113</v>
      </c>
      <c r="D1731" t="s">
        <v>13634</v>
      </c>
      <c r="E1731" t="s">
        <v>2148</v>
      </c>
      <c r="F1731">
        <v>50</v>
      </c>
      <c r="G1731">
        <v>1</v>
      </c>
      <c r="H1731">
        <v>1</v>
      </c>
      <c r="I1731">
        <v>50</v>
      </c>
      <c r="J1731">
        <v>14277</v>
      </c>
      <c r="K1731">
        <f t="shared" ref="K1731:K1794" si="82">ROUNDDOWN(J1731/I1731,0)</f>
        <v>285</v>
      </c>
      <c r="L1731">
        <f t="shared" ref="L1731:L1794" si="83">J1731-K1731*I1731</f>
        <v>27</v>
      </c>
      <c r="M1731">
        <v>14277</v>
      </c>
      <c r="N1731" s="3">
        <v>46204</v>
      </c>
      <c r="O1731" s="6">
        <v>0</v>
      </c>
    </row>
    <row r="1732" spans="1:15">
      <c r="A1732" t="str">
        <f t="shared" si="81"/>
        <v>Vishaka 200 EC 20 X 500 ml457780</v>
      </c>
      <c r="B1732" t="s">
        <v>11551</v>
      </c>
      <c r="C1732" t="s">
        <v>16114</v>
      </c>
      <c r="D1732" t="s">
        <v>13635</v>
      </c>
      <c r="E1732" t="s">
        <v>2152</v>
      </c>
      <c r="F1732">
        <v>20</v>
      </c>
      <c r="G1732">
        <v>1</v>
      </c>
      <c r="H1732">
        <v>1</v>
      </c>
      <c r="I1732">
        <v>20</v>
      </c>
      <c r="J1732">
        <v>3083</v>
      </c>
      <c r="K1732">
        <f t="shared" si="82"/>
        <v>154</v>
      </c>
      <c r="L1732">
        <f t="shared" si="83"/>
        <v>3</v>
      </c>
      <c r="M1732">
        <v>3083</v>
      </c>
      <c r="N1732" s="3">
        <v>45778</v>
      </c>
      <c r="O1732" s="6">
        <v>0</v>
      </c>
    </row>
    <row r="1733" spans="1:15">
      <c r="A1733" t="str">
        <f t="shared" si="81"/>
        <v>Vista 400 SL 100 ml (Sample)1/1/10000</v>
      </c>
      <c r="B1733" t="s">
        <v>11552</v>
      </c>
      <c r="C1733" t="s">
        <v>16115</v>
      </c>
      <c r="D1733" t="s">
        <v>13636</v>
      </c>
      <c r="E1733" t="s">
        <v>2153</v>
      </c>
      <c r="F1733">
        <v>1</v>
      </c>
      <c r="G1733">
        <v>1</v>
      </c>
      <c r="H1733">
        <v>1</v>
      </c>
      <c r="I1733">
        <v>1</v>
      </c>
      <c r="J1733">
        <v>36</v>
      </c>
      <c r="K1733">
        <f t="shared" si="82"/>
        <v>36</v>
      </c>
      <c r="L1733">
        <f t="shared" si="83"/>
        <v>0</v>
      </c>
      <c r="M1733">
        <v>36</v>
      </c>
      <c r="N1733" s="3" t="s">
        <v>2222</v>
      </c>
      <c r="O1733" s="6">
        <v>0</v>
      </c>
    </row>
    <row r="1734" spans="1:15">
      <c r="A1734" t="str">
        <f t="shared" si="81"/>
        <v>Vista 400 SL 16 X 1 ltr468740</v>
      </c>
      <c r="B1734" t="s">
        <v>11553</v>
      </c>
      <c r="C1734" t="s">
        <v>16116</v>
      </c>
      <c r="D1734" t="s">
        <v>13637</v>
      </c>
      <c r="E1734" t="s">
        <v>2154</v>
      </c>
      <c r="F1734">
        <v>16</v>
      </c>
      <c r="G1734">
        <v>1</v>
      </c>
      <c r="H1734">
        <v>1</v>
      </c>
      <c r="I1734">
        <v>16</v>
      </c>
      <c r="J1734">
        <v>15</v>
      </c>
      <c r="K1734">
        <f t="shared" si="82"/>
        <v>0</v>
      </c>
      <c r="L1734">
        <f t="shared" si="83"/>
        <v>15</v>
      </c>
      <c r="M1734">
        <v>15</v>
      </c>
      <c r="N1734" s="3">
        <v>46874</v>
      </c>
      <c r="O1734" s="6">
        <v>0</v>
      </c>
    </row>
    <row r="1735" spans="1:15">
      <c r="A1735" t="str">
        <f t="shared" si="81"/>
        <v>Vista 400 SL 16 X 1 ltr472090</v>
      </c>
      <c r="B1735" t="s">
        <v>11554</v>
      </c>
      <c r="C1735" t="s">
        <v>16117</v>
      </c>
      <c r="D1735" t="s">
        <v>13638</v>
      </c>
      <c r="E1735" t="s">
        <v>2154</v>
      </c>
      <c r="F1735">
        <v>16</v>
      </c>
      <c r="G1735">
        <v>1</v>
      </c>
      <c r="H1735">
        <v>1</v>
      </c>
      <c r="I1735">
        <v>16</v>
      </c>
      <c r="J1735">
        <v>800</v>
      </c>
      <c r="K1735">
        <f t="shared" si="82"/>
        <v>50</v>
      </c>
      <c r="L1735">
        <f t="shared" si="83"/>
        <v>0</v>
      </c>
      <c r="M1735">
        <v>800</v>
      </c>
      <c r="N1735" s="3">
        <v>47209</v>
      </c>
      <c r="O1735" s="6">
        <v>0</v>
      </c>
    </row>
    <row r="1736" spans="1:15">
      <c r="A1736" t="str">
        <f t="shared" si="81"/>
        <v>Vista 400 SL 16 X 1 ltr468130</v>
      </c>
      <c r="B1736" t="s">
        <v>11555</v>
      </c>
      <c r="C1736" t="s">
        <v>16118</v>
      </c>
      <c r="D1736" t="s">
        <v>13639</v>
      </c>
      <c r="E1736" t="s">
        <v>2154</v>
      </c>
      <c r="F1736">
        <v>16</v>
      </c>
      <c r="G1736">
        <v>1</v>
      </c>
      <c r="H1736">
        <v>1</v>
      </c>
      <c r="I1736">
        <v>16</v>
      </c>
      <c r="J1736">
        <v>80</v>
      </c>
      <c r="K1736">
        <f t="shared" si="82"/>
        <v>5</v>
      </c>
      <c r="L1736">
        <f t="shared" si="83"/>
        <v>0</v>
      </c>
      <c r="M1736">
        <v>80</v>
      </c>
      <c r="N1736" s="3">
        <v>46813</v>
      </c>
      <c r="O1736" s="6">
        <v>0</v>
      </c>
    </row>
    <row r="1737" spans="1:15">
      <c r="A1737" t="str">
        <f t="shared" si="81"/>
        <v>Vista 400 SL 16 X 1 ltr471500</v>
      </c>
      <c r="B1737" t="s">
        <v>11556</v>
      </c>
      <c r="C1737" t="s">
        <v>16119</v>
      </c>
      <c r="D1737" t="s">
        <v>13640</v>
      </c>
      <c r="E1737" t="s">
        <v>2154</v>
      </c>
      <c r="F1737">
        <v>16</v>
      </c>
      <c r="G1737">
        <v>1</v>
      </c>
      <c r="H1737">
        <v>1</v>
      </c>
      <c r="I1737">
        <v>16</v>
      </c>
      <c r="J1737">
        <v>192</v>
      </c>
      <c r="K1737">
        <f t="shared" si="82"/>
        <v>12</v>
      </c>
      <c r="L1737">
        <f t="shared" si="83"/>
        <v>0</v>
      </c>
      <c r="M1737">
        <v>192</v>
      </c>
      <c r="N1737" s="3">
        <v>47150</v>
      </c>
      <c r="O1737" s="6">
        <v>0</v>
      </c>
    </row>
    <row r="1738" spans="1:15">
      <c r="A1738" t="str">
        <f t="shared" si="81"/>
        <v>Vista 400 SL 20 X 500 ml472090</v>
      </c>
      <c r="B1738" t="s">
        <v>11557</v>
      </c>
      <c r="C1738" t="s">
        <v>16120</v>
      </c>
      <c r="D1738" t="s">
        <v>13641</v>
      </c>
      <c r="E1738" t="s">
        <v>2155</v>
      </c>
      <c r="F1738">
        <v>20</v>
      </c>
      <c r="G1738">
        <v>1</v>
      </c>
      <c r="H1738">
        <v>1</v>
      </c>
      <c r="I1738">
        <v>20</v>
      </c>
      <c r="J1738">
        <v>20</v>
      </c>
      <c r="K1738">
        <f t="shared" si="82"/>
        <v>1</v>
      </c>
      <c r="L1738">
        <f t="shared" si="83"/>
        <v>0</v>
      </c>
      <c r="M1738">
        <v>20</v>
      </c>
      <c r="N1738" s="3">
        <v>47209</v>
      </c>
      <c r="O1738" s="6">
        <v>0</v>
      </c>
    </row>
    <row r="1739" spans="1:15">
      <c r="A1739" t="str">
        <f t="shared" si="81"/>
        <v>Vista 400 SL 20 X 500 ml471780</v>
      </c>
      <c r="B1739" t="s">
        <v>11558</v>
      </c>
      <c r="C1739" t="s">
        <v>16121</v>
      </c>
      <c r="D1739" t="s">
        <v>13642</v>
      </c>
      <c r="E1739" t="s">
        <v>2155</v>
      </c>
      <c r="F1739">
        <v>20</v>
      </c>
      <c r="G1739">
        <v>1</v>
      </c>
      <c r="H1739">
        <v>1</v>
      </c>
      <c r="I1739">
        <v>20</v>
      </c>
      <c r="J1739">
        <v>380</v>
      </c>
      <c r="K1739">
        <f t="shared" si="82"/>
        <v>19</v>
      </c>
      <c r="L1739">
        <f t="shared" si="83"/>
        <v>0</v>
      </c>
      <c r="M1739">
        <v>380</v>
      </c>
      <c r="N1739" s="3">
        <v>47178</v>
      </c>
      <c r="O1739" s="6">
        <v>0</v>
      </c>
    </row>
    <row r="1740" spans="1:15">
      <c r="A1740" t="str">
        <f t="shared" si="81"/>
        <v>Vista 400 SL 50 X 200 ml471780</v>
      </c>
      <c r="B1740" t="s">
        <v>11559</v>
      </c>
      <c r="C1740" t="s">
        <v>16122</v>
      </c>
      <c r="D1740" t="s">
        <v>13643</v>
      </c>
      <c r="E1740" t="s">
        <v>2156</v>
      </c>
      <c r="F1740">
        <v>50</v>
      </c>
      <c r="G1740">
        <v>1</v>
      </c>
      <c r="H1740">
        <v>1</v>
      </c>
      <c r="I1740">
        <v>50</v>
      </c>
      <c r="J1740">
        <v>872</v>
      </c>
      <c r="K1740">
        <f t="shared" si="82"/>
        <v>17</v>
      </c>
      <c r="L1740">
        <f t="shared" si="83"/>
        <v>22</v>
      </c>
      <c r="M1740">
        <v>872</v>
      </c>
      <c r="N1740" s="3">
        <v>47178</v>
      </c>
      <c r="O1740" s="6">
        <v>0</v>
      </c>
    </row>
    <row r="1741" spans="1:15">
      <c r="A1741" t="str">
        <f t="shared" si="81"/>
        <v>Vista 400 SL 50 X 200 ml472090</v>
      </c>
      <c r="B1741" t="s">
        <v>11560</v>
      </c>
      <c r="C1741" t="s">
        <v>16123</v>
      </c>
      <c r="D1741" t="s">
        <v>13644</v>
      </c>
      <c r="E1741" t="s">
        <v>2156</v>
      </c>
      <c r="F1741">
        <v>50</v>
      </c>
      <c r="G1741">
        <v>1</v>
      </c>
      <c r="H1741">
        <v>1</v>
      </c>
      <c r="I1741">
        <v>50</v>
      </c>
      <c r="J1741">
        <v>1350</v>
      </c>
      <c r="K1741">
        <f t="shared" si="82"/>
        <v>27</v>
      </c>
      <c r="L1741">
        <f t="shared" si="83"/>
        <v>0</v>
      </c>
      <c r="M1741">
        <v>1350</v>
      </c>
      <c r="N1741" s="3">
        <v>47209</v>
      </c>
      <c r="O1741" s="6">
        <v>0</v>
      </c>
    </row>
    <row r="1742" spans="1:15">
      <c r="A1742" t="str">
        <f t="shared" si="81"/>
        <v>Volt Meter YEP181/1/10000</v>
      </c>
      <c r="B1742" t="s">
        <v>11561</v>
      </c>
      <c r="C1742" t="s">
        <v>16124</v>
      </c>
      <c r="D1742" t="s">
        <v>13645</v>
      </c>
      <c r="E1742" t="s">
        <v>2157</v>
      </c>
      <c r="F1742">
        <v>1</v>
      </c>
      <c r="G1742">
        <v>1</v>
      </c>
      <c r="H1742">
        <v>1</v>
      </c>
      <c r="I1742">
        <v>1</v>
      </c>
      <c r="J1742">
        <v>5</v>
      </c>
      <c r="K1742">
        <f t="shared" si="82"/>
        <v>5</v>
      </c>
      <c r="L1742">
        <f t="shared" si="83"/>
        <v>0</v>
      </c>
      <c r="M1742">
        <v>5</v>
      </c>
      <c r="N1742" s="3" t="s">
        <v>2222</v>
      </c>
      <c r="O1742" s="6">
        <v>0</v>
      </c>
    </row>
    <row r="1743" spans="1:15">
      <c r="A1743" t="str">
        <f t="shared" si="81"/>
        <v>Walang 50 EC 20 X 1 ltr469970</v>
      </c>
      <c r="B1743" t="s">
        <v>11562</v>
      </c>
      <c r="C1743" t="s">
        <v>16125</v>
      </c>
      <c r="D1743" t="s">
        <v>13646</v>
      </c>
      <c r="E1743" t="s">
        <v>2158</v>
      </c>
      <c r="F1743">
        <v>20</v>
      </c>
      <c r="G1743">
        <v>1</v>
      </c>
      <c r="H1743">
        <v>1</v>
      </c>
      <c r="I1743">
        <v>20</v>
      </c>
      <c r="J1743">
        <v>2380</v>
      </c>
      <c r="K1743">
        <f t="shared" si="82"/>
        <v>119</v>
      </c>
      <c r="L1743">
        <f t="shared" si="83"/>
        <v>0</v>
      </c>
      <c r="M1743">
        <v>2380</v>
      </c>
      <c r="N1743" s="3">
        <v>46997</v>
      </c>
      <c r="O1743" s="6">
        <v>0</v>
      </c>
    </row>
    <row r="1744" spans="1:15">
      <c r="A1744" t="str">
        <f t="shared" si="81"/>
        <v>Walang 50 EC 25 X 400 ml463570</v>
      </c>
      <c r="B1744" t="s">
        <v>11563</v>
      </c>
      <c r="C1744" t="s">
        <v>16126</v>
      </c>
      <c r="D1744" t="s">
        <v>13647</v>
      </c>
      <c r="E1744" t="s">
        <v>2159</v>
      </c>
      <c r="F1744">
        <v>25</v>
      </c>
      <c r="G1744">
        <v>1</v>
      </c>
      <c r="H1744">
        <v>1</v>
      </c>
      <c r="I1744">
        <v>25</v>
      </c>
      <c r="J1744">
        <v>15</v>
      </c>
      <c r="K1744">
        <f t="shared" si="82"/>
        <v>0</v>
      </c>
      <c r="L1744">
        <f t="shared" si="83"/>
        <v>15</v>
      </c>
      <c r="M1744">
        <v>15</v>
      </c>
      <c r="N1744" s="3">
        <v>46357</v>
      </c>
      <c r="O1744" s="6">
        <v>0</v>
      </c>
    </row>
    <row r="1745" spans="1:15">
      <c r="A1745" t="str">
        <f t="shared" si="81"/>
        <v>Walang 50 EC 25 X 400 ml469970</v>
      </c>
      <c r="B1745" t="s">
        <v>11564</v>
      </c>
      <c r="C1745" t="s">
        <v>16127</v>
      </c>
      <c r="D1745" t="s">
        <v>13648</v>
      </c>
      <c r="E1745" t="s">
        <v>2159</v>
      </c>
      <c r="F1745">
        <v>25</v>
      </c>
      <c r="G1745">
        <v>1</v>
      </c>
      <c r="H1745">
        <v>1</v>
      </c>
      <c r="I1745">
        <v>25</v>
      </c>
      <c r="J1745">
        <v>1400</v>
      </c>
      <c r="K1745">
        <f t="shared" si="82"/>
        <v>56</v>
      </c>
      <c r="L1745">
        <f t="shared" si="83"/>
        <v>0</v>
      </c>
      <c r="M1745">
        <v>1400</v>
      </c>
      <c r="N1745" s="3">
        <v>46997</v>
      </c>
      <c r="O1745" s="6">
        <v>0</v>
      </c>
    </row>
    <row r="1746" spans="1:15">
      <c r="A1746" t="str">
        <f t="shared" si="81"/>
        <v>Wendry 75 WP 100 X 100 gr (M2U)461430</v>
      </c>
      <c r="B1746" t="s">
        <v>11565</v>
      </c>
      <c r="C1746" t="s">
        <v>16128</v>
      </c>
      <c r="D1746" t="s">
        <v>13649</v>
      </c>
      <c r="E1746" t="s">
        <v>2160</v>
      </c>
      <c r="F1746">
        <v>100</v>
      </c>
      <c r="G1746">
        <v>1</v>
      </c>
      <c r="H1746">
        <v>1</v>
      </c>
      <c r="I1746">
        <v>100</v>
      </c>
      <c r="J1746">
        <v>593</v>
      </c>
      <c r="K1746">
        <f t="shared" si="82"/>
        <v>5</v>
      </c>
      <c r="L1746">
        <f t="shared" si="83"/>
        <v>93</v>
      </c>
      <c r="M1746">
        <v>593</v>
      </c>
      <c r="N1746" s="3">
        <v>46143</v>
      </c>
      <c r="O1746" s="6">
        <v>0</v>
      </c>
    </row>
    <row r="1747" spans="1:15">
      <c r="A1747" t="str">
        <f t="shared" si="81"/>
        <v>Wendry 75 WP 20 X 500 gr (M2U)464780</v>
      </c>
      <c r="B1747" t="s">
        <v>11566</v>
      </c>
      <c r="C1747" t="s">
        <v>16129</v>
      </c>
      <c r="D1747" t="s">
        <v>13650</v>
      </c>
      <c r="E1747" t="s">
        <v>2161</v>
      </c>
      <c r="F1747">
        <v>20</v>
      </c>
      <c r="G1747">
        <v>1</v>
      </c>
      <c r="H1747">
        <v>1</v>
      </c>
      <c r="I1747">
        <v>20</v>
      </c>
      <c r="J1747">
        <v>720</v>
      </c>
      <c r="K1747">
        <f t="shared" si="82"/>
        <v>36</v>
      </c>
      <c r="L1747">
        <f t="shared" si="83"/>
        <v>0</v>
      </c>
      <c r="M1747">
        <v>720</v>
      </c>
      <c r="N1747" s="3">
        <v>46478</v>
      </c>
      <c r="O1747" s="6">
        <v>0</v>
      </c>
    </row>
    <row r="1748" spans="1:15">
      <c r="A1748" t="str">
        <f t="shared" si="81"/>
        <v>Wendry 75 WP 20 X 500 gr (M2U)463880</v>
      </c>
      <c r="B1748" t="s">
        <v>11567</v>
      </c>
      <c r="C1748" t="s">
        <v>16130</v>
      </c>
      <c r="D1748" t="s">
        <v>13651</v>
      </c>
      <c r="E1748" t="s">
        <v>2161</v>
      </c>
      <c r="F1748">
        <v>20</v>
      </c>
      <c r="G1748">
        <v>1</v>
      </c>
      <c r="H1748">
        <v>1</v>
      </c>
      <c r="I1748">
        <v>20</v>
      </c>
      <c r="J1748">
        <v>3165</v>
      </c>
      <c r="K1748">
        <f t="shared" si="82"/>
        <v>158</v>
      </c>
      <c r="L1748">
        <f t="shared" si="83"/>
        <v>5</v>
      </c>
      <c r="M1748">
        <v>3165</v>
      </c>
      <c r="N1748" s="3">
        <v>46388</v>
      </c>
      <c r="O1748" s="6">
        <v>0</v>
      </c>
    </row>
    <row r="1749" spans="1:15">
      <c r="A1749" t="str">
        <f t="shared" si="81"/>
        <v>Win 10 WP 25 X 20 X 10 gr465690</v>
      </c>
      <c r="B1749" t="s">
        <v>11568</v>
      </c>
      <c r="C1749" t="s">
        <v>16131</v>
      </c>
      <c r="D1749" t="s">
        <v>13652</v>
      </c>
      <c r="E1749" t="s">
        <v>2162</v>
      </c>
      <c r="F1749">
        <v>25</v>
      </c>
      <c r="G1749">
        <v>20</v>
      </c>
      <c r="H1749">
        <v>1</v>
      </c>
      <c r="I1749">
        <v>500</v>
      </c>
      <c r="J1749">
        <v>440</v>
      </c>
      <c r="K1749">
        <f t="shared" si="82"/>
        <v>0</v>
      </c>
      <c r="L1749">
        <f t="shared" si="83"/>
        <v>440</v>
      </c>
      <c r="M1749">
        <v>440</v>
      </c>
      <c r="N1749" s="3">
        <v>46569</v>
      </c>
      <c r="O1749" s="6">
        <v>0</v>
      </c>
    </row>
    <row r="1750" spans="1:15">
      <c r="A1750" t="str">
        <f t="shared" si="81"/>
        <v>Win 10 WP 25 X 20 X 10 gr468130</v>
      </c>
      <c r="B1750" t="s">
        <v>11569</v>
      </c>
      <c r="C1750" t="s">
        <v>16132</v>
      </c>
      <c r="D1750" t="s">
        <v>13653</v>
      </c>
      <c r="E1750" t="s">
        <v>2162</v>
      </c>
      <c r="F1750">
        <v>25</v>
      </c>
      <c r="G1750">
        <v>20</v>
      </c>
      <c r="H1750">
        <v>1</v>
      </c>
      <c r="I1750">
        <v>500</v>
      </c>
      <c r="J1750">
        <v>2000</v>
      </c>
      <c r="K1750">
        <f t="shared" si="82"/>
        <v>4</v>
      </c>
      <c r="L1750">
        <f t="shared" si="83"/>
        <v>0</v>
      </c>
      <c r="M1750">
        <v>2000</v>
      </c>
      <c r="N1750" s="3">
        <v>46813</v>
      </c>
      <c r="O1750" s="6">
        <v>0</v>
      </c>
    </row>
    <row r="1751" spans="1:15">
      <c r="A1751" t="str">
        <f t="shared" si="81"/>
        <v>Win 10 WP 25 X 20 X 10 gr467220</v>
      </c>
      <c r="B1751" t="s">
        <v>11570</v>
      </c>
      <c r="C1751" t="s">
        <v>16133</v>
      </c>
      <c r="D1751" t="s">
        <v>13654</v>
      </c>
      <c r="E1751" t="s">
        <v>2162</v>
      </c>
      <c r="F1751">
        <v>25</v>
      </c>
      <c r="G1751">
        <v>20</v>
      </c>
      <c r="H1751">
        <v>1</v>
      </c>
      <c r="I1751">
        <v>500</v>
      </c>
      <c r="J1751">
        <v>33500</v>
      </c>
      <c r="K1751">
        <f t="shared" si="82"/>
        <v>67</v>
      </c>
      <c r="L1751">
        <f t="shared" si="83"/>
        <v>0</v>
      </c>
      <c r="M1751">
        <v>33500</v>
      </c>
      <c r="N1751" s="3">
        <v>46722</v>
      </c>
      <c r="O1751" s="6">
        <v>0</v>
      </c>
    </row>
    <row r="1752" spans="1:15">
      <c r="A1752" t="str">
        <f t="shared" si="81"/>
        <v>Winda 250 SC 10 X 500 ml465080</v>
      </c>
      <c r="B1752" t="s">
        <v>11571</v>
      </c>
      <c r="C1752" t="s">
        <v>16134</v>
      </c>
      <c r="D1752" t="s">
        <v>13655</v>
      </c>
      <c r="E1752" t="s">
        <v>2166</v>
      </c>
      <c r="F1752">
        <v>10</v>
      </c>
      <c r="G1752">
        <v>1</v>
      </c>
      <c r="H1752">
        <v>1</v>
      </c>
      <c r="I1752">
        <v>10</v>
      </c>
      <c r="J1752">
        <v>112</v>
      </c>
      <c r="K1752">
        <f t="shared" si="82"/>
        <v>11</v>
      </c>
      <c r="L1752">
        <f t="shared" si="83"/>
        <v>2</v>
      </c>
      <c r="M1752">
        <v>112</v>
      </c>
      <c r="N1752" s="3">
        <v>46508</v>
      </c>
      <c r="O1752" s="6">
        <v>0</v>
      </c>
    </row>
    <row r="1753" spans="1:15">
      <c r="A1753" t="str">
        <f t="shared" si="81"/>
        <v>Winda 250 SC 20 X 250 ml465080</v>
      </c>
      <c r="B1753" t="s">
        <v>11572</v>
      </c>
      <c r="C1753" t="s">
        <v>16135</v>
      </c>
      <c r="D1753" t="s">
        <v>13656</v>
      </c>
      <c r="E1753" t="s">
        <v>2167</v>
      </c>
      <c r="F1753">
        <v>20</v>
      </c>
      <c r="G1753">
        <v>1</v>
      </c>
      <c r="H1753">
        <v>1</v>
      </c>
      <c r="I1753">
        <v>20</v>
      </c>
      <c r="J1753">
        <v>45</v>
      </c>
      <c r="K1753">
        <f t="shared" si="82"/>
        <v>2</v>
      </c>
      <c r="L1753">
        <f t="shared" si="83"/>
        <v>5</v>
      </c>
      <c r="M1753">
        <v>45</v>
      </c>
      <c r="N1753" s="3">
        <v>46508</v>
      </c>
      <c r="O1753" s="6">
        <v>0</v>
      </c>
    </row>
    <row r="1754" spans="1:15">
      <c r="A1754" t="str">
        <f t="shared" si="81"/>
        <v>Winda 250 SC 50 X 100 ml469350</v>
      </c>
      <c r="B1754" t="s">
        <v>11573</v>
      </c>
      <c r="C1754" t="s">
        <v>16136</v>
      </c>
      <c r="D1754" t="s">
        <v>13657</v>
      </c>
      <c r="E1754" t="s">
        <v>2168</v>
      </c>
      <c r="F1754">
        <v>50</v>
      </c>
      <c r="G1754">
        <v>1</v>
      </c>
      <c r="H1754">
        <v>1</v>
      </c>
      <c r="I1754">
        <v>50</v>
      </c>
      <c r="J1754">
        <v>433</v>
      </c>
      <c r="K1754">
        <f t="shared" si="82"/>
        <v>8</v>
      </c>
      <c r="L1754">
        <f t="shared" si="83"/>
        <v>33</v>
      </c>
      <c r="M1754">
        <v>433</v>
      </c>
      <c r="N1754" s="3">
        <v>46935</v>
      </c>
      <c r="O1754" s="6">
        <v>0</v>
      </c>
    </row>
    <row r="1755" spans="1:15">
      <c r="A1755" t="str">
        <f t="shared" si="81"/>
        <v>Xycort 550/60 EC 20 X 400 ml462960</v>
      </c>
      <c r="B1755" t="s">
        <v>11574</v>
      </c>
      <c r="C1755" t="s">
        <v>16137</v>
      </c>
      <c r="D1755" t="s">
        <v>13658</v>
      </c>
      <c r="E1755" t="s">
        <v>2169</v>
      </c>
      <c r="F1755">
        <v>20</v>
      </c>
      <c r="G1755">
        <v>1</v>
      </c>
      <c r="H1755">
        <v>1</v>
      </c>
      <c r="I1755">
        <v>20</v>
      </c>
      <c r="J1755">
        <v>264</v>
      </c>
      <c r="K1755">
        <f t="shared" si="82"/>
        <v>13</v>
      </c>
      <c r="L1755">
        <f t="shared" si="83"/>
        <v>4</v>
      </c>
      <c r="M1755">
        <v>264</v>
      </c>
      <c r="N1755" s="3">
        <v>46296</v>
      </c>
      <c r="O1755" s="6">
        <v>0</v>
      </c>
    </row>
    <row r="1756" spans="1:15">
      <c r="A1756" t="str">
        <f t="shared" si="81"/>
        <v>Xycort 550/60 EC 20 X 900 ml459310</v>
      </c>
      <c r="B1756" t="s">
        <v>11575</v>
      </c>
      <c r="C1756" t="s">
        <v>16138</v>
      </c>
      <c r="D1756" t="s">
        <v>13659</v>
      </c>
      <c r="E1756" t="s">
        <v>2170</v>
      </c>
      <c r="F1756">
        <v>20</v>
      </c>
      <c r="G1756">
        <v>1</v>
      </c>
      <c r="H1756">
        <v>1</v>
      </c>
      <c r="I1756">
        <v>20</v>
      </c>
      <c r="J1756">
        <v>40</v>
      </c>
      <c r="K1756">
        <f t="shared" si="82"/>
        <v>2</v>
      </c>
      <c r="L1756">
        <f t="shared" si="83"/>
        <v>0</v>
      </c>
      <c r="M1756">
        <v>40</v>
      </c>
      <c r="N1756" s="3">
        <v>45931</v>
      </c>
      <c r="O1756" s="6">
        <v>0</v>
      </c>
    </row>
    <row r="1757" spans="1:15">
      <c r="A1757" t="str">
        <f t="shared" si="81"/>
        <v>Yoto Perfume Spray 118 X 120 ml452310</v>
      </c>
      <c r="B1757" t="s">
        <v>11576</v>
      </c>
      <c r="C1757" t="s">
        <v>16139</v>
      </c>
      <c r="D1757" t="s">
        <v>13660</v>
      </c>
      <c r="E1757" t="s">
        <v>2171</v>
      </c>
      <c r="F1757">
        <v>118</v>
      </c>
      <c r="G1757">
        <v>1</v>
      </c>
      <c r="H1757">
        <v>1</v>
      </c>
      <c r="I1757">
        <v>118</v>
      </c>
      <c r="J1757">
        <v>103</v>
      </c>
      <c r="K1757">
        <f t="shared" si="82"/>
        <v>0</v>
      </c>
      <c r="L1757">
        <f t="shared" si="83"/>
        <v>103</v>
      </c>
      <c r="M1757">
        <v>103</v>
      </c>
      <c r="N1757" s="3">
        <v>45231</v>
      </c>
      <c r="O1757" s="6">
        <v>0</v>
      </c>
    </row>
    <row r="1758" spans="1:15">
      <c r="A1758" t="str">
        <f t="shared" si="81"/>
        <v>You Stick 20 X 500 ml471190</v>
      </c>
      <c r="B1758" t="s">
        <v>11577</v>
      </c>
      <c r="C1758" t="s">
        <v>16140</v>
      </c>
      <c r="D1758" t="s">
        <v>13661</v>
      </c>
      <c r="E1758" t="s">
        <v>2173</v>
      </c>
      <c r="F1758">
        <v>20</v>
      </c>
      <c r="G1758">
        <v>1</v>
      </c>
      <c r="H1758">
        <v>1</v>
      </c>
      <c r="I1758">
        <v>20</v>
      </c>
      <c r="J1758">
        <v>900</v>
      </c>
      <c r="K1758">
        <f t="shared" si="82"/>
        <v>45</v>
      </c>
      <c r="L1758">
        <f t="shared" si="83"/>
        <v>0</v>
      </c>
      <c r="M1758">
        <v>900</v>
      </c>
      <c r="N1758" s="3">
        <v>47119</v>
      </c>
      <c r="O1758" s="6">
        <v>0</v>
      </c>
    </row>
    <row r="1759" spans="1:15">
      <c r="A1759" t="str">
        <f t="shared" si="81"/>
        <v>Zencrop Algi 24 X 500 ml470880</v>
      </c>
      <c r="B1759" t="s">
        <v>11578</v>
      </c>
      <c r="C1759" t="s">
        <v>16141</v>
      </c>
      <c r="D1759" t="s">
        <v>13662</v>
      </c>
      <c r="E1759" t="s">
        <v>2174</v>
      </c>
      <c r="F1759">
        <v>24</v>
      </c>
      <c r="G1759">
        <v>1</v>
      </c>
      <c r="H1759">
        <v>1</v>
      </c>
      <c r="I1759">
        <v>24</v>
      </c>
      <c r="J1759">
        <v>264</v>
      </c>
      <c r="K1759">
        <f t="shared" si="82"/>
        <v>11</v>
      </c>
      <c r="L1759">
        <f t="shared" si="83"/>
        <v>0</v>
      </c>
      <c r="M1759">
        <v>264</v>
      </c>
      <c r="N1759" s="3">
        <v>47088</v>
      </c>
      <c r="O1759" s="6">
        <v>0</v>
      </c>
    </row>
    <row r="1760" spans="1:15">
      <c r="A1760" t="str">
        <f t="shared" si="81"/>
        <v>Zencrop Algi 24 X 500 ml471780</v>
      </c>
      <c r="B1760" t="s">
        <v>11579</v>
      </c>
      <c r="C1760" t="s">
        <v>16142</v>
      </c>
      <c r="D1760" t="s">
        <v>13663</v>
      </c>
      <c r="E1760" t="s">
        <v>2174</v>
      </c>
      <c r="F1760">
        <v>24</v>
      </c>
      <c r="G1760">
        <v>1</v>
      </c>
      <c r="H1760">
        <v>1</v>
      </c>
      <c r="I1760">
        <v>24</v>
      </c>
      <c r="J1760">
        <v>336</v>
      </c>
      <c r="K1760">
        <f t="shared" si="82"/>
        <v>14</v>
      </c>
      <c r="L1760">
        <f t="shared" si="83"/>
        <v>0</v>
      </c>
      <c r="M1760">
        <v>336</v>
      </c>
      <c r="N1760" s="3">
        <v>47178</v>
      </c>
      <c r="O1760" s="6">
        <v>0</v>
      </c>
    </row>
    <row r="1761" spans="1:15">
      <c r="A1761" t="str">
        <f t="shared" si="81"/>
        <v>Zencrop Algi 40 X 250 ml470880</v>
      </c>
      <c r="B1761" t="s">
        <v>11580</v>
      </c>
      <c r="C1761" t="s">
        <v>16143</v>
      </c>
      <c r="D1761" t="s">
        <v>13664</v>
      </c>
      <c r="E1761" t="s">
        <v>2175</v>
      </c>
      <c r="F1761">
        <v>40</v>
      </c>
      <c r="G1761">
        <v>1</v>
      </c>
      <c r="H1761">
        <v>1</v>
      </c>
      <c r="I1761">
        <v>40</v>
      </c>
      <c r="J1761">
        <v>715</v>
      </c>
      <c r="K1761">
        <f t="shared" si="82"/>
        <v>17</v>
      </c>
      <c r="L1761">
        <f t="shared" si="83"/>
        <v>35</v>
      </c>
      <c r="M1761">
        <v>715</v>
      </c>
      <c r="N1761" s="3">
        <v>47088</v>
      </c>
      <c r="O1761" s="6">
        <v>0</v>
      </c>
    </row>
    <row r="1762" spans="1:15">
      <c r="A1762" t="str">
        <f t="shared" si="81"/>
        <v>Zencrop Algi 40 X 250 ml471780</v>
      </c>
      <c r="B1762" t="s">
        <v>11581</v>
      </c>
      <c r="C1762" t="s">
        <v>16144</v>
      </c>
      <c r="D1762" t="s">
        <v>13665</v>
      </c>
      <c r="E1762" t="s">
        <v>2175</v>
      </c>
      <c r="F1762">
        <v>40</v>
      </c>
      <c r="G1762">
        <v>1</v>
      </c>
      <c r="H1762">
        <v>1</v>
      </c>
      <c r="I1762">
        <v>40</v>
      </c>
      <c r="J1762">
        <v>1200</v>
      </c>
      <c r="K1762">
        <f t="shared" si="82"/>
        <v>30</v>
      </c>
      <c r="L1762">
        <f t="shared" si="83"/>
        <v>0</v>
      </c>
      <c r="M1762">
        <v>1200</v>
      </c>
      <c r="N1762" s="3">
        <v>47178</v>
      </c>
      <c r="O1762" s="6">
        <v>0</v>
      </c>
    </row>
    <row r="1763" spans="1:15">
      <c r="A1763" t="str">
        <f t="shared" si="81"/>
        <v>Zencrop Algi 60 X 100 ml470880</v>
      </c>
      <c r="B1763" t="s">
        <v>11582</v>
      </c>
      <c r="C1763" t="s">
        <v>16145</v>
      </c>
      <c r="D1763" t="s">
        <v>13666</v>
      </c>
      <c r="E1763" t="s">
        <v>2176</v>
      </c>
      <c r="F1763">
        <v>60</v>
      </c>
      <c r="G1763">
        <v>1</v>
      </c>
      <c r="H1763">
        <v>1</v>
      </c>
      <c r="I1763">
        <v>60</v>
      </c>
      <c r="J1763">
        <v>1230</v>
      </c>
      <c r="K1763">
        <f t="shared" si="82"/>
        <v>20</v>
      </c>
      <c r="L1763">
        <f t="shared" si="83"/>
        <v>30</v>
      </c>
      <c r="M1763">
        <v>1230</v>
      </c>
      <c r="N1763" s="3">
        <v>47088</v>
      </c>
      <c r="O1763" s="6">
        <v>0</v>
      </c>
    </row>
    <row r="1764" spans="1:15">
      <c r="A1764" t="str">
        <f t="shared" si="81"/>
        <v>Zencrop Algi 60 X 100 ml471780</v>
      </c>
      <c r="B1764" t="s">
        <v>11583</v>
      </c>
      <c r="C1764" t="s">
        <v>16146</v>
      </c>
      <c r="D1764" t="s">
        <v>13667</v>
      </c>
      <c r="E1764" t="s">
        <v>2176</v>
      </c>
      <c r="F1764">
        <v>60</v>
      </c>
      <c r="G1764">
        <v>1</v>
      </c>
      <c r="H1764">
        <v>1</v>
      </c>
      <c r="I1764">
        <v>60</v>
      </c>
      <c r="J1764">
        <v>1740</v>
      </c>
      <c r="K1764">
        <f t="shared" si="82"/>
        <v>29</v>
      </c>
      <c r="L1764">
        <f t="shared" si="83"/>
        <v>0</v>
      </c>
      <c r="M1764">
        <v>1740</v>
      </c>
      <c r="N1764" s="3">
        <v>47178</v>
      </c>
      <c r="O1764" s="6">
        <v>0</v>
      </c>
    </row>
    <row r="1765" spans="1:15">
      <c r="A1765" t="str">
        <f t="shared" si="81"/>
        <v>Zenpro Mix 24 X 500 ml455660</v>
      </c>
      <c r="B1765" t="s">
        <v>11584</v>
      </c>
      <c r="C1765" t="s">
        <v>16147</v>
      </c>
      <c r="D1765" t="s">
        <v>13668</v>
      </c>
      <c r="E1765" t="s">
        <v>2177</v>
      </c>
      <c r="F1765">
        <v>24</v>
      </c>
      <c r="G1765">
        <v>1</v>
      </c>
      <c r="H1765">
        <v>1</v>
      </c>
      <c r="I1765">
        <v>24</v>
      </c>
      <c r="J1765">
        <v>98</v>
      </c>
      <c r="K1765">
        <f t="shared" si="82"/>
        <v>4</v>
      </c>
      <c r="L1765">
        <f t="shared" si="83"/>
        <v>2</v>
      </c>
      <c r="M1765">
        <v>98</v>
      </c>
      <c r="N1765" s="3">
        <v>45566</v>
      </c>
      <c r="O1765" s="6">
        <v>0</v>
      </c>
    </row>
    <row r="1766" spans="1:15">
      <c r="A1766" t="str">
        <f t="shared" si="81"/>
        <v>Zenpro Mix 40 X 250 ml455660</v>
      </c>
      <c r="B1766" t="s">
        <v>11585</v>
      </c>
      <c r="C1766" t="s">
        <v>16148</v>
      </c>
      <c r="D1766" t="s">
        <v>13669</v>
      </c>
      <c r="E1766" t="s">
        <v>2178</v>
      </c>
      <c r="F1766">
        <v>40</v>
      </c>
      <c r="G1766">
        <v>1</v>
      </c>
      <c r="H1766">
        <v>1</v>
      </c>
      <c r="I1766">
        <v>40</v>
      </c>
      <c r="J1766">
        <v>350</v>
      </c>
      <c r="K1766">
        <f t="shared" si="82"/>
        <v>8</v>
      </c>
      <c r="L1766">
        <f t="shared" si="83"/>
        <v>30</v>
      </c>
      <c r="M1766">
        <v>350</v>
      </c>
      <c r="N1766" s="3">
        <v>45566</v>
      </c>
      <c r="O1766" s="6">
        <v>0</v>
      </c>
    </row>
    <row r="1767" spans="1:15">
      <c r="A1767" t="str">
        <f t="shared" si="81"/>
        <v>Zenpro Mix 60 X 100 ml454740</v>
      </c>
      <c r="B1767" t="s">
        <v>11586</v>
      </c>
      <c r="C1767" t="s">
        <v>16149</v>
      </c>
      <c r="D1767" t="s">
        <v>13670</v>
      </c>
      <c r="E1767" t="s">
        <v>2179</v>
      </c>
      <c r="F1767">
        <v>60</v>
      </c>
      <c r="G1767">
        <v>1</v>
      </c>
      <c r="H1767">
        <v>1</v>
      </c>
      <c r="I1767">
        <v>60</v>
      </c>
      <c r="J1767">
        <v>1099</v>
      </c>
      <c r="K1767">
        <f t="shared" si="82"/>
        <v>18</v>
      </c>
      <c r="L1767">
        <f t="shared" si="83"/>
        <v>19</v>
      </c>
      <c r="M1767">
        <v>1099</v>
      </c>
      <c r="N1767" s="3">
        <v>45474</v>
      </c>
      <c r="O1767" s="6">
        <v>0</v>
      </c>
    </row>
    <row r="1768" spans="1:15">
      <c r="A1768" t="str">
        <f t="shared" si="81"/>
        <v>Zenpro NPK 15 X 1 ltr469660</v>
      </c>
      <c r="B1768" t="s">
        <v>11587</v>
      </c>
      <c r="C1768" t="s">
        <v>16150</v>
      </c>
      <c r="D1768" t="s">
        <v>13671</v>
      </c>
      <c r="E1768" t="s">
        <v>2180</v>
      </c>
      <c r="F1768">
        <v>15</v>
      </c>
      <c r="G1768">
        <v>1</v>
      </c>
      <c r="H1768">
        <v>1</v>
      </c>
      <c r="I1768">
        <v>15</v>
      </c>
      <c r="J1768">
        <v>1485</v>
      </c>
      <c r="K1768">
        <f t="shared" si="82"/>
        <v>99</v>
      </c>
      <c r="L1768">
        <f t="shared" si="83"/>
        <v>0</v>
      </c>
      <c r="M1768">
        <v>1485</v>
      </c>
      <c r="N1768" s="3">
        <v>46966</v>
      </c>
      <c r="O1768" s="6">
        <v>0</v>
      </c>
    </row>
    <row r="1769" spans="1:15">
      <c r="A1769" t="str">
        <f t="shared" si="81"/>
        <v>Zentech Poster Ambest Kutu Kebul1/1/10000</v>
      </c>
      <c r="B1769" t="s">
        <v>11588</v>
      </c>
      <c r="C1769" t="s">
        <v>16151</v>
      </c>
      <c r="D1769" t="s">
        <v>13672</v>
      </c>
      <c r="E1769" t="s">
        <v>2181</v>
      </c>
      <c r="F1769">
        <v>1</v>
      </c>
      <c r="G1769">
        <v>1</v>
      </c>
      <c r="H1769">
        <v>1</v>
      </c>
      <c r="I1769">
        <v>1</v>
      </c>
      <c r="J1769">
        <v>40</v>
      </c>
      <c r="K1769">
        <f t="shared" si="82"/>
        <v>40</v>
      </c>
      <c r="L1769">
        <f t="shared" si="83"/>
        <v>0</v>
      </c>
      <c r="M1769">
        <v>40</v>
      </c>
      <c r="N1769" s="3" t="s">
        <v>2222</v>
      </c>
      <c r="O1769" s="6">
        <v>0</v>
      </c>
    </row>
    <row r="1770" spans="1:15">
      <c r="A1770" t="str">
        <f t="shared" si="81"/>
        <v>Zinc 6 X 200 X 1 gr465690</v>
      </c>
      <c r="B1770" t="s">
        <v>11589</v>
      </c>
      <c r="C1770" t="s">
        <v>16152</v>
      </c>
      <c r="D1770" t="s">
        <v>13673</v>
      </c>
      <c r="E1770" t="s">
        <v>2182</v>
      </c>
      <c r="F1770">
        <v>6</v>
      </c>
      <c r="G1770">
        <v>200</v>
      </c>
      <c r="H1770">
        <v>1</v>
      </c>
      <c r="I1770">
        <v>1200</v>
      </c>
      <c r="J1770">
        <v>150</v>
      </c>
      <c r="K1770">
        <f t="shared" si="82"/>
        <v>0</v>
      </c>
      <c r="L1770">
        <f t="shared" si="83"/>
        <v>150</v>
      </c>
      <c r="M1770">
        <v>150</v>
      </c>
      <c r="N1770" s="3">
        <v>46569</v>
      </c>
      <c r="O1770" s="6">
        <v>0</v>
      </c>
    </row>
    <row r="1771" spans="1:15">
      <c r="A1771" t="str">
        <f t="shared" si="81"/>
        <v>Zinc 6 X 200 X 1 gr474530</v>
      </c>
      <c r="B1771" t="s">
        <v>11590</v>
      </c>
      <c r="C1771" t="s">
        <v>16153</v>
      </c>
      <c r="D1771" t="s">
        <v>13674</v>
      </c>
      <c r="E1771" t="s">
        <v>2182</v>
      </c>
      <c r="F1771">
        <v>6</v>
      </c>
      <c r="G1771">
        <v>200</v>
      </c>
      <c r="H1771">
        <v>1</v>
      </c>
      <c r="I1771">
        <v>1200</v>
      </c>
      <c r="J1771">
        <v>67408</v>
      </c>
      <c r="K1771">
        <f t="shared" si="82"/>
        <v>56</v>
      </c>
      <c r="L1771">
        <f t="shared" si="83"/>
        <v>208</v>
      </c>
      <c r="M1771">
        <v>67408</v>
      </c>
      <c r="N1771" s="3">
        <v>47453</v>
      </c>
      <c r="O1771" s="6">
        <v>0</v>
      </c>
    </row>
    <row r="1772" spans="1:15">
      <c r="A1772" t="str">
        <f t="shared" si="81"/>
        <v>ZNURECOTE 50 kg465080</v>
      </c>
      <c r="B1772" t="s">
        <v>11591</v>
      </c>
      <c r="C1772" t="s">
        <v>16154</v>
      </c>
      <c r="D1772" t="s">
        <v>13675</v>
      </c>
      <c r="E1772" t="s">
        <v>2183</v>
      </c>
      <c r="F1772">
        <v>1</v>
      </c>
      <c r="G1772">
        <v>1</v>
      </c>
      <c r="H1772">
        <v>1</v>
      </c>
      <c r="I1772">
        <v>1</v>
      </c>
      <c r="J1772">
        <v>18</v>
      </c>
      <c r="K1772">
        <f t="shared" si="82"/>
        <v>18</v>
      </c>
      <c r="L1772">
        <f t="shared" si="83"/>
        <v>0</v>
      </c>
      <c r="M1772">
        <v>18</v>
      </c>
      <c r="N1772" s="3">
        <v>46508</v>
      </c>
      <c r="O1772" s="6">
        <v>0</v>
      </c>
    </row>
    <row r="1773" spans="1:15">
      <c r="A1773" t="str">
        <f t="shared" si="81"/>
        <v>Bawang Bahana 12 X 10 X 20 gr45565411230717</v>
      </c>
      <c r="B1773" t="s">
        <v>11592</v>
      </c>
      <c r="C1773" t="s">
        <v>16155</v>
      </c>
      <c r="D1773" t="s">
        <v>13676</v>
      </c>
      <c r="E1773" t="s">
        <v>311</v>
      </c>
      <c r="F1773">
        <v>12</v>
      </c>
      <c r="G1773">
        <v>10</v>
      </c>
      <c r="H1773">
        <v>1</v>
      </c>
      <c r="I1773">
        <v>120</v>
      </c>
      <c r="J1773">
        <v>20</v>
      </c>
      <c r="K1773">
        <f t="shared" si="82"/>
        <v>0</v>
      </c>
      <c r="L1773">
        <f t="shared" si="83"/>
        <v>20</v>
      </c>
      <c r="M1773">
        <v>20</v>
      </c>
      <c r="N1773" s="3">
        <v>45565</v>
      </c>
      <c r="O1773" s="6">
        <v>411230717</v>
      </c>
    </row>
    <row r="1774" spans="1:15">
      <c r="A1774" t="str">
        <f t="shared" si="81"/>
        <v>Bayam Belang 35 X 500 gr4579267102320</v>
      </c>
      <c r="B1774" t="s">
        <v>11593</v>
      </c>
      <c r="C1774" t="s">
        <v>16156</v>
      </c>
      <c r="D1774" t="s">
        <v>13677</v>
      </c>
      <c r="E1774" t="s">
        <v>313</v>
      </c>
      <c r="F1774">
        <v>35</v>
      </c>
      <c r="G1774">
        <v>1</v>
      </c>
      <c r="H1774">
        <v>1</v>
      </c>
      <c r="I1774">
        <v>35</v>
      </c>
      <c r="J1774">
        <v>35</v>
      </c>
      <c r="K1774">
        <f t="shared" si="82"/>
        <v>1</v>
      </c>
      <c r="L1774">
        <f t="shared" si="83"/>
        <v>0</v>
      </c>
      <c r="M1774">
        <v>35</v>
      </c>
      <c r="N1774" s="3">
        <v>45792</v>
      </c>
      <c r="O1774" s="6">
        <v>67102320</v>
      </c>
    </row>
    <row r="1775" spans="1:15">
      <c r="A1775" t="str">
        <f t="shared" si="81"/>
        <v>Bayam Belang 35 X 500 gr4573067082309</v>
      </c>
      <c r="B1775" t="s">
        <v>11594</v>
      </c>
      <c r="C1775" t="s">
        <v>16157</v>
      </c>
      <c r="D1775" t="s">
        <v>13678</v>
      </c>
      <c r="E1775" t="s">
        <v>313</v>
      </c>
      <c r="F1775">
        <v>35</v>
      </c>
      <c r="G1775">
        <v>1</v>
      </c>
      <c r="H1775">
        <v>1</v>
      </c>
      <c r="I1775">
        <v>35</v>
      </c>
      <c r="J1775">
        <v>139</v>
      </c>
      <c r="K1775">
        <f t="shared" si="82"/>
        <v>3</v>
      </c>
      <c r="L1775">
        <f t="shared" si="83"/>
        <v>34</v>
      </c>
      <c r="M1775">
        <v>139</v>
      </c>
      <c r="N1775" s="3">
        <v>45730</v>
      </c>
      <c r="O1775" s="6">
        <v>67082309</v>
      </c>
    </row>
    <row r="1776" spans="1:15">
      <c r="A1776" t="str">
        <f t="shared" si="81"/>
        <v>Bayam Belang 35 X 500 gr4574567092310</v>
      </c>
      <c r="B1776" t="s">
        <v>11595</v>
      </c>
      <c r="C1776" t="s">
        <v>16158</v>
      </c>
      <c r="D1776" t="s">
        <v>13679</v>
      </c>
      <c r="E1776" t="s">
        <v>313</v>
      </c>
      <c r="F1776">
        <v>35</v>
      </c>
      <c r="G1776">
        <v>1</v>
      </c>
      <c r="H1776">
        <v>1</v>
      </c>
      <c r="I1776">
        <v>35</v>
      </c>
      <c r="J1776">
        <v>350</v>
      </c>
      <c r="K1776">
        <f t="shared" si="82"/>
        <v>10</v>
      </c>
      <c r="L1776">
        <f t="shared" si="83"/>
        <v>0</v>
      </c>
      <c r="M1776">
        <v>350</v>
      </c>
      <c r="N1776" s="3">
        <v>45745</v>
      </c>
      <c r="O1776" s="6">
        <v>67092310</v>
      </c>
    </row>
    <row r="1777" spans="1:15">
      <c r="A1777" t="str">
        <f t="shared" si="81"/>
        <v>Bayam Belang 90 X 100 gr4568967072306</v>
      </c>
      <c r="B1777" t="s">
        <v>11596</v>
      </c>
      <c r="C1777" t="s">
        <v>16159</v>
      </c>
      <c r="D1777" t="s">
        <v>13680</v>
      </c>
      <c r="E1777" t="s">
        <v>314</v>
      </c>
      <c r="F1777">
        <v>90</v>
      </c>
      <c r="G1777">
        <v>1</v>
      </c>
      <c r="H1777">
        <v>1</v>
      </c>
      <c r="I1777">
        <v>90</v>
      </c>
      <c r="J1777">
        <v>206</v>
      </c>
      <c r="K1777">
        <f t="shared" si="82"/>
        <v>2</v>
      </c>
      <c r="L1777">
        <f t="shared" si="83"/>
        <v>26</v>
      </c>
      <c r="M1777">
        <v>206</v>
      </c>
      <c r="N1777" s="3">
        <v>45689</v>
      </c>
      <c r="O1777" s="6">
        <v>67072306</v>
      </c>
    </row>
    <row r="1778" spans="1:15">
      <c r="A1778" t="str">
        <f t="shared" si="81"/>
        <v>Buncis Elastis 30 X 500 gr45964384102301</v>
      </c>
      <c r="B1778" t="s">
        <v>11597</v>
      </c>
      <c r="C1778" t="s">
        <v>16160</v>
      </c>
      <c r="D1778" t="s">
        <v>13681</v>
      </c>
      <c r="E1778" t="s">
        <v>409</v>
      </c>
      <c r="F1778">
        <v>30</v>
      </c>
      <c r="G1778">
        <v>1</v>
      </c>
      <c r="H1778">
        <v>1</v>
      </c>
      <c r="I1778">
        <v>30</v>
      </c>
      <c r="J1778">
        <v>300</v>
      </c>
      <c r="K1778">
        <f t="shared" si="82"/>
        <v>10</v>
      </c>
      <c r="L1778">
        <f t="shared" si="83"/>
        <v>0</v>
      </c>
      <c r="M1778">
        <v>300</v>
      </c>
      <c r="N1778" s="3">
        <v>45964</v>
      </c>
      <c r="O1778" s="6">
        <v>384102301</v>
      </c>
    </row>
    <row r="1779" spans="1:15">
      <c r="A1779" t="str">
        <f t="shared" si="81"/>
        <v>Cabe Balebat F1 12 X 15 X 10 gr45660188052301</v>
      </c>
      <c r="B1779" t="s">
        <v>11598</v>
      </c>
      <c r="C1779" t="s">
        <v>16161</v>
      </c>
      <c r="D1779" t="s">
        <v>13682</v>
      </c>
      <c r="E1779" t="s">
        <v>412</v>
      </c>
      <c r="F1779">
        <v>12</v>
      </c>
      <c r="G1779">
        <v>15</v>
      </c>
      <c r="H1779">
        <v>1</v>
      </c>
      <c r="I1779">
        <v>180</v>
      </c>
      <c r="J1779">
        <v>268</v>
      </c>
      <c r="K1779">
        <f t="shared" si="82"/>
        <v>1</v>
      </c>
      <c r="L1779">
        <f t="shared" si="83"/>
        <v>88</v>
      </c>
      <c r="M1779">
        <v>268</v>
      </c>
      <c r="N1779" s="3">
        <v>45660</v>
      </c>
      <c r="O1779" s="6">
        <v>188052301</v>
      </c>
    </row>
    <row r="1780" spans="1:15">
      <c r="A1780" t="str">
        <f t="shared" si="81"/>
        <v>Cabe Columbus 20 X 12 X 10 gr45843318344</v>
      </c>
      <c r="B1780" t="s">
        <v>11599</v>
      </c>
      <c r="C1780" t="s">
        <v>16162</v>
      </c>
      <c r="D1780" t="s">
        <v>13683</v>
      </c>
      <c r="E1780" t="s">
        <v>413</v>
      </c>
      <c r="F1780">
        <v>20</v>
      </c>
      <c r="G1780">
        <v>12</v>
      </c>
      <c r="H1780">
        <v>1</v>
      </c>
      <c r="I1780">
        <v>240</v>
      </c>
      <c r="J1780">
        <v>72</v>
      </c>
      <c r="K1780">
        <f t="shared" si="82"/>
        <v>0</v>
      </c>
      <c r="L1780">
        <f t="shared" si="83"/>
        <v>72</v>
      </c>
      <c r="M1780">
        <v>72</v>
      </c>
      <c r="N1780" s="3">
        <v>45843</v>
      </c>
      <c r="O1780" s="6">
        <v>318344</v>
      </c>
    </row>
    <row r="1781" spans="1:15">
      <c r="A1781" t="str">
        <f t="shared" si="81"/>
        <v>Cabe Columbus 20 X 12 X 10 gr45896418442</v>
      </c>
      <c r="B1781" t="s">
        <v>11600</v>
      </c>
      <c r="C1781" t="s">
        <v>16163</v>
      </c>
      <c r="D1781" t="s">
        <v>13684</v>
      </c>
      <c r="E1781" t="s">
        <v>413</v>
      </c>
      <c r="F1781">
        <v>20</v>
      </c>
      <c r="G1781">
        <v>12</v>
      </c>
      <c r="H1781">
        <v>1</v>
      </c>
      <c r="I1781">
        <v>240</v>
      </c>
      <c r="J1781">
        <v>132</v>
      </c>
      <c r="K1781">
        <f t="shared" si="82"/>
        <v>0</v>
      </c>
      <c r="L1781">
        <f t="shared" si="83"/>
        <v>132</v>
      </c>
      <c r="M1781">
        <v>132</v>
      </c>
      <c r="N1781" s="3">
        <v>45896</v>
      </c>
      <c r="O1781" s="6">
        <v>418442</v>
      </c>
    </row>
    <row r="1782" spans="1:15">
      <c r="A1782" t="str">
        <f t="shared" si="81"/>
        <v>Cabe Columbus 20 X 12 X 10 gr45809317532</v>
      </c>
      <c r="B1782" t="s">
        <v>11601</v>
      </c>
      <c r="C1782" t="s">
        <v>16164</v>
      </c>
      <c r="D1782" t="s">
        <v>13685</v>
      </c>
      <c r="E1782" t="s">
        <v>413</v>
      </c>
      <c r="F1782">
        <v>20</v>
      </c>
      <c r="G1782">
        <v>12</v>
      </c>
      <c r="H1782">
        <v>1</v>
      </c>
      <c r="I1782">
        <v>240</v>
      </c>
      <c r="J1782">
        <v>177</v>
      </c>
      <c r="K1782">
        <f t="shared" si="82"/>
        <v>0</v>
      </c>
      <c r="L1782">
        <f t="shared" si="83"/>
        <v>177</v>
      </c>
      <c r="M1782">
        <v>177</v>
      </c>
      <c r="N1782" s="3">
        <v>45809</v>
      </c>
      <c r="O1782" s="6">
        <v>317532</v>
      </c>
    </row>
    <row r="1783" spans="1:15">
      <c r="A1783" t="str">
        <f t="shared" si="81"/>
        <v>Cabe Genie 12 X 15 X 10 gr4583427122350</v>
      </c>
      <c r="B1783" t="s">
        <v>11602</v>
      </c>
      <c r="C1783" t="s">
        <v>16165</v>
      </c>
      <c r="D1783" t="s">
        <v>13686</v>
      </c>
      <c r="E1783" t="s">
        <v>414</v>
      </c>
      <c r="F1783">
        <v>12</v>
      </c>
      <c r="G1783">
        <v>15</v>
      </c>
      <c r="H1783">
        <v>1</v>
      </c>
      <c r="I1783">
        <v>180</v>
      </c>
      <c r="J1783">
        <v>65</v>
      </c>
      <c r="K1783">
        <f t="shared" si="82"/>
        <v>0</v>
      </c>
      <c r="L1783">
        <f t="shared" si="83"/>
        <v>65</v>
      </c>
      <c r="M1783">
        <v>65</v>
      </c>
      <c r="N1783" s="3">
        <v>45834</v>
      </c>
      <c r="O1783" s="6">
        <v>27122350</v>
      </c>
    </row>
    <row r="1784" spans="1:15">
      <c r="A1784" t="str">
        <f t="shared" si="81"/>
        <v>Cabe Genie 12 X 15 X 10 gr4583127122349</v>
      </c>
      <c r="B1784" t="s">
        <v>11603</v>
      </c>
      <c r="C1784" t="s">
        <v>16166</v>
      </c>
      <c r="D1784" t="s">
        <v>13687</v>
      </c>
      <c r="E1784" t="s">
        <v>414</v>
      </c>
      <c r="F1784">
        <v>12</v>
      </c>
      <c r="G1784">
        <v>15</v>
      </c>
      <c r="H1784">
        <v>1</v>
      </c>
      <c r="I1784">
        <v>180</v>
      </c>
      <c r="J1784">
        <v>115</v>
      </c>
      <c r="K1784">
        <f t="shared" si="82"/>
        <v>0</v>
      </c>
      <c r="L1784">
        <f t="shared" si="83"/>
        <v>115</v>
      </c>
      <c r="M1784">
        <v>115</v>
      </c>
      <c r="N1784" s="3">
        <v>45831</v>
      </c>
      <c r="O1784" s="6">
        <v>27122349</v>
      </c>
    </row>
    <row r="1785" spans="1:15">
      <c r="A1785" t="str">
        <f t="shared" si="81"/>
        <v>Cabe Genie 12 X 15 X 10 gr45830272308138</v>
      </c>
      <c r="B1785" t="s">
        <v>11604</v>
      </c>
      <c r="C1785" t="s">
        <v>16167</v>
      </c>
      <c r="D1785" t="s">
        <v>13688</v>
      </c>
      <c r="E1785" t="s">
        <v>414</v>
      </c>
      <c r="F1785">
        <v>12</v>
      </c>
      <c r="G1785">
        <v>15</v>
      </c>
      <c r="H1785">
        <v>1</v>
      </c>
      <c r="I1785">
        <v>180</v>
      </c>
      <c r="J1785">
        <v>360</v>
      </c>
      <c r="K1785">
        <f t="shared" si="82"/>
        <v>2</v>
      </c>
      <c r="L1785">
        <f t="shared" si="83"/>
        <v>0</v>
      </c>
      <c r="M1785">
        <v>360</v>
      </c>
      <c r="N1785" s="3">
        <v>45830</v>
      </c>
      <c r="O1785" s="6">
        <v>272308138</v>
      </c>
    </row>
    <row r="1786" spans="1:15">
      <c r="A1786" t="str">
        <f t="shared" si="81"/>
        <v>Cabe Genie 12 X 15 X 10 gr4580427092337</v>
      </c>
      <c r="B1786" t="s">
        <v>11605</v>
      </c>
      <c r="C1786" t="s">
        <v>16168</v>
      </c>
      <c r="D1786" t="s">
        <v>13689</v>
      </c>
      <c r="E1786" t="s">
        <v>414</v>
      </c>
      <c r="F1786">
        <v>12</v>
      </c>
      <c r="G1786">
        <v>15</v>
      </c>
      <c r="H1786">
        <v>1</v>
      </c>
      <c r="I1786">
        <v>180</v>
      </c>
      <c r="J1786">
        <v>815</v>
      </c>
      <c r="K1786">
        <f t="shared" si="82"/>
        <v>4</v>
      </c>
      <c r="L1786">
        <f t="shared" si="83"/>
        <v>95</v>
      </c>
      <c r="M1786">
        <v>815</v>
      </c>
      <c r="N1786" s="3">
        <v>45804</v>
      </c>
      <c r="O1786" s="6">
        <v>27092337</v>
      </c>
    </row>
    <row r="1787" spans="1:15">
      <c r="A1787" t="str">
        <f t="shared" si="81"/>
        <v>Cabe Genie 12 X 15 X 10 gr4580727092336</v>
      </c>
      <c r="B1787" t="s">
        <v>11606</v>
      </c>
      <c r="C1787" t="s">
        <v>16169</v>
      </c>
      <c r="D1787" t="s">
        <v>13690</v>
      </c>
      <c r="E1787" t="s">
        <v>414</v>
      </c>
      <c r="F1787">
        <v>12</v>
      </c>
      <c r="G1787">
        <v>15</v>
      </c>
      <c r="H1787">
        <v>1</v>
      </c>
      <c r="I1787">
        <v>180</v>
      </c>
      <c r="J1787">
        <v>2520</v>
      </c>
      <c r="K1787">
        <f t="shared" si="82"/>
        <v>14</v>
      </c>
      <c r="L1787">
        <f t="shared" si="83"/>
        <v>0</v>
      </c>
      <c r="M1787">
        <v>2520</v>
      </c>
      <c r="N1787" s="3">
        <v>45807</v>
      </c>
      <c r="O1787" s="6">
        <v>27092336</v>
      </c>
    </row>
    <row r="1788" spans="1:15">
      <c r="A1788" t="str">
        <f t="shared" si="81"/>
        <v>Cabe Genie 2 gr4596727042412</v>
      </c>
      <c r="B1788" t="s">
        <v>11607</v>
      </c>
      <c r="C1788" t="s">
        <v>16170</v>
      </c>
      <c r="D1788" t="s">
        <v>13691</v>
      </c>
      <c r="E1788" t="s">
        <v>415</v>
      </c>
      <c r="F1788">
        <v>1</v>
      </c>
      <c r="G1788">
        <v>1</v>
      </c>
      <c r="H1788">
        <v>1</v>
      </c>
      <c r="I1788">
        <v>1</v>
      </c>
      <c r="J1788">
        <v>2</v>
      </c>
      <c r="K1788">
        <f t="shared" si="82"/>
        <v>2</v>
      </c>
      <c r="L1788">
        <f t="shared" si="83"/>
        <v>0</v>
      </c>
      <c r="M1788">
        <v>2</v>
      </c>
      <c r="N1788" s="3">
        <v>45967</v>
      </c>
      <c r="O1788" s="6">
        <v>27042412</v>
      </c>
    </row>
    <row r="1789" spans="1:15">
      <c r="A1789" t="str">
        <f t="shared" si="81"/>
        <v>Cabe Horison 97 20 X 12 X 10 gr45931216646</v>
      </c>
      <c r="B1789" t="s">
        <v>11608</v>
      </c>
      <c r="C1789" t="s">
        <v>16171</v>
      </c>
      <c r="D1789" t="s">
        <v>13692</v>
      </c>
      <c r="E1789" t="s">
        <v>416</v>
      </c>
      <c r="F1789">
        <v>20</v>
      </c>
      <c r="G1789">
        <v>12</v>
      </c>
      <c r="H1789">
        <v>1</v>
      </c>
      <c r="I1789">
        <v>240</v>
      </c>
      <c r="J1789">
        <v>1490</v>
      </c>
      <c r="K1789">
        <f t="shared" si="82"/>
        <v>6</v>
      </c>
      <c r="L1789">
        <f t="shared" si="83"/>
        <v>50</v>
      </c>
      <c r="M1789">
        <v>1490</v>
      </c>
      <c r="N1789" s="3">
        <v>45931</v>
      </c>
      <c r="O1789" s="6">
        <v>216646</v>
      </c>
    </row>
    <row r="1790" spans="1:15">
      <c r="A1790" t="str">
        <f t="shared" si="81"/>
        <v>Cabe Imperial Ijo 20 X 12 X 10 gr45992417694</v>
      </c>
      <c r="B1790" t="s">
        <v>11609</v>
      </c>
      <c r="C1790" t="s">
        <v>16172</v>
      </c>
      <c r="D1790" t="s">
        <v>13693</v>
      </c>
      <c r="E1790" t="s">
        <v>417</v>
      </c>
      <c r="F1790">
        <v>20</v>
      </c>
      <c r="G1790">
        <v>12</v>
      </c>
      <c r="H1790">
        <v>1</v>
      </c>
      <c r="I1790">
        <v>240</v>
      </c>
      <c r="J1790">
        <v>240</v>
      </c>
      <c r="K1790">
        <f t="shared" si="82"/>
        <v>1</v>
      </c>
      <c r="L1790">
        <f t="shared" si="83"/>
        <v>0</v>
      </c>
      <c r="M1790">
        <v>240</v>
      </c>
      <c r="N1790" s="3">
        <v>45992</v>
      </c>
      <c r="O1790" s="6">
        <v>417694</v>
      </c>
    </row>
    <row r="1791" spans="1:15">
      <c r="A1791" t="str">
        <f t="shared" si="81"/>
        <v>Cabe Imperial Ijo 20 X 12 X 10 gr45870313663</v>
      </c>
      <c r="B1791" t="s">
        <v>11610</v>
      </c>
      <c r="C1791" t="s">
        <v>16173</v>
      </c>
      <c r="D1791" t="s">
        <v>13694</v>
      </c>
      <c r="E1791" t="s">
        <v>417</v>
      </c>
      <c r="F1791">
        <v>20</v>
      </c>
      <c r="G1791">
        <v>12</v>
      </c>
      <c r="H1791">
        <v>1</v>
      </c>
      <c r="I1791">
        <v>240</v>
      </c>
      <c r="J1791">
        <v>254</v>
      </c>
      <c r="K1791">
        <f t="shared" si="82"/>
        <v>1</v>
      </c>
      <c r="L1791">
        <f t="shared" si="83"/>
        <v>14</v>
      </c>
      <c r="M1791">
        <v>254</v>
      </c>
      <c r="N1791" s="3">
        <v>45870</v>
      </c>
      <c r="O1791" s="6">
        <v>313663</v>
      </c>
    </row>
    <row r="1792" spans="1:15">
      <c r="A1792" t="str">
        <f t="shared" si="81"/>
        <v>Cabe Imperial Ijo 20 X 12 X 10 gr45992417690</v>
      </c>
      <c r="B1792" t="s">
        <v>11611</v>
      </c>
      <c r="C1792" t="s">
        <v>16174</v>
      </c>
      <c r="D1792" t="s">
        <v>13695</v>
      </c>
      <c r="E1792" t="s">
        <v>417</v>
      </c>
      <c r="F1792">
        <v>20</v>
      </c>
      <c r="G1792">
        <v>12</v>
      </c>
      <c r="H1792">
        <v>1</v>
      </c>
      <c r="I1792">
        <v>240</v>
      </c>
      <c r="J1792">
        <v>960</v>
      </c>
      <c r="K1792">
        <f t="shared" si="82"/>
        <v>4</v>
      </c>
      <c r="L1792">
        <f t="shared" si="83"/>
        <v>0</v>
      </c>
      <c r="M1792">
        <v>960</v>
      </c>
      <c r="N1792" s="3">
        <v>45992</v>
      </c>
      <c r="O1792" s="6">
        <v>417690</v>
      </c>
    </row>
    <row r="1793" spans="1:15">
      <c r="A1793" t="str">
        <f t="shared" si="81"/>
        <v>Cabe Keriting Suli 5 X 30 X 10 gr457229032401</v>
      </c>
      <c r="B1793" t="s">
        <v>11612</v>
      </c>
      <c r="C1793" t="s">
        <v>16175</v>
      </c>
      <c r="D1793" t="s">
        <v>13696</v>
      </c>
      <c r="E1793" t="s">
        <v>418</v>
      </c>
      <c r="F1793">
        <v>5</v>
      </c>
      <c r="G1793">
        <v>30</v>
      </c>
      <c r="H1793">
        <v>1</v>
      </c>
      <c r="I1793">
        <v>150</v>
      </c>
      <c r="J1793">
        <v>120</v>
      </c>
      <c r="K1793">
        <f t="shared" si="82"/>
        <v>0</v>
      </c>
      <c r="L1793">
        <f t="shared" si="83"/>
        <v>120</v>
      </c>
      <c r="M1793">
        <v>120</v>
      </c>
      <c r="N1793" s="3">
        <v>45722</v>
      </c>
      <c r="O1793" s="6">
        <v>9032401</v>
      </c>
    </row>
    <row r="1794" spans="1:15">
      <c r="A1794" t="str">
        <f t="shared" si="81"/>
        <v>Cabe Ori 212 10 X 25 X 10 gr45812823200723305</v>
      </c>
      <c r="B1794" t="s">
        <v>11613</v>
      </c>
      <c r="C1794" t="s">
        <v>16176</v>
      </c>
      <c r="D1794" t="s">
        <v>13697</v>
      </c>
      <c r="E1794" t="s">
        <v>419</v>
      </c>
      <c r="F1794">
        <v>10</v>
      </c>
      <c r="G1794">
        <v>25</v>
      </c>
      <c r="H1794">
        <v>1</v>
      </c>
      <c r="I1794">
        <v>250</v>
      </c>
      <c r="J1794">
        <v>664</v>
      </c>
      <c r="K1794">
        <f t="shared" si="82"/>
        <v>2</v>
      </c>
      <c r="L1794">
        <f t="shared" si="83"/>
        <v>164</v>
      </c>
      <c r="M1794">
        <v>664</v>
      </c>
      <c r="N1794" s="3">
        <v>45812</v>
      </c>
      <c r="O1794" s="6">
        <v>823200723305</v>
      </c>
    </row>
    <row r="1795" spans="1:15">
      <c r="A1795" t="str">
        <f t="shared" ref="A1795:A1858" si="84">E1795&amp;N1795&amp;O1795</f>
        <v>Cabe Rawit Naomi 5 X 30 X 10 gr458042052401</v>
      </c>
      <c r="B1795" t="s">
        <v>11614</v>
      </c>
      <c r="C1795" t="s">
        <v>16177</v>
      </c>
      <c r="D1795" t="s">
        <v>13698</v>
      </c>
      <c r="E1795" t="s">
        <v>420</v>
      </c>
      <c r="F1795">
        <v>5</v>
      </c>
      <c r="G1795">
        <v>30</v>
      </c>
      <c r="H1795">
        <v>1</v>
      </c>
      <c r="I1795">
        <v>150</v>
      </c>
      <c r="J1795">
        <v>240</v>
      </c>
      <c r="K1795">
        <f t="shared" ref="K1795:K1858" si="85">ROUNDDOWN(J1795/I1795,0)</f>
        <v>1</v>
      </c>
      <c r="L1795">
        <f t="shared" ref="L1795:L1858" si="86">J1795-K1795*I1795</f>
        <v>90</v>
      </c>
      <c r="M1795">
        <v>240</v>
      </c>
      <c r="N1795" s="3">
        <v>45804</v>
      </c>
      <c r="O1795" s="6">
        <v>2052401</v>
      </c>
    </row>
    <row r="1796" spans="1:15">
      <c r="A1796" t="str">
        <f t="shared" si="84"/>
        <v>Cabe Rawit Yukari 5 X 30 X 10 gr458042052401</v>
      </c>
      <c r="B1796" t="s">
        <v>11615</v>
      </c>
      <c r="C1796" t="s">
        <v>16178</v>
      </c>
      <c r="D1796" t="s">
        <v>13699</v>
      </c>
      <c r="E1796" t="s">
        <v>421</v>
      </c>
      <c r="F1796">
        <v>5</v>
      </c>
      <c r="G1796">
        <v>30</v>
      </c>
      <c r="H1796">
        <v>1</v>
      </c>
      <c r="I1796">
        <v>150</v>
      </c>
      <c r="J1796">
        <v>270</v>
      </c>
      <c r="K1796">
        <f t="shared" si="85"/>
        <v>1</v>
      </c>
      <c r="L1796">
        <f t="shared" si="86"/>
        <v>120</v>
      </c>
      <c r="M1796">
        <v>270</v>
      </c>
      <c r="N1796" s="3">
        <v>45804</v>
      </c>
      <c r="O1796" s="6">
        <v>2052401</v>
      </c>
    </row>
    <row r="1797" spans="1:15">
      <c r="A1797" t="str">
        <f t="shared" si="84"/>
        <v>Cabe Sigantung 12 X 15 X 10 gr45831118062301</v>
      </c>
      <c r="B1797" t="s">
        <v>11616</v>
      </c>
      <c r="C1797" t="s">
        <v>16179</v>
      </c>
      <c r="D1797" t="s">
        <v>13700</v>
      </c>
      <c r="E1797" t="s">
        <v>422</v>
      </c>
      <c r="F1797">
        <v>12</v>
      </c>
      <c r="G1797">
        <v>15</v>
      </c>
      <c r="H1797">
        <v>1</v>
      </c>
      <c r="I1797">
        <v>180</v>
      </c>
      <c r="J1797">
        <v>18</v>
      </c>
      <c r="K1797">
        <f t="shared" si="85"/>
        <v>0</v>
      </c>
      <c r="L1797">
        <f t="shared" si="86"/>
        <v>18</v>
      </c>
      <c r="M1797">
        <v>18</v>
      </c>
      <c r="N1797" s="3">
        <v>45831</v>
      </c>
      <c r="O1797" s="6">
        <v>118062301</v>
      </c>
    </row>
    <row r="1798" spans="1:15">
      <c r="A1798" t="str">
        <f t="shared" si="84"/>
        <v>Cabe Sigantung 12 X 15 X 10 gr45741118230948</v>
      </c>
      <c r="B1798" t="s">
        <v>11617</v>
      </c>
      <c r="C1798" t="s">
        <v>16180</v>
      </c>
      <c r="D1798" t="s">
        <v>13701</v>
      </c>
      <c r="E1798" t="s">
        <v>422</v>
      </c>
      <c r="F1798">
        <v>12</v>
      </c>
      <c r="G1798">
        <v>15</v>
      </c>
      <c r="H1798">
        <v>1</v>
      </c>
      <c r="I1798">
        <v>180</v>
      </c>
      <c r="J1798">
        <v>530</v>
      </c>
      <c r="K1798">
        <f t="shared" si="85"/>
        <v>2</v>
      </c>
      <c r="L1798">
        <f t="shared" si="86"/>
        <v>170</v>
      </c>
      <c r="M1798">
        <v>530</v>
      </c>
      <c r="N1798" s="3">
        <v>45741</v>
      </c>
      <c r="O1798" s="6">
        <v>118230948</v>
      </c>
    </row>
    <row r="1799" spans="1:15">
      <c r="A1799" t="str">
        <f t="shared" si="84"/>
        <v>Cabe Sret 12 X 15 X 10 gr45824282311102</v>
      </c>
      <c r="B1799" t="s">
        <v>11618</v>
      </c>
      <c r="C1799" t="s">
        <v>16181</v>
      </c>
      <c r="D1799" t="s">
        <v>13702</v>
      </c>
      <c r="E1799" t="s">
        <v>423</v>
      </c>
      <c r="F1799">
        <v>12</v>
      </c>
      <c r="G1799">
        <v>15</v>
      </c>
      <c r="H1799">
        <v>1</v>
      </c>
      <c r="I1799">
        <v>180</v>
      </c>
      <c r="J1799">
        <v>270</v>
      </c>
      <c r="K1799">
        <f t="shared" si="85"/>
        <v>1</v>
      </c>
      <c r="L1799">
        <f t="shared" si="86"/>
        <v>90</v>
      </c>
      <c r="M1799">
        <v>270</v>
      </c>
      <c r="N1799" s="3">
        <v>45824</v>
      </c>
      <c r="O1799" s="6">
        <v>282311102</v>
      </c>
    </row>
    <row r="1800" spans="1:15">
      <c r="A1800" t="str">
        <f t="shared" si="84"/>
        <v>Cabe Sret 12 X 15 X 10 gr4579428112302</v>
      </c>
      <c r="B1800" t="s">
        <v>11619</v>
      </c>
      <c r="C1800" t="s">
        <v>16182</v>
      </c>
      <c r="D1800" t="s">
        <v>13703</v>
      </c>
      <c r="E1800" t="s">
        <v>423</v>
      </c>
      <c r="F1800">
        <v>12</v>
      </c>
      <c r="G1800">
        <v>15</v>
      </c>
      <c r="H1800">
        <v>1</v>
      </c>
      <c r="I1800">
        <v>180</v>
      </c>
      <c r="J1800">
        <v>941</v>
      </c>
      <c r="K1800">
        <f t="shared" si="85"/>
        <v>5</v>
      </c>
      <c r="L1800">
        <f t="shared" si="86"/>
        <v>41</v>
      </c>
      <c r="M1800">
        <v>941</v>
      </c>
      <c r="N1800" s="3">
        <v>45794</v>
      </c>
      <c r="O1800" s="6">
        <v>28112302</v>
      </c>
    </row>
    <row r="1801" spans="1:15">
      <c r="A1801" t="str">
        <f t="shared" si="84"/>
        <v>Cabe Zahra F1 12 X 15 X 10 gr45660365221203</v>
      </c>
      <c r="B1801" t="s">
        <v>11620</v>
      </c>
      <c r="C1801" t="s">
        <v>16183</v>
      </c>
      <c r="D1801" t="s">
        <v>13704</v>
      </c>
      <c r="E1801" t="s">
        <v>425</v>
      </c>
      <c r="F1801">
        <v>12</v>
      </c>
      <c r="G1801">
        <v>15</v>
      </c>
      <c r="H1801">
        <v>1</v>
      </c>
      <c r="I1801">
        <v>180</v>
      </c>
      <c r="J1801">
        <v>60</v>
      </c>
      <c r="K1801">
        <f t="shared" si="85"/>
        <v>0</v>
      </c>
      <c r="L1801">
        <f t="shared" si="86"/>
        <v>60</v>
      </c>
      <c r="M1801">
        <v>60</v>
      </c>
      <c r="N1801" s="3">
        <v>45660</v>
      </c>
      <c r="O1801" s="6">
        <v>365221203</v>
      </c>
    </row>
    <row r="1802" spans="1:15">
      <c r="A1802" t="str">
        <f t="shared" si="84"/>
        <v>Cauli Flower Kiran F1 50 X 10 X 10 gr45992782408</v>
      </c>
      <c r="B1802" t="s">
        <v>11621</v>
      </c>
      <c r="C1802" t="s">
        <v>16184</v>
      </c>
      <c r="D1802" t="s">
        <v>13705</v>
      </c>
      <c r="E1802" t="s">
        <v>479</v>
      </c>
      <c r="F1802">
        <v>500</v>
      </c>
      <c r="G1802">
        <v>1</v>
      </c>
      <c r="H1802">
        <v>1</v>
      </c>
      <c r="I1802">
        <v>500</v>
      </c>
      <c r="J1802">
        <v>2125</v>
      </c>
      <c r="K1802">
        <f t="shared" si="85"/>
        <v>4</v>
      </c>
      <c r="L1802">
        <f t="shared" si="86"/>
        <v>125</v>
      </c>
      <c r="M1802">
        <v>2125</v>
      </c>
      <c r="N1802" s="3">
        <v>45992</v>
      </c>
      <c r="O1802" s="6">
        <v>782408</v>
      </c>
    </row>
    <row r="1803" spans="1:15">
      <c r="A1803" t="str">
        <f t="shared" si="84"/>
        <v>Cauli Flower White Shot 25 X 10 X 10 gr4591910013423</v>
      </c>
      <c r="B1803" t="s">
        <v>11622</v>
      </c>
      <c r="C1803" t="s">
        <v>16185</v>
      </c>
      <c r="D1803" t="s">
        <v>13706</v>
      </c>
      <c r="E1803" t="s">
        <v>480</v>
      </c>
      <c r="F1803">
        <v>25</v>
      </c>
      <c r="G1803">
        <v>10</v>
      </c>
      <c r="H1803">
        <v>1</v>
      </c>
      <c r="I1803">
        <v>250</v>
      </c>
      <c r="J1803">
        <v>165</v>
      </c>
      <c r="K1803">
        <f t="shared" si="85"/>
        <v>0</v>
      </c>
      <c r="L1803">
        <f t="shared" si="86"/>
        <v>165</v>
      </c>
      <c r="M1803">
        <v>165</v>
      </c>
      <c r="N1803" s="3">
        <v>45919</v>
      </c>
      <c r="O1803" s="6">
        <v>10013423</v>
      </c>
    </row>
    <row r="1804" spans="1:15">
      <c r="A1804" t="str">
        <f t="shared" si="84"/>
        <v>Jagung ADV 132 20 X 1 kg45503LLK1A1013</v>
      </c>
      <c r="B1804" t="s">
        <v>11623</v>
      </c>
      <c r="C1804" t="s">
        <v>16186</v>
      </c>
      <c r="D1804" t="s">
        <v>13707</v>
      </c>
      <c r="E1804" t="s">
        <v>836</v>
      </c>
      <c r="F1804">
        <v>20</v>
      </c>
      <c r="G1804">
        <v>1</v>
      </c>
      <c r="H1804">
        <v>1</v>
      </c>
      <c r="I1804">
        <v>20</v>
      </c>
      <c r="J1804">
        <v>16</v>
      </c>
      <c r="K1804">
        <f t="shared" si="85"/>
        <v>0</v>
      </c>
      <c r="L1804">
        <f t="shared" si="86"/>
        <v>16</v>
      </c>
      <c r="M1804">
        <v>16</v>
      </c>
      <c r="N1804" s="3">
        <v>45503</v>
      </c>
      <c r="O1804" s="6" t="s">
        <v>837</v>
      </c>
    </row>
    <row r="1805" spans="1:15">
      <c r="A1805" t="str">
        <f t="shared" si="84"/>
        <v>Jagung ADV 132 20 X 1 kg45654LLK1A3016</v>
      </c>
      <c r="B1805" t="s">
        <v>11624</v>
      </c>
      <c r="C1805" t="s">
        <v>16187</v>
      </c>
      <c r="D1805" t="s">
        <v>13708</v>
      </c>
      <c r="E1805" t="s">
        <v>836</v>
      </c>
      <c r="F1805">
        <v>20</v>
      </c>
      <c r="G1805">
        <v>1</v>
      </c>
      <c r="H1805">
        <v>1</v>
      </c>
      <c r="I1805">
        <v>20</v>
      </c>
      <c r="J1805">
        <v>140</v>
      </c>
      <c r="K1805">
        <f t="shared" si="85"/>
        <v>7</v>
      </c>
      <c r="L1805">
        <f t="shared" si="86"/>
        <v>0</v>
      </c>
      <c r="M1805">
        <v>140</v>
      </c>
      <c r="N1805" s="3">
        <v>45654</v>
      </c>
      <c r="O1805" s="6" t="s">
        <v>839</v>
      </c>
    </row>
    <row r="1806" spans="1:15">
      <c r="A1806" t="str">
        <f t="shared" si="84"/>
        <v>Jagung ADV 132 20 X 1 kg45638LLK1A1020</v>
      </c>
      <c r="B1806" t="s">
        <v>11625</v>
      </c>
      <c r="C1806" t="s">
        <v>16188</v>
      </c>
      <c r="D1806" t="s">
        <v>13709</v>
      </c>
      <c r="E1806" t="s">
        <v>836</v>
      </c>
      <c r="F1806">
        <v>20</v>
      </c>
      <c r="G1806">
        <v>1</v>
      </c>
      <c r="H1806">
        <v>1</v>
      </c>
      <c r="I1806">
        <v>20</v>
      </c>
      <c r="J1806">
        <v>2860</v>
      </c>
      <c r="K1806">
        <f t="shared" si="85"/>
        <v>143</v>
      </c>
      <c r="L1806">
        <f t="shared" si="86"/>
        <v>0</v>
      </c>
      <c r="M1806">
        <v>2860</v>
      </c>
      <c r="N1806" s="3">
        <v>45638</v>
      </c>
      <c r="O1806" s="6" t="s">
        <v>840</v>
      </c>
    </row>
    <row r="1807" spans="1:15">
      <c r="A1807" t="str">
        <f t="shared" si="84"/>
        <v>Jagung ADV 132 20 X 1 kg45514LLK1A1017</v>
      </c>
      <c r="B1807" t="s">
        <v>11626</v>
      </c>
      <c r="C1807" t="s">
        <v>16189</v>
      </c>
      <c r="D1807" t="s">
        <v>13710</v>
      </c>
      <c r="E1807" t="s">
        <v>836</v>
      </c>
      <c r="F1807">
        <v>20</v>
      </c>
      <c r="G1807">
        <v>1</v>
      </c>
      <c r="H1807">
        <v>1</v>
      </c>
      <c r="I1807">
        <v>20</v>
      </c>
      <c r="J1807">
        <v>3980</v>
      </c>
      <c r="K1807">
        <f t="shared" si="85"/>
        <v>199</v>
      </c>
      <c r="L1807">
        <f t="shared" si="86"/>
        <v>0</v>
      </c>
      <c r="M1807">
        <v>3980</v>
      </c>
      <c r="N1807" s="3">
        <v>45514</v>
      </c>
      <c r="O1807" s="6" t="s">
        <v>841</v>
      </c>
    </row>
    <row r="1808" spans="1:15">
      <c r="A1808" t="str">
        <f t="shared" si="84"/>
        <v>Jagung ADV 132 20 X 1 kg45654LLK1A3015</v>
      </c>
      <c r="B1808" t="s">
        <v>11627</v>
      </c>
      <c r="C1808" t="s">
        <v>16190</v>
      </c>
      <c r="D1808" t="s">
        <v>13711</v>
      </c>
      <c r="E1808" t="s">
        <v>836</v>
      </c>
      <c r="F1808">
        <v>20</v>
      </c>
      <c r="G1808">
        <v>1</v>
      </c>
      <c r="H1808">
        <v>1</v>
      </c>
      <c r="I1808">
        <v>20</v>
      </c>
      <c r="J1808">
        <v>4860</v>
      </c>
      <c r="K1808">
        <f t="shared" si="85"/>
        <v>243</v>
      </c>
      <c r="L1808">
        <f t="shared" si="86"/>
        <v>0</v>
      </c>
      <c r="M1808">
        <v>4860</v>
      </c>
      <c r="N1808" s="3">
        <v>45654</v>
      </c>
      <c r="O1808" s="6" t="s">
        <v>842</v>
      </c>
    </row>
    <row r="1809" spans="1:15">
      <c r="A1809" t="str">
        <f t="shared" si="84"/>
        <v>Jagung ADV 132 20 X 1 kg45638LLK1A1019</v>
      </c>
      <c r="B1809" t="s">
        <v>11628</v>
      </c>
      <c r="C1809" t="s">
        <v>16191</v>
      </c>
      <c r="D1809" t="s">
        <v>13712</v>
      </c>
      <c r="E1809" t="s">
        <v>836</v>
      </c>
      <c r="F1809">
        <v>20</v>
      </c>
      <c r="G1809">
        <v>1</v>
      </c>
      <c r="H1809">
        <v>1</v>
      </c>
      <c r="I1809">
        <v>20</v>
      </c>
      <c r="J1809">
        <v>12140</v>
      </c>
      <c r="K1809">
        <f t="shared" si="85"/>
        <v>607</v>
      </c>
      <c r="L1809">
        <f t="shared" si="86"/>
        <v>0</v>
      </c>
      <c r="M1809">
        <v>12140</v>
      </c>
      <c r="N1809" s="3">
        <v>45638</v>
      </c>
      <c r="O1809" s="6" t="s">
        <v>843</v>
      </c>
    </row>
    <row r="1810" spans="1:15">
      <c r="A1810" t="str">
        <f t="shared" si="84"/>
        <v>Jagung Bisi 18 20 X 1 kg455713079HBS18</v>
      </c>
      <c r="B1810" t="s">
        <v>11629</v>
      </c>
      <c r="C1810" t="s">
        <v>16192</v>
      </c>
      <c r="D1810" t="s">
        <v>13713</v>
      </c>
      <c r="E1810" t="s">
        <v>845</v>
      </c>
      <c r="F1810">
        <v>20</v>
      </c>
      <c r="G1810">
        <v>1</v>
      </c>
      <c r="H1810">
        <v>1</v>
      </c>
      <c r="I1810">
        <v>20</v>
      </c>
      <c r="J1810">
        <v>18</v>
      </c>
      <c r="K1810">
        <f t="shared" si="85"/>
        <v>0</v>
      </c>
      <c r="L1810">
        <f t="shared" si="86"/>
        <v>18</v>
      </c>
      <c r="M1810">
        <v>18</v>
      </c>
      <c r="N1810" s="3">
        <v>45571</v>
      </c>
      <c r="O1810" s="6" t="s">
        <v>846</v>
      </c>
    </row>
    <row r="1811" spans="1:15">
      <c r="A1811" t="str">
        <f t="shared" si="84"/>
        <v>Jagung Bisi 18 20 X 1 kg455963175HBS18</v>
      </c>
      <c r="B1811" t="s">
        <v>11630</v>
      </c>
      <c r="C1811" t="s">
        <v>16193</v>
      </c>
      <c r="D1811" t="s">
        <v>13714</v>
      </c>
      <c r="E1811" t="s">
        <v>845</v>
      </c>
      <c r="F1811">
        <v>20</v>
      </c>
      <c r="G1811">
        <v>1</v>
      </c>
      <c r="H1811">
        <v>1</v>
      </c>
      <c r="I1811">
        <v>20</v>
      </c>
      <c r="J1811">
        <v>120</v>
      </c>
      <c r="K1811">
        <f t="shared" si="85"/>
        <v>6</v>
      </c>
      <c r="L1811">
        <f t="shared" si="86"/>
        <v>0</v>
      </c>
      <c r="M1811">
        <v>120</v>
      </c>
      <c r="N1811" s="3">
        <v>45596</v>
      </c>
      <c r="O1811" s="6" t="s">
        <v>847</v>
      </c>
    </row>
    <row r="1812" spans="1:15">
      <c r="A1812" t="str">
        <f t="shared" si="84"/>
        <v>Jagung Bisi 18 20 X 1 kg456384039HBS18</v>
      </c>
      <c r="B1812" t="s">
        <v>11631</v>
      </c>
      <c r="C1812" t="s">
        <v>16194</v>
      </c>
      <c r="D1812" t="s">
        <v>13715</v>
      </c>
      <c r="E1812" t="s">
        <v>845</v>
      </c>
      <c r="F1812">
        <v>20</v>
      </c>
      <c r="G1812">
        <v>1</v>
      </c>
      <c r="H1812">
        <v>1</v>
      </c>
      <c r="I1812">
        <v>20</v>
      </c>
      <c r="J1812">
        <v>1200</v>
      </c>
      <c r="K1812">
        <f t="shared" si="85"/>
        <v>60</v>
      </c>
      <c r="L1812">
        <f t="shared" si="86"/>
        <v>0</v>
      </c>
      <c r="M1812">
        <v>1200</v>
      </c>
      <c r="N1812" s="3">
        <v>45638</v>
      </c>
      <c r="O1812" s="6" t="s">
        <v>849</v>
      </c>
    </row>
    <row r="1813" spans="1:15">
      <c r="A1813" t="str">
        <f t="shared" si="84"/>
        <v>Jagung Bisi 18 20 X 1 kg455853163HBS18</v>
      </c>
      <c r="B1813" t="s">
        <v>11632</v>
      </c>
      <c r="C1813" t="s">
        <v>16195</v>
      </c>
      <c r="D1813" t="s">
        <v>13716</v>
      </c>
      <c r="E1813" t="s">
        <v>845</v>
      </c>
      <c r="F1813">
        <v>20</v>
      </c>
      <c r="G1813">
        <v>1</v>
      </c>
      <c r="H1813">
        <v>1</v>
      </c>
      <c r="I1813">
        <v>20</v>
      </c>
      <c r="J1813">
        <v>21440</v>
      </c>
      <c r="K1813">
        <f t="shared" si="85"/>
        <v>1072</v>
      </c>
      <c r="L1813">
        <f t="shared" si="86"/>
        <v>0</v>
      </c>
      <c r="M1813">
        <v>21440</v>
      </c>
      <c r="N1813" s="3">
        <v>45585</v>
      </c>
      <c r="O1813" s="6" t="s">
        <v>851</v>
      </c>
    </row>
    <row r="1814" spans="1:15">
      <c r="A1814" t="str">
        <f t="shared" si="84"/>
        <v>Jagung Bisi 18 20 X 1 kg455963189HBS18</v>
      </c>
      <c r="B1814" t="s">
        <v>11633</v>
      </c>
      <c r="C1814" t="s">
        <v>16196</v>
      </c>
      <c r="D1814" t="s">
        <v>13717</v>
      </c>
      <c r="E1814" t="s">
        <v>845</v>
      </c>
      <c r="F1814">
        <v>20</v>
      </c>
      <c r="G1814">
        <v>1</v>
      </c>
      <c r="H1814">
        <v>1</v>
      </c>
      <c r="I1814">
        <v>20</v>
      </c>
      <c r="J1814">
        <v>15220</v>
      </c>
      <c r="K1814">
        <f t="shared" si="85"/>
        <v>761</v>
      </c>
      <c r="L1814">
        <f t="shared" si="86"/>
        <v>0</v>
      </c>
      <c r="M1814">
        <v>15220</v>
      </c>
      <c r="N1814" s="3">
        <v>45596</v>
      </c>
      <c r="O1814" s="6" t="s">
        <v>853</v>
      </c>
    </row>
    <row r="1815" spans="1:15">
      <c r="A1815" t="str">
        <f t="shared" si="84"/>
        <v>Jagung Bisi 18 20 X 1 kg456354035HBS18</v>
      </c>
      <c r="B1815" t="s">
        <v>11634</v>
      </c>
      <c r="C1815" t="s">
        <v>16197</v>
      </c>
      <c r="D1815" t="s">
        <v>13718</v>
      </c>
      <c r="E1815" t="s">
        <v>845</v>
      </c>
      <c r="F1815">
        <v>20</v>
      </c>
      <c r="G1815">
        <v>1</v>
      </c>
      <c r="H1815">
        <v>1</v>
      </c>
      <c r="I1815">
        <v>20</v>
      </c>
      <c r="J1815">
        <v>400</v>
      </c>
      <c r="K1815">
        <f t="shared" si="85"/>
        <v>20</v>
      </c>
      <c r="L1815">
        <f t="shared" si="86"/>
        <v>0</v>
      </c>
      <c r="M1815">
        <v>400</v>
      </c>
      <c r="N1815" s="3">
        <v>45635</v>
      </c>
      <c r="O1815" s="6" t="s">
        <v>854</v>
      </c>
    </row>
    <row r="1816" spans="1:15">
      <c r="A1816" t="str">
        <f t="shared" si="84"/>
        <v>Jagung Bisi 18 20 X 1 kg455963183HBS18</v>
      </c>
      <c r="B1816" t="s">
        <v>11635</v>
      </c>
      <c r="C1816" t="s">
        <v>16198</v>
      </c>
      <c r="D1816" t="s">
        <v>13719</v>
      </c>
      <c r="E1816" t="s">
        <v>845</v>
      </c>
      <c r="F1816">
        <v>20</v>
      </c>
      <c r="G1816">
        <v>1</v>
      </c>
      <c r="H1816">
        <v>1</v>
      </c>
      <c r="I1816">
        <v>20</v>
      </c>
      <c r="J1816">
        <v>3140</v>
      </c>
      <c r="K1816">
        <f t="shared" si="85"/>
        <v>157</v>
      </c>
      <c r="L1816">
        <f t="shared" si="86"/>
        <v>0</v>
      </c>
      <c r="M1816">
        <v>3140</v>
      </c>
      <c r="N1816" s="3">
        <v>45596</v>
      </c>
      <c r="O1816" s="6" t="s">
        <v>855</v>
      </c>
    </row>
    <row r="1817" spans="1:15">
      <c r="A1817" t="str">
        <f t="shared" si="84"/>
        <v>Jagung Bisi 18 20 X 1 kg456374037HBS18</v>
      </c>
      <c r="B1817" t="s">
        <v>11636</v>
      </c>
      <c r="C1817" t="s">
        <v>16199</v>
      </c>
      <c r="D1817" t="s">
        <v>13720</v>
      </c>
      <c r="E1817" t="s">
        <v>845</v>
      </c>
      <c r="F1817">
        <v>20</v>
      </c>
      <c r="G1817">
        <v>1</v>
      </c>
      <c r="H1817">
        <v>1</v>
      </c>
      <c r="I1817">
        <v>20</v>
      </c>
      <c r="J1817">
        <v>31000</v>
      </c>
      <c r="K1817">
        <f t="shared" si="85"/>
        <v>1550</v>
      </c>
      <c r="L1817">
        <f t="shared" si="86"/>
        <v>0</v>
      </c>
      <c r="M1817">
        <v>31000</v>
      </c>
      <c r="N1817" s="3">
        <v>45637</v>
      </c>
      <c r="O1817" s="6" t="s">
        <v>856</v>
      </c>
    </row>
    <row r="1818" spans="1:15">
      <c r="A1818" t="str">
        <f t="shared" si="84"/>
        <v>Jagung Bisi 18 20 X 1 kg455743095HBS18</v>
      </c>
      <c r="B1818" t="s">
        <v>11637</v>
      </c>
      <c r="C1818" t="s">
        <v>16200</v>
      </c>
      <c r="D1818" t="s">
        <v>13721</v>
      </c>
      <c r="E1818" t="s">
        <v>845</v>
      </c>
      <c r="F1818">
        <v>20</v>
      </c>
      <c r="G1818">
        <v>1</v>
      </c>
      <c r="H1818">
        <v>1</v>
      </c>
      <c r="I1818">
        <v>20</v>
      </c>
      <c r="J1818">
        <v>1360</v>
      </c>
      <c r="K1818">
        <f t="shared" si="85"/>
        <v>68</v>
      </c>
      <c r="L1818">
        <f t="shared" si="86"/>
        <v>0</v>
      </c>
      <c r="M1818">
        <v>1360</v>
      </c>
      <c r="N1818" s="3">
        <v>45574</v>
      </c>
      <c r="O1818" s="6" t="s">
        <v>858</v>
      </c>
    </row>
    <row r="1819" spans="1:15">
      <c r="A1819" t="str">
        <f t="shared" si="84"/>
        <v>Jagung Bisi 18 20 X 1 kg456183339HBS18</v>
      </c>
      <c r="B1819" t="s">
        <v>11638</v>
      </c>
      <c r="C1819" t="s">
        <v>16201</v>
      </c>
      <c r="D1819" t="s">
        <v>13722</v>
      </c>
      <c r="E1819" t="s">
        <v>845</v>
      </c>
      <c r="F1819">
        <v>20</v>
      </c>
      <c r="G1819">
        <v>1</v>
      </c>
      <c r="H1819">
        <v>1</v>
      </c>
      <c r="I1819">
        <v>20</v>
      </c>
      <c r="J1819">
        <v>8180</v>
      </c>
      <c r="K1819">
        <f t="shared" si="85"/>
        <v>409</v>
      </c>
      <c r="L1819">
        <f t="shared" si="86"/>
        <v>0</v>
      </c>
      <c r="M1819">
        <v>8180</v>
      </c>
      <c r="N1819" s="3">
        <v>45618</v>
      </c>
      <c r="O1819" s="6" t="s">
        <v>859</v>
      </c>
    </row>
    <row r="1820" spans="1:15">
      <c r="A1820" t="str">
        <f t="shared" si="84"/>
        <v>Jagung Bisi 18 20 X 1 kg455773091HBS18</v>
      </c>
      <c r="B1820" t="s">
        <v>11639</v>
      </c>
      <c r="C1820" t="s">
        <v>16202</v>
      </c>
      <c r="D1820" t="s">
        <v>13723</v>
      </c>
      <c r="E1820" t="s">
        <v>845</v>
      </c>
      <c r="F1820">
        <v>20</v>
      </c>
      <c r="G1820">
        <v>1</v>
      </c>
      <c r="H1820">
        <v>1</v>
      </c>
      <c r="I1820">
        <v>20</v>
      </c>
      <c r="J1820">
        <v>5960</v>
      </c>
      <c r="K1820">
        <f t="shared" si="85"/>
        <v>298</v>
      </c>
      <c r="L1820">
        <f t="shared" si="86"/>
        <v>0</v>
      </c>
      <c r="M1820">
        <v>5960</v>
      </c>
      <c r="N1820" s="3">
        <v>45577</v>
      </c>
      <c r="O1820" s="6" t="s">
        <v>860</v>
      </c>
    </row>
    <row r="1821" spans="1:15">
      <c r="A1821" t="str">
        <f t="shared" si="84"/>
        <v>Jagung Bisi 18 20 X 1 kg455973187HBS18</v>
      </c>
      <c r="B1821" t="s">
        <v>11640</v>
      </c>
      <c r="C1821" t="s">
        <v>16203</v>
      </c>
      <c r="D1821" t="s">
        <v>13724</v>
      </c>
      <c r="E1821" t="s">
        <v>845</v>
      </c>
      <c r="F1821">
        <v>20</v>
      </c>
      <c r="G1821">
        <v>1</v>
      </c>
      <c r="H1821">
        <v>1</v>
      </c>
      <c r="I1821">
        <v>20</v>
      </c>
      <c r="J1821">
        <v>3900</v>
      </c>
      <c r="K1821">
        <f t="shared" si="85"/>
        <v>195</v>
      </c>
      <c r="L1821">
        <f t="shared" si="86"/>
        <v>0</v>
      </c>
      <c r="M1821">
        <v>3900</v>
      </c>
      <c r="N1821" s="3">
        <v>45597</v>
      </c>
      <c r="O1821" s="6" t="s">
        <v>861</v>
      </c>
    </row>
    <row r="1822" spans="1:15">
      <c r="A1822" t="str">
        <f t="shared" si="84"/>
        <v>Jagung Bisi 18 20 X 1 kg455973192HBS18</v>
      </c>
      <c r="B1822" t="s">
        <v>11641</v>
      </c>
      <c r="C1822" t="s">
        <v>16204</v>
      </c>
      <c r="D1822" t="s">
        <v>13725</v>
      </c>
      <c r="E1822" t="s">
        <v>845</v>
      </c>
      <c r="F1822">
        <v>20</v>
      </c>
      <c r="G1822">
        <v>1</v>
      </c>
      <c r="H1822">
        <v>1</v>
      </c>
      <c r="I1822">
        <v>20</v>
      </c>
      <c r="J1822">
        <v>28760</v>
      </c>
      <c r="K1822">
        <f t="shared" si="85"/>
        <v>1438</v>
      </c>
      <c r="L1822">
        <f t="shared" si="86"/>
        <v>0</v>
      </c>
      <c r="M1822">
        <v>28760</v>
      </c>
      <c r="N1822" s="3">
        <v>45597</v>
      </c>
      <c r="O1822" s="6" t="s">
        <v>862</v>
      </c>
    </row>
    <row r="1823" spans="1:15">
      <c r="A1823" t="str">
        <f t="shared" si="84"/>
        <v>Jagung Bisi 18 20 X 1 kg456303389HBS18</v>
      </c>
      <c r="B1823" t="s">
        <v>11642</v>
      </c>
      <c r="C1823" t="s">
        <v>16205</v>
      </c>
      <c r="D1823" t="s">
        <v>13726</v>
      </c>
      <c r="E1823" t="s">
        <v>845</v>
      </c>
      <c r="F1823">
        <v>20</v>
      </c>
      <c r="G1823">
        <v>1</v>
      </c>
      <c r="H1823">
        <v>1</v>
      </c>
      <c r="I1823">
        <v>20</v>
      </c>
      <c r="J1823">
        <v>2400</v>
      </c>
      <c r="K1823">
        <f t="shared" si="85"/>
        <v>120</v>
      </c>
      <c r="L1823">
        <f t="shared" si="86"/>
        <v>0</v>
      </c>
      <c r="M1823">
        <v>2400</v>
      </c>
      <c r="N1823" s="3">
        <v>45630</v>
      </c>
      <c r="O1823" s="6" t="s">
        <v>863</v>
      </c>
    </row>
    <row r="1824" spans="1:15">
      <c r="A1824" t="str">
        <f t="shared" si="84"/>
        <v>Jagung Bisi 18 20 X 1 kg455953169HBS18</v>
      </c>
      <c r="B1824" t="s">
        <v>11643</v>
      </c>
      <c r="C1824" t="s">
        <v>16206</v>
      </c>
      <c r="D1824" t="s">
        <v>13727</v>
      </c>
      <c r="E1824" t="s">
        <v>845</v>
      </c>
      <c r="F1824">
        <v>20</v>
      </c>
      <c r="G1824">
        <v>1</v>
      </c>
      <c r="H1824">
        <v>1</v>
      </c>
      <c r="I1824">
        <v>20</v>
      </c>
      <c r="J1824">
        <v>3280</v>
      </c>
      <c r="K1824">
        <f t="shared" si="85"/>
        <v>164</v>
      </c>
      <c r="L1824">
        <f t="shared" si="86"/>
        <v>0</v>
      </c>
      <c r="M1824">
        <v>3280</v>
      </c>
      <c r="N1824" s="3">
        <v>45595</v>
      </c>
      <c r="O1824" s="6" t="s">
        <v>864</v>
      </c>
    </row>
    <row r="1825" spans="1:15">
      <c r="A1825" t="str">
        <f t="shared" si="84"/>
        <v>Jagung Bisi 18 20 X 1 kg455963159HBS18</v>
      </c>
      <c r="B1825" t="s">
        <v>11644</v>
      </c>
      <c r="C1825" t="s">
        <v>16207</v>
      </c>
      <c r="D1825" t="s">
        <v>13728</v>
      </c>
      <c r="E1825" t="s">
        <v>845</v>
      </c>
      <c r="F1825">
        <v>20</v>
      </c>
      <c r="G1825">
        <v>1</v>
      </c>
      <c r="H1825">
        <v>1</v>
      </c>
      <c r="I1825">
        <v>20</v>
      </c>
      <c r="J1825">
        <v>3500</v>
      </c>
      <c r="K1825">
        <f t="shared" si="85"/>
        <v>175</v>
      </c>
      <c r="L1825">
        <f t="shared" si="86"/>
        <v>0</v>
      </c>
      <c r="M1825">
        <v>3500</v>
      </c>
      <c r="N1825" s="3">
        <v>45596</v>
      </c>
      <c r="O1825" s="6" t="s">
        <v>865</v>
      </c>
    </row>
    <row r="1826" spans="1:15">
      <c r="A1826" t="str">
        <f t="shared" si="84"/>
        <v>Jagung Bisi 18 20 X 1 kg456254016HBS18</v>
      </c>
      <c r="B1826" t="s">
        <v>11645</v>
      </c>
      <c r="C1826" t="s">
        <v>16208</v>
      </c>
      <c r="D1826" t="s">
        <v>13729</v>
      </c>
      <c r="E1826" t="s">
        <v>845</v>
      </c>
      <c r="F1826">
        <v>20</v>
      </c>
      <c r="G1826">
        <v>1</v>
      </c>
      <c r="H1826">
        <v>1</v>
      </c>
      <c r="I1826">
        <v>20</v>
      </c>
      <c r="J1826">
        <v>3800</v>
      </c>
      <c r="K1826">
        <f t="shared" si="85"/>
        <v>190</v>
      </c>
      <c r="L1826">
        <f t="shared" si="86"/>
        <v>0</v>
      </c>
      <c r="M1826">
        <v>3800</v>
      </c>
      <c r="N1826" s="3">
        <v>45625</v>
      </c>
      <c r="O1826" s="6" t="s">
        <v>866</v>
      </c>
    </row>
    <row r="1827" spans="1:15">
      <c r="A1827" t="str">
        <f t="shared" si="84"/>
        <v>Jagung Bisi 18 20 X 1 kg456303386HBS18</v>
      </c>
      <c r="B1827" t="s">
        <v>11646</v>
      </c>
      <c r="C1827" t="s">
        <v>16209</v>
      </c>
      <c r="D1827" t="s">
        <v>13730</v>
      </c>
      <c r="E1827" t="s">
        <v>845</v>
      </c>
      <c r="F1827">
        <v>20</v>
      </c>
      <c r="G1827">
        <v>1</v>
      </c>
      <c r="H1827">
        <v>1</v>
      </c>
      <c r="I1827">
        <v>20</v>
      </c>
      <c r="J1827">
        <v>16400</v>
      </c>
      <c r="K1827">
        <f t="shared" si="85"/>
        <v>820</v>
      </c>
      <c r="L1827">
        <f t="shared" si="86"/>
        <v>0</v>
      </c>
      <c r="M1827">
        <v>16400</v>
      </c>
      <c r="N1827" s="3">
        <v>45630</v>
      </c>
      <c r="O1827" s="6" t="s">
        <v>868</v>
      </c>
    </row>
    <row r="1828" spans="1:15">
      <c r="A1828" t="str">
        <f t="shared" si="84"/>
        <v>Jagung Bisi 18 20 X 1 kg455973194HBS18</v>
      </c>
      <c r="B1828" t="s">
        <v>11647</v>
      </c>
      <c r="C1828" t="s">
        <v>16210</v>
      </c>
      <c r="D1828" t="s">
        <v>13731</v>
      </c>
      <c r="E1828" t="s">
        <v>845</v>
      </c>
      <c r="F1828">
        <v>20</v>
      </c>
      <c r="G1828">
        <v>1</v>
      </c>
      <c r="H1828">
        <v>1</v>
      </c>
      <c r="I1828">
        <v>20</v>
      </c>
      <c r="J1828">
        <v>22800</v>
      </c>
      <c r="K1828">
        <f t="shared" si="85"/>
        <v>1140</v>
      </c>
      <c r="L1828">
        <f t="shared" si="86"/>
        <v>0</v>
      </c>
      <c r="M1828">
        <v>22800</v>
      </c>
      <c r="N1828" s="3">
        <v>45597</v>
      </c>
      <c r="O1828" s="6" t="s">
        <v>869</v>
      </c>
    </row>
    <row r="1829" spans="1:15">
      <c r="A1829" t="str">
        <f t="shared" si="84"/>
        <v>Jagung Bisi 18 20 X 1 kg456173344HBS18</v>
      </c>
      <c r="B1829" t="s">
        <v>11648</v>
      </c>
      <c r="C1829" t="s">
        <v>16211</v>
      </c>
      <c r="D1829" t="s">
        <v>13732</v>
      </c>
      <c r="E1829" t="s">
        <v>845</v>
      </c>
      <c r="F1829">
        <v>20</v>
      </c>
      <c r="G1829">
        <v>1</v>
      </c>
      <c r="H1829">
        <v>1</v>
      </c>
      <c r="I1829">
        <v>20</v>
      </c>
      <c r="J1829">
        <v>5000</v>
      </c>
      <c r="K1829">
        <f t="shared" si="85"/>
        <v>250</v>
      </c>
      <c r="L1829">
        <f t="shared" si="86"/>
        <v>0</v>
      </c>
      <c r="M1829">
        <v>5000</v>
      </c>
      <c r="N1829" s="3">
        <v>45617</v>
      </c>
      <c r="O1829" s="6" t="s">
        <v>870</v>
      </c>
    </row>
    <row r="1830" spans="1:15">
      <c r="A1830" t="str">
        <f t="shared" si="84"/>
        <v>Jagung Bisi 18 20 X 1 kg456374038HBS18</v>
      </c>
      <c r="B1830" t="s">
        <v>11649</v>
      </c>
      <c r="C1830" t="s">
        <v>16212</v>
      </c>
      <c r="D1830" t="s">
        <v>13733</v>
      </c>
      <c r="E1830" t="s">
        <v>845</v>
      </c>
      <c r="F1830">
        <v>20</v>
      </c>
      <c r="G1830">
        <v>1</v>
      </c>
      <c r="H1830">
        <v>1</v>
      </c>
      <c r="I1830">
        <v>20</v>
      </c>
      <c r="J1830">
        <v>20580</v>
      </c>
      <c r="K1830">
        <f t="shared" si="85"/>
        <v>1029</v>
      </c>
      <c r="L1830">
        <f t="shared" si="86"/>
        <v>0</v>
      </c>
      <c r="M1830">
        <v>20580</v>
      </c>
      <c r="N1830" s="3">
        <v>45637</v>
      </c>
      <c r="O1830" s="6" t="s">
        <v>871</v>
      </c>
    </row>
    <row r="1831" spans="1:15">
      <c r="A1831" t="str">
        <f t="shared" si="84"/>
        <v>Jagung Bisi 18 20 X 1 kg456183341HBS18</v>
      </c>
      <c r="B1831" t="s">
        <v>11650</v>
      </c>
      <c r="C1831" t="s">
        <v>16213</v>
      </c>
      <c r="D1831" t="s">
        <v>13734</v>
      </c>
      <c r="E1831" t="s">
        <v>845</v>
      </c>
      <c r="F1831">
        <v>20</v>
      </c>
      <c r="G1831">
        <v>1</v>
      </c>
      <c r="H1831">
        <v>1</v>
      </c>
      <c r="I1831">
        <v>20</v>
      </c>
      <c r="J1831">
        <v>15800</v>
      </c>
      <c r="K1831">
        <f t="shared" si="85"/>
        <v>790</v>
      </c>
      <c r="L1831">
        <f t="shared" si="86"/>
        <v>0</v>
      </c>
      <c r="M1831">
        <v>15800</v>
      </c>
      <c r="N1831" s="3">
        <v>45618</v>
      </c>
      <c r="O1831" s="6" t="s">
        <v>872</v>
      </c>
    </row>
    <row r="1832" spans="1:15">
      <c r="A1832" t="str">
        <f t="shared" si="84"/>
        <v>Jagung Bisi 18 20 X 1 kg456183340HBS18</v>
      </c>
      <c r="B1832" t="s">
        <v>11651</v>
      </c>
      <c r="C1832" t="s">
        <v>16214</v>
      </c>
      <c r="D1832" t="s">
        <v>13735</v>
      </c>
      <c r="E1832" t="s">
        <v>845</v>
      </c>
      <c r="F1832">
        <v>20</v>
      </c>
      <c r="G1832">
        <v>1</v>
      </c>
      <c r="H1832">
        <v>1</v>
      </c>
      <c r="I1832">
        <v>20</v>
      </c>
      <c r="J1832">
        <v>6200</v>
      </c>
      <c r="K1832">
        <f t="shared" si="85"/>
        <v>310</v>
      </c>
      <c r="L1832">
        <f t="shared" si="86"/>
        <v>0</v>
      </c>
      <c r="M1832">
        <v>6200</v>
      </c>
      <c r="N1832" s="3">
        <v>45618</v>
      </c>
      <c r="O1832" s="6" t="s">
        <v>873</v>
      </c>
    </row>
    <row r="1833" spans="1:15">
      <c r="A1833" t="str">
        <f t="shared" si="84"/>
        <v>Jagung Bisi 18 20 X 1 kg456283374HBS18</v>
      </c>
      <c r="B1833" t="s">
        <v>11652</v>
      </c>
      <c r="C1833" t="s">
        <v>16215</v>
      </c>
      <c r="D1833" t="s">
        <v>13736</v>
      </c>
      <c r="E1833" t="s">
        <v>845</v>
      </c>
      <c r="F1833">
        <v>20</v>
      </c>
      <c r="G1833">
        <v>1</v>
      </c>
      <c r="H1833">
        <v>1</v>
      </c>
      <c r="I1833">
        <v>20</v>
      </c>
      <c r="J1833">
        <v>28940</v>
      </c>
      <c r="K1833">
        <f t="shared" si="85"/>
        <v>1447</v>
      </c>
      <c r="L1833">
        <f t="shared" si="86"/>
        <v>0</v>
      </c>
      <c r="M1833">
        <v>28940</v>
      </c>
      <c r="N1833" s="3">
        <v>45628</v>
      </c>
      <c r="O1833" s="6" t="s">
        <v>874</v>
      </c>
    </row>
    <row r="1834" spans="1:15">
      <c r="A1834" t="str">
        <f t="shared" si="84"/>
        <v>Jagung Bisi 18 20 X 1 kg455913125HBS18</v>
      </c>
      <c r="B1834" t="s">
        <v>11653</v>
      </c>
      <c r="C1834" t="s">
        <v>16216</v>
      </c>
      <c r="D1834" t="s">
        <v>13737</v>
      </c>
      <c r="E1834" t="s">
        <v>845</v>
      </c>
      <c r="F1834">
        <v>20</v>
      </c>
      <c r="G1834">
        <v>1</v>
      </c>
      <c r="H1834">
        <v>1</v>
      </c>
      <c r="I1834">
        <v>20</v>
      </c>
      <c r="J1834">
        <v>8720</v>
      </c>
      <c r="K1834">
        <f t="shared" si="85"/>
        <v>436</v>
      </c>
      <c r="L1834">
        <f t="shared" si="86"/>
        <v>0</v>
      </c>
      <c r="M1834">
        <v>8720</v>
      </c>
      <c r="N1834" s="3">
        <v>45591</v>
      </c>
      <c r="O1834" s="6" t="s">
        <v>875</v>
      </c>
    </row>
    <row r="1835" spans="1:15">
      <c r="A1835" t="str">
        <f t="shared" si="84"/>
        <v>Jagung Bisi 18 20 X 1 kg455913165HBS18</v>
      </c>
      <c r="B1835" t="s">
        <v>11654</v>
      </c>
      <c r="C1835" t="s">
        <v>16217</v>
      </c>
      <c r="D1835" t="s">
        <v>13738</v>
      </c>
      <c r="E1835" t="s">
        <v>845</v>
      </c>
      <c r="F1835">
        <v>20</v>
      </c>
      <c r="G1835">
        <v>1</v>
      </c>
      <c r="H1835">
        <v>1</v>
      </c>
      <c r="I1835">
        <v>20</v>
      </c>
      <c r="J1835">
        <v>9000</v>
      </c>
      <c r="K1835">
        <f t="shared" si="85"/>
        <v>450</v>
      </c>
      <c r="L1835">
        <f t="shared" si="86"/>
        <v>0</v>
      </c>
      <c r="M1835">
        <v>9000</v>
      </c>
      <c r="N1835" s="3">
        <v>45591</v>
      </c>
      <c r="O1835" s="6" t="s">
        <v>876</v>
      </c>
    </row>
    <row r="1836" spans="1:15">
      <c r="A1836" t="str">
        <f t="shared" si="84"/>
        <v>Jagung Bisi 18 20 X 1 kg456273347HBS18</v>
      </c>
      <c r="B1836" t="s">
        <v>11655</v>
      </c>
      <c r="C1836" t="s">
        <v>16218</v>
      </c>
      <c r="D1836" t="s">
        <v>13739</v>
      </c>
      <c r="E1836" t="s">
        <v>845</v>
      </c>
      <c r="F1836">
        <v>20</v>
      </c>
      <c r="G1836">
        <v>1</v>
      </c>
      <c r="H1836">
        <v>1</v>
      </c>
      <c r="I1836">
        <v>20</v>
      </c>
      <c r="J1836">
        <v>9400</v>
      </c>
      <c r="K1836">
        <f t="shared" si="85"/>
        <v>470</v>
      </c>
      <c r="L1836">
        <f t="shared" si="86"/>
        <v>0</v>
      </c>
      <c r="M1836">
        <v>9400</v>
      </c>
      <c r="N1836" s="3">
        <v>45627</v>
      </c>
      <c r="O1836" s="6" t="s">
        <v>877</v>
      </c>
    </row>
    <row r="1837" spans="1:15">
      <c r="A1837" t="str">
        <f t="shared" si="84"/>
        <v>Jagung Bisi 18 20 X 1 kg456253349HBS18</v>
      </c>
      <c r="B1837" t="s">
        <v>11656</v>
      </c>
      <c r="C1837" t="s">
        <v>16219</v>
      </c>
      <c r="D1837" t="s">
        <v>13740</v>
      </c>
      <c r="E1837" t="s">
        <v>845</v>
      </c>
      <c r="F1837">
        <v>20</v>
      </c>
      <c r="G1837">
        <v>1</v>
      </c>
      <c r="H1837">
        <v>1</v>
      </c>
      <c r="I1837">
        <v>20</v>
      </c>
      <c r="J1837">
        <v>11000</v>
      </c>
      <c r="K1837">
        <f t="shared" si="85"/>
        <v>550</v>
      </c>
      <c r="L1837">
        <f t="shared" si="86"/>
        <v>0</v>
      </c>
      <c r="M1837">
        <v>11000</v>
      </c>
      <c r="N1837" s="3">
        <v>45625</v>
      </c>
      <c r="O1837" s="6" t="s">
        <v>878</v>
      </c>
    </row>
    <row r="1838" spans="1:15">
      <c r="A1838" t="str">
        <f t="shared" si="84"/>
        <v>Jagung Bisi 18 20 X 1 kg455743102HBS18</v>
      </c>
      <c r="B1838" t="s">
        <v>11657</v>
      </c>
      <c r="C1838" t="s">
        <v>16220</v>
      </c>
      <c r="D1838" t="s">
        <v>13741</v>
      </c>
      <c r="E1838" t="s">
        <v>845</v>
      </c>
      <c r="F1838">
        <v>20</v>
      </c>
      <c r="G1838">
        <v>1</v>
      </c>
      <c r="H1838">
        <v>1</v>
      </c>
      <c r="I1838">
        <v>20</v>
      </c>
      <c r="J1838">
        <v>11020</v>
      </c>
      <c r="K1838">
        <f t="shared" si="85"/>
        <v>551</v>
      </c>
      <c r="L1838">
        <f t="shared" si="86"/>
        <v>0</v>
      </c>
      <c r="M1838">
        <v>11020</v>
      </c>
      <c r="N1838" s="3">
        <v>45574</v>
      </c>
      <c r="O1838" s="6" t="s">
        <v>879</v>
      </c>
    </row>
    <row r="1839" spans="1:15">
      <c r="A1839" t="str">
        <f t="shared" si="84"/>
        <v>Jagung Bisi 18 20 X 1 kg456313356HBS18</v>
      </c>
      <c r="B1839" t="s">
        <v>11658</v>
      </c>
      <c r="C1839" t="s">
        <v>16221</v>
      </c>
      <c r="D1839" t="s">
        <v>13742</v>
      </c>
      <c r="E1839" t="s">
        <v>845</v>
      </c>
      <c r="F1839">
        <v>20</v>
      </c>
      <c r="G1839">
        <v>1</v>
      </c>
      <c r="H1839">
        <v>1</v>
      </c>
      <c r="I1839">
        <v>20</v>
      </c>
      <c r="J1839">
        <v>11060</v>
      </c>
      <c r="K1839">
        <f t="shared" si="85"/>
        <v>553</v>
      </c>
      <c r="L1839">
        <f t="shared" si="86"/>
        <v>0</v>
      </c>
      <c r="M1839">
        <v>11060</v>
      </c>
      <c r="N1839" s="3">
        <v>45631</v>
      </c>
      <c r="O1839" s="6" t="s">
        <v>880</v>
      </c>
    </row>
    <row r="1840" spans="1:15">
      <c r="A1840" t="str">
        <f t="shared" si="84"/>
        <v>Jagung Bisi 18 20 X 1 kg455863123HBS18</v>
      </c>
      <c r="B1840" t="s">
        <v>11659</v>
      </c>
      <c r="C1840" t="s">
        <v>16222</v>
      </c>
      <c r="D1840" t="s">
        <v>13743</v>
      </c>
      <c r="E1840" t="s">
        <v>845</v>
      </c>
      <c r="F1840">
        <v>20</v>
      </c>
      <c r="G1840">
        <v>1</v>
      </c>
      <c r="H1840">
        <v>1</v>
      </c>
      <c r="I1840">
        <v>20</v>
      </c>
      <c r="J1840">
        <v>11400</v>
      </c>
      <c r="K1840">
        <f t="shared" si="85"/>
        <v>570</v>
      </c>
      <c r="L1840">
        <f t="shared" si="86"/>
        <v>0</v>
      </c>
      <c r="M1840">
        <v>11400</v>
      </c>
      <c r="N1840" s="3">
        <v>45586</v>
      </c>
      <c r="O1840" s="6" t="s">
        <v>881</v>
      </c>
    </row>
    <row r="1841" spans="1:15">
      <c r="A1841" t="str">
        <f t="shared" si="84"/>
        <v>Jagung Bisi 18 20 X 1 kg456324030HBS18</v>
      </c>
      <c r="B1841" t="s">
        <v>11660</v>
      </c>
      <c r="C1841" t="s">
        <v>16223</v>
      </c>
      <c r="D1841" t="s">
        <v>13744</v>
      </c>
      <c r="E1841" t="s">
        <v>845</v>
      </c>
      <c r="F1841">
        <v>20</v>
      </c>
      <c r="G1841">
        <v>1</v>
      </c>
      <c r="H1841">
        <v>1</v>
      </c>
      <c r="I1841">
        <v>20</v>
      </c>
      <c r="J1841">
        <v>11440</v>
      </c>
      <c r="K1841">
        <f t="shared" si="85"/>
        <v>572</v>
      </c>
      <c r="L1841">
        <f t="shared" si="86"/>
        <v>0</v>
      </c>
      <c r="M1841">
        <v>11440</v>
      </c>
      <c r="N1841" s="3">
        <v>45632</v>
      </c>
      <c r="O1841" s="6" t="s">
        <v>882</v>
      </c>
    </row>
    <row r="1842" spans="1:15">
      <c r="A1842" t="str">
        <f t="shared" si="84"/>
        <v>Jagung Bisi 18 20 X 1 kg455853162HBS18</v>
      </c>
      <c r="B1842" t="s">
        <v>11661</v>
      </c>
      <c r="C1842" t="s">
        <v>16224</v>
      </c>
      <c r="D1842" t="s">
        <v>13745</v>
      </c>
      <c r="E1842" t="s">
        <v>845</v>
      </c>
      <c r="F1842">
        <v>20</v>
      </c>
      <c r="G1842">
        <v>1</v>
      </c>
      <c r="H1842">
        <v>1</v>
      </c>
      <c r="I1842">
        <v>20</v>
      </c>
      <c r="J1842">
        <v>11900</v>
      </c>
      <c r="K1842">
        <f t="shared" si="85"/>
        <v>595</v>
      </c>
      <c r="L1842">
        <f t="shared" si="86"/>
        <v>0</v>
      </c>
      <c r="M1842">
        <v>11900</v>
      </c>
      <c r="N1842" s="3">
        <v>45585</v>
      </c>
      <c r="O1842" s="6" t="s">
        <v>883</v>
      </c>
    </row>
    <row r="1843" spans="1:15">
      <c r="A1843" t="str">
        <f t="shared" si="84"/>
        <v>Jagung Bisi 18 20 X 1 kg456263351HBS18</v>
      </c>
      <c r="B1843" t="s">
        <v>11662</v>
      </c>
      <c r="C1843" t="s">
        <v>16225</v>
      </c>
      <c r="D1843" t="s">
        <v>13746</v>
      </c>
      <c r="E1843" t="s">
        <v>845</v>
      </c>
      <c r="F1843">
        <v>20</v>
      </c>
      <c r="G1843">
        <v>1</v>
      </c>
      <c r="H1843">
        <v>1</v>
      </c>
      <c r="I1843">
        <v>20</v>
      </c>
      <c r="J1843">
        <v>12300</v>
      </c>
      <c r="K1843">
        <f t="shared" si="85"/>
        <v>615</v>
      </c>
      <c r="L1843">
        <f t="shared" si="86"/>
        <v>0</v>
      </c>
      <c r="M1843">
        <v>12300</v>
      </c>
      <c r="N1843" s="3">
        <v>45626</v>
      </c>
      <c r="O1843" s="6" t="s">
        <v>884</v>
      </c>
    </row>
    <row r="1844" spans="1:15">
      <c r="A1844" t="str">
        <f t="shared" si="84"/>
        <v>Jagung Bisi 18 20 X 1 kg455963180HBS18</v>
      </c>
      <c r="B1844" t="s">
        <v>11663</v>
      </c>
      <c r="C1844" t="s">
        <v>16226</v>
      </c>
      <c r="D1844" t="s">
        <v>13747</v>
      </c>
      <c r="E1844" t="s">
        <v>845</v>
      </c>
      <c r="F1844">
        <v>20</v>
      </c>
      <c r="G1844">
        <v>1</v>
      </c>
      <c r="H1844">
        <v>1</v>
      </c>
      <c r="I1844">
        <v>20</v>
      </c>
      <c r="J1844">
        <v>12400</v>
      </c>
      <c r="K1844">
        <f t="shared" si="85"/>
        <v>620</v>
      </c>
      <c r="L1844">
        <f t="shared" si="86"/>
        <v>0</v>
      </c>
      <c r="M1844">
        <v>12400</v>
      </c>
      <c r="N1844" s="3">
        <v>45596</v>
      </c>
      <c r="O1844" s="6" t="s">
        <v>885</v>
      </c>
    </row>
    <row r="1845" spans="1:15">
      <c r="A1845" t="str">
        <f t="shared" si="84"/>
        <v>Jagung Bisi 18 20 X 1 kg456183342HBS18</v>
      </c>
      <c r="B1845" t="s">
        <v>11664</v>
      </c>
      <c r="C1845" t="s">
        <v>16227</v>
      </c>
      <c r="D1845" t="s">
        <v>13748</v>
      </c>
      <c r="E1845" t="s">
        <v>845</v>
      </c>
      <c r="F1845">
        <v>20</v>
      </c>
      <c r="G1845">
        <v>1</v>
      </c>
      <c r="H1845">
        <v>1</v>
      </c>
      <c r="I1845">
        <v>20</v>
      </c>
      <c r="J1845">
        <v>13000</v>
      </c>
      <c r="K1845">
        <f t="shared" si="85"/>
        <v>650</v>
      </c>
      <c r="L1845">
        <f t="shared" si="86"/>
        <v>0</v>
      </c>
      <c r="M1845">
        <v>13000</v>
      </c>
      <c r="N1845" s="3">
        <v>45618</v>
      </c>
      <c r="O1845" s="6" t="s">
        <v>886</v>
      </c>
    </row>
    <row r="1846" spans="1:15">
      <c r="A1846" t="str">
        <f t="shared" si="84"/>
        <v>Jagung Bisi 18 20 X 1 kg455843161HBS18</v>
      </c>
      <c r="B1846" t="s">
        <v>11665</v>
      </c>
      <c r="C1846" t="s">
        <v>16228</v>
      </c>
      <c r="D1846" t="s">
        <v>13749</v>
      </c>
      <c r="E1846" t="s">
        <v>845</v>
      </c>
      <c r="F1846">
        <v>20</v>
      </c>
      <c r="G1846">
        <v>1</v>
      </c>
      <c r="H1846">
        <v>1</v>
      </c>
      <c r="I1846">
        <v>20</v>
      </c>
      <c r="J1846">
        <v>13200</v>
      </c>
      <c r="K1846">
        <f t="shared" si="85"/>
        <v>660</v>
      </c>
      <c r="L1846">
        <f t="shared" si="86"/>
        <v>0</v>
      </c>
      <c r="M1846">
        <v>13200</v>
      </c>
      <c r="N1846" s="3">
        <v>45584</v>
      </c>
      <c r="O1846" s="6" t="s">
        <v>887</v>
      </c>
    </row>
    <row r="1847" spans="1:15">
      <c r="A1847" t="str">
        <f t="shared" si="84"/>
        <v>Jagung Bisi 18 20 X 1 kg455793106HBS18</v>
      </c>
      <c r="B1847" t="s">
        <v>11666</v>
      </c>
      <c r="C1847" t="s">
        <v>16229</v>
      </c>
      <c r="D1847" t="s">
        <v>13750</v>
      </c>
      <c r="E1847" t="s">
        <v>845</v>
      </c>
      <c r="F1847">
        <v>20</v>
      </c>
      <c r="G1847">
        <v>1</v>
      </c>
      <c r="H1847">
        <v>1</v>
      </c>
      <c r="I1847">
        <v>20</v>
      </c>
      <c r="J1847">
        <v>13940</v>
      </c>
      <c r="K1847">
        <f t="shared" si="85"/>
        <v>697</v>
      </c>
      <c r="L1847">
        <f t="shared" si="86"/>
        <v>0</v>
      </c>
      <c r="M1847">
        <v>13940</v>
      </c>
      <c r="N1847" s="3">
        <v>45579</v>
      </c>
      <c r="O1847" s="6" t="s">
        <v>888</v>
      </c>
    </row>
    <row r="1848" spans="1:15">
      <c r="A1848" t="str">
        <f t="shared" si="84"/>
        <v>Jagung Bisi 18 20 X 1 kg455853116HBS18</v>
      </c>
      <c r="B1848" t="s">
        <v>11667</v>
      </c>
      <c r="C1848" t="s">
        <v>16230</v>
      </c>
      <c r="D1848" t="s">
        <v>13751</v>
      </c>
      <c r="E1848" t="s">
        <v>845</v>
      </c>
      <c r="F1848">
        <v>20</v>
      </c>
      <c r="G1848">
        <v>1</v>
      </c>
      <c r="H1848">
        <v>1</v>
      </c>
      <c r="I1848">
        <v>20</v>
      </c>
      <c r="J1848">
        <v>14000</v>
      </c>
      <c r="K1848">
        <f t="shared" si="85"/>
        <v>700</v>
      </c>
      <c r="L1848">
        <f t="shared" si="86"/>
        <v>0</v>
      </c>
      <c r="M1848">
        <v>14000</v>
      </c>
      <c r="N1848" s="3">
        <v>45585</v>
      </c>
      <c r="O1848" s="6" t="s">
        <v>889</v>
      </c>
    </row>
    <row r="1849" spans="1:15">
      <c r="A1849" t="str">
        <f t="shared" si="84"/>
        <v>Jagung Bisi 18 20 X 1 kg455843069HBS18</v>
      </c>
      <c r="B1849" t="s">
        <v>11668</v>
      </c>
      <c r="C1849" t="s">
        <v>16231</v>
      </c>
      <c r="D1849" t="s">
        <v>13752</v>
      </c>
      <c r="E1849" t="s">
        <v>845</v>
      </c>
      <c r="F1849">
        <v>20</v>
      </c>
      <c r="G1849">
        <v>1</v>
      </c>
      <c r="H1849">
        <v>1</v>
      </c>
      <c r="I1849">
        <v>20</v>
      </c>
      <c r="J1849">
        <v>15960</v>
      </c>
      <c r="K1849">
        <f t="shared" si="85"/>
        <v>798</v>
      </c>
      <c r="L1849">
        <f t="shared" si="86"/>
        <v>0</v>
      </c>
      <c r="M1849">
        <v>15960</v>
      </c>
      <c r="N1849" s="3">
        <v>45584</v>
      </c>
      <c r="O1849" s="6" t="s">
        <v>890</v>
      </c>
    </row>
    <row r="1850" spans="1:15">
      <c r="A1850" t="str">
        <f t="shared" si="84"/>
        <v>Jagung Bisi 18 20 X 1 kg455843121HBS18</v>
      </c>
      <c r="B1850" t="s">
        <v>11669</v>
      </c>
      <c r="C1850" t="s">
        <v>16232</v>
      </c>
      <c r="D1850" t="s">
        <v>13753</v>
      </c>
      <c r="E1850" t="s">
        <v>845</v>
      </c>
      <c r="F1850">
        <v>20</v>
      </c>
      <c r="G1850">
        <v>1</v>
      </c>
      <c r="H1850">
        <v>1</v>
      </c>
      <c r="I1850">
        <v>20</v>
      </c>
      <c r="J1850">
        <v>16020</v>
      </c>
      <c r="K1850">
        <f t="shared" si="85"/>
        <v>801</v>
      </c>
      <c r="L1850">
        <f t="shared" si="86"/>
        <v>0</v>
      </c>
      <c r="M1850">
        <v>16020</v>
      </c>
      <c r="N1850" s="3">
        <v>45584</v>
      </c>
      <c r="O1850" s="6" t="s">
        <v>891</v>
      </c>
    </row>
    <row r="1851" spans="1:15">
      <c r="A1851" t="str">
        <f t="shared" si="84"/>
        <v>Jagung Bisi 18 20 X 1 kg456314025HBS18</v>
      </c>
      <c r="B1851" t="s">
        <v>11670</v>
      </c>
      <c r="C1851" t="s">
        <v>16233</v>
      </c>
      <c r="D1851" t="s">
        <v>13754</v>
      </c>
      <c r="E1851" t="s">
        <v>845</v>
      </c>
      <c r="F1851">
        <v>20</v>
      </c>
      <c r="G1851">
        <v>1</v>
      </c>
      <c r="H1851">
        <v>1</v>
      </c>
      <c r="I1851">
        <v>20</v>
      </c>
      <c r="J1851">
        <v>16640</v>
      </c>
      <c r="K1851">
        <f t="shared" si="85"/>
        <v>832</v>
      </c>
      <c r="L1851">
        <f t="shared" si="86"/>
        <v>0</v>
      </c>
      <c r="M1851">
        <v>16640</v>
      </c>
      <c r="N1851" s="3">
        <v>45631</v>
      </c>
      <c r="O1851" s="6" t="s">
        <v>892</v>
      </c>
    </row>
    <row r="1852" spans="1:15">
      <c r="A1852" t="str">
        <f t="shared" si="84"/>
        <v>Jagung Bisi 18 20 X 1 kg456173346HBS18</v>
      </c>
      <c r="B1852" t="s">
        <v>11671</v>
      </c>
      <c r="C1852" t="s">
        <v>16234</v>
      </c>
      <c r="D1852" t="s">
        <v>13755</v>
      </c>
      <c r="E1852" t="s">
        <v>845</v>
      </c>
      <c r="F1852">
        <v>20</v>
      </c>
      <c r="G1852">
        <v>1</v>
      </c>
      <c r="H1852">
        <v>1</v>
      </c>
      <c r="I1852">
        <v>20</v>
      </c>
      <c r="J1852">
        <v>16660</v>
      </c>
      <c r="K1852">
        <f t="shared" si="85"/>
        <v>833</v>
      </c>
      <c r="L1852">
        <f t="shared" si="86"/>
        <v>0</v>
      </c>
      <c r="M1852">
        <v>16660</v>
      </c>
      <c r="N1852" s="3">
        <v>45617</v>
      </c>
      <c r="O1852" s="6" t="s">
        <v>893</v>
      </c>
    </row>
    <row r="1853" spans="1:15">
      <c r="A1853" t="str">
        <f t="shared" si="84"/>
        <v>Jagung Bisi 18 20 X 1 kg455793094HBS18</v>
      </c>
      <c r="B1853" t="s">
        <v>11672</v>
      </c>
      <c r="C1853" t="s">
        <v>16235</v>
      </c>
      <c r="D1853" t="s">
        <v>13756</v>
      </c>
      <c r="E1853" t="s">
        <v>845</v>
      </c>
      <c r="F1853">
        <v>20</v>
      </c>
      <c r="G1853">
        <v>1</v>
      </c>
      <c r="H1853">
        <v>1</v>
      </c>
      <c r="I1853">
        <v>20</v>
      </c>
      <c r="J1853">
        <v>17700</v>
      </c>
      <c r="K1853">
        <f t="shared" si="85"/>
        <v>885</v>
      </c>
      <c r="L1853">
        <f t="shared" si="86"/>
        <v>0</v>
      </c>
      <c r="M1853">
        <v>17700</v>
      </c>
      <c r="N1853" s="3">
        <v>45579</v>
      </c>
      <c r="O1853" s="6" t="s">
        <v>894</v>
      </c>
    </row>
    <row r="1854" spans="1:15">
      <c r="A1854" t="str">
        <f t="shared" si="84"/>
        <v>Jagung Bisi 18 20 X 1 kg455963181HBS18</v>
      </c>
      <c r="B1854" t="s">
        <v>11673</v>
      </c>
      <c r="C1854" t="s">
        <v>16236</v>
      </c>
      <c r="D1854" t="s">
        <v>13757</v>
      </c>
      <c r="E1854" t="s">
        <v>845</v>
      </c>
      <c r="F1854">
        <v>20</v>
      </c>
      <c r="G1854">
        <v>1</v>
      </c>
      <c r="H1854">
        <v>1</v>
      </c>
      <c r="I1854">
        <v>20</v>
      </c>
      <c r="J1854">
        <v>17880</v>
      </c>
      <c r="K1854">
        <f t="shared" si="85"/>
        <v>894</v>
      </c>
      <c r="L1854">
        <f t="shared" si="86"/>
        <v>0</v>
      </c>
      <c r="M1854">
        <v>17880</v>
      </c>
      <c r="N1854" s="3">
        <v>45596</v>
      </c>
      <c r="O1854" s="6" t="s">
        <v>895</v>
      </c>
    </row>
    <row r="1855" spans="1:15">
      <c r="A1855" t="str">
        <f t="shared" si="84"/>
        <v>Jagung Bisi 18 20 X 1 kg455933164HBS18</v>
      </c>
      <c r="B1855" t="s">
        <v>11674</v>
      </c>
      <c r="C1855" t="s">
        <v>16237</v>
      </c>
      <c r="D1855" t="s">
        <v>13758</v>
      </c>
      <c r="E1855" t="s">
        <v>845</v>
      </c>
      <c r="F1855">
        <v>20</v>
      </c>
      <c r="G1855">
        <v>1</v>
      </c>
      <c r="H1855">
        <v>1</v>
      </c>
      <c r="I1855">
        <v>20</v>
      </c>
      <c r="J1855">
        <v>18000</v>
      </c>
      <c r="K1855">
        <f t="shared" si="85"/>
        <v>900</v>
      </c>
      <c r="L1855">
        <f t="shared" si="86"/>
        <v>0</v>
      </c>
      <c r="M1855">
        <v>18000</v>
      </c>
      <c r="N1855" s="3">
        <v>45593</v>
      </c>
      <c r="O1855" s="6" t="s">
        <v>896</v>
      </c>
    </row>
    <row r="1856" spans="1:15">
      <c r="A1856" t="str">
        <f t="shared" si="84"/>
        <v>Jagung Bisi 18 20 X 1 kg455843122HBS18</v>
      </c>
      <c r="B1856" t="s">
        <v>11675</v>
      </c>
      <c r="C1856" t="s">
        <v>16238</v>
      </c>
      <c r="D1856" t="s">
        <v>13759</v>
      </c>
      <c r="E1856" t="s">
        <v>845</v>
      </c>
      <c r="F1856">
        <v>20</v>
      </c>
      <c r="G1856">
        <v>1</v>
      </c>
      <c r="H1856">
        <v>1</v>
      </c>
      <c r="I1856">
        <v>20</v>
      </c>
      <c r="J1856">
        <v>18200</v>
      </c>
      <c r="K1856">
        <f t="shared" si="85"/>
        <v>910</v>
      </c>
      <c r="L1856">
        <f t="shared" si="86"/>
        <v>0</v>
      </c>
      <c r="M1856">
        <v>18200</v>
      </c>
      <c r="N1856" s="3">
        <v>45584</v>
      </c>
      <c r="O1856" s="6" t="s">
        <v>897</v>
      </c>
    </row>
    <row r="1857" spans="1:15">
      <c r="A1857" t="str">
        <f t="shared" si="84"/>
        <v>Jagung Bisi 18 20 X 1 kg455913115HBS18</v>
      </c>
      <c r="B1857" t="s">
        <v>11676</v>
      </c>
      <c r="C1857" t="s">
        <v>16239</v>
      </c>
      <c r="D1857" t="s">
        <v>13760</v>
      </c>
      <c r="E1857" t="s">
        <v>845</v>
      </c>
      <c r="F1857">
        <v>20</v>
      </c>
      <c r="G1857">
        <v>1</v>
      </c>
      <c r="H1857">
        <v>1</v>
      </c>
      <c r="I1857">
        <v>20</v>
      </c>
      <c r="J1857">
        <v>18800</v>
      </c>
      <c r="K1857">
        <f t="shared" si="85"/>
        <v>940</v>
      </c>
      <c r="L1857">
        <f t="shared" si="86"/>
        <v>0</v>
      </c>
      <c r="M1857">
        <v>18800</v>
      </c>
      <c r="N1857" s="3">
        <v>45591</v>
      </c>
      <c r="O1857" s="6" t="s">
        <v>898</v>
      </c>
    </row>
    <row r="1858" spans="1:15">
      <c r="A1858" t="str">
        <f t="shared" si="84"/>
        <v>Jagung Bisi 18 20 X 1 kg456313369HBS18</v>
      </c>
      <c r="B1858" t="s">
        <v>11677</v>
      </c>
      <c r="C1858" t="s">
        <v>16240</v>
      </c>
      <c r="D1858" t="s">
        <v>13761</v>
      </c>
      <c r="E1858" t="s">
        <v>845</v>
      </c>
      <c r="F1858">
        <v>20</v>
      </c>
      <c r="G1858">
        <v>1</v>
      </c>
      <c r="H1858">
        <v>1</v>
      </c>
      <c r="I1858">
        <v>20</v>
      </c>
      <c r="J1858">
        <v>18900</v>
      </c>
      <c r="K1858">
        <f t="shared" si="85"/>
        <v>945</v>
      </c>
      <c r="L1858">
        <f t="shared" si="86"/>
        <v>0</v>
      </c>
      <c r="M1858">
        <v>18900</v>
      </c>
      <c r="N1858" s="3">
        <v>45631</v>
      </c>
      <c r="O1858" s="6" t="s">
        <v>899</v>
      </c>
    </row>
    <row r="1859" spans="1:15">
      <c r="A1859" t="str">
        <f t="shared" ref="A1859:A1922" si="87">E1859&amp;N1859&amp;O1859</f>
        <v>Jagung Bisi 18 20 X 1 kg456303353HBS18</v>
      </c>
      <c r="B1859" t="s">
        <v>11678</v>
      </c>
      <c r="C1859" t="s">
        <v>16241</v>
      </c>
      <c r="D1859" t="s">
        <v>13762</v>
      </c>
      <c r="E1859" t="s">
        <v>845</v>
      </c>
      <c r="F1859">
        <v>20</v>
      </c>
      <c r="G1859">
        <v>1</v>
      </c>
      <c r="H1859">
        <v>1</v>
      </c>
      <c r="I1859">
        <v>20</v>
      </c>
      <c r="J1859">
        <v>19000</v>
      </c>
      <c r="K1859">
        <f t="shared" ref="K1859:K1922" si="88">ROUNDDOWN(J1859/I1859,0)</f>
        <v>950</v>
      </c>
      <c r="L1859">
        <f t="shared" ref="L1859:L1922" si="89">J1859-K1859*I1859</f>
        <v>0</v>
      </c>
      <c r="M1859">
        <v>19000</v>
      </c>
      <c r="N1859" s="3">
        <v>45630</v>
      </c>
      <c r="O1859" s="6" t="s">
        <v>900</v>
      </c>
    </row>
    <row r="1860" spans="1:15">
      <c r="A1860" t="str">
        <f t="shared" si="87"/>
        <v>Jagung Bisi 18 20 X 1 kg455983199HBS18</v>
      </c>
      <c r="B1860" t="s">
        <v>11679</v>
      </c>
      <c r="C1860" t="s">
        <v>16242</v>
      </c>
      <c r="D1860" t="s">
        <v>13763</v>
      </c>
      <c r="E1860" t="s">
        <v>845</v>
      </c>
      <c r="F1860">
        <v>20</v>
      </c>
      <c r="G1860">
        <v>1</v>
      </c>
      <c r="H1860">
        <v>1</v>
      </c>
      <c r="I1860">
        <v>20</v>
      </c>
      <c r="J1860">
        <v>19380</v>
      </c>
      <c r="K1860">
        <f t="shared" si="88"/>
        <v>969</v>
      </c>
      <c r="L1860">
        <f t="shared" si="89"/>
        <v>0</v>
      </c>
      <c r="M1860">
        <v>19380</v>
      </c>
      <c r="N1860" s="3">
        <v>45598</v>
      </c>
      <c r="O1860" s="6" t="s">
        <v>901</v>
      </c>
    </row>
    <row r="1861" spans="1:15">
      <c r="A1861" t="str">
        <f t="shared" si="87"/>
        <v>Jagung Bisi 18 20 X 1 kg456263350HBS18</v>
      </c>
      <c r="B1861" t="s">
        <v>11680</v>
      </c>
      <c r="C1861" t="s">
        <v>16243</v>
      </c>
      <c r="D1861" t="s">
        <v>13764</v>
      </c>
      <c r="E1861" t="s">
        <v>845</v>
      </c>
      <c r="F1861">
        <v>20</v>
      </c>
      <c r="G1861">
        <v>1</v>
      </c>
      <c r="H1861">
        <v>1</v>
      </c>
      <c r="I1861">
        <v>20</v>
      </c>
      <c r="J1861">
        <v>20000</v>
      </c>
      <c r="K1861">
        <f t="shared" si="88"/>
        <v>1000</v>
      </c>
      <c r="L1861">
        <f t="shared" si="89"/>
        <v>0</v>
      </c>
      <c r="M1861">
        <v>20000</v>
      </c>
      <c r="N1861" s="3">
        <v>45626</v>
      </c>
      <c r="O1861" s="6" t="s">
        <v>902</v>
      </c>
    </row>
    <row r="1862" spans="1:15">
      <c r="A1862" t="str">
        <f t="shared" si="87"/>
        <v>Jagung Bisi 18 20 X 1 kg455833104HBS18</v>
      </c>
      <c r="B1862" t="s">
        <v>11681</v>
      </c>
      <c r="C1862" t="s">
        <v>16244</v>
      </c>
      <c r="D1862" t="s">
        <v>13765</v>
      </c>
      <c r="E1862" t="s">
        <v>845</v>
      </c>
      <c r="F1862">
        <v>20</v>
      </c>
      <c r="G1862">
        <v>1</v>
      </c>
      <c r="H1862">
        <v>1</v>
      </c>
      <c r="I1862">
        <v>20</v>
      </c>
      <c r="J1862">
        <v>20300</v>
      </c>
      <c r="K1862">
        <f t="shared" si="88"/>
        <v>1015</v>
      </c>
      <c r="L1862">
        <f t="shared" si="89"/>
        <v>0</v>
      </c>
      <c r="M1862">
        <v>20300</v>
      </c>
      <c r="N1862" s="3">
        <v>45583</v>
      </c>
      <c r="O1862" s="6" t="s">
        <v>903</v>
      </c>
    </row>
    <row r="1863" spans="1:15">
      <c r="A1863" t="str">
        <f t="shared" si="87"/>
        <v>Jagung Bisi 18 20 X 1 kg456173345HBS18</v>
      </c>
      <c r="B1863" t="s">
        <v>11682</v>
      </c>
      <c r="C1863" t="s">
        <v>16245</v>
      </c>
      <c r="D1863" t="s">
        <v>13766</v>
      </c>
      <c r="E1863" t="s">
        <v>845</v>
      </c>
      <c r="F1863">
        <v>20</v>
      </c>
      <c r="G1863">
        <v>1</v>
      </c>
      <c r="H1863">
        <v>1</v>
      </c>
      <c r="I1863">
        <v>20</v>
      </c>
      <c r="J1863">
        <v>20300</v>
      </c>
      <c r="K1863">
        <f t="shared" si="88"/>
        <v>1015</v>
      </c>
      <c r="L1863">
        <f t="shared" si="89"/>
        <v>0</v>
      </c>
      <c r="M1863">
        <v>20300</v>
      </c>
      <c r="N1863" s="3">
        <v>45617</v>
      </c>
      <c r="O1863" s="6" t="s">
        <v>904</v>
      </c>
    </row>
    <row r="1864" spans="1:15">
      <c r="A1864" t="str">
        <f t="shared" si="87"/>
        <v>Jagung Bisi 18 20 X 1 kg455953167HBS18</v>
      </c>
      <c r="B1864" t="s">
        <v>11683</v>
      </c>
      <c r="C1864" t="s">
        <v>16246</v>
      </c>
      <c r="D1864" t="s">
        <v>13767</v>
      </c>
      <c r="E1864" t="s">
        <v>845</v>
      </c>
      <c r="F1864">
        <v>20</v>
      </c>
      <c r="G1864">
        <v>1</v>
      </c>
      <c r="H1864">
        <v>1</v>
      </c>
      <c r="I1864">
        <v>20</v>
      </c>
      <c r="J1864">
        <v>20900</v>
      </c>
      <c r="K1864">
        <f t="shared" si="88"/>
        <v>1045</v>
      </c>
      <c r="L1864">
        <f t="shared" si="89"/>
        <v>0</v>
      </c>
      <c r="M1864">
        <v>20900</v>
      </c>
      <c r="N1864" s="3">
        <v>45595</v>
      </c>
      <c r="O1864" s="6" t="s">
        <v>905</v>
      </c>
    </row>
    <row r="1865" spans="1:15">
      <c r="A1865" t="str">
        <f t="shared" si="87"/>
        <v>Jagung Bisi 18 20 X 1 kg456313355HBS18</v>
      </c>
      <c r="B1865" t="s">
        <v>11684</v>
      </c>
      <c r="C1865" t="s">
        <v>16247</v>
      </c>
      <c r="D1865" t="s">
        <v>13768</v>
      </c>
      <c r="E1865" t="s">
        <v>845</v>
      </c>
      <c r="F1865">
        <v>20</v>
      </c>
      <c r="G1865">
        <v>1</v>
      </c>
      <c r="H1865">
        <v>1</v>
      </c>
      <c r="I1865">
        <v>20</v>
      </c>
      <c r="J1865">
        <v>22300</v>
      </c>
      <c r="K1865">
        <f t="shared" si="88"/>
        <v>1115</v>
      </c>
      <c r="L1865">
        <f t="shared" si="89"/>
        <v>0</v>
      </c>
      <c r="M1865">
        <v>22300</v>
      </c>
      <c r="N1865" s="3">
        <v>45631</v>
      </c>
      <c r="O1865" s="6" t="s">
        <v>906</v>
      </c>
    </row>
    <row r="1866" spans="1:15">
      <c r="A1866" t="str">
        <f t="shared" si="87"/>
        <v>Jagung Bisi 18 20 X 1 kg456223348HBS18</v>
      </c>
      <c r="B1866" t="s">
        <v>11685</v>
      </c>
      <c r="C1866" t="s">
        <v>16248</v>
      </c>
      <c r="D1866" t="s">
        <v>13769</v>
      </c>
      <c r="E1866" t="s">
        <v>845</v>
      </c>
      <c r="F1866">
        <v>20</v>
      </c>
      <c r="G1866">
        <v>1</v>
      </c>
      <c r="H1866">
        <v>1</v>
      </c>
      <c r="I1866">
        <v>20</v>
      </c>
      <c r="J1866">
        <v>22500</v>
      </c>
      <c r="K1866">
        <f t="shared" si="88"/>
        <v>1125</v>
      </c>
      <c r="L1866">
        <f t="shared" si="89"/>
        <v>0</v>
      </c>
      <c r="M1866">
        <v>22500</v>
      </c>
      <c r="N1866" s="3">
        <v>45622</v>
      </c>
      <c r="O1866" s="6" t="s">
        <v>907</v>
      </c>
    </row>
    <row r="1867" spans="1:15">
      <c r="A1867" t="str">
        <f t="shared" si="87"/>
        <v>Jagung Bisi 18 20 X 1 kg456173343HBS18</v>
      </c>
      <c r="B1867" t="s">
        <v>11686</v>
      </c>
      <c r="C1867" t="s">
        <v>16249</v>
      </c>
      <c r="D1867" t="s">
        <v>13770</v>
      </c>
      <c r="E1867" t="s">
        <v>845</v>
      </c>
      <c r="F1867">
        <v>20</v>
      </c>
      <c r="G1867">
        <v>1</v>
      </c>
      <c r="H1867">
        <v>1</v>
      </c>
      <c r="I1867">
        <v>20</v>
      </c>
      <c r="J1867">
        <v>22520</v>
      </c>
      <c r="K1867">
        <f t="shared" si="88"/>
        <v>1126</v>
      </c>
      <c r="L1867">
        <f t="shared" si="89"/>
        <v>0</v>
      </c>
      <c r="M1867">
        <v>22520</v>
      </c>
      <c r="N1867" s="3">
        <v>45617</v>
      </c>
      <c r="O1867" s="6" t="s">
        <v>908</v>
      </c>
    </row>
    <row r="1868" spans="1:15">
      <c r="A1868" t="str">
        <f t="shared" si="87"/>
        <v>Jagung Bisi 18 20 X 1 kg455913166HBS18</v>
      </c>
      <c r="B1868" t="s">
        <v>11687</v>
      </c>
      <c r="C1868" t="s">
        <v>16250</v>
      </c>
      <c r="D1868" t="s">
        <v>13771</v>
      </c>
      <c r="E1868" t="s">
        <v>845</v>
      </c>
      <c r="F1868">
        <v>20</v>
      </c>
      <c r="G1868">
        <v>1</v>
      </c>
      <c r="H1868">
        <v>1</v>
      </c>
      <c r="I1868">
        <v>20</v>
      </c>
      <c r="J1868">
        <v>22660</v>
      </c>
      <c r="K1868">
        <f t="shared" si="88"/>
        <v>1133</v>
      </c>
      <c r="L1868">
        <f t="shared" si="89"/>
        <v>0</v>
      </c>
      <c r="M1868">
        <v>22660</v>
      </c>
      <c r="N1868" s="3">
        <v>45591</v>
      </c>
      <c r="O1868" s="6" t="s">
        <v>909</v>
      </c>
    </row>
    <row r="1869" spans="1:15">
      <c r="A1869" t="str">
        <f t="shared" si="87"/>
        <v>Jagung Bisi 18 20 X 1 kg456374036HBS18</v>
      </c>
      <c r="B1869" t="s">
        <v>11688</v>
      </c>
      <c r="C1869" t="s">
        <v>16251</v>
      </c>
      <c r="D1869" t="s">
        <v>13772</v>
      </c>
      <c r="E1869" t="s">
        <v>845</v>
      </c>
      <c r="F1869">
        <v>20</v>
      </c>
      <c r="G1869">
        <v>1</v>
      </c>
      <c r="H1869">
        <v>1</v>
      </c>
      <c r="I1869">
        <v>20</v>
      </c>
      <c r="J1869">
        <v>23020</v>
      </c>
      <c r="K1869">
        <f t="shared" si="88"/>
        <v>1151</v>
      </c>
      <c r="L1869">
        <f t="shared" si="89"/>
        <v>0</v>
      </c>
      <c r="M1869">
        <v>23020</v>
      </c>
      <c r="N1869" s="3">
        <v>45637</v>
      </c>
      <c r="O1869" s="6" t="s">
        <v>910</v>
      </c>
    </row>
    <row r="1870" spans="1:15">
      <c r="A1870" t="str">
        <f t="shared" si="87"/>
        <v>Jagung Bisi 18 20 X 1 kg456293372HBS18</v>
      </c>
      <c r="B1870" t="s">
        <v>11689</v>
      </c>
      <c r="C1870" t="s">
        <v>16252</v>
      </c>
      <c r="D1870" t="s">
        <v>13773</v>
      </c>
      <c r="E1870" t="s">
        <v>845</v>
      </c>
      <c r="F1870">
        <v>20</v>
      </c>
      <c r="G1870">
        <v>1</v>
      </c>
      <c r="H1870">
        <v>1</v>
      </c>
      <c r="I1870">
        <v>20</v>
      </c>
      <c r="J1870">
        <v>23900</v>
      </c>
      <c r="K1870">
        <f t="shared" si="88"/>
        <v>1195</v>
      </c>
      <c r="L1870">
        <f t="shared" si="89"/>
        <v>0</v>
      </c>
      <c r="M1870">
        <v>23900</v>
      </c>
      <c r="N1870" s="3">
        <v>45629</v>
      </c>
      <c r="O1870" s="6" t="s">
        <v>911</v>
      </c>
    </row>
    <row r="1871" spans="1:15">
      <c r="A1871" t="str">
        <f t="shared" si="87"/>
        <v>Jagung Bisi 18 20 X 1 kg455963188HBS18</v>
      </c>
      <c r="B1871" t="s">
        <v>11690</v>
      </c>
      <c r="C1871" t="s">
        <v>16253</v>
      </c>
      <c r="D1871" t="s">
        <v>13774</v>
      </c>
      <c r="E1871" t="s">
        <v>845</v>
      </c>
      <c r="F1871">
        <v>20</v>
      </c>
      <c r="G1871">
        <v>1</v>
      </c>
      <c r="H1871">
        <v>1</v>
      </c>
      <c r="I1871">
        <v>20</v>
      </c>
      <c r="J1871">
        <v>24000</v>
      </c>
      <c r="K1871">
        <f t="shared" si="88"/>
        <v>1200</v>
      </c>
      <c r="L1871">
        <f t="shared" si="89"/>
        <v>0</v>
      </c>
      <c r="M1871">
        <v>24000</v>
      </c>
      <c r="N1871" s="3">
        <v>45596</v>
      </c>
      <c r="O1871" s="6" t="s">
        <v>912</v>
      </c>
    </row>
    <row r="1872" spans="1:15">
      <c r="A1872" t="str">
        <f t="shared" si="87"/>
        <v>Jagung Bisi 18 20 X 1 kg455953191HBS18</v>
      </c>
      <c r="B1872" t="s">
        <v>11691</v>
      </c>
      <c r="C1872" t="s">
        <v>16254</v>
      </c>
      <c r="D1872" t="s">
        <v>13775</v>
      </c>
      <c r="E1872" t="s">
        <v>845</v>
      </c>
      <c r="F1872">
        <v>20</v>
      </c>
      <c r="G1872">
        <v>1</v>
      </c>
      <c r="H1872">
        <v>1</v>
      </c>
      <c r="I1872">
        <v>20</v>
      </c>
      <c r="J1872">
        <v>24000</v>
      </c>
      <c r="K1872">
        <f t="shared" si="88"/>
        <v>1200</v>
      </c>
      <c r="L1872">
        <f t="shared" si="89"/>
        <v>0</v>
      </c>
      <c r="M1872">
        <v>24000</v>
      </c>
      <c r="N1872" s="3">
        <v>45595</v>
      </c>
      <c r="O1872" s="6" t="s">
        <v>913</v>
      </c>
    </row>
    <row r="1873" spans="1:15">
      <c r="A1873" t="str">
        <f t="shared" si="87"/>
        <v>Jagung Bisi 18 20 X 1 kg455953168HBS18</v>
      </c>
      <c r="B1873" t="s">
        <v>11692</v>
      </c>
      <c r="C1873" t="s">
        <v>16255</v>
      </c>
      <c r="D1873" t="s">
        <v>13776</v>
      </c>
      <c r="E1873" t="s">
        <v>845</v>
      </c>
      <c r="F1873">
        <v>20</v>
      </c>
      <c r="G1873">
        <v>1</v>
      </c>
      <c r="H1873">
        <v>1</v>
      </c>
      <c r="I1873">
        <v>20</v>
      </c>
      <c r="J1873">
        <v>24100</v>
      </c>
      <c r="K1873">
        <f t="shared" si="88"/>
        <v>1205</v>
      </c>
      <c r="L1873">
        <f t="shared" si="89"/>
        <v>0</v>
      </c>
      <c r="M1873">
        <v>24100</v>
      </c>
      <c r="N1873" s="3">
        <v>45595</v>
      </c>
      <c r="O1873" s="6" t="s">
        <v>914</v>
      </c>
    </row>
    <row r="1874" spans="1:15">
      <c r="A1874" t="str">
        <f t="shared" si="87"/>
        <v>Jagung Bisi 18 20 X 1 kg455843126HBS18</v>
      </c>
      <c r="B1874" t="s">
        <v>11693</v>
      </c>
      <c r="C1874" t="s">
        <v>16256</v>
      </c>
      <c r="D1874" t="s">
        <v>13777</v>
      </c>
      <c r="E1874" t="s">
        <v>845</v>
      </c>
      <c r="F1874">
        <v>20</v>
      </c>
      <c r="G1874">
        <v>1</v>
      </c>
      <c r="H1874">
        <v>1</v>
      </c>
      <c r="I1874">
        <v>20</v>
      </c>
      <c r="J1874">
        <v>25000</v>
      </c>
      <c r="K1874">
        <f t="shared" si="88"/>
        <v>1250</v>
      </c>
      <c r="L1874">
        <f t="shared" si="89"/>
        <v>0</v>
      </c>
      <c r="M1874">
        <v>25000</v>
      </c>
      <c r="N1874" s="3">
        <v>45584</v>
      </c>
      <c r="O1874" s="6" t="s">
        <v>915</v>
      </c>
    </row>
    <row r="1875" spans="1:15">
      <c r="A1875" t="str">
        <f t="shared" si="87"/>
        <v>Jagung Bisi 18 20 X 1 kg455973190HBS18</v>
      </c>
      <c r="B1875" t="s">
        <v>11694</v>
      </c>
      <c r="C1875" t="s">
        <v>16257</v>
      </c>
      <c r="D1875" t="s">
        <v>13778</v>
      </c>
      <c r="E1875" t="s">
        <v>845</v>
      </c>
      <c r="F1875">
        <v>20</v>
      </c>
      <c r="G1875">
        <v>1</v>
      </c>
      <c r="H1875">
        <v>1</v>
      </c>
      <c r="I1875">
        <v>20</v>
      </c>
      <c r="J1875">
        <v>25020</v>
      </c>
      <c r="K1875">
        <f t="shared" si="88"/>
        <v>1251</v>
      </c>
      <c r="L1875">
        <f t="shared" si="89"/>
        <v>0</v>
      </c>
      <c r="M1875">
        <v>25020</v>
      </c>
      <c r="N1875" s="3">
        <v>45597</v>
      </c>
      <c r="O1875" s="6" t="s">
        <v>916</v>
      </c>
    </row>
    <row r="1876" spans="1:15">
      <c r="A1876" t="str">
        <f t="shared" si="87"/>
        <v>Jagung Bisi 18 20 X 1 kg455843105HBS18</v>
      </c>
      <c r="B1876" t="s">
        <v>11695</v>
      </c>
      <c r="C1876" t="s">
        <v>16258</v>
      </c>
      <c r="D1876" t="s">
        <v>13779</v>
      </c>
      <c r="E1876" t="s">
        <v>845</v>
      </c>
      <c r="F1876">
        <v>20</v>
      </c>
      <c r="G1876">
        <v>1</v>
      </c>
      <c r="H1876">
        <v>1</v>
      </c>
      <c r="I1876">
        <v>20</v>
      </c>
      <c r="J1876">
        <v>25760</v>
      </c>
      <c r="K1876">
        <f t="shared" si="88"/>
        <v>1288</v>
      </c>
      <c r="L1876">
        <f t="shared" si="89"/>
        <v>0</v>
      </c>
      <c r="M1876">
        <v>25760</v>
      </c>
      <c r="N1876" s="3">
        <v>45584</v>
      </c>
      <c r="O1876" s="6" t="s">
        <v>917</v>
      </c>
    </row>
    <row r="1877" spans="1:15">
      <c r="A1877" t="str">
        <f t="shared" si="87"/>
        <v>Jagung Bisi 18 20 X 1 kg455793096HBS18</v>
      </c>
      <c r="B1877" t="s">
        <v>11696</v>
      </c>
      <c r="C1877" t="s">
        <v>16259</v>
      </c>
      <c r="D1877" t="s">
        <v>13780</v>
      </c>
      <c r="E1877" t="s">
        <v>845</v>
      </c>
      <c r="F1877">
        <v>20</v>
      </c>
      <c r="G1877">
        <v>1</v>
      </c>
      <c r="H1877">
        <v>1</v>
      </c>
      <c r="I1877">
        <v>20</v>
      </c>
      <c r="J1877">
        <v>25800</v>
      </c>
      <c r="K1877">
        <f t="shared" si="88"/>
        <v>1290</v>
      </c>
      <c r="L1877">
        <f t="shared" si="89"/>
        <v>0</v>
      </c>
      <c r="M1877">
        <v>25800</v>
      </c>
      <c r="N1877" s="3">
        <v>45579</v>
      </c>
      <c r="O1877" s="6" t="s">
        <v>918</v>
      </c>
    </row>
    <row r="1878" spans="1:15">
      <c r="A1878" t="str">
        <f t="shared" si="87"/>
        <v>Jagung Bisi 18 20 X 1 kg456313387HBS18</v>
      </c>
      <c r="B1878" t="s">
        <v>11697</v>
      </c>
      <c r="C1878" t="s">
        <v>16260</v>
      </c>
      <c r="D1878" t="s">
        <v>13781</v>
      </c>
      <c r="E1878" t="s">
        <v>845</v>
      </c>
      <c r="F1878">
        <v>20</v>
      </c>
      <c r="G1878">
        <v>1</v>
      </c>
      <c r="H1878">
        <v>1</v>
      </c>
      <c r="I1878">
        <v>20</v>
      </c>
      <c r="J1878">
        <v>25900</v>
      </c>
      <c r="K1878">
        <f t="shared" si="88"/>
        <v>1295</v>
      </c>
      <c r="L1878">
        <f t="shared" si="89"/>
        <v>0</v>
      </c>
      <c r="M1878">
        <v>25900</v>
      </c>
      <c r="N1878" s="3">
        <v>45631</v>
      </c>
      <c r="O1878" s="6" t="s">
        <v>919</v>
      </c>
    </row>
    <row r="1879" spans="1:15">
      <c r="A1879" t="str">
        <f t="shared" si="87"/>
        <v>Jagung Bisi 18 20 X 1 kg455973193HBS18</v>
      </c>
      <c r="B1879" t="s">
        <v>11698</v>
      </c>
      <c r="C1879" t="s">
        <v>16261</v>
      </c>
      <c r="D1879" t="s">
        <v>13782</v>
      </c>
      <c r="E1879" t="s">
        <v>845</v>
      </c>
      <c r="F1879">
        <v>20</v>
      </c>
      <c r="G1879">
        <v>1</v>
      </c>
      <c r="H1879">
        <v>1</v>
      </c>
      <c r="I1879">
        <v>20</v>
      </c>
      <c r="J1879">
        <v>26880</v>
      </c>
      <c r="K1879">
        <f t="shared" si="88"/>
        <v>1344</v>
      </c>
      <c r="L1879">
        <f t="shared" si="89"/>
        <v>0</v>
      </c>
      <c r="M1879">
        <v>26880</v>
      </c>
      <c r="N1879" s="3">
        <v>45597</v>
      </c>
      <c r="O1879" s="6" t="s">
        <v>920</v>
      </c>
    </row>
    <row r="1880" spans="1:15">
      <c r="A1880" t="str">
        <f t="shared" si="87"/>
        <v>Jagung Bisi 18 20 X 1 kg455793098HBS18</v>
      </c>
      <c r="B1880" t="s">
        <v>11699</v>
      </c>
      <c r="C1880" t="s">
        <v>16262</v>
      </c>
      <c r="D1880" t="s">
        <v>13783</v>
      </c>
      <c r="E1880" t="s">
        <v>845</v>
      </c>
      <c r="F1880">
        <v>20</v>
      </c>
      <c r="G1880">
        <v>1</v>
      </c>
      <c r="H1880">
        <v>1</v>
      </c>
      <c r="I1880">
        <v>20</v>
      </c>
      <c r="J1880">
        <v>27300</v>
      </c>
      <c r="K1880">
        <f t="shared" si="88"/>
        <v>1365</v>
      </c>
      <c r="L1880">
        <f t="shared" si="89"/>
        <v>0</v>
      </c>
      <c r="M1880">
        <v>27300</v>
      </c>
      <c r="N1880" s="3">
        <v>45579</v>
      </c>
      <c r="O1880" s="6" t="s">
        <v>921</v>
      </c>
    </row>
    <row r="1881" spans="1:15">
      <c r="A1881" t="str">
        <f t="shared" si="87"/>
        <v>Jagung Bisi 18 20 X 1 kg456374034HBS18</v>
      </c>
      <c r="B1881" t="s">
        <v>11700</v>
      </c>
      <c r="C1881" t="s">
        <v>16263</v>
      </c>
      <c r="D1881" t="s">
        <v>13784</v>
      </c>
      <c r="E1881" t="s">
        <v>845</v>
      </c>
      <c r="F1881">
        <v>20</v>
      </c>
      <c r="G1881">
        <v>1</v>
      </c>
      <c r="H1881">
        <v>1</v>
      </c>
      <c r="I1881">
        <v>20</v>
      </c>
      <c r="J1881">
        <v>27300</v>
      </c>
      <c r="K1881">
        <f t="shared" si="88"/>
        <v>1365</v>
      </c>
      <c r="L1881">
        <f t="shared" si="89"/>
        <v>0</v>
      </c>
      <c r="M1881">
        <v>27300</v>
      </c>
      <c r="N1881" s="3">
        <v>45637</v>
      </c>
      <c r="O1881" s="6" t="s">
        <v>922</v>
      </c>
    </row>
    <row r="1882" spans="1:15">
      <c r="A1882" t="str">
        <f t="shared" si="87"/>
        <v>Jagung Bisi 18 20 X 1 kg456334032HBS18</v>
      </c>
      <c r="B1882" t="s">
        <v>11701</v>
      </c>
      <c r="C1882" t="s">
        <v>16264</v>
      </c>
      <c r="D1882" t="s">
        <v>13785</v>
      </c>
      <c r="E1882" t="s">
        <v>845</v>
      </c>
      <c r="F1882">
        <v>20</v>
      </c>
      <c r="G1882">
        <v>1</v>
      </c>
      <c r="H1882">
        <v>1</v>
      </c>
      <c r="I1882">
        <v>20</v>
      </c>
      <c r="J1882">
        <v>27800</v>
      </c>
      <c r="K1882">
        <f t="shared" si="88"/>
        <v>1390</v>
      </c>
      <c r="L1882">
        <f t="shared" si="89"/>
        <v>0</v>
      </c>
      <c r="M1882">
        <v>27800</v>
      </c>
      <c r="N1882" s="3">
        <v>45633</v>
      </c>
      <c r="O1882" s="6" t="s">
        <v>923</v>
      </c>
    </row>
    <row r="1883" spans="1:15">
      <c r="A1883" t="str">
        <f t="shared" si="87"/>
        <v>Jagung Bisi 18 20 X 1 kg455793097HBS18</v>
      </c>
      <c r="B1883" t="s">
        <v>11702</v>
      </c>
      <c r="C1883" t="s">
        <v>16265</v>
      </c>
      <c r="D1883" t="s">
        <v>13786</v>
      </c>
      <c r="E1883" t="s">
        <v>845</v>
      </c>
      <c r="F1883">
        <v>20</v>
      </c>
      <c r="G1883">
        <v>1</v>
      </c>
      <c r="H1883">
        <v>1</v>
      </c>
      <c r="I1883">
        <v>20</v>
      </c>
      <c r="J1883">
        <v>27800</v>
      </c>
      <c r="K1883">
        <f t="shared" si="88"/>
        <v>1390</v>
      </c>
      <c r="L1883">
        <f t="shared" si="89"/>
        <v>0</v>
      </c>
      <c r="M1883">
        <v>27800</v>
      </c>
      <c r="N1883" s="3">
        <v>45579</v>
      </c>
      <c r="O1883" s="6" t="s">
        <v>924</v>
      </c>
    </row>
    <row r="1884" spans="1:15">
      <c r="A1884" t="str">
        <f t="shared" si="87"/>
        <v>Jagung Bisi 18 20 X 1 kg456313370HBS18</v>
      </c>
      <c r="B1884" t="s">
        <v>11703</v>
      </c>
      <c r="C1884" t="s">
        <v>16266</v>
      </c>
      <c r="D1884" t="s">
        <v>13787</v>
      </c>
      <c r="E1884" t="s">
        <v>845</v>
      </c>
      <c r="F1884">
        <v>20</v>
      </c>
      <c r="G1884">
        <v>1</v>
      </c>
      <c r="H1884">
        <v>1</v>
      </c>
      <c r="I1884">
        <v>20</v>
      </c>
      <c r="J1884">
        <v>27800</v>
      </c>
      <c r="K1884">
        <f t="shared" si="88"/>
        <v>1390</v>
      </c>
      <c r="L1884">
        <f t="shared" si="89"/>
        <v>0</v>
      </c>
      <c r="M1884">
        <v>27800</v>
      </c>
      <c r="N1884" s="3">
        <v>45631</v>
      </c>
      <c r="O1884" s="6" t="s">
        <v>925</v>
      </c>
    </row>
    <row r="1885" spans="1:15">
      <c r="A1885" t="str">
        <f t="shared" si="87"/>
        <v>Jagung Bisi 18 20 X 1 kg456313357HBS18</v>
      </c>
      <c r="B1885" t="s">
        <v>11704</v>
      </c>
      <c r="C1885" t="s">
        <v>16267</v>
      </c>
      <c r="D1885" t="s">
        <v>13788</v>
      </c>
      <c r="E1885" t="s">
        <v>845</v>
      </c>
      <c r="F1885">
        <v>20</v>
      </c>
      <c r="G1885">
        <v>1</v>
      </c>
      <c r="H1885">
        <v>1</v>
      </c>
      <c r="I1885">
        <v>20</v>
      </c>
      <c r="J1885">
        <v>28200</v>
      </c>
      <c r="K1885">
        <f t="shared" si="88"/>
        <v>1410</v>
      </c>
      <c r="L1885">
        <f t="shared" si="89"/>
        <v>0</v>
      </c>
      <c r="M1885">
        <v>28200</v>
      </c>
      <c r="N1885" s="3">
        <v>45631</v>
      </c>
      <c r="O1885" s="6" t="s">
        <v>926</v>
      </c>
    </row>
    <row r="1886" spans="1:15">
      <c r="A1886" t="str">
        <f t="shared" si="87"/>
        <v>Jagung Bisi 18 20 X 1 kg455923128HBS18</v>
      </c>
      <c r="B1886" t="s">
        <v>11705</v>
      </c>
      <c r="C1886" t="s">
        <v>16268</v>
      </c>
      <c r="D1886" t="s">
        <v>13789</v>
      </c>
      <c r="E1886" t="s">
        <v>845</v>
      </c>
      <c r="F1886">
        <v>20</v>
      </c>
      <c r="G1886">
        <v>1</v>
      </c>
      <c r="H1886">
        <v>1</v>
      </c>
      <c r="I1886">
        <v>20</v>
      </c>
      <c r="J1886">
        <v>28780</v>
      </c>
      <c r="K1886">
        <f t="shared" si="88"/>
        <v>1439</v>
      </c>
      <c r="L1886">
        <f t="shared" si="89"/>
        <v>0</v>
      </c>
      <c r="M1886">
        <v>28780</v>
      </c>
      <c r="N1886" s="3">
        <v>45592</v>
      </c>
      <c r="O1886" s="6" t="s">
        <v>927</v>
      </c>
    </row>
    <row r="1887" spans="1:15">
      <c r="A1887" t="str">
        <f t="shared" si="87"/>
        <v>Jagung Bisi 18 20 X 1 kg456274023HBS18</v>
      </c>
      <c r="B1887" t="s">
        <v>11706</v>
      </c>
      <c r="C1887" t="s">
        <v>16269</v>
      </c>
      <c r="D1887" t="s">
        <v>13790</v>
      </c>
      <c r="E1887" t="s">
        <v>845</v>
      </c>
      <c r="F1887">
        <v>20</v>
      </c>
      <c r="G1887">
        <v>1</v>
      </c>
      <c r="H1887">
        <v>1</v>
      </c>
      <c r="I1887">
        <v>20</v>
      </c>
      <c r="J1887">
        <v>30700</v>
      </c>
      <c r="K1887">
        <f t="shared" si="88"/>
        <v>1535</v>
      </c>
      <c r="L1887">
        <f t="shared" si="89"/>
        <v>0</v>
      </c>
      <c r="M1887">
        <v>30700</v>
      </c>
      <c r="N1887" s="3">
        <v>45627</v>
      </c>
      <c r="O1887" s="6" t="s">
        <v>928</v>
      </c>
    </row>
    <row r="1888" spans="1:15">
      <c r="A1888" t="str">
        <f t="shared" si="87"/>
        <v>Jagung Bisi 18 20 X 1 kg456284021HBS18</v>
      </c>
      <c r="B1888" t="s">
        <v>11707</v>
      </c>
      <c r="C1888" t="s">
        <v>16270</v>
      </c>
      <c r="D1888" t="s">
        <v>13791</v>
      </c>
      <c r="E1888" t="s">
        <v>845</v>
      </c>
      <c r="F1888">
        <v>20</v>
      </c>
      <c r="G1888">
        <v>1</v>
      </c>
      <c r="H1888">
        <v>1</v>
      </c>
      <c r="I1888">
        <v>20</v>
      </c>
      <c r="J1888">
        <v>33000</v>
      </c>
      <c r="K1888">
        <f t="shared" si="88"/>
        <v>1650</v>
      </c>
      <c r="L1888">
        <f t="shared" si="89"/>
        <v>0</v>
      </c>
      <c r="M1888">
        <v>33000</v>
      </c>
      <c r="N1888" s="3">
        <v>45628</v>
      </c>
      <c r="O1888" s="6" t="s">
        <v>929</v>
      </c>
    </row>
    <row r="1889" spans="1:15">
      <c r="A1889" t="str">
        <f t="shared" si="87"/>
        <v>Jagung Bisi 18 20 X 1 kg456334033HBS18</v>
      </c>
      <c r="B1889" t="s">
        <v>11708</v>
      </c>
      <c r="C1889" t="s">
        <v>16271</v>
      </c>
      <c r="D1889" t="s">
        <v>13792</v>
      </c>
      <c r="E1889" t="s">
        <v>845</v>
      </c>
      <c r="F1889">
        <v>20</v>
      </c>
      <c r="G1889">
        <v>1</v>
      </c>
      <c r="H1889">
        <v>1</v>
      </c>
      <c r="I1889">
        <v>20</v>
      </c>
      <c r="J1889">
        <v>38600</v>
      </c>
      <c r="K1889">
        <f t="shared" si="88"/>
        <v>1930</v>
      </c>
      <c r="L1889">
        <f t="shared" si="89"/>
        <v>0</v>
      </c>
      <c r="M1889">
        <v>38600</v>
      </c>
      <c r="N1889" s="3">
        <v>45633</v>
      </c>
      <c r="O1889" s="6" t="s">
        <v>930</v>
      </c>
    </row>
    <row r="1890" spans="1:15">
      <c r="A1890" t="str">
        <f t="shared" si="87"/>
        <v>Jagung Bisi 18 20 X 1 kg456334031HBS18</v>
      </c>
      <c r="B1890" t="s">
        <v>11709</v>
      </c>
      <c r="C1890" t="s">
        <v>16272</v>
      </c>
      <c r="D1890" t="s">
        <v>13793</v>
      </c>
      <c r="E1890" t="s">
        <v>845</v>
      </c>
      <c r="F1890">
        <v>20</v>
      </c>
      <c r="G1890">
        <v>1</v>
      </c>
      <c r="H1890">
        <v>1</v>
      </c>
      <c r="I1890">
        <v>20</v>
      </c>
      <c r="J1890">
        <v>40000</v>
      </c>
      <c r="K1890">
        <f t="shared" si="88"/>
        <v>2000</v>
      </c>
      <c r="L1890">
        <f t="shared" si="89"/>
        <v>0</v>
      </c>
      <c r="M1890">
        <v>40000</v>
      </c>
      <c r="N1890" s="3">
        <v>45633</v>
      </c>
      <c r="O1890" s="6" t="s">
        <v>931</v>
      </c>
    </row>
    <row r="1891" spans="1:15">
      <c r="A1891" t="str">
        <f t="shared" si="87"/>
        <v>Jagung Bisi 18 20 X 1 kg456314026HBS18</v>
      </c>
      <c r="B1891" t="s">
        <v>11710</v>
      </c>
      <c r="C1891" t="s">
        <v>16273</v>
      </c>
      <c r="D1891" t="s">
        <v>13794</v>
      </c>
      <c r="E1891" t="s">
        <v>845</v>
      </c>
      <c r="F1891">
        <v>20</v>
      </c>
      <c r="G1891">
        <v>1</v>
      </c>
      <c r="H1891">
        <v>1</v>
      </c>
      <c r="I1891">
        <v>20</v>
      </c>
      <c r="J1891">
        <v>40000</v>
      </c>
      <c r="K1891">
        <f t="shared" si="88"/>
        <v>2000</v>
      </c>
      <c r="L1891">
        <f t="shared" si="89"/>
        <v>0</v>
      </c>
      <c r="M1891">
        <v>40000</v>
      </c>
      <c r="N1891" s="3">
        <v>45631</v>
      </c>
      <c r="O1891" s="6" t="s">
        <v>932</v>
      </c>
    </row>
    <row r="1892" spans="1:15">
      <c r="A1892" t="str">
        <f t="shared" si="87"/>
        <v>Jagung Bisi 18 20 X 1 kg456324029HBS18</v>
      </c>
      <c r="B1892" t="s">
        <v>11711</v>
      </c>
      <c r="C1892" t="s">
        <v>16274</v>
      </c>
      <c r="D1892" t="s">
        <v>13795</v>
      </c>
      <c r="E1892" t="s">
        <v>845</v>
      </c>
      <c r="F1892">
        <v>20</v>
      </c>
      <c r="G1892">
        <v>1</v>
      </c>
      <c r="H1892">
        <v>1</v>
      </c>
      <c r="I1892">
        <v>20</v>
      </c>
      <c r="J1892">
        <v>40000</v>
      </c>
      <c r="K1892">
        <f t="shared" si="88"/>
        <v>2000</v>
      </c>
      <c r="L1892">
        <f t="shared" si="89"/>
        <v>0</v>
      </c>
      <c r="M1892">
        <v>40000</v>
      </c>
      <c r="N1892" s="3">
        <v>45632</v>
      </c>
      <c r="O1892" s="6" t="s">
        <v>933</v>
      </c>
    </row>
    <row r="1893" spans="1:15">
      <c r="A1893" t="str">
        <f t="shared" si="87"/>
        <v>Jagung Bisi 18 20 X 1 kg456274020HBS18</v>
      </c>
      <c r="B1893" t="s">
        <v>11712</v>
      </c>
      <c r="C1893" t="s">
        <v>16275</v>
      </c>
      <c r="D1893" t="s">
        <v>13796</v>
      </c>
      <c r="E1893" t="s">
        <v>845</v>
      </c>
      <c r="F1893">
        <v>20</v>
      </c>
      <c r="G1893">
        <v>1</v>
      </c>
      <c r="H1893">
        <v>1</v>
      </c>
      <c r="I1893">
        <v>20</v>
      </c>
      <c r="J1893">
        <v>40000</v>
      </c>
      <c r="K1893">
        <f t="shared" si="88"/>
        <v>2000</v>
      </c>
      <c r="L1893">
        <f t="shared" si="89"/>
        <v>0</v>
      </c>
      <c r="M1893">
        <v>40000</v>
      </c>
      <c r="N1893" s="3">
        <v>45627</v>
      </c>
      <c r="O1893" s="6" t="s">
        <v>934</v>
      </c>
    </row>
    <row r="1894" spans="1:15">
      <c r="A1894" t="str">
        <f t="shared" si="87"/>
        <v>Jagung Bisi 18 20 X 1 kg456264022HBS18</v>
      </c>
      <c r="B1894" t="s">
        <v>11713</v>
      </c>
      <c r="C1894" t="s">
        <v>16276</v>
      </c>
      <c r="D1894" t="s">
        <v>13797</v>
      </c>
      <c r="E1894" t="s">
        <v>845</v>
      </c>
      <c r="F1894">
        <v>20</v>
      </c>
      <c r="G1894">
        <v>1</v>
      </c>
      <c r="H1894">
        <v>1</v>
      </c>
      <c r="I1894">
        <v>20</v>
      </c>
      <c r="J1894">
        <v>40000</v>
      </c>
      <c r="K1894">
        <f t="shared" si="88"/>
        <v>2000</v>
      </c>
      <c r="L1894">
        <f t="shared" si="89"/>
        <v>0</v>
      </c>
      <c r="M1894">
        <v>40000</v>
      </c>
      <c r="N1894" s="3">
        <v>45626</v>
      </c>
      <c r="O1894" s="6" t="s">
        <v>935</v>
      </c>
    </row>
    <row r="1895" spans="1:15">
      <c r="A1895" t="str">
        <f t="shared" si="87"/>
        <v>Jagung Bisi 18 20 X 1 kg456254018HBS18</v>
      </c>
      <c r="B1895" t="s">
        <v>11714</v>
      </c>
      <c r="C1895" t="s">
        <v>16277</v>
      </c>
      <c r="D1895" t="s">
        <v>13798</v>
      </c>
      <c r="E1895" t="s">
        <v>845</v>
      </c>
      <c r="F1895">
        <v>20</v>
      </c>
      <c r="G1895">
        <v>1</v>
      </c>
      <c r="H1895">
        <v>1</v>
      </c>
      <c r="I1895">
        <v>20</v>
      </c>
      <c r="J1895">
        <v>40000</v>
      </c>
      <c r="K1895">
        <f t="shared" si="88"/>
        <v>2000</v>
      </c>
      <c r="L1895">
        <f t="shared" si="89"/>
        <v>0</v>
      </c>
      <c r="M1895">
        <v>40000</v>
      </c>
      <c r="N1895" s="3">
        <v>45625</v>
      </c>
      <c r="O1895" s="6" t="s">
        <v>936</v>
      </c>
    </row>
    <row r="1896" spans="1:15">
      <c r="A1896" t="str">
        <f t="shared" si="87"/>
        <v>Jagung Bisi 18 20 X 1 kg456254019HBS18</v>
      </c>
      <c r="B1896" t="s">
        <v>11715</v>
      </c>
      <c r="C1896" t="s">
        <v>16278</v>
      </c>
      <c r="D1896" t="s">
        <v>13799</v>
      </c>
      <c r="E1896" t="s">
        <v>845</v>
      </c>
      <c r="F1896">
        <v>20</v>
      </c>
      <c r="G1896">
        <v>1</v>
      </c>
      <c r="H1896">
        <v>1</v>
      </c>
      <c r="I1896">
        <v>20</v>
      </c>
      <c r="J1896">
        <v>40000</v>
      </c>
      <c r="K1896">
        <f t="shared" si="88"/>
        <v>2000</v>
      </c>
      <c r="L1896">
        <f t="shared" si="89"/>
        <v>0</v>
      </c>
      <c r="M1896">
        <v>40000</v>
      </c>
      <c r="N1896" s="3">
        <v>45625</v>
      </c>
      <c r="O1896" s="6" t="s">
        <v>937</v>
      </c>
    </row>
    <row r="1897" spans="1:15">
      <c r="A1897" t="str">
        <f t="shared" si="87"/>
        <v>Jagung Bisi 2 20 X 1 kg456343425HBS2</v>
      </c>
      <c r="B1897" t="s">
        <v>11716</v>
      </c>
      <c r="C1897" t="s">
        <v>16279</v>
      </c>
      <c r="D1897" t="s">
        <v>13800</v>
      </c>
      <c r="E1897" t="s">
        <v>938</v>
      </c>
      <c r="F1897">
        <v>20</v>
      </c>
      <c r="G1897">
        <v>1</v>
      </c>
      <c r="H1897">
        <v>1</v>
      </c>
      <c r="I1897">
        <v>20</v>
      </c>
      <c r="J1897">
        <v>2</v>
      </c>
      <c r="K1897">
        <f t="shared" si="88"/>
        <v>0</v>
      </c>
      <c r="L1897">
        <f t="shared" si="89"/>
        <v>2</v>
      </c>
      <c r="M1897">
        <v>2</v>
      </c>
      <c r="N1897" s="3">
        <v>45634</v>
      </c>
      <c r="O1897" s="6" t="s">
        <v>939</v>
      </c>
    </row>
    <row r="1898" spans="1:15">
      <c r="A1898" t="str">
        <f t="shared" si="87"/>
        <v>Jagung Bisi 2 20 X 1 kg457732293HBS2</v>
      </c>
      <c r="B1898" t="s">
        <v>11717</v>
      </c>
      <c r="C1898" t="s">
        <v>16280</v>
      </c>
      <c r="D1898" t="s">
        <v>13801</v>
      </c>
      <c r="E1898" t="s">
        <v>938</v>
      </c>
      <c r="F1898">
        <v>20</v>
      </c>
      <c r="G1898">
        <v>1</v>
      </c>
      <c r="H1898">
        <v>1</v>
      </c>
      <c r="I1898">
        <v>20</v>
      </c>
      <c r="J1898">
        <v>4</v>
      </c>
      <c r="K1898">
        <f t="shared" si="88"/>
        <v>0</v>
      </c>
      <c r="L1898">
        <f t="shared" si="89"/>
        <v>4</v>
      </c>
      <c r="M1898">
        <v>4</v>
      </c>
      <c r="N1898" s="3">
        <v>45773</v>
      </c>
      <c r="O1898" s="6" t="s">
        <v>940</v>
      </c>
    </row>
    <row r="1899" spans="1:15">
      <c r="A1899" t="str">
        <f t="shared" si="87"/>
        <v>Jagung Bisi 2 20 X 1 kg457802275HBS2</v>
      </c>
      <c r="B1899" t="s">
        <v>11718</v>
      </c>
      <c r="C1899" t="s">
        <v>16281</v>
      </c>
      <c r="D1899" t="s">
        <v>13802</v>
      </c>
      <c r="E1899" t="s">
        <v>938</v>
      </c>
      <c r="F1899">
        <v>20</v>
      </c>
      <c r="G1899">
        <v>1</v>
      </c>
      <c r="H1899">
        <v>1</v>
      </c>
      <c r="I1899">
        <v>20</v>
      </c>
      <c r="J1899">
        <v>20</v>
      </c>
      <c r="K1899">
        <f t="shared" si="88"/>
        <v>1</v>
      </c>
      <c r="L1899">
        <f t="shared" si="89"/>
        <v>0</v>
      </c>
      <c r="M1899">
        <v>20</v>
      </c>
      <c r="N1899" s="3">
        <v>45780</v>
      </c>
      <c r="O1899" s="6" t="s">
        <v>941</v>
      </c>
    </row>
    <row r="1900" spans="1:15">
      <c r="A1900" t="str">
        <f t="shared" si="87"/>
        <v>Jagung Bisi 2 20 X 1 kg457732305HBS2</v>
      </c>
      <c r="B1900" t="s">
        <v>11719</v>
      </c>
      <c r="C1900" t="s">
        <v>16282</v>
      </c>
      <c r="D1900" t="s">
        <v>13803</v>
      </c>
      <c r="E1900" t="s">
        <v>938</v>
      </c>
      <c r="F1900">
        <v>20</v>
      </c>
      <c r="G1900">
        <v>1</v>
      </c>
      <c r="H1900">
        <v>1</v>
      </c>
      <c r="I1900">
        <v>20</v>
      </c>
      <c r="J1900">
        <v>320</v>
      </c>
      <c r="K1900">
        <f t="shared" si="88"/>
        <v>16</v>
      </c>
      <c r="L1900">
        <f t="shared" si="89"/>
        <v>0</v>
      </c>
      <c r="M1900">
        <v>320</v>
      </c>
      <c r="N1900" s="3">
        <v>45773</v>
      </c>
      <c r="O1900" s="6" t="s">
        <v>942</v>
      </c>
    </row>
    <row r="1901" spans="1:15">
      <c r="A1901" t="str">
        <f t="shared" si="87"/>
        <v>Jagung Bisi 2 20 X 1 kg457802274HBS2</v>
      </c>
      <c r="B1901" t="s">
        <v>11720</v>
      </c>
      <c r="C1901" t="s">
        <v>16283</v>
      </c>
      <c r="D1901" t="s">
        <v>13804</v>
      </c>
      <c r="E1901" t="s">
        <v>938</v>
      </c>
      <c r="F1901">
        <v>20</v>
      </c>
      <c r="G1901">
        <v>1</v>
      </c>
      <c r="H1901">
        <v>1</v>
      </c>
      <c r="I1901">
        <v>20</v>
      </c>
      <c r="J1901">
        <v>431</v>
      </c>
      <c r="K1901">
        <f t="shared" si="88"/>
        <v>21</v>
      </c>
      <c r="L1901">
        <f t="shared" si="89"/>
        <v>11</v>
      </c>
      <c r="M1901">
        <v>431</v>
      </c>
      <c r="N1901" s="3">
        <v>45780</v>
      </c>
      <c r="O1901" s="6" t="s">
        <v>943</v>
      </c>
    </row>
    <row r="1902" spans="1:15">
      <c r="A1902" t="str">
        <f t="shared" si="87"/>
        <v>Jagung Bisi 2 20 X 1 kg457872375HBS2</v>
      </c>
      <c r="B1902" t="s">
        <v>11721</v>
      </c>
      <c r="C1902" t="s">
        <v>16284</v>
      </c>
      <c r="D1902" t="s">
        <v>13805</v>
      </c>
      <c r="E1902" t="s">
        <v>938</v>
      </c>
      <c r="F1902">
        <v>20</v>
      </c>
      <c r="G1902">
        <v>1</v>
      </c>
      <c r="H1902">
        <v>1</v>
      </c>
      <c r="I1902">
        <v>20</v>
      </c>
      <c r="J1902">
        <v>2000</v>
      </c>
      <c r="K1902">
        <f t="shared" si="88"/>
        <v>100</v>
      </c>
      <c r="L1902">
        <f t="shared" si="89"/>
        <v>0</v>
      </c>
      <c r="M1902">
        <v>2000</v>
      </c>
      <c r="N1902" s="3">
        <v>45787</v>
      </c>
      <c r="O1902" s="6" t="s">
        <v>944</v>
      </c>
    </row>
    <row r="1903" spans="1:15">
      <c r="A1903" t="str">
        <f t="shared" si="87"/>
        <v>Jagung Bisi 321 20 X 1 kg456303358HBS321</v>
      </c>
      <c r="B1903" t="s">
        <v>11722</v>
      </c>
      <c r="C1903" t="s">
        <v>16285</v>
      </c>
      <c r="D1903" t="s">
        <v>13806</v>
      </c>
      <c r="E1903" t="s">
        <v>945</v>
      </c>
      <c r="F1903">
        <v>20</v>
      </c>
      <c r="G1903">
        <v>1</v>
      </c>
      <c r="H1903">
        <v>1</v>
      </c>
      <c r="I1903">
        <v>20</v>
      </c>
      <c r="J1903">
        <v>19</v>
      </c>
      <c r="K1903">
        <f t="shared" si="88"/>
        <v>0</v>
      </c>
      <c r="L1903">
        <f t="shared" si="89"/>
        <v>19</v>
      </c>
      <c r="M1903">
        <v>19</v>
      </c>
      <c r="N1903" s="3">
        <v>45630</v>
      </c>
      <c r="O1903" s="6" t="s">
        <v>946</v>
      </c>
    </row>
    <row r="1904" spans="1:15">
      <c r="A1904" t="str">
        <f t="shared" si="87"/>
        <v>Jagung Bisi 321 20 X 1 kg (+Kaos)457982381HBS321</v>
      </c>
      <c r="B1904" t="s">
        <v>11723</v>
      </c>
      <c r="C1904" t="s">
        <v>16286</v>
      </c>
      <c r="D1904" t="s">
        <v>13807</v>
      </c>
      <c r="E1904" t="s">
        <v>947</v>
      </c>
      <c r="F1904">
        <v>20</v>
      </c>
      <c r="G1904">
        <v>1</v>
      </c>
      <c r="H1904">
        <v>1</v>
      </c>
      <c r="I1904">
        <v>20</v>
      </c>
      <c r="J1904">
        <v>2330</v>
      </c>
      <c r="K1904">
        <f t="shared" si="88"/>
        <v>116</v>
      </c>
      <c r="L1904">
        <f t="shared" si="89"/>
        <v>10</v>
      </c>
      <c r="M1904">
        <v>2330</v>
      </c>
      <c r="N1904" s="3">
        <v>45798</v>
      </c>
      <c r="O1904" s="6" t="s">
        <v>948</v>
      </c>
    </row>
    <row r="1905" spans="1:15">
      <c r="A1905" t="str">
        <f t="shared" si="87"/>
        <v>Jagung Bisi 322 20 X 1 kg455673016HBS322</v>
      </c>
      <c r="B1905" t="s">
        <v>11724</v>
      </c>
      <c r="C1905" t="s">
        <v>16287</v>
      </c>
      <c r="D1905" t="s">
        <v>13808</v>
      </c>
      <c r="E1905" t="s">
        <v>949</v>
      </c>
      <c r="F1905">
        <v>20</v>
      </c>
      <c r="G1905">
        <v>1</v>
      </c>
      <c r="H1905">
        <v>1</v>
      </c>
      <c r="I1905">
        <v>20</v>
      </c>
      <c r="J1905">
        <v>680</v>
      </c>
      <c r="K1905">
        <f t="shared" si="88"/>
        <v>34</v>
      </c>
      <c r="L1905">
        <f t="shared" si="89"/>
        <v>0</v>
      </c>
      <c r="M1905">
        <v>680</v>
      </c>
      <c r="N1905" s="3">
        <v>45567</v>
      </c>
      <c r="O1905" s="6" t="s">
        <v>950</v>
      </c>
    </row>
    <row r="1906" spans="1:15">
      <c r="A1906" t="str">
        <f t="shared" si="87"/>
        <v>Jagung Bisi 77 20 X 1 kg455783066HBS77</v>
      </c>
      <c r="B1906" t="s">
        <v>11725</v>
      </c>
      <c r="C1906" t="s">
        <v>16288</v>
      </c>
      <c r="D1906" t="s">
        <v>13809</v>
      </c>
      <c r="E1906" t="s">
        <v>951</v>
      </c>
      <c r="F1906">
        <v>20</v>
      </c>
      <c r="G1906">
        <v>1</v>
      </c>
      <c r="H1906">
        <v>1</v>
      </c>
      <c r="I1906">
        <v>20</v>
      </c>
      <c r="J1906">
        <v>1300</v>
      </c>
      <c r="K1906">
        <f t="shared" si="88"/>
        <v>65</v>
      </c>
      <c r="L1906">
        <f t="shared" si="89"/>
        <v>0</v>
      </c>
      <c r="M1906">
        <v>1300</v>
      </c>
      <c r="N1906" s="3">
        <v>45578</v>
      </c>
      <c r="O1906" s="6" t="s">
        <v>952</v>
      </c>
    </row>
    <row r="1907" spans="1:15">
      <c r="A1907" t="str">
        <f t="shared" si="87"/>
        <v>Jagung Bisi 77 20 X 1 kg455673017HBS77</v>
      </c>
      <c r="B1907" t="s">
        <v>11726</v>
      </c>
      <c r="C1907" t="s">
        <v>16289</v>
      </c>
      <c r="D1907" t="s">
        <v>13810</v>
      </c>
      <c r="E1907" t="s">
        <v>951</v>
      </c>
      <c r="F1907">
        <v>20</v>
      </c>
      <c r="G1907">
        <v>1</v>
      </c>
      <c r="H1907">
        <v>1</v>
      </c>
      <c r="I1907">
        <v>20</v>
      </c>
      <c r="J1907">
        <v>4870</v>
      </c>
      <c r="K1907">
        <f t="shared" si="88"/>
        <v>243</v>
      </c>
      <c r="L1907">
        <f t="shared" si="89"/>
        <v>10</v>
      </c>
      <c r="M1907">
        <v>4870</v>
      </c>
      <c r="N1907" s="3">
        <v>45567</v>
      </c>
      <c r="O1907" s="6" t="s">
        <v>953</v>
      </c>
    </row>
    <row r="1908" spans="1:15">
      <c r="A1908" t="str">
        <f t="shared" si="87"/>
        <v>Jagung Bisi 959 20 X 1 kg455783049HBS959</v>
      </c>
      <c r="B1908" t="s">
        <v>11727</v>
      </c>
      <c r="C1908" t="s">
        <v>16290</v>
      </c>
      <c r="D1908" t="s">
        <v>13811</v>
      </c>
      <c r="E1908" t="s">
        <v>954</v>
      </c>
      <c r="F1908">
        <v>20</v>
      </c>
      <c r="G1908">
        <v>1</v>
      </c>
      <c r="H1908">
        <v>1</v>
      </c>
      <c r="I1908">
        <v>20</v>
      </c>
      <c r="J1908">
        <v>2</v>
      </c>
      <c r="K1908">
        <f t="shared" si="88"/>
        <v>0</v>
      </c>
      <c r="L1908">
        <f t="shared" si="89"/>
        <v>2</v>
      </c>
      <c r="M1908">
        <v>2</v>
      </c>
      <c r="N1908" s="3">
        <v>45578</v>
      </c>
      <c r="O1908" s="6" t="s">
        <v>955</v>
      </c>
    </row>
    <row r="1909" spans="1:15">
      <c r="A1909" t="str">
        <f t="shared" si="87"/>
        <v>Jagung Bisi 959 20 X 1 kg455673040HBS959</v>
      </c>
      <c r="B1909" t="s">
        <v>11728</v>
      </c>
      <c r="C1909" t="s">
        <v>16291</v>
      </c>
      <c r="D1909" t="s">
        <v>13812</v>
      </c>
      <c r="E1909" t="s">
        <v>954</v>
      </c>
      <c r="F1909">
        <v>20</v>
      </c>
      <c r="G1909">
        <v>1</v>
      </c>
      <c r="H1909">
        <v>1</v>
      </c>
      <c r="I1909">
        <v>20</v>
      </c>
      <c r="J1909">
        <v>18</v>
      </c>
      <c r="K1909">
        <f t="shared" si="88"/>
        <v>0</v>
      </c>
      <c r="L1909">
        <f t="shared" si="89"/>
        <v>18</v>
      </c>
      <c r="M1909">
        <v>18</v>
      </c>
      <c r="N1909" s="3">
        <v>45567</v>
      </c>
      <c r="O1909" s="6" t="s">
        <v>956</v>
      </c>
    </row>
    <row r="1910" spans="1:15">
      <c r="A1910" t="str">
        <f t="shared" si="87"/>
        <v>Jagung Bisi 959 20 X 1 kg457872318HBS959</v>
      </c>
      <c r="B1910" t="s">
        <v>11729</v>
      </c>
      <c r="C1910" t="s">
        <v>16292</v>
      </c>
      <c r="D1910" t="s">
        <v>13813</v>
      </c>
      <c r="E1910" t="s">
        <v>954</v>
      </c>
      <c r="F1910">
        <v>20</v>
      </c>
      <c r="G1910">
        <v>1</v>
      </c>
      <c r="H1910">
        <v>1</v>
      </c>
      <c r="I1910">
        <v>20</v>
      </c>
      <c r="J1910">
        <v>64</v>
      </c>
      <c r="K1910">
        <f t="shared" si="88"/>
        <v>3</v>
      </c>
      <c r="L1910">
        <f t="shared" si="89"/>
        <v>4</v>
      </c>
      <c r="M1910">
        <v>64</v>
      </c>
      <c r="N1910" s="3">
        <v>45787</v>
      </c>
      <c r="O1910" s="6" t="s">
        <v>957</v>
      </c>
    </row>
    <row r="1911" spans="1:15">
      <c r="A1911" t="str">
        <f t="shared" si="87"/>
        <v>Jagung Bisi 959 20 X 1 kg455392827HBS959</v>
      </c>
      <c r="B1911" t="s">
        <v>11730</v>
      </c>
      <c r="C1911" t="s">
        <v>16293</v>
      </c>
      <c r="D1911" t="s">
        <v>13814</v>
      </c>
      <c r="E1911" t="s">
        <v>954</v>
      </c>
      <c r="F1911">
        <v>20</v>
      </c>
      <c r="G1911">
        <v>1</v>
      </c>
      <c r="H1911">
        <v>1</v>
      </c>
      <c r="I1911">
        <v>20</v>
      </c>
      <c r="J1911">
        <v>740</v>
      </c>
      <c r="K1911">
        <f t="shared" si="88"/>
        <v>37</v>
      </c>
      <c r="L1911">
        <f t="shared" si="89"/>
        <v>0</v>
      </c>
      <c r="M1911">
        <v>740</v>
      </c>
      <c r="N1911" s="3">
        <v>45539</v>
      </c>
      <c r="O1911" s="6" t="s">
        <v>958</v>
      </c>
    </row>
    <row r="1912" spans="1:15">
      <c r="A1912" t="str">
        <f t="shared" si="87"/>
        <v>Jagung Bisi 959 20 X 1 kg455252760HBS959</v>
      </c>
      <c r="B1912" t="s">
        <v>11731</v>
      </c>
      <c r="C1912" t="s">
        <v>16294</v>
      </c>
      <c r="D1912" t="s">
        <v>13815</v>
      </c>
      <c r="E1912" t="s">
        <v>954</v>
      </c>
      <c r="F1912">
        <v>20</v>
      </c>
      <c r="G1912">
        <v>1</v>
      </c>
      <c r="H1912">
        <v>1</v>
      </c>
      <c r="I1912">
        <v>20</v>
      </c>
      <c r="J1912">
        <v>1460</v>
      </c>
      <c r="K1912">
        <f t="shared" si="88"/>
        <v>73</v>
      </c>
      <c r="L1912">
        <f t="shared" si="89"/>
        <v>0</v>
      </c>
      <c r="M1912">
        <v>1460</v>
      </c>
      <c r="N1912" s="3">
        <v>45525</v>
      </c>
      <c r="O1912" s="6" t="s">
        <v>959</v>
      </c>
    </row>
    <row r="1913" spans="1:15">
      <c r="A1913" t="str">
        <f t="shared" si="87"/>
        <v>Jagung Bisi 959 20 X 1 kg455322785HBS959</v>
      </c>
      <c r="B1913" t="s">
        <v>11732</v>
      </c>
      <c r="C1913" t="s">
        <v>16295</v>
      </c>
      <c r="D1913" t="s">
        <v>13816</v>
      </c>
      <c r="E1913" t="s">
        <v>954</v>
      </c>
      <c r="F1913">
        <v>20</v>
      </c>
      <c r="G1913">
        <v>1</v>
      </c>
      <c r="H1913">
        <v>1</v>
      </c>
      <c r="I1913">
        <v>20</v>
      </c>
      <c r="J1913">
        <v>2117</v>
      </c>
      <c r="K1913">
        <f t="shared" si="88"/>
        <v>105</v>
      </c>
      <c r="L1913">
        <f t="shared" si="89"/>
        <v>17</v>
      </c>
      <c r="M1913">
        <v>2117</v>
      </c>
      <c r="N1913" s="3">
        <v>45532</v>
      </c>
      <c r="O1913" s="6" t="s">
        <v>960</v>
      </c>
    </row>
    <row r="1914" spans="1:15">
      <c r="A1914" t="str">
        <f t="shared" si="87"/>
        <v>Jagung Bisi 959 20 X 1 kg455322784HBS959</v>
      </c>
      <c r="B1914" t="s">
        <v>11733</v>
      </c>
      <c r="C1914" t="s">
        <v>16296</v>
      </c>
      <c r="D1914" t="s">
        <v>13817</v>
      </c>
      <c r="E1914" t="s">
        <v>954</v>
      </c>
      <c r="F1914">
        <v>20</v>
      </c>
      <c r="G1914">
        <v>1</v>
      </c>
      <c r="H1914">
        <v>1</v>
      </c>
      <c r="I1914">
        <v>20</v>
      </c>
      <c r="J1914">
        <v>3680</v>
      </c>
      <c r="K1914">
        <f t="shared" si="88"/>
        <v>184</v>
      </c>
      <c r="L1914">
        <f t="shared" si="89"/>
        <v>0</v>
      </c>
      <c r="M1914">
        <v>3680</v>
      </c>
      <c r="N1914" s="3">
        <v>45532</v>
      </c>
      <c r="O1914" s="6" t="s">
        <v>961</v>
      </c>
    </row>
    <row r="1915" spans="1:15">
      <c r="A1915" t="str">
        <f t="shared" si="87"/>
        <v>Jagung Bisi 959 20 X 1 kg457872319HBS959</v>
      </c>
      <c r="B1915" t="s">
        <v>11734</v>
      </c>
      <c r="C1915" t="s">
        <v>16297</v>
      </c>
      <c r="D1915" t="s">
        <v>13818</v>
      </c>
      <c r="E1915" t="s">
        <v>954</v>
      </c>
      <c r="F1915">
        <v>20</v>
      </c>
      <c r="G1915">
        <v>1</v>
      </c>
      <c r="H1915">
        <v>1</v>
      </c>
      <c r="I1915">
        <v>20</v>
      </c>
      <c r="J1915">
        <v>3836</v>
      </c>
      <c r="K1915">
        <f t="shared" si="88"/>
        <v>191</v>
      </c>
      <c r="L1915">
        <f t="shared" si="89"/>
        <v>16</v>
      </c>
      <c r="M1915">
        <v>3836</v>
      </c>
      <c r="N1915" s="3">
        <v>45787</v>
      </c>
      <c r="O1915" s="6" t="s">
        <v>962</v>
      </c>
    </row>
    <row r="1916" spans="1:15">
      <c r="A1916" t="str">
        <f t="shared" si="87"/>
        <v>Jagung Bisi 959 40 X 500 gr ( sampel )45647CXXIHBS959</v>
      </c>
      <c r="B1916" t="s">
        <v>11735</v>
      </c>
      <c r="C1916" t="s">
        <v>16298</v>
      </c>
      <c r="D1916" t="s">
        <v>13819</v>
      </c>
      <c r="E1916" t="s">
        <v>963</v>
      </c>
      <c r="F1916">
        <v>40</v>
      </c>
      <c r="G1916">
        <v>1</v>
      </c>
      <c r="H1916">
        <v>1</v>
      </c>
      <c r="I1916">
        <v>40</v>
      </c>
      <c r="J1916">
        <v>660</v>
      </c>
      <c r="K1916">
        <f t="shared" si="88"/>
        <v>16</v>
      </c>
      <c r="L1916">
        <f t="shared" si="89"/>
        <v>20</v>
      </c>
      <c r="M1916">
        <v>660</v>
      </c>
      <c r="N1916" s="3">
        <v>45647</v>
      </c>
      <c r="O1916" s="6" t="s">
        <v>964</v>
      </c>
    </row>
    <row r="1917" spans="1:15">
      <c r="A1917" t="str">
        <f t="shared" si="87"/>
        <v>Jagung Bisi 959 40 X 500 gr ( sampel )45639CXXHBS959</v>
      </c>
      <c r="B1917" t="s">
        <v>11736</v>
      </c>
      <c r="C1917" t="s">
        <v>16299</v>
      </c>
      <c r="D1917" t="s">
        <v>13820</v>
      </c>
      <c r="E1917" t="s">
        <v>963</v>
      </c>
      <c r="F1917">
        <v>40</v>
      </c>
      <c r="G1917">
        <v>1</v>
      </c>
      <c r="H1917">
        <v>1</v>
      </c>
      <c r="I1917">
        <v>40</v>
      </c>
      <c r="J1917">
        <v>2030</v>
      </c>
      <c r="K1917">
        <f t="shared" si="88"/>
        <v>50</v>
      </c>
      <c r="L1917">
        <f t="shared" si="89"/>
        <v>30</v>
      </c>
      <c r="M1917">
        <v>2030</v>
      </c>
      <c r="N1917" s="3">
        <v>45639</v>
      </c>
      <c r="O1917" s="6" t="s">
        <v>965</v>
      </c>
    </row>
    <row r="1918" spans="1:15">
      <c r="A1918" t="str">
        <f t="shared" si="87"/>
        <v>Jagung DK 771 20 X 1 kg (Bayer)455439CFA012102</v>
      </c>
      <c r="B1918" t="s">
        <v>11737</v>
      </c>
      <c r="C1918" t="s">
        <v>16300</v>
      </c>
      <c r="D1918" t="s">
        <v>13821</v>
      </c>
      <c r="E1918" t="s">
        <v>966</v>
      </c>
      <c r="F1918">
        <v>20</v>
      </c>
      <c r="G1918">
        <v>1</v>
      </c>
      <c r="H1918">
        <v>1</v>
      </c>
      <c r="I1918">
        <v>20</v>
      </c>
      <c r="J1918">
        <v>2</v>
      </c>
      <c r="K1918">
        <f t="shared" si="88"/>
        <v>0</v>
      </c>
      <c r="L1918">
        <f t="shared" si="89"/>
        <v>2</v>
      </c>
      <c r="M1918">
        <v>2</v>
      </c>
      <c r="N1918" s="3">
        <v>45543</v>
      </c>
      <c r="O1918" s="6" t="s">
        <v>967</v>
      </c>
    </row>
    <row r="1919" spans="1:15">
      <c r="A1919" t="str">
        <f t="shared" si="87"/>
        <v>Jagung DK 771 20 X 1 kg (Bayer)455439CFA012097</v>
      </c>
      <c r="B1919" t="s">
        <v>11738</v>
      </c>
      <c r="C1919" t="s">
        <v>16301</v>
      </c>
      <c r="D1919" t="s">
        <v>13822</v>
      </c>
      <c r="E1919" t="s">
        <v>966</v>
      </c>
      <c r="F1919">
        <v>20</v>
      </c>
      <c r="G1919">
        <v>1</v>
      </c>
      <c r="H1919">
        <v>1</v>
      </c>
      <c r="I1919">
        <v>20</v>
      </c>
      <c r="J1919">
        <v>4</v>
      </c>
      <c r="K1919">
        <f t="shared" si="88"/>
        <v>0</v>
      </c>
      <c r="L1919">
        <f t="shared" si="89"/>
        <v>4</v>
      </c>
      <c r="M1919">
        <v>4</v>
      </c>
      <c r="N1919" s="3">
        <v>45543</v>
      </c>
      <c r="O1919" s="6" t="s">
        <v>968</v>
      </c>
    </row>
    <row r="1920" spans="1:15">
      <c r="A1920" t="str">
        <f t="shared" si="87"/>
        <v>Jagung DK 771 20 X 1 kg (Bayer)455829CFA013002</v>
      </c>
      <c r="B1920" t="s">
        <v>11739</v>
      </c>
      <c r="C1920" t="s">
        <v>16302</v>
      </c>
      <c r="D1920" t="s">
        <v>13823</v>
      </c>
      <c r="E1920" t="s">
        <v>966</v>
      </c>
      <c r="F1920">
        <v>20</v>
      </c>
      <c r="G1920">
        <v>1</v>
      </c>
      <c r="H1920">
        <v>1</v>
      </c>
      <c r="I1920">
        <v>20</v>
      </c>
      <c r="J1920">
        <v>15</v>
      </c>
      <c r="K1920">
        <f t="shared" si="88"/>
        <v>0</v>
      </c>
      <c r="L1920">
        <f t="shared" si="89"/>
        <v>15</v>
      </c>
      <c r="M1920">
        <v>15</v>
      </c>
      <c r="N1920" s="3">
        <v>45582</v>
      </c>
      <c r="O1920" s="6" t="s">
        <v>969</v>
      </c>
    </row>
    <row r="1921" spans="1:15">
      <c r="A1921" t="str">
        <f t="shared" si="87"/>
        <v>Jagung DK 771 20 X 1 kg (Bayer)455829CFA013004</v>
      </c>
      <c r="B1921" t="s">
        <v>11740</v>
      </c>
      <c r="C1921" t="s">
        <v>16303</v>
      </c>
      <c r="D1921" t="s">
        <v>13824</v>
      </c>
      <c r="E1921" t="s">
        <v>966</v>
      </c>
      <c r="F1921">
        <v>20</v>
      </c>
      <c r="G1921">
        <v>1</v>
      </c>
      <c r="H1921">
        <v>1</v>
      </c>
      <c r="I1921">
        <v>20</v>
      </c>
      <c r="J1921">
        <v>539</v>
      </c>
      <c r="K1921">
        <f t="shared" si="88"/>
        <v>26</v>
      </c>
      <c r="L1921">
        <f t="shared" si="89"/>
        <v>19</v>
      </c>
      <c r="M1921">
        <v>539</v>
      </c>
      <c r="N1921" s="3">
        <v>45582</v>
      </c>
      <c r="O1921" s="6" t="s">
        <v>970</v>
      </c>
    </row>
    <row r="1922" spans="1:15">
      <c r="A1922" t="str">
        <f t="shared" si="87"/>
        <v>Jagung DK 771 20 X 1 kg (Bayer)455829CFA013008</v>
      </c>
      <c r="B1922" t="s">
        <v>11741</v>
      </c>
      <c r="C1922" t="s">
        <v>16304</v>
      </c>
      <c r="D1922" t="s">
        <v>13825</v>
      </c>
      <c r="E1922" t="s">
        <v>966</v>
      </c>
      <c r="F1922">
        <v>20</v>
      </c>
      <c r="G1922">
        <v>1</v>
      </c>
      <c r="H1922">
        <v>1</v>
      </c>
      <c r="I1922">
        <v>20</v>
      </c>
      <c r="J1922">
        <v>1004</v>
      </c>
      <c r="K1922">
        <f t="shared" si="88"/>
        <v>50</v>
      </c>
      <c r="L1922">
        <f t="shared" si="89"/>
        <v>4</v>
      </c>
      <c r="M1922">
        <v>1004</v>
      </c>
      <c r="N1922" s="3">
        <v>45582</v>
      </c>
      <c r="O1922" s="6" t="s">
        <v>971</v>
      </c>
    </row>
    <row r="1923" spans="1:15">
      <c r="A1923" t="str">
        <f t="shared" ref="A1923:A1986" si="90">E1923&amp;N1923&amp;O1923</f>
        <v>Jagung DK 771 20 X 1 kg (Bayer)455829CFA013003</v>
      </c>
      <c r="B1923" t="s">
        <v>11742</v>
      </c>
      <c r="C1923" t="s">
        <v>16305</v>
      </c>
      <c r="D1923" t="s">
        <v>13826</v>
      </c>
      <c r="E1923" t="s">
        <v>966</v>
      </c>
      <c r="F1923">
        <v>20</v>
      </c>
      <c r="G1923">
        <v>1</v>
      </c>
      <c r="H1923">
        <v>1</v>
      </c>
      <c r="I1923">
        <v>20</v>
      </c>
      <c r="J1923">
        <v>1058</v>
      </c>
      <c r="K1923">
        <f t="shared" ref="K1923:K1986" si="91">ROUNDDOWN(J1923/I1923,0)</f>
        <v>52</v>
      </c>
      <c r="L1923">
        <f t="shared" ref="L1923:L1986" si="92">J1923-K1923*I1923</f>
        <v>18</v>
      </c>
      <c r="M1923">
        <v>1058</v>
      </c>
      <c r="N1923" s="3">
        <v>45582</v>
      </c>
      <c r="O1923" s="6" t="s">
        <v>972</v>
      </c>
    </row>
    <row r="1924" spans="1:15">
      <c r="A1924" t="str">
        <f t="shared" si="90"/>
        <v>Jagung DK 771 20 X 1 kg (Bayer)456129CFA013020</v>
      </c>
      <c r="B1924" t="s">
        <v>11743</v>
      </c>
      <c r="C1924" t="s">
        <v>16306</v>
      </c>
      <c r="D1924" t="s">
        <v>13827</v>
      </c>
      <c r="E1924" t="s">
        <v>966</v>
      </c>
      <c r="F1924">
        <v>20</v>
      </c>
      <c r="G1924">
        <v>1</v>
      </c>
      <c r="H1924">
        <v>1</v>
      </c>
      <c r="I1924">
        <v>20</v>
      </c>
      <c r="J1924">
        <v>2000</v>
      </c>
      <c r="K1924">
        <f t="shared" si="91"/>
        <v>100</v>
      </c>
      <c r="L1924">
        <f t="shared" si="92"/>
        <v>0</v>
      </c>
      <c r="M1924">
        <v>2000</v>
      </c>
      <c r="N1924" s="3">
        <v>45612</v>
      </c>
      <c r="O1924" s="6" t="s">
        <v>973</v>
      </c>
    </row>
    <row r="1925" spans="1:15">
      <c r="A1925" t="str">
        <f t="shared" si="90"/>
        <v>Jagung DK 771 20 X 1 kg (Bayer)456129CFA013018</v>
      </c>
      <c r="B1925" t="s">
        <v>11744</v>
      </c>
      <c r="C1925" t="s">
        <v>16307</v>
      </c>
      <c r="D1925" t="s">
        <v>13828</v>
      </c>
      <c r="E1925" t="s">
        <v>966</v>
      </c>
      <c r="F1925">
        <v>20</v>
      </c>
      <c r="G1925">
        <v>1</v>
      </c>
      <c r="H1925">
        <v>1</v>
      </c>
      <c r="I1925">
        <v>20</v>
      </c>
      <c r="J1925">
        <v>5000</v>
      </c>
      <c r="K1925">
        <f t="shared" si="91"/>
        <v>250</v>
      </c>
      <c r="L1925">
        <f t="shared" si="92"/>
        <v>0</v>
      </c>
      <c r="M1925">
        <v>5000</v>
      </c>
      <c r="N1925" s="3">
        <v>45612</v>
      </c>
      <c r="O1925" s="6" t="s">
        <v>974</v>
      </c>
    </row>
    <row r="1926" spans="1:15">
      <c r="A1926" t="str">
        <f t="shared" si="90"/>
        <v>Jagung DK 771 20 X 1 kg (Bayer)455439CFA012099</v>
      </c>
      <c r="B1926" t="s">
        <v>11745</v>
      </c>
      <c r="C1926" t="s">
        <v>16308</v>
      </c>
      <c r="D1926" t="s">
        <v>13829</v>
      </c>
      <c r="E1926" t="s">
        <v>966</v>
      </c>
      <c r="F1926">
        <v>20</v>
      </c>
      <c r="G1926">
        <v>1</v>
      </c>
      <c r="H1926">
        <v>1</v>
      </c>
      <c r="I1926">
        <v>20</v>
      </c>
      <c r="J1926">
        <v>5400</v>
      </c>
      <c r="K1926">
        <f t="shared" si="91"/>
        <v>270</v>
      </c>
      <c r="L1926">
        <f t="shared" si="92"/>
        <v>0</v>
      </c>
      <c r="M1926">
        <v>5400</v>
      </c>
      <c r="N1926" s="3">
        <v>45543</v>
      </c>
      <c r="O1926" s="6" t="s">
        <v>975</v>
      </c>
    </row>
    <row r="1927" spans="1:15">
      <c r="A1927" t="str">
        <f t="shared" si="90"/>
        <v>Jagung DK 9209C 20 X 1 kg (Bayer)456192CFB013032</v>
      </c>
      <c r="B1927" t="s">
        <v>11746</v>
      </c>
      <c r="C1927" t="s">
        <v>16309</v>
      </c>
      <c r="D1927" t="s">
        <v>13830</v>
      </c>
      <c r="E1927" t="s">
        <v>976</v>
      </c>
      <c r="F1927">
        <v>20</v>
      </c>
      <c r="G1927">
        <v>1</v>
      </c>
      <c r="H1927">
        <v>1</v>
      </c>
      <c r="I1927">
        <v>20</v>
      </c>
      <c r="J1927">
        <v>80</v>
      </c>
      <c r="K1927">
        <f t="shared" si="91"/>
        <v>4</v>
      </c>
      <c r="L1927">
        <f t="shared" si="92"/>
        <v>0</v>
      </c>
      <c r="M1927">
        <v>80</v>
      </c>
      <c r="N1927" s="3">
        <v>45619</v>
      </c>
      <c r="O1927" s="6" t="s">
        <v>977</v>
      </c>
    </row>
    <row r="1928" spans="1:15">
      <c r="A1928" t="str">
        <f t="shared" si="90"/>
        <v>Jagung DK 9209C 20 X 1 kg (Bayer)456192CFB013026</v>
      </c>
      <c r="B1928" t="s">
        <v>11747</v>
      </c>
      <c r="C1928" t="s">
        <v>16310</v>
      </c>
      <c r="D1928" t="s">
        <v>13831</v>
      </c>
      <c r="E1928" t="s">
        <v>976</v>
      </c>
      <c r="F1928">
        <v>20</v>
      </c>
      <c r="G1928">
        <v>1</v>
      </c>
      <c r="H1928">
        <v>1</v>
      </c>
      <c r="I1928">
        <v>20</v>
      </c>
      <c r="J1928">
        <v>80</v>
      </c>
      <c r="K1928">
        <f t="shared" si="91"/>
        <v>4</v>
      </c>
      <c r="L1928">
        <f t="shared" si="92"/>
        <v>0</v>
      </c>
      <c r="M1928">
        <v>80</v>
      </c>
      <c r="N1928" s="3">
        <v>45619</v>
      </c>
      <c r="O1928" s="6" t="s">
        <v>978</v>
      </c>
    </row>
    <row r="1929" spans="1:15">
      <c r="A1929" t="str">
        <f t="shared" si="90"/>
        <v>Jagung DK 9209C 20 X 1 kg (Bayer)456192CFB013030</v>
      </c>
      <c r="B1929" t="s">
        <v>11748</v>
      </c>
      <c r="C1929" t="s">
        <v>16311</v>
      </c>
      <c r="D1929" t="s">
        <v>13832</v>
      </c>
      <c r="E1929" t="s">
        <v>976</v>
      </c>
      <c r="F1929">
        <v>20</v>
      </c>
      <c r="G1929">
        <v>1</v>
      </c>
      <c r="H1929">
        <v>1</v>
      </c>
      <c r="I1929">
        <v>20</v>
      </c>
      <c r="J1929">
        <v>240</v>
      </c>
      <c r="K1929">
        <f t="shared" si="91"/>
        <v>12</v>
      </c>
      <c r="L1929">
        <f t="shared" si="92"/>
        <v>0</v>
      </c>
      <c r="M1929">
        <v>240</v>
      </c>
      <c r="N1929" s="3">
        <v>45619</v>
      </c>
      <c r="O1929" s="6" t="s">
        <v>979</v>
      </c>
    </row>
    <row r="1930" spans="1:15">
      <c r="A1930" t="str">
        <f t="shared" si="90"/>
        <v>Jagung DK 9209C 20 X 1 kg (Bayer)456192CFB013029</v>
      </c>
      <c r="B1930" t="s">
        <v>11749</v>
      </c>
      <c r="C1930" t="s">
        <v>16312</v>
      </c>
      <c r="D1930" t="s">
        <v>13833</v>
      </c>
      <c r="E1930" t="s">
        <v>976</v>
      </c>
      <c r="F1930">
        <v>20</v>
      </c>
      <c r="G1930">
        <v>1</v>
      </c>
      <c r="H1930">
        <v>1</v>
      </c>
      <c r="I1930">
        <v>20</v>
      </c>
      <c r="J1930">
        <v>590</v>
      </c>
      <c r="K1930">
        <f t="shared" si="91"/>
        <v>29</v>
      </c>
      <c r="L1930">
        <f t="shared" si="92"/>
        <v>10</v>
      </c>
      <c r="M1930">
        <v>590</v>
      </c>
      <c r="N1930" s="3">
        <v>45619</v>
      </c>
      <c r="O1930" s="6" t="s">
        <v>980</v>
      </c>
    </row>
    <row r="1931" spans="1:15">
      <c r="A1931" t="str">
        <f t="shared" si="90"/>
        <v>Jagung DK 9209C 20 X 1 kg (Bayer)456192CFB013028</v>
      </c>
      <c r="B1931" t="s">
        <v>11750</v>
      </c>
      <c r="C1931" t="s">
        <v>16313</v>
      </c>
      <c r="D1931" t="s">
        <v>13834</v>
      </c>
      <c r="E1931" t="s">
        <v>976</v>
      </c>
      <c r="F1931">
        <v>20</v>
      </c>
      <c r="G1931">
        <v>1</v>
      </c>
      <c r="H1931">
        <v>1</v>
      </c>
      <c r="I1931">
        <v>20</v>
      </c>
      <c r="J1931">
        <v>700</v>
      </c>
      <c r="K1931">
        <f t="shared" si="91"/>
        <v>35</v>
      </c>
      <c r="L1931">
        <f t="shared" si="92"/>
        <v>0</v>
      </c>
      <c r="M1931">
        <v>700</v>
      </c>
      <c r="N1931" s="3">
        <v>45619</v>
      </c>
      <c r="O1931" s="6" t="s">
        <v>981</v>
      </c>
    </row>
    <row r="1932" spans="1:15">
      <c r="A1932" t="str">
        <f t="shared" si="90"/>
        <v>Jagung DK 9209C 20 X 1 kg (Bayer)456192CFB013031</v>
      </c>
      <c r="B1932" t="s">
        <v>11751</v>
      </c>
      <c r="C1932" t="s">
        <v>16314</v>
      </c>
      <c r="D1932" t="s">
        <v>13835</v>
      </c>
      <c r="E1932" t="s">
        <v>976</v>
      </c>
      <c r="F1932">
        <v>20</v>
      </c>
      <c r="G1932">
        <v>1</v>
      </c>
      <c r="H1932">
        <v>1</v>
      </c>
      <c r="I1932">
        <v>20</v>
      </c>
      <c r="J1932">
        <v>1040</v>
      </c>
      <c r="K1932">
        <f t="shared" si="91"/>
        <v>52</v>
      </c>
      <c r="L1932">
        <f t="shared" si="92"/>
        <v>0</v>
      </c>
      <c r="M1932">
        <v>1040</v>
      </c>
      <c r="N1932" s="3">
        <v>45619</v>
      </c>
      <c r="O1932" s="6" t="s">
        <v>982</v>
      </c>
    </row>
    <row r="1933" spans="1:15">
      <c r="A1933" t="str">
        <f t="shared" si="90"/>
        <v>Jagung DK 9209C 20 X 1 kg (Bayer)456192CFB013034</v>
      </c>
      <c r="B1933" t="s">
        <v>11752</v>
      </c>
      <c r="C1933" t="s">
        <v>16315</v>
      </c>
      <c r="D1933" t="s">
        <v>13836</v>
      </c>
      <c r="E1933" t="s">
        <v>976</v>
      </c>
      <c r="F1933">
        <v>20</v>
      </c>
      <c r="G1933">
        <v>1</v>
      </c>
      <c r="H1933">
        <v>1</v>
      </c>
      <c r="I1933">
        <v>20</v>
      </c>
      <c r="J1933">
        <v>1600</v>
      </c>
      <c r="K1933">
        <f t="shared" si="91"/>
        <v>80</v>
      </c>
      <c r="L1933">
        <f t="shared" si="92"/>
        <v>0</v>
      </c>
      <c r="M1933">
        <v>1600</v>
      </c>
      <c r="N1933" s="3">
        <v>45619</v>
      </c>
      <c r="O1933" s="6" t="s">
        <v>983</v>
      </c>
    </row>
    <row r="1934" spans="1:15">
      <c r="A1934" t="str">
        <f t="shared" si="90"/>
        <v>Jagung DK 9209C 20 X 1 kg (Bayer)456192CFB013036</v>
      </c>
      <c r="B1934" t="s">
        <v>11753</v>
      </c>
      <c r="C1934" t="s">
        <v>16316</v>
      </c>
      <c r="D1934" t="s">
        <v>13837</v>
      </c>
      <c r="E1934" t="s">
        <v>976</v>
      </c>
      <c r="F1934">
        <v>20</v>
      </c>
      <c r="G1934">
        <v>1</v>
      </c>
      <c r="H1934">
        <v>1</v>
      </c>
      <c r="I1934">
        <v>20</v>
      </c>
      <c r="J1934">
        <v>2260</v>
      </c>
      <c r="K1934">
        <f t="shared" si="91"/>
        <v>113</v>
      </c>
      <c r="L1934">
        <f t="shared" si="92"/>
        <v>0</v>
      </c>
      <c r="M1934">
        <v>2260</v>
      </c>
      <c r="N1934" s="3">
        <v>45619</v>
      </c>
      <c r="O1934" s="6" t="s">
        <v>984</v>
      </c>
    </row>
    <row r="1935" spans="1:15">
      <c r="A1935" t="str">
        <f t="shared" si="90"/>
        <v>Jagung DK 9209C 20 X 1 kg (Bayer)456192CFB013033</v>
      </c>
      <c r="B1935" t="s">
        <v>11754</v>
      </c>
      <c r="C1935" t="s">
        <v>16317</v>
      </c>
      <c r="D1935" t="s">
        <v>13838</v>
      </c>
      <c r="E1935" t="s">
        <v>976</v>
      </c>
      <c r="F1935">
        <v>20</v>
      </c>
      <c r="G1935">
        <v>1</v>
      </c>
      <c r="H1935">
        <v>1</v>
      </c>
      <c r="I1935">
        <v>20</v>
      </c>
      <c r="J1935">
        <v>4860</v>
      </c>
      <c r="K1935">
        <f t="shared" si="91"/>
        <v>243</v>
      </c>
      <c r="L1935">
        <f t="shared" si="92"/>
        <v>0</v>
      </c>
      <c r="M1935">
        <v>4860</v>
      </c>
      <c r="N1935" s="3">
        <v>45619</v>
      </c>
      <c r="O1935" s="6" t="s">
        <v>985</v>
      </c>
    </row>
    <row r="1936" spans="1:15">
      <c r="A1936" t="str">
        <f t="shared" si="90"/>
        <v>Jagung DK 9209C 20 X 1 kg (Bayer)456192CFB013035</v>
      </c>
      <c r="B1936" t="s">
        <v>11755</v>
      </c>
      <c r="C1936" t="s">
        <v>16318</v>
      </c>
      <c r="D1936" t="s">
        <v>13839</v>
      </c>
      <c r="E1936" t="s">
        <v>976</v>
      </c>
      <c r="F1936">
        <v>20</v>
      </c>
      <c r="G1936">
        <v>1</v>
      </c>
      <c r="H1936">
        <v>1</v>
      </c>
      <c r="I1936">
        <v>20</v>
      </c>
      <c r="J1936">
        <v>6140</v>
      </c>
      <c r="K1936">
        <f t="shared" si="91"/>
        <v>307</v>
      </c>
      <c r="L1936">
        <f t="shared" si="92"/>
        <v>0</v>
      </c>
      <c r="M1936">
        <v>6140</v>
      </c>
      <c r="N1936" s="3">
        <v>45619</v>
      </c>
      <c r="O1936" s="6" t="s">
        <v>986</v>
      </c>
    </row>
    <row r="1937" spans="1:15">
      <c r="A1937" t="str">
        <f t="shared" si="90"/>
        <v>Jagung Manis Exsotic 40 X 250 gr45710324.0829</v>
      </c>
      <c r="B1937" t="s">
        <v>11756</v>
      </c>
      <c r="C1937" t="s">
        <v>16319</v>
      </c>
      <c r="D1937" t="s">
        <v>13840</v>
      </c>
      <c r="E1937" t="s">
        <v>988</v>
      </c>
      <c r="F1937">
        <v>40</v>
      </c>
      <c r="G1937">
        <v>1</v>
      </c>
      <c r="H1937">
        <v>1</v>
      </c>
      <c r="I1937">
        <v>40</v>
      </c>
      <c r="J1937">
        <v>1160</v>
      </c>
      <c r="K1937">
        <f t="shared" si="91"/>
        <v>29</v>
      </c>
      <c r="L1937">
        <f t="shared" si="92"/>
        <v>0</v>
      </c>
      <c r="M1937">
        <v>1160</v>
      </c>
      <c r="N1937" s="3">
        <v>45710</v>
      </c>
      <c r="O1937" s="6">
        <v>324.0829</v>
      </c>
    </row>
    <row r="1938" spans="1:15">
      <c r="A1938" t="str">
        <f t="shared" si="90"/>
        <v>Jagung Manis Golden Boy 20 X 500 gr45689316451</v>
      </c>
      <c r="B1938" t="s">
        <v>11757</v>
      </c>
      <c r="C1938" t="s">
        <v>16320</v>
      </c>
      <c r="D1938" t="s">
        <v>13841</v>
      </c>
      <c r="E1938" t="s">
        <v>989</v>
      </c>
      <c r="F1938">
        <v>20</v>
      </c>
      <c r="G1938">
        <v>1</v>
      </c>
      <c r="H1938">
        <v>1</v>
      </c>
      <c r="I1938">
        <v>20</v>
      </c>
      <c r="J1938">
        <v>160</v>
      </c>
      <c r="K1938">
        <f t="shared" si="91"/>
        <v>8</v>
      </c>
      <c r="L1938">
        <f t="shared" si="92"/>
        <v>0</v>
      </c>
      <c r="M1938">
        <v>160</v>
      </c>
      <c r="N1938" s="3">
        <v>45689</v>
      </c>
      <c r="O1938" s="6">
        <v>316451</v>
      </c>
    </row>
    <row r="1939" spans="1:15">
      <c r="A1939" t="str">
        <f t="shared" si="90"/>
        <v>Jagung Manis Madu-59 F1 20 X 250 gr45708MJS2A1001</v>
      </c>
      <c r="B1939" t="s">
        <v>11758</v>
      </c>
      <c r="C1939" t="s">
        <v>16321</v>
      </c>
      <c r="D1939" t="s">
        <v>13842</v>
      </c>
      <c r="E1939" t="s">
        <v>991</v>
      </c>
      <c r="F1939">
        <v>20</v>
      </c>
      <c r="G1939">
        <v>1</v>
      </c>
      <c r="H1939">
        <v>1</v>
      </c>
      <c r="I1939">
        <v>20</v>
      </c>
      <c r="J1939">
        <v>200</v>
      </c>
      <c r="K1939">
        <f t="shared" si="91"/>
        <v>10</v>
      </c>
      <c r="L1939">
        <f t="shared" si="92"/>
        <v>0</v>
      </c>
      <c r="M1939">
        <v>200</v>
      </c>
      <c r="N1939" s="3">
        <v>45708</v>
      </c>
      <c r="O1939" s="6" t="s">
        <v>992</v>
      </c>
    </row>
    <row r="1940" spans="1:15">
      <c r="A1940" t="str">
        <f t="shared" si="90"/>
        <v>Jagung Manis Master Sweet 45 20 X 500 gr4559745316450</v>
      </c>
      <c r="B1940" t="s">
        <v>11759</v>
      </c>
      <c r="C1940" t="s">
        <v>16322</v>
      </c>
      <c r="D1940" t="s">
        <v>13843</v>
      </c>
      <c r="E1940" t="s">
        <v>993</v>
      </c>
      <c r="F1940">
        <v>20</v>
      </c>
      <c r="G1940">
        <v>1</v>
      </c>
      <c r="H1940">
        <v>1</v>
      </c>
      <c r="I1940">
        <v>20</v>
      </c>
      <c r="J1940">
        <v>1</v>
      </c>
      <c r="K1940">
        <f t="shared" si="91"/>
        <v>0</v>
      </c>
      <c r="L1940">
        <f t="shared" si="92"/>
        <v>1</v>
      </c>
      <c r="M1940">
        <v>1</v>
      </c>
      <c r="N1940" s="3">
        <v>45597</v>
      </c>
      <c r="O1940" s="6">
        <v>45316450</v>
      </c>
    </row>
    <row r="1941" spans="1:15">
      <c r="A1941" t="str">
        <f t="shared" si="90"/>
        <v>Jagung Manis Master Sweet 45 20 X 500 gr4568945-3-314518</v>
      </c>
      <c r="B1941" t="s">
        <v>11760</v>
      </c>
      <c r="C1941" t="s">
        <v>16323</v>
      </c>
      <c r="D1941" t="s">
        <v>13844</v>
      </c>
      <c r="E1941" t="s">
        <v>993</v>
      </c>
      <c r="F1941">
        <v>20</v>
      </c>
      <c r="G1941">
        <v>1</v>
      </c>
      <c r="H1941">
        <v>1</v>
      </c>
      <c r="I1941">
        <v>20</v>
      </c>
      <c r="J1941">
        <v>100</v>
      </c>
      <c r="K1941">
        <f t="shared" si="91"/>
        <v>5</v>
      </c>
      <c r="L1941">
        <f t="shared" si="92"/>
        <v>0</v>
      </c>
      <c r="M1941">
        <v>100</v>
      </c>
      <c r="N1941" s="3">
        <v>45689</v>
      </c>
      <c r="O1941" s="6" t="s">
        <v>994</v>
      </c>
    </row>
    <row r="1942" spans="1:15">
      <c r="A1942" t="str">
        <f t="shared" si="90"/>
        <v>Jagung Manis Master Sweet 45 20 X 500 gr4568945-315089</v>
      </c>
      <c r="B1942" t="s">
        <v>11761</v>
      </c>
      <c r="C1942" t="s">
        <v>16324</v>
      </c>
      <c r="D1942" t="s">
        <v>13845</v>
      </c>
      <c r="E1942" t="s">
        <v>993</v>
      </c>
      <c r="F1942">
        <v>20</v>
      </c>
      <c r="G1942">
        <v>1</v>
      </c>
      <c r="H1942">
        <v>1</v>
      </c>
      <c r="I1942">
        <v>20</v>
      </c>
      <c r="J1942">
        <v>1040</v>
      </c>
      <c r="K1942">
        <f t="shared" si="91"/>
        <v>52</v>
      </c>
      <c r="L1942">
        <f t="shared" si="92"/>
        <v>0</v>
      </c>
      <c r="M1942">
        <v>1040</v>
      </c>
      <c r="N1942" s="3">
        <v>45689</v>
      </c>
      <c r="O1942" s="6" t="s">
        <v>995</v>
      </c>
    </row>
    <row r="1943" spans="1:15">
      <c r="A1943" t="str">
        <f t="shared" si="90"/>
        <v>Jagung Manis Sweet Lady 27 20 X 500 gr4568927-316472</v>
      </c>
      <c r="B1943" t="s">
        <v>11762</v>
      </c>
      <c r="C1943" t="s">
        <v>16325</v>
      </c>
      <c r="D1943" t="s">
        <v>13846</v>
      </c>
      <c r="E1943" t="s">
        <v>997</v>
      </c>
      <c r="F1943">
        <v>20</v>
      </c>
      <c r="G1943">
        <v>1</v>
      </c>
      <c r="H1943">
        <v>1</v>
      </c>
      <c r="I1943">
        <v>20</v>
      </c>
      <c r="J1943">
        <v>1170</v>
      </c>
      <c r="K1943">
        <f t="shared" si="91"/>
        <v>58</v>
      </c>
      <c r="L1943">
        <f t="shared" si="92"/>
        <v>10</v>
      </c>
      <c r="M1943">
        <v>1170</v>
      </c>
      <c r="N1943" s="3">
        <v>45689</v>
      </c>
      <c r="O1943" s="6" t="s">
        <v>998</v>
      </c>
    </row>
    <row r="1944" spans="1:15">
      <c r="A1944" t="str">
        <f t="shared" si="90"/>
        <v>Jagung NK 212 20 X 1 kg4570019352424</v>
      </c>
      <c r="B1944" t="s">
        <v>11763</v>
      </c>
      <c r="C1944" t="s">
        <v>16326</v>
      </c>
      <c r="D1944" t="s">
        <v>13847</v>
      </c>
      <c r="E1944" t="s">
        <v>999</v>
      </c>
      <c r="F1944">
        <v>20</v>
      </c>
      <c r="G1944">
        <v>1</v>
      </c>
      <c r="H1944">
        <v>1</v>
      </c>
      <c r="I1944">
        <v>20</v>
      </c>
      <c r="J1944">
        <v>2180</v>
      </c>
      <c r="K1944">
        <f t="shared" si="91"/>
        <v>109</v>
      </c>
      <c r="L1944">
        <f t="shared" si="92"/>
        <v>0</v>
      </c>
      <c r="M1944">
        <v>2180</v>
      </c>
      <c r="N1944" s="3">
        <v>45700</v>
      </c>
      <c r="O1944" s="6">
        <v>19352424</v>
      </c>
    </row>
    <row r="1945" spans="1:15">
      <c r="A1945" t="str">
        <f t="shared" si="90"/>
        <v>Jagung NK 212 20 X 1 kg4574819237373</v>
      </c>
      <c r="B1945" t="s">
        <v>11764</v>
      </c>
      <c r="C1945" t="s">
        <v>16327</v>
      </c>
      <c r="D1945" t="s">
        <v>13848</v>
      </c>
      <c r="E1945" t="s">
        <v>999</v>
      </c>
      <c r="F1945">
        <v>20</v>
      </c>
      <c r="G1945">
        <v>1</v>
      </c>
      <c r="H1945">
        <v>1</v>
      </c>
      <c r="I1945">
        <v>20</v>
      </c>
      <c r="J1945">
        <v>3520</v>
      </c>
      <c r="K1945">
        <f t="shared" si="91"/>
        <v>176</v>
      </c>
      <c r="L1945">
        <f t="shared" si="92"/>
        <v>0</v>
      </c>
      <c r="M1945">
        <v>3520</v>
      </c>
      <c r="N1945" s="3">
        <v>45748</v>
      </c>
      <c r="O1945" s="6">
        <v>19237373</v>
      </c>
    </row>
    <row r="1946" spans="1:15">
      <c r="A1946" t="str">
        <f t="shared" si="90"/>
        <v>Jagung NK 212 20 X 1 kg4578919350401</v>
      </c>
      <c r="B1946" t="s">
        <v>11765</v>
      </c>
      <c r="C1946" t="s">
        <v>16328</v>
      </c>
      <c r="D1946" t="s">
        <v>13849</v>
      </c>
      <c r="E1946" t="s">
        <v>999</v>
      </c>
      <c r="F1946">
        <v>20</v>
      </c>
      <c r="G1946">
        <v>1</v>
      </c>
      <c r="H1946">
        <v>1</v>
      </c>
      <c r="I1946">
        <v>20</v>
      </c>
      <c r="J1946">
        <v>5560</v>
      </c>
      <c r="K1946">
        <f t="shared" si="91"/>
        <v>278</v>
      </c>
      <c r="L1946">
        <f t="shared" si="92"/>
        <v>0</v>
      </c>
      <c r="M1946">
        <v>5560</v>
      </c>
      <c r="N1946" s="3">
        <v>45789</v>
      </c>
      <c r="O1946" s="6">
        <v>19350401</v>
      </c>
    </row>
    <row r="1947" spans="1:15">
      <c r="A1947" t="str">
        <f t="shared" si="90"/>
        <v>Jagung NK 212 20 X 1 kg4574819237375</v>
      </c>
      <c r="B1947" t="s">
        <v>11766</v>
      </c>
      <c r="C1947" t="s">
        <v>16329</v>
      </c>
      <c r="D1947" t="s">
        <v>13850</v>
      </c>
      <c r="E1947" t="s">
        <v>999</v>
      </c>
      <c r="F1947">
        <v>20</v>
      </c>
      <c r="G1947">
        <v>1</v>
      </c>
      <c r="H1947">
        <v>1</v>
      </c>
      <c r="I1947">
        <v>20</v>
      </c>
      <c r="J1947">
        <v>7480</v>
      </c>
      <c r="K1947">
        <f t="shared" si="91"/>
        <v>374</v>
      </c>
      <c r="L1947">
        <f t="shared" si="92"/>
        <v>0</v>
      </c>
      <c r="M1947">
        <v>7480</v>
      </c>
      <c r="N1947" s="3">
        <v>45748</v>
      </c>
      <c r="O1947" s="6">
        <v>19237375</v>
      </c>
    </row>
    <row r="1948" spans="1:15">
      <c r="A1948" t="str">
        <f t="shared" si="90"/>
        <v>Jagung NK 212 20 X 1 kg4578419337579</v>
      </c>
      <c r="B1948" t="s">
        <v>11767</v>
      </c>
      <c r="C1948" t="s">
        <v>16330</v>
      </c>
      <c r="D1948" t="s">
        <v>13851</v>
      </c>
      <c r="E1948" t="s">
        <v>999</v>
      </c>
      <c r="F1948">
        <v>20</v>
      </c>
      <c r="G1948">
        <v>1</v>
      </c>
      <c r="H1948">
        <v>1</v>
      </c>
      <c r="I1948">
        <v>20</v>
      </c>
      <c r="J1948">
        <v>15480</v>
      </c>
      <c r="K1948">
        <f t="shared" si="91"/>
        <v>774</v>
      </c>
      <c r="L1948">
        <f t="shared" si="92"/>
        <v>0</v>
      </c>
      <c r="M1948">
        <v>15480</v>
      </c>
      <c r="N1948" s="3">
        <v>45784</v>
      </c>
      <c r="O1948" s="6">
        <v>19337579</v>
      </c>
    </row>
    <row r="1949" spans="1:15">
      <c r="A1949" t="str">
        <f t="shared" si="90"/>
        <v>Jagung NK 7202 20 X 1 kg4566619046175</v>
      </c>
      <c r="B1949" t="s">
        <v>11768</v>
      </c>
      <c r="C1949" t="s">
        <v>16331</v>
      </c>
      <c r="D1949" t="s">
        <v>13852</v>
      </c>
      <c r="E1949" t="s">
        <v>1000</v>
      </c>
      <c r="F1949">
        <v>20</v>
      </c>
      <c r="G1949">
        <v>1</v>
      </c>
      <c r="H1949">
        <v>1</v>
      </c>
      <c r="I1949">
        <v>20</v>
      </c>
      <c r="J1949">
        <v>10</v>
      </c>
      <c r="K1949">
        <f t="shared" si="91"/>
        <v>0</v>
      </c>
      <c r="L1949">
        <f t="shared" si="92"/>
        <v>10</v>
      </c>
      <c r="M1949">
        <v>10</v>
      </c>
      <c r="N1949" s="3">
        <v>45666</v>
      </c>
      <c r="O1949" s="6">
        <v>19046175</v>
      </c>
    </row>
    <row r="1950" spans="1:15">
      <c r="A1950" t="str">
        <f t="shared" si="90"/>
        <v>Jagung NK 7328 20 X 1 kg4569919108728</v>
      </c>
      <c r="B1950" t="s">
        <v>11769</v>
      </c>
      <c r="C1950" t="s">
        <v>16332</v>
      </c>
      <c r="D1950" t="s">
        <v>13853</v>
      </c>
      <c r="E1950" t="s">
        <v>1001</v>
      </c>
      <c r="F1950">
        <v>20</v>
      </c>
      <c r="G1950">
        <v>1</v>
      </c>
      <c r="H1950">
        <v>1</v>
      </c>
      <c r="I1950">
        <v>20</v>
      </c>
      <c r="J1950">
        <v>452</v>
      </c>
      <c r="K1950">
        <f t="shared" si="91"/>
        <v>22</v>
      </c>
      <c r="L1950">
        <f t="shared" si="92"/>
        <v>12</v>
      </c>
      <c r="M1950">
        <v>452</v>
      </c>
      <c r="N1950" s="3">
        <v>45699</v>
      </c>
      <c r="O1950" s="6">
        <v>19108728</v>
      </c>
    </row>
    <row r="1951" spans="1:15">
      <c r="A1951" t="str">
        <f t="shared" si="90"/>
        <v>Jagung NK 7328 20 X 1 kg4574019219801</v>
      </c>
      <c r="B1951" t="s">
        <v>11770</v>
      </c>
      <c r="C1951" t="s">
        <v>16333</v>
      </c>
      <c r="D1951" t="s">
        <v>13854</v>
      </c>
      <c r="E1951" t="s">
        <v>1001</v>
      </c>
      <c r="F1951">
        <v>20</v>
      </c>
      <c r="G1951">
        <v>1</v>
      </c>
      <c r="H1951">
        <v>1</v>
      </c>
      <c r="I1951">
        <v>20</v>
      </c>
      <c r="J1951">
        <v>1060</v>
      </c>
      <c r="K1951">
        <f t="shared" si="91"/>
        <v>53</v>
      </c>
      <c r="L1951">
        <f t="shared" si="92"/>
        <v>0</v>
      </c>
      <c r="M1951">
        <v>1060</v>
      </c>
      <c r="N1951" s="3">
        <v>45740</v>
      </c>
      <c r="O1951" s="6">
        <v>19219801</v>
      </c>
    </row>
    <row r="1952" spans="1:15">
      <c r="A1952" t="str">
        <f t="shared" si="90"/>
        <v>Jagung NK 7328 20 X 1 kg4573819213254</v>
      </c>
      <c r="B1952" t="s">
        <v>11771</v>
      </c>
      <c r="C1952" t="s">
        <v>16334</v>
      </c>
      <c r="D1952" t="s">
        <v>13855</v>
      </c>
      <c r="E1952" t="s">
        <v>1001</v>
      </c>
      <c r="F1952">
        <v>20</v>
      </c>
      <c r="G1952">
        <v>1</v>
      </c>
      <c r="H1952">
        <v>1</v>
      </c>
      <c r="I1952">
        <v>20</v>
      </c>
      <c r="J1952">
        <v>1700</v>
      </c>
      <c r="K1952">
        <f t="shared" si="91"/>
        <v>85</v>
      </c>
      <c r="L1952">
        <f t="shared" si="92"/>
        <v>0</v>
      </c>
      <c r="M1952">
        <v>1700</v>
      </c>
      <c r="N1952" s="3">
        <v>45738</v>
      </c>
      <c r="O1952" s="6">
        <v>19213254</v>
      </c>
    </row>
    <row r="1953" spans="1:15">
      <c r="A1953" t="str">
        <f t="shared" si="90"/>
        <v>Jagung NK 7328 20 X 1 kg4569919108733</v>
      </c>
      <c r="B1953" t="s">
        <v>11772</v>
      </c>
      <c r="C1953" t="s">
        <v>16335</v>
      </c>
      <c r="D1953" t="s">
        <v>13856</v>
      </c>
      <c r="E1953" t="s">
        <v>1001</v>
      </c>
      <c r="F1953">
        <v>20</v>
      </c>
      <c r="G1953">
        <v>1</v>
      </c>
      <c r="H1953">
        <v>1</v>
      </c>
      <c r="I1953">
        <v>20</v>
      </c>
      <c r="J1953">
        <v>2200</v>
      </c>
      <c r="K1953">
        <f t="shared" si="91"/>
        <v>110</v>
      </c>
      <c r="L1953">
        <f t="shared" si="92"/>
        <v>0</v>
      </c>
      <c r="M1953">
        <v>2200</v>
      </c>
      <c r="N1953" s="3">
        <v>45699</v>
      </c>
      <c r="O1953" s="6">
        <v>19108733</v>
      </c>
    </row>
    <row r="1954" spans="1:15">
      <c r="A1954" t="str">
        <f t="shared" si="90"/>
        <v>Jagung NK 7328 20 X 1 kg4569919108732</v>
      </c>
      <c r="B1954" t="s">
        <v>11773</v>
      </c>
      <c r="C1954" t="s">
        <v>16336</v>
      </c>
      <c r="D1954" t="s">
        <v>13857</v>
      </c>
      <c r="E1954" t="s">
        <v>1001</v>
      </c>
      <c r="F1954">
        <v>20</v>
      </c>
      <c r="G1954">
        <v>1</v>
      </c>
      <c r="H1954">
        <v>1</v>
      </c>
      <c r="I1954">
        <v>20</v>
      </c>
      <c r="J1954">
        <v>2260</v>
      </c>
      <c r="K1954">
        <f t="shared" si="91"/>
        <v>113</v>
      </c>
      <c r="L1954">
        <f t="shared" si="92"/>
        <v>0</v>
      </c>
      <c r="M1954">
        <v>2260</v>
      </c>
      <c r="N1954" s="3">
        <v>45699</v>
      </c>
      <c r="O1954" s="6">
        <v>19108732</v>
      </c>
    </row>
    <row r="1955" spans="1:15">
      <c r="A1955" t="str">
        <f t="shared" si="90"/>
        <v>Jagung NK 7328 20 X 1 kg4572019219793</v>
      </c>
      <c r="B1955" t="s">
        <v>11774</v>
      </c>
      <c r="C1955" t="s">
        <v>16337</v>
      </c>
      <c r="D1955" t="s">
        <v>13858</v>
      </c>
      <c r="E1955" t="s">
        <v>1001</v>
      </c>
      <c r="F1955">
        <v>20</v>
      </c>
      <c r="G1955">
        <v>1</v>
      </c>
      <c r="H1955">
        <v>1</v>
      </c>
      <c r="I1955">
        <v>20</v>
      </c>
      <c r="J1955">
        <v>3180</v>
      </c>
      <c r="K1955">
        <f t="shared" si="91"/>
        <v>159</v>
      </c>
      <c r="L1955">
        <f t="shared" si="92"/>
        <v>0</v>
      </c>
      <c r="M1955">
        <v>3180</v>
      </c>
      <c r="N1955" s="3">
        <v>45720</v>
      </c>
      <c r="O1955" s="6">
        <v>19219793</v>
      </c>
    </row>
    <row r="1956" spans="1:15">
      <c r="A1956" t="str">
        <f t="shared" si="90"/>
        <v>Jagung NK 7328 20 X 1 kg4572019219792</v>
      </c>
      <c r="B1956" t="s">
        <v>11775</v>
      </c>
      <c r="C1956" t="s">
        <v>16338</v>
      </c>
      <c r="D1956" t="s">
        <v>13859</v>
      </c>
      <c r="E1956" t="s">
        <v>1001</v>
      </c>
      <c r="F1956">
        <v>20</v>
      </c>
      <c r="G1956">
        <v>1</v>
      </c>
      <c r="H1956">
        <v>1</v>
      </c>
      <c r="I1956">
        <v>20</v>
      </c>
      <c r="J1956">
        <v>4340</v>
      </c>
      <c r="K1956">
        <f t="shared" si="91"/>
        <v>217</v>
      </c>
      <c r="L1956">
        <f t="shared" si="92"/>
        <v>0</v>
      </c>
      <c r="M1956">
        <v>4340</v>
      </c>
      <c r="N1956" s="3">
        <v>45720</v>
      </c>
      <c r="O1956" s="6">
        <v>19219792</v>
      </c>
    </row>
    <row r="1957" spans="1:15">
      <c r="A1957" t="str">
        <f t="shared" si="90"/>
        <v>Jagung NK 7328 20 X 1 kg4574019219804</v>
      </c>
      <c r="B1957" t="s">
        <v>11776</v>
      </c>
      <c r="C1957" t="s">
        <v>16339</v>
      </c>
      <c r="D1957" t="s">
        <v>13860</v>
      </c>
      <c r="E1957" t="s">
        <v>1001</v>
      </c>
      <c r="F1957">
        <v>20</v>
      </c>
      <c r="G1957">
        <v>1</v>
      </c>
      <c r="H1957">
        <v>1</v>
      </c>
      <c r="I1957">
        <v>20</v>
      </c>
      <c r="J1957">
        <v>7960</v>
      </c>
      <c r="K1957">
        <f t="shared" si="91"/>
        <v>398</v>
      </c>
      <c r="L1957">
        <f t="shared" si="92"/>
        <v>0</v>
      </c>
      <c r="M1957">
        <v>7960</v>
      </c>
      <c r="N1957" s="3">
        <v>45740</v>
      </c>
      <c r="O1957" s="6">
        <v>19219804</v>
      </c>
    </row>
    <row r="1958" spans="1:15">
      <c r="A1958" t="str">
        <f t="shared" si="90"/>
        <v>Jagung NK 7328 20 X 1 kg4574019219799</v>
      </c>
      <c r="B1958" t="s">
        <v>11777</v>
      </c>
      <c r="C1958" t="s">
        <v>16340</v>
      </c>
      <c r="D1958" t="s">
        <v>13861</v>
      </c>
      <c r="E1958" t="s">
        <v>1001</v>
      </c>
      <c r="F1958">
        <v>20</v>
      </c>
      <c r="G1958">
        <v>1</v>
      </c>
      <c r="H1958">
        <v>1</v>
      </c>
      <c r="I1958">
        <v>20</v>
      </c>
      <c r="J1958">
        <v>10180</v>
      </c>
      <c r="K1958">
        <f t="shared" si="91"/>
        <v>509</v>
      </c>
      <c r="L1958">
        <f t="shared" si="92"/>
        <v>0</v>
      </c>
      <c r="M1958">
        <v>10180</v>
      </c>
      <c r="N1958" s="3">
        <v>45740</v>
      </c>
      <c r="O1958" s="6">
        <v>19219799</v>
      </c>
    </row>
    <row r="1959" spans="1:15">
      <c r="A1959" t="str">
        <f t="shared" si="90"/>
        <v>Jagung NK 7328 20 X 1 kg4574719237409</v>
      </c>
      <c r="B1959" t="s">
        <v>11778</v>
      </c>
      <c r="C1959" t="s">
        <v>16341</v>
      </c>
      <c r="D1959" t="s">
        <v>13862</v>
      </c>
      <c r="E1959" t="s">
        <v>1001</v>
      </c>
      <c r="F1959">
        <v>20</v>
      </c>
      <c r="G1959">
        <v>1</v>
      </c>
      <c r="H1959">
        <v>1</v>
      </c>
      <c r="I1959">
        <v>20</v>
      </c>
      <c r="J1959">
        <v>20140</v>
      </c>
      <c r="K1959">
        <f t="shared" si="91"/>
        <v>1007</v>
      </c>
      <c r="L1959">
        <f t="shared" si="92"/>
        <v>0</v>
      </c>
      <c r="M1959">
        <v>20140</v>
      </c>
      <c r="N1959" s="3">
        <v>45747</v>
      </c>
      <c r="O1959" s="6">
        <v>19237409</v>
      </c>
    </row>
    <row r="1960" spans="1:15">
      <c r="A1960" t="str">
        <f t="shared" si="90"/>
        <v>Jagung NK 7328 20 X 1 kg4574019219798</v>
      </c>
      <c r="B1960" t="s">
        <v>11779</v>
      </c>
      <c r="C1960" t="s">
        <v>16342</v>
      </c>
      <c r="D1960" t="s">
        <v>13863</v>
      </c>
      <c r="E1960" t="s">
        <v>1001</v>
      </c>
      <c r="F1960">
        <v>20</v>
      </c>
      <c r="G1960">
        <v>1</v>
      </c>
      <c r="H1960">
        <v>1</v>
      </c>
      <c r="I1960">
        <v>20</v>
      </c>
      <c r="J1960">
        <v>29820</v>
      </c>
      <c r="K1960">
        <f t="shared" si="91"/>
        <v>1491</v>
      </c>
      <c r="L1960">
        <f t="shared" si="92"/>
        <v>0</v>
      </c>
      <c r="M1960">
        <v>29820</v>
      </c>
      <c r="N1960" s="3">
        <v>45740</v>
      </c>
      <c r="O1960" s="6">
        <v>19219798</v>
      </c>
    </row>
    <row r="1961" spans="1:15">
      <c r="A1961" t="str">
        <f t="shared" si="90"/>
        <v>Jagung P27 Gajah 20 X 1 kg45608102CKMAFINDB062</v>
      </c>
      <c r="B1961" t="s">
        <v>11780</v>
      </c>
      <c r="C1961" t="s">
        <v>16343</v>
      </c>
      <c r="D1961" t="s">
        <v>13864</v>
      </c>
      <c r="E1961" t="s">
        <v>1002</v>
      </c>
      <c r="F1961">
        <v>20</v>
      </c>
      <c r="G1961">
        <v>1</v>
      </c>
      <c r="H1961">
        <v>1</v>
      </c>
      <c r="I1961">
        <v>20</v>
      </c>
      <c r="J1961">
        <v>5</v>
      </c>
      <c r="K1961">
        <f t="shared" si="91"/>
        <v>0</v>
      </c>
      <c r="L1961">
        <f t="shared" si="92"/>
        <v>5</v>
      </c>
      <c r="M1961">
        <v>5</v>
      </c>
      <c r="N1961" s="3">
        <v>45608</v>
      </c>
      <c r="O1961" s="6" t="s">
        <v>1003</v>
      </c>
    </row>
    <row r="1962" spans="1:15">
      <c r="A1962" t="str">
        <f t="shared" si="90"/>
        <v>Jagung P27 Gajah 20 X 1 kg45641134CJMAFDNDC052</v>
      </c>
      <c r="B1962" t="s">
        <v>11781</v>
      </c>
      <c r="C1962" t="s">
        <v>16344</v>
      </c>
      <c r="D1962" t="s">
        <v>13865</v>
      </c>
      <c r="E1962" t="s">
        <v>1002</v>
      </c>
      <c r="F1962">
        <v>20</v>
      </c>
      <c r="G1962">
        <v>1</v>
      </c>
      <c r="H1962">
        <v>1</v>
      </c>
      <c r="I1962">
        <v>20</v>
      </c>
      <c r="J1962">
        <v>10</v>
      </c>
      <c r="K1962">
        <f t="shared" si="91"/>
        <v>0</v>
      </c>
      <c r="L1962">
        <f t="shared" si="92"/>
        <v>10</v>
      </c>
      <c r="M1962">
        <v>10</v>
      </c>
      <c r="N1962" s="3">
        <v>45641</v>
      </c>
      <c r="O1962" s="6" t="s">
        <v>1004</v>
      </c>
    </row>
    <row r="1963" spans="1:15">
      <c r="A1963" t="str">
        <f t="shared" si="90"/>
        <v>Jagung P27 Gajah 20 X 1 kg45641143CJMAFINDC053</v>
      </c>
      <c r="B1963" t="s">
        <v>11782</v>
      </c>
      <c r="C1963" t="s">
        <v>16345</v>
      </c>
      <c r="D1963" t="s">
        <v>13866</v>
      </c>
      <c r="E1963" t="s">
        <v>1002</v>
      </c>
      <c r="F1963">
        <v>20</v>
      </c>
      <c r="G1963">
        <v>1</v>
      </c>
      <c r="H1963">
        <v>1</v>
      </c>
      <c r="I1963">
        <v>20</v>
      </c>
      <c r="J1963">
        <v>10</v>
      </c>
      <c r="K1963">
        <f t="shared" si="91"/>
        <v>0</v>
      </c>
      <c r="L1963">
        <f t="shared" si="92"/>
        <v>10</v>
      </c>
      <c r="M1963">
        <v>10</v>
      </c>
      <c r="N1963" s="3">
        <v>45641</v>
      </c>
      <c r="O1963" s="6" t="s">
        <v>1005</v>
      </c>
    </row>
    <row r="1964" spans="1:15">
      <c r="A1964" t="str">
        <f t="shared" si="90"/>
        <v>Jagung P27 Gajah 20 X 1 kg45608068CKMAFINDB063</v>
      </c>
      <c r="B1964" t="s">
        <v>11783</v>
      </c>
      <c r="C1964" t="s">
        <v>16346</v>
      </c>
      <c r="D1964" t="s">
        <v>13867</v>
      </c>
      <c r="E1964" t="s">
        <v>1002</v>
      </c>
      <c r="F1964">
        <v>20</v>
      </c>
      <c r="G1964">
        <v>1</v>
      </c>
      <c r="H1964">
        <v>1</v>
      </c>
      <c r="I1964">
        <v>20</v>
      </c>
      <c r="J1964">
        <v>12</v>
      </c>
      <c r="K1964">
        <f t="shared" si="91"/>
        <v>0</v>
      </c>
      <c r="L1964">
        <f t="shared" si="92"/>
        <v>12</v>
      </c>
      <c r="M1964">
        <v>12</v>
      </c>
      <c r="N1964" s="3">
        <v>45608</v>
      </c>
      <c r="O1964" s="6" t="s">
        <v>1006</v>
      </c>
    </row>
    <row r="1965" spans="1:15">
      <c r="A1965" t="str">
        <f t="shared" si="90"/>
        <v>Jagung P27 Gajah 20 X 1 kg45641007CKMAFDNDC055</v>
      </c>
      <c r="B1965" t="s">
        <v>11784</v>
      </c>
      <c r="C1965" t="s">
        <v>16347</v>
      </c>
      <c r="D1965" t="s">
        <v>13868</v>
      </c>
      <c r="E1965" t="s">
        <v>1002</v>
      </c>
      <c r="F1965">
        <v>20</v>
      </c>
      <c r="G1965">
        <v>1</v>
      </c>
      <c r="H1965">
        <v>1</v>
      </c>
      <c r="I1965">
        <v>20</v>
      </c>
      <c r="J1965">
        <v>6060</v>
      </c>
      <c r="K1965">
        <f t="shared" si="91"/>
        <v>303</v>
      </c>
      <c r="L1965">
        <f t="shared" si="92"/>
        <v>0</v>
      </c>
      <c r="M1965">
        <v>6060</v>
      </c>
      <c r="N1965" s="3">
        <v>45641</v>
      </c>
      <c r="O1965" s="6" t="s">
        <v>1007</v>
      </c>
    </row>
    <row r="1966" spans="1:15">
      <c r="A1966" t="str">
        <f t="shared" si="90"/>
        <v>Jagung P27 Gajah 20 X 1 kg45658013CKMAFINDE006</v>
      </c>
      <c r="B1966" t="s">
        <v>11785</v>
      </c>
      <c r="C1966" t="s">
        <v>16348</v>
      </c>
      <c r="D1966" t="s">
        <v>13869</v>
      </c>
      <c r="E1966" t="s">
        <v>1002</v>
      </c>
      <c r="F1966">
        <v>20</v>
      </c>
      <c r="G1966">
        <v>1</v>
      </c>
      <c r="H1966">
        <v>1</v>
      </c>
      <c r="I1966">
        <v>20</v>
      </c>
      <c r="J1966">
        <v>15000</v>
      </c>
      <c r="K1966">
        <f t="shared" si="91"/>
        <v>750</v>
      </c>
      <c r="L1966">
        <f t="shared" si="92"/>
        <v>0</v>
      </c>
      <c r="M1966">
        <v>15000</v>
      </c>
      <c r="N1966" s="3">
        <v>45658</v>
      </c>
      <c r="O1966" s="6" t="s">
        <v>1008</v>
      </c>
    </row>
    <row r="1967" spans="1:15">
      <c r="A1967" t="str">
        <f t="shared" si="90"/>
        <v>Jagung Pertiwi 6 20 X 1 kg45809368.18</v>
      </c>
      <c r="B1967" t="s">
        <v>11786</v>
      </c>
      <c r="C1967" t="s">
        <v>16349</v>
      </c>
      <c r="D1967" t="s">
        <v>13870</v>
      </c>
      <c r="E1967" t="s">
        <v>1009</v>
      </c>
      <c r="F1967">
        <v>20</v>
      </c>
      <c r="G1967">
        <v>1</v>
      </c>
      <c r="H1967">
        <v>1</v>
      </c>
      <c r="I1967">
        <v>20</v>
      </c>
      <c r="J1967">
        <v>243</v>
      </c>
      <c r="K1967">
        <f t="shared" si="91"/>
        <v>12</v>
      </c>
      <c r="L1967">
        <f t="shared" si="92"/>
        <v>3</v>
      </c>
      <c r="M1967">
        <v>243</v>
      </c>
      <c r="N1967" s="3">
        <v>45809</v>
      </c>
      <c r="O1967" s="6">
        <v>368.18</v>
      </c>
    </row>
    <row r="1968" spans="1:15">
      <c r="A1968" t="str">
        <f t="shared" si="90"/>
        <v>Jagung Pertiwi 6 20 X 1 kg458091013.179</v>
      </c>
      <c r="B1968" t="s">
        <v>11787</v>
      </c>
      <c r="C1968" t="s">
        <v>16350</v>
      </c>
      <c r="D1968" t="s">
        <v>13871</v>
      </c>
      <c r="E1968" t="s">
        <v>1009</v>
      </c>
      <c r="F1968">
        <v>20</v>
      </c>
      <c r="G1968">
        <v>1</v>
      </c>
      <c r="H1968">
        <v>1</v>
      </c>
      <c r="I1968">
        <v>20</v>
      </c>
      <c r="J1968">
        <v>4757</v>
      </c>
      <c r="K1968">
        <f t="shared" si="91"/>
        <v>237</v>
      </c>
      <c r="L1968">
        <f t="shared" si="92"/>
        <v>17</v>
      </c>
      <c r="M1968">
        <v>4757</v>
      </c>
      <c r="N1968" s="3">
        <v>45809</v>
      </c>
      <c r="O1968" s="6">
        <v>1013.179</v>
      </c>
    </row>
    <row r="1969" spans="1:15">
      <c r="A1969" t="str">
        <f t="shared" si="90"/>
        <v>Jagung Pertiwi 6 20 X 1 kg458091295.178</v>
      </c>
      <c r="B1969" t="s">
        <v>11788</v>
      </c>
      <c r="C1969" t="s">
        <v>16351</v>
      </c>
      <c r="D1969" t="s">
        <v>13872</v>
      </c>
      <c r="E1969" t="s">
        <v>1009</v>
      </c>
      <c r="F1969">
        <v>20</v>
      </c>
      <c r="G1969">
        <v>1</v>
      </c>
      <c r="H1969">
        <v>1</v>
      </c>
      <c r="I1969">
        <v>20</v>
      </c>
      <c r="J1969">
        <v>9160</v>
      </c>
      <c r="K1969">
        <f t="shared" si="91"/>
        <v>458</v>
      </c>
      <c r="L1969">
        <f t="shared" si="92"/>
        <v>0</v>
      </c>
      <c r="M1969">
        <v>9160</v>
      </c>
      <c r="N1969" s="3">
        <v>45809</v>
      </c>
      <c r="O1969" s="6">
        <v>1295.1780000000001</v>
      </c>
    </row>
    <row r="1970" spans="1:15">
      <c r="A1970" t="str">
        <f t="shared" si="90"/>
        <v>Jagung Q-235 10 X 1 Kg4541002/02/PRG/2023</v>
      </c>
      <c r="B1970" t="s">
        <v>11789</v>
      </c>
      <c r="C1970" t="s">
        <v>16352</v>
      </c>
      <c r="D1970" t="s">
        <v>13873</v>
      </c>
      <c r="E1970" t="s">
        <v>1010</v>
      </c>
      <c r="F1970">
        <v>10</v>
      </c>
      <c r="G1970">
        <v>1</v>
      </c>
      <c r="H1970">
        <v>1</v>
      </c>
      <c r="I1970">
        <v>10</v>
      </c>
      <c r="J1970">
        <v>1</v>
      </c>
      <c r="K1970">
        <f t="shared" si="91"/>
        <v>0</v>
      </c>
      <c r="L1970">
        <f t="shared" si="92"/>
        <v>1</v>
      </c>
      <c r="M1970">
        <v>1</v>
      </c>
      <c r="N1970" s="3">
        <v>45410</v>
      </c>
      <c r="O1970" s="6" t="s">
        <v>1011</v>
      </c>
    </row>
    <row r="1971" spans="1:15">
      <c r="A1971" t="str">
        <f t="shared" si="90"/>
        <v>Jagung Q-235 10 X 1 Kg4547204/04/PRG/2023</v>
      </c>
      <c r="B1971" t="s">
        <v>11790</v>
      </c>
      <c r="C1971" t="s">
        <v>16353</v>
      </c>
      <c r="D1971" t="s">
        <v>13874</v>
      </c>
      <c r="E1971" t="s">
        <v>1010</v>
      </c>
      <c r="F1971">
        <v>10</v>
      </c>
      <c r="G1971">
        <v>1</v>
      </c>
      <c r="H1971">
        <v>1</v>
      </c>
      <c r="I1971">
        <v>10</v>
      </c>
      <c r="J1971">
        <v>91</v>
      </c>
      <c r="K1971">
        <f t="shared" si="91"/>
        <v>9</v>
      </c>
      <c r="L1971">
        <f t="shared" si="92"/>
        <v>1</v>
      </c>
      <c r="M1971">
        <v>91</v>
      </c>
      <c r="N1971" s="3">
        <v>45472</v>
      </c>
      <c r="O1971" s="6" t="s">
        <v>1012</v>
      </c>
    </row>
    <row r="1972" spans="1:15">
      <c r="A1972" t="str">
        <f t="shared" si="90"/>
        <v>Jagung Q-235 10 X 1 Kg4547206/06/PRG/2023</v>
      </c>
      <c r="B1972" t="s">
        <v>11791</v>
      </c>
      <c r="C1972" t="s">
        <v>16354</v>
      </c>
      <c r="D1972" t="s">
        <v>13875</v>
      </c>
      <c r="E1972" t="s">
        <v>1010</v>
      </c>
      <c r="F1972">
        <v>10</v>
      </c>
      <c r="G1972">
        <v>1</v>
      </c>
      <c r="H1972">
        <v>1</v>
      </c>
      <c r="I1972">
        <v>10</v>
      </c>
      <c r="J1972">
        <v>75</v>
      </c>
      <c r="K1972">
        <f t="shared" si="91"/>
        <v>7</v>
      </c>
      <c r="L1972">
        <f t="shared" si="92"/>
        <v>5</v>
      </c>
      <c r="M1972">
        <v>75</v>
      </c>
      <c r="N1972" s="3">
        <v>45472</v>
      </c>
      <c r="O1972" s="6" t="s">
        <v>1013</v>
      </c>
    </row>
    <row r="1973" spans="1:15">
      <c r="A1973" t="str">
        <f t="shared" si="90"/>
        <v>Jagung Q-235 10 X 1 Kg4547205/05/PRG/2023</v>
      </c>
      <c r="B1973" t="s">
        <v>11792</v>
      </c>
      <c r="C1973" t="s">
        <v>16355</v>
      </c>
      <c r="D1973" t="s">
        <v>13876</v>
      </c>
      <c r="E1973" t="s">
        <v>1010</v>
      </c>
      <c r="F1973">
        <v>10</v>
      </c>
      <c r="G1973">
        <v>1</v>
      </c>
      <c r="H1973">
        <v>1</v>
      </c>
      <c r="I1973">
        <v>10</v>
      </c>
      <c r="J1973">
        <v>98</v>
      </c>
      <c r="K1973">
        <f t="shared" si="91"/>
        <v>9</v>
      </c>
      <c r="L1973">
        <f t="shared" si="92"/>
        <v>8</v>
      </c>
      <c r="M1973">
        <v>98</v>
      </c>
      <c r="N1973" s="3">
        <v>45472</v>
      </c>
      <c r="O1973" s="6" t="s">
        <v>1014</v>
      </c>
    </row>
    <row r="1974" spans="1:15">
      <c r="A1974" t="str">
        <f t="shared" si="90"/>
        <v>Jagung Q-235 10 X 1 Kg4536745410</v>
      </c>
      <c r="B1974" t="s">
        <v>11793</v>
      </c>
      <c r="C1974" t="s">
        <v>16356</v>
      </c>
      <c r="D1974" t="s">
        <v>13877</v>
      </c>
      <c r="E1974" t="s">
        <v>1010</v>
      </c>
      <c r="F1974">
        <v>10</v>
      </c>
      <c r="G1974">
        <v>1</v>
      </c>
      <c r="H1974">
        <v>1</v>
      </c>
      <c r="I1974">
        <v>10</v>
      </c>
      <c r="J1974">
        <v>35</v>
      </c>
      <c r="K1974">
        <f t="shared" si="91"/>
        <v>3</v>
      </c>
      <c r="L1974">
        <f t="shared" si="92"/>
        <v>5</v>
      </c>
      <c r="M1974">
        <v>35</v>
      </c>
      <c r="N1974" s="3">
        <v>45367</v>
      </c>
      <c r="O1974" s="6">
        <v>45410</v>
      </c>
    </row>
    <row r="1975" spans="1:15">
      <c r="A1975" t="str">
        <f t="shared" si="90"/>
        <v>Jagung Q-235 10 X 1 Kg45497M01CB006</v>
      </c>
      <c r="B1975" t="s">
        <v>11794</v>
      </c>
      <c r="C1975" t="s">
        <v>16357</v>
      </c>
      <c r="D1975" t="s">
        <v>13878</v>
      </c>
      <c r="E1975" t="s">
        <v>1010</v>
      </c>
      <c r="F1975">
        <v>10</v>
      </c>
      <c r="G1975">
        <v>1</v>
      </c>
      <c r="H1975">
        <v>1</v>
      </c>
      <c r="I1975">
        <v>10</v>
      </c>
      <c r="J1975">
        <v>151</v>
      </c>
      <c r="K1975">
        <f t="shared" si="91"/>
        <v>15</v>
      </c>
      <c r="L1975">
        <f t="shared" si="92"/>
        <v>1</v>
      </c>
      <c r="M1975">
        <v>151</v>
      </c>
      <c r="N1975" s="3">
        <v>45497</v>
      </c>
      <c r="O1975" s="6" t="s">
        <v>1015</v>
      </c>
    </row>
    <row r="1976" spans="1:15">
      <c r="A1976" t="str">
        <f t="shared" si="90"/>
        <v>Jagung Q-235 10 X 1 Kg4555343/23</v>
      </c>
      <c r="B1976" t="s">
        <v>11795</v>
      </c>
      <c r="C1976" t="s">
        <v>16358</v>
      </c>
      <c r="D1976" t="s">
        <v>13879</v>
      </c>
      <c r="E1976" t="s">
        <v>1010</v>
      </c>
      <c r="F1976">
        <v>10</v>
      </c>
      <c r="G1976">
        <v>1</v>
      </c>
      <c r="H1976">
        <v>1</v>
      </c>
      <c r="I1976">
        <v>10</v>
      </c>
      <c r="J1976">
        <v>334</v>
      </c>
      <c r="K1976">
        <f t="shared" si="91"/>
        <v>33</v>
      </c>
      <c r="L1976">
        <f t="shared" si="92"/>
        <v>4</v>
      </c>
      <c r="M1976">
        <v>334</v>
      </c>
      <c r="N1976" s="3">
        <v>45553</v>
      </c>
      <c r="O1976" s="6" t="s">
        <v>1016</v>
      </c>
    </row>
    <row r="1977" spans="1:15">
      <c r="A1977" t="str">
        <f t="shared" si="90"/>
        <v>Jagung Q-235 10 X 1 Kg4553439/14</v>
      </c>
      <c r="B1977" t="s">
        <v>11796</v>
      </c>
      <c r="C1977" t="s">
        <v>16359</v>
      </c>
      <c r="D1977" t="s">
        <v>13880</v>
      </c>
      <c r="E1977" t="s">
        <v>1010</v>
      </c>
      <c r="F1977">
        <v>10</v>
      </c>
      <c r="G1977">
        <v>1</v>
      </c>
      <c r="H1977">
        <v>1</v>
      </c>
      <c r="I1977">
        <v>10</v>
      </c>
      <c r="J1977">
        <v>370</v>
      </c>
      <c r="K1977">
        <f t="shared" si="91"/>
        <v>37</v>
      </c>
      <c r="L1977">
        <f t="shared" si="92"/>
        <v>0</v>
      </c>
      <c r="M1977">
        <v>370</v>
      </c>
      <c r="N1977" s="3">
        <v>45534</v>
      </c>
      <c r="O1977" s="6" t="s">
        <v>1017</v>
      </c>
    </row>
    <row r="1978" spans="1:15">
      <c r="A1978" t="str">
        <f t="shared" si="90"/>
        <v>Jagung Q-235 10 X 1 Kg4550435/4</v>
      </c>
      <c r="B1978" t="s">
        <v>11797</v>
      </c>
      <c r="C1978" t="s">
        <v>16360</v>
      </c>
      <c r="D1978" t="s">
        <v>13881</v>
      </c>
      <c r="E1978" t="s">
        <v>1010</v>
      </c>
      <c r="F1978">
        <v>10</v>
      </c>
      <c r="G1978">
        <v>1</v>
      </c>
      <c r="H1978">
        <v>1</v>
      </c>
      <c r="I1978">
        <v>10</v>
      </c>
      <c r="J1978">
        <v>454</v>
      </c>
      <c r="K1978">
        <f t="shared" si="91"/>
        <v>45</v>
      </c>
      <c r="L1978">
        <f t="shared" si="92"/>
        <v>4</v>
      </c>
      <c r="M1978">
        <v>454</v>
      </c>
      <c r="N1978" s="3">
        <v>45504</v>
      </c>
      <c r="O1978" s="6" t="s">
        <v>1018</v>
      </c>
    </row>
    <row r="1979" spans="1:15">
      <c r="A1979" t="str">
        <f t="shared" si="90"/>
        <v>Jagung Q-235 10 X 1 Kg4559749/33</v>
      </c>
      <c r="B1979" t="s">
        <v>11798</v>
      </c>
      <c r="C1979" t="s">
        <v>16361</v>
      </c>
      <c r="D1979" t="s">
        <v>13882</v>
      </c>
      <c r="E1979" t="s">
        <v>1010</v>
      </c>
      <c r="F1979">
        <v>10</v>
      </c>
      <c r="G1979">
        <v>1</v>
      </c>
      <c r="H1979">
        <v>1</v>
      </c>
      <c r="I1979">
        <v>10</v>
      </c>
      <c r="J1979">
        <v>495</v>
      </c>
      <c r="K1979">
        <f t="shared" si="91"/>
        <v>49</v>
      </c>
      <c r="L1979">
        <f t="shared" si="92"/>
        <v>5</v>
      </c>
      <c r="M1979">
        <v>495</v>
      </c>
      <c r="N1979" s="3">
        <v>45597</v>
      </c>
      <c r="O1979" s="6" t="s">
        <v>1019</v>
      </c>
    </row>
    <row r="1980" spans="1:15">
      <c r="A1980" t="str">
        <f t="shared" si="90"/>
        <v>Jagung Q-235 10 X 1 Kg4553440/15</v>
      </c>
      <c r="B1980" t="s">
        <v>11799</v>
      </c>
      <c r="C1980" t="s">
        <v>16362</v>
      </c>
      <c r="D1980" t="s">
        <v>13883</v>
      </c>
      <c r="E1980" t="s">
        <v>1010</v>
      </c>
      <c r="F1980">
        <v>10</v>
      </c>
      <c r="G1980">
        <v>1</v>
      </c>
      <c r="H1980">
        <v>1</v>
      </c>
      <c r="I1980">
        <v>10</v>
      </c>
      <c r="J1980">
        <v>500</v>
      </c>
      <c r="K1980">
        <f t="shared" si="91"/>
        <v>50</v>
      </c>
      <c r="L1980">
        <f t="shared" si="92"/>
        <v>0</v>
      </c>
      <c r="M1980">
        <v>500</v>
      </c>
      <c r="N1980" s="3">
        <v>45534</v>
      </c>
      <c r="O1980" s="6" t="s">
        <v>1020</v>
      </c>
    </row>
    <row r="1981" spans="1:15">
      <c r="A1981" t="str">
        <f t="shared" si="90"/>
        <v>Jagung Q-235 10 X 1 Kg4557045/29</v>
      </c>
      <c r="B1981" t="s">
        <v>11800</v>
      </c>
      <c r="C1981" t="s">
        <v>16363</v>
      </c>
      <c r="D1981" t="s">
        <v>13884</v>
      </c>
      <c r="E1981" t="s">
        <v>1010</v>
      </c>
      <c r="F1981">
        <v>10</v>
      </c>
      <c r="G1981">
        <v>1</v>
      </c>
      <c r="H1981">
        <v>1</v>
      </c>
      <c r="I1981">
        <v>10</v>
      </c>
      <c r="J1981">
        <v>550</v>
      </c>
      <c r="K1981">
        <f t="shared" si="91"/>
        <v>55</v>
      </c>
      <c r="L1981">
        <f t="shared" si="92"/>
        <v>0</v>
      </c>
      <c r="M1981">
        <v>550</v>
      </c>
      <c r="N1981" s="3">
        <v>45570</v>
      </c>
      <c r="O1981" s="6" t="s">
        <v>1021</v>
      </c>
    </row>
    <row r="1982" spans="1:15">
      <c r="A1982" t="str">
        <f t="shared" si="90"/>
        <v>Jagung Q-235 10 X 1 Kg4555342/19</v>
      </c>
      <c r="B1982" t="s">
        <v>11801</v>
      </c>
      <c r="C1982" t="s">
        <v>16364</v>
      </c>
      <c r="D1982" t="s">
        <v>13885</v>
      </c>
      <c r="E1982" t="s">
        <v>1010</v>
      </c>
      <c r="F1982">
        <v>10</v>
      </c>
      <c r="G1982">
        <v>1</v>
      </c>
      <c r="H1982">
        <v>1</v>
      </c>
      <c r="I1982">
        <v>10</v>
      </c>
      <c r="J1982">
        <v>870</v>
      </c>
      <c r="K1982">
        <f t="shared" si="91"/>
        <v>87</v>
      </c>
      <c r="L1982">
        <f t="shared" si="92"/>
        <v>0</v>
      </c>
      <c r="M1982">
        <v>870</v>
      </c>
      <c r="N1982" s="3">
        <v>45553</v>
      </c>
      <c r="O1982" s="6" t="s">
        <v>1022</v>
      </c>
    </row>
    <row r="1983" spans="1:15">
      <c r="A1983" t="str">
        <f t="shared" si="90"/>
        <v>Jagung Q-235 10 X 1 Kg4557044/21</v>
      </c>
      <c r="B1983" t="s">
        <v>11802</v>
      </c>
      <c r="C1983" t="s">
        <v>16365</v>
      </c>
      <c r="D1983" t="s">
        <v>13886</v>
      </c>
      <c r="E1983" t="s">
        <v>1010</v>
      </c>
      <c r="F1983">
        <v>10</v>
      </c>
      <c r="G1983">
        <v>1</v>
      </c>
      <c r="H1983">
        <v>1</v>
      </c>
      <c r="I1983">
        <v>10</v>
      </c>
      <c r="J1983">
        <v>1000</v>
      </c>
      <c r="K1983">
        <f t="shared" si="91"/>
        <v>100</v>
      </c>
      <c r="L1983">
        <f t="shared" si="92"/>
        <v>0</v>
      </c>
      <c r="M1983">
        <v>1000</v>
      </c>
      <c r="N1983" s="3">
        <v>45570</v>
      </c>
      <c r="O1983" s="6" t="s">
        <v>1023</v>
      </c>
    </row>
    <row r="1984" spans="1:15">
      <c r="A1984" t="str">
        <f t="shared" si="90"/>
        <v>Jagung Q-235 10 X 1 Kg4553441/16</v>
      </c>
      <c r="B1984" t="s">
        <v>11803</v>
      </c>
      <c r="C1984" t="s">
        <v>16366</v>
      </c>
      <c r="D1984" t="s">
        <v>13887</v>
      </c>
      <c r="E1984" t="s">
        <v>1010</v>
      </c>
      <c r="F1984">
        <v>10</v>
      </c>
      <c r="G1984">
        <v>1</v>
      </c>
      <c r="H1984">
        <v>1</v>
      </c>
      <c r="I1984">
        <v>10</v>
      </c>
      <c r="J1984">
        <v>1480</v>
      </c>
      <c r="K1984">
        <f t="shared" si="91"/>
        <v>148</v>
      </c>
      <c r="L1984">
        <f t="shared" si="92"/>
        <v>0</v>
      </c>
      <c r="M1984">
        <v>1480</v>
      </c>
      <c r="N1984" s="3">
        <v>45534</v>
      </c>
      <c r="O1984" s="6" t="s">
        <v>1024</v>
      </c>
    </row>
    <row r="1985" spans="1:15">
      <c r="A1985" t="str">
        <f t="shared" si="90"/>
        <v>Jagung Q-235 10 X 1 Kg4552037/10</v>
      </c>
      <c r="B1985" t="s">
        <v>11804</v>
      </c>
      <c r="C1985" t="s">
        <v>16367</v>
      </c>
      <c r="D1985" t="s">
        <v>13888</v>
      </c>
      <c r="E1985" t="s">
        <v>1010</v>
      </c>
      <c r="F1985">
        <v>10</v>
      </c>
      <c r="G1985">
        <v>1</v>
      </c>
      <c r="H1985">
        <v>1</v>
      </c>
      <c r="I1985">
        <v>10</v>
      </c>
      <c r="J1985">
        <v>1905</v>
      </c>
      <c r="K1985">
        <f t="shared" si="91"/>
        <v>190</v>
      </c>
      <c r="L1985">
        <f t="shared" si="92"/>
        <v>5</v>
      </c>
      <c r="M1985">
        <v>1905</v>
      </c>
      <c r="N1985" s="3">
        <v>45520</v>
      </c>
      <c r="O1985" s="6" t="s">
        <v>1025</v>
      </c>
    </row>
    <row r="1986" spans="1:15">
      <c r="A1986" t="str">
        <f t="shared" si="90"/>
        <v>Kangkung Bisi 20 X 1 kg45809114113</v>
      </c>
      <c r="B1986" t="s">
        <v>11805</v>
      </c>
      <c r="C1986" t="s">
        <v>16368</v>
      </c>
      <c r="D1986" t="s">
        <v>13889</v>
      </c>
      <c r="E1986" t="s">
        <v>1051</v>
      </c>
      <c r="F1986">
        <v>20</v>
      </c>
      <c r="G1986">
        <v>1</v>
      </c>
      <c r="H1986">
        <v>1</v>
      </c>
      <c r="I1986">
        <v>20</v>
      </c>
      <c r="J1986">
        <v>3</v>
      </c>
      <c r="K1986">
        <f t="shared" si="91"/>
        <v>0</v>
      </c>
      <c r="L1986">
        <f t="shared" si="92"/>
        <v>3</v>
      </c>
      <c r="M1986">
        <v>3</v>
      </c>
      <c r="N1986" s="3">
        <v>45809</v>
      </c>
      <c r="O1986" s="6">
        <v>114113</v>
      </c>
    </row>
    <row r="1987" spans="1:15">
      <c r="A1987" t="str">
        <f t="shared" ref="A1987:A2050" si="93">E1987&amp;N1987&amp;O1987</f>
        <v>Kangkung Bisi 20 X 1 kg459319280</v>
      </c>
      <c r="B1987" t="s">
        <v>11806</v>
      </c>
      <c r="C1987" t="s">
        <v>16369</v>
      </c>
      <c r="D1987" t="s">
        <v>13890</v>
      </c>
      <c r="E1987" t="s">
        <v>1051</v>
      </c>
      <c r="F1987">
        <v>20</v>
      </c>
      <c r="G1987">
        <v>1</v>
      </c>
      <c r="H1987">
        <v>1</v>
      </c>
      <c r="I1987">
        <v>20</v>
      </c>
      <c r="J1987">
        <v>1220</v>
      </c>
      <c r="K1987">
        <f t="shared" ref="K1987:K2050" si="94">ROUNDDOWN(J1987/I1987,0)</f>
        <v>61</v>
      </c>
      <c r="L1987">
        <f t="shared" ref="L1987:L2050" si="95">J1987-K1987*I1987</f>
        <v>0</v>
      </c>
      <c r="M1987">
        <v>1220</v>
      </c>
      <c r="N1987" s="3">
        <v>45931</v>
      </c>
      <c r="O1987" s="6">
        <v>9280</v>
      </c>
    </row>
    <row r="1988" spans="1:15">
      <c r="A1988" t="str">
        <f t="shared" si="93"/>
        <v>Kangkung Dampit 20 X 1 kg45674112072306</v>
      </c>
      <c r="B1988" t="s">
        <v>11807</v>
      </c>
      <c r="C1988" t="s">
        <v>16370</v>
      </c>
      <c r="D1988" t="s">
        <v>13891</v>
      </c>
      <c r="E1988" t="s">
        <v>1052</v>
      </c>
      <c r="F1988">
        <v>20</v>
      </c>
      <c r="G1988">
        <v>1</v>
      </c>
      <c r="H1988">
        <v>1</v>
      </c>
      <c r="I1988">
        <v>20</v>
      </c>
      <c r="J1988">
        <v>20</v>
      </c>
      <c r="K1988">
        <f t="shared" si="94"/>
        <v>1</v>
      </c>
      <c r="L1988">
        <f t="shared" si="95"/>
        <v>0</v>
      </c>
      <c r="M1988">
        <v>20</v>
      </c>
      <c r="N1988" s="3">
        <v>45674</v>
      </c>
      <c r="O1988" s="6">
        <v>112072306</v>
      </c>
    </row>
    <row r="1989" spans="1:15">
      <c r="A1989" t="str">
        <f t="shared" si="93"/>
        <v>Kangkung Dampit 20 X 1 kg45779112112209</v>
      </c>
      <c r="B1989" t="s">
        <v>11808</v>
      </c>
      <c r="C1989" t="s">
        <v>16371</v>
      </c>
      <c r="D1989" t="s">
        <v>13892</v>
      </c>
      <c r="E1989" t="s">
        <v>1052</v>
      </c>
      <c r="F1989">
        <v>20</v>
      </c>
      <c r="G1989">
        <v>1</v>
      </c>
      <c r="H1989">
        <v>1</v>
      </c>
      <c r="I1989">
        <v>20</v>
      </c>
      <c r="J1989">
        <v>20</v>
      </c>
      <c r="K1989">
        <f t="shared" si="94"/>
        <v>1</v>
      </c>
      <c r="L1989">
        <f t="shared" si="95"/>
        <v>0</v>
      </c>
      <c r="M1989">
        <v>20</v>
      </c>
      <c r="N1989" s="3">
        <v>45779</v>
      </c>
      <c r="O1989" s="6">
        <v>112112209</v>
      </c>
    </row>
    <row r="1990" spans="1:15">
      <c r="A1990" t="str">
        <f t="shared" si="93"/>
        <v>Kangkung Dampit 40 X 500 gr45605112112209</v>
      </c>
      <c r="B1990" t="s">
        <v>11809</v>
      </c>
      <c r="C1990" t="s">
        <v>16372</v>
      </c>
      <c r="D1990" t="s">
        <v>13893</v>
      </c>
      <c r="E1990" t="s">
        <v>1053</v>
      </c>
      <c r="F1990">
        <v>40</v>
      </c>
      <c r="G1990">
        <v>1</v>
      </c>
      <c r="H1990">
        <v>1</v>
      </c>
      <c r="I1990">
        <v>40</v>
      </c>
      <c r="J1990">
        <v>400</v>
      </c>
      <c r="K1990">
        <f t="shared" si="94"/>
        <v>10</v>
      </c>
      <c r="L1990">
        <f t="shared" si="95"/>
        <v>0</v>
      </c>
      <c r="M1990">
        <v>400</v>
      </c>
      <c r="N1990" s="3">
        <v>45605</v>
      </c>
      <c r="O1990" s="6">
        <v>112112209</v>
      </c>
    </row>
    <row r="1991" spans="1:15">
      <c r="A1991" t="str">
        <f t="shared" si="93"/>
        <v>Kubis Grand 11-20 X 12 X 15 gr4580911-418046</v>
      </c>
      <c r="B1991" t="s">
        <v>11810</v>
      </c>
      <c r="C1991" t="s">
        <v>16373</v>
      </c>
      <c r="D1991" t="s">
        <v>13894</v>
      </c>
      <c r="E1991" t="s">
        <v>1210</v>
      </c>
      <c r="F1991">
        <v>20</v>
      </c>
      <c r="G1991">
        <v>12</v>
      </c>
      <c r="H1991">
        <v>1</v>
      </c>
      <c r="I1991">
        <v>240</v>
      </c>
      <c r="J1991">
        <v>240</v>
      </c>
      <c r="K1991">
        <f t="shared" si="94"/>
        <v>1</v>
      </c>
      <c r="L1991">
        <f t="shared" si="95"/>
        <v>0</v>
      </c>
      <c r="M1991">
        <v>240</v>
      </c>
      <c r="N1991" s="3">
        <v>45809</v>
      </c>
      <c r="O1991" s="6" t="s">
        <v>1211</v>
      </c>
    </row>
    <row r="1992" spans="1:15">
      <c r="A1992" t="str">
        <f t="shared" si="93"/>
        <v>Kubis Green Coronet 100 X 10 X 20 gr461133190007586-88RD</v>
      </c>
      <c r="B1992" t="s">
        <v>11811</v>
      </c>
      <c r="C1992" t="s">
        <v>16374</v>
      </c>
      <c r="D1992" t="s">
        <v>13895</v>
      </c>
      <c r="E1992" t="s">
        <v>1212</v>
      </c>
      <c r="F1992">
        <v>100</v>
      </c>
      <c r="G1992">
        <v>10</v>
      </c>
      <c r="H1992">
        <v>1</v>
      </c>
      <c r="I1992">
        <v>1000</v>
      </c>
      <c r="J1992">
        <v>1269</v>
      </c>
      <c r="K1992">
        <f t="shared" si="94"/>
        <v>1</v>
      </c>
      <c r="L1992">
        <f t="shared" si="95"/>
        <v>269</v>
      </c>
      <c r="M1992">
        <v>1269</v>
      </c>
      <c r="N1992" s="3">
        <v>46113</v>
      </c>
      <c r="O1992" s="6" t="s">
        <v>1213</v>
      </c>
    </row>
    <row r="1993" spans="1:15">
      <c r="A1993" t="str">
        <f t="shared" si="93"/>
        <v>Kubis Green Crown 10 X 20 ml46085330275</v>
      </c>
      <c r="B1993" t="s">
        <v>11812</v>
      </c>
      <c r="C1993" t="s">
        <v>16375</v>
      </c>
      <c r="D1993" t="s">
        <v>13896</v>
      </c>
      <c r="E1993" t="s">
        <v>1214</v>
      </c>
      <c r="F1993">
        <v>10</v>
      </c>
      <c r="G1993">
        <v>1</v>
      </c>
      <c r="H1993">
        <v>1</v>
      </c>
      <c r="I1993">
        <v>10</v>
      </c>
      <c r="J1993">
        <v>47</v>
      </c>
      <c r="K1993">
        <f t="shared" si="94"/>
        <v>4</v>
      </c>
      <c r="L1993">
        <f t="shared" si="95"/>
        <v>7</v>
      </c>
      <c r="M1993">
        <v>47</v>
      </c>
      <c r="N1993" s="3">
        <v>46085</v>
      </c>
      <c r="O1993" s="6">
        <v>330275</v>
      </c>
    </row>
    <row r="1994" spans="1:15">
      <c r="A1994" t="str">
        <f t="shared" si="93"/>
        <v>Kubis Green Crown 10 X 20 ml46085303705A5</v>
      </c>
      <c r="B1994" t="s">
        <v>11813</v>
      </c>
      <c r="C1994" t="s">
        <v>16376</v>
      </c>
      <c r="D1994" t="s">
        <v>13897</v>
      </c>
      <c r="E1994" t="s">
        <v>1214</v>
      </c>
      <c r="F1994">
        <v>10</v>
      </c>
      <c r="G1994">
        <v>1</v>
      </c>
      <c r="H1994">
        <v>1</v>
      </c>
      <c r="I1994">
        <v>10</v>
      </c>
      <c r="J1994">
        <v>300</v>
      </c>
      <c r="K1994">
        <f t="shared" si="94"/>
        <v>30</v>
      </c>
      <c r="L1994">
        <f t="shared" si="95"/>
        <v>0</v>
      </c>
      <c r="M1994">
        <v>300</v>
      </c>
      <c r="N1994" s="3">
        <v>46085</v>
      </c>
      <c r="O1994" s="6" t="s">
        <v>1215</v>
      </c>
    </row>
    <row r="1995" spans="1:15">
      <c r="A1995" t="str">
        <f t="shared" si="93"/>
        <v>Kubis Hibrida F1 Kaelo 30 X 15 gr45931103719148</v>
      </c>
      <c r="B1995" t="s">
        <v>11814</v>
      </c>
      <c r="C1995" t="s">
        <v>16377</v>
      </c>
      <c r="D1995" t="s">
        <v>13898</v>
      </c>
      <c r="E1995" t="s">
        <v>1216</v>
      </c>
      <c r="F1995">
        <v>30</v>
      </c>
      <c r="G1995">
        <v>1</v>
      </c>
      <c r="H1995">
        <v>1</v>
      </c>
      <c r="I1995">
        <v>30</v>
      </c>
      <c r="J1995">
        <v>1160</v>
      </c>
      <c r="K1995">
        <f t="shared" si="94"/>
        <v>38</v>
      </c>
      <c r="L1995">
        <f t="shared" si="95"/>
        <v>20</v>
      </c>
      <c r="M1995">
        <v>1160</v>
      </c>
      <c r="N1995" s="3">
        <v>45931</v>
      </c>
      <c r="O1995" s="6">
        <v>103719148</v>
      </c>
    </row>
    <row r="1996" spans="1:15">
      <c r="A1996" t="str">
        <f t="shared" si="93"/>
        <v>Melon Action 434 20 X 10 X 12.5 gr45870911468</v>
      </c>
      <c r="B1996" t="s">
        <v>11815</v>
      </c>
      <c r="C1996" t="s">
        <v>16378</v>
      </c>
      <c r="D1996" t="s">
        <v>13899</v>
      </c>
      <c r="E1996" t="s">
        <v>1311</v>
      </c>
      <c r="F1996">
        <v>20</v>
      </c>
      <c r="G1996">
        <v>10</v>
      </c>
      <c r="H1996">
        <v>1</v>
      </c>
      <c r="I1996">
        <v>200</v>
      </c>
      <c r="J1996">
        <v>190</v>
      </c>
      <c r="K1996">
        <f t="shared" si="94"/>
        <v>0</v>
      </c>
      <c r="L1996">
        <f t="shared" si="95"/>
        <v>190</v>
      </c>
      <c r="M1996">
        <v>190</v>
      </c>
      <c r="N1996" s="3">
        <v>45870</v>
      </c>
      <c r="O1996" s="6">
        <v>911468</v>
      </c>
    </row>
    <row r="1997" spans="1:15">
      <c r="A1997" t="str">
        <f t="shared" si="93"/>
        <v>Melon Pertiwi Anvi 10 X 15 X 13 gr45679322.0643</v>
      </c>
      <c r="B1997" t="s">
        <v>11816</v>
      </c>
      <c r="C1997" t="s">
        <v>16379</v>
      </c>
      <c r="D1997" t="s">
        <v>13900</v>
      </c>
      <c r="E1997" t="s">
        <v>1312</v>
      </c>
      <c r="F1997">
        <v>10</v>
      </c>
      <c r="G1997">
        <v>15</v>
      </c>
      <c r="H1997">
        <v>1</v>
      </c>
      <c r="I1997">
        <v>150</v>
      </c>
      <c r="J1997">
        <v>64</v>
      </c>
      <c r="K1997">
        <f t="shared" si="94"/>
        <v>0</v>
      </c>
      <c r="L1997">
        <f t="shared" si="95"/>
        <v>64</v>
      </c>
      <c r="M1997">
        <v>64</v>
      </c>
      <c r="N1997" s="3">
        <v>45679</v>
      </c>
      <c r="O1997" s="6">
        <v>322.0643</v>
      </c>
    </row>
    <row r="1998" spans="1:15">
      <c r="A1998" t="str">
        <f t="shared" si="93"/>
        <v>Oyong Hanoman 12 X 15 X 10 gr457232521711118</v>
      </c>
      <c r="B1998" t="s">
        <v>11817</v>
      </c>
      <c r="C1998" t="s">
        <v>16380</v>
      </c>
      <c r="D1998" t="s">
        <v>13901</v>
      </c>
      <c r="E1998" t="s">
        <v>1502</v>
      </c>
      <c r="F1998">
        <v>12</v>
      </c>
      <c r="G1998">
        <v>15</v>
      </c>
      <c r="H1998">
        <v>1</v>
      </c>
      <c r="I1998">
        <v>180</v>
      </c>
      <c r="J1998">
        <v>63</v>
      </c>
      <c r="K1998">
        <f t="shared" si="94"/>
        <v>0</v>
      </c>
      <c r="L1998">
        <f t="shared" si="95"/>
        <v>63</v>
      </c>
      <c r="M1998">
        <v>63</v>
      </c>
      <c r="N1998" s="3">
        <v>45723</v>
      </c>
      <c r="O1998" s="6">
        <v>2521711118</v>
      </c>
    </row>
    <row r="1999" spans="1:15">
      <c r="A1999" t="str">
        <f t="shared" si="93"/>
        <v>Oyong Hanoman 12 X 15 X 10 gr45867252122303</v>
      </c>
      <c r="B1999" t="s">
        <v>11818</v>
      </c>
      <c r="C1999" t="s">
        <v>16381</v>
      </c>
      <c r="D1999" t="s">
        <v>13902</v>
      </c>
      <c r="E1999" t="s">
        <v>1502</v>
      </c>
      <c r="F1999">
        <v>12</v>
      </c>
      <c r="G1999">
        <v>15</v>
      </c>
      <c r="H1999">
        <v>1</v>
      </c>
      <c r="I1999">
        <v>180</v>
      </c>
      <c r="J1999">
        <v>90</v>
      </c>
      <c r="K1999">
        <f t="shared" si="94"/>
        <v>0</v>
      </c>
      <c r="L1999">
        <f t="shared" si="95"/>
        <v>90</v>
      </c>
      <c r="M1999">
        <v>90</v>
      </c>
      <c r="N1999" s="3">
        <v>45867</v>
      </c>
      <c r="O1999" s="6">
        <v>252122303</v>
      </c>
    </row>
    <row r="2000" spans="1:15">
      <c r="A2000" t="str">
        <f t="shared" si="93"/>
        <v>Oyong Hanoman 12 X 15 X 10 gr4597638120711</v>
      </c>
      <c r="B2000" t="s">
        <v>11819</v>
      </c>
      <c r="C2000" t="s">
        <v>16382</v>
      </c>
      <c r="D2000" t="s">
        <v>13903</v>
      </c>
      <c r="E2000" t="s">
        <v>1502</v>
      </c>
      <c r="F2000">
        <v>12</v>
      </c>
      <c r="G2000">
        <v>15</v>
      </c>
      <c r="H2000">
        <v>1</v>
      </c>
      <c r="I2000">
        <v>180</v>
      </c>
      <c r="J2000">
        <v>900</v>
      </c>
      <c r="K2000">
        <f t="shared" si="94"/>
        <v>5</v>
      </c>
      <c r="L2000">
        <f t="shared" si="95"/>
        <v>0</v>
      </c>
      <c r="M2000">
        <v>900</v>
      </c>
      <c r="N2000" s="3">
        <v>45976</v>
      </c>
      <c r="O2000" s="6">
        <v>38120711</v>
      </c>
    </row>
    <row r="2001" spans="1:15">
      <c r="A2001" t="str">
        <f t="shared" si="93"/>
        <v>Padi Pahisa 01 200 gr1/1/10000</v>
      </c>
      <c r="B2001" t="s">
        <v>11820</v>
      </c>
      <c r="C2001" t="s">
        <v>16383</v>
      </c>
      <c r="D2001" t="s">
        <v>13904</v>
      </c>
      <c r="E2001" t="s">
        <v>1504</v>
      </c>
      <c r="F2001">
        <v>1</v>
      </c>
      <c r="G2001">
        <v>1</v>
      </c>
      <c r="H2001">
        <v>1</v>
      </c>
      <c r="I2001">
        <v>1</v>
      </c>
      <c r="J2001">
        <v>95</v>
      </c>
      <c r="K2001">
        <f t="shared" si="94"/>
        <v>95</v>
      </c>
      <c r="L2001">
        <f t="shared" si="95"/>
        <v>0</v>
      </c>
      <c r="M2001">
        <v>95</v>
      </c>
      <c r="N2001" s="3" t="s">
        <v>2222</v>
      </c>
      <c r="O2001" s="6">
        <v>0</v>
      </c>
    </row>
    <row r="2002" spans="1:15">
      <c r="A2002" t="str">
        <f t="shared" si="93"/>
        <v>Padi Q-989 Ciherang 4 X 5 kg45512115</v>
      </c>
      <c r="B2002" t="s">
        <v>11821</v>
      </c>
      <c r="C2002" t="s">
        <v>16384</v>
      </c>
      <c r="D2002" t="s">
        <v>13905</v>
      </c>
      <c r="E2002" t="s">
        <v>1506</v>
      </c>
      <c r="F2002">
        <v>4</v>
      </c>
      <c r="G2002">
        <v>1</v>
      </c>
      <c r="H2002">
        <v>1</v>
      </c>
      <c r="I2002">
        <v>4</v>
      </c>
      <c r="J2002">
        <v>1</v>
      </c>
      <c r="K2002">
        <f t="shared" si="94"/>
        <v>0</v>
      </c>
      <c r="L2002">
        <f t="shared" si="95"/>
        <v>1</v>
      </c>
      <c r="M2002">
        <v>1</v>
      </c>
      <c r="N2002" s="3">
        <v>45512</v>
      </c>
      <c r="O2002" s="6">
        <v>115</v>
      </c>
    </row>
    <row r="2003" spans="1:15">
      <c r="A2003" t="str">
        <f t="shared" si="93"/>
        <v>Pare Hokian 12 X 15 X 10 gr45627164092339</v>
      </c>
      <c r="B2003" t="s">
        <v>11822</v>
      </c>
      <c r="C2003" t="s">
        <v>16385</v>
      </c>
      <c r="D2003" t="s">
        <v>13906</v>
      </c>
      <c r="E2003" t="s">
        <v>1541</v>
      </c>
      <c r="F2003">
        <v>12</v>
      </c>
      <c r="G2003">
        <v>15</v>
      </c>
      <c r="H2003">
        <v>1</v>
      </c>
      <c r="I2003">
        <v>180</v>
      </c>
      <c r="J2003">
        <v>20</v>
      </c>
      <c r="K2003">
        <f t="shared" si="94"/>
        <v>0</v>
      </c>
      <c r="L2003">
        <f t="shared" si="95"/>
        <v>20</v>
      </c>
      <c r="M2003">
        <v>20</v>
      </c>
      <c r="N2003" s="3">
        <v>45627</v>
      </c>
      <c r="O2003" s="6">
        <v>164092339</v>
      </c>
    </row>
    <row r="2004" spans="1:15">
      <c r="A2004" t="str">
        <f t="shared" si="93"/>
        <v>Pare Hokian 12 X 15 X 10 gr45632164112344</v>
      </c>
      <c r="B2004" t="s">
        <v>11823</v>
      </c>
      <c r="C2004" t="s">
        <v>16386</v>
      </c>
      <c r="D2004" t="s">
        <v>13907</v>
      </c>
      <c r="E2004" t="s">
        <v>1541</v>
      </c>
      <c r="F2004">
        <v>12</v>
      </c>
      <c r="G2004">
        <v>15</v>
      </c>
      <c r="H2004">
        <v>1</v>
      </c>
      <c r="I2004">
        <v>180</v>
      </c>
      <c r="J2004">
        <v>44</v>
      </c>
      <c r="K2004">
        <f t="shared" si="94"/>
        <v>0</v>
      </c>
      <c r="L2004">
        <f t="shared" si="95"/>
        <v>44</v>
      </c>
      <c r="M2004">
        <v>44</v>
      </c>
      <c r="N2004" s="3">
        <v>45632</v>
      </c>
      <c r="O2004" s="6">
        <v>164112344</v>
      </c>
    </row>
    <row r="2005" spans="1:15">
      <c r="A2005" t="str">
        <f t="shared" si="93"/>
        <v>Pare Hokian 12 X 15 X 10 gr456491642310198</v>
      </c>
      <c r="B2005" t="s">
        <v>11824</v>
      </c>
      <c r="C2005" t="s">
        <v>16387</v>
      </c>
      <c r="D2005" t="s">
        <v>13908</v>
      </c>
      <c r="E2005" t="s">
        <v>1541</v>
      </c>
      <c r="F2005">
        <v>12</v>
      </c>
      <c r="G2005">
        <v>15</v>
      </c>
      <c r="H2005">
        <v>1</v>
      </c>
      <c r="I2005">
        <v>180</v>
      </c>
      <c r="J2005">
        <v>48</v>
      </c>
      <c r="K2005">
        <f t="shared" si="94"/>
        <v>0</v>
      </c>
      <c r="L2005">
        <f t="shared" si="95"/>
        <v>48</v>
      </c>
      <c r="M2005">
        <v>48</v>
      </c>
      <c r="N2005" s="3">
        <v>45649</v>
      </c>
      <c r="O2005" s="6">
        <v>1642310198</v>
      </c>
    </row>
    <row r="2006" spans="1:15">
      <c r="A2006" t="str">
        <f t="shared" si="93"/>
        <v>Pare Hokian 12 X 15 X 10 gr456271642307128</v>
      </c>
      <c r="B2006" t="s">
        <v>11825</v>
      </c>
      <c r="C2006" t="s">
        <v>16388</v>
      </c>
      <c r="D2006" t="s">
        <v>13909</v>
      </c>
      <c r="E2006" t="s">
        <v>1541</v>
      </c>
      <c r="F2006">
        <v>12</v>
      </c>
      <c r="G2006">
        <v>15</v>
      </c>
      <c r="H2006">
        <v>1</v>
      </c>
      <c r="I2006">
        <v>180</v>
      </c>
      <c r="J2006">
        <v>49</v>
      </c>
      <c r="K2006">
        <f t="shared" si="94"/>
        <v>0</v>
      </c>
      <c r="L2006">
        <f t="shared" si="95"/>
        <v>49</v>
      </c>
      <c r="M2006">
        <v>49</v>
      </c>
      <c r="N2006" s="3">
        <v>45627</v>
      </c>
      <c r="O2006" s="6">
        <v>1642307128</v>
      </c>
    </row>
    <row r="2007" spans="1:15">
      <c r="A2007" t="str">
        <f t="shared" si="93"/>
        <v>Pare Hokian 12 X 15 X 10 gr45631164112343</v>
      </c>
      <c r="B2007" t="s">
        <v>11826</v>
      </c>
      <c r="C2007" t="s">
        <v>16389</v>
      </c>
      <c r="D2007" t="s">
        <v>13910</v>
      </c>
      <c r="E2007" t="s">
        <v>1541</v>
      </c>
      <c r="F2007">
        <v>12</v>
      </c>
      <c r="G2007">
        <v>15</v>
      </c>
      <c r="H2007">
        <v>1</v>
      </c>
      <c r="I2007">
        <v>180</v>
      </c>
      <c r="J2007">
        <v>56</v>
      </c>
      <c r="K2007">
        <f t="shared" si="94"/>
        <v>0</v>
      </c>
      <c r="L2007">
        <f t="shared" si="95"/>
        <v>56</v>
      </c>
      <c r="M2007">
        <v>56</v>
      </c>
      <c r="N2007" s="3">
        <v>45631</v>
      </c>
      <c r="O2007" s="6">
        <v>164112343</v>
      </c>
    </row>
    <row r="2008" spans="1:15">
      <c r="A2008" t="str">
        <f t="shared" si="93"/>
        <v>Pare Hokian 12 X 15 X 10 gr45607164230565</v>
      </c>
      <c r="B2008" t="s">
        <v>11827</v>
      </c>
      <c r="C2008" t="s">
        <v>16390</v>
      </c>
      <c r="D2008" t="s">
        <v>13911</v>
      </c>
      <c r="E2008" t="s">
        <v>1541</v>
      </c>
      <c r="F2008">
        <v>12</v>
      </c>
      <c r="G2008">
        <v>15</v>
      </c>
      <c r="H2008">
        <v>1</v>
      </c>
      <c r="I2008">
        <v>180</v>
      </c>
      <c r="J2008">
        <v>64</v>
      </c>
      <c r="K2008">
        <f t="shared" si="94"/>
        <v>0</v>
      </c>
      <c r="L2008">
        <f t="shared" si="95"/>
        <v>64</v>
      </c>
      <c r="M2008">
        <v>64</v>
      </c>
      <c r="N2008" s="3">
        <v>45607</v>
      </c>
      <c r="O2008" s="6">
        <v>164230565</v>
      </c>
    </row>
    <row r="2009" spans="1:15">
      <c r="A2009" t="str">
        <f t="shared" si="93"/>
        <v>Pare Hokian 12 X 15 X 10 gr456161642309159</v>
      </c>
      <c r="B2009" t="s">
        <v>11828</v>
      </c>
      <c r="C2009" t="s">
        <v>16391</v>
      </c>
      <c r="D2009" t="s">
        <v>13912</v>
      </c>
      <c r="E2009" t="s">
        <v>1541</v>
      </c>
      <c r="F2009">
        <v>12</v>
      </c>
      <c r="G2009">
        <v>15</v>
      </c>
      <c r="H2009">
        <v>1</v>
      </c>
      <c r="I2009">
        <v>180</v>
      </c>
      <c r="J2009">
        <v>75</v>
      </c>
      <c r="K2009">
        <f t="shared" si="94"/>
        <v>0</v>
      </c>
      <c r="L2009">
        <f t="shared" si="95"/>
        <v>75</v>
      </c>
      <c r="M2009">
        <v>75</v>
      </c>
      <c r="N2009" s="3">
        <v>45616</v>
      </c>
      <c r="O2009" s="6">
        <v>1642309159</v>
      </c>
    </row>
    <row r="2010" spans="1:15">
      <c r="A2010" t="str">
        <f t="shared" si="93"/>
        <v>Pare Hokian 12 X 15 X 10 gr456271642307129</v>
      </c>
      <c r="B2010" t="s">
        <v>11829</v>
      </c>
      <c r="C2010" t="s">
        <v>16392</v>
      </c>
      <c r="D2010" t="s">
        <v>13913</v>
      </c>
      <c r="E2010" t="s">
        <v>1541</v>
      </c>
      <c r="F2010">
        <v>12</v>
      </c>
      <c r="G2010">
        <v>15</v>
      </c>
      <c r="H2010">
        <v>1</v>
      </c>
      <c r="I2010">
        <v>180</v>
      </c>
      <c r="J2010">
        <v>78</v>
      </c>
      <c r="K2010">
        <f t="shared" si="94"/>
        <v>0</v>
      </c>
      <c r="L2010">
        <f t="shared" si="95"/>
        <v>78</v>
      </c>
      <c r="M2010">
        <v>78</v>
      </c>
      <c r="N2010" s="3">
        <v>45627</v>
      </c>
      <c r="O2010" s="6">
        <v>1642307129</v>
      </c>
    </row>
    <row r="2011" spans="1:15">
      <c r="A2011" t="str">
        <f t="shared" si="93"/>
        <v>Pare Hokian 12 X 15 X 10 gr45797164012401</v>
      </c>
      <c r="B2011" t="s">
        <v>11830</v>
      </c>
      <c r="C2011" t="s">
        <v>16393</v>
      </c>
      <c r="D2011" t="s">
        <v>13914</v>
      </c>
      <c r="E2011" t="s">
        <v>1541</v>
      </c>
      <c r="F2011">
        <v>12</v>
      </c>
      <c r="G2011">
        <v>15</v>
      </c>
      <c r="H2011">
        <v>1</v>
      </c>
      <c r="I2011">
        <v>180</v>
      </c>
      <c r="J2011">
        <v>78</v>
      </c>
      <c r="K2011">
        <f t="shared" si="94"/>
        <v>0</v>
      </c>
      <c r="L2011">
        <f t="shared" si="95"/>
        <v>78</v>
      </c>
      <c r="M2011">
        <v>78</v>
      </c>
      <c r="N2011" s="3">
        <v>45797</v>
      </c>
      <c r="O2011" s="6">
        <v>164012401</v>
      </c>
    </row>
    <row r="2012" spans="1:15">
      <c r="A2012" t="str">
        <f t="shared" si="93"/>
        <v>Pare Hokian 12 X 15 X 10 gr45791164240312</v>
      </c>
      <c r="B2012" t="s">
        <v>11831</v>
      </c>
      <c r="C2012" t="s">
        <v>16394</v>
      </c>
      <c r="D2012" t="s">
        <v>13915</v>
      </c>
      <c r="E2012" t="s">
        <v>1541</v>
      </c>
      <c r="F2012">
        <v>12</v>
      </c>
      <c r="G2012">
        <v>15</v>
      </c>
      <c r="H2012">
        <v>1</v>
      </c>
      <c r="I2012">
        <v>180</v>
      </c>
      <c r="J2012">
        <v>90</v>
      </c>
      <c r="K2012">
        <f t="shared" si="94"/>
        <v>0</v>
      </c>
      <c r="L2012">
        <f t="shared" si="95"/>
        <v>90</v>
      </c>
      <c r="M2012">
        <v>90</v>
      </c>
      <c r="N2012" s="3">
        <v>45791</v>
      </c>
      <c r="O2012" s="6">
        <v>164240312</v>
      </c>
    </row>
    <row r="2013" spans="1:15">
      <c r="A2013" t="str">
        <f t="shared" si="93"/>
        <v>Pare Hokian 12 X 15 X 10 gr456271642307132</v>
      </c>
      <c r="B2013" t="s">
        <v>11832</v>
      </c>
      <c r="C2013" t="s">
        <v>16395</v>
      </c>
      <c r="D2013" t="s">
        <v>13916</v>
      </c>
      <c r="E2013" t="s">
        <v>1541</v>
      </c>
      <c r="F2013">
        <v>12</v>
      </c>
      <c r="G2013">
        <v>15</v>
      </c>
      <c r="H2013">
        <v>1</v>
      </c>
      <c r="I2013">
        <v>180</v>
      </c>
      <c r="J2013">
        <v>100</v>
      </c>
      <c r="K2013">
        <f t="shared" si="94"/>
        <v>0</v>
      </c>
      <c r="L2013">
        <f t="shared" si="95"/>
        <v>100</v>
      </c>
      <c r="M2013">
        <v>100</v>
      </c>
      <c r="N2013" s="3">
        <v>45627</v>
      </c>
      <c r="O2013" s="6">
        <v>1642307132</v>
      </c>
    </row>
    <row r="2014" spans="1:15">
      <c r="A2014" t="str">
        <f t="shared" si="93"/>
        <v>Pare Hokian 12 X 15 X 10 gr45631164112342</v>
      </c>
      <c r="B2014" t="s">
        <v>11833</v>
      </c>
      <c r="C2014" t="s">
        <v>16396</v>
      </c>
      <c r="D2014" t="s">
        <v>13917</v>
      </c>
      <c r="E2014" t="s">
        <v>1541</v>
      </c>
      <c r="F2014">
        <v>12</v>
      </c>
      <c r="G2014">
        <v>15</v>
      </c>
      <c r="H2014">
        <v>1</v>
      </c>
      <c r="I2014">
        <v>180</v>
      </c>
      <c r="J2014">
        <v>140</v>
      </c>
      <c r="K2014">
        <f t="shared" si="94"/>
        <v>0</v>
      </c>
      <c r="L2014">
        <f t="shared" si="95"/>
        <v>140</v>
      </c>
      <c r="M2014">
        <v>140</v>
      </c>
      <c r="N2014" s="3">
        <v>45631</v>
      </c>
      <c r="O2014" s="6">
        <v>164112342</v>
      </c>
    </row>
    <row r="2015" spans="1:15">
      <c r="A2015" t="str">
        <f t="shared" si="93"/>
        <v>Pare Hokian 12 X 15 X 10 gr45667164122347</v>
      </c>
      <c r="B2015" t="s">
        <v>11834</v>
      </c>
      <c r="C2015" t="s">
        <v>16397</v>
      </c>
      <c r="D2015" t="s">
        <v>13918</v>
      </c>
      <c r="E2015" t="s">
        <v>1541</v>
      </c>
      <c r="F2015">
        <v>12</v>
      </c>
      <c r="G2015">
        <v>15</v>
      </c>
      <c r="H2015">
        <v>1</v>
      </c>
      <c r="I2015">
        <v>180</v>
      </c>
      <c r="J2015">
        <v>145</v>
      </c>
      <c r="K2015">
        <f t="shared" si="94"/>
        <v>0</v>
      </c>
      <c r="L2015">
        <f t="shared" si="95"/>
        <v>145</v>
      </c>
      <c r="M2015">
        <v>145</v>
      </c>
      <c r="N2015" s="3">
        <v>45667</v>
      </c>
      <c r="O2015" s="6">
        <v>164122347</v>
      </c>
    </row>
    <row r="2016" spans="1:15">
      <c r="A2016" t="str">
        <f t="shared" si="93"/>
        <v>Pare Hokian 12 X 15 X 10 gr45627164072320</v>
      </c>
      <c r="B2016" t="s">
        <v>11835</v>
      </c>
      <c r="C2016" t="s">
        <v>16398</v>
      </c>
      <c r="D2016" t="s">
        <v>13919</v>
      </c>
      <c r="E2016" t="s">
        <v>1541</v>
      </c>
      <c r="F2016">
        <v>12</v>
      </c>
      <c r="G2016">
        <v>15</v>
      </c>
      <c r="H2016">
        <v>1</v>
      </c>
      <c r="I2016">
        <v>180</v>
      </c>
      <c r="J2016">
        <v>160</v>
      </c>
      <c r="K2016">
        <f t="shared" si="94"/>
        <v>0</v>
      </c>
      <c r="L2016">
        <f t="shared" si="95"/>
        <v>160</v>
      </c>
      <c r="M2016">
        <v>160</v>
      </c>
      <c r="N2016" s="3">
        <v>45627</v>
      </c>
      <c r="O2016" s="6">
        <v>164072320</v>
      </c>
    </row>
    <row r="2017" spans="1:15">
      <c r="A2017" t="str">
        <f t="shared" si="93"/>
        <v>Pare Hokian 12 X 15 X 10 gr456451642310188</v>
      </c>
      <c r="B2017" t="s">
        <v>11836</v>
      </c>
      <c r="C2017" t="s">
        <v>16399</v>
      </c>
      <c r="D2017" t="s">
        <v>13920</v>
      </c>
      <c r="E2017" t="s">
        <v>1541</v>
      </c>
      <c r="F2017">
        <v>12</v>
      </c>
      <c r="G2017">
        <v>15</v>
      </c>
      <c r="H2017">
        <v>1</v>
      </c>
      <c r="I2017">
        <v>180</v>
      </c>
      <c r="J2017">
        <v>200</v>
      </c>
      <c r="K2017">
        <f t="shared" si="94"/>
        <v>1</v>
      </c>
      <c r="L2017">
        <f t="shared" si="95"/>
        <v>20</v>
      </c>
      <c r="M2017">
        <v>200</v>
      </c>
      <c r="N2017" s="3">
        <v>45645</v>
      </c>
      <c r="O2017" s="6">
        <v>1642310188</v>
      </c>
    </row>
    <row r="2018" spans="1:15">
      <c r="A2018" t="str">
        <f t="shared" si="93"/>
        <v>Pare Hokian 12 X 15 X 10 gr456271642307122</v>
      </c>
      <c r="B2018" t="s">
        <v>11837</v>
      </c>
      <c r="C2018" t="s">
        <v>16400</v>
      </c>
      <c r="D2018" t="s">
        <v>13921</v>
      </c>
      <c r="E2018" t="s">
        <v>1541</v>
      </c>
      <c r="F2018">
        <v>12</v>
      </c>
      <c r="G2018">
        <v>15</v>
      </c>
      <c r="H2018">
        <v>1</v>
      </c>
      <c r="I2018">
        <v>180</v>
      </c>
      <c r="J2018">
        <v>365</v>
      </c>
      <c r="K2018">
        <f t="shared" si="94"/>
        <v>2</v>
      </c>
      <c r="L2018">
        <f t="shared" si="95"/>
        <v>5</v>
      </c>
      <c r="M2018">
        <v>365</v>
      </c>
      <c r="N2018" s="3">
        <v>45627</v>
      </c>
      <c r="O2018" s="6">
        <v>1642307122</v>
      </c>
    </row>
    <row r="2019" spans="1:15">
      <c r="A2019" t="str">
        <f t="shared" si="93"/>
        <v>Pare Hokian 12 X 15 X 10 gr457971642309160</v>
      </c>
      <c r="B2019" t="s">
        <v>11838</v>
      </c>
      <c r="C2019" t="s">
        <v>16401</v>
      </c>
      <c r="D2019" t="s">
        <v>13922</v>
      </c>
      <c r="E2019" t="s">
        <v>1541</v>
      </c>
      <c r="F2019">
        <v>12</v>
      </c>
      <c r="G2019">
        <v>15</v>
      </c>
      <c r="H2019">
        <v>1</v>
      </c>
      <c r="I2019">
        <v>180</v>
      </c>
      <c r="J2019">
        <v>900</v>
      </c>
      <c r="K2019">
        <f t="shared" si="94"/>
        <v>5</v>
      </c>
      <c r="L2019">
        <f t="shared" si="95"/>
        <v>0</v>
      </c>
      <c r="M2019">
        <v>900</v>
      </c>
      <c r="N2019" s="3">
        <v>45797</v>
      </c>
      <c r="O2019" s="6">
        <v>1642309160</v>
      </c>
    </row>
    <row r="2020" spans="1:15">
      <c r="A2020" t="str">
        <f t="shared" si="93"/>
        <v>Sawi Dora 12 X 15 X 25 gr45737270210811</v>
      </c>
      <c r="B2020" t="s">
        <v>11839</v>
      </c>
      <c r="C2020" t="s">
        <v>16402</v>
      </c>
      <c r="D2020" t="s">
        <v>13923</v>
      </c>
      <c r="E2020" t="s">
        <v>1838</v>
      </c>
      <c r="F2020">
        <v>12</v>
      </c>
      <c r="G2020">
        <v>15</v>
      </c>
      <c r="H2020">
        <v>1</v>
      </c>
      <c r="I2020">
        <v>180</v>
      </c>
      <c r="J2020">
        <v>3</v>
      </c>
      <c r="K2020">
        <f t="shared" si="94"/>
        <v>0</v>
      </c>
      <c r="L2020">
        <f t="shared" si="95"/>
        <v>3</v>
      </c>
      <c r="M2020">
        <v>3</v>
      </c>
      <c r="N2020" s="3">
        <v>45737</v>
      </c>
      <c r="O2020" s="6">
        <v>270210811</v>
      </c>
    </row>
    <row r="2021" spans="1:15">
      <c r="A2021" t="str">
        <f t="shared" si="93"/>
        <v>Sawi Dora 12 X 15 X 25 gr45737270122103</v>
      </c>
      <c r="B2021" t="s">
        <v>11840</v>
      </c>
      <c r="C2021" t="s">
        <v>16403</v>
      </c>
      <c r="D2021" t="s">
        <v>13924</v>
      </c>
      <c r="E2021" t="s">
        <v>1838</v>
      </c>
      <c r="F2021">
        <v>12</v>
      </c>
      <c r="G2021">
        <v>15</v>
      </c>
      <c r="H2021">
        <v>1</v>
      </c>
      <c r="I2021">
        <v>180</v>
      </c>
      <c r="J2021">
        <v>103</v>
      </c>
      <c r="K2021">
        <f t="shared" si="94"/>
        <v>0</v>
      </c>
      <c r="L2021">
        <f t="shared" si="95"/>
        <v>103</v>
      </c>
      <c r="M2021">
        <v>103</v>
      </c>
      <c r="N2021" s="3">
        <v>45737</v>
      </c>
      <c r="O2021" s="6">
        <v>270122103</v>
      </c>
    </row>
    <row r="2022" spans="1:15">
      <c r="A2022" t="str">
        <f t="shared" si="93"/>
        <v>Sawi Dora 12 X 15 X 25 gr45791270180725</v>
      </c>
      <c r="B2022" t="s">
        <v>11841</v>
      </c>
      <c r="C2022" t="s">
        <v>16404</v>
      </c>
      <c r="D2022" t="s">
        <v>13925</v>
      </c>
      <c r="E2022" t="s">
        <v>1838</v>
      </c>
      <c r="F2022">
        <v>12</v>
      </c>
      <c r="G2022">
        <v>15</v>
      </c>
      <c r="H2022">
        <v>1</v>
      </c>
      <c r="I2022">
        <v>180</v>
      </c>
      <c r="J2022">
        <v>434</v>
      </c>
      <c r="K2022">
        <f t="shared" si="94"/>
        <v>2</v>
      </c>
      <c r="L2022">
        <f t="shared" si="95"/>
        <v>74</v>
      </c>
      <c r="M2022">
        <v>434</v>
      </c>
      <c r="N2022" s="3">
        <v>45791</v>
      </c>
      <c r="O2022" s="6">
        <v>270180725</v>
      </c>
    </row>
    <row r="2023" spans="1:15">
      <c r="A2023" t="str">
        <f t="shared" si="93"/>
        <v>Sawi Majapahit 12 X 15 X 25 gr4564961230917</v>
      </c>
      <c r="B2023" t="s">
        <v>11842</v>
      </c>
      <c r="C2023" t="s">
        <v>16405</v>
      </c>
      <c r="D2023" t="s">
        <v>13926</v>
      </c>
      <c r="E2023" t="s">
        <v>1839</v>
      </c>
      <c r="F2023">
        <v>12</v>
      </c>
      <c r="G2023">
        <v>15</v>
      </c>
      <c r="H2023">
        <v>1</v>
      </c>
      <c r="I2023">
        <v>180</v>
      </c>
      <c r="J2023">
        <v>23</v>
      </c>
      <c r="K2023">
        <f t="shared" si="94"/>
        <v>0</v>
      </c>
      <c r="L2023">
        <f t="shared" si="95"/>
        <v>23</v>
      </c>
      <c r="M2023">
        <v>23</v>
      </c>
      <c r="N2023" s="3">
        <v>45649</v>
      </c>
      <c r="O2023" s="6">
        <v>61230917</v>
      </c>
    </row>
    <row r="2024" spans="1:15">
      <c r="A2024" t="str">
        <f t="shared" si="93"/>
        <v>Sawi Majapahit 12 X 15 X 25 gr4577661230915</v>
      </c>
      <c r="B2024" t="s">
        <v>11843</v>
      </c>
      <c r="C2024" t="s">
        <v>16406</v>
      </c>
      <c r="D2024" t="s">
        <v>13927</v>
      </c>
      <c r="E2024" t="s">
        <v>1839</v>
      </c>
      <c r="F2024">
        <v>12</v>
      </c>
      <c r="G2024">
        <v>15</v>
      </c>
      <c r="H2024">
        <v>1</v>
      </c>
      <c r="I2024">
        <v>180</v>
      </c>
      <c r="J2024">
        <v>71</v>
      </c>
      <c r="K2024">
        <f t="shared" si="94"/>
        <v>0</v>
      </c>
      <c r="L2024">
        <f t="shared" si="95"/>
        <v>71</v>
      </c>
      <c r="M2024">
        <v>71</v>
      </c>
      <c r="N2024" s="3">
        <v>45776</v>
      </c>
      <c r="O2024" s="6">
        <v>61230915</v>
      </c>
    </row>
    <row r="2025" spans="1:15">
      <c r="A2025" t="str">
        <f t="shared" si="93"/>
        <v>Sawi Majapahit 12 X 15 X 25 gr4562761230912</v>
      </c>
      <c r="B2025" t="s">
        <v>11844</v>
      </c>
      <c r="C2025" t="s">
        <v>16407</v>
      </c>
      <c r="D2025" t="s">
        <v>13928</v>
      </c>
      <c r="E2025" t="s">
        <v>1839</v>
      </c>
      <c r="F2025">
        <v>12</v>
      </c>
      <c r="G2025">
        <v>15</v>
      </c>
      <c r="H2025">
        <v>1</v>
      </c>
      <c r="I2025">
        <v>180</v>
      </c>
      <c r="J2025">
        <v>94</v>
      </c>
      <c r="K2025">
        <f t="shared" si="94"/>
        <v>0</v>
      </c>
      <c r="L2025">
        <f t="shared" si="95"/>
        <v>94</v>
      </c>
      <c r="M2025">
        <v>94</v>
      </c>
      <c r="N2025" s="3">
        <v>45627</v>
      </c>
      <c r="O2025" s="6">
        <v>61230912</v>
      </c>
    </row>
    <row r="2026" spans="1:15">
      <c r="A2026" t="str">
        <f t="shared" si="93"/>
        <v>Sawi Majapahit 12 X 15 X 25 gr4564961230911</v>
      </c>
      <c r="B2026" t="s">
        <v>11845</v>
      </c>
      <c r="C2026" t="s">
        <v>16408</v>
      </c>
      <c r="D2026" t="s">
        <v>13929</v>
      </c>
      <c r="E2026" t="s">
        <v>1839</v>
      </c>
      <c r="F2026">
        <v>12</v>
      </c>
      <c r="G2026">
        <v>15</v>
      </c>
      <c r="H2026">
        <v>1</v>
      </c>
      <c r="I2026">
        <v>180</v>
      </c>
      <c r="J2026">
        <v>571</v>
      </c>
      <c r="K2026">
        <f t="shared" si="94"/>
        <v>3</v>
      </c>
      <c r="L2026">
        <f t="shared" si="95"/>
        <v>31</v>
      </c>
      <c r="M2026">
        <v>571</v>
      </c>
      <c r="N2026" s="3">
        <v>45649</v>
      </c>
      <c r="O2026" s="6">
        <v>61230911</v>
      </c>
    </row>
    <row r="2027" spans="1:15">
      <c r="A2027" t="str">
        <f t="shared" si="93"/>
        <v>Sawi Majapahit 12 X 15 X 25 gr4579761082312</v>
      </c>
      <c r="B2027" t="s">
        <v>11846</v>
      </c>
      <c r="C2027" t="s">
        <v>16409</v>
      </c>
      <c r="D2027" t="s">
        <v>13930</v>
      </c>
      <c r="E2027" t="s">
        <v>1839</v>
      </c>
      <c r="F2027">
        <v>12</v>
      </c>
      <c r="G2027">
        <v>15</v>
      </c>
      <c r="H2027">
        <v>1</v>
      </c>
      <c r="I2027">
        <v>180</v>
      </c>
      <c r="J2027">
        <v>919</v>
      </c>
      <c r="K2027">
        <f t="shared" si="94"/>
        <v>5</v>
      </c>
      <c r="L2027">
        <f t="shared" si="95"/>
        <v>19</v>
      </c>
      <c r="M2027">
        <v>919</v>
      </c>
      <c r="N2027" s="3">
        <v>45797</v>
      </c>
      <c r="O2027" s="6">
        <v>61082312</v>
      </c>
    </row>
    <row r="2028" spans="1:15">
      <c r="A2028" t="str">
        <f t="shared" si="93"/>
        <v>Selada Kriebo 12 X 15 X 10 gr4553473230805</v>
      </c>
      <c r="B2028" t="s">
        <v>11847</v>
      </c>
      <c r="C2028" t="s">
        <v>16410</v>
      </c>
      <c r="D2028" t="s">
        <v>13931</v>
      </c>
      <c r="E2028" t="s">
        <v>1866</v>
      </c>
      <c r="F2028">
        <v>12</v>
      </c>
      <c r="G2028">
        <v>15</v>
      </c>
      <c r="H2028">
        <v>1</v>
      </c>
      <c r="I2028">
        <v>180</v>
      </c>
      <c r="J2028">
        <v>58</v>
      </c>
      <c r="K2028">
        <f t="shared" si="94"/>
        <v>0</v>
      </c>
      <c r="L2028">
        <f t="shared" si="95"/>
        <v>58</v>
      </c>
      <c r="M2028">
        <v>58</v>
      </c>
      <c r="N2028" s="3">
        <v>45534</v>
      </c>
      <c r="O2028" s="6">
        <v>73230805</v>
      </c>
    </row>
    <row r="2029" spans="1:15">
      <c r="A2029" t="str">
        <f t="shared" si="93"/>
        <v>Smk. Big Maduri F1 12 X 10 X 20 gr460023392309302</v>
      </c>
      <c r="B2029" t="s">
        <v>11848</v>
      </c>
      <c r="C2029" t="s">
        <v>16411</v>
      </c>
      <c r="D2029" t="s">
        <v>13932</v>
      </c>
      <c r="E2029" t="s">
        <v>1909</v>
      </c>
      <c r="F2029">
        <v>12</v>
      </c>
      <c r="G2029">
        <v>10</v>
      </c>
      <c r="H2029">
        <v>1</v>
      </c>
      <c r="I2029">
        <v>120</v>
      </c>
      <c r="J2029">
        <v>199</v>
      </c>
      <c r="K2029">
        <f t="shared" si="94"/>
        <v>1</v>
      </c>
      <c r="L2029">
        <f t="shared" si="95"/>
        <v>79</v>
      </c>
      <c r="M2029">
        <v>199</v>
      </c>
      <c r="N2029" s="3">
        <v>46002</v>
      </c>
      <c r="O2029" s="6">
        <v>3392309302</v>
      </c>
    </row>
    <row r="2030" spans="1:15">
      <c r="A2030" t="str">
        <f t="shared" si="93"/>
        <v>Smk. Esteem 20 X 6 X 20 gr45536113832</v>
      </c>
      <c r="B2030" t="s">
        <v>11849</v>
      </c>
      <c r="C2030" t="s">
        <v>16412</v>
      </c>
      <c r="D2030" t="s">
        <v>13933</v>
      </c>
      <c r="E2030" t="s">
        <v>1910</v>
      </c>
      <c r="F2030">
        <v>20</v>
      </c>
      <c r="G2030">
        <v>6</v>
      </c>
      <c r="H2030">
        <v>1</v>
      </c>
      <c r="I2030">
        <v>120</v>
      </c>
      <c r="J2030">
        <v>753</v>
      </c>
      <c r="K2030">
        <f t="shared" si="94"/>
        <v>6</v>
      </c>
      <c r="L2030">
        <f t="shared" si="95"/>
        <v>33</v>
      </c>
      <c r="M2030">
        <v>753</v>
      </c>
      <c r="N2030" s="3">
        <v>45536</v>
      </c>
      <c r="O2030" s="6">
        <v>113832</v>
      </c>
    </row>
    <row r="2031" spans="1:15">
      <c r="A2031" t="str">
        <f t="shared" si="93"/>
        <v>Smk. Maduri 12 X 10 X 20 gr45695216112232</v>
      </c>
      <c r="B2031" t="s">
        <v>11850</v>
      </c>
      <c r="C2031" t="s">
        <v>16413</v>
      </c>
      <c r="D2031" t="s">
        <v>13934</v>
      </c>
      <c r="E2031" t="s">
        <v>1911</v>
      </c>
      <c r="F2031">
        <v>12</v>
      </c>
      <c r="G2031">
        <v>10</v>
      </c>
      <c r="H2031">
        <v>1</v>
      </c>
      <c r="I2031">
        <v>120</v>
      </c>
      <c r="J2031">
        <v>519</v>
      </c>
      <c r="K2031">
        <f t="shared" si="94"/>
        <v>4</v>
      </c>
      <c r="L2031">
        <f t="shared" si="95"/>
        <v>39</v>
      </c>
      <c r="M2031">
        <v>519</v>
      </c>
      <c r="N2031" s="3">
        <v>45695</v>
      </c>
      <c r="O2031" s="6">
        <v>216112232</v>
      </c>
    </row>
    <row r="2032" spans="1:15">
      <c r="A2032" t="str">
        <f t="shared" si="93"/>
        <v>Smk. Seedless F1 Big Classic 20 X 6 X 20 gr45566114083</v>
      </c>
      <c r="B2032" t="s">
        <v>11851</v>
      </c>
      <c r="C2032" t="s">
        <v>16414</v>
      </c>
      <c r="D2032" t="s">
        <v>13935</v>
      </c>
      <c r="E2032" t="s">
        <v>1912</v>
      </c>
      <c r="F2032">
        <v>20</v>
      </c>
      <c r="G2032">
        <v>6</v>
      </c>
      <c r="H2032">
        <v>1</v>
      </c>
      <c r="I2032">
        <v>120</v>
      </c>
      <c r="J2032">
        <v>284</v>
      </c>
      <c r="K2032">
        <f t="shared" si="94"/>
        <v>2</v>
      </c>
      <c r="L2032">
        <f t="shared" si="95"/>
        <v>44</v>
      </c>
      <c r="M2032">
        <v>284</v>
      </c>
      <c r="N2032" s="3">
        <v>45566</v>
      </c>
      <c r="O2032" s="6">
        <v>114083</v>
      </c>
    </row>
    <row r="2033" spans="1:15">
      <c r="A2033" t="str">
        <f t="shared" si="93"/>
        <v>Smk. Seedless F1 Classic 20 X 6 X 20 gr45962315821</v>
      </c>
      <c r="B2033" t="s">
        <v>11852</v>
      </c>
      <c r="C2033" t="s">
        <v>16415</v>
      </c>
      <c r="D2033" t="s">
        <v>13936</v>
      </c>
      <c r="E2033" t="s">
        <v>1913</v>
      </c>
      <c r="F2033">
        <v>120</v>
      </c>
      <c r="G2033">
        <v>1</v>
      </c>
      <c r="H2033">
        <v>1</v>
      </c>
      <c r="I2033">
        <v>120</v>
      </c>
      <c r="J2033">
        <v>636</v>
      </c>
      <c r="K2033">
        <f t="shared" si="94"/>
        <v>5</v>
      </c>
      <c r="L2033">
        <f t="shared" si="95"/>
        <v>36</v>
      </c>
      <c r="M2033">
        <v>636</v>
      </c>
      <c r="N2033" s="3">
        <v>45962</v>
      </c>
      <c r="O2033" s="6">
        <v>315821</v>
      </c>
    </row>
    <row r="2034" spans="1:15">
      <c r="A2034" t="str">
        <f t="shared" si="93"/>
        <v>Terong Bungo 12 X 20 X 5 gr45831211210822</v>
      </c>
      <c r="B2034" t="s">
        <v>11853</v>
      </c>
      <c r="C2034" t="s">
        <v>16416</v>
      </c>
      <c r="D2034" t="s">
        <v>13937</v>
      </c>
      <c r="E2034" t="s">
        <v>2045</v>
      </c>
      <c r="F2034">
        <v>12</v>
      </c>
      <c r="G2034">
        <v>20</v>
      </c>
      <c r="H2034">
        <v>1</v>
      </c>
      <c r="I2034">
        <v>240</v>
      </c>
      <c r="J2034">
        <v>4</v>
      </c>
      <c r="K2034">
        <f t="shared" si="94"/>
        <v>0</v>
      </c>
      <c r="L2034">
        <f t="shared" si="95"/>
        <v>4</v>
      </c>
      <c r="M2034">
        <v>4</v>
      </c>
      <c r="N2034" s="3">
        <v>45831</v>
      </c>
      <c r="O2034" s="6">
        <v>211210822</v>
      </c>
    </row>
    <row r="2035" spans="1:15">
      <c r="A2035" t="str">
        <f t="shared" si="93"/>
        <v>Terong Hijo 12 X 15 X 10 gr45660211211324</v>
      </c>
      <c r="B2035" t="s">
        <v>11854</v>
      </c>
      <c r="C2035" t="s">
        <v>16417</v>
      </c>
      <c r="D2035" t="s">
        <v>13938</v>
      </c>
      <c r="E2035" t="s">
        <v>2046</v>
      </c>
      <c r="F2035">
        <v>12</v>
      </c>
      <c r="G2035">
        <v>15</v>
      </c>
      <c r="H2035">
        <v>1</v>
      </c>
      <c r="I2035">
        <v>180</v>
      </c>
      <c r="J2035">
        <v>46</v>
      </c>
      <c r="K2035">
        <f t="shared" si="94"/>
        <v>0</v>
      </c>
      <c r="L2035">
        <f t="shared" si="95"/>
        <v>46</v>
      </c>
      <c r="M2035">
        <v>46</v>
      </c>
      <c r="N2035" s="3">
        <v>45660</v>
      </c>
      <c r="O2035" s="6">
        <v>211211324</v>
      </c>
    </row>
    <row r="2036" spans="1:15">
      <c r="A2036" t="str">
        <f t="shared" si="93"/>
        <v>Terong Hijo 12 X 15 X 10 gr45607211208204</v>
      </c>
      <c r="B2036" t="s">
        <v>11855</v>
      </c>
      <c r="C2036" t="s">
        <v>16418</v>
      </c>
      <c r="D2036" t="s">
        <v>13939</v>
      </c>
      <c r="E2036" t="s">
        <v>2046</v>
      </c>
      <c r="F2036">
        <v>12</v>
      </c>
      <c r="G2036">
        <v>15</v>
      </c>
      <c r="H2036">
        <v>1</v>
      </c>
      <c r="I2036">
        <v>180</v>
      </c>
      <c r="J2036">
        <v>173</v>
      </c>
      <c r="K2036">
        <f t="shared" si="94"/>
        <v>0</v>
      </c>
      <c r="L2036">
        <f t="shared" si="95"/>
        <v>173</v>
      </c>
      <c r="M2036">
        <v>173</v>
      </c>
      <c r="N2036" s="3">
        <v>45607</v>
      </c>
      <c r="O2036" s="6">
        <v>211208204</v>
      </c>
    </row>
    <row r="2037" spans="1:15">
      <c r="A2037" t="str">
        <f t="shared" si="93"/>
        <v>Terong Kenari 12 X 15 X 10 gr4586520062306</v>
      </c>
      <c r="B2037" t="s">
        <v>11856</v>
      </c>
      <c r="C2037" t="s">
        <v>16419</v>
      </c>
      <c r="D2037" t="s">
        <v>13940</v>
      </c>
      <c r="E2037" t="s">
        <v>2047</v>
      </c>
      <c r="F2037">
        <v>12</v>
      </c>
      <c r="G2037">
        <v>15</v>
      </c>
      <c r="H2037">
        <v>1</v>
      </c>
      <c r="I2037">
        <v>180</v>
      </c>
      <c r="J2037">
        <v>60</v>
      </c>
      <c r="K2037">
        <f t="shared" si="94"/>
        <v>0</v>
      </c>
      <c r="L2037">
        <f t="shared" si="95"/>
        <v>60</v>
      </c>
      <c r="M2037">
        <v>60</v>
      </c>
      <c r="N2037" s="3">
        <v>45865</v>
      </c>
      <c r="O2037" s="6">
        <v>20062306</v>
      </c>
    </row>
    <row r="2038" spans="1:15">
      <c r="A2038" t="str">
        <f t="shared" si="93"/>
        <v>Terong Kenari 12 X 15 X 10 gr4598220220822</v>
      </c>
      <c r="B2038" t="s">
        <v>11857</v>
      </c>
      <c r="C2038" t="s">
        <v>16420</v>
      </c>
      <c r="D2038" t="s">
        <v>13941</v>
      </c>
      <c r="E2038" t="s">
        <v>2047</v>
      </c>
      <c r="F2038">
        <v>12</v>
      </c>
      <c r="G2038">
        <v>15</v>
      </c>
      <c r="H2038">
        <v>1</v>
      </c>
      <c r="I2038">
        <v>180</v>
      </c>
      <c r="J2038">
        <v>594</v>
      </c>
      <c r="K2038">
        <f t="shared" si="94"/>
        <v>3</v>
      </c>
      <c r="L2038">
        <f t="shared" si="95"/>
        <v>54</v>
      </c>
      <c r="M2038">
        <v>594</v>
      </c>
      <c r="N2038" s="3">
        <v>45982</v>
      </c>
      <c r="O2038" s="6">
        <v>20220822</v>
      </c>
    </row>
    <row r="2039" spans="1:15">
      <c r="A2039" t="str">
        <f t="shared" si="93"/>
        <v>Terong Welut 12 X 15 X 10 gr4565424121160</v>
      </c>
      <c r="B2039" t="s">
        <v>11858</v>
      </c>
      <c r="C2039" t="s">
        <v>16421</v>
      </c>
      <c r="D2039" t="s">
        <v>13942</v>
      </c>
      <c r="E2039" t="s">
        <v>2048</v>
      </c>
      <c r="F2039">
        <v>12</v>
      </c>
      <c r="G2039">
        <v>15</v>
      </c>
      <c r="H2039">
        <v>1</v>
      </c>
      <c r="I2039">
        <v>180</v>
      </c>
      <c r="J2039">
        <v>90</v>
      </c>
      <c r="K2039">
        <f t="shared" si="94"/>
        <v>0</v>
      </c>
      <c r="L2039">
        <f t="shared" si="95"/>
        <v>90</v>
      </c>
      <c r="M2039">
        <v>90</v>
      </c>
      <c r="N2039" s="3">
        <v>45654</v>
      </c>
      <c r="O2039" s="6">
        <v>24121160</v>
      </c>
    </row>
    <row r="2040" spans="1:15">
      <c r="A2040" t="str">
        <f t="shared" si="93"/>
        <v>Terong Welut 12 X 15 X 10 gr4561224031306</v>
      </c>
      <c r="B2040" t="s">
        <v>11859</v>
      </c>
      <c r="C2040" t="s">
        <v>16422</v>
      </c>
      <c r="D2040" t="s">
        <v>13943</v>
      </c>
      <c r="E2040" t="s">
        <v>2048</v>
      </c>
      <c r="F2040">
        <v>12</v>
      </c>
      <c r="G2040">
        <v>15</v>
      </c>
      <c r="H2040">
        <v>1</v>
      </c>
      <c r="I2040">
        <v>180</v>
      </c>
      <c r="J2040">
        <v>235</v>
      </c>
      <c r="K2040">
        <f t="shared" si="94"/>
        <v>1</v>
      </c>
      <c r="L2040">
        <f t="shared" si="95"/>
        <v>55</v>
      </c>
      <c r="M2040">
        <v>235</v>
      </c>
      <c r="N2040" s="3">
        <v>45612</v>
      </c>
      <c r="O2040" s="6">
        <v>24031306</v>
      </c>
    </row>
    <row r="2041" spans="1:15">
      <c r="A2041" t="str">
        <f t="shared" si="93"/>
        <v>Timun Renes F1 12 X 15 X 10 gr459192292009137</v>
      </c>
      <c r="B2041" t="s">
        <v>11860</v>
      </c>
      <c r="C2041" t="s">
        <v>16423</v>
      </c>
      <c r="D2041" t="s">
        <v>13944</v>
      </c>
      <c r="E2041" t="s">
        <v>2055</v>
      </c>
      <c r="F2041">
        <v>12</v>
      </c>
      <c r="G2041">
        <v>15</v>
      </c>
      <c r="H2041">
        <v>1</v>
      </c>
      <c r="I2041">
        <v>180</v>
      </c>
      <c r="J2041">
        <v>55</v>
      </c>
      <c r="K2041">
        <f t="shared" si="94"/>
        <v>0</v>
      </c>
      <c r="L2041">
        <f t="shared" si="95"/>
        <v>55</v>
      </c>
      <c r="M2041">
        <v>55</v>
      </c>
      <c r="N2041" s="3">
        <v>45919</v>
      </c>
      <c r="O2041" s="6">
        <v>2292009137</v>
      </c>
    </row>
    <row r="2042" spans="1:15">
      <c r="A2042" t="str">
        <f t="shared" si="93"/>
        <v>Timun Renes F1 12 X 15 X 10 gr459312292009136</v>
      </c>
      <c r="B2042" t="s">
        <v>11861</v>
      </c>
      <c r="C2042" t="s">
        <v>16424</v>
      </c>
      <c r="D2042" t="s">
        <v>13945</v>
      </c>
      <c r="E2042" t="s">
        <v>2055</v>
      </c>
      <c r="F2042">
        <v>12</v>
      </c>
      <c r="G2042">
        <v>15</v>
      </c>
      <c r="H2042">
        <v>1</v>
      </c>
      <c r="I2042">
        <v>180</v>
      </c>
      <c r="J2042">
        <v>945</v>
      </c>
      <c r="K2042">
        <f t="shared" si="94"/>
        <v>5</v>
      </c>
      <c r="L2042">
        <f t="shared" si="95"/>
        <v>45</v>
      </c>
      <c r="M2042">
        <v>945</v>
      </c>
      <c r="N2042" s="3">
        <v>45931</v>
      </c>
      <c r="O2042" s="6">
        <v>2292009136</v>
      </c>
    </row>
    <row r="2043" spans="1:15">
      <c r="A2043" t="str">
        <f t="shared" si="93"/>
        <v>Timun Semi F1 12 X 10 X 20 gr459592712404484</v>
      </c>
      <c r="B2043" t="s">
        <v>11862</v>
      </c>
      <c r="C2043" t="s">
        <v>16425</v>
      </c>
      <c r="D2043" t="s">
        <v>13946</v>
      </c>
      <c r="E2043" t="s">
        <v>2056</v>
      </c>
      <c r="F2043">
        <v>12</v>
      </c>
      <c r="G2043">
        <v>10</v>
      </c>
      <c r="H2043">
        <v>1</v>
      </c>
      <c r="I2043">
        <v>120</v>
      </c>
      <c r="J2043">
        <v>8</v>
      </c>
      <c r="K2043">
        <f t="shared" si="94"/>
        <v>0</v>
      </c>
      <c r="L2043">
        <f t="shared" si="95"/>
        <v>8</v>
      </c>
      <c r="M2043">
        <v>8</v>
      </c>
      <c r="N2043" s="3">
        <v>45959</v>
      </c>
      <c r="O2043" s="6">
        <v>2712404484</v>
      </c>
    </row>
    <row r="2044" spans="1:15">
      <c r="A2044" t="str">
        <f t="shared" si="93"/>
        <v>Timun Semi F1 12 X 10 X 20 gr459942712403391</v>
      </c>
      <c r="B2044" t="s">
        <v>11863</v>
      </c>
      <c r="C2044" t="s">
        <v>16426</v>
      </c>
      <c r="D2044" t="s">
        <v>13947</v>
      </c>
      <c r="E2044" t="s">
        <v>2056</v>
      </c>
      <c r="F2044">
        <v>12</v>
      </c>
      <c r="G2044">
        <v>10</v>
      </c>
      <c r="H2044">
        <v>1</v>
      </c>
      <c r="I2044">
        <v>120</v>
      </c>
      <c r="J2044">
        <v>22</v>
      </c>
      <c r="K2044">
        <f t="shared" si="94"/>
        <v>0</v>
      </c>
      <c r="L2044">
        <f t="shared" si="95"/>
        <v>22</v>
      </c>
      <c r="M2044">
        <v>22</v>
      </c>
      <c r="N2044" s="3">
        <v>45994</v>
      </c>
      <c r="O2044" s="6">
        <v>2712403391</v>
      </c>
    </row>
    <row r="2045" spans="1:15">
      <c r="A2045" t="str">
        <f t="shared" si="93"/>
        <v>Timun Semi F1 12 X 10 X 20 gr459592712404502</v>
      </c>
      <c r="B2045" t="s">
        <v>11864</v>
      </c>
      <c r="C2045" t="s">
        <v>16427</v>
      </c>
      <c r="D2045" t="s">
        <v>13948</v>
      </c>
      <c r="E2045" t="s">
        <v>2056</v>
      </c>
      <c r="F2045">
        <v>12</v>
      </c>
      <c r="G2045">
        <v>10</v>
      </c>
      <c r="H2045">
        <v>1</v>
      </c>
      <c r="I2045">
        <v>120</v>
      </c>
      <c r="J2045">
        <v>27</v>
      </c>
      <c r="K2045">
        <f t="shared" si="94"/>
        <v>0</v>
      </c>
      <c r="L2045">
        <f t="shared" si="95"/>
        <v>27</v>
      </c>
      <c r="M2045">
        <v>27</v>
      </c>
      <c r="N2045" s="3">
        <v>45959</v>
      </c>
      <c r="O2045" s="6">
        <v>2712404502</v>
      </c>
    </row>
    <row r="2046" spans="1:15">
      <c r="A2046" t="str">
        <f t="shared" si="93"/>
        <v>Timun Semi F1 12 X 10 X 20 gr459592712404492</v>
      </c>
      <c r="B2046" t="s">
        <v>11865</v>
      </c>
      <c r="C2046" t="s">
        <v>16428</v>
      </c>
      <c r="D2046" t="s">
        <v>13949</v>
      </c>
      <c r="E2046" t="s">
        <v>2056</v>
      </c>
      <c r="F2046">
        <v>12</v>
      </c>
      <c r="G2046">
        <v>10</v>
      </c>
      <c r="H2046">
        <v>1</v>
      </c>
      <c r="I2046">
        <v>120</v>
      </c>
      <c r="J2046">
        <v>44</v>
      </c>
      <c r="K2046">
        <f t="shared" si="94"/>
        <v>0</v>
      </c>
      <c r="L2046">
        <f t="shared" si="95"/>
        <v>44</v>
      </c>
      <c r="M2046">
        <v>44</v>
      </c>
      <c r="N2046" s="3">
        <v>45959</v>
      </c>
      <c r="O2046" s="6">
        <v>2712404492</v>
      </c>
    </row>
    <row r="2047" spans="1:15">
      <c r="A2047" t="str">
        <f t="shared" si="93"/>
        <v>Timun Semi F1 12 X 10 X 20 gr45853271012406</v>
      </c>
      <c r="B2047" t="s">
        <v>11866</v>
      </c>
      <c r="C2047" t="s">
        <v>16429</v>
      </c>
      <c r="D2047" t="s">
        <v>13950</v>
      </c>
      <c r="E2047" t="s">
        <v>2056</v>
      </c>
      <c r="F2047">
        <v>12</v>
      </c>
      <c r="G2047">
        <v>10</v>
      </c>
      <c r="H2047">
        <v>1</v>
      </c>
      <c r="I2047">
        <v>120</v>
      </c>
      <c r="J2047">
        <v>49</v>
      </c>
      <c r="K2047">
        <f t="shared" si="94"/>
        <v>0</v>
      </c>
      <c r="L2047">
        <f t="shared" si="95"/>
        <v>49</v>
      </c>
      <c r="M2047">
        <v>49</v>
      </c>
      <c r="N2047" s="3">
        <v>45853</v>
      </c>
      <c r="O2047" s="6">
        <v>271012406</v>
      </c>
    </row>
    <row r="2048" spans="1:15">
      <c r="A2048" t="str">
        <f t="shared" si="93"/>
        <v>Timun Semi F1 12 X 10 X 20 gr459942712404427</v>
      </c>
      <c r="B2048" t="s">
        <v>11867</v>
      </c>
      <c r="C2048" t="s">
        <v>16430</v>
      </c>
      <c r="D2048" t="s">
        <v>13951</v>
      </c>
      <c r="E2048" t="s">
        <v>2056</v>
      </c>
      <c r="F2048">
        <v>12</v>
      </c>
      <c r="G2048">
        <v>10</v>
      </c>
      <c r="H2048">
        <v>1</v>
      </c>
      <c r="I2048">
        <v>120</v>
      </c>
      <c r="J2048">
        <v>49</v>
      </c>
      <c r="K2048">
        <f t="shared" si="94"/>
        <v>0</v>
      </c>
      <c r="L2048">
        <f t="shared" si="95"/>
        <v>49</v>
      </c>
      <c r="M2048">
        <v>49</v>
      </c>
      <c r="N2048" s="3">
        <v>45994</v>
      </c>
      <c r="O2048" s="6">
        <v>2712404427</v>
      </c>
    </row>
    <row r="2049" spans="1:15">
      <c r="A2049" t="str">
        <f t="shared" si="93"/>
        <v>Timun Semi F1 12 X 10 X 20 gr459592712404507</v>
      </c>
      <c r="B2049" t="s">
        <v>11868</v>
      </c>
      <c r="C2049" t="s">
        <v>16431</v>
      </c>
      <c r="D2049" t="s">
        <v>13952</v>
      </c>
      <c r="E2049" t="s">
        <v>2056</v>
      </c>
      <c r="F2049">
        <v>12</v>
      </c>
      <c r="G2049">
        <v>10</v>
      </c>
      <c r="H2049">
        <v>1</v>
      </c>
      <c r="I2049">
        <v>120</v>
      </c>
      <c r="J2049">
        <v>83</v>
      </c>
      <c r="K2049">
        <f t="shared" si="94"/>
        <v>0</v>
      </c>
      <c r="L2049">
        <f t="shared" si="95"/>
        <v>83</v>
      </c>
      <c r="M2049">
        <v>83</v>
      </c>
      <c r="N2049" s="3">
        <v>45959</v>
      </c>
      <c r="O2049" s="6">
        <v>2712404507</v>
      </c>
    </row>
    <row r="2050" spans="1:15">
      <c r="A2050" t="str">
        <f t="shared" si="93"/>
        <v>Timun Semi F1 12 X 10 X 20 gr459592712404503</v>
      </c>
      <c r="B2050" t="s">
        <v>11869</v>
      </c>
      <c r="C2050" t="s">
        <v>16432</v>
      </c>
      <c r="D2050" t="s">
        <v>13953</v>
      </c>
      <c r="E2050" t="s">
        <v>2056</v>
      </c>
      <c r="F2050">
        <v>12</v>
      </c>
      <c r="G2050">
        <v>10</v>
      </c>
      <c r="H2050">
        <v>1</v>
      </c>
      <c r="I2050">
        <v>120</v>
      </c>
      <c r="J2050">
        <v>114</v>
      </c>
      <c r="K2050">
        <f t="shared" si="94"/>
        <v>0</v>
      </c>
      <c r="L2050">
        <f t="shared" si="95"/>
        <v>114</v>
      </c>
      <c r="M2050">
        <v>114</v>
      </c>
      <c r="N2050" s="3">
        <v>45959</v>
      </c>
      <c r="O2050" s="6">
        <v>2712404503</v>
      </c>
    </row>
    <row r="2051" spans="1:15">
      <c r="A2051" t="str">
        <f t="shared" ref="A2051:A2089" si="96">E2051&amp;N2051&amp;O2051</f>
        <v>Timun Semi F1 12 X 10 X 20 gr459592712404501</v>
      </c>
      <c r="B2051" t="s">
        <v>11870</v>
      </c>
      <c r="C2051" t="s">
        <v>16433</v>
      </c>
      <c r="D2051" t="s">
        <v>13954</v>
      </c>
      <c r="E2051" t="s">
        <v>2056</v>
      </c>
      <c r="F2051">
        <v>12</v>
      </c>
      <c r="G2051">
        <v>10</v>
      </c>
      <c r="H2051">
        <v>1</v>
      </c>
      <c r="I2051">
        <v>120</v>
      </c>
      <c r="J2051">
        <v>115</v>
      </c>
      <c r="K2051">
        <f t="shared" ref="K2051:K2089" si="97">ROUNDDOWN(J2051/I2051,0)</f>
        <v>0</v>
      </c>
      <c r="L2051">
        <f t="shared" ref="L2051:L2089" si="98">J2051-K2051*I2051</f>
        <v>115</v>
      </c>
      <c r="M2051">
        <v>115</v>
      </c>
      <c r="N2051" s="3">
        <v>45959</v>
      </c>
      <c r="O2051" s="6">
        <v>2712404501</v>
      </c>
    </row>
    <row r="2052" spans="1:15">
      <c r="A2052" t="str">
        <f t="shared" si="96"/>
        <v>Timun Semi F1 12 X 10 X 20 gr459592712404486</v>
      </c>
      <c r="B2052" t="s">
        <v>11871</v>
      </c>
      <c r="C2052" t="s">
        <v>16434</v>
      </c>
      <c r="D2052" t="s">
        <v>13955</v>
      </c>
      <c r="E2052" t="s">
        <v>2056</v>
      </c>
      <c r="F2052">
        <v>12</v>
      </c>
      <c r="G2052">
        <v>10</v>
      </c>
      <c r="H2052">
        <v>1</v>
      </c>
      <c r="I2052">
        <v>120</v>
      </c>
      <c r="J2052">
        <v>117</v>
      </c>
      <c r="K2052">
        <f t="shared" si="97"/>
        <v>0</v>
      </c>
      <c r="L2052">
        <f t="shared" si="98"/>
        <v>117</v>
      </c>
      <c r="M2052">
        <v>117</v>
      </c>
      <c r="N2052" s="3">
        <v>45959</v>
      </c>
      <c r="O2052" s="6">
        <v>2712404486</v>
      </c>
    </row>
    <row r="2053" spans="1:15">
      <c r="A2053" t="str">
        <f t="shared" si="96"/>
        <v>Timun Semi F1 12 X 10 X 20 gr459952712403411</v>
      </c>
      <c r="B2053" t="s">
        <v>11872</v>
      </c>
      <c r="C2053" t="s">
        <v>16435</v>
      </c>
      <c r="D2053" t="s">
        <v>13956</v>
      </c>
      <c r="E2053" t="s">
        <v>2056</v>
      </c>
      <c r="F2053">
        <v>12</v>
      </c>
      <c r="G2053">
        <v>10</v>
      </c>
      <c r="H2053">
        <v>1</v>
      </c>
      <c r="I2053">
        <v>120</v>
      </c>
      <c r="J2053">
        <v>119</v>
      </c>
      <c r="K2053">
        <f t="shared" si="97"/>
        <v>0</v>
      </c>
      <c r="L2053">
        <f t="shared" si="98"/>
        <v>119</v>
      </c>
      <c r="M2053">
        <v>119</v>
      </c>
      <c r="N2053" s="3">
        <v>45995</v>
      </c>
      <c r="O2053" s="6">
        <v>2712403411</v>
      </c>
    </row>
    <row r="2054" spans="1:15">
      <c r="A2054" t="str">
        <f t="shared" si="96"/>
        <v>Timun Semi F1 12 X 10 X 20 gr459992712404472</v>
      </c>
      <c r="B2054" t="s">
        <v>11873</v>
      </c>
      <c r="C2054" t="s">
        <v>16436</v>
      </c>
      <c r="D2054" t="s">
        <v>13957</v>
      </c>
      <c r="E2054" t="s">
        <v>2056</v>
      </c>
      <c r="F2054">
        <v>12</v>
      </c>
      <c r="G2054">
        <v>10</v>
      </c>
      <c r="H2054">
        <v>1</v>
      </c>
      <c r="I2054">
        <v>120</v>
      </c>
      <c r="J2054">
        <v>119</v>
      </c>
      <c r="K2054">
        <f t="shared" si="97"/>
        <v>0</v>
      </c>
      <c r="L2054">
        <f t="shared" si="98"/>
        <v>119</v>
      </c>
      <c r="M2054">
        <v>119</v>
      </c>
      <c r="N2054" s="3">
        <v>45999</v>
      </c>
      <c r="O2054" s="6">
        <v>2712404472</v>
      </c>
    </row>
    <row r="2055" spans="1:15">
      <c r="A2055" t="str">
        <f t="shared" si="96"/>
        <v>Timun Semi F1 12 X 10 X 20 gr459952712403390</v>
      </c>
      <c r="B2055" t="s">
        <v>11874</v>
      </c>
      <c r="C2055" t="s">
        <v>16437</v>
      </c>
      <c r="D2055" t="s">
        <v>13958</v>
      </c>
      <c r="E2055" t="s">
        <v>2056</v>
      </c>
      <c r="F2055">
        <v>12</v>
      </c>
      <c r="G2055">
        <v>10</v>
      </c>
      <c r="H2055">
        <v>1</v>
      </c>
      <c r="I2055">
        <v>120</v>
      </c>
      <c r="J2055">
        <v>122</v>
      </c>
      <c r="K2055">
        <f t="shared" si="97"/>
        <v>1</v>
      </c>
      <c r="L2055">
        <f t="shared" si="98"/>
        <v>2</v>
      </c>
      <c r="M2055">
        <v>122</v>
      </c>
      <c r="N2055" s="3">
        <v>45995</v>
      </c>
      <c r="O2055" s="6">
        <v>2712403390</v>
      </c>
    </row>
    <row r="2056" spans="1:15">
      <c r="A2056" t="str">
        <f t="shared" si="96"/>
        <v>Timun Semi F1 12 X 10 X 20 gr459522712404417</v>
      </c>
      <c r="B2056" t="s">
        <v>11875</v>
      </c>
      <c r="C2056" t="s">
        <v>16438</v>
      </c>
      <c r="D2056" t="s">
        <v>13959</v>
      </c>
      <c r="E2056" t="s">
        <v>2056</v>
      </c>
      <c r="F2056">
        <v>12</v>
      </c>
      <c r="G2056">
        <v>10</v>
      </c>
      <c r="H2056">
        <v>1</v>
      </c>
      <c r="I2056">
        <v>120</v>
      </c>
      <c r="J2056">
        <v>128</v>
      </c>
      <c r="K2056">
        <f t="shared" si="97"/>
        <v>1</v>
      </c>
      <c r="L2056">
        <f t="shared" si="98"/>
        <v>8</v>
      </c>
      <c r="M2056">
        <v>128</v>
      </c>
      <c r="N2056" s="3">
        <v>45952</v>
      </c>
      <c r="O2056" s="6">
        <v>2712404417</v>
      </c>
    </row>
    <row r="2057" spans="1:15">
      <c r="A2057" t="str">
        <f t="shared" si="96"/>
        <v>Timun Semi F1 12 X 10 X 20 gr459952712403410</v>
      </c>
      <c r="B2057" t="s">
        <v>11876</v>
      </c>
      <c r="C2057" t="s">
        <v>16439</v>
      </c>
      <c r="D2057" t="s">
        <v>13960</v>
      </c>
      <c r="E2057" t="s">
        <v>2056</v>
      </c>
      <c r="F2057">
        <v>12</v>
      </c>
      <c r="G2057">
        <v>10</v>
      </c>
      <c r="H2057">
        <v>1</v>
      </c>
      <c r="I2057">
        <v>120</v>
      </c>
      <c r="J2057">
        <v>159</v>
      </c>
      <c r="K2057">
        <f t="shared" si="97"/>
        <v>1</v>
      </c>
      <c r="L2057">
        <f t="shared" si="98"/>
        <v>39</v>
      </c>
      <c r="M2057">
        <v>159</v>
      </c>
      <c r="N2057" s="3">
        <v>45995</v>
      </c>
      <c r="O2057" s="6">
        <v>2712403410</v>
      </c>
    </row>
    <row r="2058" spans="1:15">
      <c r="A2058" t="str">
        <f t="shared" si="96"/>
        <v>Timun Semi F1 12 X 10 X 20 gr459952712404413</v>
      </c>
      <c r="B2058" t="s">
        <v>11877</v>
      </c>
      <c r="C2058" t="s">
        <v>16440</v>
      </c>
      <c r="D2058" t="s">
        <v>13961</v>
      </c>
      <c r="E2058" t="s">
        <v>2056</v>
      </c>
      <c r="F2058">
        <v>12</v>
      </c>
      <c r="G2058">
        <v>10</v>
      </c>
      <c r="H2058">
        <v>1</v>
      </c>
      <c r="I2058">
        <v>120</v>
      </c>
      <c r="J2058">
        <v>179</v>
      </c>
      <c r="K2058">
        <f t="shared" si="97"/>
        <v>1</v>
      </c>
      <c r="L2058">
        <f t="shared" si="98"/>
        <v>59</v>
      </c>
      <c r="M2058">
        <v>179</v>
      </c>
      <c r="N2058" s="3">
        <v>45995</v>
      </c>
      <c r="O2058" s="6">
        <v>2712404413</v>
      </c>
    </row>
    <row r="2059" spans="1:15">
      <c r="A2059" t="str">
        <f t="shared" si="96"/>
        <v>Timun Semi F1 12 X 10 X 20 gr459952712403388</v>
      </c>
      <c r="B2059" t="s">
        <v>11878</v>
      </c>
      <c r="C2059" t="s">
        <v>16441</v>
      </c>
      <c r="D2059" t="s">
        <v>13962</v>
      </c>
      <c r="E2059" t="s">
        <v>2056</v>
      </c>
      <c r="F2059">
        <v>12</v>
      </c>
      <c r="G2059">
        <v>10</v>
      </c>
      <c r="H2059">
        <v>1</v>
      </c>
      <c r="I2059">
        <v>120</v>
      </c>
      <c r="J2059">
        <v>183</v>
      </c>
      <c r="K2059">
        <f t="shared" si="97"/>
        <v>1</v>
      </c>
      <c r="L2059">
        <f t="shared" si="98"/>
        <v>63</v>
      </c>
      <c r="M2059">
        <v>183</v>
      </c>
      <c r="N2059" s="3">
        <v>45995</v>
      </c>
      <c r="O2059" s="6">
        <v>2712403388</v>
      </c>
    </row>
    <row r="2060" spans="1:15">
      <c r="A2060" t="str">
        <f t="shared" si="96"/>
        <v>Timun Semi F1 12 X 10 X 20 gr459312712403395</v>
      </c>
      <c r="B2060" t="s">
        <v>11879</v>
      </c>
      <c r="C2060" t="s">
        <v>16442</v>
      </c>
      <c r="D2060" t="s">
        <v>13963</v>
      </c>
      <c r="E2060" t="s">
        <v>2056</v>
      </c>
      <c r="F2060">
        <v>12</v>
      </c>
      <c r="G2060">
        <v>10</v>
      </c>
      <c r="H2060">
        <v>1</v>
      </c>
      <c r="I2060">
        <v>120</v>
      </c>
      <c r="J2060">
        <v>188</v>
      </c>
      <c r="K2060">
        <f t="shared" si="97"/>
        <v>1</v>
      </c>
      <c r="L2060">
        <f t="shared" si="98"/>
        <v>68</v>
      </c>
      <c r="M2060">
        <v>188</v>
      </c>
      <c r="N2060" s="3">
        <v>45931</v>
      </c>
      <c r="O2060" s="6">
        <v>2712403395</v>
      </c>
    </row>
    <row r="2061" spans="1:15">
      <c r="A2061" t="str">
        <f t="shared" si="96"/>
        <v>Timun Semi F1 12 X 10 X 20 gr459562712404478</v>
      </c>
      <c r="B2061" t="s">
        <v>11880</v>
      </c>
      <c r="C2061" t="s">
        <v>16443</v>
      </c>
      <c r="D2061" t="s">
        <v>13964</v>
      </c>
      <c r="E2061" t="s">
        <v>2056</v>
      </c>
      <c r="F2061">
        <v>12</v>
      </c>
      <c r="G2061">
        <v>10</v>
      </c>
      <c r="H2061">
        <v>1</v>
      </c>
      <c r="I2061">
        <v>120</v>
      </c>
      <c r="J2061">
        <v>239</v>
      </c>
      <c r="K2061">
        <f t="shared" si="97"/>
        <v>1</v>
      </c>
      <c r="L2061">
        <f t="shared" si="98"/>
        <v>119</v>
      </c>
      <c r="M2061">
        <v>239</v>
      </c>
      <c r="N2061" s="3">
        <v>45956</v>
      </c>
      <c r="O2061" s="6">
        <v>2712404478</v>
      </c>
    </row>
    <row r="2062" spans="1:15">
      <c r="A2062" t="str">
        <f t="shared" si="96"/>
        <v>Timun Semi F1 12 X 10 X 20 gr459492712404438</v>
      </c>
      <c r="B2062" t="s">
        <v>11881</v>
      </c>
      <c r="C2062" t="s">
        <v>16444</v>
      </c>
      <c r="D2062" t="s">
        <v>13965</v>
      </c>
      <c r="E2062" t="s">
        <v>2056</v>
      </c>
      <c r="F2062">
        <v>12</v>
      </c>
      <c r="G2062">
        <v>10</v>
      </c>
      <c r="H2062">
        <v>1</v>
      </c>
      <c r="I2062">
        <v>120</v>
      </c>
      <c r="J2062">
        <v>330</v>
      </c>
      <c r="K2062">
        <f t="shared" si="97"/>
        <v>2</v>
      </c>
      <c r="L2062">
        <f t="shared" si="98"/>
        <v>90</v>
      </c>
      <c r="M2062">
        <v>330</v>
      </c>
      <c r="N2062" s="3">
        <v>45949</v>
      </c>
      <c r="O2062" s="6">
        <v>2712404438</v>
      </c>
    </row>
    <row r="2063" spans="1:15">
      <c r="A2063" t="str">
        <f t="shared" si="96"/>
        <v>Timun Semi F1 12 X 10 X 20 gr459492712404429</v>
      </c>
      <c r="B2063" t="s">
        <v>11882</v>
      </c>
      <c r="C2063" t="s">
        <v>16445</v>
      </c>
      <c r="D2063" t="s">
        <v>13966</v>
      </c>
      <c r="E2063" t="s">
        <v>2056</v>
      </c>
      <c r="F2063">
        <v>12</v>
      </c>
      <c r="G2063">
        <v>10</v>
      </c>
      <c r="H2063">
        <v>1</v>
      </c>
      <c r="I2063">
        <v>120</v>
      </c>
      <c r="J2063">
        <v>360</v>
      </c>
      <c r="K2063">
        <f t="shared" si="97"/>
        <v>3</v>
      </c>
      <c r="L2063">
        <f t="shared" si="98"/>
        <v>0</v>
      </c>
      <c r="M2063">
        <v>360</v>
      </c>
      <c r="N2063" s="3">
        <v>45949</v>
      </c>
      <c r="O2063" s="6">
        <v>2712404429</v>
      </c>
    </row>
    <row r="2064" spans="1:15">
      <c r="A2064" t="str">
        <f t="shared" si="96"/>
        <v>Timun Semi F1 12 X 10 X 20 gr459472712308242</v>
      </c>
      <c r="B2064" t="s">
        <v>11883</v>
      </c>
      <c r="C2064" t="s">
        <v>16446</v>
      </c>
      <c r="D2064" t="s">
        <v>13967</v>
      </c>
      <c r="E2064" t="s">
        <v>2056</v>
      </c>
      <c r="F2064">
        <v>12</v>
      </c>
      <c r="G2064">
        <v>10</v>
      </c>
      <c r="H2064">
        <v>1</v>
      </c>
      <c r="I2064">
        <v>120</v>
      </c>
      <c r="J2064">
        <v>368</v>
      </c>
      <c r="K2064">
        <f t="shared" si="97"/>
        <v>3</v>
      </c>
      <c r="L2064">
        <f t="shared" si="98"/>
        <v>8</v>
      </c>
      <c r="M2064">
        <v>368</v>
      </c>
      <c r="N2064" s="3">
        <v>45947</v>
      </c>
      <c r="O2064" s="6">
        <v>2712308242</v>
      </c>
    </row>
    <row r="2065" spans="1:15">
      <c r="A2065" t="str">
        <f t="shared" si="96"/>
        <v>Timun Semi F1 12 X 10 X 20 gr459312712403394</v>
      </c>
      <c r="B2065" t="s">
        <v>11884</v>
      </c>
      <c r="C2065" t="s">
        <v>16447</v>
      </c>
      <c r="D2065" t="s">
        <v>13968</v>
      </c>
      <c r="E2065" t="s">
        <v>2056</v>
      </c>
      <c r="F2065">
        <v>12</v>
      </c>
      <c r="G2065">
        <v>10</v>
      </c>
      <c r="H2065">
        <v>1</v>
      </c>
      <c r="I2065">
        <v>120</v>
      </c>
      <c r="J2065">
        <v>370</v>
      </c>
      <c r="K2065">
        <f t="shared" si="97"/>
        <v>3</v>
      </c>
      <c r="L2065">
        <f t="shared" si="98"/>
        <v>10</v>
      </c>
      <c r="M2065">
        <v>370</v>
      </c>
      <c r="N2065" s="3">
        <v>45931</v>
      </c>
      <c r="O2065" s="6">
        <v>2712403394</v>
      </c>
    </row>
    <row r="2066" spans="1:15">
      <c r="A2066" t="str">
        <f t="shared" si="96"/>
        <v>Timun Semi F1 12 X 10 X 20 gr459592712404488</v>
      </c>
      <c r="B2066" t="s">
        <v>11885</v>
      </c>
      <c r="C2066" t="s">
        <v>16448</v>
      </c>
      <c r="D2066" t="s">
        <v>13969</v>
      </c>
      <c r="E2066" t="s">
        <v>2056</v>
      </c>
      <c r="F2066">
        <v>12</v>
      </c>
      <c r="G2066">
        <v>10</v>
      </c>
      <c r="H2066">
        <v>1</v>
      </c>
      <c r="I2066">
        <v>120</v>
      </c>
      <c r="J2066">
        <v>397</v>
      </c>
      <c r="K2066">
        <f t="shared" si="97"/>
        <v>3</v>
      </c>
      <c r="L2066">
        <f t="shared" si="98"/>
        <v>37</v>
      </c>
      <c r="M2066">
        <v>397</v>
      </c>
      <c r="N2066" s="3">
        <v>45959</v>
      </c>
      <c r="O2066" s="6">
        <v>2712404488</v>
      </c>
    </row>
    <row r="2067" spans="1:15">
      <c r="A2067" t="str">
        <f t="shared" si="96"/>
        <v>Timun Semi F1 12 X 10 X 20 gr459492712404430</v>
      </c>
      <c r="B2067" t="s">
        <v>11886</v>
      </c>
      <c r="C2067" t="s">
        <v>16449</v>
      </c>
      <c r="D2067" t="s">
        <v>13970</v>
      </c>
      <c r="E2067" t="s">
        <v>2056</v>
      </c>
      <c r="F2067">
        <v>12</v>
      </c>
      <c r="G2067">
        <v>10</v>
      </c>
      <c r="H2067">
        <v>1</v>
      </c>
      <c r="I2067">
        <v>120</v>
      </c>
      <c r="J2067">
        <v>475</v>
      </c>
      <c r="K2067">
        <f t="shared" si="97"/>
        <v>3</v>
      </c>
      <c r="L2067">
        <f t="shared" si="98"/>
        <v>115</v>
      </c>
      <c r="M2067">
        <v>475</v>
      </c>
      <c r="N2067" s="3">
        <v>45949</v>
      </c>
      <c r="O2067" s="6">
        <v>2712404430</v>
      </c>
    </row>
    <row r="2068" spans="1:15">
      <c r="A2068" t="str">
        <f t="shared" si="96"/>
        <v>Timun Semi F1 12 X 10 X 20 gr459992712404477</v>
      </c>
      <c r="B2068" t="s">
        <v>11887</v>
      </c>
      <c r="C2068" t="s">
        <v>16450</v>
      </c>
      <c r="D2068" t="s">
        <v>13971</v>
      </c>
      <c r="E2068" t="s">
        <v>2056</v>
      </c>
      <c r="F2068">
        <v>12</v>
      </c>
      <c r="G2068">
        <v>10</v>
      </c>
      <c r="H2068">
        <v>1</v>
      </c>
      <c r="I2068">
        <v>120</v>
      </c>
      <c r="J2068">
        <v>884</v>
      </c>
      <c r="K2068">
        <f t="shared" si="97"/>
        <v>7</v>
      </c>
      <c r="L2068">
        <f t="shared" si="98"/>
        <v>44</v>
      </c>
      <c r="M2068">
        <v>884</v>
      </c>
      <c r="N2068" s="3">
        <v>45999</v>
      </c>
      <c r="O2068" s="6">
        <v>2712404477</v>
      </c>
    </row>
    <row r="2069" spans="1:15">
      <c r="A2069" t="str">
        <f t="shared" si="96"/>
        <v>Timun Semi F1 12 X 10 X 20 gr459592712404490</v>
      </c>
      <c r="B2069" t="s">
        <v>11888</v>
      </c>
      <c r="C2069" t="s">
        <v>16451</v>
      </c>
      <c r="D2069" t="s">
        <v>13972</v>
      </c>
      <c r="E2069" t="s">
        <v>2056</v>
      </c>
      <c r="F2069">
        <v>12</v>
      </c>
      <c r="G2069">
        <v>10</v>
      </c>
      <c r="H2069">
        <v>1</v>
      </c>
      <c r="I2069">
        <v>120</v>
      </c>
      <c r="J2069">
        <v>1931</v>
      </c>
      <c r="K2069">
        <f t="shared" si="97"/>
        <v>16</v>
      </c>
      <c r="L2069">
        <f t="shared" si="98"/>
        <v>11</v>
      </c>
      <c r="M2069">
        <v>1931</v>
      </c>
      <c r="N2069" s="3">
        <v>45959</v>
      </c>
      <c r="O2069" s="6">
        <v>2712404490</v>
      </c>
    </row>
    <row r="2070" spans="1:15">
      <c r="A2070" t="str">
        <f t="shared" si="96"/>
        <v>Timun Semi F1 12 X 10 X 20 gr45853271012407</v>
      </c>
      <c r="B2070" t="s">
        <v>11889</v>
      </c>
      <c r="C2070" t="s">
        <v>16452</v>
      </c>
      <c r="D2070" t="s">
        <v>13973</v>
      </c>
      <c r="E2070" t="s">
        <v>2056</v>
      </c>
      <c r="F2070">
        <v>12</v>
      </c>
      <c r="G2070">
        <v>10</v>
      </c>
      <c r="H2070">
        <v>1</v>
      </c>
      <c r="I2070">
        <v>120</v>
      </c>
      <c r="J2070">
        <v>1990</v>
      </c>
      <c r="K2070">
        <f t="shared" si="97"/>
        <v>16</v>
      </c>
      <c r="L2070">
        <f t="shared" si="98"/>
        <v>70</v>
      </c>
      <c r="M2070">
        <v>1990</v>
      </c>
      <c r="N2070" s="3">
        <v>45853</v>
      </c>
      <c r="O2070" s="6">
        <v>271012407</v>
      </c>
    </row>
    <row r="2071" spans="1:15">
      <c r="A2071" t="str">
        <f t="shared" si="96"/>
        <v>Timun Wuku 12 X 10 X 20 gr4596947201031</v>
      </c>
      <c r="B2071" t="s">
        <v>11890</v>
      </c>
      <c r="C2071" t="s">
        <v>16453</v>
      </c>
      <c r="D2071" t="s">
        <v>13974</v>
      </c>
      <c r="E2071" t="s">
        <v>2057</v>
      </c>
      <c r="F2071">
        <v>12</v>
      </c>
      <c r="G2071">
        <v>10</v>
      </c>
      <c r="H2071">
        <v>1</v>
      </c>
      <c r="I2071">
        <v>120</v>
      </c>
      <c r="J2071">
        <v>33</v>
      </c>
      <c r="K2071">
        <f t="shared" si="97"/>
        <v>0</v>
      </c>
      <c r="L2071">
        <f t="shared" si="98"/>
        <v>33</v>
      </c>
      <c r="M2071">
        <v>33</v>
      </c>
      <c r="N2071" s="3">
        <v>45969</v>
      </c>
      <c r="O2071" s="6">
        <v>47201031</v>
      </c>
    </row>
    <row r="2072" spans="1:15">
      <c r="A2072" t="str">
        <f t="shared" si="96"/>
        <v>Timun Wuku 12 X 10 X 20 gr4598647032402</v>
      </c>
      <c r="B2072" t="s">
        <v>11891</v>
      </c>
      <c r="C2072" t="s">
        <v>16454</v>
      </c>
      <c r="D2072" t="s">
        <v>13975</v>
      </c>
      <c r="E2072" t="s">
        <v>2057</v>
      </c>
      <c r="F2072">
        <v>12</v>
      </c>
      <c r="G2072">
        <v>10</v>
      </c>
      <c r="H2072">
        <v>1</v>
      </c>
      <c r="I2072">
        <v>120</v>
      </c>
      <c r="J2072">
        <v>127</v>
      </c>
      <c r="K2072">
        <f t="shared" si="97"/>
        <v>1</v>
      </c>
      <c r="L2072">
        <f t="shared" si="98"/>
        <v>7</v>
      </c>
      <c r="M2072">
        <v>127</v>
      </c>
      <c r="N2072" s="3">
        <v>45986</v>
      </c>
      <c r="O2072" s="6">
        <v>47032402</v>
      </c>
    </row>
    <row r="2073" spans="1:15">
      <c r="A2073" t="str">
        <f t="shared" si="96"/>
        <v>Timun Wuku 12 X 10 X 20 gr4596947211037</v>
      </c>
      <c r="B2073" t="s">
        <v>11892</v>
      </c>
      <c r="C2073" t="s">
        <v>16455</v>
      </c>
      <c r="D2073" t="s">
        <v>13976</v>
      </c>
      <c r="E2073" t="s">
        <v>2057</v>
      </c>
      <c r="F2073">
        <v>12</v>
      </c>
      <c r="G2073">
        <v>10</v>
      </c>
      <c r="H2073">
        <v>1</v>
      </c>
      <c r="I2073">
        <v>120</v>
      </c>
      <c r="J2073">
        <v>182</v>
      </c>
      <c r="K2073">
        <f t="shared" si="97"/>
        <v>1</v>
      </c>
      <c r="L2073">
        <f t="shared" si="98"/>
        <v>62</v>
      </c>
      <c r="M2073">
        <v>182</v>
      </c>
      <c r="N2073" s="3">
        <v>45969</v>
      </c>
      <c r="O2073" s="6">
        <v>47211037</v>
      </c>
    </row>
    <row r="2074" spans="1:15">
      <c r="A2074" t="str">
        <f t="shared" si="96"/>
        <v>Timun Wuku 12 X 10 X 20 gr4588247210720</v>
      </c>
      <c r="B2074" t="s">
        <v>11893</v>
      </c>
      <c r="C2074" t="s">
        <v>16456</v>
      </c>
      <c r="D2074" t="s">
        <v>13977</v>
      </c>
      <c r="E2074" t="s">
        <v>2057</v>
      </c>
      <c r="F2074">
        <v>12</v>
      </c>
      <c r="G2074">
        <v>10</v>
      </c>
      <c r="H2074">
        <v>1</v>
      </c>
      <c r="I2074">
        <v>120</v>
      </c>
      <c r="J2074">
        <v>195</v>
      </c>
      <c r="K2074">
        <f t="shared" si="97"/>
        <v>1</v>
      </c>
      <c r="L2074">
        <f t="shared" si="98"/>
        <v>75</v>
      </c>
      <c r="M2074">
        <v>195</v>
      </c>
      <c r="N2074" s="3">
        <v>45882</v>
      </c>
      <c r="O2074" s="6">
        <v>47210720</v>
      </c>
    </row>
    <row r="2075" spans="1:15">
      <c r="A2075" t="str">
        <f t="shared" si="96"/>
        <v>Timun Wuku 12 X 10 X 20 gr4596947201023</v>
      </c>
      <c r="B2075" t="s">
        <v>11894</v>
      </c>
      <c r="C2075" t="s">
        <v>16457</v>
      </c>
      <c r="D2075" t="s">
        <v>13978</v>
      </c>
      <c r="E2075" t="s">
        <v>2057</v>
      </c>
      <c r="F2075">
        <v>12</v>
      </c>
      <c r="G2075">
        <v>10</v>
      </c>
      <c r="H2075">
        <v>1</v>
      </c>
      <c r="I2075">
        <v>120</v>
      </c>
      <c r="J2075">
        <v>203</v>
      </c>
      <c r="K2075">
        <f t="shared" si="97"/>
        <v>1</v>
      </c>
      <c r="L2075">
        <f t="shared" si="98"/>
        <v>83</v>
      </c>
      <c r="M2075">
        <v>203</v>
      </c>
      <c r="N2075" s="3">
        <v>45969</v>
      </c>
      <c r="O2075" s="6">
        <v>47201023</v>
      </c>
    </row>
    <row r="2076" spans="1:15">
      <c r="A2076" t="str">
        <f t="shared" si="96"/>
        <v>Timun Wuku 12 X 10 X 20 gr4596947201026</v>
      </c>
      <c r="B2076" t="s">
        <v>11895</v>
      </c>
      <c r="C2076" t="s">
        <v>16458</v>
      </c>
      <c r="D2076" t="s">
        <v>13979</v>
      </c>
      <c r="E2076" t="s">
        <v>2057</v>
      </c>
      <c r="F2076">
        <v>12</v>
      </c>
      <c r="G2076">
        <v>10</v>
      </c>
      <c r="H2076">
        <v>1</v>
      </c>
      <c r="I2076">
        <v>120</v>
      </c>
      <c r="J2076">
        <v>480</v>
      </c>
      <c r="K2076">
        <f t="shared" si="97"/>
        <v>4</v>
      </c>
      <c r="L2076">
        <f t="shared" si="98"/>
        <v>0</v>
      </c>
      <c r="M2076">
        <v>480</v>
      </c>
      <c r="N2076" s="3">
        <v>45969</v>
      </c>
      <c r="O2076" s="6">
        <v>47201026</v>
      </c>
    </row>
    <row r="2077" spans="1:15">
      <c r="A2077" t="str">
        <f t="shared" si="96"/>
        <v>Timun Wuku 12 X 10 X 20 gr4590247210828</v>
      </c>
      <c r="B2077" t="s">
        <v>11896</v>
      </c>
      <c r="C2077" t="s">
        <v>16459</v>
      </c>
      <c r="D2077" t="s">
        <v>13980</v>
      </c>
      <c r="E2077" t="s">
        <v>2057</v>
      </c>
      <c r="F2077">
        <v>12</v>
      </c>
      <c r="G2077">
        <v>10</v>
      </c>
      <c r="H2077">
        <v>1</v>
      </c>
      <c r="I2077">
        <v>120</v>
      </c>
      <c r="J2077">
        <v>480</v>
      </c>
      <c r="K2077">
        <f t="shared" si="97"/>
        <v>4</v>
      </c>
      <c r="L2077">
        <f t="shared" si="98"/>
        <v>0</v>
      </c>
      <c r="M2077">
        <v>480</v>
      </c>
      <c r="N2077" s="3">
        <v>45902</v>
      </c>
      <c r="O2077" s="6">
        <v>47210828</v>
      </c>
    </row>
    <row r="2078" spans="1:15">
      <c r="A2078" t="str">
        <f t="shared" si="96"/>
        <v>Timun Wuku 12 X 10 X 20 gr4590247210723</v>
      </c>
      <c r="B2078" t="s">
        <v>11897</v>
      </c>
      <c r="C2078" t="s">
        <v>16460</v>
      </c>
      <c r="D2078" t="s">
        <v>13981</v>
      </c>
      <c r="E2078" t="s">
        <v>2057</v>
      </c>
      <c r="F2078">
        <v>12</v>
      </c>
      <c r="G2078">
        <v>10</v>
      </c>
      <c r="H2078">
        <v>1</v>
      </c>
      <c r="I2078">
        <v>120</v>
      </c>
      <c r="J2078">
        <v>1135</v>
      </c>
      <c r="K2078">
        <f t="shared" si="97"/>
        <v>9</v>
      </c>
      <c r="L2078">
        <f t="shared" si="98"/>
        <v>55</v>
      </c>
      <c r="M2078">
        <v>1135</v>
      </c>
      <c r="N2078" s="3">
        <v>45902</v>
      </c>
      <c r="O2078" s="6">
        <v>47210723</v>
      </c>
    </row>
    <row r="2079" spans="1:15">
      <c r="A2079" t="str">
        <f t="shared" si="96"/>
        <v>Tomat Comodor 20 X 20 X 5 gr45748315278</v>
      </c>
      <c r="B2079" t="s">
        <v>11898</v>
      </c>
      <c r="C2079" t="s">
        <v>16461</v>
      </c>
      <c r="D2079" t="s">
        <v>13982</v>
      </c>
      <c r="E2079" t="s">
        <v>2058</v>
      </c>
      <c r="F2079">
        <v>20</v>
      </c>
      <c r="G2079">
        <v>20</v>
      </c>
      <c r="H2079">
        <v>1</v>
      </c>
      <c r="I2079">
        <v>400</v>
      </c>
      <c r="J2079">
        <v>189</v>
      </c>
      <c r="K2079">
        <f t="shared" si="97"/>
        <v>0</v>
      </c>
      <c r="L2079">
        <f t="shared" si="98"/>
        <v>189</v>
      </c>
      <c r="M2079">
        <v>189</v>
      </c>
      <c r="N2079" s="3">
        <v>45748</v>
      </c>
      <c r="O2079" s="6">
        <v>315278</v>
      </c>
    </row>
    <row r="2080" spans="1:15">
      <c r="A2080" t="str">
        <f t="shared" si="96"/>
        <v>Tomat Corona 402 20 X 20 X 5 gr4583942316570</v>
      </c>
      <c r="B2080" t="s">
        <v>11899</v>
      </c>
      <c r="C2080" t="s">
        <v>16462</v>
      </c>
      <c r="D2080" t="s">
        <v>13983</v>
      </c>
      <c r="E2080" t="s">
        <v>2059</v>
      </c>
      <c r="F2080">
        <v>20</v>
      </c>
      <c r="G2080">
        <v>20</v>
      </c>
      <c r="H2080">
        <v>1</v>
      </c>
      <c r="I2080">
        <v>400</v>
      </c>
      <c r="J2080">
        <v>170</v>
      </c>
      <c r="K2080">
        <f t="shared" si="97"/>
        <v>0</v>
      </c>
      <c r="L2080">
        <f t="shared" si="98"/>
        <v>170</v>
      </c>
      <c r="M2080">
        <v>170</v>
      </c>
      <c r="N2080" s="3">
        <v>45839</v>
      </c>
      <c r="O2080" s="6">
        <v>42316570</v>
      </c>
    </row>
    <row r="2081" spans="1:15">
      <c r="A2081" t="str">
        <f t="shared" si="96"/>
        <v>Tomat Mawar 12 X 15 X 10 gr457659230939</v>
      </c>
      <c r="B2081" t="s">
        <v>11900</v>
      </c>
      <c r="C2081" t="s">
        <v>16463</v>
      </c>
      <c r="D2081" t="s">
        <v>13984</v>
      </c>
      <c r="E2081" t="s">
        <v>2060</v>
      </c>
      <c r="F2081">
        <v>12</v>
      </c>
      <c r="G2081">
        <v>15</v>
      </c>
      <c r="H2081">
        <v>1</v>
      </c>
      <c r="I2081">
        <v>180</v>
      </c>
      <c r="J2081">
        <v>3</v>
      </c>
      <c r="K2081">
        <f t="shared" si="97"/>
        <v>0</v>
      </c>
      <c r="L2081">
        <f t="shared" si="98"/>
        <v>3</v>
      </c>
      <c r="M2081">
        <v>3</v>
      </c>
      <c r="N2081" s="3">
        <v>45765</v>
      </c>
      <c r="O2081" s="6">
        <v>9230939</v>
      </c>
    </row>
    <row r="2082" spans="1:15">
      <c r="A2082" t="str">
        <f t="shared" si="96"/>
        <v>Tomat Mawar 12 X 15 X 10 gr457659230933</v>
      </c>
      <c r="B2082" t="s">
        <v>11901</v>
      </c>
      <c r="C2082" t="s">
        <v>16464</v>
      </c>
      <c r="D2082" t="s">
        <v>13985</v>
      </c>
      <c r="E2082" t="s">
        <v>2060</v>
      </c>
      <c r="F2082">
        <v>12</v>
      </c>
      <c r="G2082">
        <v>15</v>
      </c>
      <c r="H2082">
        <v>1</v>
      </c>
      <c r="I2082">
        <v>180</v>
      </c>
      <c r="J2082">
        <v>58</v>
      </c>
      <c r="K2082">
        <f t="shared" si="97"/>
        <v>0</v>
      </c>
      <c r="L2082">
        <f t="shared" si="98"/>
        <v>58</v>
      </c>
      <c r="M2082">
        <v>58</v>
      </c>
      <c r="N2082" s="3">
        <v>45765</v>
      </c>
      <c r="O2082" s="6">
        <v>9230933</v>
      </c>
    </row>
    <row r="2083" spans="1:15">
      <c r="A2083" t="str">
        <f t="shared" si="96"/>
        <v>Tomat Mawar 12 X 15 X 10 gr458309122313</v>
      </c>
      <c r="B2083" t="s">
        <v>11902</v>
      </c>
      <c r="C2083" t="s">
        <v>16465</v>
      </c>
      <c r="D2083" t="s">
        <v>13986</v>
      </c>
      <c r="E2083" t="s">
        <v>2060</v>
      </c>
      <c r="F2083">
        <v>12</v>
      </c>
      <c r="G2083">
        <v>15</v>
      </c>
      <c r="H2083">
        <v>1</v>
      </c>
      <c r="I2083">
        <v>180</v>
      </c>
      <c r="J2083">
        <v>111</v>
      </c>
      <c r="K2083">
        <f t="shared" si="97"/>
        <v>0</v>
      </c>
      <c r="L2083">
        <f t="shared" si="98"/>
        <v>111</v>
      </c>
      <c r="M2083">
        <v>111</v>
      </c>
      <c r="N2083" s="3">
        <v>45830</v>
      </c>
      <c r="O2083" s="6">
        <v>9122313</v>
      </c>
    </row>
    <row r="2084" spans="1:15">
      <c r="A2084" t="str">
        <f t="shared" si="96"/>
        <v>Tomat Mawar 12 X 15 X 10 gr457669230943</v>
      </c>
      <c r="B2084" t="s">
        <v>11903</v>
      </c>
      <c r="C2084" t="s">
        <v>16466</v>
      </c>
      <c r="D2084" t="s">
        <v>13987</v>
      </c>
      <c r="E2084" t="s">
        <v>2060</v>
      </c>
      <c r="F2084">
        <v>12</v>
      </c>
      <c r="G2084">
        <v>15</v>
      </c>
      <c r="H2084">
        <v>1</v>
      </c>
      <c r="I2084">
        <v>180</v>
      </c>
      <c r="J2084">
        <v>180</v>
      </c>
      <c r="K2084">
        <f t="shared" si="97"/>
        <v>1</v>
      </c>
      <c r="L2084">
        <f t="shared" si="98"/>
        <v>0</v>
      </c>
      <c r="M2084">
        <v>180</v>
      </c>
      <c r="N2084" s="3">
        <v>45766</v>
      </c>
      <c r="O2084" s="6">
        <v>9230943</v>
      </c>
    </row>
    <row r="2085" spans="1:15">
      <c r="A2085" t="str">
        <f t="shared" si="96"/>
        <v>Tomat Mawar 12 X 15 X 10 gr457979112310</v>
      </c>
      <c r="B2085" t="s">
        <v>11904</v>
      </c>
      <c r="C2085" t="s">
        <v>16467</v>
      </c>
      <c r="D2085" t="s">
        <v>13988</v>
      </c>
      <c r="E2085" t="s">
        <v>2060</v>
      </c>
      <c r="F2085">
        <v>12</v>
      </c>
      <c r="G2085">
        <v>15</v>
      </c>
      <c r="H2085">
        <v>1</v>
      </c>
      <c r="I2085">
        <v>180</v>
      </c>
      <c r="J2085">
        <v>630</v>
      </c>
      <c r="K2085">
        <f t="shared" si="97"/>
        <v>3</v>
      </c>
      <c r="L2085">
        <f t="shared" si="98"/>
        <v>90</v>
      </c>
      <c r="M2085">
        <v>630</v>
      </c>
      <c r="N2085" s="3">
        <v>45797</v>
      </c>
      <c r="O2085" s="6">
        <v>9112310</v>
      </c>
    </row>
    <row r="2086" spans="1:15">
      <c r="A2086" t="str">
        <f t="shared" si="96"/>
        <v>Agil 100 EC 40 X 250 ml471500</v>
      </c>
      <c r="B2086" t="s">
        <v>14376</v>
      </c>
      <c r="C2086" t="s">
        <v>16468</v>
      </c>
      <c r="D2086" t="s">
        <v>14380</v>
      </c>
      <c r="E2086" t="s">
        <v>66</v>
      </c>
      <c r="F2086">
        <v>40</v>
      </c>
      <c r="G2086">
        <v>1</v>
      </c>
      <c r="H2086">
        <v>1</v>
      </c>
      <c r="I2086">
        <v>40</v>
      </c>
      <c r="J2086">
        <v>0</v>
      </c>
      <c r="K2086">
        <f t="shared" si="97"/>
        <v>0</v>
      </c>
      <c r="L2086">
        <f t="shared" si="98"/>
        <v>0</v>
      </c>
      <c r="M2086">
        <v>0</v>
      </c>
      <c r="N2086" s="3">
        <v>47150</v>
      </c>
      <c r="O2086" s="6">
        <v>0</v>
      </c>
    </row>
    <row r="2087" spans="1:15">
      <c r="A2087" t="str">
        <f t="shared" si="96"/>
        <v>Agil 100 EC 40 X 250 ml471500</v>
      </c>
      <c r="B2087" t="s">
        <v>14377</v>
      </c>
      <c r="C2087" t="s">
        <v>16468</v>
      </c>
      <c r="D2087" t="s">
        <v>14381</v>
      </c>
      <c r="E2087" t="s">
        <v>66</v>
      </c>
      <c r="F2087">
        <v>40</v>
      </c>
      <c r="G2087">
        <v>1</v>
      </c>
      <c r="H2087">
        <v>1</v>
      </c>
      <c r="I2087">
        <v>40</v>
      </c>
      <c r="J2087">
        <v>0</v>
      </c>
      <c r="K2087">
        <f t="shared" si="97"/>
        <v>0</v>
      </c>
      <c r="L2087">
        <f t="shared" si="98"/>
        <v>0</v>
      </c>
      <c r="M2087">
        <v>0</v>
      </c>
      <c r="N2087" s="3">
        <v>47150</v>
      </c>
      <c r="O2087" s="6">
        <v>0</v>
      </c>
    </row>
    <row r="2088" spans="1:15">
      <c r="A2088" t="str">
        <f t="shared" si="96"/>
        <v>Qiutane 80 WP 25 X 800 gr Biru463570</v>
      </c>
      <c r="B2088" t="s">
        <v>14378</v>
      </c>
      <c r="C2088" t="s">
        <v>16470</v>
      </c>
      <c r="D2088" t="s">
        <v>14382</v>
      </c>
      <c r="E2088" t="s">
        <v>1720</v>
      </c>
      <c r="F2088">
        <v>25</v>
      </c>
      <c r="G2088">
        <v>1</v>
      </c>
      <c r="H2088">
        <v>1</v>
      </c>
      <c r="I2088">
        <v>25</v>
      </c>
      <c r="J2088">
        <v>0</v>
      </c>
      <c r="K2088">
        <f t="shared" si="97"/>
        <v>0</v>
      </c>
      <c r="L2088">
        <f t="shared" si="98"/>
        <v>0</v>
      </c>
      <c r="M2088">
        <v>0</v>
      </c>
      <c r="N2088" s="3">
        <v>46357</v>
      </c>
      <c r="O2088" s="6">
        <v>0</v>
      </c>
    </row>
    <row r="2089" spans="1:15">
      <c r="A2089" t="str">
        <f t="shared" si="96"/>
        <v>Reactive 490 SL 20 X 1 ltr470580</v>
      </c>
      <c r="B2089" t="s">
        <v>14379</v>
      </c>
      <c r="C2089" t="s">
        <v>16471</v>
      </c>
      <c r="D2089" t="s">
        <v>14383</v>
      </c>
      <c r="E2089" t="s">
        <v>1745</v>
      </c>
      <c r="F2089">
        <v>20</v>
      </c>
      <c r="G2089">
        <v>1</v>
      </c>
      <c r="H2089">
        <v>1</v>
      </c>
      <c r="I2089">
        <v>20</v>
      </c>
      <c r="J2089">
        <v>0</v>
      </c>
      <c r="K2089">
        <f t="shared" si="97"/>
        <v>0</v>
      </c>
      <c r="L2089">
        <f t="shared" si="98"/>
        <v>0</v>
      </c>
      <c r="M2089">
        <v>0</v>
      </c>
      <c r="N2089" s="3">
        <v>47058</v>
      </c>
      <c r="O2089" s="6">
        <v>0</v>
      </c>
    </row>
  </sheetData>
  <autoFilter ref="B1:O20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30"/>
  <sheetViews>
    <sheetView workbookViewId="0">
      <selection activeCell="E352" sqref="E352"/>
    </sheetView>
  </sheetViews>
  <sheetFormatPr defaultRowHeight="15"/>
  <cols>
    <col min="2" max="2" width="6.85546875" bestFit="1" customWidth="1"/>
    <col min="3" max="3" width="13.85546875" bestFit="1" customWidth="1"/>
    <col min="4" max="4" width="12.42578125" bestFit="1" customWidth="1"/>
    <col min="5" max="5" width="53.7109375" bestFit="1" customWidth="1"/>
    <col min="6" max="6" width="10.7109375" style="3" bestFit="1" customWidth="1"/>
    <col min="7" max="7" width="18.7109375" style="6" customWidth="1"/>
  </cols>
  <sheetData>
    <row r="1" spans="1:8">
      <c r="B1" s="1" t="s">
        <v>9</v>
      </c>
      <c r="C1" s="1" t="s">
        <v>1</v>
      </c>
      <c r="D1" s="1" t="s">
        <v>0</v>
      </c>
      <c r="E1" s="1" t="s">
        <v>2</v>
      </c>
      <c r="F1" s="25" t="s">
        <v>7</v>
      </c>
      <c r="G1" s="26" t="s">
        <v>4295</v>
      </c>
      <c r="H1" s="1" t="s">
        <v>12</v>
      </c>
    </row>
    <row r="2" spans="1:8" hidden="1">
      <c r="A2" t="str">
        <f>E2&amp;F2&amp;G2</f>
        <v>Jagung Bisi 18 20 X 1 kg455743095HBS18</v>
      </c>
      <c r="B2" t="str">
        <f>VLOOKUP(A2,db_masterBarang!A:C,2,0)</f>
        <v>ID1817</v>
      </c>
      <c r="C2" t="s">
        <v>16200</v>
      </c>
      <c r="D2" t="s">
        <v>13721</v>
      </c>
      <c r="E2" t="s">
        <v>845</v>
      </c>
      <c r="F2" s="3">
        <v>45574</v>
      </c>
      <c r="G2" s="6" t="s">
        <v>858</v>
      </c>
      <c r="H2">
        <v>2000</v>
      </c>
    </row>
    <row r="3" spans="1:8" hidden="1">
      <c r="A3" t="str">
        <f t="shared" ref="A3:A66" si="0">E3&amp;F3&amp;G3</f>
        <v>Jagung Bisi 2 20 X 1 kg457732305HBS2</v>
      </c>
      <c r="B3" t="str">
        <f>VLOOKUP(A3,db_masterBarang!A:C,2,0)</f>
        <v>ID1899</v>
      </c>
      <c r="C3" t="s">
        <v>16282</v>
      </c>
      <c r="D3" t="s">
        <v>13803</v>
      </c>
      <c r="E3" t="s">
        <v>938</v>
      </c>
      <c r="F3" s="3">
        <v>45773</v>
      </c>
      <c r="G3" s="6" t="s">
        <v>942</v>
      </c>
      <c r="H3">
        <v>100</v>
      </c>
    </row>
    <row r="4" spans="1:8" hidden="1">
      <c r="A4" t="str">
        <f t="shared" si="0"/>
        <v>Jagung Bisi 321 20 X 1 kg (+Kaos)457982381HBS321</v>
      </c>
      <c r="B4" t="str">
        <f>VLOOKUP(A4,db_masterBarang!A:C,2,0)</f>
        <v>ID1903</v>
      </c>
      <c r="C4" t="s">
        <v>16286</v>
      </c>
      <c r="D4" t="s">
        <v>13807</v>
      </c>
      <c r="E4" t="s">
        <v>947</v>
      </c>
      <c r="F4" s="3">
        <v>45798</v>
      </c>
      <c r="G4" s="6" t="s">
        <v>948</v>
      </c>
      <c r="H4">
        <v>140</v>
      </c>
    </row>
    <row r="5" spans="1:8" hidden="1">
      <c r="A5" t="str">
        <f t="shared" si="0"/>
        <v>Jagung Bisi 321 20 X 1 kg (+Kaos)457982381HBS321</v>
      </c>
      <c r="B5" t="str">
        <f>VLOOKUP(A5,db_masterBarang!A:C,2,0)</f>
        <v>ID1903</v>
      </c>
      <c r="C5" t="s">
        <v>16286</v>
      </c>
      <c r="D5" t="s">
        <v>13807</v>
      </c>
      <c r="E5" t="s">
        <v>947</v>
      </c>
      <c r="F5" s="3">
        <v>45798</v>
      </c>
      <c r="G5" s="6" t="s">
        <v>948</v>
      </c>
      <c r="H5">
        <v>40</v>
      </c>
    </row>
    <row r="6" spans="1:8" hidden="1">
      <c r="A6" t="str">
        <f t="shared" si="0"/>
        <v>Jagung DK 771 20 X 1 kg (Bayer)455439CFA012099</v>
      </c>
      <c r="B6" t="str">
        <f>VLOOKUP(A6,db_masterBarang!A:C,2,0)</f>
        <v>ID1925</v>
      </c>
      <c r="C6" t="s">
        <v>16308</v>
      </c>
      <c r="D6" t="s">
        <v>13829</v>
      </c>
      <c r="E6" t="s">
        <v>966</v>
      </c>
      <c r="F6" s="3">
        <v>45543</v>
      </c>
      <c r="G6" s="6" t="s">
        <v>975</v>
      </c>
      <c r="H6">
        <v>40</v>
      </c>
    </row>
    <row r="7" spans="1:8" hidden="1">
      <c r="A7" t="str">
        <f t="shared" si="0"/>
        <v>Jagung DK 771 20 X 1 kg (Bayer)455439CFA012099</v>
      </c>
      <c r="B7" t="str">
        <f>VLOOKUP(A7,db_masterBarang!A:C,2,0)</f>
        <v>ID1925</v>
      </c>
      <c r="C7" t="s">
        <v>16308</v>
      </c>
      <c r="D7" t="s">
        <v>13829</v>
      </c>
      <c r="E7" t="s">
        <v>966</v>
      </c>
      <c r="F7" s="3">
        <v>45543</v>
      </c>
      <c r="G7" s="6" t="s">
        <v>975</v>
      </c>
      <c r="H7">
        <v>300</v>
      </c>
    </row>
    <row r="8" spans="1:8" hidden="1">
      <c r="A8" t="str">
        <f t="shared" si="0"/>
        <v>Jagung DK 771 20 X 1 kg (Bayer)455829CFA013003</v>
      </c>
      <c r="B8" t="str">
        <f>VLOOKUP(A8,db_masterBarang!A:C,2,0)</f>
        <v>ID1922</v>
      </c>
      <c r="C8" t="s">
        <v>16305</v>
      </c>
      <c r="D8" t="s">
        <v>13826</v>
      </c>
      <c r="E8" t="s">
        <v>966</v>
      </c>
      <c r="F8" s="3">
        <v>45582</v>
      </c>
      <c r="G8" s="6" t="s">
        <v>972</v>
      </c>
      <c r="H8">
        <v>500</v>
      </c>
    </row>
    <row r="9" spans="1:8" hidden="1">
      <c r="A9" t="str">
        <f t="shared" si="0"/>
        <v>Jagung NK 7202 20 X 1 kg4566619046175</v>
      </c>
      <c r="B9" t="str">
        <f>VLOOKUP(A9,db_masterBarang!A:C,2,0)</f>
        <v>ID1948</v>
      </c>
      <c r="C9" t="s">
        <v>16331</v>
      </c>
      <c r="D9" t="s">
        <v>13852</v>
      </c>
      <c r="E9" t="s">
        <v>1000</v>
      </c>
      <c r="F9" s="3">
        <v>45666</v>
      </c>
      <c r="G9" s="6">
        <v>19046175</v>
      </c>
      <c r="H9">
        <v>500</v>
      </c>
    </row>
    <row r="10" spans="1:8" hidden="1">
      <c r="A10" t="str">
        <f t="shared" si="0"/>
        <v>Jagung NK 7202 20 X 1 kg4566619046175</v>
      </c>
      <c r="B10" t="str">
        <f>VLOOKUP(A10,db_masterBarang!A:C,2,0)</f>
        <v>ID1948</v>
      </c>
      <c r="C10" t="s">
        <v>16331</v>
      </c>
      <c r="D10" t="s">
        <v>13852</v>
      </c>
      <c r="E10" t="s">
        <v>1000</v>
      </c>
      <c r="F10" s="3">
        <v>45666</v>
      </c>
      <c r="G10" s="6">
        <v>19046175</v>
      </c>
      <c r="H10">
        <v>1140</v>
      </c>
    </row>
    <row r="11" spans="1:8" hidden="1">
      <c r="A11" t="str">
        <f t="shared" si="0"/>
        <v>Jagung P27 Gajah 20 X 1 kg45641007CKMAFDNDC055</v>
      </c>
      <c r="B11" t="str">
        <f>VLOOKUP(A11,db_masterBarang!A:C,2,0)</f>
        <v>ID1964</v>
      </c>
      <c r="C11" t="s">
        <v>16347</v>
      </c>
      <c r="D11" t="s">
        <v>13868</v>
      </c>
      <c r="E11" t="s">
        <v>1002</v>
      </c>
      <c r="F11" s="3">
        <v>45641</v>
      </c>
      <c r="G11" s="6" t="s">
        <v>1007</v>
      </c>
      <c r="H11">
        <v>40</v>
      </c>
    </row>
    <row r="12" spans="1:8" hidden="1">
      <c r="A12" t="str">
        <f t="shared" si="0"/>
        <v>Jagung P27 Gajah 20 X 1 kg45641007CKMAFDNDC055</v>
      </c>
      <c r="B12" t="str">
        <f>VLOOKUP(A12,db_masterBarang!A:C,2,0)</f>
        <v>ID1964</v>
      </c>
      <c r="C12" t="s">
        <v>16347</v>
      </c>
      <c r="D12" t="s">
        <v>13868</v>
      </c>
      <c r="E12" t="s">
        <v>1002</v>
      </c>
      <c r="F12" s="3">
        <v>45641</v>
      </c>
      <c r="G12" s="6" t="s">
        <v>1007</v>
      </c>
      <c r="H12">
        <v>200</v>
      </c>
    </row>
    <row r="13" spans="1:8" hidden="1">
      <c r="A13" t="str">
        <f t="shared" si="0"/>
        <v>Abacell 18 EC 10 X 1 ltr462040</v>
      </c>
      <c r="B13" t="str">
        <f>VLOOKUP(A13,db_masterBarang!A:C,2,0)</f>
        <v>ID1</v>
      </c>
      <c r="C13" t="s">
        <v>14384</v>
      </c>
      <c r="D13" t="s">
        <v>11905</v>
      </c>
      <c r="E13" t="s">
        <v>14</v>
      </c>
      <c r="F13" s="3">
        <v>46204</v>
      </c>
      <c r="G13" s="6">
        <v>0</v>
      </c>
      <c r="H13">
        <v>10</v>
      </c>
    </row>
    <row r="14" spans="1:8" hidden="1">
      <c r="A14" t="str">
        <f t="shared" si="0"/>
        <v>Abacell 18 EC 10 X 1 ltr462040</v>
      </c>
      <c r="B14" t="str">
        <f>VLOOKUP(A14,db_masterBarang!A:C,2,0)</f>
        <v>ID1</v>
      </c>
      <c r="C14" t="s">
        <v>14384</v>
      </c>
      <c r="D14" t="s">
        <v>11905</v>
      </c>
      <c r="E14" t="s">
        <v>14</v>
      </c>
      <c r="F14" s="3">
        <v>46204</v>
      </c>
      <c r="G14" s="6">
        <v>0</v>
      </c>
      <c r="H14">
        <v>100</v>
      </c>
    </row>
    <row r="15" spans="1:8" hidden="1">
      <c r="A15" t="str">
        <f t="shared" si="0"/>
        <v>Abacell 18 EC 10 X 1 ltr462040</v>
      </c>
      <c r="B15" t="str">
        <f>VLOOKUP(A15,db_masterBarang!A:C,2,0)</f>
        <v>ID1</v>
      </c>
      <c r="C15" t="s">
        <v>14384</v>
      </c>
      <c r="D15" t="s">
        <v>11905</v>
      </c>
      <c r="E15" t="s">
        <v>14</v>
      </c>
      <c r="F15" s="3">
        <v>46204</v>
      </c>
      <c r="G15" s="6">
        <v>0</v>
      </c>
      <c r="H15">
        <v>9</v>
      </c>
    </row>
    <row r="16" spans="1:8" hidden="1">
      <c r="A16" t="str">
        <f t="shared" si="0"/>
        <v>Abacell 18 EC 10 X 1 ltr462040</v>
      </c>
      <c r="B16" t="str">
        <f>VLOOKUP(A16,db_masterBarang!A:C,2,0)</f>
        <v>ID1</v>
      </c>
      <c r="C16" t="s">
        <v>14384</v>
      </c>
      <c r="D16" t="s">
        <v>11905</v>
      </c>
      <c r="E16" t="s">
        <v>14</v>
      </c>
      <c r="F16" s="3">
        <v>46204</v>
      </c>
      <c r="G16" s="6">
        <v>0</v>
      </c>
      <c r="H16">
        <v>140</v>
      </c>
    </row>
    <row r="17" spans="1:8" hidden="1">
      <c r="A17" t="str">
        <f t="shared" si="0"/>
        <v>Abacell 18 EC 40 X 250 ml463570</v>
      </c>
      <c r="B17" t="str">
        <f>VLOOKUP(A17,db_masterBarang!A:C,2,0)</f>
        <v>ID2</v>
      </c>
      <c r="C17" t="s">
        <v>14385</v>
      </c>
      <c r="D17" t="s">
        <v>11906</v>
      </c>
      <c r="E17" t="s">
        <v>17</v>
      </c>
      <c r="F17" s="3">
        <v>46357</v>
      </c>
      <c r="G17" s="6">
        <v>0</v>
      </c>
      <c r="H17">
        <v>40</v>
      </c>
    </row>
    <row r="18" spans="1:8" hidden="1">
      <c r="A18" t="str">
        <f t="shared" si="0"/>
        <v>Abacell 18 EC 40 X 250 ml463570</v>
      </c>
      <c r="B18" t="str">
        <f>VLOOKUP(A18,db_masterBarang!A:C,2,0)</f>
        <v>ID2</v>
      </c>
      <c r="C18" t="s">
        <v>14385</v>
      </c>
      <c r="D18" t="s">
        <v>11906</v>
      </c>
      <c r="E18" t="s">
        <v>17</v>
      </c>
      <c r="F18" s="3">
        <v>46357</v>
      </c>
      <c r="G18" s="6">
        <v>0</v>
      </c>
      <c r="H18">
        <v>40</v>
      </c>
    </row>
    <row r="19" spans="1:8" hidden="1">
      <c r="A19" t="str">
        <f t="shared" si="0"/>
        <v>Abacell 18 EC 40 X 250 ml463570</v>
      </c>
      <c r="B19" t="str">
        <f>VLOOKUP(A19,db_masterBarang!A:C,2,0)</f>
        <v>ID2</v>
      </c>
      <c r="C19" t="s">
        <v>14385</v>
      </c>
      <c r="D19" t="s">
        <v>11906</v>
      </c>
      <c r="E19" t="s">
        <v>17</v>
      </c>
      <c r="F19" s="3">
        <v>46357</v>
      </c>
      <c r="G19" s="6">
        <v>0</v>
      </c>
      <c r="H19">
        <v>120</v>
      </c>
    </row>
    <row r="20" spans="1:8" hidden="1">
      <c r="A20" t="str">
        <f t="shared" si="0"/>
        <v>Abacell 18 EC 40 X 250 ml463570</v>
      </c>
      <c r="B20" t="str">
        <f>VLOOKUP(A20,db_masterBarang!A:C,2,0)</f>
        <v>ID2</v>
      </c>
      <c r="C20" t="s">
        <v>14385</v>
      </c>
      <c r="D20" t="s">
        <v>11906</v>
      </c>
      <c r="E20" t="s">
        <v>17</v>
      </c>
      <c r="F20" s="3">
        <v>46357</v>
      </c>
      <c r="G20" s="6">
        <v>0</v>
      </c>
      <c r="H20">
        <v>5</v>
      </c>
    </row>
    <row r="21" spans="1:8" hidden="1">
      <c r="A21" t="str">
        <f t="shared" si="0"/>
        <v>Abacell 18 EC 40 X 250 ml463570</v>
      </c>
      <c r="B21" t="str">
        <f>VLOOKUP(A21,db_masterBarang!A:C,2,0)</f>
        <v>ID2</v>
      </c>
      <c r="C21" t="s">
        <v>14385</v>
      </c>
      <c r="D21" t="s">
        <v>11906</v>
      </c>
      <c r="E21" t="s">
        <v>17</v>
      </c>
      <c r="F21" s="3">
        <v>46357</v>
      </c>
      <c r="G21" s="6">
        <v>0</v>
      </c>
      <c r="H21">
        <v>80</v>
      </c>
    </row>
    <row r="22" spans="1:8" hidden="1">
      <c r="A22" t="str">
        <f t="shared" si="0"/>
        <v>Abacell 18 EC 40 X 250 ml463570</v>
      </c>
      <c r="B22" t="str">
        <f>VLOOKUP(A22,db_masterBarang!A:C,2,0)</f>
        <v>ID2</v>
      </c>
      <c r="C22" t="s">
        <v>14385</v>
      </c>
      <c r="D22" t="s">
        <v>11906</v>
      </c>
      <c r="E22" t="s">
        <v>17</v>
      </c>
      <c r="F22" s="3">
        <v>46357</v>
      </c>
      <c r="G22" s="6">
        <v>0</v>
      </c>
      <c r="H22">
        <v>80</v>
      </c>
    </row>
    <row r="23" spans="1:8" hidden="1">
      <c r="A23" t="str">
        <f t="shared" si="0"/>
        <v>Abacell 18 EC 50 X 100 ml460820</v>
      </c>
      <c r="B23" t="str">
        <f>VLOOKUP(A23,db_masterBarang!A:C,2,0)</f>
        <v>ID3</v>
      </c>
      <c r="C23" t="s">
        <v>14386</v>
      </c>
      <c r="D23" t="s">
        <v>11907</v>
      </c>
      <c r="E23" t="s">
        <v>19</v>
      </c>
      <c r="F23" s="3">
        <v>46082</v>
      </c>
      <c r="G23" s="6">
        <v>0</v>
      </c>
      <c r="H23">
        <v>100</v>
      </c>
    </row>
    <row r="24" spans="1:8" hidden="1">
      <c r="A24" t="str">
        <f t="shared" si="0"/>
        <v>Abenz 22 EC 100 X 100 ml469350</v>
      </c>
      <c r="B24" t="str">
        <f>VLOOKUP(A24,db_masterBarang!A:C,2,0)</f>
        <v>ID8</v>
      </c>
      <c r="C24" t="s">
        <v>14391</v>
      </c>
      <c r="D24" t="s">
        <v>11912</v>
      </c>
      <c r="E24" t="s">
        <v>24</v>
      </c>
      <c r="F24" s="3">
        <v>46935</v>
      </c>
      <c r="G24" s="6">
        <v>0</v>
      </c>
      <c r="H24">
        <v>500</v>
      </c>
    </row>
    <row r="25" spans="1:8" hidden="1">
      <c r="A25" t="str">
        <f t="shared" si="0"/>
        <v>Abenz 22 EC 40 X 250 ml469970</v>
      </c>
      <c r="B25" t="str">
        <f>VLOOKUP(A25,db_masterBarang!A:C,2,0)</f>
        <v>ID10</v>
      </c>
      <c r="C25" t="s">
        <v>14393</v>
      </c>
      <c r="D25" t="s">
        <v>11914</v>
      </c>
      <c r="E25" t="s">
        <v>28</v>
      </c>
      <c r="F25" s="3">
        <v>46997</v>
      </c>
      <c r="G25" s="6">
        <v>0</v>
      </c>
      <c r="H25">
        <v>200</v>
      </c>
    </row>
    <row r="26" spans="1:8" hidden="1">
      <c r="A26" t="str">
        <f t="shared" si="0"/>
        <v>Abenz 22 EC 40 X 250 ml469970</v>
      </c>
      <c r="B26" t="str">
        <f>VLOOKUP(A26,db_masterBarang!A:C,2,0)</f>
        <v>ID10</v>
      </c>
      <c r="C26" t="s">
        <v>14393</v>
      </c>
      <c r="D26" t="s">
        <v>11914</v>
      </c>
      <c r="E26" t="s">
        <v>28</v>
      </c>
      <c r="F26" s="3">
        <v>46997</v>
      </c>
      <c r="G26" s="6">
        <v>0</v>
      </c>
      <c r="H26">
        <v>40</v>
      </c>
    </row>
    <row r="27" spans="1:8" hidden="1">
      <c r="A27" t="str">
        <f t="shared" si="0"/>
        <v>Abojo 60 WP 10 X 20 X 50 gr471190</v>
      </c>
      <c r="B27" t="str">
        <f>VLOOKUP(A27,db_masterBarang!A:C,2,0)</f>
        <v>ID11</v>
      </c>
      <c r="C27" t="s">
        <v>14394</v>
      </c>
      <c r="D27" t="s">
        <v>11915</v>
      </c>
      <c r="E27" t="s">
        <v>31</v>
      </c>
      <c r="F27" s="3">
        <v>47119</v>
      </c>
      <c r="G27" s="6">
        <v>0</v>
      </c>
      <c r="H27">
        <v>40</v>
      </c>
    </row>
    <row r="28" spans="1:8" hidden="1">
      <c r="A28" t="str">
        <f t="shared" si="0"/>
        <v>Abojo 60 WP 100 X 100 gr469660</v>
      </c>
      <c r="B28" t="str">
        <f>VLOOKUP(A28,db_masterBarang!A:C,2,0)</f>
        <v>ID12</v>
      </c>
      <c r="C28" t="s">
        <v>14395</v>
      </c>
      <c r="D28" t="s">
        <v>11916</v>
      </c>
      <c r="E28" t="s">
        <v>33</v>
      </c>
      <c r="F28" s="3">
        <v>46966</v>
      </c>
      <c r="G28" s="6">
        <v>0</v>
      </c>
      <c r="H28">
        <v>300</v>
      </c>
    </row>
    <row r="29" spans="1:8" hidden="1">
      <c r="A29" t="str">
        <f t="shared" si="0"/>
        <v>Ace One 75 SP 25 X 400 gr470580</v>
      </c>
      <c r="B29" t="str">
        <f>VLOOKUP(A29,db_masterBarang!A:C,2,0)</f>
        <v>ID18</v>
      </c>
      <c r="C29" t="s">
        <v>14401</v>
      </c>
      <c r="D29" t="s">
        <v>11922</v>
      </c>
      <c r="E29" t="s">
        <v>44</v>
      </c>
      <c r="F29" s="3">
        <v>47058</v>
      </c>
      <c r="G29" s="6">
        <v>0</v>
      </c>
      <c r="H29">
        <v>250</v>
      </c>
    </row>
    <row r="30" spans="1:8" hidden="1">
      <c r="A30" t="str">
        <f t="shared" si="0"/>
        <v>Agil 100 EC 100 X 100 ml469660</v>
      </c>
      <c r="B30" t="str">
        <f>VLOOKUP(A30,db_masterBarang!A:C,2,0)</f>
        <v>ID37</v>
      </c>
      <c r="C30" t="s">
        <v>14420</v>
      </c>
      <c r="D30" t="s">
        <v>11941</v>
      </c>
      <c r="E30" t="s">
        <v>65</v>
      </c>
      <c r="F30" s="3">
        <v>46966</v>
      </c>
      <c r="G30" s="6">
        <v>0</v>
      </c>
      <c r="H30">
        <v>1200</v>
      </c>
    </row>
    <row r="31" spans="1:8" hidden="1">
      <c r="A31" t="str">
        <f t="shared" si="0"/>
        <v>Agil 100 EC 100 X 100 ml469660</v>
      </c>
      <c r="B31" t="str">
        <f>VLOOKUP(A31,db_masterBarang!A:C,2,0)</f>
        <v>ID37</v>
      </c>
      <c r="C31" t="s">
        <v>14420</v>
      </c>
      <c r="D31" t="s">
        <v>11941</v>
      </c>
      <c r="E31" t="s">
        <v>65</v>
      </c>
      <c r="F31" s="3">
        <v>46966</v>
      </c>
      <c r="G31" s="6">
        <v>0</v>
      </c>
      <c r="H31">
        <v>100</v>
      </c>
    </row>
    <row r="32" spans="1:8" s="1" customFormat="1">
      <c r="A32" s="1" t="str">
        <f t="shared" si="0"/>
        <v>Agil 100 EC 40 X 250 ml471500</v>
      </c>
      <c r="B32" s="1" t="str">
        <f>VLOOKUP(A32,db_masterBarang!A:C,2,0)</f>
        <v>ID2085</v>
      </c>
      <c r="C32" s="1" t="s">
        <v>16468</v>
      </c>
      <c r="D32" s="1" t="s">
        <v>14380</v>
      </c>
      <c r="E32" s="1" t="s">
        <v>66</v>
      </c>
      <c r="F32" s="25">
        <v>47150</v>
      </c>
      <c r="G32" s="27">
        <v>0</v>
      </c>
      <c r="H32" s="1">
        <v>200</v>
      </c>
    </row>
    <row r="33" spans="1:8">
      <c r="A33" t="str">
        <f t="shared" si="0"/>
        <v>Agil 100 EC 40 X 250 ml471500</v>
      </c>
      <c r="B33" t="str">
        <f>VLOOKUP(A33,db_masterBarang!A:C,2,0)</f>
        <v>ID2085</v>
      </c>
      <c r="C33" t="s">
        <v>16468</v>
      </c>
      <c r="D33" t="s">
        <v>14380</v>
      </c>
      <c r="E33" t="s">
        <v>66</v>
      </c>
      <c r="F33" s="3">
        <v>47150</v>
      </c>
      <c r="G33" s="6">
        <v>0</v>
      </c>
      <c r="H33">
        <v>40</v>
      </c>
    </row>
    <row r="34" spans="1:8">
      <c r="A34" t="str">
        <f t="shared" si="0"/>
        <v>Agil 100 EC 40 X 250 ml472090</v>
      </c>
      <c r="B34" t="str">
        <f>VLOOKUP(A34,db_masterBarang!A:C,2,0)</f>
        <v>ID39</v>
      </c>
      <c r="C34" t="s">
        <v>14422</v>
      </c>
      <c r="D34" t="s">
        <v>11943</v>
      </c>
      <c r="E34" t="s">
        <v>66</v>
      </c>
      <c r="F34" s="3">
        <v>47209</v>
      </c>
      <c r="G34" s="6">
        <v>0</v>
      </c>
      <c r="H34">
        <v>80</v>
      </c>
    </row>
    <row r="35" spans="1:8">
      <c r="A35" t="str">
        <f t="shared" si="0"/>
        <v>Agil 100 EC 40 X 250 ml472090</v>
      </c>
      <c r="B35" t="str">
        <f>VLOOKUP(A35,db_masterBarang!A:C,2,0)</f>
        <v>ID39</v>
      </c>
      <c r="C35" t="s">
        <v>14422</v>
      </c>
      <c r="D35" t="s">
        <v>11943</v>
      </c>
      <c r="E35" t="s">
        <v>66</v>
      </c>
      <c r="F35" s="3">
        <v>47209</v>
      </c>
      <c r="G35" s="6">
        <v>0</v>
      </c>
      <c r="H35">
        <v>120</v>
      </c>
    </row>
    <row r="36" spans="1:8">
      <c r="A36" t="str">
        <f t="shared" si="0"/>
        <v>Agil 100 EC 40 X 250 ml472090</v>
      </c>
      <c r="B36" t="str">
        <f>VLOOKUP(A36,db_masterBarang!A:C,2,0)</f>
        <v>ID39</v>
      </c>
      <c r="C36" t="s">
        <v>14422</v>
      </c>
      <c r="D36" t="s">
        <v>11943</v>
      </c>
      <c r="E36" t="s">
        <v>66</v>
      </c>
      <c r="F36" s="3">
        <v>47209</v>
      </c>
      <c r="G36" s="6">
        <v>0</v>
      </c>
      <c r="H36">
        <v>40</v>
      </c>
    </row>
    <row r="37" spans="1:8" hidden="1">
      <c r="A37" t="str">
        <f t="shared" si="0"/>
        <v>Agrimec 18 EC 40 X 250 ml462960</v>
      </c>
      <c r="B37" t="str">
        <f>VLOOKUP(A37,db_masterBarang!A:C,2,0)</f>
        <v>ID44</v>
      </c>
      <c r="C37" t="s">
        <v>14427</v>
      </c>
      <c r="D37" t="s">
        <v>11948</v>
      </c>
      <c r="E37" t="s">
        <v>71</v>
      </c>
      <c r="F37" s="3">
        <v>46296</v>
      </c>
      <c r="G37" s="6">
        <v>0</v>
      </c>
      <c r="H37">
        <v>280</v>
      </c>
    </row>
    <row r="38" spans="1:8" hidden="1">
      <c r="A38" t="str">
        <f t="shared" si="0"/>
        <v>Agrimec 18 EC 40 X 250 ml462960</v>
      </c>
      <c r="B38" t="str">
        <f>VLOOKUP(A38,db_masterBarang!A:C,2,0)</f>
        <v>ID44</v>
      </c>
      <c r="C38" t="s">
        <v>14427</v>
      </c>
      <c r="D38" t="s">
        <v>11948</v>
      </c>
      <c r="E38" t="s">
        <v>71</v>
      </c>
      <c r="F38" s="3">
        <v>46296</v>
      </c>
      <c r="G38" s="6">
        <v>0</v>
      </c>
      <c r="H38">
        <v>120</v>
      </c>
    </row>
    <row r="39" spans="1:8" hidden="1">
      <c r="A39" t="str">
        <f t="shared" si="0"/>
        <v>Agrimec 18 EC 40 X 250 ml462960</v>
      </c>
      <c r="B39" t="str">
        <f>VLOOKUP(A39,db_masterBarang!A:C,2,0)</f>
        <v>ID44</v>
      </c>
      <c r="C39" t="s">
        <v>14427</v>
      </c>
      <c r="D39" t="s">
        <v>11948</v>
      </c>
      <c r="E39" t="s">
        <v>71</v>
      </c>
      <c r="F39" s="3">
        <v>46296</v>
      </c>
      <c r="G39" s="6">
        <v>0</v>
      </c>
      <c r="H39">
        <v>8</v>
      </c>
    </row>
    <row r="40" spans="1:8" hidden="1">
      <c r="A40" t="str">
        <f t="shared" si="0"/>
        <v>Agrimec 18 EC 40 X 250 ml462960</v>
      </c>
      <c r="B40" t="str">
        <f>VLOOKUP(A40,db_masterBarang!A:C,2,0)</f>
        <v>ID44</v>
      </c>
      <c r="C40" t="s">
        <v>14427</v>
      </c>
      <c r="D40" t="s">
        <v>11948</v>
      </c>
      <c r="E40" t="s">
        <v>71</v>
      </c>
      <c r="F40" s="3">
        <v>46296</v>
      </c>
      <c r="G40" s="6">
        <v>0</v>
      </c>
      <c r="H40">
        <v>1</v>
      </c>
    </row>
    <row r="41" spans="1:8" hidden="1">
      <c r="A41" t="str">
        <f t="shared" si="0"/>
        <v>Agrimec 18 EC 40 X 250 ml462960</v>
      </c>
      <c r="B41" t="str">
        <f>VLOOKUP(A41,db_masterBarang!A:C,2,0)</f>
        <v>ID44</v>
      </c>
      <c r="C41" t="s">
        <v>14427</v>
      </c>
      <c r="D41" t="s">
        <v>11948</v>
      </c>
      <c r="E41" t="s">
        <v>71</v>
      </c>
      <c r="F41" s="3">
        <v>46296</v>
      </c>
      <c r="G41" s="6">
        <v>0</v>
      </c>
      <c r="H41">
        <v>1</v>
      </c>
    </row>
    <row r="42" spans="1:8" hidden="1">
      <c r="A42" t="str">
        <f t="shared" si="0"/>
        <v>Agrimec 18 EC 40 X 250 ml462960</v>
      </c>
      <c r="B42" t="str">
        <f>VLOOKUP(A42,db_masterBarang!A:C,2,0)</f>
        <v>ID44</v>
      </c>
      <c r="C42" t="s">
        <v>14427</v>
      </c>
      <c r="D42" t="s">
        <v>11948</v>
      </c>
      <c r="E42" t="s">
        <v>71</v>
      </c>
      <c r="F42" s="3">
        <v>46296</v>
      </c>
      <c r="G42" s="6">
        <v>0</v>
      </c>
      <c r="H42">
        <v>20</v>
      </c>
    </row>
    <row r="43" spans="1:8" hidden="1">
      <c r="A43" t="str">
        <f t="shared" si="0"/>
        <v>Agrogib 40 SL 30 X 15 X 35 ml471780</v>
      </c>
      <c r="B43" t="str">
        <f>VLOOKUP(A43,db_masterBarang!A:C,2,0)</f>
        <v>ID47</v>
      </c>
      <c r="C43" t="s">
        <v>14430</v>
      </c>
      <c r="D43" t="s">
        <v>11951</v>
      </c>
      <c r="E43" t="s">
        <v>78</v>
      </c>
      <c r="F43" s="3">
        <v>47178</v>
      </c>
      <c r="G43" s="6">
        <v>0</v>
      </c>
      <c r="H43">
        <v>15</v>
      </c>
    </row>
    <row r="44" spans="1:8" hidden="1">
      <c r="A44" t="str">
        <f t="shared" si="0"/>
        <v>Agrogib 40 SL 30 X 15 X 35 ml471780</v>
      </c>
      <c r="B44" t="str">
        <f>VLOOKUP(A44,db_masterBarang!A:C,2,0)</f>
        <v>ID47</v>
      </c>
      <c r="C44" t="s">
        <v>14430</v>
      </c>
      <c r="D44" t="s">
        <v>11951</v>
      </c>
      <c r="E44" t="s">
        <v>78</v>
      </c>
      <c r="F44" s="3">
        <v>47178</v>
      </c>
      <c r="G44" s="6">
        <v>0</v>
      </c>
      <c r="H44">
        <v>450</v>
      </c>
    </row>
    <row r="45" spans="1:8" hidden="1">
      <c r="A45" t="str">
        <f t="shared" si="0"/>
        <v>Agus 500 SC 100 X 100 ml463880</v>
      </c>
      <c r="B45" t="str">
        <f>VLOOKUP(A45,db_masterBarang!A:C,2,0)</f>
        <v>ID48</v>
      </c>
      <c r="C45" t="s">
        <v>14431</v>
      </c>
      <c r="D45" t="s">
        <v>11952</v>
      </c>
      <c r="E45" t="s">
        <v>80</v>
      </c>
      <c r="F45" s="3">
        <v>46388</v>
      </c>
      <c r="G45" s="6">
        <v>0</v>
      </c>
      <c r="H45">
        <v>1000</v>
      </c>
    </row>
    <row r="46" spans="1:8" hidden="1">
      <c r="A46" t="str">
        <f t="shared" si="0"/>
        <v>Agus 500 SC 100 X 100 ml463880</v>
      </c>
      <c r="B46" t="str">
        <f>VLOOKUP(A46,db_masterBarang!A:C,2,0)</f>
        <v>ID48</v>
      </c>
      <c r="C46" t="s">
        <v>14431</v>
      </c>
      <c r="D46" t="s">
        <v>11952</v>
      </c>
      <c r="E46" t="s">
        <v>80</v>
      </c>
      <c r="F46" s="3">
        <v>46388</v>
      </c>
      <c r="G46" s="6">
        <v>0</v>
      </c>
      <c r="H46">
        <v>10</v>
      </c>
    </row>
    <row r="47" spans="1:8" hidden="1">
      <c r="A47" t="str">
        <f t="shared" si="0"/>
        <v>Agus 500 SC 40 X 250 ml463880</v>
      </c>
      <c r="B47" t="str">
        <f>VLOOKUP(A47,db_masterBarang!A:C,2,0)</f>
        <v>ID50</v>
      </c>
      <c r="C47" t="s">
        <v>14433</v>
      </c>
      <c r="D47" t="s">
        <v>11954</v>
      </c>
      <c r="E47" t="s">
        <v>83</v>
      </c>
      <c r="F47" s="3">
        <v>46388</v>
      </c>
      <c r="G47" s="6">
        <v>0</v>
      </c>
      <c r="H47">
        <v>800</v>
      </c>
    </row>
    <row r="48" spans="1:8" hidden="1">
      <c r="A48" t="str">
        <f t="shared" si="0"/>
        <v>Agus 500 SC 40 X 250 ml463880</v>
      </c>
      <c r="B48" t="str">
        <f>VLOOKUP(A48,db_masterBarang!A:C,2,0)</f>
        <v>ID50</v>
      </c>
      <c r="C48" t="s">
        <v>14433</v>
      </c>
      <c r="D48" t="s">
        <v>11954</v>
      </c>
      <c r="E48" t="s">
        <v>83</v>
      </c>
      <c r="F48" s="3">
        <v>46388</v>
      </c>
      <c r="G48" s="6">
        <v>0</v>
      </c>
      <c r="H48">
        <v>200</v>
      </c>
    </row>
    <row r="49" spans="1:8" hidden="1">
      <c r="A49" t="str">
        <f t="shared" si="0"/>
        <v>Agus 500 SC 40 X 250 ml463880</v>
      </c>
      <c r="B49" t="str">
        <f>VLOOKUP(A49,db_masterBarang!A:C,2,0)</f>
        <v>ID50</v>
      </c>
      <c r="C49" t="s">
        <v>14433</v>
      </c>
      <c r="D49" t="s">
        <v>11954</v>
      </c>
      <c r="E49" t="s">
        <v>83</v>
      </c>
      <c r="F49" s="3">
        <v>46388</v>
      </c>
      <c r="G49" s="6">
        <v>0</v>
      </c>
      <c r="H49">
        <v>80</v>
      </c>
    </row>
    <row r="50" spans="1:8" hidden="1">
      <c r="A50" t="str">
        <f t="shared" si="0"/>
        <v>Alfatox 50 EC 20 X 400 ml (AGM)471780</v>
      </c>
      <c r="B50" t="str">
        <f>VLOOKUP(A50,db_masterBarang!A:C,2,0)</f>
        <v>ID70</v>
      </c>
      <c r="C50" t="s">
        <v>14453</v>
      </c>
      <c r="D50" t="s">
        <v>11974</v>
      </c>
      <c r="E50" t="s">
        <v>110</v>
      </c>
      <c r="F50" s="3">
        <v>47178</v>
      </c>
      <c r="G50" s="6">
        <v>0</v>
      </c>
      <c r="H50">
        <v>20</v>
      </c>
    </row>
    <row r="51" spans="1:8" hidden="1">
      <c r="A51" t="str">
        <f t="shared" si="0"/>
        <v>Alfatox 50 EC 20 X 400 ml (AGM)471780</v>
      </c>
      <c r="B51" t="str">
        <f>VLOOKUP(A51,db_masterBarang!A:C,2,0)</f>
        <v>ID70</v>
      </c>
      <c r="C51" t="s">
        <v>14453</v>
      </c>
      <c r="D51" t="s">
        <v>11974</v>
      </c>
      <c r="E51" t="s">
        <v>110</v>
      </c>
      <c r="F51" s="3">
        <v>47178</v>
      </c>
      <c r="G51" s="6">
        <v>0</v>
      </c>
      <c r="H51">
        <v>20</v>
      </c>
    </row>
    <row r="52" spans="1:8" hidden="1">
      <c r="A52" t="str">
        <f t="shared" si="0"/>
        <v>Alfatox 50 EC 20 X 400 ml (AGM)471780</v>
      </c>
      <c r="B52" t="str">
        <f>VLOOKUP(A52,db_masterBarang!A:C,2,0)</f>
        <v>ID70</v>
      </c>
      <c r="C52" t="s">
        <v>14453</v>
      </c>
      <c r="D52" t="s">
        <v>11974</v>
      </c>
      <c r="E52" t="s">
        <v>110</v>
      </c>
      <c r="F52" s="3">
        <v>47178</v>
      </c>
      <c r="G52" s="6">
        <v>0</v>
      </c>
      <c r="H52">
        <v>40</v>
      </c>
    </row>
    <row r="53" spans="1:8" hidden="1">
      <c r="A53" t="str">
        <f t="shared" si="0"/>
        <v>Alfatox 50 EC 20 X 400 ml (AGM)471780</v>
      </c>
      <c r="B53" t="str">
        <f>VLOOKUP(A53,db_masterBarang!A:C,2,0)</f>
        <v>ID70</v>
      </c>
      <c r="C53" t="s">
        <v>14453</v>
      </c>
      <c r="D53" t="s">
        <v>11974</v>
      </c>
      <c r="E53" t="s">
        <v>110</v>
      </c>
      <c r="F53" s="3">
        <v>47178</v>
      </c>
      <c r="G53" s="6">
        <v>0</v>
      </c>
      <c r="H53">
        <v>40</v>
      </c>
    </row>
    <row r="54" spans="1:8" hidden="1">
      <c r="A54" t="str">
        <f t="shared" si="0"/>
        <v>Alfatox 50 EC 40 X 200 ml (AGM)469050</v>
      </c>
      <c r="B54" t="str">
        <f>VLOOKUP(A54,db_masterBarang!A:C,2,0)</f>
        <v>ID71</v>
      </c>
      <c r="C54" t="s">
        <v>14454</v>
      </c>
      <c r="D54" t="s">
        <v>11975</v>
      </c>
      <c r="E54" t="s">
        <v>113</v>
      </c>
      <c r="F54" s="3">
        <v>46905</v>
      </c>
      <c r="G54" s="6">
        <v>0</v>
      </c>
      <c r="H54">
        <v>120</v>
      </c>
    </row>
    <row r="55" spans="1:8" hidden="1">
      <c r="A55" t="str">
        <f t="shared" si="0"/>
        <v>Alfatox 50 EC 40 X 200 ml (AGM)469050</v>
      </c>
      <c r="B55" t="str">
        <f>VLOOKUP(A55,db_masterBarang!A:C,2,0)</f>
        <v>ID71</v>
      </c>
      <c r="C55" t="s">
        <v>14454</v>
      </c>
      <c r="D55" t="s">
        <v>11975</v>
      </c>
      <c r="E55" t="s">
        <v>113</v>
      </c>
      <c r="F55" s="3">
        <v>46905</v>
      </c>
      <c r="G55" s="6">
        <v>0</v>
      </c>
      <c r="H55">
        <v>40</v>
      </c>
    </row>
    <row r="56" spans="1:8" hidden="1">
      <c r="A56" t="str">
        <f t="shared" si="0"/>
        <v>Alfatox 50 EC 40 X 200 ml (AGM)469050</v>
      </c>
      <c r="B56" t="str">
        <f>VLOOKUP(A56,db_masterBarang!A:C,2,0)</f>
        <v>ID71</v>
      </c>
      <c r="C56" t="s">
        <v>14454</v>
      </c>
      <c r="D56" t="s">
        <v>11975</v>
      </c>
      <c r="E56" t="s">
        <v>113</v>
      </c>
      <c r="F56" s="3">
        <v>46905</v>
      </c>
      <c r="G56" s="6">
        <v>0</v>
      </c>
      <c r="H56">
        <v>40</v>
      </c>
    </row>
    <row r="57" spans="1:8" hidden="1">
      <c r="A57" t="str">
        <f t="shared" si="0"/>
        <v>Alfatox 50 EC 50 X 80 ml (AGM)471780</v>
      </c>
      <c r="B57" t="str">
        <f>VLOOKUP(A57,db_masterBarang!A:C,2,0)</f>
        <v>ID73</v>
      </c>
      <c r="C57" t="s">
        <v>14456</v>
      </c>
      <c r="D57" t="s">
        <v>11977</v>
      </c>
      <c r="E57" t="s">
        <v>116</v>
      </c>
      <c r="F57" s="3">
        <v>47178</v>
      </c>
      <c r="G57" s="6">
        <v>0</v>
      </c>
      <c r="H57">
        <v>1250</v>
      </c>
    </row>
    <row r="58" spans="1:8" hidden="1">
      <c r="A58" t="str">
        <f t="shared" si="0"/>
        <v>Alfatox 50 EC 50 X 80 ml (AGM)471780</v>
      </c>
      <c r="B58" t="str">
        <f>VLOOKUP(A58,db_masterBarang!A:C,2,0)</f>
        <v>ID73</v>
      </c>
      <c r="C58" t="s">
        <v>14456</v>
      </c>
      <c r="D58" t="s">
        <v>11977</v>
      </c>
      <c r="E58" t="s">
        <v>116</v>
      </c>
      <c r="F58" s="3">
        <v>47178</v>
      </c>
      <c r="G58" s="6">
        <v>0</v>
      </c>
      <c r="H58">
        <v>50</v>
      </c>
    </row>
    <row r="59" spans="1:8" hidden="1">
      <c r="A59" t="str">
        <f t="shared" si="0"/>
        <v>Amistartop 325 SC 100 X 50 ml461130</v>
      </c>
      <c r="B59" t="str">
        <f>VLOOKUP(A59,db_masterBarang!A:C,2,0)</f>
        <v>ID105</v>
      </c>
      <c r="C59" t="s">
        <v>14488</v>
      </c>
      <c r="D59" t="s">
        <v>12009</v>
      </c>
      <c r="E59" t="s">
        <v>154</v>
      </c>
      <c r="F59" s="3">
        <v>46113</v>
      </c>
      <c r="G59" s="6">
        <v>0</v>
      </c>
      <c r="H59">
        <v>100</v>
      </c>
    </row>
    <row r="60" spans="1:8" hidden="1">
      <c r="A60" t="str">
        <f t="shared" si="0"/>
        <v>Amistartop 325 SC 20 X 250 ml461740</v>
      </c>
      <c r="B60" t="str">
        <f>VLOOKUP(A60,db_masterBarang!A:C,2,0)</f>
        <v>ID107</v>
      </c>
      <c r="C60" t="s">
        <v>14490</v>
      </c>
      <c r="D60" t="s">
        <v>12011</v>
      </c>
      <c r="E60" t="s">
        <v>158</v>
      </c>
      <c r="F60" s="3">
        <v>46174</v>
      </c>
      <c r="G60" s="6">
        <v>0</v>
      </c>
      <c r="H60">
        <v>20</v>
      </c>
    </row>
    <row r="61" spans="1:8" hidden="1">
      <c r="A61" t="str">
        <f t="shared" si="0"/>
        <v>Amistartop 325 SC 50 X 100 ml462660</v>
      </c>
      <c r="B61" t="str">
        <f>VLOOKUP(A61,db_masterBarang!A:C,2,0)</f>
        <v>ID109</v>
      </c>
      <c r="C61" t="s">
        <v>14492</v>
      </c>
      <c r="D61" t="s">
        <v>12013</v>
      </c>
      <c r="E61" t="s">
        <v>163</v>
      </c>
      <c r="F61" s="3">
        <v>46266</v>
      </c>
      <c r="G61" s="6">
        <v>0</v>
      </c>
      <c r="H61">
        <v>50</v>
      </c>
    </row>
    <row r="62" spans="1:8" hidden="1">
      <c r="A62" t="str">
        <f t="shared" si="0"/>
        <v>Amolin 300 EC 40 X 250 ml470270</v>
      </c>
      <c r="B62" t="str">
        <f>VLOOKUP(A62,db_masterBarang!A:C,2,0)</f>
        <v>ID116</v>
      </c>
      <c r="C62" t="s">
        <v>14499</v>
      </c>
      <c r="D62" t="s">
        <v>12020</v>
      </c>
      <c r="E62" t="s">
        <v>173</v>
      </c>
      <c r="F62" s="3">
        <v>47027</v>
      </c>
      <c r="G62" s="6">
        <v>0</v>
      </c>
      <c r="H62">
        <v>80</v>
      </c>
    </row>
    <row r="63" spans="1:8" hidden="1">
      <c r="A63" t="str">
        <f t="shared" si="0"/>
        <v>Amuron 70 EC 40 X 250 ml465390</v>
      </c>
      <c r="B63" t="str">
        <f>VLOOKUP(A63,db_masterBarang!A:C,2,0)</f>
        <v>ID127</v>
      </c>
      <c r="C63" t="s">
        <v>14510</v>
      </c>
      <c r="D63" t="s">
        <v>12031</v>
      </c>
      <c r="E63" t="s">
        <v>187</v>
      </c>
      <c r="F63" s="3">
        <v>46539</v>
      </c>
      <c r="G63" s="6">
        <v>0</v>
      </c>
      <c r="H63">
        <v>200</v>
      </c>
    </row>
    <row r="64" spans="1:8" hidden="1">
      <c r="A64" t="str">
        <f t="shared" si="0"/>
        <v>Anvil 50 SC 10 X 1 ltr458700</v>
      </c>
      <c r="B64" t="str">
        <f>VLOOKUP(A64,db_masterBarang!A:C,2,0)</f>
        <v>ID143</v>
      </c>
      <c r="C64" t="s">
        <v>14526</v>
      </c>
      <c r="D64" t="s">
        <v>12047</v>
      </c>
      <c r="E64" t="s">
        <v>206</v>
      </c>
      <c r="F64" s="3">
        <v>45870</v>
      </c>
      <c r="G64" s="6">
        <v>0</v>
      </c>
      <c r="H64">
        <v>60</v>
      </c>
    </row>
    <row r="65" spans="1:8" hidden="1">
      <c r="A65" t="str">
        <f t="shared" si="0"/>
        <v>Anvil 50 SC 10 X 1 ltr458700</v>
      </c>
      <c r="B65" t="str">
        <f>VLOOKUP(A65,db_masterBarang!A:C,2,0)</f>
        <v>ID143</v>
      </c>
      <c r="C65" t="s">
        <v>14526</v>
      </c>
      <c r="D65" t="s">
        <v>12047</v>
      </c>
      <c r="E65" t="s">
        <v>206</v>
      </c>
      <c r="F65" s="3">
        <v>45870</v>
      </c>
      <c r="G65" s="6">
        <v>0</v>
      </c>
      <c r="H65">
        <v>20</v>
      </c>
    </row>
    <row r="66" spans="1:8" hidden="1">
      <c r="A66" t="str">
        <f t="shared" si="0"/>
        <v>Asia Top 288 SL 20 ltr471190</v>
      </c>
      <c r="B66" t="str">
        <f>VLOOKUP(A66,db_masterBarang!A:C,2,0)</f>
        <v>ID162</v>
      </c>
      <c r="C66" t="s">
        <v>14545</v>
      </c>
      <c r="D66" t="s">
        <v>12066</v>
      </c>
      <c r="E66" t="s">
        <v>236</v>
      </c>
      <c r="F66" s="3">
        <v>47119</v>
      </c>
      <c r="G66" s="6">
        <v>0</v>
      </c>
      <c r="H66">
        <v>1</v>
      </c>
    </row>
    <row r="67" spans="1:8" hidden="1">
      <c r="A67" t="str">
        <f t="shared" ref="A67:A130" si="1">E67&amp;F67&amp;G67</f>
        <v>Asia Top 288 SL 4 X 5 ltr472700</v>
      </c>
      <c r="B67" t="str">
        <f>VLOOKUP(A67,db_masterBarang!A:C,2,0)</f>
        <v>ID165</v>
      </c>
      <c r="C67" t="s">
        <v>14548</v>
      </c>
      <c r="D67" t="s">
        <v>12069</v>
      </c>
      <c r="E67" t="s">
        <v>238</v>
      </c>
      <c r="F67" s="3">
        <v>47270</v>
      </c>
      <c r="G67" s="6">
        <v>0</v>
      </c>
      <c r="H67">
        <v>4</v>
      </c>
    </row>
    <row r="68" spans="1:8" hidden="1">
      <c r="A68" t="str">
        <f t="shared" si="1"/>
        <v>Avidor 25 WP 4 X 25 X 100 gr472090</v>
      </c>
      <c r="B68" t="str">
        <f>VLOOKUP(A68,db_masterBarang!A:C,2,0)</f>
        <v>ID187</v>
      </c>
      <c r="C68" t="s">
        <v>14570</v>
      </c>
      <c r="D68" t="s">
        <v>12091</v>
      </c>
      <c r="E68" t="s">
        <v>261</v>
      </c>
      <c r="F68" s="3">
        <v>47209</v>
      </c>
      <c r="G68" s="6">
        <v>0</v>
      </c>
      <c r="H68">
        <v>100</v>
      </c>
    </row>
    <row r="69" spans="1:8" hidden="1">
      <c r="A69" t="str">
        <f t="shared" si="1"/>
        <v>Avidor 25 WP 4 X 25 X 100 gr472090</v>
      </c>
      <c r="B69" t="str">
        <f>VLOOKUP(A69,db_masterBarang!A:C,2,0)</f>
        <v>ID187</v>
      </c>
      <c r="C69" t="s">
        <v>14570</v>
      </c>
      <c r="D69" t="s">
        <v>12091</v>
      </c>
      <c r="E69" t="s">
        <v>261</v>
      </c>
      <c r="F69" s="3">
        <v>47209</v>
      </c>
      <c r="G69" s="6">
        <v>0</v>
      </c>
      <c r="H69">
        <v>500</v>
      </c>
    </row>
    <row r="70" spans="1:8" hidden="1">
      <c r="A70" t="str">
        <f t="shared" si="1"/>
        <v>Bamex 18 EC 100 X 50 ml (M2U)462040</v>
      </c>
      <c r="B70" t="str">
        <f>VLOOKUP(A70,db_masterBarang!A:C,2,0)</f>
        <v>ID201</v>
      </c>
      <c r="C70" t="s">
        <v>14584</v>
      </c>
      <c r="D70" t="s">
        <v>12105</v>
      </c>
      <c r="E70" t="s">
        <v>279</v>
      </c>
      <c r="F70" s="3">
        <v>46204</v>
      </c>
      <c r="G70" s="6">
        <v>0</v>
      </c>
      <c r="H70">
        <v>25</v>
      </c>
    </row>
    <row r="71" spans="1:8" hidden="1">
      <c r="A71" t="str">
        <f t="shared" si="1"/>
        <v>Basgent 55 SC 100 X 50 ml470580</v>
      </c>
      <c r="B71" t="str">
        <f>VLOOKUP(A71,db_masterBarang!A:C,2,0)</f>
        <v>ID217</v>
      </c>
      <c r="C71" t="s">
        <v>14600</v>
      </c>
      <c r="D71" t="s">
        <v>12121</v>
      </c>
      <c r="E71" t="s">
        <v>288</v>
      </c>
      <c r="F71" s="3">
        <v>47058</v>
      </c>
      <c r="G71" s="6">
        <v>0</v>
      </c>
      <c r="H71">
        <v>100</v>
      </c>
    </row>
    <row r="72" spans="1:8" hidden="1">
      <c r="A72" t="str">
        <f t="shared" si="1"/>
        <v>Basgent 55 SC 50 X 100 ml470580</v>
      </c>
      <c r="B72" t="str">
        <f>VLOOKUP(A72,db_masterBarang!A:C,2,0)</f>
        <v>ID219</v>
      </c>
      <c r="C72" t="s">
        <v>14602</v>
      </c>
      <c r="D72" t="s">
        <v>12123</v>
      </c>
      <c r="E72" t="s">
        <v>293</v>
      </c>
      <c r="F72" s="3">
        <v>47058</v>
      </c>
      <c r="G72" s="6">
        <v>0</v>
      </c>
      <c r="H72">
        <v>10</v>
      </c>
    </row>
    <row r="73" spans="1:8" hidden="1">
      <c r="A73" t="str">
        <f t="shared" si="1"/>
        <v>Basgent 55 SC 50 X 250 ml469970</v>
      </c>
      <c r="B73" t="str">
        <f>VLOOKUP(A73,db_masterBarang!A:C,2,0)</f>
        <v>ID220</v>
      </c>
      <c r="C73" t="s">
        <v>14603</v>
      </c>
      <c r="D73" t="s">
        <v>12124</v>
      </c>
      <c r="E73" t="s">
        <v>295</v>
      </c>
      <c r="F73" s="3">
        <v>46997</v>
      </c>
      <c r="G73" s="6">
        <v>0</v>
      </c>
      <c r="H73">
        <v>5</v>
      </c>
    </row>
    <row r="74" spans="1:8" hidden="1">
      <c r="A74" t="str">
        <f t="shared" si="1"/>
        <v>Bellator 265 SC 20 X 100 ml459310</v>
      </c>
      <c r="B74" t="str">
        <f>VLOOKUP(A74,db_masterBarang!A:C,2,0)</f>
        <v>ID242</v>
      </c>
      <c r="C74" t="s">
        <v>14625</v>
      </c>
      <c r="D74" t="s">
        <v>12146</v>
      </c>
      <c r="E74" t="s">
        <v>328</v>
      </c>
      <c r="F74" s="3">
        <v>45931</v>
      </c>
      <c r="G74" s="6">
        <v>0</v>
      </c>
      <c r="H74">
        <v>40</v>
      </c>
    </row>
    <row r="75" spans="1:8" hidden="1">
      <c r="A75" t="str">
        <f t="shared" si="1"/>
        <v>Bionik 400 EC 20 X 500 ml472090</v>
      </c>
      <c r="B75" t="str">
        <f>VLOOKUP(A75,db_masterBarang!A:C,2,0)</f>
        <v>ID262</v>
      </c>
      <c r="C75" t="s">
        <v>14645</v>
      </c>
      <c r="D75" t="s">
        <v>12166</v>
      </c>
      <c r="E75" t="s">
        <v>351</v>
      </c>
      <c r="F75" s="3">
        <v>47209</v>
      </c>
      <c r="G75" s="6">
        <v>0</v>
      </c>
      <c r="H75">
        <v>100</v>
      </c>
    </row>
    <row r="76" spans="1:8" hidden="1">
      <c r="A76" t="str">
        <f t="shared" si="1"/>
        <v>Bionik 400 EC 50 X 100 ml472090</v>
      </c>
      <c r="B76" t="str">
        <f>VLOOKUP(A76,db_masterBarang!A:C,2,0)</f>
        <v>ID263</v>
      </c>
      <c r="C76" t="s">
        <v>14646</v>
      </c>
      <c r="D76" t="s">
        <v>12167</v>
      </c>
      <c r="E76" t="s">
        <v>352</v>
      </c>
      <c r="F76" s="3">
        <v>47209</v>
      </c>
      <c r="G76" s="6">
        <v>0</v>
      </c>
      <c r="H76">
        <v>500</v>
      </c>
    </row>
    <row r="77" spans="1:8" hidden="1">
      <c r="A77" t="str">
        <f t="shared" si="1"/>
        <v>Bionik 400 EC 50 X 100 ml472090</v>
      </c>
      <c r="B77" t="str">
        <f>VLOOKUP(A77,db_masterBarang!A:C,2,0)</f>
        <v>ID263</v>
      </c>
      <c r="C77" t="s">
        <v>14646</v>
      </c>
      <c r="D77" t="s">
        <v>12167</v>
      </c>
      <c r="E77" t="s">
        <v>352</v>
      </c>
      <c r="F77" s="3">
        <v>47209</v>
      </c>
      <c r="G77" s="6">
        <v>0</v>
      </c>
      <c r="H77">
        <v>50</v>
      </c>
    </row>
    <row r="78" spans="1:8" hidden="1">
      <c r="A78" t="str">
        <f t="shared" si="1"/>
        <v>Braphon 488 SL 50 X 100 ml469970</v>
      </c>
      <c r="B78" t="str">
        <f>VLOOKUP(A78,db_masterBarang!A:C,2,0)</f>
        <v>ID293</v>
      </c>
      <c r="C78" t="s">
        <v>14676</v>
      </c>
      <c r="D78" t="s">
        <v>12197</v>
      </c>
      <c r="E78" t="s">
        <v>391</v>
      </c>
      <c r="F78" s="3">
        <v>46997</v>
      </c>
      <c r="G78" s="6">
        <v>0</v>
      </c>
      <c r="H78">
        <v>500</v>
      </c>
    </row>
    <row r="79" spans="1:8" hidden="1">
      <c r="A79" t="str">
        <f t="shared" si="1"/>
        <v>Brasso 250 EC 20 X 400 ml467840</v>
      </c>
      <c r="B79" t="str">
        <f>VLOOKUP(A79,db_masterBarang!A:C,2,0)</f>
        <v>ID297</v>
      </c>
      <c r="C79" t="s">
        <v>14680</v>
      </c>
      <c r="D79" t="s">
        <v>12201</v>
      </c>
      <c r="E79" t="s">
        <v>394</v>
      </c>
      <c r="F79" s="3">
        <v>46784</v>
      </c>
      <c r="G79" s="6">
        <v>0</v>
      </c>
      <c r="H79">
        <v>20</v>
      </c>
    </row>
    <row r="80" spans="1:8" hidden="1">
      <c r="A80" t="str">
        <f t="shared" si="1"/>
        <v>Bravoxone 276 SL 20 X 1 ltr (Label Kuda)470270</v>
      </c>
      <c r="B80" t="str">
        <f>VLOOKUP(A80,db_masterBarang!A:C,2,0)</f>
        <v>ID302</v>
      </c>
      <c r="C80" t="s">
        <v>14685</v>
      </c>
      <c r="D80" t="s">
        <v>12206</v>
      </c>
      <c r="E80" t="s">
        <v>397</v>
      </c>
      <c r="F80" s="3">
        <v>47027</v>
      </c>
      <c r="G80" s="6">
        <v>0</v>
      </c>
      <c r="H80">
        <v>60</v>
      </c>
    </row>
    <row r="81" spans="1:8" hidden="1">
      <c r="A81" t="str">
        <f t="shared" si="1"/>
        <v>Calaris 550 SC 10 X 1 ltr459010</v>
      </c>
      <c r="B81" t="str">
        <f>VLOOKUP(A81,db_masterBarang!A:C,2,0)</f>
        <v>ID323</v>
      </c>
      <c r="C81" t="s">
        <v>14706</v>
      </c>
      <c r="D81" t="s">
        <v>12227</v>
      </c>
      <c r="E81" t="s">
        <v>437</v>
      </c>
      <c r="F81" s="3">
        <v>45901</v>
      </c>
      <c r="G81" s="6">
        <v>0</v>
      </c>
      <c r="H81">
        <v>150</v>
      </c>
    </row>
    <row r="82" spans="1:8" hidden="1">
      <c r="A82" t="str">
        <f t="shared" si="1"/>
        <v>Calaris 550 SC 20 X 250 ml460540</v>
      </c>
      <c r="B82" t="str">
        <f>VLOOKUP(A82,db_masterBarang!A:C,2,0)</f>
        <v>ID325</v>
      </c>
      <c r="C82" t="s">
        <v>14708</v>
      </c>
      <c r="D82" t="s">
        <v>12229</v>
      </c>
      <c r="E82" t="s">
        <v>440</v>
      </c>
      <c r="F82" s="3">
        <v>46054</v>
      </c>
      <c r="G82" s="6">
        <v>0</v>
      </c>
      <c r="H82">
        <v>20</v>
      </c>
    </row>
    <row r="83" spans="1:8" hidden="1">
      <c r="A83" t="str">
        <f t="shared" si="1"/>
        <v>Calaris 550 SC 20 X 250 ml460540</v>
      </c>
      <c r="B83" t="str">
        <f>VLOOKUP(A83,db_masterBarang!A:C,2,0)</f>
        <v>ID325</v>
      </c>
      <c r="C83" t="s">
        <v>14708</v>
      </c>
      <c r="D83" t="s">
        <v>12229</v>
      </c>
      <c r="E83" t="s">
        <v>440</v>
      </c>
      <c r="F83" s="3">
        <v>46054</v>
      </c>
      <c r="G83" s="6">
        <v>0</v>
      </c>
      <c r="H83">
        <v>300</v>
      </c>
    </row>
    <row r="84" spans="1:8" hidden="1">
      <c r="A84" t="str">
        <f t="shared" si="1"/>
        <v>Calaris 550 SC 20 X 250 ml460540</v>
      </c>
      <c r="B84" t="str">
        <f>VLOOKUP(A84,db_masterBarang!A:C,2,0)</f>
        <v>ID325</v>
      </c>
      <c r="C84" t="s">
        <v>14708</v>
      </c>
      <c r="D84" t="s">
        <v>12229</v>
      </c>
      <c r="E84" t="s">
        <v>440</v>
      </c>
      <c r="F84" s="3">
        <v>46054</v>
      </c>
      <c r="G84" s="6">
        <v>0</v>
      </c>
      <c r="H84">
        <v>300</v>
      </c>
    </row>
    <row r="85" spans="1:8" hidden="1">
      <c r="A85" t="str">
        <f t="shared" si="1"/>
        <v>Calaris 550 SC 20 X 500 ml459010</v>
      </c>
      <c r="B85" t="str">
        <f>VLOOKUP(A85,db_masterBarang!A:C,2,0)</f>
        <v>ID326</v>
      </c>
      <c r="C85" t="s">
        <v>14709</v>
      </c>
      <c r="D85" t="s">
        <v>12230</v>
      </c>
      <c r="E85" t="s">
        <v>448</v>
      </c>
      <c r="F85" s="3">
        <v>45901</v>
      </c>
      <c r="G85" s="6">
        <v>0</v>
      </c>
      <c r="H85">
        <v>20</v>
      </c>
    </row>
    <row r="86" spans="1:8" hidden="1">
      <c r="A86" t="str">
        <f t="shared" si="1"/>
        <v>Calaris 550 SC 20 X 500 ml459010</v>
      </c>
      <c r="B86" t="str">
        <f>VLOOKUP(A86,db_masterBarang!A:C,2,0)</f>
        <v>ID326</v>
      </c>
      <c r="C86" t="s">
        <v>14709</v>
      </c>
      <c r="D86" t="s">
        <v>12230</v>
      </c>
      <c r="E86" t="s">
        <v>448</v>
      </c>
      <c r="F86" s="3">
        <v>45901</v>
      </c>
      <c r="G86" s="6">
        <v>0</v>
      </c>
      <c r="H86">
        <v>300</v>
      </c>
    </row>
    <row r="87" spans="1:8" hidden="1">
      <c r="A87" t="str">
        <f t="shared" si="1"/>
        <v>Castora 40 SP 10 X 10 X 100 gr465690</v>
      </c>
      <c r="B87" t="str">
        <f>VLOOKUP(A87,db_masterBarang!A:C,2,0)</f>
        <v>ID343</v>
      </c>
      <c r="C87" t="s">
        <v>14726</v>
      </c>
      <c r="D87" t="s">
        <v>12247</v>
      </c>
      <c r="E87" t="s">
        <v>476</v>
      </c>
      <c r="F87" s="3">
        <v>46569</v>
      </c>
      <c r="G87" s="6">
        <v>0</v>
      </c>
      <c r="H87">
        <v>100</v>
      </c>
    </row>
    <row r="88" spans="1:8" hidden="1">
      <c r="A88" t="str">
        <f t="shared" si="1"/>
        <v>Castora 40 SP 10 X 10 X 100 gr465690</v>
      </c>
      <c r="B88" t="str">
        <f>VLOOKUP(A88,db_masterBarang!A:C,2,0)</f>
        <v>ID343</v>
      </c>
      <c r="C88" t="s">
        <v>14726</v>
      </c>
      <c r="D88" t="s">
        <v>12247</v>
      </c>
      <c r="E88" t="s">
        <v>476</v>
      </c>
      <c r="F88" s="3">
        <v>46569</v>
      </c>
      <c r="G88" s="6">
        <v>0</v>
      </c>
      <c r="H88">
        <v>20</v>
      </c>
    </row>
    <row r="89" spans="1:8" hidden="1">
      <c r="A89" t="str">
        <f t="shared" si="1"/>
        <v>Castora 40 SP 8 X 50 X 15 gr466000</v>
      </c>
      <c r="B89" t="str">
        <f>VLOOKUP(A89,db_masterBarang!A:C,2,0)</f>
        <v>ID345</v>
      </c>
      <c r="C89" t="s">
        <v>14728</v>
      </c>
      <c r="D89" t="s">
        <v>12249</v>
      </c>
      <c r="E89" t="s">
        <v>478</v>
      </c>
      <c r="F89" s="3">
        <v>46600</v>
      </c>
      <c r="G89" s="6">
        <v>0</v>
      </c>
      <c r="H89">
        <v>100</v>
      </c>
    </row>
    <row r="90" spans="1:8" hidden="1">
      <c r="A90" t="str">
        <f t="shared" si="1"/>
        <v>Contac Nil 75 WP 16 X 500 gr466610</v>
      </c>
      <c r="B90" t="str">
        <f>VLOOKUP(A90,db_masterBarang!A:C,2,0)</f>
        <v>ID372</v>
      </c>
      <c r="C90" t="s">
        <v>14755</v>
      </c>
      <c r="D90" t="s">
        <v>12276</v>
      </c>
      <c r="E90" t="s">
        <v>505</v>
      </c>
      <c r="F90" s="3">
        <v>46661</v>
      </c>
      <c r="G90" s="6">
        <v>0</v>
      </c>
      <c r="H90">
        <v>16</v>
      </c>
    </row>
    <row r="91" spans="1:8" hidden="1">
      <c r="A91" t="str">
        <f t="shared" si="1"/>
        <v>Corida 50 SC 40 X 250 ml470580</v>
      </c>
      <c r="B91" t="str">
        <f>VLOOKUP(A91,db_masterBarang!A:C,2,0)</f>
        <v>ID376</v>
      </c>
      <c r="C91" t="s">
        <v>14759</v>
      </c>
      <c r="D91" t="s">
        <v>12280</v>
      </c>
      <c r="E91" t="s">
        <v>508</v>
      </c>
      <c r="F91" s="3">
        <v>47058</v>
      </c>
      <c r="G91" s="6">
        <v>0</v>
      </c>
      <c r="H91">
        <v>40</v>
      </c>
    </row>
    <row r="92" spans="1:8" hidden="1">
      <c r="A92" t="str">
        <f t="shared" si="1"/>
        <v>Curacron 500 EC 20 X 500 ml457480</v>
      </c>
      <c r="B92" t="str">
        <f>VLOOKUP(A92,db_masterBarang!A:C,2,0)</f>
        <v>ID384</v>
      </c>
      <c r="C92" t="s">
        <v>14767</v>
      </c>
      <c r="D92" t="s">
        <v>12288</v>
      </c>
      <c r="E92" t="s">
        <v>519</v>
      </c>
      <c r="F92" s="3">
        <v>45748</v>
      </c>
      <c r="G92" s="6">
        <v>0</v>
      </c>
      <c r="H92">
        <v>60</v>
      </c>
    </row>
    <row r="93" spans="1:8" hidden="1">
      <c r="A93" t="str">
        <f t="shared" si="1"/>
        <v>Curacron 500 EC 20 X 500 ml456890</v>
      </c>
      <c r="B93" t="str">
        <f>VLOOKUP(A93,db_masterBarang!A:C,2,0)</f>
        <v>ID383</v>
      </c>
      <c r="C93" t="s">
        <v>14766</v>
      </c>
      <c r="D93" t="s">
        <v>12287</v>
      </c>
      <c r="E93" t="s">
        <v>519</v>
      </c>
      <c r="F93" s="3">
        <v>45689</v>
      </c>
      <c r="G93" s="6">
        <v>0</v>
      </c>
      <c r="H93">
        <v>1</v>
      </c>
    </row>
    <row r="94" spans="1:8" hidden="1">
      <c r="A94" t="str">
        <f t="shared" si="1"/>
        <v>Curacron 500 EC 20 X 500 ml456890</v>
      </c>
      <c r="B94" t="str">
        <f>VLOOKUP(A94,db_masterBarang!A:C,2,0)</f>
        <v>ID383</v>
      </c>
      <c r="C94" t="s">
        <v>14766</v>
      </c>
      <c r="D94" t="s">
        <v>12287</v>
      </c>
      <c r="E94" t="s">
        <v>519</v>
      </c>
      <c r="F94" s="3">
        <v>45689</v>
      </c>
      <c r="G94" s="6">
        <v>0</v>
      </c>
      <c r="H94">
        <v>4</v>
      </c>
    </row>
    <row r="95" spans="1:8" hidden="1">
      <c r="A95" t="str">
        <f t="shared" si="1"/>
        <v>Curacron 500 EC 40 X 250 ml456890</v>
      </c>
      <c r="B95" t="str">
        <f>VLOOKUP(A95,db_masterBarang!A:C,2,0)</f>
        <v>ID385</v>
      </c>
      <c r="C95" t="s">
        <v>14768</v>
      </c>
      <c r="D95" t="s">
        <v>12289</v>
      </c>
      <c r="E95" t="s">
        <v>522</v>
      </c>
      <c r="F95" s="3">
        <v>45689</v>
      </c>
      <c r="G95" s="6">
        <v>0</v>
      </c>
      <c r="H95">
        <v>200</v>
      </c>
    </row>
    <row r="96" spans="1:8" hidden="1">
      <c r="A96" t="str">
        <f t="shared" si="1"/>
        <v>Curacron 500 EC 40 X 250 ml456890</v>
      </c>
      <c r="B96" t="str">
        <f>VLOOKUP(A96,db_masterBarang!A:C,2,0)</f>
        <v>ID385</v>
      </c>
      <c r="C96" t="s">
        <v>14768</v>
      </c>
      <c r="D96" t="s">
        <v>12289</v>
      </c>
      <c r="E96" t="s">
        <v>522</v>
      </c>
      <c r="F96" s="3">
        <v>45689</v>
      </c>
      <c r="G96" s="6">
        <v>0</v>
      </c>
      <c r="H96">
        <v>40</v>
      </c>
    </row>
    <row r="97" spans="1:8" hidden="1">
      <c r="A97" t="str">
        <f t="shared" si="1"/>
        <v>Curacron 500 EC 40 X 250 ml456890</v>
      </c>
      <c r="B97" t="str">
        <f>VLOOKUP(A97,db_masterBarang!A:C,2,0)</f>
        <v>ID385</v>
      </c>
      <c r="C97" t="s">
        <v>14768</v>
      </c>
      <c r="D97" t="s">
        <v>12289</v>
      </c>
      <c r="E97" t="s">
        <v>522</v>
      </c>
      <c r="F97" s="3">
        <v>45689</v>
      </c>
      <c r="G97" s="6">
        <v>0</v>
      </c>
      <c r="H97">
        <v>200</v>
      </c>
    </row>
    <row r="98" spans="1:8" hidden="1">
      <c r="A98" t="str">
        <f t="shared" si="1"/>
        <v>Curacron 500 EC 40 X 250 ml456890</v>
      </c>
      <c r="B98" t="str">
        <f>VLOOKUP(A98,db_masterBarang!A:C,2,0)</f>
        <v>ID385</v>
      </c>
      <c r="C98" t="s">
        <v>14768</v>
      </c>
      <c r="D98" t="s">
        <v>12289</v>
      </c>
      <c r="E98" t="s">
        <v>522</v>
      </c>
      <c r="F98" s="3">
        <v>45689</v>
      </c>
      <c r="G98" s="6">
        <v>0</v>
      </c>
      <c r="H98">
        <v>10</v>
      </c>
    </row>
    <row r="99" spans="1:8" hidden="1">
      <c r="A99" t="str">
        <f t="shared" si="1"/>
        <v>Curaterr 3 GR 10 X 2 kg463880</v>
      </c>
      <c r="B99" t="str">
        <f>VLOOKUP(A99,db_masterBarang!A:C,2,0)</f>
        <v>ID386</v>
      </c>
      <c r="C99" t="s">
        <v>14769</v>
      </c>
      <c r="D99" t="s">
        <v>12290</v>
      </c>
      <c r="E99" t="s">
        <v>526</v>
      </c>
      <c r="F99" s="3">
        <v>46388</v>
      </c>
      <c r="G99" s="6">
        <v>0</v>
      </c>
      <c r="H99">
        <v>500</v>
      </c>
    </row>
    <row r="100" spans="1:8" hidden="1">
      <c r="A100" t="str">
        <f t="shared" si="1"/>
        <v>Decis 2.5 EC 100 X 100 ml468440</v>
      </c>
      <c r="B100" t="str">
        <f>VLOOKUP(A100,db_masterBarang!A:C,2,0)</f>
        <v>ID402</v>
      </c>
      <c r="C100" t="s">
        <v>14785</v>
      </c>
      <c r="D100" t="s">
        <v>12306</v>
      </c>
      <c r="E100" t="s">
        <v>544</v>
      </c>
      <c r="F100" s="3">
        <v>46844</v>
      </c>
      <c r="G100" s="6">
        <v>0</v>
      </c>
      <c r="H100">
        <v>100</v>
      </c>
    </row>
    <row r="101" spans="1:8" hidden="1">
      <c r="A101" t="str">
        <f t="shared" si="1"/>
        <v>Decis 2.5 EC 100 X 50 ml468740</v>
      </c>
      <c r="B101" t="str">
        <f>VLOOKUP(A101,db_masterBarang!A:C,2,0)</f>
        <v>ID403</v>
      </c>
      <c r="C101" t="s">
        <v>14786</v>
      </c>
      <c r="D101" t="s">
        <v>12307</v>
      </c>
      <c r="E101" t="s">
        <v>547</v>
      </c>
      <c r="F101" s="3">
        <v>46874</v>
      </c>
      <c r="G101" s="6">
        <v>0</v>
      </c>
      <c r="H101">
        <v>500</v>
      </c>
    </row>
    <row r="102" spans="1:8" hidden="1">
      <c r="A102" t="str">
        <f t="shared" si="1"/>
        <v>Decis 2.5 EC 100 X 50 ml468740</v>
      </c>
      <c r="B102" t="str">
        <f>VLOOKUP(A102,db_masterBarang!A:C,2,0)</f>
        <v>ID403</v>
      </c>
      <c r="C102" t="s">
        <v>14786</v>
      </c>
      <c r="D102" t="s">
        <v>12307</v>
      </c>
      <c r="E102" t="s">
        <v>547</v>
      </c>
      <c r="F102" s="3">
        <v>46874</v>
      </c>
      <c r="G102" s="6">
        <v>0</v>
      </c>
      <c r="H102">
        <v>100</v>
      </c>
    </row>
    <row r="103" spans="1:8" hidden="1">
      <c r="A103" t="str">
        <f t="shared" si="1"/>
        <v>Decis 2.5 EC 100 X 50 ml468740</v>
      </c>
      <c r="B103" t="str">
        <f>VLOOKUP(A103,db_masterBarang!A:C,2,0)</f>
        <v>ID403</v>
      </c>
      <c r="C103" t="s">
        <v>14786</v>
      </c>
      <c r="D103" t="s">
        <v>12307</v>
      </c>
      <c r="E103" t="s">
        <v>547</v>
      </c>
      <c r="F103" s="3">
        <v>46874</v>
      </c>
      <c r="G103" s="6">
        <v>0</v>
      </c>
      <c r="H103">
        <v>200</v>
      </c>
    </row>
    <row r="104" spans="1:8" hidden="1">
      <c r="A104" t="str">
        <f t="shared" si="1"/>
        <v>Decis 2.5 EC 100 X 50 ml468740</v>
      </c>
      <c r="B104" t="str">
        <f>VLOOKUP(A104,db_masterBarang!A:C,2,0)</f>
        <v>ID403</v>
      </c>
      <c r="C104" t="s">
        <v>14786</v>
      </c>
      <c r="D104" t="s">
        <v>12307</v>
      </c>
      <c r="E104" t="s">
        <v>547</v>
      </c>
      <c r="F104" s="3">
        <v>46874</v>
      </c>
      <c r="G104" s="6">
        <v>0</v>
      </c>
      <c r="H104">
        <v>200</v>
      </c>
    </row>
    <row r="105" spans="1:8" hidden="1">
      <c r="A105" t="str">
        <f t="shared" si="1"/>
        <v>Decis 2.5 EC 40 X 250 ml467840</v>
      </c>
      <c r="B105" t="str">
        <f>VLOOKUP(A105,db_masterBarang!A:C,2,0)</f>
        <v>ID405</v>
      </c>
      <c r="C105" t="s">
        <v>14788</v>
      </c>
      <c r="D105" t="s">
        <v>12309</v>
      </c>
      <c r="E105" t="s">
        <v>554</v>
      </c>
      <c r="F105" s="3">
        <v>46784</v>
      </c>
      <c r="G105" s="6">
        <v>0</v>
      </c>
      <c r="H105">
        <v>40</v>
      </c>
    </row>
    <row r="106" spans="1:8" hidden="1">
      <c r="A106" t="str">
        <f t="shared" si="1"/>
        <v>Dekamon 22.43 L 12 X 1 ltr461740</v>
      </c>
      <c r="B106" t="str">
        <f>VLOOKUP(A106,db_masterBarang!A:C,2,0)</f>
        <v>ID408</v>
      </c>
      <c r="C106" t="s">
        <v>14791</v>
      </c>
      <c r="D106" t="s">
        <v>12312</v>
      </c>
      <c r="E106" t="s">
        <v>561</v>
      </c>
      <c r="F106" s="3">
        <v>46174</v>
      </c>
      <c r="G106" s="6">
        <v>0</v>
      </c>
      <c r="H106">
        <v>60</v>
      </c>
    </row>
    <row r="107" spans="1:8" hidden="1">
      <c r="A107" t="str">
        <f t="shared" si="1"/>
        <v>Dekapirim 400 SC 20 X 500 ml461740</v>
      </c>
      <c r="B107" t="str">
        <f>VLOOKUP(A107,db_masterBarang!A:C,2,0)</f>
        <v>ID410</v>
      </c>
      <c r="C107" t="s">
        <v>14793</v>
      </c>
      <c r="D107" t="s">
        <v>12314</v>
      </c>
      <c r="E107" t="s">
        <v>563</v>
      </c>
      <c r="F107" s="3">
        <v>46174</v>
      </c>
      <c r="G107" s="6">
        <v>0</v>
      </c>
      <c r="H107">
        <v>7</v>
      </c>
    </row>
    <row r="108" spans="1:8" hidden="1">
      <c r="A108" t="str">
        <f t="shared" si="1"/>
        <v>Dektin 30 WG 50 X 50 gr462350</v>
      </c>
      <c r="B108" t="str">
        <f>VLOOKUP(A108,db_masterBarang!A:C,2,0)</f>
        <v>ID415</v>
      </c>
      <c r="C108" t="s">
        <v>14798</v>
      </c>
      <c r="D108" t="s">
        <v>12319</v>
      </c>
      <c r="E108" t="s">
        <v>573</v>
      </c>
      <c r="F108" s="3">
        <v>46235</v>
      </c>
      <c r="G108" s="6">
        <v>0</v>
      </c>
      <c r="H108">
        <v>10</v>
      </c>
    </row>
    <row r="109" spans="1:8" hidden="1">
      <c r="A109" t="str">
        <f t="shared" si="1"/>
        <v>Desanto 200 SL 40 X 250 ml469350</v>
      </c>
      <c r="B109" t="str">
        <f>VLOOKUP(A109,db_masterBarang!A:C,2,0)</f>
        <v>ID429</v>
      </c>
      <c r="C109" t="s">
        <v>14812</v>
      </c>
      <c r="D109" t="s">
        <v>12333</v>
      </c>
      <c r="E109" t="s">
        <v>588</v>
      </c>
      <c r="F109" s="3">
        <v>46935</v>
      </c>
      <c r="G109" s="6">
        <v>0</v>
      </c>
      <c r="H109">
        <v>80</v>
      </c>
    </row>
    <row r="110" spans="1:8" hidden="1">
      <c r="A110" t="str">
        <f t="shared" si="1"/>
        <v>Desanto 200 SL 40 X 250 ml469350</v>
      </c>
      <c r="B110" t="str">
        <f>VLOOKUP(A110,db_masterBarang!A:C,2,0)</f>
        <v>ID429</v>
      </c>
      <c r="C110" t="s">
        <v>14812</v>
      </c>
      <c r="D110" t="s">
        <v>12333</v>
      </c>
      <c r="E110" t="s">
        <v>588</v>
      </c>
      <c r="F110" s="3">
        <v>46935</v>
      </c>
      <c r="G110" s="6">
        <v>0</v>
      </c>
      <c r="H110">
        <v>160</v>
      </c>
    </row>
    <row r="111" spans="1:8" hidden="1">
      <c r="A111" t="str">
        <f t="shared" si="1"/>
        <v>DK Fenzo 120 SC 40 X 250 ml470880</v>
      </c>
      <c r="B111" t="str">
        <f>VLOOKUP(A111,db_masterBarang!A:C,2,0)</f>
        <v>ID446</v>
      </c>
      <c r="C111" t="s">
        <v>14829</v>
      </c>
      <c r="D111" t="s">
        <v>12350</v>
      </c>
      <c r="E111" t="s">
        <v>604</v>
      </c>
      <c r="F111" s="3">
        <v>47088</v>
      </c>
      <c r="G111" s="6">
        <v>0</v>
      </c>
      <c r="H111">
        <v>20</v>
      </c>
    </row>
    <row r="112" spans="1:8" hidden="1">
      <c r="A112" t="str">
        <f t="shared" si="1"/>
        <v>Edo 25 WG 100 X 100 gr469050</v>
      </c>
      <c r="B112" t="str">
        <f>VLOOKUP(A112,db_masterBarang!A:C,2,0)</f>
        <v>ID453</v>
      </c>
      <c r="C112" t="s">
        <v>14836</v>
      </c>
      <c r="D112" t="s">
        <v>12357</v>
      </c>
      <c r="E112" t="s">
        <v>612</v>
      </c>
      <c r="F112" s="3">
        <v>46905</v>
      </c>
      <c r="G112" s="6">
        <v>0</v>
      </c>
      <c r="H112">
        <v>300</v>
      </c>
    </row>
    <row r="113" spans="1:8" hidden="1">
      <c r="A113" t="str">
        <f t="shared" si="1"/>
        <v>Emacel 30 EC 40 X 250 ml462350</v>
      </c>
      <c r="B113" t="str">
        <f>VLOOKUP(A113,db_masterBarang!A:C,2,0)</f>
        <v>ID465</v>
      </c>
      <c r="C113" t="s">
        <v>14848</v>
      </c>
      <c r="D113" t="s">
        <v>12369</v>
      </c>
      <c r="E113" t="s">
        <v>621</v>
      </c>
      <c r="F113" s="3">
        <v>46235</v>
      </c>
      <c r="G113" s="6">
        <v>0</v>
      </c>
      <c r="H113">
        <v>200</v>
      </c>
    </row>
    <row r="114" spans="1:8" hidden="1">
      <c r="A114" t="str">
        <f t="shared" si="1"/>
        <v>Emacel 30 EC 40 X 250 ml462350</v>
      </c>
      <c r="B114" t="str">
        <f>VLOOKUP(A114,db_masterBarang!A:C,2,0)</f>
        <v>ID465</v>
      </c>
      <c r="C114" t="s">
        <v>14848</v>
      </c>
      <c r="D114" t="s">
        <v>12369</v>
      </c>
      <c r="E114" t="s">
        <v>621</v>
      </c>
      <c r="F114" s="3">
        <v>46235</v>
      </c>
      <c r="G114" s="6">
        <v>0</v>
      </c>
      <c r="H114">
        <v>40</v>
      </c>
    </row>
    <row r="115" spans="1:8" hidden="1">
      <c r="A115" t="str">
        <f t="shared" si="1"/>
        <v>Emacel 30 EC 40 X 250 ml462350</v>
      </c>
      <c r="B115" t="str">
        <f>VLOOKUP(A115,db_masterBarang!A:C,2,0)</f>
        <v>ID465</v>
      </c>
      <c r="C115" t="s">
        <v>14848</v>
      </c>
      <c r="D115" t="s">
        <v>12369</v>
      </c>
      <c r="E115" t="s">
        <v>621</v>
      </c>
      <c r="F115" s="3">
        <v>46235</v>
      </c>
      <c r="G115" s="6">
        <v>0</v>
      </c>
      <c r="H115">
        <v>5</v>
      </c>
    </row>
    <row r="116" spans="1:8" hidden="1">
      <c r="A116" t="str">
        <f t="shared" si="1"/>
        <v>Emacel 30 EC 40 X 250 ml462350</v>
      </c>
      <c r="B116" t="str">
        <f>VLOOKUP(A116,db_masterBarang!A:C,2,0)</f>
        <v>ID465</v>
      </c>
      <c r="C116" t="s">
        <v>14848</v>
      </c>
      <c r="D116" t="s">
        <v>12369</v>
      </c>
      <c r="E116" t="s">
        <v>621</v>
      </c>
      <c r="F116" s="3">
        <v>46235</v>
      </c>
      <c r="G116" s="6">
        <v>0</v>
      </c>
      <c r="H116">
        <v>5</v>
      </c>
    </row>
    <row r="117" spans="1:8" hidden="1">
      <c r="A117" t="str">
        <f t="shared" si="1"/>
        <v>Emacel 30 EC 40 X 250 ml462350</v>
      </c>
      <c r="B117" t="str">
        <f>VLOOKUP(A117,db_masterBarang!A:C,2,0)</f>
        <v>ID465</v>
      </c>
      <c r="C117" t="s">
        <v>14848</v>
      </c>
      <c r="D117" t="s">
        <v>12369</v>
      </c>
      <c r="E117" t="s">
        <v>621</v>
      </c>
      <c r="F117" s="3">
        <v>46235</v>
      </c>
      <c r="G117" s="6">
        <v>0</v>
      </c>
      <c r="H117">
        <v>15</v>
      </c>
    </row>
    <row r="118" spans="1:8" hidden="1">
      <c r="A118" t="str">
        <f t="shared" si="1"/>
        <v>Emacel 30 EC 40 X 250 ml462350</v>
      </c>
      <c r="B118" t="str">
        <f>VLOOKUP(A118,db_masterBarang!A:C,2,0)</f>
        <v>ID465</v>
      </c>
      <c r="C118" t="s">
        <v>14848</v>
      </c>
      <c r="D118" t="s">
        <v>12369</v>
      </c>
      <c r="E118" t="s">
        <v>621</v>
      </c>
      <c r="F118" s="3">
        <v>46235</v>
      </c>
      <c r="G118" s="6">
        <v>0</v>
      </c>
      <c r="H118">
        <v>40</v>
      </c>
    </row>
    <row r="119" spans="1:8" hidden="1">
      <c r="A119" t="str">
        <f t="shared" si="1"/>
        <v>Emacel 30 EC 50 X 100 ml462660</v>
      </c>
      <c r="B119" t="str">
        <f>VLOOKUP(A119,db_masterBarang!A:C,2,0)</f>
        <v>ID466</v>
      </c>
      <c r="C119" t="s">
        <v>14849</v>
      </c>
      <c r="D119" t="s">
        <v>12370</v>
      </c>
      <c r="E119" t="s">
        <v>622</v>
      </c>
      <c r="F119" s="3">
        <v>46266</v>
      </c>
      <c r="G119" s="6">
        <v>0</v>
      </c>
      <c r="H119">
        <v>250</v>
      </c>
    </row>
    <row r="120" spans="1:8" hidden="1">
      <c r="A120" t="str">
        <f t="shared" si="1"/>
        <v>Emacel 30 EC 50 X 100 ml462660</v>
      </c>
      <c r="B120" t="str">
        <f>VLOOKUP(A120,db_masterBarang!A:C,2,0)</f>
        <v>ID466</v>
      </c>
      <c r="C120" t="s">
        <v>14849</v>
      </c>
      <c r="D120" t="s">
        <v>12370</v>
      </c>
      <c r="E120" t="s">
        <v>622</v>
      </c>
      <c r="F120" s="3">
        <v>46266</v>
      </c>
      <c r="G120" s="6">
        <v>0</v>
      </c>
      <c r="H120">
        <v>10</v>
      </c>
    </row>
    <row r="121" spans="1:8" hidden="1">
      <c r="A121" t="str">
        <f t="shared" si="1"/>
        <v>Emacel 30 EC 50 X 100 ml462660</v>
      </c>
      <c r="B121" t="str">
        <f>VLOOKUP(A121,db_masterBarang!A:C,2,0)</f>
        <v>ID466</v>
      </c>
      <c r="C121" t="s">
        <v>14849</v>
      </c>
      <c r="D121" t="s">
        <v>12370</v>
      </c>
      <c r="E121" t="s">
        <v>622</v>
      </c>
      <c r="F121" s="3">
        <v>46266</v>
      </c>
      <c r="G121" s="6">
        <v>0</v>
      </c>
      <c r="H121">
        <v>20</v>
      </c>
    </row>
    <row r="122" spans="1:8" hidden="1">
      <c r="A122" t="str">
        <f t="shared" si="1"/>
        <v>Ethrel 480 SL 100 X 100 ml465390</v>
      </c>
      <c r="B122" t="str">
        <f>VLOOKUP(A122,db_masterBarang!A:C,2,0)</f>
        <v>ID485</v>
      </c>
      <c r="C122" t="s">
        <v>14868</v>
      </c>
      <c r="D122" t="s">
        <v>12389</v>
      </c>
      <c r="E122" t="s">
        <v>635</v>
      </c>
      <c r="F122" s="3">
        <v>46539</v>
      </c>
      <c r="G122" s="6">
        <v>0</v>
      </c>
      <c r="H122">
        <v>100</v>
      </c>
    </row>
    <row r="123" spans="1:8" hidden="1">
      <c r="A123" t="str">
        <f t="shared" si="1"/>
        <v>Filia 525 SE 100 X 50 ml460540</v>
      </c>
      <c r="B123" t="str">
        <f>VLOOKUP(A123,db_masterBarang!A:C,2,0)</f>
        <v>ID510</v>
      </c>
      <c r="C123" t="s">
        <v>14893</v>
      </c>
      <c r="D123" t="s">
        <v>12414</v>
      </c>
      <c r="E123" t="s">
        <v>656</v>
      </c>
      <c r="F123" s="3">
        <v>46054</v>
      </c>
      <c r="G123" s="6">
        <v>0</v>
      </c>
      <c r="H123">
        <v>500</v>
      </c>
    </row>
    <row r="124" spans="1:8" hidden="1">
      <c r="A124" t="str">
        <f t="shared" si="1"/>
        <v>Filia 525 SE 20 X 250 ml463270</v>
      </c>
      <c r="B124" t="str">
        <f>VLOOKUP(A124,db_masterBarang!A:C,2,0)</f>
        <v>ID511</v>
      </c>
      <c r="C124" t="s">
        <v>14894</v>
      </c>
      <c r="D124" t="s">
        <v>12415</v>
      </c>
      <c r="E124" t="s">
        <v>660</v>
      </c>
      <c r="F124" s="3">
        <v>46327</v>
      </c>
      <c r="G124" s="6">
        <v>0</v>
      </c>
      <c r="H124">
        <v>100</v>
      </c>
    </row>
    <row r="125" spans="1:8" hidden="1">
      <c r="A125" t="str">
        <f t="shared" si="1"/>
        <v>Filia 525 SE 20 X 250 ml463270</v>
      </c>
      <c r="B125" t="str">
        <f>VLOOKUP(A125,db_masterBarang!A:C,2,0)</f>
        <v>ID511</v>
      </c>
      <c r="C125" t="s">
        <v>14894</v>
      </c>
      <c r="D125" t="s">
        <v>12415</v>
      </c>
      <c r="E125" t="s">
        <v>660</v>
      </c>
      <c r="F125" s="3">
        <v>46327</v>
      </c>
      <c r="G125" s="6">
        <v>0</v>
      </c>
      <c r="H125">
        <v>1200</v>
      </c>
    </row>
    <row r="126" spans="1:8" hidden="1">
      <c r="A126" t="str">
        <f t="shared" si="1"/>
        <v>Filia 525 SE 20 X 250 ml463270</v>
      </c>
      <c r="B126" t="str">
        <f>VLOOKUP(A126,db_masterBarang!A:C,2,0)</f>
        <v>ID511</v>
      </c>
      <c r="C126" t="s">
        <v>14894</v>
      </c>
      <c r="D126" t="s">
        <v>12415</v>
      </c>
      <c r="E126" t="s">
        <v>660</v>
      </c>
      <c r="F126" s="3">
        <v>46327</v>
      </c>
      <c r="G126" s="6">
        <v>0</v>
      </c>
      <c r="H126">
        <v>260</v>
      </c>
    </row>
    <row r="127" spans="1:8" hidden="1">
      <c r="A127" t="str">
        <f t="shared" si="1"/>
        <v>Filia 525 SE 20 X 250 ml463270</v>
      </c>
      <c r="B127" t="str">
        <f>VLOOKUP(A127,db_masterBarang!A:C,2,0)</f>
        <v>ID511</v>
      </c>
      <c r="C127" t="s">
        <v>14894</v>
      </c>
      <c r="D127" t="s">
        <v>12415</v>
      </c>
      <c r="E127" t="s">
        <v>660</v>
      </c>
      <c r="F127" s="3">
        <v>46327</v>
      </c>
      <c r="G127" s="6">
        <v>0</v>
      </c>
      <c r="H127">
        <v>400</v>
      </c>
    </row>
    <row r="128" spans="1:8" hidden="1">
      <c r="A128" t="str">
        <f t="shared" si="1"/>
        <v>Folirfos 400 SL 15 X 1 ltr470580</v>
      </c>
      <c r="B128" t="str">
        <f>VLOOKUP(A128,db_masterBarang!A:C,2,0)</f>
        <v>ID516</v>
      </c>
      <c r="C128" t="s">
        <v>14899</v>
      </c>
      <c r="D128" t="s">
        <v>12420</v>
      </c>
      <c r="E128" t="s">
        <v>666</v>
      </c>
      <c r="F128" s="3">
        <v>47058</v>
      </c>
      <c r="G128" s="6">
        <v>0</v>
      </c>
      <c r="H128">
        <v>30</v>
      </c>
    </row>
    <row r="129" spans="1:8" hidden="1">
      <c r="A129" t="str">
        <f t="shared" si="1"/>
        <v>Gibgro 20 T 25 X 10 X 5 gr472390</v>
      </c>
      <c r="B129" t="str">
        <f>VLOOKUP(A129,db_masterBarang!A:C,2,0)</f>
        <v>ID598</v>
      </c>
      <c r="C129" t="s">
        <v>14981</v>
      </c>
      <c r="D129" t="s">
        <v>12502</v>
      </c>
      <c r="E129" t="s">
        <v>755</v>
      </c>
      <c r="F129" s="3">
        <v>47239</v>
      </c>
      <c r="G129" s="6">
        <v>0</v>
      </c>
      <c r="H129">
        <v>250</v>
      </c>
    </row>
    <row r="130" spans="1:8" hidden="1">
      <c r="A130" t="str">
        <f t="shared" si="1"/>
        <v>Goal 240 EC 50 X 100 ml471500</v>
      </c>
      <c r="B130" t="str">
        <f>VLOOKUP(A130,db_masterBarang!A:C,2,0)</f>
        <v>ID609</v>
      </c>
      <c r="C130" t="s">
        <v>14992</v>
      </c>
      <c r="D130" t="s">
        <v>12513</v>
      </c>
      <c r="E130" t="s">
        <v>766</v>
      </c>
      <c r="F130" s="3">
        <v>47150</v>
      </c>
      <c r="G130" s="6">
        <v>0</v>
      </c>
      <c r="H130">
        <v>50</v>
      </c>
    </row>
    <row r="131" spans="1:8" hidden="1">
      <c r="A131" t="str">
        <f t="shared" ref="A131:A194" si="2">E131&amp;F131&amp;G131</f>
        <v>Goal 240 EC 50 X 100 ml471500</v>
      </c>
      <c r="B131" t="str">
        <f>VLOOKUP(A131,db_masterBarang!A:C,2,0)</f>
        <v>ID609</v>
      </c>
      <c r="C131" t="s">
        <v>14992</v>
      </c>
      <c r="D131" t="s">
        <v>12513</v>
      </c>
      <c r="E131" t="s">
        <v>766</v>
      </c>
      <c r="F131" s="3">
        <v>47150</v>
      </c>
      <c r="G131" s="6">
        <v>0</v>
      </c>
      <c r="H131">
        <v>250</v>
      </c>
    </row>
    <row r="132" spans="1:8" hidden="1">
      <c r="A132" t="str">
        <f t="shared" si="2"/>
        <v>Goal 240 EC 50 X 100 ml471500</v>
      </c>
      <c r="B132" t="str">
        <f>VLOOKUP(A132,db_masterBarang!A:C,2,0)</f>
        <v>ID609</v>
      </c>
      <c r="C132" t="s">
        <v>14992</v>
      </c>
      <c r="D132" t="s">
        <v>12513</v>
      </c>
      <c r="E132" t="s">
        <v>766</v>
      </c>
      <c r="F132" s="3">
        <v>47150</v>
      </c>
      <c r="G132" s="6">
        <v>0</v>
      </c>
      <c r="H132">
        <v>500</v>
      </c>
    </row>
    <row r="133" spans="1:8" hidden="1">
      <c r="A133" t="str">
        <f t="shared" si="2"/>
        <v>Ijokabe 12 X 25 X 20 ml466920</v>
      </c>
      <c r="B133" t="str">
        <f>VLOOKUP(A133,db_masterBarang!A:C,2,0)</f>
        <v>ID669</v>
      </c>
      <c r="C133" t="s">
        <v>15052</v>
      </c>
      <c r="D133" t="s">
        <v>12573</v>
      </c>
      <c r="E133" t="s">
        <v>819</v>
      </c>
      <c r="F133" s="3">
        <v>46692</v>
      </c>
      <c r="G133" s="6">
        <v>0</v>
      </c>
      <c r="H133">
        <v>125</v>
      </c>
    </row>
    <row r="134" spans="1:8" hidden="1">
      <c r="A134" t="str">
        <f t="shared" si="2"/>
        <v>Insure Max 510 FS 100 X 25 ml464190</v>
      </c>
      <c r="B134" t="str">
        <f>VLOOKUP(A134,db_masterBarang!A:C,2,0)</f>
        <v>ID676</v>
      </c>
      <c r="C134" t="s">
        <v>15059</v>
      </c>
      <c r="D134" t="s">
        <v>12580</v>
      </c>
      <c r="E134" t="s">
        <v>825</v>
      </c>
      <c r="F134" s="3">
        <v>46419</v>
      </c>
      <c r="G134" s="6">
        <v>0</v>
      </c>
      <c r="H134">
        <v>100</v>
      </c>
    </row>
    <row r="135" spans="1:8" hidden="1">
      <c r="A135" t="str">
        <f t="shared" si="2"/>
        <v>Japra 400 SE 30 X 500 ml (M2U)+2 pcs Borer462350</v>
      </c>
      <c r="B135" t="str">
        <f>VLOOKUP(A135,db_masterBarang!A:C,2,0)</f>
        <v>ID692</v>
      </c>
      <c r="C135" t="s">
        <v>15075</v>
      </c>
      <c r="D135" t="s">
        <v>12596</v>
      </c>
      <c r="E135" t="s">
        <v>1036</v>
      </c>
      <c r="F135" s="3">
        <v>46235</v>
      </c>
      <c r="G135" s="6">
        <v>0</v>
      </c>
      <c r="H135">
        <v>150</v>
      </c>
    </row>
    <row r="136" spans="1:8" hidden="1">
      <c r="A136" t="str">
        <f t="shared" si="2"/>
        <v>Kaliandra 482 EC 10 X 1 ltr (AGM)471780</v>
      </c>
      <c r="B136" t="str">
        <f>VLOOKUP(A136,db_masterBarang!A:C,2,0)</f>
        <v>ID698</v>
      </c>
      <c r="C136" t="s">
        <v>15081</v>
      </c>
      <c r="D136" t="s">
        <v>12602</v>
      </c>
      <c r="E136" t="s">
        <v>1039</v>
      </c>
      <c r="F136" s="3">
        <v>47178</v>
      </c>
      <c r="G136" s="6">
        <v>0</v>
      </c>
      <c r="H136">
        <v>20</v>
      </c>
    </row>
    <row r="137" spans="1:8" hidden="1">
      <c r="A137" t="str">
        <f t="shared" si="2"/>
        <v>Lancer Gold 55 WG 100 X 100 gr458700</v>
      </c>
      <c r="B137" t="str">
        <f>VLOOKUP(A137,db_masterBarang!A:C,2,0)</f>
        <v>ID876</v>
      </c>
      <c r="C137" t="s">
        <v>15259</v>
      </c>
      <c r="D137" t="s">
        <v>12780</v>
      </c>
      <c r="E137" t="s">
        <v>1224</v>
      </c>
      <c r="F137" s="3">
        <v>45870</v>
      </c>
      <c r="G137" s="6">
        <v>0</v>
      </c>
      <c r="H137">
        <v>20</v>
      </c>
    </row>
    <row r="138" spans="1:8" hidden="1">
      <c r="A138" t="str">
        <f t="shared" si="2"/>
        <v>Lem Ajaib 50 X 100 ml464470</v>
      </c>
      <c r="B138" t="str">
        <f>VLOOKUP(A138,db_masterBarang!A:C,2,0)</f>
        <v>ID882</v>
      </c>
      <c r="C138" t="s">
        <v>15265</v>
      </c>
      <c r="D138" t="s">
        <v>12786</v>
      </c>
      <c r="E138" t="s">
        <v>1235</v>
      </c>
      <c r="F138" s="3">
        <v>46447</v>
      </c>
      <c r="G138" s="6">
        <v>0</v>
      </c>
      <c r="H138">
        <v>150</v>
      </c>
    </row>
    <row r="139" spans="1:8" hidden="1">
      <c r="A139" t="str">
        <f t="shared" si="2"/>
        <v>Lem Ajaib 50 X 50 ml464190</v>
      </c>
      <c r="B139" t="str">
        <f>VLOOKUP(A139,db_masterBarang!A:C,2,0)</f>
        <v>ID886</v>
      </c>
      <c r="C139" t="s">
        <v>15269</v>
      </c>
      <c r="D139" t="s">
        <v>12790</v>
      </c>
      <c r="E139" t="s">
        <v>1236</v>
      </c>
      <c r="F139" s="3">
        <v>46419</v>
      </c>
      <c r="G139" s="6">
        <v>0</v>
      </c>
      <c r="H139">
        <v>50</v>
      </c>
    </row>
    <row r="140" spans="1:8" hidden="1">
      <c r="A140" t="str">
        <f t="shared" si="2"/>
        <v>Liding 240 SC 48 X 200 ml458700</v>
      </c>
      <c r="B140" t="str">
        <f>VLOOKUP(A140,db_masterBarang!A:C,2,0)</f>
        <v>ID890</v>
      </c>
      <c r="C140" t="s">
        <v>15273</v>
      </c>
      <c r="D140" t="s">
        <v>12794</v>
      </c>
      <c r="E140" t="s">
        <v>1238</v>
      </c>
      <c r="F140" s="3">
        <v>45870</v>
      </c>
      <c r="G140" s="6">
        <v>0</v>
      </c>
      <c r="H140">
        <v>48</v>
      </c>
    </row>
    <row r="141" spans="1:8" hidden="1">
      <c r="A141" t="str">
        <f t="shared" si="2"/>
        <v>Liding 240 SC 48 X 200 ml458700</v>
      </c>
      <c r="B141" t="str">
        <f>VLOOKUP(A141,db_masterBarang!A:C,2,0)</f>
        <v>ID890</v>
      </c>
      <c r="C141" t="s">
        <v>15273</v>
      </c>
      <c r="D141" t="s">
        <v>12794</v>
      </c>
      <c r="E141" t="s">
        <v>1238</v>
      </c>
      <c r="F141" s="3">
        <v>45870</v>
      </c>
      <c r="G141" s="6">
        <v>0</v>
      </c>
      <c r="H141">
        <v>48</v>
      </c>
    </row>
    <row r="142" spans="1:8" hidden="1">
      <c r="A142" t="str">
        <f t="shared" si="2"/>
        <v>Maestro 200 EC 10 X 1 ltr471780</v>
      </c>
      <c r="B142" t="str">
        <f>VLOOKUP(A142,db_masterBarang!A:C,2,0)</f>
        <v>ID912</v>
      </c>
      <c r="C142" t="s">
        <v>15295</v>
      </c>
      <c r="D142" t="s">
        <v>12816</v>
      </c>
      <c r="E142" t="s">
        <v>1256</v>
      </c>
      <c r="F142" s="3">
        <v>47178</v>
      </c>
      <c r="G142" s="6">
        <v>0</v>
      </c>
      <c r="H142">
        <v>10</v>
      </c>
    </row>
    <row r="143" spans="1:8" hidden="1">
      <c r="A143" t="str">
        <f t="shared" si="2"/>
        <v>Maestro 200 EC 20 X 500 ml471190</v>
      </c>
      <c r="B143" t="str">
        <f>VLOOKUP(A143,db_masterBarang!A:C,2,0)</f>
        <v>ID913</v>
      </c>
      <c r="C143" t="s">
        <v>15296</v>
      </c>
      <c r="D143" t="s">
        <v>12817</v>
      </c>
      <c r="E143" t="s">
        <v>1257</v>
      </c>
      <c r="F143" s="3">
        <v>47119</v>
      </c>
      <c r="G143" s="6">
        <v>0</v>
      </c>
      <c r="H143">
        <v>40</v>
      </c>
    </row>
    <row r="144" spans="1:8" hidden="1">
      <c r="A144" t="str">
        <f t="shared" si="2"/>
        <v>Maestro 200 EC 20 X 500 ml471190</v>
      </c>
      <c r="B144" t="str">
        <f>VLOOKUP(A144,db_masterBarang!A:C,2,0)</f>
        <v>ID913</v>
      </c>
      <c r="C144" t="s">
        <v>15296</v>
      </c>
      <c r="D144" t="s">
        <v>12817</v>
      </c>
      <c r="E144" t="s">
        <v>1257</v>
      </c>
      <c r="F144" s="3">
        <v>47119</v>
      </c>
      <c r="G144" s="6">
        <v>0</v>
      </c>
      <c r="H144">
        <v>20</v>
      </c>
    </row>
    <row r="145" spans="1:8" hidden="1">
      <c r="A145" t="str">
        <f t="shared" si="2"/>
        <v>Magicxone 138 SL 20 X 1 ltr471500</v>
      </c>
      <c r="B145" t="str">
        <f>VLOOKUP(A145,db_masterBarang!A:C,2,0)</f>
        <v>ID918</v>
      </c>
      <c r="C145" t="s">
        <v>15301</v>
      </c>
      <c r="D145" t="s">
        <v>12822</v>
      </c>
      <c r="E145" t="s">
        <v>1259</v>
      </c>
      <c r="F145" s="3">
        <v>47150</v>
      </c>
      <c r="G145" s="6">
        <v>0</v>
      </c>
      <c r="H145">
        <v>40</v>
      </c>
    </row>
    <row r="146" spans="1:8" hidden="1">
      <c r="A146" t="str">
        <f t="shared" si="2"/>
        <v>Magicxone 138 SL 20 X 1 ltr471500</v>
      </c>
      <c r="B146" t="str">
        <f>VLOOKUP(A146,db_masterBarang!A:C,2,0)</f>
        <v>ID918</v>
      </c>
      <c r="C146" t="s">
        <v>15301</v>
      </c>
      <c r="D146" t="s">
        <v>12822</v>
      </c>
      <c r="E146" t="s">
        <v>1259</v>
      </c>
      <c r="F146" s="3">
        <v>47150</v>
      </c>
      <c r="G146" s="6">
        <v>0</v>
      </c>
      <c r="H146">
        <v>40</v>
      </c>
    </row>
    <row r="147" spans="1:8" hidden="1">
      <c r="A147" t="str">
        <f t="shared" si="2"/>
        <v>Matador 25 EC 100 X 50 ml460230</v>
      </c>
      <c r="B147" t="str">
        <f>VLOOKUP(A147,db_masterBarang!A:C,2,0)</f>
        <v>ID959</v>
      </c>
      <c r="C147" t="s">
        <v>15342</v>
      </c>
      <c r="D147" t="s">
        <v>12863</v>
      </c>
      <c r="E147" t="s">
        <v>1292</v>
      </c>
      <c r="F147" s="3">
        <v>46023</v>
      </c>
      <c r="G147" s="6">
        <v>0</v>
      </c>
      <c r="H147">
        <v>1500</v>
      </c>
    </row>
    <row r="148" spans="1:8" hidden="1">
      <c r="A148" t="str">
        <f t="shared" si="2"/>
        <v>Metindo 25 WP 40 X 500 gr470880</v>
      </c>
      <c r="B148" t="str">
        <f>VLOOKUP(A148,db_masterBarang!A:C,2,0)</f>
        <v>ID985</v>
      </c>
      <c r="C148" t="s">
        <v>15368</v>
      </c>
      <c r="D148" t="s">
        <v>12889</v>
      </c>
      <c r="E148" t="s">
        <v>1322</v>
      </c>
      <c r="F148" s="3">
        <v>47088</v>
      </c>
      <c r="G148" s="6">
        <v>0</v>
      </c>
      <c r="H148">
        <v>40</v>
      </c>
    </row>
    <row r="149" spans="1:8" hidden="1">
      <c r="A149" t="str">
        <f t="shared" si="2"/>
        <v>Metindo 25 WP 40 X 500 gr470880</v>
      </c>
      <c r="B149" t="str">
        <f>VLOOKUP(A149,db_masterBarang!A:C,2,0)</f>
        <v>ID985</v>
      </c>
      <c r="C149" t="s">
        <v>15368</v>
      </c>
      <c r="D149" t="s">
        <v>12889</v>
      </c>
      <c r="E149" t="s">
        <v>1322</v>
      </c>
      <c r="F149" s="3">
        <v>47088</v>
      </c>
      <c r="G149" s="6">
        <v>0</v>
      </c>
      <c r="H149">
        <v>40</v>
      </c>
    </row>
    <row r="150" spans="1:8" hidden="1">
      <c r="A150" t="str">
        <f t="shared" si="2"/>
        <v>Metindo 40 SP 40 X 400 gr472090</v>
      </c>
      <c r="B150" t="str">
        <f>VLOOKUP(A150,db_masterBarang!A:C,2,0)</f>
        <v>ID988</v>
      </c>
      <c r="C150" t="s">
        <v>15371</v>
      </c>
      <c r="D150" t="s">
        <v>12892</v>
      </c>
      <c r="E150" t="s">
        <v>1324</v>
      </c>
      <c r="F150" s="3">
        <v>47209</v>
      </c>
      <c r="G150" s="6">
        <v>0</v>
      </c>
      <c r="H150">
        <v>120</v>
      </c>
    </row>
    <row r="151" spans="1:8" hidden="1">
      <c r="A151" t="str">
        <f t="shared" si="2"/>
        <v>Metindo 40 SP 40 X 400 gr472090</v>
      </c>
      <c r="B151" t="str">
        <f>VLOOKUP(A151,db_masterBarang!A:C,2,0)</f>
        <v>ID988</v>
      </c>
      <c r="C151" t="s">
        <v>15371</v>
      </c>
      <c r="D151" t="s">
        <v>12892</v>
      </c>
      <c r="E151" t="s">
        <v>1324</v>
      </c>
      <c r="F151" s="3">
        <v>47209</v>
      </c>
      <c r="G151" s="6">
        <v>0</v>
      </c>
      <c r="H151">
        <v>40</v>
      </c>
    </row>
    <row r="152" spans="1:8" hidden="1">
      <c r="A152" t="str">
        <f t="shared" si="2"/>
        <v>Metsulindo Plus 80 WP 8 X 25 X 40 gr459310</v>
      </c>
      <c r="B152" t="str">
        <f>VLOOKUP(A152,db_masterBarang!A:C,2,0)</f>
        <v>ID990</v>
      </c>
      <c r="C152" t="s">
        <v>15373</v>
      </c>
      <c r="D152" t="s">
        <v>12894</v>
      </c>
      <c r="E152" t="s">
        <v>1325</v>
      </c>
      <c r="F152" s="3">
        <v>45931</v>
      </c>
      <c r="G152" s="6">
        <v>0</v>
      </c>
      <c r="H152">
        <v>600</v>
      </c>
    </row>
    <row r="153" spans="1:8" hidden="1">
      <c r="A153" t="str">
        <f t="shared" si="2"/>
        <v>Metsulindo Plus 80 WP 8 X 25 X 40 gr459310</v>
      </c>
      <c r="B153" t="str">
        <f>VLOOKUP(A153,db_masterBarang!A:C,2,0)</f>
        <v>ID990</v>
      </c>
      <c r="C153" t="s">
        <v>15373</v>
      </c>
      <c r="D153" t="s">
        <v>12894</v>
      </c>
      <c r="E153" t="s">
        <v>1325</v>
      </c>
      <c r="F153" s="3">
        <v>45931</v>
      </c>
      <c r="G153" s="6">
        <v>0</v>
      </c>
      <c r="H153">
        <v>14600</v>
      </c>
    </row>
    <row r="154" spans="1:8" hidden="1">
      <c r="A154" t="str">
        <f t="shared" si="2"/>
        <v>Metsulindo Plus 80 WP 8 X 25 X 40 gr459310</v>
      </c>
      <c r="B154" t="str">
        <f>VLOOKUP(A154,db_masterBarang!A:C,2,0)</f>
        <v>ID990</v>
      </c>
      <c r="C154" t="s">
        <v>15373</v>
      </c>
      <c r="D154" t="s">
        <v>12894</v>
      </c>
      <c r="E154" t="s">
        <v>1325</v>
      </c>
      <c r="F154" s="3">
        <v>45931</v>
      </c>
      <c r="G154" s="6">
        <v>0</v>
      </c>
      <c r="H154">
        <v>200</v>
      </c>
    </row>
    <row r="155" spans="1:8" hidden="1">
      <c r="A155" t="str">
        <f t="shared" si="2"/>
        <v>Metsulindo Plus 80 WP 8 X 25 X 40 gr459310</v>
      </c>
      <c r="B155" t="str">
        <f>VLOOKUP(A155,db_masterBarang!A:C,2,0)</f>
        <v>ID990</v>
      </c>
      <c r="C155" t="s">
        <v>15373</v>
      </c>
      <c r="D155" t="s">
        <v>12894</v>
      </c>
      <c r="E155" t="s">
        <v>1325</v>
      </c>
      <c r="F155" s="3">
        <v>45931</v>
      </c>
      <c r="G155" s="6">
        <v>0</v>
      </c>
      <c r="H155">
        <v>1000</v>
      </c>
    </row>
    <row r="156" spans="1:8" hidden="1">
      <c r="A156" t="str">
        <f t="shared" si="2"/>
        <v>Mexdone 36 EC 20 X 500 ml New460540</v>
      </c>
      <c r="B156" t="str">
        <f>VLOOKUP(A156,db_masterBarang!A:C,2,0)</f>
        <v>ID997</v>
      </c>
      <c r="C156" t="s">
        <v>15380</v>
      </c>
      <c r="D156" t="s">
        <v>12901</v>
      </c>
      <c r="E156" t="s">
        <v>1327</v>
      </c>
      <c r="F156" s="3">
        <v>46054</v>
      </c>
      <c r="G156" s="6">
        <v>0</v>
      </c>
      <c r="H156">
        <v>20</v>
      </c>
    </row>
    <row r="157" spans="1:8" hidden="1">
      <c r="A157" t="str">
        <f t="shared" si="2"/>
        <v>Mexdone 36 EC 40 X 250 ml New462040</v>
      </c>
      <c r="B157" t="str">
        <f>VLOOKUP(A157,db_masterBarang!A:C,2,0)</f>
        <v>ID998</v>
      </c>
      <c r="C157" t="s">
        <v>15381</v>
      </c>
      <c r="D157" t="s">
        <v>12902</v>
      </c>
      <c r="E157" t="s">
        <v>1328</v>
      </c>
      <c r="F157" s="3">
        <v>46204</v>
      </c>
      <c r="G157" s="6">
        <v>0</v>
      </c>
      <c r="H157">
        <v>40</v>
      </c>
    </row>
    <row r="158" spans="1:8" hidden="1">
      <c r="A158" t="str">
        <f t="shared" si="2"/>
        <v>Mipcinta 50 WP 20 X 5 X 100 gr472700</v>
      </c>
      <c r="B158" t="str">
        <f>VLOOKUP(A158,db_masterBarang!A:C,2,0)</f>
        <v>ID1007</v>
      </c>
      <c r="C158" t="s">
        <v>15390</v>
      </c>
      <c r="D158" t="s">
        <v>12911</v>
      </c>
      <c r="E158" t="s">
        <v>1339</v>
      </c>
      <c r="F158" s="3">
        <v>47270</v>
      </c>
      <c r="G158" s="6">
        <v>0</v>
      </c>
      <c r="H158">
        <v>1000</v>
      </c>
    </row>
    <row r="159" spans="1:8" hidden="1">
      <c r="A159" t="str">
        <f t="shared" si="2"/>
        <v>Nativo 75 WG 16 X 20 X 12.5 gr459620</v>
      </c>
      <c r="B159" t="str">
        <f>VLOOKUP(A159,db_masterBarang!A:C,2,0)</f>
        <v>ID1097</v>
      </c>
      <c r="C159" t="s">
        <v>15480</v>
      </c>
      <c r="D159" t="s">
        <v>13001</v>
      </c>
      <c r="E159" t="s">
        <v>1428</v>
      </c>
      <c r="F159" s="3">
        <v>45962</v>
      </c>
      <c r="G159" s="6">
        <v>0</v>
      </c>
      <c r="H159">
        <v>640</v>
      </c>
    </row>
    <row r="160" spans="1:8" hidden="1">
      <c r="A160" t="str">
        <f t="shared" si="2"/>
        <v>Neocron 80 OL 20 X 250 ml472390</v>
      </c>
      <c r="B160" t="str">
        <f>VLOOKUP(A160,db_masterBarang!A:C,2,0)</f>
        <v>ID1107</v>
      </c>
      <c r="C160" t="s">
        <v>15490</v>
      </c>
      <c r="D160" t="s">
        <v>13011</v>
      </c>
      <c r="E160" t="s">
        <v>1437</v>
      </c>
      <c r="F160" s="3">
        <v>47239</v>
      </c>
      <c r="G160" s="6">
        <v>0</v>
      </c>
      <c r="H160">
        <v>20</v>
      </c>
    </row>
    <row r="161" spans="1:8" hidden="1">
      <c r="A161" t="str">
        <f t="shared" si="2"/>
        <v>Neocron 80 OL 20 X 250 ml472390</v>
      </c>
      <c r="B161" t="str">
        <f>VLOOKUP(A161,db_masterBarang!A:C,2,0)</f>
        <v>ID1107</v>
      </c>
      <c r="C161" t="s">
        <v>15490</v>
      </c>
      <c r="D161" t="s">
        <v>13011</v>
      </c>
      <c r="E161" t="s">
        <v>1437</v>
      </c>
      <c r="F161" s="3">
        <v>47239</v>
      </c>
      <c r="G161" s="6">
        <v>0</v>
      </c>
      <c r="H161">
        <v>4</v>
      </c>
    </row>
    <row r="162" spans="1:8" hidden="1">
      <c r="A162" t="str">
        <f t="shared" si="2"/>
        <v>Neocron 80 OL 20 X 500 ml468130</v>
      </c>
      <c r="B162" t="str">
        <f>VLOOKUP(A162,db_masterBarang!A:C,2,0)</f>
        <v>ID1109</v>
      </c>
      <c r="C162" t="s">
        <v>15492</v>
      </c>
      <c r="D162" t="s">
        <v>13013</v>
      </c>
      <c r="E162" t="s">
        <v>1438</v>
      </c>
      <c r="F162" s="3">
        <v>46813</v>
      </c>
      <c r="G162" s="6">
        <v>0</v>
      </c>
      <c r="H162">
        <v>20</v>
      </c>
    </row>
    <row r="163" spans="1:8" hidden="1">
      <c r="A163" t="str">
        <f t="shared" si="2"/>
        <v>Neocron 80 OL 20 X 500 ml468130</v>
      </c>
      <c r="B163" t="str">
        <f>VLOOKUP(A163,db_masterBarang!A:C,2,0)</f>
        <v>ID1109</v>
      </c>
      <c r="C163" t="s">
        <v>15492</v>
      </c>
      <c r="D163" t="s">
        <v>13013</v>
      </c>
      <c r="E163" t="s">
        <v>1438</v>
      </c>
      <c r="F163" s="3">
        <v>46813</v>
      </c>
      <c r="G163" s="6">
        <v>0</v>
      </c>
      <c r="H163">
        <v>4</v>
      </c>
    </row>
    <row r="164" spans="1:8" hidden="1">
      <c r="A164" t="str">
        <f t="shared" si="2"/>
        <v>Oplosan 550/60 EC 20 X 400 ml461430</v>
      </c>
      <c r="B164" t="str">
        <f>VLOOKUP(A164,db_masterBarang!A:C,2,0)</f>
        <v>ID1150</v>
      </c>
      <c r="C164" t="s">
        <v>15533</v>
      </c>
      <c r="D164" t="s">
        <v>13054</v>
      </c>
      <c r="E164" t="s">
        <v>1482</v>
      </c>
      <c r="F164" s="3">
        <v>46143</v>
      </c>
      <c r="G164" s="6">
        <v>0</v>
      </c>
      <c r="H164">
        <v>20</v>
      </c>
    </row>
    <row r="165" spans="1:8" hidden="1">
      <c r="A165" t="str">
        <f t="shared" si="2"/>
        <v>Oplosan 550/60 EC 40 X 200 ml464190</v>
      </c>
      <c r="B165" t="str">
        <f>VLOOKUP(A165,db_masterBarang!A:C,2,0)</f>
        <v>ID1153</v>
      </c>
      <c r="C165" t="s">
        <v>15536</v>
      </c>
      <c r="D165" t="s">
        <v>13057</v>
      </c>
      <c r="E165" t="s">
        <v>1483</v>
      </c>
      <c r="F165" s="3">
        <v>46419</v>
      </c>
      <c r="G165" s="6">
        <v>0</v>
      </c>
      <c r="H165">
        <v>40</v>
      </c>
    </row>
    <row r="166" spans="1:8" hidden="1">
      <c r="A166" t="str">
        <f t="shared" si="2"/>
        <v>Orondis Opti 6/400 SC 20 X 500 ml468740</v>
      </c>
      <c r="B166" t="str">
        <f>VLOOKUP(A166,db_masterBarang!A:C,2,0)</f>
        <v>ID1159</v>
      </c>
      <c r="C166" t="s">
        <v>15542</v>
      </c>
      <c r="D166" t="s">
        <v>13063</v>
      </c>
      <c r="E166" t="s">
        <v>1487</v>
      </c>
      <c r="F166" s="3">
        <v>46874</v>
      </c>
      <c r="G166" s="6">
        <v>0</v>
      </c>
      <c r="H166">
        <v>40</v>
      </c>
    </row>
    <row r="167" spans="1:8" hidden="1">
      <c r="A167" t="str">
        <f t="shared" si="2"/>
        <v>Orondis Opti 6/400 SC 20 X 500 ml468740</v>
      </c>
      <c r="B167" t="str">
        <f>VLOOKUP(A167,db_masterBarang!A:C,2,0)</f>
        <v>ID1159</v>
      </c>
      <c r="C167" t="s">
        <v>15542</v>
      </c>
      <c r="D167" t="s">
        <v>13063</v>
      </c>
      <c r="E167" t="s">
        <v>1487</v>
      </c>
      <c r="F167" s="3">
        <v>46874</v>
      </c>
      <c r="G167" s="6">
        <v>0</v>
      </c>
      <c r="H167">
        <v>40</v>
      </c>
    </row>
    <row r="168" spans="1:8" hidden="1">
      <c r="A168" t="str">
        <f t="shared" si="2"/>
        <v>Orondis Opti 6/400 SC 20 X 500 ml468740</v>
      </c>
      <c r="B168" t="str">
        <f>VLOOKUP(A168,db_masterBarang!A:C,2,0)</f>
        <v>ID1159</v>
      </c>
      <c r="C168" t="s">
        <v>15542</v>
      </c>
      <c r="D168" t="s">
        <v>13063</v>
      </c>
      <c r="E168" t="s">
        <v>1487</v>
      </c>
      <c r="F168" s="3">
        <v>46874</v>
      </c>
      <c r="G168" s="6">
        <v>0</v>
      </c>
      <c r="H168">
        <v>60</v>
      </c>
    </row>
    <row r="169" spans="1:8" hidden="1">
      <c r="A169" t="str">
        <f t="shared" si="2"/>
        <v>Orondis Opti 6/400 SC 20 X 500 ml468740</v>
      </c>
      <c r="B169" t="str">
        <f>VLOOKUP(A169,db_masterBarang!A:C,2,0)</f>
        <v>ID1159</v>
      </c>
      <c r="C169" t="s">
        <v>15542</v>
      </c>
      <c r="D169" t="s">
        <v>13063</v>
      </c>
      <c r="E169" t="s">
        <v>1487</v>
      </c>
      <c r="F169" s="3">
        <v>46874</v>
      </c>
      <c r="G169" s="6">
        <v>0</v>
      </c>
      <c r="H169">
        <v>20</v>
      </c>
    </row>
    <row r="170" spans="1:8" hidden="1">
      <c r="A170" t="str">
        <f t="shared" si="2"/>
        <v>Paket Booster Kendizol 250 ml + Aviore 100 ml 24 X 1 Paket460540</v>
      </c>
      <c r="B170" t="str">
        <f>VLOOKUP(A170,db_masterBarang!A:C,2,0)</f>
        <v>ID1169</v>
      </c>
      <c r="C170" t="s">
        <v>15552</v>
      </c>
      <c r="D170" t="s">
        <v>13073</v>
      </c>
      <c r="E170" t="s">
        <v>1509</v>
      </c>
      <c r="F170" s="3">
        <v>46054</v>
      </c>
      <c r="G170" s="6">
        <v>0</v>
      </c>
      <c r="H170">
        <v>48</v>
      </c>
    </row>
    <row r="171" spans="1:8" hidden="1">
      <c r="A171" t="str">
        <f t="shared" si="2"/>
        <v>Passxone 276 SL 20 X 1 ltr464780</v>
      </c>
      <c r="B171" t="str">
        <f>VLOOKUP(A171,db_masterBarang!A:C,2,0)</f>
        <v>ID1211</v>
      </c>
      <c r="C171" t="s">
        <v>15594</v>
      </c>
      <c r="D171" t="s">
        <v>13115</v>
      </c>
      <c r="E171" t="s">
        <v>1555</v>
      </c>
      <c r="F171" s="3">
        <v>46478</v>
      </c>
      <c r="G171" s="6">
        <v>0</v>
      </c>
      <c r="H171">
        <v>40</v>
      </c>
    </row>
    <row r="172" spans="1:8" hidden="1">
      <c r="A172" t="str">
        <f t="shared" si="2"/>
        <v>Perozin 80 WP 15 X 400 gr468440</v>
      </c>
      <c r="B172" t="str">
        <f>VLOOKUP(A172,db_masterBarang!A:C,2,0)</f>
        <v>ID1229</v>
      </c>
      <c r="C172" t="s">
        <v>15612</v>
      </c>
      <c r="D172" t="s">
        <v>13133</v>
      </c>
      <c r="E172" t="s">
        <v>1577</v>
      </c>
      <c r="F172" s="3">
        <v>46844</v>
      </c>
      <c r="G172" s="6">
        <v>0</v>
      </c>
      <c r="H172">
        <v>15</v>
      </c>
    </row>
    <row r="173" spans="1:8" hidden="1">
      <c r="A173" t="str">
        <f t="shared" si="2"/>
        <v>Perozin 80 WP 60 X 150 gr470880</v>
      </c>
      <c r="B173" t="str">
        <f>VLOOKUP(A173,db_masterBarang!A:C,2,0)</f>
        <v>ID1230</v>
      </c>
      <c r="C173" t="s">
        <v>15613</v>
      </c>
      <c r="D173" t="s">
        <v>13134</v>
      </c>
      <c r="E173" t="s">
        <v>1578</v>
      </c>
      <c r="F173" s="3">
        <v>47088</v>
      </c>
      <c r="G173" s="6">
        <v>0</v>
      </c>
      <c r="H173">
        <v>60</v>
      </c>
    </row>
    <row r="174" spans="1:8" hidden="1">
      <c r="A174" t="str">
        <f t="shared" si="2"/>
        <v>Petrogenol 800 L 20 X 20 X 5 ml471780</v>
      </c>
      <c r="B174" t="str">
        <f>VLOOKUP(A174,db_masterBarang!A:C,2,0)</f>
        <v>ID1231</v>
      </c>
      <c r="C174" t="s">
        <v>15614</v>
      </c>
      <c r="D174" t="s">
        <v>13135</v>
      </c>
      <c r="E174" t="s">
        <v>1579</v>
      </c>
      <c r="F174" s="3">
        <v>47178</v>
      </c>
      <c r="G174" s="6">
        <v>0</v>
      </c>
      <c r="H174">
        <v>20</v>
      </c>
    </row>
    <row r="175" spans="1:8" hidden="1">
      <c r="A175" t="str">
        <f t="shared" si="2"/>
        <v>Pexalon 106 SC 50 X 100 ml462350</v>
      </c>
      <c r="B175" t="str">
        <f>VLOOKUP(A175,db_masterBarang!A:C,2,0)</f>
        <v>ID1235</v>
      </c>
      <c r="C175" t="s">
        <v>15618</v>
      </c>
      <c r="D175" t="s">
        <v>13139</v>
      </c>
      <c r="E175" t="s">
        <v>1583</v>
      </c>
      <c r="F175" s="3">
        <v>46235</v>
      </c>
      <c r="G175" s="6">
        <v>0</v>
      </c>
      <c r="H175">
        <v>10</v>
      </c>
    </row>
    <row r="176" spans="1:8" hidden="1">
      <c r="A176" t="str">
        <f t="shared" si="2"/>
        <v>Pinamec 20 EC 15 X 1 ltr469050</v>
      </c>
      <c r="B176" t="str">
        <f>VLOOKUP(A176,db_masterBarang!A:C,2,0)</f>
        <v>ID1240</v>
      </c>
      <c r="C176" t="s">
        <v>15623</v>
      </c>
      <c r="D176" t="s">
        <v>13144</v>
      </c>
      <c r="E176" t="s">
        <v>1590</v>
      </c>
      <c r="F176" s="3">
        <v>46905</v>
      </c>
      <c r="G176" s="6">
        <v>0</v>
      </c>
      <c r="H176">
        <v>15</v>
      </c>
    </row>
    <row r="177" spans="1:8" hidden="1">
      <c r="A177" t="str">
        <f t="shared" si="2"/>
        <v>Pinamec 20 EC 20 X 1 ltr (Hitam)471500</v>
      </c>
      <c r="B177" t="str">
        <f>VLOOKUP(A177,db_masterBarang!A:C,2,0)</f>
        <v>ID1242</v>
      </c>
      <c r="C177" t="s">
        <v>15625</v>
      </c>
      <c r="D177" t="s">
        <v>13146</v>
      </c>
      <c r="E177" t="s">
        <v>1594</v>
      </c>
      <c r="F177" s="3">
        <v>47150</v>
      </c>
      <c r="G177" s="6">
        <v>0</v>
      </c>
      <c r="H177">
        <v>20</v>
      </c>
    </row>
    <row r="178" spans="1:8" hidden="1">
      <c r="A178" t="str">
        <f t="shared" si="2"/>
        <v>Piraklo 250 EC 100 X 100 ml469350</v>
      </c>
      <c r="B178" t="str">
        <f>VLOOKUP(A178,db_masterBarang!A:C,2,0)</f>
        <v>ID1252</v>
      </c>
      <c r="C178" t="s">
        <v>15635</v>
      </c>
      <c r="D178" t="s">
        <v>13156</v>
      </c>
      <c r="E178" t="s">
        <v>1607</v>
      </c>
      <c r="F178" s="3">
        <v>46935</v>
      </c>
      <c r="G178" s="6">
        <v>0</v>
      </c>
      <c r="H178">
        <v>10</v>
      </c>
    </row>
    <row r="179" spans="1:8" hidden="1">
      <c r="A179" t="str">
        <f t="shared" si="2"/>
        <v>Piraklo 250 EC 40 X 250 ml469350</v>
      </c>
      <c r="B179" t="str">
        <f>VLOOKUP(A179,db_masterBarang!A:C,2,0)</f>
        <v>ID1254</v>
      </c>
      <c r="C179" t="s">
        <v>15637</v>
      </c>
      <c r="D179" t="s">
        <v>13158</v>
      </c>
      <c r="E179" t="s">
        <v>1608</v>
      </c>
      <c r="F179" s="3">
        <v>46935</v>
      </c>
      <c r="G179" s="6">
        <v>0</v>
      </c>
      <c r="H179">
        <v>400</v>
      </c>
    </row>
    <row r="180" spans="1:8" hidden="1">
      <c r="A180" t="str">
        <f t="shared" si="2"/>
        <v>Piraklo 250 EC 40 X 250 ml469350</v>
      </c>
      <c r="B180" t="str">
        <f>VLOOKUP(A180,db_masterBarang!A:C,2,0)</f>
        <v>ID1254</v>
      </c>
      <c r="C180" t="s">
        <v>15637</v>
      </c>
      <c r="D180" t="s">
        <v>13158</v>
      </c>
      <c r="E180" t="s">
        <v>1608</v>
      </c>
      <c r="F180" s="3">
        <v>46935</v>
      </c>
      <c r="G180" s="6">
        <v>0</v>
      </c>
      <c r="H180">
        <v>10</v>
      </c>
    </row>
    <row r="181" spans="1:8" hidden="1">
      <c r="A181" t="str">
        <f t="shared" si="2"/>
        <v>Piraklo 250 EC 40 X 250 ml469350</v>
      </c>
      <c r="B181" t="str">
        <f>VLOOKUP(A181,db_masterBarang!A:C,2,0)</f>
        <v>ID1254</v>
      </c>
      <c r="C181" t="s">
        <v>15637</v>
      </c>
      <c r="D181" t="s">
        <v>13158</v>
      </c>
      <c r="E181" t="s">
        <v>1608</v>
      </c>
      <c r="F181" s="3">
        <v>46935</v>
      </c>
      <c r="G181" s="6">
        <v>0</v>
      </c>
      <c r="H181">
        <v>80</v>
      </c>
    </row>
    <row r="182" spans="1:8" hidden="1">
      <c r="A182" t="str">
        <f t="shared" si="2"/>
        <v>Plenum 50 WG 12 X 10 X 25 gr459920</v>
      </c>
      <c r="B182" t="str">
        <f>VLOOKUP(A182,db_masterBarang!A:C,2,0)</f>
        <v>ID1264</v>
      </c>
      <c r="C182" t="s">
        <v>15647</v>
      </c>
      <c r="D182" t="s">
        <v>13168</v>
      </c>
      <c r="E182" t="s">
        <v>1618</v>
      </c>
      <c r="F182" s="3">
        <v>45992</v>
      </c>
      <c r="G182" s="6">
        <v>0</v>
      </c>
      <c r="H182">
        <v>30</v>
      </c>
    </row>
    <row r="183" spans="1:8" hidden="1">
      <c r="A183" t="str">
        <f t="shared" si="2"/>
        <v>Plenum 50 WG 12 X 10 X 25 gr459920</v>
      </c>
      <c r="B183" t="str">
        <f>VLOOKUP(A183,db_masterBarang!A:C,2,0)</f>
        <v>ID1264</v>
      </c>
      <c r="C183" t="s">
        <v>15647</v>
      </c>
      <c r="D183" t="s">
        <v>13168</v>
      </c>
      <c r="E183" t="s">
        <v>1618</v>
      </c>
      <c r="F183" s="3">
        <v>45992</v>
      </c>
      <c r="G183" s="6">
        <v>0</v>
      </c>
      <c r="H183">
        <v>15</v>
      </c>
    </row>
    <row r="184" spans="1:8" hidden="1">
      <c r="A184" t="str">
        <f t="shared" si="2"/>
        <v>Plenum 50 WG 12 X 10 X 25 gr459920</v>
      </c>
      <c r="B184" t="str">
        <f>VLOOKUP(A184,db_masterBarang!A:C,2,0)</f>
        <v>ID1264</v>
      </c>
      <c r="C184" t="s">
        <v>15647</v>
      </c>
      <c r="D184" t="s">
        <v>13168</v>
      </c>
      <c r="E184" t="s">
        <v>1618</v>
      </c>
      <c r="F184" s="3">
        <v>45992</v>
      </c>
      <c r="G184" s="6">
        <v>0</v>
      </c>
      <c r="H184">
        <v>2400</v>
      </c>
    </row>
    <row r="185" spans="1:8" hidden="1">
      <c r="A185" t="str">
        <f t="shared" si="2"/>
        <v>Plenum 50 WG 50 X 100 gr457780</v>
      </c>
      <c r="B185" t="str">
        <f>VLOOKUP(A185,db_masterBarang!A:C,2,0)</f>
        <v>ID1265</v>
      </c>
      <c r="C185" t="s">
        <v>15648</v>
      </c>
      <c r="D185" t="s">
        <v>13169</v>
      </c>
      <c r="E185" t="s">
        <v>1620</v>
      </c>
      <c r="F185" s="3">
        <v>45778</v>
      </c>
      <c r="G185" s="6">
        <v>0</v>
      </c>
      <c r="H185">
        <v>20</v>
      </c>
    </row>
    <row r="186" spans="1:8" hidden="1">
      <c r="A186" t="str">
        <f t="shared" si="2"/>
        <v>Plenum 50 WG 50 X 100 gr457780</v>
      </c>
      <c r="B186" t="str">
        <f>VLOOKUP(A186,db_masterBarang!A:C,2,0)</f>
        <v>ID1265</v>
      </c>
      <c r="C186" t="s">
        <v>15648</v>
      </c>
      <c r="D186" t="s">
        <v>13169</v>
      </c>
      <c r="E186" t="s">
        <v>1620</v>
      </c>
      <c r="F186" s="3">
        <v>45778</v>
      </c>
      <c r="G186" s="6">
        <v>0</v>
      </c>
      <c r="H186">
        <v>15</v>
      </c>
    </row>
    <row r="187" spans="1:8" hidden="1">
      <c r="A187" t="str">
        <f t="shared" si="2"/>
        <v>Power Grow 20 X 1 ltr467530</v>
      </c>
      <c r="B187" t="str">
        <f>VLOOKUP(A187,db_masterBarang!A:C,2,0)</f>
        <v>ID1307</v>
      </c>
      <c r="C187" t="s">
        <v>15690</v>
      </c>
      <c r="D187" t="s">
        <v>13211</v>
      </c>
      <c r="E187" t="s">
        <v>1669</v>
      </c>
      <c r="F187" s="3">
        <v>46753</v>
      </c>
      <c r="G187" s="6">
        <v>0</v>
      </c>
      <c r="H187">
        <v>100</v>
      </c>
    </row>
    <row r="188" spans="1:8" hidden="1">
      <c r="A188" t="str">
        <f t="shared" si="2"/>
        <v>Proclaim 5 SG 4 X 20 X 25 gr462660</v>
      </c>
      <c r="B188" t="str">
        <f>VLOOKUP(A188,db_masterBarang!A:C,2,0)</f>
        <v>ID1315</v>
      </c>
      <c r="C188" t="s">
        <v>15698</v>
      </c>
      <c r="D188" t="s">
        <v>13219</v>
      </c>
      <c r="E188" t="s">
        <v>1678</v>
      </c>
      <c r="F188" s="3">
        <v>46266</v>
      </c>
      <c r="G188" s="6">
        <v>0</v>
      </c>
      <c r="H188">
        <v>80</v>
      </c>
    </row>
    <row r="189" spans="1:8" hidden="1">
      <c r="A189" t="str">
        <f t="shared" si="2"/>
        <v>Qiuasri Jeruk 20 X 1 ltr464190</v>
      </c>
      <c r="B189" t="str">
        <f>VLOOKUP(A189,db_masterBarang!A:C,2,0)</f>
        <v>ID1340</v>
      </c>
      <c r="C189" t="s">
        <v>15723</v>
      </c>
      <c r="D189" t="s">
        <v>13244</v>
      </c>
      <c r="E189" t="s">
        <v>1705</v>
      </c>
      <c r="F189" s="3">
        <v>46419</v>
      </c>
      <c r="G189" s="6">
        <v>0</v>
      </c>
      <c r="H189">
        <v>20</v>
      </c>
    </row>
    <row r="190" spans="1:8" hidden="1">
      <c r="A190" t="str">
        <f t="shared" si="2"/>
        <v>Qiudor 100 X 100 gr468740</v>
      </c>
      <c r="B190" t="str">
        <f>VLOOKUP(A190,db_masterBarang!A:C,2,0)</f>
        <v>ID1342</v>
      </c>
      <c r="C190" t="s">
        <v>15725</v>
      </c>
      <c r="D190" t="s">
        <v>13246</v>
      </c>
      <c r="E190" t="s">
        <v>1707</v>
      </c>
      <c r="F190" s="3">
        <v>46874</v>
      </c>
      <c r="G190" s="6">
        <v>0</v>
      </c>
      <c r="H190">
        <v>200</v>
      </c>
    </row>
    <row r="191" spans="1:8" hidden="1">
      <c r="A191" t="str">
        <f t="shared" si="2"/>
        <v>Qiumex 36 EC 10 X 1 ltr472090</v>
      </c>
      <c r="B191" t="str">
        <f>VLOOKUP(A191,db_masterBarang!A:C,2,0)</f>
        <v>ID1345</v>
      </c>
      <c r="C191" t="s">
        <v>15728</v>
      </c>
      <c r="D191" t="s">
        <v>13249</v>
      </c>
      <c r="E191" t="s">
        <v>1709</v>
      </c>
      <c r="F191" s="3">
        <v>47209</v>
      </c>
      <c r="G191" s="6">
        <v>0</v>
      </c>
      <c r="H191">
        <v>100</v>
      </c>
    </row>
    <row r="192" spans="1:8" hidden="1">
      <c r="A192" t="str">
        <f t="shared" si="2"/>
        <v>Qiumex 36 EC 100 X 100 ml472390</v>
      </c>
      <c r="B192" t="str">
        <f>VLOOKUP(A192,db_masterBarang!A:C,2,0)</f>
        <v>ID1346</v>
      </c>
      <c r="C192" t="s">
        <v>15729</v>
      </c>
      <c r="D192" t="s">
        <v>13250</v>
      </c>
      <c r="E192" t="s">
        <v>1710</v>
      </c>
      <c r="F192" s="3">
        <v>47239</v>
      </c>
      <c r="G192" s="6">
        <v>0</v>
      </c>
      <c r="H192">
        <v>200</v>
      </c>
    </row>
    <row r="193" spans="1:8" hidden="1">
      <c r="A193" t="str">
        <f t="shared" si="2"/>
        <v>Qiunil 40 X 500 gr455660</v>
      </c>
      <c r="B193" t="str">
        <f>VLOOKUP(A193,db_masterBarang!A:C,2,0)</f>
        <v>ID1353</v>
      </c>
      <c r="C193" t="s">
        <v>15736</v>
      </c>
      <c r="D193" t="s">
        <v>13257</v>
      </c>
      <c r="E193" t="s">
        <v>1715</v>
      </c>
      <c r="F193" s="3">
        <v>45566</v>
      </c>
      <c r="G193" s="6">
        <v>0</v>
      </c>
      <c r="H193">
        <v>40</v>
      </c>
    </row>
    <row r="194" spans="1:8" hidden="1">
      <c r="A194" t="str">
        <f t="shared" si="2"/>
        <v>Qiutane 80 WP 25 X 800 gr Biru470270</v>
      </c>
      <c r="B194" t="str">
        <f>VLOOKUP(A194,db_masterBarang!A:C,2,0)</f>
        <v>ID1362</v>
      </c>
      <c r="C194" t="s">
        <v>15745</v>
      </c>
      <c r="D194" t="s">
        <v>13266</v>
      </c>
      <c r="E194" t="s">
        <v>1720</v>
      </c>
      <c r="F194" s="3">
        <v>47027</v>
      </c>
      <c r="G194" s="6">
        <v>0</v>
      </c>
      <c r="H194">
        <v>2</v>
      </c>
    </row>
    <row r="195" spans="1:8" hidden="1">
      <c r="A195" t="str">
        <f t="shared" ref="A195:A258" si="3">E195&amp;F195&amp;G195</f>
        <v>Qiutane 80 WP 25 X 800 gr Biru463570</v>
      </c>
      <c r="B195" t="str">
        <f>VLOOKUP(A195,db_masterBarang!A:C,2,0)</f>
        <v>ID2087</v>
      </c>
      <c r="C195" t="s">
        <v>16470</v>
      </c>
      <c r="D195" t="s">
        <v>14382</v>
      </c>
      <c r="E195" t="s">
        <v>1720</v>
      </c>
      <c r="F195" s="3">
        <v>46357</v>
      </c>
      <c r="G195" s="6">
        <v>0</v>
      </c>
      <c r="H195">
        <v>8</v>
      </c>
    </row>
    <row r="196" spans="1:8" hidden="1">
      <c r="A196" t="str">
        <f t="shared" si="3"/>
        <v>Quilt 200 SE 40 X 250 ml455050</v>
      </c>
      <c r="B196" t="str">
        <f>VLOOKUP(A196,db_masterBarang!A:C,2,0)</f>
        <v>ID1382</v>
      </c>
      <c r="C196" t="s">
        <v>15765</v>
      </c>
      <c r="D196" t="s">
        <v>13286</v>
      </c>
      <c r="E196" t="s">
        <v>1732</v>
      </c>
      <c r="F196" s="3">
        <v>45505</v>
      </c>
      <c r="G196" s="6">
        <v>0</v>
      </c>
      <c r="H196">
        <v>80</v>
      </c>
    </row>
    <row r="197" spans="1:8" hidden="1">
      <c r="A197" t="str">
        <f t="shared" si="3"/>
        <v>Quilt 200 SE 40 X 250 ml455050</v>
      </c>
      <c r="B197" t="str">
        <f>VLOOKUP(A197,db_masterBarang!A:C,2,0)</f>
        <v>ID1382</v>
      </c>
      <c r="C197" t="s">
        <v>15765</v>
      </c>
      <c r="D197" t="s">
        <v>13286</v>
      </c>
      <c r="E197" t="s">
        <v>1732</v>
      </c>
      <c r="F197" s="3">
        <v>45505</v>
      </c>
      <c r="G197" s="6">
        <v>0</v>
      </c>
      <c r="H197">
        <v>40</v>
      </c>
    </row>
    <row r="198" spans="1:8" hidden="1">
      <c r="A198" t="str">
        <f t="shared" si="3"/>
        <v>Ratgone 0.005 BB 10 X 1 kg461740</v>
      </c>
      <c r="B198" t="str">
        <f>VLOOKUP(A198,db_masterBarang!A:C,2,0)</f>
        <v>ID1388</v>
      </c>
      <c r="C198" t="s">
        <v>15771</v>
      </c>
      <c r="D198" t="s">
        <v>13292</v>
      </c>
      <c r="E198" t="s">
        <v>1738</v>
      </c>
      <c r="F198" s="3">
        <v>46174</v>
      </c>
      <c r="G198" s="6">
        <v>0</v>
      </c>
      <c r="H198">
        <v>200</v>
      </c>
    </row>
    <row r="199" spans="1:8" hidden="1">
      <c r="A199" t="str">
        <f t="shared" si="3"/>
        <v>Ratgone 0.005 BB 10 X 1 kg461740</v>
      </c>
      <c r="B199" t="str">
        <f>VLOOKUP(A199,db_masterBarang!A:C,2,0)</f>
        <v>ID1388</v>
      </c>
      <c r="C199" t="s">
        <v>15771</v>
      </c>
      <c r="D199" t="s">
        <v>13292</v>
      </c>
      <c r="E199" t="s">
        <v>1738</v>
      </c>
      <c r="F199" s="3">
        <v>46174</v>
      </c>
      <c r="G199" s="6">
        <v>0</v>
      </c>
      <c r="H199">
        <v>200</v>
      </c>
    </row>
    <row r="200" spans="1:8" hidden="1">
      <c r="A200" t="str">
        <f t="shared" si="3"/>
        <v>Ratgone 0.005 BB 10 X 1 kg461740</v>
      </c>
      <c r="B200" t="str">
        <f>VLOOKUP(A200,db_masterBarang!A:C,2,0)</f>
        <v>ID1388</v>
      </c>
      <c r="C200" t="s">
        <v>15771</v>
      </c>
      <c r="D200" t="s">
        <v>13292</v>
      </c>
      <c r="E200" t="s">
        <v>1738</v>
      </c>
      <c r="F200" s="3">
        <v>46174</v>
      </c>
      <c r="G200" s="6">
        <v>0</v>
      </c>
      <c r="H200">
        <v>200</v>
      </c>
    </row>
    <row r="201" spans="1:8" hidden="1">
      <c r="A201" t="str">
        <f t="shared" si="3"/>
        <v>Ratgone 0.005 BB 10 X 1 kg461740</v>
      </c>
      <c r="B201" t="str">
        <f>VLOOKUP(A201,db_masterBarang!A:C,2,0)</f>
        <v>ID1388</v>
      </c>
      <c r="C201" t="s">
        <v>15771</v>
      </c>
      <c r="D201" t="s">
        <v>13292</v>
      </c>
      <c r="E201" t="s">
        <v>1738</v>
      </c>
      <c r="F201" s="3">
        <v>46174</v>
      </c>
      <c r="G201" s="6">
        <v>0</v>
      </c>
      <c r="H201">
        <v>50</v>
      </c>
    </row>
    <row r="202" spans="1:8" hidden="1">
      <c r="A202" t="str">
        <f t="shared" si="3"/>
        <v>Ratol 80 P 10 X 100 X 10 gr458090</v>
      </c>
      <c r="B202" t="str">
        <f>VLOOKUP(A202,db_masterBarang!A:C,2,0)</f>
        <v>ID1389</v>
      </c>
      <c r="C202" t="s">
        <v>15772</v>
      </c>
      <c r="D202" t="s">
        <v>13293</v>
      </c>
      <c r="E202" t="s">
        <v>1741</v>
      </c>
      <c r="F202" s="3">
        <v>45809</v>
      </c>
      <c r="G202" s="6">
        <v>0</v>
      </c>
      <c r="H202">
        <v>2000</v>
      </c>
    </row>
    <row r="203" spans="1:8" hidden="1">
      <c r="A203" t="str">
        <f t="shared" si="3"/>
        <v>Reactive 490 SL 20 X 1 ltr470580</v>
      </c>
      <c r="B203" t="str">
        <f>VLOOKUP(A203,db_masterBarang!A:C,2,0)</f>
        <v>ID2088</v>
      </c>
      <c r="C203" t="s">
        <v>16471</v>
      </c>
      <c r="D203" t="s">
        <v>14383</v>
      </c>
      <c r="E203" t="s">
        <v>1745</v>
      </c>
      <c r="F203" s="3">
        <v>47058</v>
      </c>
      <c r="G203" s="6">
        <v>0</v>
      </c>
      <c r="H203">
        <v>9</v>
      </c>
    </row>
    <row r="204" spans="1:8" hidden="1">
      <c r="A204" t="str">
        <f t="shared" si="3"/>
        <v>Reactive 490 SL 20 X 1 ltr471500</v>
      </c>
      <c r="B204" t="str">
        <f>VLOOKUP(A204,db_masterBarang!A:C,2,0)</f>
        <v>ID1391</v>
      </c>
      <c r="C204" t="s">
        <v>15774</v>
      </c>
      <c r="D204" t="s">
        <v>13295</v>
      </c>
      <c r="E204" t="s">
        <v>1745</v>
      </c>
      <c r="F204" s="3">
        <v>47150</v>
      </c>
      <c r="G204" s="6">
        <v>0</v>
      </c>
      <c r="H204">
        <v>200</v>
      </c>
    </row>
    <row r="205" spans="1:8" hidden="1">
      <c r="A205" t="str">
        <f t="shared" si="3"/>
        <v>Regent Red 24 X 250 ml461430</v>
      </c>
      <c r="B205" t="str">
        <f>VLOOKUP(A205,db_masterBarang!A:C,2,0)</f>
        <v>ID1392</v>
      </c>
      <c r="C205" t="s">
        <v>15775</v>
      </c>
      <c r="D205" t="s">
        <v>13296</v>
      </c>
      <c r="E205" t="s">
        <v>1746</v>
      </c>
      <c r="F205" s="3">
        <v>46143</v>
      </c>
      <c r="G205" s="6">
        <v>0</v>
      </c>
      <c r="H205">
        <v>24</v>
      </c>
    </row>
    <row r="206" spans="1:8" hidden="1">
      <c r="A206" t="str">
        <f t="shared" si="3"/>
        <v>Regent Red 48 X 100 ml461430</v>
      </c>
      <c r="B206" t="str">
        <f>VLOOKUP(A206,db_masterBarang!A:C,2,0)</f>
        <v>ID1393</v>
      </c>
      <c r="C206" t="s">
        <v>15776</v>
      </c>
      <c r="D206" t="s">
        <v>13297</v>
      </c>
      <c r="E206" t="s">
        <v>1748</v>
      </c>
      <c r="F206" s="3">
        <v>46143</v>
      </c>
      <c r="G206" s="6">
        <v>0</v>
      </c>
      <c r="H206">
        <v>48</v>
      </c>
    </row>
    <row r="207" spans="1:8" hidden="1">
      <c r="A207" t="str">
        <f t="shared" si="3"/>
        <v>Regent Red 48 X 100 ml461430</v>
      </c>
      <c r="B207" t="str">
        <f>VLOOKUP(A207,db_masterBarang!A:C,2,0)</f>
        <v>ID1393</v>
      </c>
      <c r="C207" t="s">
        <v>15776</v>
      </c>
      <c r="D207" t="s">
        <v>13297</v>
      </c>
      <c r="E207" t="s">
        <v>1748</v>
      </c>
      <c r="F207" s="3">
        <v>46143</v>
      </c>
      <c r="G207" s="6">
        <v>0</v>
      </c>
      <c r="H207">
        <v>96</v>
      </c>
    </row>
    <row r="208" spans="1:8" hidden="1">
      <c r="A208" t="str">
        <f t="shared" si="3"/>
        <v>Regent Red 48 X 100 ml461430</v>
      </c>
      <c r="B208" t="str">
        <f>VLOOKUP(A208,db_masterBarang!A:C,2,0)</f>
        <v>ID1393</v>
      </c>
      <c r="C208" t="s">
        <v>15776</v>
      </c>
      <c r="D208" t="s">
        <v>13297</v>
      </c>
      <c r="E208" t="s">
        <v>1748</v>
      </c>
      <c r="F208" s="3">
        <v>46143</v>
      </c>
      <c r="G208" s="6">
        <v>0</v>
      </c>
      <c r="H208">
        <v>240</v>
      </c>
    </row>
    <row r="209" spans="1:8" hidden="1">
      <c r="A209" t="str">
        <f t="shared" si="3"/>
        <v>Regent Red 48 X 100 ml461430</v>
      </c>
      <c r="B209" t="str">
        <f>VLOOKUP(A209,db_masterBarang!A:C,2,0)</f>
        <v>ID1393</v>
      </c>
      <c r="C209" t="s">
        <v>15776</v>
      </c>
      <c r="D209" t="s">
        <v>13297</v>
      </c>
      <c r="E209" t="s">
        <v>1748</v>
      </c>
      <c r="F209" s="3">
        <v>46143</v>
      </c>
      <c r="G209" s="6">
        <v>0</v>
      </c>
      <c r="H209">
        <v>720</v>
      </c>
    </row>
    <row r="210" spans="1:8" hidden="1">
      <c r="A210" t="str">
        <f t="shared" si="3"/>
        <v>Regent Red 80 X 50 ml461430</v>
      </c>
      <c r="B210" t="str">
        <f>VLOOKUP(A210,db_masterBarang!A:C,2,0)</f>
        <v>ID1394</v>
      </c>
      <c r="C210" t="s">
        <v>15777</v>
      </c>
      <c r="D210" t="s">
        <v>13298</v>
      </c>
      <c r="E210" t="s">
        <v>1750</v>
      </c>
      <c r="F210" s="3">
        <v>46143</v>
      </c>
      <c r="G210" s="6">
        <v>0</v>
      </c>
      <c r="H210">
        <v>160</v>
      </c>
    </row>
    <row r="211" spans="1:8" hidden="1">
      <c r="A211" t="str">
        <f t="shared" si="3"/>
        <v>Regent Red 80 X 50 ml461430</v>
      </c>
      <c r="B211" t="str">
        <f>VLOOKUP(A211,db_masterBarang!A:C,2,0)</f>
        <v>ID1394</v>
      </c>
      <c r="C211" t="s">
        <v>15777</v>
      </c>
      <c r="D211" t="s">
        <v>13298</v>
      </c>
      <c r="E211" t="s">
        <v>1750</v>
      </c>
      <c r="F211" s="3">
        <v>46143</v>
      </c>
      <c r="G211" s="6">
        <v>0</v>
      </c>
      <c r="H211">
        <v>1600</v>
      </c>
    </row>
    <row r="212" spans="1:8" hidden="1">
      <c r="A212" t="str">
        <f t="shared" si="3"/>
        <v>Ridomil Gold MZ 4/64 WG 100 X 100 gr455970</v>
      </c>
      <c r="B212" t="str">
        <f>VLOOKUP(A212,db_masterBarang!A:C,2,0)</f>
        <v>ID1406</v>
      </c>
      <c r="C212" t="s">
        <v>15789</v>
      </c>
      <c r="D212" t="s">
        <v>13310</v>
      </c>
      <c r="E212" t="s">
        <v>1761</v>
      </c>
      <c r="F212" s="3">
        <v>45597</v>
      </c>
      <c r="G212" s="6">
        <v>0</v>
      </c>
      <c r="H212">
        <v>5</v>
      </c>
    </row>
    <row r="213" spans="1:8" hidden="1">
      <c r="A213" t="str">
        <f t="shared" si="3"/>
        <v>Ridomil Gold MZ 4/64 WG 40 X 250 gr460230</v>
      </c>
      <c r="B213" t="str">
        <f>VLOOKUP(A213,db_masterBarang!A:C,2,0)</f>
        <v>ID1412</v>
      </c>
      <c r="C213" t="s">
        <v>15795</v>
      </c>
      <c r="D213" t="s">
        <v>13316</v>
      </c>
      <c r="E213" t="s">
        <v>1771</v>
      </c>
      <c r="F213" s="3">
        <v>46023</v>
      </c>
      <c r="G213" s="6">
        <v>0</v>
      </c>
      <c r="H213">
        <v>5</v>
      </c>
    </row>
    <row r="214" spans="1:8" hidden="1">
      <c r="A214" t="str">
        <f t="shared" si="3"/>
        <v>Round Up 486 SL 12 X 1 ltr472390</v>
      </c>
      <c r="B214" t="str">
        <f>VLOOKUP(A214,db_masterBarang!A:C,2,0)</f>
        <v>ID1432</v>
      </c>
      <c r="C214" t="s">
        <v>15815</v>
      </c>
      <c r="D214" t="s">
        <v>13336</v>
      </c>
      <c r="E214" t="s">
        <v>1792</v>
      </c>
      <c r="F214" s="3">
        <v>47239</v>
      </c>
      <c r="G214" s="6">
        <v>0</v>
      </c>
      <c r="H214">
        <v>1200</v>
      </c>
    </row>
    <row r="215" spans="1:8" hidden="1">
      <c r="A215" t="str">
        <f t="shared" si="3"/>
        <v>Round Up 486 SL 4 X 4 ltr472390</v>
      </c>
      <c r="B215" t="str">
        <f>VLOOKUP(A215,db_masterBarang!A:C,2,0)</f>
        <v>ID1434</v>
      </c>
      <c r="C215" t="s">
        <v>15817</v>
      </c>
      <c r="D215" t="s">
        <v>13338</v>
      </c>
      <c r="E215" t="s">
        <v>1794</v>
      </c>
      <c r="F215" s="3">
        <v>47239</v>
      </c>
      <c r="G215" s="6">
        <v>0</v>
      </c>
      <c r="H215">
        <v>320</v>
      </c>
    </row>
    <row r="216" spans="1:8" hidden="1">
      <c r="A216" t="str">
        <f t="shared" si="3"/>
        <v>Rumpas 120 EW 100 X 100 ml461130</v>
      </c>
      <c r="B216" t="str">
        <f>VLOOKUP(A216,db_masterBarang!A:C,2,0)</f>
        <v>ID1445</v>
      </c>
      <c r="C216" t="s">
        <v>15828</v>
      </c>
      <c r="D216" t="s">
        <v>13349</v>
      </c>
      <c r="E216" t="s">
        <v>1803</v>
      </c>
      <c r="F216" s="3">
        <v>46113</v>
      </c>
      <c r="G216" s="6">
        <v>0</v>
      </c>
      <c r="H216">
        <v>2500</v>
      </c>
    </row>
    <row r="217" spans="1:8" hidden="1">
      <c r="A217" t="str">
        <f t="shared" si="3"/>
        <v>Sagri-Meth 77 SP 100 X 100 gr460820</v>
      </c>
      <c r="B217" t="str">
        <f>VLOOKUP(A217,db_masterBarang!A:C,2,0)</f>
        <v>ID1450</v>
      </c>
      <c r="C217" t="s">
        <v>15833</v>
      </c>
      <c r="D217" t="s">
        <v>13354</v>
      </c>
      <c r="E217" t="s">
        <v>1811</v>
      </c>
      <c r="F217" s="3">
        <v>46082</v>
      </c>
      <c r="G217" s="6">
        <v>0</v>
      </c>
      <c r="H217">
        <v>10</v>
      </c>
    </row>
    <row r="218" spans="1:8" hidden="1">
      <c r="A218" t="str">
        <f t="shared" si="3"/>
        <v>Score 250 EC 40 X 250 ml459920</v>
      </c>
      <c r="B218" t="str">
        <f>VLOOKUP(A218,db_masterBarang!A:C,2,0)</f>
        <v>ID1482</v>
      </c>
      <c r="C218" t="s">
        <v>15865</v>
      </c>
      <c r="D218" t="s">
        <v>13386</v>
      </c>
      <c r="E218" t="s">
        <v>1841</v>
      </c>
      <c r="F218" s="3">
        <v>45992</v>
      </c>
      <c r="G218" s="6">
        <v>0</v>
      </c>
      <c r="H218">
        <v>200</v>
      </c>
    </row>
    <row r="219" spans="1:8" hidden="1">
      <c r="A219" t="str">
        <f t="shared" si="3"/>
        <v>Score 250 EC 40 X 250 ml459920</v>
      </c>
      <c r="B219" t="str">
        <f>VLOOKUP(A219,db_masterBarang!A:C,2,0)</f>
        <v>ID1482</v>
      </c>
      <c r="C219" t="s">
        <v>15865</v>
      </c>
      <c r="D219" t="s">
        <v>13386</v>
      </c>
      <c r="E219" t="s">
        <v>1841</v>
      </c>
      <c r="F219" s="3">
        <v>45992</v>
      </c>
      <c r="G219" s="6">
        <v>0</v>
      </c>
      <c r="H219">
        <v>80</v>
      </c>
    </row>
    <row r="220" spans="1:8" hidden="1">
      <c r="A220" t="str">
        <f t="shared" si="3"/>
        <v>Score 250 EC 50 X 80 ml461130</v>
      </c>
      <c r="B220" t="str">
        <f>VLOOKUP(A220,db_masterBarang!A:C,2,0)</f>
        <v>ID1488</v>
      </c>
      <c r="C220" t="s">
        <v>15871</v>
      </c>
      <c r="D220" t="s">
        <v>13392</v>
      </c>
      <c r="E220" t="s">
        <v>1858</v>
      </c>
      <c r="F220" s="3">
        <v>46113</v>
      </c>
      <c r="G220" s="6">
        <v>0</v>
      </c>
      <c r="H220">
        <v>1250</v>
      </c>
    </row>
    <row r="221" spans="1:8" hidden="1">
      <c r="A221" t="str">
        <f t="shared" si="3"/>
        <v>Score 250 EC 50 X 80 ml461130</v>
      </c>
      <c r="B221" t="str">
        <f>VLOOKUP(A221,db_masterBarang!A:C,2,0)</f>
        <v>ID1488</v>
      </c>
      <c r="C221" t="s">
        <v>15871</v>
      </c>
      <c r="D221" t="s">
        <v>13392</v>
      </c>
      <c r="E221" t="s">
        <v>1858</v>
      </c>
      <c r="F221" s="3">
        <v>46113</v>
      </c>
      <c r="G221" s="6">
        <v>0</v>
      </c>
      <c r="H221">
        <v>100</v>
      </c>
    </row>
    <row r="222" spans="1:8" hidden="1">
      <c r="A222" t="str">
        <f t="shared" si="3"/>
        <v>Score 250 EC 50 X 80 ml461130</v>
      </c>
      <c r="B222" t="str">
        <f>VLOOKUP(A222,db_masterBarang!A:C,2,0)</f>
        <v>ID1488</v>
      </c>
      <c r="C222" t="s">
        <v>15871</v>
      </c>
      <c r="D222" t="s">
        <v>13392</v>
      </c>
      <c r="E222" t="s">
        <v>1858</v>
      </c>
      <c r="F222" s="3">
        <v>46113</v>
      </c>
      <c r="G222" s="6">
        <v>0</v>
      </c>
      <c r="H222">
        <v>500</v>
      </c>
    </row>
    <row r="223" spans="1:8" hidden="1">
      <c r="A223" t="str">
        <f t="shared" si="3"/>
        <v>Siklon 5.7 WG 4 X 40 X 25 gr470880</v>
      </c>
      <c r="B223" t="str">
        <f>VLOOKUP(A223,db_masterBarang!A:C,2,0)</f>
        <v>ID1518</v>
      </c>
      <c r="C223" t="s">
        <v>15901</v>
      </c>
      <c r="D223" t="s">
        <v>13422</v>
      </c>
      <c r="E223" t="s">
        <v>1894</v>
      </c>
      <c r="F223" s="3">
        <v>47088</v>
      </c>
      <c r="G223" s="6">
        <v>0</v>
      </c>
      <c r="H223">
        <v>40</v>
      </c>
    </row>
    <row r="224" spans="1:8" hidden="1">
      <c r="A224" t="str">
        <f t="shared" si="3"/>
        <v>Simodis 100 DC 50 X 100 ml464780</v>
      </c>
      <c r="B224" t="str">
        <f>VLOOKUP(A224,db_masterBarang!A:C,2,0)</f>
        <v>ID1520</v>
      </c>
      <c r="C224" t="s">
        <v>15903</v>
      </c>
      <c r="D224" t="s">
        <v>13424</v>
      </c>
      <c r="E224" t="s">
        <v>1895</v>
      </c>
      <c r="F224" s="3">
        <v>46478</v>
      </c>
      <c r="G224" s="6">
        <v>0</v>
      </c>
      <c r="H224">
        <v>50</v>
      </c>
    </row>
    <row r="225" spans="1:8" hidden="1">
      <c r="A225" t="str">
        <f t="shared" si="3"/>
        <v>Sivanto Prime 200 SL 100 X 100 ml460540</v>
      </c>
      <c r="B225" t="str">
        <f>VLOOKUP(A225,db_masterBarang!A:C,2,0)</f>
        <v>ID1535</v>
      </c>
      <c r="C225" t="s">
        <v>15918</v>
      </c>
      <c r="D225" t="s">
        <v>13439</v>
      </c>
      <c r="E225" t="s">
        <v>1905</v>
      </c>
      <c r="F225" s="3">
        <v>46054</v>
      </c>
      <c r="G225" s="6">
        <v>0</v>
      </c>
      <c r="H225">
        <v>10</v>
      </c>
    </row>
    <row r="226" spans="1:8" hidden="1">
      <c r="A226" t="str">
        <f t="shared" si="3"/>
        <v>Spontan 400 SL 20 X 200 ml468440</v>
      </c>
      <c r="B226" t="str">
        <f>VLOOKUP(A226,db_masterBarang!A:C,2,0)</f>
        <v>ID1554</v>
      </c>
      <c r="C226" t="s">
        <v>15937</v>
      </c>
      <c r="D226" t="s">
        <v>13458</v>
      </c>
      <c r="E226" t="s">
        <v>1934</v>
      </c>
      <c r="F226" s="3">
        <v>46844</v>
      </c>
      <c r="G226" s="6">
        <v>0</v>
      </c>
      <c r="H226">
        <v>5</v>
      </c>
    </row>
    <row r="227" spans="1:8" hidden="1">
      <c r="A227" t="str">
        <f t="shared" si="3"/>
        <v>Spontan 400 SL 20 X 500 ml468740</v>
      </c>
      <c r="B227" t="str">
        <f>VLOOKUP(A227,db_masterBarang!A:C,2,0)</f>
        <v>ID1556</v>
      </c>
      <c r="C227" t="s">
        <v>15939</v>
      </c>
      <c r="D227" t="s">
        <v>13460</v>
      </c>
      <c r="E227" t="s">
        <v>1940</v>
      </c>
      <c r="F227" s="3">
        <v>46874</v>
      </c>
      <c r="G227" s="6">
        <v>0</v>
      </c>
      <c r="H227">
        <v>20</v>
      </c>
    </row>
    <row r="228" spans="1:8" hidden="1">
      <c r="A228" t="str">
        <f t="shared" si="3"/>
        <v>Spyker 135 SL 20 X 1 ltr472390</v>
      </c>
      <c r="B228" t="str">
        <f>VLOOKUP(A228,db_masterBarang!A:C,2,0)</f>
        <v>ID1582</v>
      </c>
      <c r="C228" t="s">
        <v>15965</v>
      </c>
      <c r="D228" t="s">
        <v>13486</v>
      </c>
      <c r="E228" t="s">
        <v>1971</v>
      </c>
      <c r="F228" s="3">
        <v>47239</v>
      </c>
      <c r="G228" s="6">
        <v>0</v>
      </c>
      <c r="H228">
        <v>220</v>
      </c>
    </row>
    <row r="229" spans="1:8" hidden="1">
      <c r="A229" t="str">
        <f t="shared" si="3"/>
        <v>Stargate 0.5 GR 10 X 2 kg459310</v>
      </c>
      <c r="B229" t="str">
        <f>VLOOKUP(A229,db_masterBarang!A:C,2,0)</f>
        <v>ID1587</v>
      </c>
      <c r="C229" t="s">
        <v>15970</v>
      </c>
      <c r="D229" t="s">
        <v>13491</v>
      </c>
      <c r="E229" t="s">
        <v>1979</v>
      </c>
      <c r="F229" s="3">
        <v>45931</v>
      </c>
      <c r="G229" s="6">
        <v>0</v>
      </c>
      <c r="H229">
        <v>20</v>
      </c>
    </row>
    <row r="230" spans="1:8" hidden="1">
      <c r="A230" t="str">
        <f t="shared" si="3"/>
        <v>Symbisect 2/30 WG 50 X 100 gr470880</v>
      </c>
      <c r="B230" t="str">
        <f>VLOOKUP(A230,db_masterBarang!A:C,2,0)</f>
        <v>ID1603</v>
      </c>
      <c r="C230" t="s">
        <v>15986</v>
      </c>
      <c r="D230" t="s">
        <v>13507</v>
      </c>
      <c r="E230" t="s">
        <v>1991</v>
      </c>
      <c r="F230" s="3">
        <v>47088</v>
      </c>
      <c r="G230" s="6">
        <v>0</v>
      </c>
      <c r="H230">
        <v>50</v>
      </c>
    </row>
    <row r="231" spans="1:8" hidden="1">
      <c r="A231" t="str">
        <f t="shared" si="3"/>
        <v>Symbisect 2/30 WG 50 X 100 gr470880</v>
      </c>
      <c r="B231" t="str">
        <f>VLOOKUP(A231,db_masterBarang!A:C,2,0)</f>
        <v>ID1603</v>
      </c>
      <c r="C231" t="s">
        <v>15986</v>
      </c>
      <c r="D231" t="s">
        <v>13507</v>
      </c>
      <c r="E231" t="s">
        <v>1991</v>
      </c>
      <c r="F231" s="3">
        <v>47088</v>
      </c>
      <c r="G231" s="6">
        <v>0</v>
      </c>
      <c r="H231">
        <v>50</v>
      </c>
    </row>
    <row r="232" spans="1:8" hidden="1">
      <c r="A232" t="str">
        <f t="shared" si="3"/>
        <v>Symbisect 2/30 WG 75 X 100 gr465690</v>
      </c>
      <c r="B232" t="str">
        <f>VLOOKUP(A232,db_masterBarang!A:C,2,0)</f>
        <v>ID1604</v>
      </c>
      <c r="C232" t="s">
        <v>15987</v>
      </c>
      <c r="D232" t="s">
        <v>13508</v>
      </c>
      <c r="E232" t="s">
        <v>1992</v>
      </c>
      <c r="F232" s="3">
        <v>46569</v>
      </c>
      <c r="G232" s="6">
        <v>0</v>
      </c>
      <c r="H232">
        <v>20</v>
      </c>
    </row>
    <row r="233" spans="1:8" hidden="1">
      <c r="A233" t="str">
        <f t="shared" si="3"/>
        <v>Throne 250 EC 20 X 250 ml468130</v>
      </c>
      <c r="B233" t="str">
        <f>VLOOKUP(A233,db_masterBarang!A:C,2,0)</f>
        <v>ID1645</v>
      </c>
      <c r="C233" t="s">
        <v>16028</v>
      </c>
      <c r="D233" t="s">
        <v>13549</v>
      </c>
      <c r="E233" t="s">
        <v>2049</v>
      </c>
      <c r="F233" s="3">
        <v>46813</v>
      </c>
      <c r="G233" s="6">
        <v>0</v>
      </c>
      <c r="H233">
        <v>200</v>
      </c>
    </row>
    <row r="234" spans="1:8" hidden="1">
      <c r="A234" t="str">
        <f t="shared" si="3"/>
        <v>Topjos 300 SL 20 X 1 ltr471780</v>
      </c>
      <c r="B234" t="str">
        <f>VLOOKUP(A234,db_masterBarang!A:C,2,0)</f>
        <v>ID1662</v>
      </c>
      <c r="C234" t="s">
        <v>16045</v>
      </c>
      <c r="D234" t="s">
        <v>13566</v>
      </c>
      <c r="E234" t="s">
        <v>2075</v>
      </c>
      <c r="F234" s="3">
        <v>47178</v>
      </c>
      <c r="G234" s="6">
        <v>0</v>
      </c>
      <c r="H234">
        <v>220</v>
      </c>
    </row>
    <row r="235" spans="1:8" hidden="1">
      <c r="A235" t="str">
        <f t="shared" si="3"/>
        <v>Topjos 300 SL 20 X 1 ltr471780</v>
      </c>
      <c r="B235" t="str">
        <f>VLOOKUP(A235,db_masterBarang!A:C,2,0)</f>
        <v>ID1662</v>
      </c>
      <c r="C235" t="s">
        <v>16045</v>
      </c>
      <c r="D235" t="s">
        <v>13566</v>
      </c>
      <c r="E235" t="s">
        <v>2075</v>
      </c>
      <c r="F235" s="3">
        <v>47178</v>
      </c>
      <c r="G235" s="6">
        <v>0</v>
      </c>
      <c r="H235">
        <v>220</v>
      </c>
    </row>
    <row r="236" spans="1:8" hidden="1">
      <c r="A236" t="str">
        <f t="shared" si="3"/>
        <v>Topjos 300 SL 20 X 1 ltr471780</v>
      </c>
      <c r="B236" t="str">
        <f>VLOOKUP(A236,db_masterBarang!A:C,2,0)</f>
        <v>ID1662</v>
      </c>
      <c r="C236" t="s">
        <v>16045</v>
      </c>
      <c r="D236" t="s">
        <v>13566</v>
      </c>
      <c r="E236" t="s">
        <v>2075</v>
      </c>
      <c r="F236" s="3">
        <v>47178</v>
      </c>
      <c r="G236" s="6">
        <v>0</v>
      </c>
      <c r="H236">
        <v>10</v>
      </c>
    </row>
    <row r="237" spans="1:8" hidden="1">
      <c r="A237" t="str">
        <f t="shared" si="3"/>
        <v>Topjos 300 SL 20 X 1 ltr471780</v>
      </c>
      <c r="B237" t="str">
        <f>VLOOKUP(A237,db_masterBarang!A:C,2,0)</f>
        <v>ID1662</v>
      </c>
      <c r="C237" t="s">
        <v>16045</v>
      </c>
      <c r="D237" t="s">
        <v>13566</v>
      </c>
      <c r="E237" t="s">
        <v>2075</v>
      </c>
      <c r="F237" s="3">
        <v>47178</v>
      </c>
      <c r="G237" s="6">
        <v>0</v>
      </c>
      <c r="H237">
        <v>220</v>
      </c>
    </row>
    <row r="238" spans="1:8" hidden="1">
      <c r="A238" t="str">
        <f t="shared" si="3"/>
        <v>Trigard 75 WP 12 X 10 X 25 gr460540</v>
      </c>
      <c r="B238" t="str">
        <f>VLOOKUP(A238,db_masterBarang!A:C,2,0)</f>
        <v>ID1669</v>
      </c>
      <c r="C238" t="s">
        <v>16052</v>
      </c>
      <c r="D238" t="s">
        <v>13573</v>
      </c>
      <c r="E238" t="s">
        <v>2082</v>
      </c>
      <c r="F238" s="3">
        <v>46054</v>
      </c>
      <c r="G238" s="6">
        <v>0</v>
      </c>
      <c r="H238">
        <v>120</v>
      </c>
    </row>
    <row r="239" spans="1:8" hidden="1">
      <c r="A239" t="str">
        <f t="shared" si="3"/>
        <v>Trip Oil 100 X 50 ml468740</v>
      </c>
      <c r="B239" t="str">
        <f>VLOOKUP(A239,db_masterBarang!A:C,2,0)</f>
        <v>ID1671</v>
      </c>
      <c r="C239" t="s">
        <v>16054</v>
      </c>
      <c r="D239" t="s">
        <v>13575</v>
      </c>
      <c r="E239" t="s">
        <v>2084</v>
      </c>
      <c r="F239" s="3">
        <v>46874</v>
      </c>
      <c r="G239" s="6">
        <v>0</v>
      </c>
      <c r="H239">
        <v>20</v>
      </c>
    </row>
    <row r="240" spans="1:8" hidden="1">
      <c r="A240" t="str">
        <f t="shared" si="3"/>
        <v>Unihit 120 SC 100 X 100 ml463570</v>
      </c>
      <c r="B240" t="str">
        <f>VLOOKUP(A240,db_masterBarang!A:C,2,0)</f>
        <v>ID1698</v>
      </c>
      <c r="C240" t="s">
        <v>16081</v>
      </c>
      <c r="D240" t="s">
        <v>13602</v>
      </c>
      <c r="E240" t="s">
        <v>2107</v>
      </c>
      <c r="F240" s="3">
        <v>46357</v>
      </c>
      <c r="G240" s="6">
        <v>0</v>
      </c>
      <c r="H240">
        <v>100</v>
      </c>
    </row>
    <row r="241" spans="1:8" hidden="1">
      <c r="A241" t="str">
        <f t="shared" si="3"/>
        <v>Unihit 120 SC 20 X 500 ml462960</v>
      </c>
      <c r="B241" t="str">
        <f>VLOOKUP(A241,db_masterBarang!A:C,2,0)</f>
        <v>ID1700</v>
      </c>
      <c r="C241" t="s">
        <v>16083</v>
      </c>
      <c r="D241" t="s">
        <v>13604</v>
      </c>
      <c r="E241" t="s">
        <v>2109</v>
      </c>
      <c r="F241" s="3">
        <v>46296</v>
      </c>
      <c r="G241" s="6">
        <v>0</v>
      </c>
      <c r="H241">
        <v>2</v>
      </c>
    </row>
    <row r="242" spans="1:8" hidden="1">
      <c r="A242" t="str">
        <f t="shared" si="3"/>
        <v>Unihit 120 SC 40 X 250 ml463570</v>
      </c>
      <c r="B242" t="str">
        <f>VLOOKUP(A242,db_masterBarang!A:C,2,0)</f>
        <v>ID1701</v>
      </c>
      <c r="C242" t="s">
        <v>16084</v>
      </c>
      <c r="D242" t="s">
        <v>13605</v>
      </c>
      <c r="E242" t="s">
        <v>2110</v>
      </c>
      <c r="F242" s="3">
        <v>46357</v>
      </c>
      <c r="G242" s="6">
        <v>0</v>
      </c>
      <c r="H242">
        <v>16</v>
      </c>
    </row>
    <row r="243" spans="1:8" hidden="1">
      <c r="A243" t="str">
        <f t="shared" si="3"/>
        <v>Uprise 50 X 100 ml458390</v>
      </c>
      <c r="B243" t="str">
        <f>VLOOKUP(A243,db_masterBarang!A:C,2,0)</f>
        <v>ID1712</v>
      </c>
      <c r="C243" t="s">
        <v>16095</v>
      </c>
      <c r="D243" t="s">
        <v>13616</v>
      </c>
      <c r="E243" t="s">
        <v>2117</v>
      </c>
      <c r="F243" s="3">
        <v>45839</v>
      </c>
      <c r="G243" s="6">
        <v>0</v>
      </c>
      <c r="H243">
        <v>25</v>
      </c>
    </row>
    <row r="244" spans="1:8" hidden="1">
      <c r="A244" t="str">
        <f t="shared" si="3"/>
        <v>Uprise 50 X 100 ml458390</v>
      </c>
      <c r="B244" t="str">
        <f>VLOOKUP(A244,db_masterBarang!A:C,2,0)</f>
        <v>ID1712</v>
      </c>
      <c r="C244" t="s">
        <v>16095</v>
      </c>
      <c r="D244" t="s">
        <v>13616</v>
      </c>
      <c r="E244" t="s">
        <v>2117</v>
      </c>
      <c r="F244" s="3">
        <v>45839</v>
      </c>
      <c r="G244" s="6">
        <v>0</v>
      </c>
      <c r="H244">
        <v>30</v>
      </c>
    </row>
    <row r="245" spans="1:8" hidden="1">
      <c r="A245" t="str">
        <f t="shared" si="3"/>
        <v>Virtako 300 SC 10 X 20 X 10 ml461430</v>
      </c>
      <c r="B245" t="str">
        <f>VLOOKUP(A245,db_masterBarang!A:C,2,0)</f>
        <v>ID1727</v>
      </c>
      <c r="C245" t="s">
        <v>16110</v>
      </c>
      <c r="D245" t="s">
        <v>13631</v>
      </c>
      <c r="E245" t="s">
        <v>2136</v>
      </c>
      <c r="F245" s="3">
        <v>46143</v>
      </c>
      <c r="G245" s="6">
        <v>0</v>
      </c>
      <c r="H245">
        <v>5000</v>
      </c>
    </row>
    <row r="246" spans="1:8" hidden="1">
      <c r="A246" t="str">
        <f t="shared" si="3"/>
        <v>Virtako 300 SC 50 X 100 ml462040</v>
      </c>
      <c r="B246" t="str">
        <f>VLOOKUP(A246,db_masterBarang!A:C,2,0)</f>
        <v>ID1730</v>
      </c>
      <c r="C246" t="s">
        <v>16113</v>
      </c>
      <c r="D246" t="s">
        <v>13634</v>
      </c>
      <c r="E246" t="s">
        <v>2148</v>
      </c>
      <c r="F246" s="3">
        <v>46204</v>
      </c>
      <c r="G246" s="6">
        <v>0</v>
      </c>
      <c r="H246">
        <v>20</v>
      </c>
    </row>
    <row r="247" spans="1:8" hidden="1">
      <c r="A247" t="str">
        <f t="shared" si="3"/>
        <v>Virtako 300 SC 50 X 100 ml462040</v>
      </c>
      <c r="B247" t="str">
        <f>VLOOKUP(A247,db_masterBarang!A:C,2,0)</f>
        <v>ID1730</v>
      </c>
      <c r="C247" t="s">
        <v>16113</v>
      </c>
      <c r="D247" t="s">
        <v>13634</v>
      </c>
      <c r="E247" t="s">
        <v>2148</v>
      </c>
      <c r="F247" s="3">
        <v>46204</v>
      </c>
      <c r="G247" s="6">
        <v>0</v>
      </c>
      <c r="H247">
        <v>50</v>
      </c>
    </row>
    <row r="248" spans="1:8" hidden="1">
      <c r="A248" t="str">
        <f t="shared" si="3"/>
        <v>Walang 50 EC 25 X 400 ml469970</v>
      </c>
      <c r="B248" t="str">
        <f>VLOOKUP(A248,db_masterBarang!A:C,2,0)</f>
        <v>ID1744</v>
      </c>
      <c r="C248" t="s">
        <v>16127</v>
      </c>
      <c r="D248" t="s">
        <v>13648</v>
      </c>
      <c r="E248" t="s">
        <v>2159</v>
      </c>
      <c r="F248" s="3">
        <v>46997</v>
      </c>
      <c r="G248" s="6">
        <v>0</v>
      </c>
      <c r="H248">
        <v>50</v>
      </c>
    </row>
    <row r="249" spans="1:8" hidden="1">
      <c r="A249" t="str">
        <f t="shared" si="3"/>
        <v>Wendry 75 WP 100 X 100 gr (M2U)461430</v>
      </c>
      <c r="B249" t="str">
        <f>VLOOKUP(A249,db_masterBarang!A:C,2,0)</f>
        <v>ID1745</v>
      </c>
      <c r="C249" t="s">
        <v>16128</v>
      </c>
      <c r="D249" t="s">
        <v>13649</v>
      </c>
      <c r="E249" t="s">
        <v>2160</v>
      </c>
      <c r="F249" s="3">
        <v>46143</v>
      </c>
      <c r="G249" s="6">
        <v>0</v>
      </c>
      <c r="H249">
        <v>20</v>
      </c>
    </row>
    <row r="250" spans="1:8" hidden="1">
      <c r="A250" t="str">
        <f t="shared" si="3"/>
        <v>Wendry 75 WP 20 X 500 gr (M2U)463880</v>
      </c>
      <c r="B250" t="str">
        <f>VLOOKUP(A250,db_masterBarang!A:C,2,0)</f>
        <v>ID1747</v>
      </c>
      <c r="C250" t="s">
        <v>16130</v>
      </c>
      <c r="D250" t="s">
        <v>13651</v>
      </c>
      <c r="E250" t="s">
        <v>2161</v>
      </c>
      <c r="F250" s="3">
        <v>46388</v>
      </c>
      <c r="G250" s="6">
        <v>0</v>
      </c>
      <c r="H250">
        <v>60</v>
      </c>
    </row>
    <row r="251" spans="1:8" hidden="1">
      <c r="A251" t="str">
        <f t="shared" si="3"/>
        <v>Atonik 6.0 L 15 X 500 ml472390</v>
      </c>
      <c r="B251" t="str">
        <f>VLOOKUP(A251,db_masterBarang!A:C,2,0)</f>
        <v>ID182</v>
      </c>
      <c r="C251" t="s">
        <v>14565</v>
      </c>
      <c r="D251" t="s">
        <v>12086</v>
      </c>
      <c r="E251" t="s">
        <v>256</v>
      </c>
      <c r="F251" s="3">
        <v>47239</v>
      </c>
      <c r="G251" s="6">
        <v>0</v>
      </c>
      <c r="H251">
        <v>15</v>
      </c>
    </row>
    <row r="252" spans="1:8" hidden="1">
      <c r="A252" t="str">
        <f t="shared" si="3"/>
        <v>Atonik 6.0 L 15 X 500 ml472390</v>
      </c>
      <c r="B252" t="str">
        <f>VLOOKUP(A252,db_masterBarang!A:C,2,0)</f>
        <v>ID182</v>
      </c>
      <c r="C252" t="s">
        <v>14565</v>
      </c>
      <c r="D252" t="s">
        <v>12086</v>
      </c>
      <c r="E252" t="s">
        <v>256</v>
      </c>
      <c r="F252" s="3">
        <v>47239</v>
      </c>
      <c r="G252" s="6">
        <v>0</v>
      </c>
      <c r="H252">
        <v>75</v>
      </c>
    </row>
    <row r="253" spans="1:8" hidden="1">
      <c r="A253" t="str">
        <f t="shared" si="3"/>
        <v>Calcium D-Diana 20 X 1 kg472390</v>
      </c>
      <c r="B253" t="str">
        <f>VLOOKUP(A253,db_masterBarang!A:C,2,0)</f>
        <v>ID333</v>
      </c>
      <c r="C253" t="s">
        <v>14716</v>
      </c>
      <c r="D253" t="s">
        <v>12237</v>
      </c>
      <c r="E253" t="s">
        <v>465</v>
      </c>
      <c r="F253" s="3">
        <v>47239</v>
      </c>
      <c r="G253" s="6">
        <v>0</v>
      </c>
      <c r="H253">
        <v>20</v>
      </c>
    </row>
    <row r="254" spans="1:8" hidden="1">
      <c r="A254" t="str">
        <f t="shared" si="3"/>
        <v>Dewa Dewi 15 X 1 ltr472390</v>
      </c>
      <c r="B254" t="str">
        <f>VLOOKUP(A254,db_masterBarang!A:C,2,0)</f>
        <v>ID432</v>
      </c>
      <c r="C254" t="s">
        <v>14815</v>
      </c>
      <c r="D254" t="s">
        <v>12336</v>
      </c>
      <c r="E254" t="s">
        <v>590</v>
      </c>
      <c r="F254" s="3">
        <v>47239</v>
      </c>
      <c r="G254" s="6">
        <v>0</v>
      </c>
      <c r="H254">
        <v>150</v>
      </c>
    </row>
    <row r="255" spans="1:8" hidden="1">
      <c r="A255" t="str">
        <f t="shared" si="3"/>
        <v>EM-4 Pertanian (LK) 15 X 1 ltr461130</v>
      </c>
      <c r="B255" t="str">
        <f>VLOOKUP(A255,db_masterBarang!A:C,2,0)</f>
        <v>ID458</v>
      </c>
      <c r="C255" t="s">
        <v>14841</v>
      </c>
      <c r="D255" t="s">
        <v>12362</v>
      </c>
      <c r="E255" t="s">
        <v>616</v>
      </c>
      <c r="F255" s="3">
        <v>46113</v>
      </c>
      <c r="G255" s="6">
        <v>0</v>
      </c>
      <c r="H255">
        <v>150</v>
      </c>
    </row>
    <row r="256" spans="1:8" hidden="1">
      <c r="A256" t="str">
        <f t="shared" si="3"/>
        <v>EM-4 Pertanian (LK) 15 X 1 ltr461130</v>
      </c>
      <c r="B256" t="str">
        <f>VLOOKUP(A256,db_masterBarang!A:C,2,0)</f>
        <v>ID458</v>
      </c>
      <c r="C256" t="s">
        <v>14841</v>
      </c>
      <c r="D256" t="s">
        <v>12362</v>
      </c>
      <c r="E256" t="s">
        <v>616</v>
      </c>
      <c r="F256" s="3">
        <v>46113</v>
      </c>
      <c r="G256" s="6">
        <v>0</v>
      </c>
      <c r="H256">
        <v>330</v>
      </c>
    </row>
    <row r="257" spans="1:8" hidden="1">
      <c r="A257" t="str">
        <f t="shared" si="3"/>
        <v>EM-4 Pertanian (LK) 15 X 1 ltr460820</v>
      </c>
      <c r="B257" t="str">
        <f>VLOOKUP(A257,db_masterBarang!A:C,2,0)</f>
        <v>ID457</v>
      </c>
      <c r="C257" t="s">
        <v>14840</v>
      </c>
      <c r="D257" t="s">
        <v>12361</v>
      </c>
      <c r="E257" t="s">
        <v>616</v>
      </c>
      <c r="F257" s="3">
        <v>46082</v>
      </c>
      <c r="G257" s="6">
        <v>0</v>
      </c>
      <c r="H257">
        <v>45</v>
      </c>
    </row>
    <row r="258" spans="1:8" hidden="1">
      <c r="A258" t="str">
        <f t="shared" si="3"/>
        <v>EM-4 Pertanian (LK) 15 X 1 ltr461130</v>
      </c>
      <c r="B258" t="str">
        <f>VLOOKUP(A258,db_masterBarang!A:C,2,0)</f>
        <v>ID458</v>
      </c>
      <c r="C258" t="s">
        <v>14841</v>
      </c>
      <c r="D258" t="s">
        <v>12362</v>
      </c>
      <c r="E258" t="s">
        <v>616</v>
      </c>
      <c r="F258" s="3">
        <v>46113</v>
      </c>
      <c r="G258" s="6">
        <v>0</v>
      </c>
      <c r="H258">
        <v>150</v>
      </c>
    </row>
    <row r="259" spans="1:8" hidden="1">
      <c r="A259" t="str">
        <f t="shared" ref="A259:A322" si="4">E259&amp;F259&amp;G259</f>
        <v>EM-4 Tambak (LM) 15 X 1 ltr460820</v>
      </c>
      <c r="B259" t="str">
        <f>VLOOKUP(A259,db_masterBarang!A:C,2,0)</f>
        <v>ID459</v>
      </c>
      <c r="C259" t="s">
        <v>14842</v>
      </c>
      <c r="D259" t="s">
        <v>12363</v>
      </c>
      <c r="E259" t="s">
        <v>617</v>
      </c>
      <c r="F259" s="3">
        <v>46082</v>
      </c>
      <c r="G259" s="6">
        <v>0</v>
      </c>
      <c r="H259">
        <v>30</v>
      </c>
    </row>
    <row r="260" spans="1:8" hidden="1">
      <c r="A260" t="str">
        <f t="shared" si="4"/>
        <v>Gandasil B/K 144 X 100 gr462960</v>
      </c>
      <c r="B260" t="str">
        <f>VLOOKUP(A260,db_masterBarang!A:C,2,0)</f>
        <v>ID549</v>
      </c>
      <c r="C260" t="s">
        <v>14932</v>
      </c>
      <c r="D260" t="s">
        <v>12453</v>
      </c>
      <c r="E260" t="s">
        <v>695</v>
      </c>
      <c r="F260" s="3">
        <v>46296</v>
      </c>
      <c r="G260" s="6">
        <v>0</v>
      </c>
      <c r="H260">
        <v>144</v>
      </c>
    </row>
    <row r="261" spans="1:8" hidden="1">
      <c r="A261" t="str">
        <f t="shared" si="4"/>
        <v>Gandasil B/K 24 X 500 gr464780</v>
      </c>
      <c r="B261" t="str">
        <f>VLOOKUP(A261,db_masterBarang!A:C,2,0)</f>
        <v>ID550</v>
      </c>
      <c r="C261" t="s">
        <v>14933</v>
      </c>
      <c r="D261" t="s">
        <v>12454</v>
      </c>
      <c r="E261" t="s">
        <v>705</v>
      </c>
      <c r="F261" s="3">
        <v>46478</v>
      </c>
      <c r="G261" s="6">
        <v>0</v>
      </c>
      <c r="H261">
        <v>120</v>
      </c>
    </row>
    <row r="262" spans="1:8" hidden="1">
      <c r="A262" t="str">
        <f t="shared" si="4"/>
        <v>Gandasil B/K 24 X 500 gr464780</v>
      </c>
      <c r="B262" t="str">
        <f>VLOOKUP(A262,db_masterBarang!A:C,2,0)</f>
        <v>ID550</v>
      </c>
      <c r="C262" t="s">
        <v>14933</v>
      </c>
      <c r="D262" t="s">
        <v>12454</v>
      </c>
      <c r="E262" t="s">
        <v>705</v>
      </c>
      <c r="F262" s="3">
        <v>46478</v>
      </c>
      <c r="G262" s="6">
        <v>0</v>
      </c>
      <c r="H262">
        <v>48</v>
      </c>
    </row>
    <row r="263" spans="1:8" hidden="1">
      <c r="A263" t="str">
        <f t="shared" si="4"/>
        <v>Gandasil B/K 24 X 500 gr464780</v>
      </c>
      <c r="B263" t="str">
        <f>VLOOKUP(A263,db_masterBarang!A:C,2,0)</f>
        <v>ID550</v>
      </c>
      <c r="C263" t="s">
        <v>14933</v>
      </c>
      <c r="D263" t="s">
        <v>12454</v>
      </c>
      <c r="E263" t="s">
        <v>705</v>
      </c>
      <c r="F263" s="3">
        <v>46478</v>
      </c>
      <c r="G263" s="6">
        <v>0</v>
      </c>
      <c r="H263">
        <v>24</v>
      </c>
    </row>
    <row r="264" spans="1:8" hidden="1">
      <c r="A264" t="str">
        <f t="shared" si="4"/>
        <v>Gandasil B/K 24 X 500 gr464780</v>
      </c>
      <c r="B264" t="str">
        <f>VLOOKUP(A264,db_masterBarang!A:C,2,0)</f>
        <v>ID550</v>
      </c>
      <c r="C264" t="s">
        <v>14933</v>
      </c>
      <c r="D264" t="s">
        <v>12454</v>
      </c>
      <c r="E264" t="s">
        <v>705</v>
      </c>
      <c r="F264" s="3">
        <v>46478</v>
      </c>
      <c r="G264" s="6">
        <v>0</v>
      </c>
      <c r="H264">
        <v>24</v>
      </c>
    </row>
    <row r="265" spans="1:8" hidden="1">
      <c r="A265" t="str">
        <f t="shared" si="4"/>
        <v>Gandasil B/K 24 X 500 gr464780</v>
      </c>
      <c r="B265" t="str">
        <f>VLOOKUP(A265,db_masterBarang!A:C,2,0)</f>
        <v>ID550</v>
      </c>
      <c r="C265" t="s">
        <v>14933</v>
      </c>
      <c r="D265" t="s">
        <v>12454</v>
      </c>
      <c r="E265" t="s">
        <v>705</v>
      </c>
      <c r="F265" s="3">
        <v>46478</v>
      </c>
      <c r="G265" s="6">
        <v>0</v>
      </c>
      <c r="H265">
        <v>120</v>
      </c>
    </row>
    <row r="266" spans="1:8" hidden="1">
      <c r="A266" t="str">
        <f t="shared" si="4"/>
        <v>Gandasil D/H 144 X 100 gr461130</v>
      </c>
      <c r="B266" t="str">
        <f>VLOOKUP(A266,db_masterBarang!A:C,2,0)</f>
        <v>ID556</v>
      </c>
      <c r="C266" t="s">
        <v>14939</v>
      </c>
      <c r="D266" t="s">
        <v>12460</v>
      </c>
      <c r="E266" t="s">
        <v>709</v>
      </c>
      <c r="F266" s="3">
        <v>46113</v>
      </c>
      <c r="G266" s="6">
        <v>0</v>
      </c>
      <c r="H266">
        <v>720</v>
      </c>
    </row>
    <row r="267" spans="1:8" hidden="1">
      <c r="A267" t="str">
        <f t="shared" si="4"/>
        <v>Gandasil D/H 144 X 100 gr461130</v>
      </c>
      <c r="B267" t="str">
        <f>VLOOKUP(A267,db_masterBarang!A:C,2,0)</f>
        <v>ID556</v>
      </c>
      <c r="C267" t="s">
        <v>14939</v>
      </c>
      <c r="D267" t="s">
        <v>12460</v>
      </c>
      <c r="E267" t="s">
        <v>709</v>
      </c>
      <c r="F267" s="3">
        <v>46113</v>
      </c>
      <c r="G267" s="6">
        <v>0</v>
      </c>
      <c r="H267">
        <v>144</v>
      </c>
    </row>
    <row r="268" spans="1:8" hidden="1">
      <c r="A268" t="str">
        <f t="shared" si="4"/>
        <v>Gandasil D/H 144 X 100 gr461130</v>
      </c>
      <c r="B268" t="str">
        <f>VLOOKUP(A268,db_masterBarang!A:C,2,0)</f>
        <v>ID556</v>
      </c>
      <c r="C268" t="s">
        <v>14939</v>
      </c>
      <c r="D268" t="s">
        <v>12460</v>
      </c>
      <c r="E268" t="s">
        <v>709</v>
      </c>
      <c r="F268" s="3">
        <v>46113</v>
      </c>
      <c r="G268" s="6">
        <v>0</v>
      </c>
      <c r="H268">
        <v>432</v>
      </c>
    </row>
    <row r="269" spans="1:8" hidden="1">
      <c r="A269" t="str">
        <f t="shared" si="4"/>
        <v>Gandasil D/H 144 X 100 gr461130</v>
      </c>
      <c r="B269" t="str">
        <f>VLOOKUP(A269,db_masterBarang!A:C,2,0)</f>
        <v>ID556</v>
      </c>
      <c r="C269" t="s">
        <v>14939</v>
      </c>
      <c r="D269" t="s">
        <v>12460</v>
      </c>
      <c r="E269" t="s">
        <v>709</v>
      </c>
      <c r="F269" s="3">
        <v>46113</v>
      </c>
      <c r="G269" s="6">
        <v>0</v>
      </c>
      <c r="H269">
        <v>720</v>
      </c>
    </row>
    <row r="270" spans="1:8" hidden="1">
      <c r="A270" t="str">
        <f t="shared" si="4"/>
        <v>Gandasil D/H 144 X 100 gr461130</v>
      </c>
      <c r="B270" t="str">
        <f>VLOOKUP(A270,db_masterBarang!A:C,2,0)</f>
        <v>ID556</v>
      </c>
      <c r="C270" t="s">
        <v>14939</v>
      </c>
      <c r="D270" t="s">
        <v>12460</v>
      </c>
      <c r="E270" t="s">
        <v>709</v>
      </c>
      <c r="F270" s="3">
        <v>46113</v>
      </c>
      <c r="G270" s="6">
        <v>0</v>
      </c>
      <c r="H270">
        <v>144</v>
      </c>
    </row>
    <row r="271" spans="1:8" hidden="1">
      <c r="A271" t="str">
        <f t="shared" si="4"/>
        <v>Gandasil D/H 24 X 500 gr464190</v>
      </c>
      <c r="B271" t="str">
        <f>VLOOKUP(A271,db_masterBarang!A:C,2,0)</f>
        <v>ID557</v>
      </c>
      <c r="C271" t="s">
        <v>14940</v>
      </c>
      <c r="D271" t="s">
        <v>12461</v>
      </c>
      <c r="E271" t="s">
        <v>726</v>
      </c>
      <c r="F271" s="3">
        <v>46419</v>
      </c>
      <c r="G271" s="6">
        <v>0</v>
      </c>
      <c r="H271">
        <v>120</v>
      </c>
    </row>
    <row r="272" spans="1:8" hidden="1">
      <c r="A272" t="str">
        <f t="shared" si="4"/>
        <v>Gandasil D/H 24 X 500 gr464190</v>
      </c>
      <c r="B272" t="str">
        <f>VLOOKUP(A272,db_masterBarang!A:C,2,0)</f>
        <v>ID557</v>
      </c>
      <c r="C272" t="s">
        <v>14940</v>
      </c>
      <c r="D272" t="s">
        <v>12461</v>
      </c>
      <c r="E272" t="s">
        <v>726</v>
      </c>
      <c r="F272" s="3">
        <v>46419</v>
      </c>
      <c r="G272" s="6">
        <v>0</v>
      </c>
      <c r="H272">
        <v>48</v>
      </c>
    </row>
    <row r="273" spans="1:8" hidden="1">
      <c r="A273" t="str">
        <f t="shared" si="4"/>
        <v>Gandasil D/H 24 X 500 gr465080</v>
      </c>
      <c r="B273" t="str">
        <f>VLOOKUP(A273,db_masterBarang!A:C,2,0)</f>
        <v>ID558</v>
      </c>
      <c r="C273" t="s">
        <v>14941</v>
      </c>
      <c r="D273" t="s">
        <v>12462</v>
      </c>
      <c r="E273" t="s">
        <v>726</v>
      </c>
      <c r="F273" s="3">
        <v>46508</v>
      </c>
      <c r="G273" s="6">
        <v>0</v>
      </c>
      <c r="H273">
        <v>24</v>
      </c>
    </row>
    <row r="274" spans="1:8" hidden="1">
      <c r="A274" t="str">
        <f t="shared" si="4"/>
        <v>Gandasil D/H 24 X 500 gr465080</v>
      </c>
      <c r="B274" t="str">
        <f>VLOOKUP(A274,db_masterBarang!A:C,2,0)</f>
        <v>ID558</v>
      </c>
      <c r="C274" t="s">
        <v>14941</v>
      </c>
      <c r="D274" t="s">
        <v>12462</v>
      </c>
      <c r="E274" t="s">
        <v>726</v>
      </c>
      <c r="F274" s="3">
        <v>46508</v>
      </c>
      <c r="G274" s="6">
        <v>0</v>
      </c>
      <c r="H274">
        <v>24</v>
      </c>
    </row>
    <row r="275" spans="1:8" hidden="1">
      <c r="A275" t="str">
        <f t="shared" si="4"/>
        <v>Gandasil D/H 24 X 500 gr465080</v>
      </c>
      <c r="B275" t="str">
        <f>VLOOKUP(A275,db_masterBarang!A:C,2,0)</f>
        <v>ID558</v>
      </c>
      <c r="C275" t="s">
        <v>14941</v>
      </c>
      <c r="D275" t="s">
        <v>12462</v>
      </c>
      <c r="E275" t="s">
        <v>726</v>
      </c>
      <c r="F275" s="3">
        <v>46508</v>
      </c>
      <c r="G275" s="6">
        <v>0</v>
      </c>
      <c r="H275">
        <v>240</v>
      </c>
    </row>
    <row r="276" spans="1:8" hidden="1">
      <c r="A276" t="str">
        <f t="shared" si="4"/>
        <v>Gandasil D/H 24 X 500 gr465080</v>
      </c>
      <c r="B276" t="str">
        <f>VLOOKUP(A276,db_masterBarang!A:C,2,0)</f>
        <v>ID558</v>
      </c>
      <c r="C276" t="s">
        <v>14941</v>
      </c>
      <c r="D276" t="s">
        <v>12462</v>
      </c>
      <c r="E276" t="s">
        <v>726</v>
      </c>
      <c r="F276" s="3">
        <v>46508</v>
      </c>
      <c r="G276" s="6">
        <v>0</v>
      </c>
      <c r="H276">
        <v>120</v>
      </c>
    </row>
    <row r="277" spans="1:8" hidden="1">
      <c r="A277" t="str">
        <f t="shared" si="4"/>
        <v>Gandasil D/H 24 X 500 gr465080</v>
      </c>
      <c r="B277" t="str">
        <f>VLOOKUP(A277,db_masterBarang!A:C,2,0)</f>
        <v>ID558</v>
      </c>
      <c r="C277" t="s">
        <v>14941</v>
      </c>
      <c r="D277" t="s">
        <v>12462</v>
      </c>
      <c r="E277" t="s">
        <v>726</v>
      </c>
      <c r="F277" s="3">
        <v>46508</v>
      </c>
      <c r="G277" s="6">
        <v>0</v>
      </c>
      <c r="H277">
        <v>240</v>
      </c>
    </row>
    <row r="278" spans="1:8" hidden="1">
      <c r="A278" t="str">
        <f t="shared" si="4"/>
        <v>GG Bunga 50 X 100 ml463880</v>
      </c>
      <c r="B278" t="str">
        <f>VLOOKUP(A278,db_masterBarang!A:C,2,0)</f>
        <v>ID587</v>
      </c>
      <c r="C278" t="s">
        <v>14970</v>
      </c>
      <c r="D278" t="s">
        <v>12491</v>
      </c>
      <c r="E278" t="s">
        <v>749</v>
      </c>
      <c r="F278" s="3">
        <v>46388</v>
      </c>
      <c r="G278" s="6">
        <v>0</v>
      </c>
      <c r="H278">
        <v>20</v>
      </c>
    </row>
    <row r="279" spans="1:8" hidden="1">
      <c r="A279" t="str">
        <f t="shared" si="4"/>
        <v>Hara Garuda 20 X 1 kg472390</v>
      </c>
      <c r="B279" t="str">
        <f>VLOOKUP(A279,db_masterBarang!A:C,2,0)</f>
        <v>ID639</v>
      </c>
      <c r="C279" t="s">
        <v>15022</v>
      </c>
      <c r="D279" t="s">
        <v>12543</v>
      </c>
      <c r="E279" t="s">
        <v>796</v>
      </c>
      <c r="F279" s="3">
        <v>47239</v>
      </c>
      <c r="G279" s="6">
        <v>0</v>
      </c>
      <c r="H279">
        <v>200</v>
      </c>
    </row>
    <row r="280" spans="1:8" hidden="1">
      <c r="A280" t="str">
        <f t="shared" si="4"/>
        <v>KNO3 Merah P Tani 15 X 2 kg465080</v>
      </c>
      <c r="B280" t="str">
        <f>VLOOKUP(A280,db_masterBarang!A:C,2,0)</f>
        <v>ID834</v>
      </c>
      <c r="C280" t="s">
        <v>15217</v>
      </c>
      <c r="D280" t="s">
        <v>12738</v>
      </c>
      <c r="E280" t="s">
        <v>1187</v>
      </c>
      <c r="F280" s="3">
        <v>46508</v>
      </c>
      <c r="G280" s="6">
        <v>0</v>
      </c>
      <c r="H280">
        <v>15</v>
      </c>
    </row>
    <row r="281" spans="1:8" hidden="1">
      <c r="A281" t="str">
        <f t="shared" si="4"/>
        <v>KNO3 Merah P Tani 15 X 2 kg465080</v>
      </c>
      <c r="B281" t="str">
        <f>VLOOKUP(A281,db_masterBarang!A:C,2,0)</f>
        <v>ID834</v>
      </c>
      <c r="C281" t="s">
        <v>15217</v>
      </c>
      <c r="D281" t="s">
        <v>12738</v>
      </c>
      <c r="E281" t="s">
        <v>1187</v>
      </c>
      <c r="F281" s="3">
        <v>46508</v>
      </c>
      <c r="G281" s="6">
        <v>0</v>
      </c>
      <c r="H281">
        <v>1</v>
      </c>
    </row>
    <row r="282" spans="1:8" hidden="1">
      <c r="A282" t="str">
        <f t="shared" si="4"/>
        <v>KNO3 Merah P Tani 15 X 2 kg465080</v>
      </c>
      <c r="B282" t="str">
        <f>VLOOKUP(A282,db_masterBarang!A:C,2,0)</f>
        <v>ID834</v>
      </c>
      <c r="C282" t="s">
        <v>15217</v>
      </c>
      <c r="D282" t="s">
        <v>12738</v>
      </c>
      <c r="E282" t="s">
        <v>1187</v>
      </c>
      <c r="F282" s="3">
        <v>46508</v>
      </c>
      <c r="G282" s="6">
        <v>0</v>
      </c>
      <c r="H282">
        <v>74</v>
      </c>
    </row>
    <row r="283" spans="1:8" hidden="1">
      <c r="A283" t="str">
        <f t="shared" si="4"/>
        <v>KNO3 Merah P Tani 15 X 2 kg465080</v>
      </c>
      <c r="B283" t="str">
        <f>VLOOKUP(A283,db_masterBarang!A:C,2,0)</f>
        <v>ID834</v>
      </c>
      <c r="C283" t="s">
        <v>15217</v>
      </c>
      <c r="D283" t="s">
        <v>12738</v>
      </c>
      <c r="E283" t="s">
        <v>1187</v>
      </c>
      <c r="F283" s="3">
        <v>46508</v>
      </c>
      <c r="G283" s="6">
        <v>0</v>
      </c>
      <c r="H283">
        <v>75</v>
      </c>
    </row>
    <row r="284" spans="1:8" hidden="1">
      <c r="A284" t="str">
        <f t="shared" si="4"/>
        <v>KNO3 Merah P Tani 15 X 2 kg465080</v>
      </c>
      <c r="B284" t="str">
        <f>VLOOKUP(A284,db_masterBarang!A:C,2,0)</f>
        <v>ID834</v>
      </c>
      <c r="C284" t="s">
        <v>15217</v>
      </c>
      <c r="D284" t="s">
        <v>12738</v>
      </c>
      <c r="E284" t="s">
        <v>1187</v>
      </c>
      <c r="F284" s="3">
        <v>46508</v>
      </c>
      <c r="G284" s="6">
        <v>0</v>
      </c>
      <c r="H284">
        <v>450</v>
      </c>
    </row>
    <row r="285" spans="1:8" hidden="1">
      <c r="A285" t="str">
        <f t="shared" si="4"/>
        <v>KNO3 Putih P Tani 15 X 2 kg463880</v>
      </c>
      <c r="B285" t="str">
        <f>VLOOKUP(A285,db_masterBarang!A:C,2,0)</f>
        <v>ID835</v>
      </c>
      <c r="C285" t="s">
        <v>15218</v>
      </c>
      <c r="D285" t="s">
        <v>12739</v>
      </c>
      <c r="E285" t="s">
        <v>1188</v>
      </c>
      <c r="F285" s="3">
        <v>46388</v>
      </c>
      <c r="G285" s="6">
        <v>0</v>
      </c>
      <c r="H285">
        <v>75</v>
      </c>
    </row>
    <row r="286" spans="1:8" hidden="1">
      <c r="A286" t="str">
        <f t="shared" si="4"/>
        <v>KNO3 Putih P Tani 15 X 2 kg463880</v>
      </c>
      <c r="B286" t="str">
        <f>VLOOKUP(A286,db_masterBarang!A:C,2,0)</f>
        <v>ID835</v>
      </c>
      <c r="C286" t="s">
        <v>15218</v>
      </c>
      <c r="D286" t="s">
        <v>12739</v>
      </c>
      <c r="E286" t="s">
        <v>1188</v>
      </c>
      <c r="F286" s="3">
        <v>46388</v>
      </c>
      <c r="G286" s="6">
        <v>0</v>
      </c>
      <c r="H286">
        <v>30</v>
      </c>
    </row>
    <row r="287" spans="1:8" hidden="1">
      <c r="A287" t="str">
        <f t="shared" si="4"/>
        <v>KNO3 Putih P Tani 15 X 2 kg463880</v>
      </c>
      <c r="B287" t="str">
        <f>VLOOKUP(A287,db_masterBarang!A:C,2,0)</f>
        <v>ID835</v>
      </c>
      <c r="C287" t="s">
        <v>15218</v>
      </c>
      <c r="D287" t="s">
        <v>12739</v>
      </c>
      <c r="E287" t="s">
        <v>1188</v>
      </c>
      <c r="F287" s="3">
        <v>46388</v>
      </c>
      <c r="G287" s="6">
        <v>0</v>
      </c>
      <c r="H287">
        <v>15</v>
      </c>
    </row>
    <row r="288" spans="1:8" hidden="1">
      <c r="A288" t="str">
        <f t="shared" si="4"/>
        <v>Mamigro 12-9-6 20 X 1 ltr470270</v>
      </c>
      <c r="B288" t="str">
        <f>VLOOKUP(A288,db_masterBarang!A:C,2,0)</f>
        <v>ID925</v>
      </c>
      <c r="C288" t="s">
        <v>15308</v>
      </c>
      <c r="D288" t="s">
        <v>12829</v>
      </c>
      <c r="E288" t="s">
        <v>1263</v>
      </c>
      <c r="F288" s="3">
        <v>47027</v>
      </c>
      <c r="G288" s="6">
        <v>0</v>
      </c>
      <c r="H288">
        <v>20</v>
      </c>
    </row>
    <row r="289" spans="1:8" hidden="1">
      <c r="A289" t="str">
        <f t="shared" si="4"/>
        <v>Mamigro 12-9-6 20 X 500 ml467530</v>
      </c>
      <c r="B289" t="str">
        <f>VLOOKUP(A289,db_masterBarang!A:C,2,0)</f>
        <v>ID929</v>
      </c>
      <c r="C289" t="s">
        <v>15312</v>
      </c>
      <c r="D289" t="s">
        <v>12833</v>
      </c>
      <c r="E289" t="s">
        <v>1267</v>
      </c>
      <c r="F289" s="3">
        <v>46753</v>
      </c>
      <c r="G289" s="6">
        <v>0</v>
      </c>
      <c r="H289">
        <v>20</v>
      </c>
    </row>
    <row r="290" spans="1:8" hidden="1">
      <c r="A290" t="str">
        <f t="shared" si="4"/>
        <v>Manohara 20 X 1 kg472390</v>
      </c>
      <c r="B290" t="str">
        <f>VLOOKUP(A290,db_masterBarang!A:C,2,0)</f>
        <v>ID940</v>
      </c>
      <c r="C290" t="s">
        <v>15323</v>
      </c>
      <c r="D290" t="s">
        <v>12844</v>
      </c>
      <c r="E290" t="s">
        <v>1274</v>
      </c>
      <c r="F290" s="3">
        <v>47239</v>
      </c>
      <c r="G290" s="6">
        <v>0</v>
      </c>
      <c r="H290">
        <v>220</v>
      </c>
    </row>
    <row r="291" spans="1:8" hidden="1">
      <c r="A291" t="str">
        <f t="shared" si="4"/>
        <v>Manohara 20 X 1 kg472390</v>
      </c>
      <c r="B291" t="str">
        <f>VLOOKUP(A291,db_masterBarang!A:C,2,0)</f>
        <v>ID940</v>
      </c>
      <c r="C291" t="s">
        <v>15323</v>
      </c>
      <c r="D291" t="s">
        <v>12844</v>
      </c>
      <c r="E291" t="s">
        <v>1274</v>
      </c>
      <c r="F291" s="3">
        <v>47239</v>
      </c>
      <c r="G291" s="6">
        <v>0</v>
      </c>
      <c r="H291">
        <v>40</v>
      </c>
    </row>
    <row r="292" spans="1:8" hidden="1">
      <c r="A292" t="str">
        <f t="shared" si="4"/>
        <v>MKP 20 X 1 kg464780</v>
      </c>
      <c r="B292" t="str">
        <f>VLOOKUP(A292,db_masterBarang!A:C,2,0)</f>
        <v>ID1010</v>
      </c>
      <c r="C292" t="s">
        <v>15393</v>
      </c>
      <c r="D292" t="s">
        <v>12914</v>
      </c>
      <c r="E292" t="s">
        <v>1341</v>
      </c>
      <c r="F292" s="3">
        <v>46478</v>
      </c>
      <c r="G292" s="6">
        <v>0</v>
      </c>
      <c r="H292">
        <v>10</v>
      </c>
    </row>
    <row r="293" spans="1:8" hidden="1">
      <c r="A293" t="str">
        <f t="shared" si="4"/>
        <v>MKP 20 X 1 kg465080</v>
      </c>
      <c r="B293" t="str">
        <f>VLOOKUP(A293,db_masterBarang!A:C,2,0)</f>
        <v>ID1011</v>
      </c>
      <c r="C293" t="s">
        <v>15394</v>
      </c>
      <c r="D293" t="s">
        <v>12915</v>
      </c>
      <c r="E293" t="s">
        <v>1341</v>
      </c>
      <c r="F293" s="3">
        <v>46508</v>
      </c>
      <c r="G293" s="6">
        <v>0</v>
      </c>
      <c r="H293">
        <v>300</v>
      </c>
    </row>
    <row r="294" spans="1:8" hidden="1">
      <c r="A294" t="str">
        <f t="shared" si="4"/>
        <v>MKP 20 X 1 kg465080</v>
      </c>
      <c r="B294" t="str">
        <f>VLOOKUP(A294,db_masterBarang!A:C,2,0)</f>
        <v>ID1011</v>
      </c>
      <c r="C294" t="s">
        <v>15394</v>
      </c>
      <c r="D294" t="s">
        <v>12915</v>
      </c>
      <c r="E294" t="s">
        <v>1341</v>
      </c>
      <c r="F294" s="3">
        <v>46508</v>
      </c>
      <c r="G294" s="6">
        <v>0</v>
      </c>
      <c r="H294">
        <v>40</v>
      </c>
    </row>
    <row r="295" spans="1:8" hidden="1">
      <c r="A295" t="str">
        <f t="shared" si="4"/>
        <v>MKP 20 X 1 kg465080</v>
      </c>
      <c r="B295" t="str">
        <f>VLOOKUP(A295,db_masterBarang!A:C,2,0)</f>
        <v>ID1011</v>
      </c>
      <c r="C295" t="s">
        <v>15394</v>
      </c>
      <c r="D295" t="s">
        <v>12915</v>
      </c>
      <c r="E295" t="s">
        <v>1341</v>
      </c>
      <c r="F295" s="3">
        <v>46508</v>
      </c>
      <c r="G295" s="6">
        <v>0</v>
      </c>
      <c r="H295">
        <v>20</v>
      </c>
    </row>
    <row r="296" spans="1:8" hidden="1">
      <c r="A296" t="str">
        <f t="shared" si="4"/>
        <v>MKP 20 X 1 kg465080</v>
      </c>
      <c r="B296" t="str">
        <f>VLOOKUP(A296,db_masterBarang!A:C,2,0)</f>
        <v>ID1011</v>
      </c>
      <c r="C296" t="s">
        <v>15394</v>
      </c>
      <c r="D296" t="s">
        <v>12915</v>
      </c>
      <c r="E296" t="s">
        <v>1341</v>
      </c>
      <c r="F296" s="3">
        <v>46508</v>
      </c>
      <c r="G296" s="6">
        <v>0</v>
      </c>
      <c r="H296">
        <v>400</v>
      </c>
    </row>
    <row r="297" spans="1:8" hidden="1">
      <c r="A297" t="str">
        <f t="shared" si="4"/>
        <v>NPK SiNutriHS 13-6-27-4+TE Booster (Hijau) NPG 8 X 5 kg458700</v>
      </c>
      <c r="B297" t="str">
        <f>VLOOKUP(A297,db_masterBarang!A:C,2,0)</f>
        <v>ID1142</v>
      </c>
      <c r="C297" t="s">
        <v>15525</v>
      </c>
      <c r="D297" t="s">
        <v>13046</v>
      </c>
      <c r="E297" t="s">
        <v>1474</v>
      </c>
      <c r="F297" s="3">
        <v>45870</v>
      </c>
      <c r="G297" s="6">
        <v>0</v>
      </c>
      <c r="H297">
        <v>8</v>
      </c>
    </row>
    <row r="298" spans="1:8" hidden="1">
      <c r="A298" t="str">
        <f t="shared" si="4"/>
        <v>NPK SiNutriHS 16-16-16+TE (Biru) NPG 8 X 5 kg460820</v>
      </c>
      <c r="B298" t="str">
        <f>VLOOKUP(A298,db_masterBarang!A:C,2,0)</f>
        <v>ID1147</v>
      </c>
      <c r="C298" t="s">
        <v>15530</v>
      </c>
      <c r="D298" t="s">
        <v>13051</v>
      </c>
      <c r="E298" t="s">
        <v>1478</v>
      </c>
      <c r="F298" s="3">
        <v>46082</v>
      </c>
      <c r="G298" s="6">
        <v>0</v>
      </c>
      <c r="H298">
        <v>8</v>
      </c>
    </row>
    <row r="299" spans="1:8" hidden="1">
      <c r="A299" t="str">
        <f t="shared" si="4"/>
        <v>Qiuvita Merah 16.11.32 20 X 500 gr464780</v>
      </c>
      <c r="B299" t="str">
        <f>VLOOKUP(A299,db_masterBarang!A:C,2,0)</f>
        <v>ID1380</v>
      </c>
      <c r="C299" t="s">
        <v>15763</v>
      </c>
      <c r="D299" t="s">
        <v>13284</v>
      </c>
      <c r="E299" t="s">
        <v>1731</v>
      </c>
      <c r="F299" s="3">
        <v>46478</v>
      </c>
      <c r="G299" s="6">
        <v>0</v>
      </c>
      <c r="H299">
        <v>20</v>
      </c>
    </row>
    <row r="300" spans="1:8" hidden="1">
      <c r="A300" t="str">
        <f t="shared" si="4"/>
        <v>Sinagrowth 20 TB 100 X 10 X 5 gr462040</v>
      </c>
      <c r="B300" t="str">
        <f>VLOOKUP(A300,db_masterBarang!A:C,2,0)</f>
        <v>ID1521</v>
      </c>
      <c r="C300" t="s">
        <v>15904</v>
      </c>
      <c r="D300" t="s">
        <v>13425</v>
      </c>
      <c r="E300" t="s">
        <v>1900</v>
      </c>
      <c r="F300" s="3">
        <v>46204</v>
      </c>
      <c r="G300" s="6">
        <v>0</v>
      </c>
      <c r="H300">
        <v>20</v>
      </c>
    </row>
    <row r="301" spans="1:8" hidden="1">
      <c r="A301" t="str">
        <f t="shared" si="4"/>
        <v>Topsil B/K 30 X 450 gr461430</v>
      </c>
      <c r="B301" t="str">
        <f>VLOOKUP(A301,db_masterBarang!A:C,2,0)</f>
        <v>ID1664</v>
      </c>
      <c r="C301" t="s">
        <v>16047</v>
      </c>
      <c r="D301" t="s">
        <v>13568</v>
      </c>
      <c r="E301" t="s">
        <v>2076</v>
      </c>
      <c r="F301" s="3">
        <v>46143</v>
      </c>
      <c r="G301" s="6">
        <v>0</v>
      </c>
      <c r="H301">
        <v>60</v>
      </c>
    </row>
    <row r="302" spans="1:8" hidden="1">
      <c r="A302" t="str">
        <f t="shared" si="4"/>
        <v>Winda 250 SC 50 X 100 ml469350</v>
      </c>
      <c r="B302" t="str">
        <f>VLOOKUP(A302,db_masterBarang!A:C,2,0)</f>
        <v>ID1753</v>
      </c>
      <c r="C302" t="s">
        <v>16136</v>
      </c>
      <c r="D302" t="s">
        <v>13657</v>
      </c>
      <c r="E302" t="s">
        <v>2168</v>
      </c>
      <c r="F302" s="3">
        <v>46935</v>
      </c>
      <c r="G302" s="6">
        <v>0</v>
      </c>
      <c r="H302">
        <v>5</v>
      </c>
    </row>
    <row r="303" spans="1:8" hidden="1">
      <c r="A303" t="str">
        <f t="shared" si="4"/>
        <v>Qiuonol 400 SL 42 x 50 ml (Sample)459920</v>
      </c>
      <c r="B303" t="str">
        <f>VLOOKUP(A303,db_masterBarang!A:C,2,0)</f>
        <v>ID1357</v>
      </c>
      <c r="C303" t="s">
        <v>15740</v>
      </c>
      <c r="D303" t="s">
        <v>13261</v>
      </c>
      <c r="E303" t="s">
        <v>1717</v>
      </c>
      <c r="F303" s="3">
        <v>45992</v>
      </c>
      <c r="G303" s="6">
        <v>0</v>
      </c>
      <c r="H303">
        <v>122</v>
      </c>
    </row>
    <row r="304" spans="1:8" hidden="1">
      <c r="A304" t="str">
        <f t="shared" si="4"/>
        <v>Alat Kocor Pupuk Cair Quda Karisma1/1/10000</v>
      </c>
      <c r="B304" t="str">
        <f>VLOOKUP(A304,db_masterBarang!A:C,2,0)</f>
        <v>ID61</v>
      </c>
      <c r="C304" t="s">
        <v>14444</v>
      </c>
      <c r="D304" t="s">
        <v>11965</v>
      </c>
      <c r="E304" t="s">
        <v>102</v>
      </c>
      <c r="F304" s="3" t="s">
        <v>2222</v>
      </c>
      <c r="G304" s="6">
        <v>0</v>
      </c>
      <c r="H304">
        <v>1</v>
      </c>
    </row>
    <row r="305" spans="1:8" hidden="1">
      <c r="A305" t="str">
        <f t="shared" si="4"/>
        <v>Alat Kocor Pupuk Cair Quda Karisma1/1/10000</v>
      </c>
      <c r="B305" t="str">
        <f>VLOOKUP(A305,db_masterBarang!A:C,2,0)</f>
        <v>ID61</v>
      </c>
      <c r="C305" t="s">
        <v>14444</v>
      </c>
      <c r="D305" t="s">
        <v>11965</v>
      </c>
      <c r="E305" t="s">
        <v>102</v>
      </c>
      <c r="F305" s="3" t="s">
        <v>2222</v>
      </c>
      <c r="G305" s="6">
        <v>0</v>
      </c>
      <c r="H305">
        <v>1</v>
      </c>
    </row>
    <row r="306" spans="1:8" hidden="1">
      <c r="A306" t="str">
        <f t="shared" si="4"/>
        <v>Alat Kocor Pupuk Cair Quda Karisma1/1/10000</v>
      </c>
      <c r="B306" t="str">
        <f>VLOOKUP(A306,db_masterBarang!A:C,2,0)</f>
        <v>ID61</v>
      </c>
      <c r="C306" t="s">
        <v>14444</v>
      </c>
      <c r="D306" t="s">
        <v>11965</v>
      </c>
      <c r="E306" t="s">
        <v>102</v>
      </c>
      <c r="F306" s="3" t="s">
        <v>2222</v>
      </c>
      <c r="G306" s="6">
        <v>0</v>
      </c>
      <c r="H306">
        <v>1</v>
      </c>
    </row>
    <row r="307" spans="1:8" hidden="1">
      <c r="A307" t="str">
        <f t="shared" si="4"/>
        <v>Alat Kocor Pupuk Padat Quda Karisma1/1/10000</v>
      </c>
      <c r="B307" t="str">
        <f>VLOOKUP(A307,db_masterBarang!A:C,2,0)</f>
        <v>ID62</v>
      </c>
      <c r="C307" t="s">
        <v>14445</v>
      </c>
      <c r="D307" t="s">
        <v>11966</v>
      </c>
      <c r="E307" t="s">
        <v>103</v>
      </c>
      <c r="F307" s="3" t="s">
        <v>2222</v>
      </c>
      <c r="G307" s="6">
        <v>0</v>
      </c>
      <c r="H307">
        <v>3</v>
      </c>
    </row>
    <row r="308" spans="1:8" hidden="1">
      <c r="A308" t="str">
        <f t="shared" si="4"/>
        <v>Alat Pengikat Tanaman Yoto1/1/10000</v>
      </c>
      <c r="B308" t="str">
        <f>VLOOKUP(A308,db_masterBarang!A:C,2,0)</f>
        <v>ID64</v>
      </c>
      <c r="C308" t="s">
        <v>14447</v>
      </c>
      <c r="D308" t="s">
        <v>11968</v>
      </c>
      <c r="E308" t="s">
        <v>105</v>
      </c>
      <c r="F308" s="3" t="s">
        <v>2222</v>
      </c>
      <c r="G308" s="6">
        <v>0</v>
      </c>
      <c r="H308">
        <v>2</v>
      </c>
    </row>
    <row r="309" spans="1:8" hidden="1">
      <c r="A309" t="str">
        <f t="shared" si="4"/>
        <v>Gunting Gland 8" Bypass Pruner ,05-203 10 X 10 X 1 pcs1/1/10000</v>
      </c>
      <c r="B309" t="str">
        <f>VLOOKUP(A309,db_masterBarang!A:C,2,0)</f>
        <v>ID627</v>
      </c>
      <c r="C309" t="s">
        <v>15010</v>
      </c>
      <c r="D309" t="s">
        <v>12531</v>
      </c>
      <c r="E309" t="s">
        <v>780</v>
      </c>
      <c r="F309" s="3" t="s">
        <v>2222</v>
      </c>
      <c r="G309" s="6">
        <v>0</v>
      </c>
      <c r="H309">
        <v>10</v>
      </c>
    </row>
    <row r="310" spans="1:8" hidden="1">
      <c r="A310" t="str">
        <f t="shared" si="4"/>
        <v>Mulsa Coboy 60 cm X 1 kg1/1/10000</v>
      </c>
      <c r="B310" t="str">
        <f>VLOOKUP(A310,db_masterBarang!A:C,2,0)</f>
        <v>ID1027</v>
      </c>
      <c r="C310" t="s">
        <v>15410</v>
      </c>
      <c r="D310" t="s">
        <v>12931</v>
      </c>
      <c r="E310" t="s">
        <v>1357</v>
      </c>
      <c r="F310" s="3" t="s">
        <v>2222</v>
      </c>
      <c r="G310" s="6">
        <v>0</v>
      </c>
      <c r="H310">
        <v>25</v>
      </c>
    </row>
    <row r="311" spans="1:8" hidden="1">
      <c r="A311" t="str">
        <f t="shared" si="4"/>
        <v>Mulsa Karisma Q989 60 cm X 8 kg (Roll)1/1/10000</v>
      </c>
      <c r="B311" t="str">
        <f>VLOOKUP(A311,db_masterBarang!A:C,2,0)</f>
        <v>ID1054</v>
      </c>
      <c r="C311" t="s">
        <v>15437</v>
      </c>
      <c r="D311" t="s">
        <v>12958</v>
      </c>
      <c r="E311" t="s">
        <v>1385</v>
      </c>
      <c r="F311" s="3" t="s">
        <v>2222</v>
      </c>
      <c r="G311" s="6">
        <v>0</v>
      </c>
      <c r="H311">
        <v>6</v>
      </c>
    </row>
    <row r="312" spans="1:8" hidden="1">
      <c r="A312" t="str">
        <f t="shared" si="4"/>
        <v>Mulsa Ori Gajah 0.3 50 cm X 18 kg (Roll)1/1/10000</v>
      </c>
      <c r="B312" t="str">
        <f>VLOOKUP(A312,db_masterBarang!A:C,2,0)</f>
        <v>ID1072</v>
      </c>
      <c r="C312" t="s">
        <v>15455</v>
      </c>
      <c r="D312" t="s">
        <v>12976</v>
      </c>
      <c r="E312" t="s">
        <v>1403</v>
      </c>
      <c r="F312" s="3" t="s">
        <v>2222</v>
      </c>
      <c r="G312" s="6">
        <v>0</v>
      </c>
      <c r="H312">
        <v>25</v>
      </c>
    </row>
    <row r="313" spans="1:8" hidden="1">
      <c r="A313" t="str">
        <f t="shared" si="4"/>
        <v>Sprayer Apung Hokita1/1/10000</v>
      </c>
      <c r="B313" t="str">
        <f>VLOOKUP(A313,db_masterBarang!A:C,2,0)</f>
        <v>ID1565</v>
      </c>
      <c r="C313" t="s">
        <v>15948</v>
      </c>
      <c r="D313" t="s">
        <v>13469</v>
      </c>
      <c r="E313" t="s">
        <v>1954</v>
      </c>
      <c r="F313" s="3" t="s">
        <v>2222</v>
      </c>
      <c r="G313" s="6">
        <v>0</v>
      </c>
      <c r="H313">
        <v>1</v>
      </c>
    </row>
    <row r="314" spans="1:8" hidden="1">
      <c r="A314" t="str">
        <f t="shared" si="4"/>
        <v>Sprayer Elektrik Joeragan 16 L Battery1/1/10000</v>
      </c>
      <c r="B314" t="str">
        <f>VLOOKUP(A314,db_masterBarang!A:C,2,0)</f>
        <v>ID1567</v>
      </c>
      <c r="C314" t="s">
        <v>15950</v>
      </c>
      <c r="D314" t="s">
        <v>13471</v>
      </c>
      <c r="E314" t="s">
        <v>1956</v>
      </c>
      <c r="F314" s="3" t="s">
        <v>2222</v>
      </c>
      <c r="G314" s="6">
        <v>0</v>
      </c>
      <c r="H314">
        <v>41</v>
      </c>
    </row>
    <row r="315" spans="1:8" hidden="1">
      <c r="A315" t="str">
        <f t="shared" si="4"/>
        <v>Sprayer Elektrik Quda Karisma 10 L 1 X 6 pcs1/1/10000</v>
      </c>
      <c r="B315" t="str">
        <f>VLOOKUP(A315,db_masterBarang!A:C,2,0)</f>
        <v>ID1568</v>
      </c>
      <c r="C315" t="s">
        <v>15951</v>
      </c>
      <c r="D315" t="s">
        <v>13472</v>
      </c>
      <c r="E315" t="s">
        <v>1957</v>
      </c>
      <c r="F315" s="3" t="s">
        <v>2222</v>
      </c>
      <c r="G315" s="6">
        <v>0</v>
      </c>
      <c r="H315">
        <v>1</v>
      </c>
    </row>
    <row r="316" spans="1:8" hidden="1">
      <c r="A316" t="str">
        <f t="shared" si="4"/>
        <v>Sprayer Elektrik Quda Karisma 10 L 1 X 6 pcs1/1/10000</v>
      </c>
      <c r="B316" t="str">
        <f>VLOOKUP(A316,db_masterBarang!A:C,2,0)</f>
        <v>ID1568</v>
      </c>
      <c r="C316" t="s">
        <v>15951</v>
      </c>
      <c r="D316" t="s">
        <v>13472</v>
      </c>
      <c r="E316" t="s">
        <v>1957</v>
      </c>
      <c r="F316" s="3" t="s">
        <v>2222</v>
      </c>
      <c r="G316" s="6">
        <v>0</v>
      </c>
      <c r="H316">
        <v>1</v>
      </c>
    </row>
    <row r="317" spans="1:8" hidden="1">
      <c r="A317" t="str">
        <f t="shared" si="4"/>
        <v>Sprayer Elektrik Quda Karisma 16 ltr1/1/10000</v>
      </c>
      <c r="B317" t="str">
        <f>VLOOKUP(A317,db_masterBarang!A:C,2,0)</f>
        <v>ID1569</v>
      </c>
      <c r="C317" t="s">
        <v>15952</v>
      </c>
      <c r="D317" t="s">
        <v>13473</v>
      </c>
      <c r="E317" t="s">
        <v>1958</v>
      </c>
      <c r="F317" s="3" t="s">
        <v>2222</v>
      </c>
      <c r="G317" s="6">
        <v>0</v>
      </c>
      <c r="H317">
        <v>3</v>
      </c>
    </row>
    <row r="318" spans="1:8" hidden="1">
      <c r="A318" t="str">
        <f t="shared" si="4"/>
        <v>Sprayer Elektrik Quda Karisma 16 ltr1/1/10000</v>
      </c>
      <c r="B318" t="str">
        <f>VLOOKUP(A318,db_masterBarang!A:C,2,0)</f>
        <v>ID1569</v>
      </c>
      <c r="C318" t="s">
        <v>15952</v>
      </c>
      <c r="D318" t="s">
        <v>13473</v>
      </c>
      <c r="E318" t="s">
        <v>1958</v>
      </c>
      <c r="F318" s="3" t="s">
        <v>2222</v>
      </c>
      <c r="G318" s="6">
        <v>0</v>
      </c>
      <c r="H318">
        <v>1</v>
      </c>
    </row>
    <row r="319" spans="1:8" hidden="1">
      <c r="A319" t="str">
        <f t="shared" si="4"/>
        <v>Sprayer Elektrik Quda Karisma 16 ltr1/1/10000</v>
      </c>
      <c r="B319" t="str">
        <f>VLOOKUP(A319,db_masterBarang!A:C,2,0)</f>
        <v>ID1569</v>
      </c>
      <c r="C319" t="s">
        <v>15952</v>
      </c>
      <c r="D319" t="s">
        <v>13473</v>
      </c>
      <c r="E319" t="s">
        <v>1958</v>
      </c>
      <c r="F319" s="3" t="s">
        <v>2222</v>
      </c>
      <c r="G319" s="6">
        <v>0</v>
      </c>
      <c r="H319">
        <v>1</v>
      </c>
    </row>
    <row r="320" spans="1:8" hidden="1">
      <c r="A320" t="str">
        <f t="shared" si="4"/>
        <v>Sprayer Elektrik Quda Karisma 16 ltr1/1/10000</v>
      </c>
      <c r="B320" t="str">
        <f>VLOOKUP(A320,db_masterBarang!A:C,2,0)</f>
        <v>ID1569</v>
      </c>
      <c r="C320" t="s">
        <v>15952</v>
      </c>
      <c r="D320" t="s">
        <v>13473</v>
      </c>
      <c r="E320" t="s">
        <v>1958</v>
      </c>
      <c r="F320" s="3" t="s">
        <v>2222</v>
      </c>
      <c r="G320" s="6">
        <v>0</v>
      </c>
      <c r="H320">
        <v>11</v>
      </c>
    </row>
    <row r="321" spans="1:8" hidden="1">
      <c r="A321" t="str">
        <f t="shared" si="4"/>
        <v>Sprayer Elektrik Quda Karisma 16 ltr1/1/10000</v>
      </c>
      <c r="B321" t="str">
        <f>VLOOKUP(A321,db_masterBarang!A:C,2,0)</f>
        <v>ID1569</v>
      </c>
      <c r="C321" t="s">
        <v>15952</v>
      </c>
      <c r="D321" t="s">
        <v>13473</v>
      </c>
      <c r="E321" t="s">
        <v>1958</v>
      </c>
      <c r="F321" s="3" t="s">
        <v>2222</v>
      </c>
      <c r="G321" s="6">
        <v>0</v>
      </c>
      <c r="H321">
        <v>200</v>
      </c>
    </row>
    <row r="322" spans="1:8" hidden="1">
      <c r="A322" t="str">
        <f t="shared" si="4"/>
        <v>Sprayer Elektrik Quda Karisma 16 ltr1/1/10000</v>
      </c>
      <c r="B322" t="str">
        <f>VLOOKUP(A322,db_masterBarang!A:C,2,0)</f>
        <v>ID1569</v>
      </c>
      <c r="C322" t="s">
        <v>15952</v>
      </c>
      <c r="D322" t="s">
        <v>13473</v>
      </c>
      <c r="E322" t="s">
        <v>1958</v>
      </c>
      <c r="F322" s="3" t="s">
        <v>2222</v>
      </c>
      <c r="G322" s="6">
        <v>0</v>
      </c>
      <c r="H322">
        <v>1</v>
      </c>
    </row>
    <row r="323" spans="1:8" hidden="1">
      <c r="A323" t="str">
        <f t="shared" ref="A323:A330" si="5">E323&amp;F323&amp;G323</f>
        <v>Sprayer Hokita 30 X 1 ltr1/1/10000</v>
      </c>
      <c r="B323" t="str">
        <f>VLOOKUP(A323,db_masterBarang!A:C,2,0)</f>
        <v>ID1571</v>
      </c>
      <c r="C323" t="s">
        <v>15954</v>
      </c>
      <c r="D323" t="s">
        <v>13475</v>
      </c>
      <c r="E323" t="s">
        <v>1960</v>
      </c>
      <c r="F323" s="3" t="s">
        <v>2222</v>
      </c>
      <c r="G323" s="6">
        <v>0</v>
      </c>
      <c r="H323">
        <v>5</v>
      </c>
    </row>
    <row r="324" spans="1:8" hidden="1">
      <c r="A324" t="str">
        <f t="shared" si="5"/>
        <v>Tali Gawar 989 40 X 600 gr1/1/10000</v>
      </c>
      <c r="B324" t="str">
        <f>VLOOKUP(A324,db_masterBarang!A:C,2,0)</f>
        <v>ID1612</v>
      </c>
      <c r="C324" t="s">
        <v>15995</v>
      </c>
      <c r="D324" t="s">
        <v>13516</v>
      </c>
      <c r="E324" t="s">
        <v>2001</v>
      </c>
      <c r="F324" s="3" t="s">
        <v>2222</v>
      </c>
      <c r="G324" s="6">
        <v>0</v>
      </c>
      <c r="H324">
        <v>80</v>
      </c>
    </row>
    <row r="325" spans="1:8" hidden="1">
      <c r="A325" t="str">
        <f t="shared" si="5"/>
        <v>Tali Gawar 989 40 X 600 gr1/1/10000</v>
      </c>
      <c r="B325" t="str">
        <f>VLOOKUP(A325,db_masterBarang!A:C,2,0)</f>
        <v>ID1612</v>
      </c>
      <c r="C325" t="s">
        <v>15995</v>
      </c>
      <c r="D325" t="s">
        <v>13516</v>
      </c>
      <c r="E325" t="s">
        <v>2001</v>
      </c>
      <c r="F325" s="3" t="s">
        <v>2222</v>
      </c>
      <c r="G325" s="6">
        <v>0</v>
      </c>
      <c r="H325">
        <v>400</v>
      </c>
    </row>
    <row r="326" spans="1:8" hidden="1">
      <c r="A326" t="str">
        <f t="shared" si="5"/>
        <v>Tali Kapas Cap Kelud 15 X 900 gr (Putih)1/1/10000</v>
      </c>
      <c r="B326" t="str">
        <f>VLOOKUP(A326,db_masterBarang!A:C,2,0)</f>
        <v>ID1616</v>
      </c>
      <c r="C326" t="s">
        <v>15999</v>
      </c>
      <c r="D326" t="s">
        <v>13520</v>
      </c>
      <c r="E326" t="s">
        <v>2005</v>
      </c>
      <c r="F326" s="3" t="s">
        <v>2222</v>
      </c>
      <c r="G326" s="6">
        <v>0</v>
      </c>
      <c r="H326">
        <v>1</v>
      </c>
    </row>
    <row r="327" spans="1:8" hidden="1">
      <c r="A327" t="str">
        <f t="shared" si="5"/>
        <v>Tangki TOP AGRI Double Fungsi 16 ltr baterai1/1/10000</v>
      </c>
      <c r="B327" t="str">
        <f>VLOOKUP(A327,db_masterBarang!A:C,2,0)</f>
        <v>ID1636</v>
      </c>
      <c r="C327" t="s">
        <v>16019</v>
      </c>
      <c r="D327" t="s">
        <v>13540</v>
      </c>
      <c r="E327" t="s">
        <v>2033</v>
      </c>
      <c r="F327" s="3" t="s">
        <v>2222</v>
      </c>
      <c r="G327" s="6">
        <v>0</v>
      </c>
      <c r="H327">
        <v>2</v>
      </c>
    </row>
    <row r="328" spans="1:8" hidden="1">
      <c r="A328" t="str">
        <f t="shared" si="5"/>
        <v>Kaos Java Karlos1/1/10000</v>
      </c>
      <c r="B328" t="str">
        <f>VLOOKUP(A328,db_masterBarang!A:C,2,0)</f>
        <v>ID743</v>
      </c>
      <c r="C328" t="s">
        <v>15126</v>
      </c>
      <c r="D328" t="s">
        <v>12647</v>
      </c>
      <c r="E328" t="s">
        <v>1094</v>
      </c>
      <c r="F328" s="3" t="s">
        <v>2222</v>
      </c>
      <c r="G328" s="6">
        <v>0</v>
      </c>
      <c r="H328">
        <v>3</v>
      </c>
    </row>
    <row r="329" spans="1:8" hidden="1">
      <c r="A329" t="str">
        <f t="shared" si="5"/>
        <v>Kaos MIA Trio Dahsyat1/1/10000</v>
      </c>
      <c r="B329" t="str">
        <f>VLOOKUP(A329,db_masterBarang!A:C,2,0)</f>
        <v>ID765</v>
      </c>
      <c r="C329" t="s">
        <v>15148</v>
      </c>
      <c r="D329" t="s">
        <v>12669</v>
      </c>
      <c r="E329" t="s">
        <v>1116</v>
      </c>
      <c r="F329" s="3" t="s">
        <v>2222</v>
      </c>
      <c r="G329" s="6">
        <v>0</v>
      </c>
      <c r="H329">
        <v>300</v>
      </c>
    </row>
    <row r="330" spans="1:8" hidden="1">
      <c r="A330" t="str">
        <f t="shared" si="5"/>
        <v>Kaos MIA Trio Dahsyat1/1/10000</v>
      </c>
      <c r="B330" t="str">
        <f>VLOOKUP(A330,db_masterBarang!A:C,2,0)</f>
        <v>ID765</v>
      </c>
      <c r="C330" t="s">
        <v>15148</v>
      </c>
      <c r="D330" t="s">
        <v>12669</v>
      </c>
      <c r="E330" t="s">
        <v>1116</v>
      </c>
      <c r="F330" s="3" t="s">
        <v>2222</v>
      </c>
      <c r="G330" s="6">
        <v>0</v>
      </c>
      <c r="H330">
        <v>200</v>
      </c>
    </row>
  </sheetData>
  <autoFilter ref="A1:H330">
    <filterColumn colId="4">
      <filters>
        <filter val="Agil 100 EC 40 X 250 m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64"/>
  <sheetViews>
    <sheetView topLeftCell="G802" workbookViewId="0">
      <selection activeCell="S805" sqref="S805:U805"/>
    </sheetView>
  </sheetViews>
  <sheetFormatPr defaultRowHeight="15"/>
  <cols>
    <col min="1" max="1" width="11.28515625" customWidth="1"/>
    <col min="3" max="3" width="6" bestFit="1" customWidth="1"/>
    <col min="4" max="4" width="9" bestFit="1" customWidth="1"/>
    <col min="5" max="5" width="8.5703125" bestFit="1" customWidth="1"/>
    <col min="8" max="8" width="7" bestFit="1" customWidth="1"/>
    <col min="9" max="9" width="7.85546875" bestFit="1" customWidth="1"/>
    <col min="10" max="10" width="12" bestFit="1" customWidth="1"/>
    <col min="11" max="11" width="13" bestFit="1" customWidth="1"/>
    <col min="12" max="12" width="10.7109375" bestFit="1" customWidth="1"/>
    <col min="16" max="16" width="9.140625" style="5"/>
    <col min="20" max="20" width="10.7109375" style="3" bestFit="1" customWidth="1"/>
    <col min="21" max="21" width="12" bestFit="1" customWidth="1"/>
    <col min="22" max="22" width="7.85546875" bestFit="1" customWidth="1"/>
  </cols>
  <sheetData>
    <row r="1" spans="1:23" ht="30">
      <c r="A1" s="7" t="s">
        <v>2184</v>
      </c>
      <c r="B1" s="7" t="s">
        <v>2185</v>
      </c>
      <c r="C1" s="7" t="s">
        <v>2186</v>
      </c>
      <c r="D1" s="7" t="s">
        <v>2187</v>
      </c>
      <c r="E1" s="7" t="s">
        <v>2188</v>
      </c>
      <c r="F1" s="7" t="s">
        <v>2189</v>
      </c>
      <c r="G1" s="7" t="s">
        <v>2190</v>
      </c>
      <c r="H1" s="7" t="s">
        <v>2191</v>
      </c>
      <c r="I1" s="7" t="s">
        <v>2192</v>
      </c>
      <c r="J1" s="7" t="s">
        <v>2193</v>
      </c>
      <c r="K1" s="7" t="s">
        <v>2194</v>
      </c>
      <c r="L1" s="7" t="s">
        <v>2195</v>
      </c>
      <c r="M1" s="7" t="s">
        <v>2189</v>
      </c>
      <c r="P1" s="15" t="s">
        <v>4293</v>
      </c>
      <c r="Q1" s="14" t="s">
        <v>13</v>
      </c>
      <c r="S1" s="7" t="s">
        <v>2185</v>
      </c>
      <c r="T1" s="22" t="s">
        <v>2195</v>
      </c>
      <c r="U1" s="7" t="s">
        <v>2193</v>
      </c>
      <c r="V1" s="7" t="s">
        <v>2192</v>
      </c>
      <c r="W1" s="19" t="s">
        <v>13</v>
      </c>
    </row>
    <row r="2" spans="1:23" ht="45">
      <c r="A2" s="8" t="s">
        <v>2196</v>
      </c>
      <c r="B2" s="8" t="s">
        <v>14</v>
      </c>
      <c r="C2" s="8" t="s">
        <v>2197</v>
      </c>
      <c r="D2" s="8" t="s">
        <v>15</v>
      </c>
      <c r="E2" s="8" t="s">
        <v>16</v>
      </c>
      <c r="F2" s="8" t="s">
        <v>2198</v>
      </c>
      <c r="G2" s="8" t="s">
        <v>2199</v>
      </c>
      <c r="H2" s="8">
        <v>250</v>
      </c>
      <c r="I2" s="8">
        <v>250</v>
      </c>
      <c r="J2" s="8">
        <v>10072023</v>
      </c>
      <c r="K2" s="9">
        <v>45309</v>
      </c>
      <c r="L2" s="9">
        <v>46204</v>
      </c>
      <c r="M2" s="8" t="s">
        <v>16</v>
      </c>
      <c r="P2" s="16" t="s">
        <v>14</v>
      </c>
      <c r="Q2" s="2" t="s">
        <v>16</v>
      </c>
      <c r="S2" s="8" t="s">
        <v>14</v>
      </c>
      <c r="T2" s="9">
        <v>46204</v>
      </c>
      <c r="U2" s="8">
        <v>0</v>
      </c>
      <c r="V2" s="20">
        <v>250</v>
      </c>
      <c r="W2" s="21" t="s">
        <v>16</v>
      </c>
    </row>
    <row r="3" spans="1:23" ht="45">
      <c r="A3" s="8" t="s">
        <v>2200</v>
      </c>
      <c r="B3" s="8" t="s">
        <v>17</v>
      </c>
      <c r="C3" s="8" t="s">
        <v>2197</v>
      </c>
      <c r="D3" s="8" t="s">
        <v>18</v>
      </c>
      <c r="E3" s="8" t="s">
        <v>16</v>
      </c>
      <c r="F3" s="8" t="s">
        <v>2198</v>
      </c>
      <c r="G3" s="8" t="s">
        <v>2199</v>
      </c>
      <c r="H3" s="8">
        <v>721</v>
      </c>
      <c r="I3" s="8">
        <v>721</v>
      </c>
      <c r="J3" s="8">
        <v>5122023</v>
      </c>
      <c r="K3" s="9">
        <v>45384</v>
      </c>
      <c r="L3" s="9">
        <v>46357</v>
      </c>
      <c r="M3" s="8" t="s">
        <v>16</v>
      </c>
      <c r="P3" s="16" t="s">
        <v>17</v>
      </c>
      <c r="Q3" s="2" t="s">
        <v>16</v>
      </c>
      <c r="S3" s="8" t="s">
        <v>17</v>
      </c>
      <c r="T3" s="9">
        <v>46357</v>
      </c>
      <c r="U3" s="8">
        <v>0</v>
      </c>
      <c r="V3" s="20">
        <v>721</v>
      </c>
      <c r="W3" s="21" t="s">
        <v>16</v>
      </c>
    </row>
    <row r="4" spans="1:23" ht="45">
      <c r="A4" s="8" t="s">
        <v>2201</v>
      </c>
      <c r="B4" s="8" t="s">
        <v>19</v>
      </c>
      <c r="C4" s="8" t="s">
        <v>2197</v>
      </c>
      <c r="D4" s="8" t="s">
        <v>18</v>
      </c>
      <c r="E4" s="8" t="s">
        <v>16</v>
      </c>
      <c r="F4" s="8" t="s">
        <v>2198</v>
      </c>
      <c r="G4" s="8" t="s">
        <v>2199</v>
      </c>
      <c r="H4" s="8">
        <v>8185</v>
      </c>
      <c r="I4" s="8">
        <v>8185</v>
      </c>
      <c r="J4" s="8">
        <v>30032023</v>
      </c>
      <c r="K4" s="9">
        <v>45324</v>
      </c>
      <c r="L4" s="9">
        <v>46082</v>
      </c>
      <c r="M4" s="8" t="s">
        <v>16</v>
      </c>
      <c r="P4" s="16" t="s">
        <v>19</v>
      </c>
      <c r="Q4" s="2" t="s">
        <v>16</v>
      </c>
      <c r="S4" s="8" t="s">
        <v>19</v>
      </c>
      <c r="T4" s="9">
        <v>46082</v>
      </c>
      <c r="U4" s="8">
        <v>0</v>
      </c>
      <c r="V4" s="20">
        <v>8185</v>
      </c>
      <c r="W4" s="21" t="s">
        <v>16</v>
      </c>
    </row>
    <row r="5" spans="1:23" ht="45">
      <c r="A5" s="8" t="s">
        <v>2202</v>
      </c>
      <c r="B5" s="8" t="s">
        <v>20</v>
      </c>
      <c r="C5" s="8" t="s">
        <v>2203</v>
      </c>
      <c r="D5" s="8" t="s">
        <v>18</v>
      </c>
      <c r="E5" s="8" t="s">
        <v>16</v>
      </c>
      <c r="F5" s="8" t="s">
        <v>2204</v>
      </c>
      <c r="G5" s="8" t="s">
        <v>2205</v>
      </c>
      <c r="H5" s="8">
        <v>11563</v>
      </c>
      <c r="I5" s="8">
        <v>11563</v>
      </c>
      <c r="J5" s="8" t="s">
        <v>21</v>
      </c>
      <c r="K5" s="9">
        <v>45174</v>
      </c>
      <c r="L5" s="9">
        <v>46722</v>
      </c>
      <c r="M5" s="8" t="s">
        <v>16</v>
      </c>
      <c r="P5" s="16" t="s">
        <v>20</v>
      </c>
      <c r="Q5" s="2" t="s">
        <v>16</v>
      </c>
      <c r="S5" s="8" t="s">
        <v>20</v>
      </c>
      <c r="T5" s="9">
        <v>46722</v>
      </c>
      <c r="U5" s="8">
        <v>0</v>
      </c>
      <c r="V5" s="20">
        <v>11563</v>
      </c>
      <c r="W5" s="21" t="s">
        <v>16</v>
      </c>
    </row>
    <row r="6" spans="1:23" ht="45">
      <c r="A6" s="8" t="s">
        <v>2206</v>
      </c>
      <c r="B6" s="8" t="s">
        <v>22</v>
      </c>
      <c r="C6" s="8" t="s">
        <v>2203</v>
      </c>
      <c r="D6" s="8" t="s">
        <v>18</v>
      </c>
      <c r="E6" s="8" t="s">
        <v>16</v>
      </c>
      <c r="F6" s="8" t="s">
        <v>2204</v>
      </c>
      <c r="G6" s="8" t="s">
        <v>2205</v>
      </c>
      <c r="H6" s="8">
        <v>3372</v>
      </c>
      <c r="I6" s="8">
        <v>3372</v>
      </c>
      <c r="J6" s="8" t="s">
        <v>23</v>
      </c>
      <c r="K6" s="9">
        <v>45146</v>
      </c>
      <c r="L6" s="9">
        <v>46844</v>
      </c>
      <c r="M6" s="8" t="s">
        <v>16</v>
      </c>
      <c r="P6" s="16" t="s">
        <v>22</v>
      </c>
      <c r="Q6" s="2" t="s">
        <v>16</v>
      </c>
      <c r="S6" s="8" t="s">
        <v>22</v>
      </c>
      <c r="T6" s="9">
        <v>46844</v>
      </c>
      <c r="U6" s="8">
        <v>0</v>
      </c>
      <c r="V6" s="20">
        <v>3372</v>
      </c>
      <c r="W6" s="21" t="s">
        <v>16</v>
      </c>
    </row>
    <row r="7" spans="1:23" ht="45">
      <c r="A7" s="8" t="s">
        <v>2207</v>
      </c>
      <c r="B7" s="8" t="s">
        <v>24</v>
      </c>
      <c r="C7" s="8" t="s">
        <v>2197</v>
      </c>
      <c r="D7" s="8" t="s">
        <v>18</v>
      </c>
      <c r="E7" s="8" t="s">
        <v>16</v>
      </c>
      <c r="F7" s="8" t="s">
        <v>2198</v>
      </c>
      <c r="G7" s="8" t="s">
        <v>2208</v>
      </c>
      <c r="H7" s="8">
        <v>7087</v>
      </c>
      <c r="I7" s="8">
        <v>37</v>
      </c>
      <c r="J7" s="8" t="s">
        <v>25</v>
      </c>
      <c r="K7" s="9">
        <v>44804</v>
      </c>
      <c r="L7" s="9">
        <v>45809</v>
      </c>
      <c r="M7" s="8" t="s">
        <v>16</v>
      </c>
      <c r="P7" s="16" t="s">
        <v>24</v>
      </c>
      <c r="Q7" s="2" t="s">
        <v>16</v>
      </c>
      <c r="S7" s="8" t="s">
        <v>24</v>
      </c>
      <c r="T7" s="9">
        <v>45809</v>
      </c>
      <c r="U7" s="8">
        <v>0</v>
      </c>
      <c r="V7" s="20">
        <v>37</v>
      </c>
      <c r="W7" s="21" t="s">
        <v>16</v>
      </c>
    </row>
    <row r="8" spans="1:23" ht="45">
      <c r="A8" s="8" t="s">
        <v>2207</v>
      </c>
      <c r="B8" s="8" t="s">
        <v>24</v>
      </c>
      <c r="C8" s="8" t="s">
        <v>2197</v>
      </c>
      <c r="D8" s="8" t="s">
        <v>18</v>
      </c>
      <c r="E8" s="8" t="s">
        <v>16</v>
      </c>
      <c r="F8" s="8" t="s">
        <v>2198</v>
      </c>
      <c r="G8" s="8" t="s">
        <v>2208</v>
      </c>
      <c r="H8" s="8">
        <v>7087</v>
      </c>
      <c r="I8" s="8">
        <v>600</v>
      </c>
      <c r="J8" s="8" t="s">
        <v>26</v>
      </c>
      <c r="K8" s="9">
        <v>45287</v>
      </c>
      <c r="L8" s="9">
        <v>46997</v>
      </c>
      <c r="M8" s="8" t="s">
        <v>16</v>
      </c>
      <c r="P8" s="16" t="s">
        <v>24</v>
      </c>
      <c r="Q8" s="2" t="s">
        <v>16</v>
      </c>
      <c r="S8" s="8" t="s">
        <v>24</v>
      </c>
      <c r="T8" s="9">
        <v>46997</v>
      </c>
      <c r="U8" s="8">
        <v>0</v>
      </c>
      <c r="V8" s="20">
        <v>600</v>
      </c>
      <c r="W8" s="21" t="s">
        <v>16</v>
      </c>
    </row>
    <row r="9" spans="1:23" ht="45">
      <c r="A9" s="8" t="s">
        <v>2207</v>
      </c>
      <c r="B9" s="8" t="s">
        <v>24</v>
      </c>
      <c r="C9" s="8" t="s">
        <v>2197</v>
      </c>
      <c r="D9" s="8" t="s">
        <v>18</v>
      </c>
      <c r="E9" s="8" t="s">
        <v>16</v>
      </c>
      <c r="F9" s="8" t="s">
        <v>2198</v>
      </c>
      <c r="G9" s="8" t="s">
        <v>2208</v>
      </c>
      <c r="H9" s="8">
        <v>7087</v>
      </c>
      <c r="I9" s="8">
        <v>6450</v>
      </c>
      <c r="J9" s="8" t="s">
        <v>27</v>
      </c>
      <c r="K9" s="9">
        <v>45164</v>
      </c>
      <c r="L9" s="9">
        <v>46935</v>
      </c>
      <c r="M9" s="8" t="s">
        <v>16</v>
      </c>
      <c r="P9" s="16" t="s">
        <v>24</v>
      </c>
      <c r="Q9" s="2" t="s">
        <v>16</v>
      </c>
      <c r="S9" s="8" t="s">
        <v>24</v>
      </c>
      <c r="T9" s="9">
        <v>46935</v>
      </c>
      <c r="U9" s="8">
        <v>0</v>
      </c>
      <c r="V9" s="20">
        <v>6450</v>
      </c>
      <c r="W9" s="21" t="s">
        <v>16</v>
      </c>
    </row>
    <row r="10" spans="1:23" ht="45">
      <c r="A10" s="8" t="s">
        <v>2209</v>
      </c>
      <c r="B10" s="8" t="s">
        <v>28</v>
      </c>
      <c r="C10" s="8" t="s">
        <v>2197</v>
      </c>
      <c r="D10" s="8" t="s">
        <v>18</v>
      </c>
      <c r="E10" s="8" t="s">
        <v>16</v>
      </c>
      <c r="F10" s="8" t="s">
        <v>2198</v>
      </c>
      <c r="G10" s="8" t="s">
        <v>2208</v>
      </c>
      <c r="H10" s="8">
        <v>2008</v>
      </c>
      <c r="I10" s="8">
        <v>8</v>
      </c>
      <c r="J10" s="8" t="s">
        <v>29</v>
      </c>
      <c r="K10" s="9">
        <v>45146</v>
      </c>
      <c r="L10" s="9">
        <v>46844</v>
      </c>
      <c r="M10" s="8" t="s">
        <v>16</v>
      </c>
      <c r="P10" s="16" t="s">
        <v>28</v>
      </c>
      <c r="Q10" s="2" t="s">
        <v>16</v>
      </c>
      <c r="S10" s="8" t="s">
        <v>28</v>
      </c>
      <c r="T10" s="9">
        <v>46844</v>
      </c>
      <c r="U10" s="8">
        <v>0</v>
      </c>
      <c r="V10" s="20">
        <v>8</v>
      </c>
      <c r="W10" s="21" t="s">
        <v>16</v>
      </c>
    </row>
    <row r="11" spans="1:23" ht="45">
      <c r="A11" s="8" t="s">
        <v>2209</v>
      </c>
      <c r="B11" s="8" t="s">
        <v>28</v>
      </c>
      <c r="C11" s="8" t="s">
        <v>2197</v>
      </c>
      <c r="D11" s="8" t="s">
        <v>18</v>
      </c>
      <c r="E11" s="8" t="s">
        <v>16</v>
      </c>
      <c r="F11" s="8" t="s">
        <v>2198</v>
      </c>
      <c r="G11" s="8" t="s">
        <v>2208</v>
      </c>
      <c r="H11" s="8">
        <v>2008</v>
      </c>
      <c r="I11" s="8">
        <v>2000</v>
      </c>
      <c r="J11" s="8" t="s">
        <v>30</v>
      </c>
      <c r="K11" s="9">
        <v>45205</v>
      </c>
      <c r="L11" s="9">
        <v>46997</v>
      </c>
      <c r="M11" s="8" t="s">
        <v>16</v>
      </c>
      <c r="P11" s="16" t="s">
        <v>28</v>
      </c>
      <c r="Q11" s="2" t="s">
        <v>16</v>
      </c>
      <c r="S11" s="8" t="s">
        <v>28</v>
      </c>
      <c r="T11" s="9">
        <v>46997</v>
      </c>
      <c r="U11" s="8">
        <v>0</v>
      </c>
      <c r="V11" s="20">
        <v>2000</v>
      </c>
      <c r="W11" s="21" t="s">
        <v>16</v>
      </c>
    </row>
    <row r="12" spans="1:23" ht="45">
      <c r="A12" s="8" t="s">
        <v>2210</v>
      </c>
      <c r="B12" s="8" t="s">
        <v>31</v>
      </c>
      <c r="C12" s="8" t="s">
        <v>2203</v>
      </c>
      <c r="D12" s="8" t="s">
        <v>18</v>
      </c>
      <c r="E12" s="8" t="s">
        <v>16</v>
      </c>
      <c r="F12" s="8" t="s">
        <v>2211</v>
      </c>
      <c r="G12" s="8" t="s">
        <v>2212</v>
      </c>
      <c r="H12" s="8">
        <v>3488</v>
      </c>
      <c r="I12" s="8">
        <v>3488</v>
      </c>
      <c r="J12" s="8" t="s">
        <v>32</v>
      </c>
      <c r="K12" s="9">
        <v>45409</v>
      </c>
      <c r="L12" s="9">
        <v>47119</v>
      </c>
      <c r="M12" s="8" t="s">
        <v>16</v>
      </c>
      <c r="P12" s="16" t="s">
        <v>31</v>
      </c>
      <c r="Q12" s="2" t="s">
        <v>16</v>
      </c>
      <c r="S12" s="8" t="s">
        <v>31</v>
      </c>
      <c r="T12" s="9">
        <v>47119</v>
      </c>
      <c r="U12" s="8">
        <v>0</v>
      </c>
      <c r="V12" s="20">
        <v>3488</v>
      </c>
      <c r="W12" s="21" t="s">
        <v>16</v>
      </c>
    </row>
    <row r="13" spans="1:23" ht="45">
      <c r="A13" s="8" t="s">
        <v>2213</v>
      </c>
      <c r="B13" s="8" t="s">
        <v>33</v>
      </c>
      <c r="C13" s="8" t="s">
        <v>2203</v>
      </c>
      <c r="D13" s="8" t="s">
        <v>18</v>
      </c>
      <c r="E13" s="8" t="s">
        <v>16</v>
      </c>
      <c r="F13" s="8" t="s">
        <v>2211</v>
      </c>
      <c r="G13" s="8" t="s">
        <v>2212</v>
      </c>
      <c r="H13" s="8">
        <v>2594</v>
      </c>
      <c r="I13" s="8">
        <v>2594</v>
      </c>
      <c r="J13" s="8" t="s">
        <v>34</v>
      </c>
      <c r="K13" s="9">
        <v>45287</v>
      </c>
      <c r="L13" s="9">
        <v>46966</v>
      </c>
      <c r="M13" s="8" t="s">
        <v>16</v>
      </c>
      <c r="P13" s="16" t="s">
        <v>33</v>
      </c>
      <c r="Q13" s="2" t="s">
        <v>16</v>
      </c>
      <c r="S13" s="8" t="s">
        <v>33</v>
      </c>
      <c r="T13" s="9">
        <v>46966</v>
      </c>
      <c r="U13" s="8">
        <v>0</v>
      </c>
      <c r="V13" s="20">
        <v>2594</v>
      </c>
      <c r="W13" s="21" t="s">
        <v>16</v>
      </c>
    </row>
    <row r="14" spans="1:23" ht="60">
      <c r="A14" s="8" t="s">
        <v>2214</v>
      </c>
      <c r="B14" s="8" t="s">
        <v>35</v>
      </c>
      <c r="C14" s="8" t="s">
        <v>2197</v>
      </c>
      <c r="D14" s="8" t="s">
        <v>18</v>
      </c>
      <c r="E14" s="8" t="s">
        <v>16</v>
      </c>
      <c r="F14" s="8" t="s">
        <v>2198</v>
      </c>
      <c r="G14" s="8" t="s">
        <v>2215</v>
      </c>
      <c r="H14" s="8">
        <v>3273</v>
      </c>
      <c r="I14" s="8">
        <v>3273</v>
      </c>
      <c r="J14" s="8" t="s">
        <v>36</v>
      </c>
      <c r="K14" s="9">
        <v>45317</v>
      </c>
      <c r="L14" s="9">
        <v>45689</v>
      </c>
      <c r="M14" s="8" t="s">
        <v>16</v>
      </c>
      <c r="P14" s="16" t="s">
        <v>33</v>
      </c>
      <c r="Q14" s="2" t="s">
        <v>16</v>
      </c>
      <c r="S14" s="8" t="s">
        <v>35</v>
      </c>
      <c r="T14" s="9">
        <v>45689</v>
      </c>
      <c r="U14" s="8">
        <v>0</v>
      </c>
      <c r="V14" s="20">
        <v>3273</v>
      </c>
      <c r="W14" s="21" t="s">
        <v>16</v>
      </c>
    </row>
    <row r="15" spans="1:23" ht="60">
      <c r="A15" s="8" t="s">
        <v>2216</v>
      </c>
      <c r="B15" s="8" t="s">
        <v>37</v>
      </c>
      <c r="C15" s="8" t="s">
        <v>2197</v>
      </c>
      <c r="D15" s="8" t="s">
        <v>18</v>
      </c>
      <c r="E15" s="8" t="s">
        <v>2217</v>
      </c>
      <c r="F15" s="8" t="s">
        <v>2217</v>
      </c>
      <c r="G15" s="8" t="s">
        <v>2217</v>
      </c>
      <c r="H15" s="8">
        <v>1</v>
      </c>
      <c r="I15" s="8">
        <v>1</v>
      </c>
      <c r="J15" s="8">
        <v>2020</v>
      </c>
      <c r="K15" s="9">
        <v>44783</v>
      </c>
      <c r="L15" s="9">
        <v>45658</v>
      </c>
      <c r="M15" s="8" t="s">
        <v>38</v>
      </c>
      <c r="P15" s="17" t="s">
        <v>35</v>
      </c>
      <c r="Q15" s="2" t="s">
        <v>16</v>
      </c>
      <c r="S15" s="8" t="s">
        <v>37</v>
      </c>
      <c r="T15" s="9">
        <v>45658</v>
      </c>
      <c r="U15" s="8">
        <v>0</v>
      </c>
      <c r="V15" s="20">
        <v>1</v>
      </c>
      <c r="W15" s="21" t="s">
        <v>38</v>
      </c>
    </row>
    <row r="16" spans="1:23" ht="48.75">
      <c r="A16" s="8" t="s">
        <v>2218</v>
      </c>
      <c r="B16" s="8" t="s">
        <v>39</v>
      </c>
      <c r="C16" s="8" t="s">
        <v>2197</v>
      </c>
      <c r="D16" s="8" t="s">
        <v>18</v>
      </c>
      <c r="E16" s="8" t="s">
        <v>16</v>
      </c>
      <c r="F16" s="8" t="s">
        <v>2198</v>
      </c>
      <c r="G16" s="8" t="s">
        <v>2219</v>
      </c>
      <c r="H16" s="8">
        <v>115</v>
      </c>
      <c r="I16" s="8">
        <v>115</v>
      </c>
      <c r="J16" s="8">
        <v>2029</v>
      </c>
      <c r="K16" s="9">
        <v>44651</v>
      </c>
      <c r="L16" s="9">
        <v>46054</v>
      </c>
      <c r="M16" s="8" t="s">
        <v>16</v>
      </c>
      <c r="P16" s="16" t="s">
        <v>37</v>
      </c>
      <c r="Q16" s="2" t="s">
        <v>38</v>
      </c>
      <c r="S16" s="8" t="s">
        <v>39</v>
      </c>
      <c r="T16" s="9">
        <v>46054</v>
      </c>
      <c r="U16" s="8">
        <v>0</v>
      </c>
      <c r="V16" s="20">
        <v>115</v>
      </c>
      <c r="W16" s="21" t="s">
        <v>16</v>
      </c>
    </row>
    <row r="17" spans="1:23" ht="75">
      <c r="A17" s="8" t="s">
        <v>2220</v>
      </c>
      <c r="B17" s="8" t="s">
        <v>40</v>
      </c>
      <c r="C17" s="8" t="s">
        <v>2221</v>
      </c>
      <c r="D17" s="8" t="s">
        <v>18</v>
      </c>
      <c r="E17" s="8" t="s">
        <v>101</v>
      </c>
      <c r="F17" s="8" t="s">
        <v>101</v>
      </c>
      <c r="G17" s="8" t="s">
        <v>2217</v>
      </c>
      <c r="H17" s="8">
        <v>1</v>
      </c>
      <c r="I17" s="8">
        <v>1</v>
      </c>
      <c r="J17" s="8">
        <v>0</v>
      </c>
      <c r="K17" s="8" t="s">
        <v>2222</v>
      </c>
      <c r="L17" s="8" t="s">
        <v>2222</v>
      </c>
      <c r="M17" s="8" t="s">
        <v>41</v>
      </c>
      <c r="P17" s="16" t="s">
        <v>39</v>
      </c>
      <c r="Q17" s="2" t="s">
        <v>16</v>
      </c>
      <c r="S17" s="8" t="s">
        <v>40</v>
      </c>
      <c r="T17" s="9" t="s">
        <v>2222</v>
      </c>
      <c r="U17" s="8">
        <v>0</v>
      </c>
      <c r="V17" s="20">
        <v>1</v>
      </c>
      <c r="W17" s="21" t="s">
        <v>41</v>
      </c>
    </row>
    <row r="18" spans="1:23" ht="75">
      <c r="A18" s="8" t="s">
        <v>2223</v>
      </c>
      <c r="B18" s="8" t="s">
        <v>42</v>
      </c>
      <c r="C18" s="8" t="s">
        <v>2221</v>
      </c>
      <c r="D18" s="8" t="s">
        <v>18</v>
      </c>
      <c r="E18" s="8" t="s">
        <v>2217</v>
      </c>
      <c r="F18" s="8" t="s">
        <v>2217</v>
      </c>
      <c r="G18" s="8" t="s">
        <v>2217</v>
      </c>
      <c r="H18" s="8">
        <v>85</v>
      </c>
      <c r="I18" s="8">
        <v>85</v>
      </c>
      <c r="J18" s="8">
        <v>0</v>
      </c>
      <c r="K18" s="9">
        <v>45341</v>
      </c>
      <c r="L18" s="8" t="s">
        <v>2222</v>
      </c>
      <c r="M18" s="8" t="s">
        <v>43</v>
      </c>
      <c r="P18" s="16" t="s">
        <v>40</v>
      </c>
      <c r="Q18" s="2" t="s">
        <v>41</v>
      </c>
      <c r="S18" s="8" t="s">
        <v>42</v>
      </c>
      <c r="T18" s="9" t="s">
        <v>2222</v>
      </c>
      <c r="U18" s="8">
        <v>0</v>
      </c>
      <c r="V18" s="20">
        <v>85</v>
      </c>
      <c r="W18" s="21" t="s">
        <v>43</v>
      </c>
    </row>
    <row r="19" spans="1:23" ht="48.75">
      <c r="A19" s="8" t="s">
        <v>2224</v>
      </c>
      <c r="B19" s="8" t="s">
        <v>44</v>
      </c>
      <c r="C19" s="8" t="s">
        <v>2203</v>
      </c>
      <c r="D19" s="8" t="s">
        <v>18</v>
      </c>
      <c r="E19" s="8" t="s">
        <v>16</v>
      </c>
      <c r="F19" s="8" t="s">
        <v>2198</v>
      </c>
      <c r="G19" s="8" t="s">
        <v>2225</v>
      </c>
      <c r="H19" s="8">
        <v>2973</v>
      </c>
      <c r="I19" s="8">
        <v>1048</v>
      </c>
      <c r="J19" s="8">
        <v>23121801</v>
      </c>
      <c r="K19" s="9">
        <v>45300</v>
      </c>
      <c r="L19" s="9">
        <v>47058</v>
      </c>
      <c r="M19" s="8" t="s">
        <v>16</v>
      </c>
      <c r="P19" s="16" t="s">
        <v>42</v>
      </c>
      <c r="Q19" s="2" t="s">
        <v>43</v>
      </c>
      <c r="S19" s="8" t="s">
        <v>44</v>
      </c>
      <c r="T19" s="9">
        <v>47058</v>
      </c>
      <c r="U19" s="8">
        <v>0</v>
      </c>
      <c r="V19" s="20">
        <v>1048</v>
      </c>
      <c r="W19" s="21" t="s">
        <v>16</v>
      </c>
    </row>
    <row r="20" spans="1:23" ht="45">
      <c r="A20" s="8" t="s">
        <v>2224</v>
      </c>
      <c r="B20" s="8" t="s">
        <v>44</v>
      </c>
      <c r="C20" s="8" t="s">
        <v>2203</v>
      </c>
      <c r="D20" s="8" t="s">
        <v>18</v>
      </c>
      <c r="E20" s="8" t="s">
        <v>16</v>
      </c>
      <c r="F20" s="8" t="s">
        <v>2198</v>
      </c>
      <c r="G20" s="8" t="s">
        <v>2225</v>
      </c>
      <c r="H20" s="8">
        <v>2973</v>
      </c>
      <c r="I20" s="8">
        <v>1925</v>
      </c>
      <c r="J20" s="8">
        <v>24031301</v>
      </c>
      <c r="K20" s="9">
        <v>45436</v>
      </c>
      <c r="L20" s="9">
        <v>47150</v>
      </c>
      <c r="M20" s="8" t="s">
        <v>16</v>
      </c>
      <c r="P20" s="16" t="s">
        <v>44</v>
      </c>
      <c r="Q20" s="2" t="s">
        <v>16</v>
      </c>
      <c r="S20" s="8" t="s">
        <v>44</v>
      </c>
      <c r="T20" s="9">
        <v>47150</v>
      </c>
      <c r="U20" s="8">
        <v>0</v>
      </c>
      <c r="V20" s="20">
        <v>1925</v>
      </c>
      <c r="W20" s="21" t="s">
        <v>16</v>
      </c>
    </row>
    <row r="21" spans="1:23" ht="45">
      <c r="A21" s="8" t="s">
        <v>2226</v>
      </c>
      <c r="B21" s="8" t="s">
        <v>45</v>
      </c>
      <c r="C21" s="8" t="s">
        <v>2203</v>
      </c>
      <c r="D21" s="8" t="s">
        <v>18</v>
      </c>
      <c r="E21" s="8" t="s">
        <v>16</v>
      </c>
      <c r="F21" s="8" t="s">
        <v>2198</v>
      </c>
      <c r="G21" s="8" t="s">
        <v>2225</v>
      </c>
      <c r="H21" s="8">
        <v>1383</v>
      </c>
      <c r="I21" s="8">
        <v>3</v>
      </c>
      <c r="J21" s="8">
        <v>23092601</v>
      </c>
      <c r="K21" s="9">
        <v>45300</v>
      </c>
      <c r="L21" s="9">
        <v>46966</v>
      </c>
      <c r="M21" s="8" t="s">
        <v>16</v>
      </c>
      <c r="P21" s="16" t="s">
        <v>44</v>
      </c>
      <c r="Q21" s="2" t="s">
        <v>16</v>
      </c>
      <c r="S21" s="8" t="s">
        <v>45</v>
      </c>
      <c r="T21" s="9">
        <v>46966</v>
      </c>
      <c r="U21" s="8">
        <v>0</v>
      </c>
      <c r="V21" s="20">
        <v>3</v>
      </c>
      <c r="W21" s="21" t="s">
        <v>16</v>
      </c>
    </row>
    <row r="22" spans="1:23" ht="45">
      <c r="A22" s="8" t="s">
        <v>2226</v>
      </c>
      <c r="B22" s="8" t="s">
        <v>45</v>
      </c>
      <c r="C22" s="8" t="s">
        <v>2203</v>
      </c>
      <c r="D22" s="8" t="s">
        <v>18</v>
      </c>
      <c r="E22" s="8" t="s">
        <v>16</v>
      </c>
      <c r="F22" s="8" t="s">
        <v>2198</v>
      </c>
      <c r="G22" s="8" t="s">
        <v>2225</v>
      </c>
      <c r="H22" s="8">
        <v>1383</v>
      </c>
      <c r="I22" s="8">
        <v>1380</v>
      </c>
      <c r="J22" s="8">
        <v>23122704</v>
      </c>
      <c r="K22" s="9">
        <v>45369</v>
      </c>
      <c r="L22" s="9">
        <v>47058</v>
      </c>
      <c r="M22" s="8" t="s">
        <v>16</v>
      </c>
      <c r="P22" s="16" t="s">
        <v>45</v>
      </c>
      <c r="Q22" s="2" t="s">
        <v>16</v>
      </c>
      <c r="S22" s="8" t="s">
        <v>45</v>
      </c>
      <c r="T22" s="9">
        <v>47058</v>
      </c>
      <c r="U22" s="8">
        <v>0</v>
      </c>
      <c r="V22" s="20">
        <v>1380</v>
      </c>
      <c r="W22" s="21" t="s">
        <v>16</v>
      </c>
    </row>
    <row r="23" spans="1:23" ht="60">
      <c r="A23" s="8" t="s">
        <v>2227</v>
      </c>
      <c r="B23" s="8" t="s">
        <v>46</v>
      </c>
      <c r="C23" s="8" t="s">
        <v>2203</v>
      </c>
      <c r="D23" s="8" t="s">
        <v>18</v>
      </c>
      <c r="E23" s="8" t="s">
        <v>16</v>
      </c>
      <c r="F23" s="8" t="s">
        <v>2228</v>
      </c>
      <c r="G23" s="8" t="s">
        <v>2229</v>
      </c>
      <c r="H23" s="8">
        <v>120</v>
      </c>
      <c r="I23" s="8">
        <v>120</v>
      </c>
      <c r="J23" s="8" t="s">
        <v>47</v>
      </c>
      <c r="K23" s="9">
        <v>45075</v>
      </c>
      <c r="L23" s="9">
        <v>46478</v>
      </c>
      <c r="M23" s="8" t="s">
        <v>48</v>
      </c>
      <c r="P23" s="16" t="s">
        <v>45</v>
      </c>
      <c r="Q23" s="2" t="s">
        <v>16</v>
      </c>
      <c r="S23" s="8" t="s">
        <v>46</v>
      </c>
      <c r="T23" s="9">
        <v>46478</v>
      </c>
      <c r="U23" s="8">
        <v>0</v>
      </c>
      <c r="V23" s="20">
        <v>120</v>
      </c>
      <c r="W23" s="21" t="s">
        <v>48</v>
      </c>
    </row>
    <row r="24" spans="1:23" ht="48.75">
      <c r="A24" s="8" t="s">
        <v>2230</v>
      </c>
      <c r="B24" s="8" t="s">
        <v>49</v>
      </c>
      <c r="C24" s="8" t="s">
        <v>2197</v>
      </c>
      <c r="D24" s="8" t="s">
        <v>18</v>
      </c>
      <c r="E24" s="8" t="s">
        <v>16</v>
      </c>
      <c r="F24" s="8" t="s">
        <v>2228</v>
      </c>
      <c r="G24" s="8" t="s">
        <v>2231</v>
      </c>
      <c r="H24" s="8">
        <v>171</v>
      </c>
      <c r="I24" s="8">
        <v>42</v>
      </c>
      <c r="J24" s="8">
        <v>601220907016</v>
      </c>
      <c r="K24" s="9">
        <v>45309</v>
      </c>
      <c r="L24" s="9">
        <v>46631</v>
      </c>
      <c r="M24" s="8" t="s">
        <v>16</v>
      </c>
      <c r="P24" s="16" t="s">
        <v>46</v>
      </c>
      <c r="Q24" s="2" t="s">
        <v>48</v>
      </c>
      <c r="S24" s="8" t="s">
        <v>49</v>
      </c>
      <c r="T24" s="9">
        <v>46631</v>
      </c>
      <c r="U24" s="8">
        <v>0</v>
      </c>
      <c r="V24" s="20">
        <v>171</v>
      </c>
      <c r="W24" s="21" t="s">
        <v>16</v>
      </c>
    </row>
    <row r="25" spans="1:23" ht="45">
      <c r="A25" s="8" t="s">
        <v>2230</v>
      </c>
      <c r="B25" s="8" t="s">
        <v>49</v>
      </c>
      <c r="C25" s="8" t="s">
        <v>2197</v>
      </c>
      <c r="D25" s="8" t="s">
        <v>18</v>
      </c>
      <c r="E25" s="8" t="s">
        <v>16</v>
      </c>
      <c r="F25" s="8" t="s">
        <v>2228</v>
      </c>
      <c r="G25" s="8" t="s">
        <v>2231</v>
      </c>
      <c r="H25" s="8">
        <v>171</v>
      </c>
      <c r="I25" s="8">
        <v>129</v>
      </c>
      <c r="J25" s="10">
        <v>601000000000</v>
      </c>
      <c r="K25" s="9">
        <v>44859</v>
      </c>
      <c r="L25" s="9">
        <v>46631</v>
      </c>
      <c r="M25" s="8" t="s">
        <v>16</v>
      </c>
      <c r="P25" s="16" t="s">
        <v>49</v>
      </c>
      <c r="Q25" s="2" t="s">
        <v>16</v>
      </c>
      <c r="S25" s="8" t="s">
        <v>50</v>
      </c>
      <c r="T25" s="9">
        <v>46600</v>
      </c>
      <c r="U25" s="8">
        <v>0</v>
      </c>
      <c r="V25" s="20">
        <v>572</v>
      </c>
      <c r="W25" s="21" t="s">
        <v>16</v>
      </c>
    </row>
    <row r="26" spans="1:23" ht="45">
      <c r="A26" s="8" t="s">
        <v>2232</v>
      </c>
      <c r="B26" s="8" t="s">
        <v>50</v>
      </c>
      <c r="C26" s="8" t="s">
        <v>2197</v>
      </c>
      <c r="D26" s="8" t="s">
        <v>18</v>
      </c>
      <c r="E26" s="8" t="s">
        <v>16</v>
      </c>
      <c r="F26" s="8" t="s">
        <v>2228</v>
      </c>
      <c r="G26" s="8" t="s">
        <v>2231</v>
      </c>
      <c r="H26" s="8">
        <v>572</v>
      </c>
      <c r="I26" s="8">
        <v>43</v>
      </c>
      <c r="J26" s="8">
        <v>601220807018</v>
      </c>
      <c r="K26" s="9">
        <v>45309</v>
      </c>
      <c r="L26" s="9">
        <v>46600</v>
      </c>
      <c r="M26" s="8" t="s">
        <v>16</v>
      </c>
      <c r="P26" s="16" t="s">
        <v>49</v>
      </c>
      <c r="Q26" s="2" t="s">
        <v>16</v>
      </c>
      <c r="S26" s="8" t="s">
        <v>51</v>
      </c>
      <c r="T26" s="9">
        <v>46113</v>
      </c>
      <c r="U26" s="8">
        <v>0</v>
      </c>
      <c r="V26" s="20">
        <v>7423</v>
      </c>
      <c r="W26" s="21" t="s">
        <v>16</v>
      </c>
    </row>
    <row r="27" spans="1:23" ht="45">
      <c r="A27" s="8" t="s">
        <v>2232</v>
      </c>
      <c r="B27" s="8" t="s">
        <v>50</v>
      </c>
      <c r="C27" s="8" t="s">
        <v>2197</v>
      </c>
      <c r="D27" s="8" t="s">
        <v>18</v>
      </c>
      <c r="E27" s="8" t="s">
        <v>16</v>
      </c>
      <c r="F27" s="8" t="s">
        <v>2228</v>
      </c>
      <c r="G27" s="8" t="s">
        <v>2231</v>
      </c>
      <c r="H27" s="8">
        <v>572</v>
      </c>
      <c r="I27" s="8">
        <v>529</v>
      </c>
      <c r="J27" s="10">
        <v>601000000000</v>
      </c>
      <c r="K27" s="9">
        <v>44859</v>
      </c>
      <c r="L27" s="9">
        <v>46600</v>
      </c>
      <c r="M27" s="8" t="s">
        <v>16</v>
      </c>
      <c r="P27" s="16" t="s">
        <v>50</v>
      </c>
      <c r="Q27" s="2" t="s">
        <v>16</v>
      </c>
      <c r="S27" s="8" t="s">
        <v>54</v>
      </c>
      <c r="T27" s="9">
        <v>45597</v>
      </c>
      <c r="U27" s="8">
        <v>0</v>
      </c>
      <c r="V27" s="20">
        <v>230</v>
      </c>
      <c r="W27" s="21" t="s">
        <v>16</v>
      </c>
    </row>
    <row r="28" spans="1:23" ht="45">
      <c r="A28" s="8" t="s">
        <v>2233</v>
      </c>
      <c r="B28" s="8" t="s">
        <v>51</v>
      </c>
      <c r="C28" s="8" t="s">
        <v>2203</v>
      </c>
      <c r="D28" s="8" t="s">
        <v>18</v>
      </c>
      <c r="E28" s="8" t="s">
        <v>16</v>
      </c>
      <c r="F28" s="8" t="s">
        <v>2204</v>
      </c>
      <c r="G28" s="8" t="s">
        <v>2234</v>
      </c>
      <c r="H28" s="8">
        <v>7423</v>
      </c>
      <c r="I28" s="8">
        <v>103</v>
      </c>
      <c r="J28" s="8" t="s">
        <v>52</v>
      </c>
      <c r="K28" s="9">
        <v>45379</v>
      </c>
      <c r="L28" s="9">
        <v>46113</v>
      </c>
      <c r="M28" s="8" t="s">
        <v>16</v>
      </c>
      <c r="P28" s="16" t="s">
        <v>50</v>
      </c>
      <c r="Q28" s="2" t="s">
        <v>16</v>
      </c>
      <c r="S28" s="8" t="s">
        <v>55</v>
      </c>
      <c r="T28" s="9">
        <v>45597</v>
      </c>
      <c r="U28" s="8">
        <v>0</v>
      </c>
      <c r="V28" s="20">
        <v>104</v>
      </c>
      <c r="W28" s="21" t="s">
        <v>16</v>
      </c>
    </row>
    <row r="29" spans="1:23" ht="45">
      <c r="A29" s="8" t="s">
        <v>2233</v>
      </c>
      <c r="B29" s="8" t="s">
        <v>51</v>
      </c>
      <c r="C29" s="8" t="s">
        <v>2203</v>
      </c>
      <c r="D29" s="8" t="s">
        <v>18</v>
      </c>
      <c r="E29" s="8" t="s">
        <v>16</v>
      </c>
      <c r="F29" s="8" t="s">
        <v>2204</v>
      </c>
      <c r="G29" s="8" t="s">
        <v>2234</v>
      </c>
      <c r="H29" s="8">
        <v>7423</v>
      </c>
      <c r="I29" s="8">
        <v>7320</v>
      </c>
      <c r="J29" s="8" t="s">
        <v>53</v>
      </c>
      <c r="K29" s="9">
        <v>45379</v>
      </c>
      <c r="L29" s="9">
        <v>46113</v>
      </c>
      <c r="M29" s="8" t="s">
        <v>16</v>
      </c>
      <c r="P29" s="16" t="s">
        <v>51</v>
      </c>
      <c r="Q29" s="2" t="s">
        <v>16</v>
      </c>
      <c r="S29" s="8" t="s">
        <v>56</v>
      </c>
      <c r="T29" s="9">
        <v>45689</v>
      </c>
      <c r="U29" s="8">
        <v>0</v>
      </c>
      <c r="V29" s="20">
        <v>1800</v>
      </c>
      <c r="W29" s="21" t="s">
        <v>16</v>
      </c>
    </row>
    <row r="30" spans="1:23" ht="45">
      <c r="A30" s="8" t="s">
        <v>2235</v>
      </c>
      <c r="B30" s="8" t="s">
        <v>54</v>
      </c>
      <c r="C30" s="8" t="s">
        <v>2197</v>
      </c>
      <c r="D30" s="8" t="s">
        <v>18</v>
      </c>
      <c r="E30" s="8" t="s">
        <v>16</v>
      </c>
      <c r="F30" s="8" t="s">
        <v>2204</v>
      </c>
      <c r="G30" s="8" t="s">
        <v>2236</v>
      </c>
      <c r="H30" s="8">
        <v>230</v>
      </c>
      <c r="I30" s="8">
        <v>230</v>
      </c>
      <c r="J30" s="8">
        <v>6833</v>
      </c>
      <c r="K30" s="9">
        <v>45140</v>
      </c>
      <c r="L30" s="9">
        <v>45597</v>
      </c>
      <c r="M30" s="8" t="s">
        <v>16</v>
      </c>
      <c r="P30" s="16" t="s">
        <v>51</v>
      </c>
      <c r="Q30" s="2" t="s">
        <v>16</v>
      </c>
      <c r="S30" s="8" t="s">
        <v>57</v>
      </c>
      <c r="T30" s="9">
        <v>45717</v>
      </c>
      <c r="U30" s="8">
        <v>0</v>
      </c>
      <c r="V30" s="20">
        <v>2165</v>
      </c>
      <c r="W30" s="21" t="s">
        <v>16</v>
      </c>
    </row>
    <row r="31" spans="1:23" ht="45">
      <c r="A31" s="8" t="s">
        <v>2237</v>
      </c>
      <c r="B31" s="8" t="s">
        <v>55</v>
      </c>
      <c r="C31" s="8" t="s">
        <v>2197</v>
      </c>
      <c r="D31" s="8" t="s">
        <v>18</v>
      </c>
      <c r="E31" s="8" t="s">
        <v>16</v>
      </c>
      <c r="F31" s="8" t="s">
        <v>2204</v>
      </c>
      <c r="G31" s="8" t="s">
        <v>2236</v>
      </c>
      <c r="H31" s="8">
        <v>104</v>
      </c>
      <c r="I31" s="8">
        <v>104</v>
      </c>
      <c r="J31" s="8">
        <v>6833</v>
      </c>
      <c r="K31" s="9">
        <v>45140</v>
      </c>
      <c r="L31" s="9">
        <v>45597</v>
      </c>
      <c r="M31" s="8" t="s">
        <v>16</v>
      </c>
      <c r="P31" s="16" t="s">
        <v>54</v>
      </c>
      <c r="Q31" s="2" t="s">
        <v>16</v>
      </c>
      <c r="S31" s="8" t="s">
        <v>59</v>
      </c>
      <c r="T31" s="9">
        <v>45597</v>
      </c>
      <c r="U31" s="8">
        <v>0</v>
      </c>
      <c r="V31" s="20">
        <v>198</v>
      </c>
      <c r="W31" s="21" t="s">
        <v>16</v>
      </c>
    </row>
    <row r="32" spans="1:23" ht="45">
      <c r="A32" s="8" t="s">
        <v>2238</v>
      </c>
      <c r="B32" s="8" t="s">
        <v>56</v>
      </c>
      <c r="C32" s="8" t="s">
        <v>2197</v>
      </c>
      <c r="D32" s="8" t="s">
        <v>18</v>
      </c>
      <c r="E32" s="8" t="s">
        <v>16</v>
      </c>
      <c r="F32" s="8" t="s">
        <v>2198</v>
      </c>
      <c r="G32" s="8" t="s">
        <v>2239</v>
      </c>
      <c r="H32" s="8">
        <v>1800</v>
      </c>
      <c r="I32" s="8">
        <v>1800</v>
      </c>
      <c r="J32" s="8">
        <v>2202003</v>
      </c>
      <c r="K32" s="9">
        <v>44655</v>
      </c>
      <c r="L32" s="9">
        <v>45689</v>
      </c>
      <c r="M32" s="8" t="s">
        <v>16</v>
      </c>
      <c r="P32" s="16" t="s">
        <v>55</v>
      </c>
      <c r="Q32" s="2" t="s">
        <v>16</v>
      </c>
      <c r="S32" s="8" t="s">
        <v>60</v>
      </c>
      <c r="T32" s="9">
        <v>45597</v>
      </c>
      <c r="U32" s="8">
        <v>0</v>
      </c>
      <c r="V32" s="20">
        <v>15</v>
      </c>
      <c r="W32" s="21" t="s">
        <v>16</v>
      </c>
    </row>
    <row r="33" spans="1:23" ht="45">
      <c r="A33" s="8" t="s">
        <v>2240</v>
      </c>
      <c r="B33" s="8" t="s">
        <v>57</v>
      </c>
      <c r="C33" s="8" t="s">
        <v>2197</v>
      </c>
      <c r="D33" s="8" t="s">
        <v>18</v>
      </c>
      <c r="E33" s="8" t="s">
        <v>16</v>
      </c>
      <c r="F33" s="8" t="s">
        <v>2198</v>
      </c>
      <c r="G33" s="8" t="s">
        <v>2239</v>
      </c>
      <c r="H33" s="8">
        <v>2165</v>
      </c>
      <c r="I33" s="8">
        <v>2165</v>
      </c>
      <c r="J33" s="8" t="s">
        <v>58</v>
      </c>
      <c r="K33" s="9">
        <v>44655</v>
      </c>
      <c r="L33" s="9">
        <v>45717</v>
      </c>
      <c r="M33" s="8" t="s">
        <v>16</v>
      </c>
      <c r="P33" s="16" t="s">
        <v>56</v>
      </c>
      <c r="Q33" s="2" t="s">
        <v>16</v>
      </c>
      <c r="S33" s="8" t="s">
        <v>60</v>
      </c>
      <c r="T33" s="9">
        <v>46631</v>
      </c>
      <c r="U33" s="8">
        <v>0</v>
      </c>
      <c r="V33" s="20">
        <v>819</v>
      </c>
      <c r="W33" s="21" t="s">
        <v>16</v>
      </c>
    </row>
    <row r="34" spans="1:23" ht="60">
      <c r="A34" s="8" t="s">
        <v>2241</v>
      </c>
      <c r="B34" s="8" t="s">
        <v>59</v>
      </c>
      <c r="C34" s="8" t="s">
        <v>2197</v>
      </c>
      <c r="D34" s="8" t="s">
        <v>18</v>
      </c>
      <c r="E34" s="8" t="s">
        <v>16</v>
      </c>
      <c r="F34" s="8" t="s">
        <v>2198</v>
      </c>
      <c r="G34" s="8" t="s">
        <v>2239</v>
      </c>
      <c r="H34" s="8">
        <v>198</v>
      </c>
      <c r="I34" s="8">
        <v>198</v>
      </c>
      <c r="J34" s="8">
        <v>2111004</v>
      </c>
      <c r="K34" s="9">
        <v>44531</v>
      </c>
      <c r="L34" s="9">
        <v>45597</v>
      </c>
      <c r="M34" s="8" t="s">
        <v>16</v>
      </c>
      <c r="P34" s="16" t="s">
        <v>57</v>
      </c>
      <c r="Q34" s="2" t="s">
        <v>16</v>
      </c>
      <c r="S34" s="8" t="s">
        <v>61</v>
      </c>
      <c r="T34" s="9">
        <v>47027</v>
      </c>
      <c r="U34" s="8">
        <v>0</v>
      </c>
      <c r="V34" s="20">
        <v>640</v>
      </c>
      <c r="W34" s="21" t="s">
        <v>16</v>
      </c>
    </row>
    <row r="35" spans="1:23" ht="60">
      <c r="A35" s="8" t="s">
        <v>2242</v>
      </c>
      <c r="B35" s="8" t="s">
        <v>60</v>
      </c>
      <c r="C35" s="8" t="s">
        <v>2197</v>
      </c>
      <c r="D35" s="8" t="s">
        <v>18</v>
      </c>
      <c r="E35" s="8" t="s">
        <v>16</v>
      </c>
      <c r="F35" s="8" t="s">
        <v>2198</v>
      </c>
      <c r="G35" s="8" t="s">
        <v>2239</v>
      </c>
      <c r="H35" s="8">
        <v>188</v>
      </c>
      <c r="I35" s="8">
        <v>15</v>
      </c>
      <c r="J35" s="8">
        <v>2111055</v>
      </c>
      <c r="K35" s="9">
        <v>44849</v>
      </c>
      <c r="L35" s="9">
        <v>45597</v>
      </c>
      <c r="M35" s="8" t="s">
        <v>16</v>
      </c>
      <c r="P35" s="16" t="s">
        <v>59</v>
      </c>
      <c r="Q35" s="2" t="s">
        <v>16</v>
      </c>
      <c r="S35" s="8" t="s">
        <v>63</v>
      </c>
      <c r="T35" s="9">
        <v>47027</v>
      </c>
      <c r="U35" s="8">
        <v>0</v>
      </c>
      <c r="V35" s="20">
        <v>800</v>
      </c>
      <c r="W35" s="21" t="s">
        <v>16</v>
      </c>
    </row>
    <row r="36" spans="1:23" ht="45">
      <c r="A36" s="8" t="s">
        <v>2242</v>
      </c>
      <c r="B36" s="8" t="s">
        <v>60</v>
      </c>
      <c r="C36" s="8" t="s">
        <v>2197</v>
      </c>
      <c r="D36" s="8" t="s">
        <v>18</v>
      </c>
      <c r="E36" s="8" t="s">
        <v>16</v>
      </c>
      <c r="F36" s="8" t="s">
        <v>2198</v>
      </c>
      <c r="G36" s="8" t="s">
        <v>2239</v>
      </c>
      <c r="H36" s="8">
        <v>188</v>
      </c>
      <c r="I36" s="8">
        <v>173</v>
      </c>
      <c r="J36" s="8">
        <v>2103001</v>
      </c>
      <c r="K36" s="9">
        <v>45414</v>
      </c>
      <c r="L36" s="9">
        <v>46631</v>
      </c>
      <c r="M36" s="8" t="s">
        <v>16</v>
      </c>
      <c r="P36" s="16" t="s">
        <v>60</v>
      </c>
      <c r="Q36" s="2" t="s">
        <v>16</v>
      </c>
      <c r="S36" s="8" t="s">
        <v>65</v>
      </c>
      <c r="T36" s="9">
        <v>47058</v>
      </c>
      <c r="U36" s="8">
        <v>0</v>
      </c>
      <c r="V36" s="20">
        <v>700</v>
      </c>
      <c r="W36" s="21" t="s">
        <v>16</v>
      </c>
    </row>
    <row r="37" spans="1:23" ht="45">
      <c r="A37" s="8" t="s">
        <v>2243</v>
      </c>
      <c r="B37" s="8" t="s">
        <v>60</v>
      </c>
      <c r="C37" s="8" t="s">
        <v>2197</v>
      </c>
      <c r="D37" s="8" t="s">
        <v>18</v>
      </c>
      <c r="E37" s="8" t="s">
        <v>16</v>
      </c>
      <c r="F37" s="8" t="s">
        <v>2198</v>
      </c>
      <c r="G37" s="8" t="s">
        <v>2239</v>
      </c>
      <c r="H37" s="8">
        <v>646</v>
      </c>
      <c r="I37" s="8">
        <v>209</v>
      </c>
      <c r="J37" s="8">
        <v>2009002</v>
      </c>
      <c r="K37" s="9">
        <v>45414</v>
      </c>
      <c r="L37" s="9">
        <v>46631</v>
      </c>
      <c r="M37" s="8" t="s">
        <v>16</v>
      </c>
      <c r="P37" s="16" t="s">
        <v>60</v>
      </c>
      <c r="Q37" s="2" t="s">
        <v>16</v>
      </c>
      <c r="S37" s="8" t="s">
        <v>65</v>
      </c>
      <c r="T37" s="9">
        <v>47027</v>
      </c>
      <c r="U37" s="8">
        <v>0</v>
      </c>
      <c r="V37" s="20">
        <v>1500</v>
      </c>
      <c r="W37" s="21" t="s">
        <v>16</v>
      </c>
    </row>
    <row r="38" spans="1:23" ht="45">
      <c r="A38" s="8" t="s">
        <v>2243</v>
      </c>
      <c r="B38" s="8" t="s">
        <v>60</v>
      </c>
      <c r="C38" s="8" t="s">
        <v>2197</v>
      </c>
      <c r="D38" s="8" t="s">
        <v>18</v>
      </c>
      <c r="E38" s="8" t="s">
        <v>16</v>
      </c>
      <c r="F38" s="8" t="s">
        <v>2198</v>
      </c>
      <c r="G38" s="8" t="s">
        <v>2239</v>
      </c>
      <c r="H38" s="8">
        <v>646</v>
      </c>
      <c r="I38" s="8">
        <v>437</v>
      </c>
      <c r="J38" s="8">
        <v>2103001</v>
      </c>
      <c r="K38" s="9">
        <v>45414</v>
      </c>
      <c r="L38" s="9">
        <v>46631</v>
      </c>
      <c r="M38" s="8" t="s">
        <v>16</v>
      </c>
      <c r="P38" s="16" t="s">
        <v>60</v>
      </c>
      <c r="Q38" s="2" t="s">
        <v>16</v>
      </c>
      <c r="S38" s="8" t="s">
        <v>65</v>
      </c>
      <c r="T38" s="9">
        <v>46966</v>
      </c>
      <c r="U38" s="8">
        <v>0</v>
      </c>
      <c r="V38" s="20">
        <v>3005</v>
      </c>
      <c r="W38" s="21" t="s">
        <v>16</v>
      </c>
    </row>
    <row r="39" spans="1:23" ht="60">
      <c r="A39" s="8" t="s">
        <v>2244</v>
      </c>
      <c r="B39" s="8" t="s">
        <v>61</v>
      </c>
      <c r="C39" s="8" t="s">
        <v>2197</v>
      </c>
      <c r="D39" s="8" t="s">
        <v>18</v>
      </c>
      <c r="E39" s="8" t="s">
        <v>2217</v>
      </c>
      <c r="F39" s="8" t="s">
        <v>2217</v>
      </c>
      <c r="G39" s="8" t="s">
        <v>2217</v>
      </c>
      <c r="H39" s="8">
        <v>640</v>
      </c>
      <c r="I39" s="8">
        <v>640</v>
      </c>
      <c r="J39" s="8" t="s">
        <v>62</v>
      </c>
      <c r="K39" s="9">
        <v>45345</v>
      </c>
      <c r="L39" s="9">
        <v>47027</v>
      </c>
      <c r="M39" s="8" t="s">
        <v>16</v>
      </c>
      <c r="P39" s="16" t="s">
        <v>60</v>
      </c>
      <c r="Q39" s="2" t="s">
        <v>16</v>
      </c>
      <c r="S39" s="8" t="s">
        <v>66</v>
      </c>
      <c r="T39" s="9">
        <v>47088</v>
      </c>
      <c r="U39" s="8">
        <v>0</v>
      </c>
      <c r="V39" s="20">
        <v>22</v>
      </c>
      <c r="W39" s="21" t="s">
        <v>16</v>
      </c>
    </row>
    <row r="40" spans="1:23" ht="60">
      <c r="A40" s="8" t="s">
        <v>2245</v>
      </c>
      <c r="B40" s="8" t="s">
        <v>63</v>
      </c>
      <c r="C40" s="8" t="s">
        <v>2197</v>
      </c>
      <c r="D40" s="8" t="s">
        <v>18</v>
      </c>
      <c r="E40" s="8" t="s">
        <v>2217</v>
      </c>
      <c r="F40" s="8" t="s">
        <v>2217</v>
      </c>
      <c r="G40" s="8" t="s">
        <v>2217</v>
      </c>
      <c r="H40" s="8">
        <v>800</v>
      </c>
      <c r="I40" s="8">
        <v>800</v>
      </c>
      <c r="J40" s="8" t="s">
        <v>64</v>
      </c>
      <c r="K40" s="9">
        <v>45345</v>
      </c>
      <c r="L40" s="9">
        <v>47027</v>
      </c>
      <c r="M40" s="8" t="s">
        <v>16</v>
      </c>
      <c r="P40" s="16" t="s">
        <v>61</v>
      </c>
      <c r="Q40" s="2" t="s">
        <v>16</v>
      </c>
      <c r="S40" s="8" t="s">
        <v>66</v>
      </c>
      <c r="T40" s="9">
        <v>47209</v>
      </c>
      <c r="U40" s="8">
        <v>0</v>
      </c>
      <c r="V40" s="20">
        <v>3600</v>
      </c>
      <c r="W40" s="21" t="s">
        <v>16</v>
      </c>
    </row>
    <row r="41" spans="1:23" ht="48.75">
      <c r="A41" s="8" t="s">
        <v>2246</v>
      </c>
      <c r="B41" s="8" t="s">
        <v>65</v>
      </c>
      <c r="C41" s="8" t="s">
        <v>2197</v>
      </c>
      <c r="D41" s="8" t="s">
        <v>18</v>
      </c>
      <c r="E41" s="8" t="s">
        <v>16</v>
      </c>
      <c r="F41" s="8" t="s">
        <v>2228</v>
      </c>
      <c r="G41" s="8" t="s">
        <v>2247</v>
      </c>
      <c r="H41" s="8">
        <v>5205</v>
      </c>
      <c r="I41" s="8">
        <v>100</v>
      </c>
      <c r="J41" s="8">
        <v>23065761</v>
      </c>
      <c r="K41" s="9">
        <v>45463</v>
      </c>
      <c r="L41" s="9">
        <v>47058</v>
      </c>
      <c r="M41" s="8" t="s">
        <v>16</v>
      </c>
      <c r="P41" s="16" t="s">
        <v>63</v>
      </c>
      <c r="Q41" s="2" t="s">
        <v>16</v>
      </c>
      <c r="S41" s="8" t="s">
        <v>67</v>
      </c>
      <c r="T41" s="9">
        <v>46419</v>
      </c>
      <c r="U41" s="8">
        <v>0</v>
      </c>
      <c r="V41" s="20">
        <v>4</v>
      </c>
      <c r="W41" s="21" t="s">
        <v>16</v>
      </c>
    </row>
    <row r="42" spans="1:23" ht="45">
      <c r="A42" s="8" t="s">
        <v>2246</v>
      </c>
      <c r="B42" s="8" t="s">
        <v>65</v>
      </c>
      <c r="C42" s="8" t="s">
        <v>2197</v>
      </c>
      <c r="D42" s="8" t="s">
        <v>18</v>
      </c>
      <c r="E42" s="8" t="s">
        <v>16</v>
      </c>
      <c r="F42" s="8" t="s">
        <v>2228</v>
      </c>
      <c r="G42" s="8" t="s">
        <v>2247</v>
      </c>
      <c r="H42" s="8">
        <v>5205</v>
      </c>
      <c r="I42" s="8">
        <v>600</v>
      </c>
      <c r="J42" s="8">
        <v>23065760</v>
      </c>
      <c r="K42" s="9">
        <v>45418</v>
      </c>
      <c r="L42" s="9">
        <v>47058</v>
      </c>
      <c r="M42" s="8" t="s">
        <v>16</v>
      </c>
      <c r="P42" s="16" t="s">
        <v>65</v>
      </c>
      <c r="Q42" s="2" t="s">
        <v>16</v>
      </c>
      <c r="S42" s="8" t="s">
        <v>67</v>
      </c>
      <c r="T42" s="9">
        <v>46692</v>
      </c>
      <c r="U42" s="8">
        <v>0</v>
      </c>
      <c r="V42" s="20">
        <v>168</v>
      </c>
      <c r="W42" s="21" t="s">
        <v>16</v>
      </c>
    </row>
    <row r="43" spans="1:23" ht="45">
      <c r="A43" s="8" t="s">
        <v>2246</v>
      </c>
      <c r="B43" s="8" t="s">
        <v>65</v>
      </c>
      <c r="C43" s="8" t="s">
        <v>2197</v>
      </c>
      <c r="D43" s="8" t="s">
        <v>18</v>
      </c>
      <c r="E43" s="8" t="s">
        <v>16</v>
      </c>
      <c r="F43" s="8" t="s">
        <v>2228</v>
      </c>
      <c r="G43" s="8" t="s">
        <v>2247</v>
      </c>
      <c r="H43" s="8">
        <v>5205</v>
      </c>
      <c r="I43" s="8">
        <v>1500</v>
      </c>
      <c r="J43" s="8">
        <v>23065760</v>
      </c>
      <c r="K43" s="9">
        <v>45418</v>
      </c>
      <c r="L43" s="9">
        <v>47027</v>
      </c>
      <c r="M43" s="8" t="s">
        <v>16</v>
      </c>
      <c r="P43" s="16" t="s">
        <v>65</v>
      </c>
      <c r="Q43" s="2" t="s">
        <v>16</v>
      </c>
      <c r="S43" s="8" t="s">
        <v>67</v>
      </c>
      <c r="T43" s="9">
        <v>46844</v>
      </c>
      <c r="U43" s="8">
        <v>0</v>
      </c>
      <c r="V43" s="20">
        <v>2400</v>
      </c>
      <c r="W43" s="21" t="s">
        <v>16</v>
      </c>
    </row>
    <row r="44" spans="1:23" ht="45">
      <c r="A44" s="8" t="s">
        <v>2246</v>
      </c>
      <c r="B44" s="8" t="s">
        <v>65</v>
      </c>
      <c r="C44" s="8" t="s">
        <v>2197</v>
      </c>
      <c r="D44" s="8" t="s">
        <v>18</v>
      </c>
      <c r="E44" s="8" t="s">
        <v>16</v>
      </c>
      <c r="F44" s="8" t="s">
        <v>2228</v>
      </c>
      <c r="G44" s="8" t="s">
        <v>2247</v>
      </c>
      <c r="H44" s="8">
        <v>5205</v>
      </c>
      <c r="I44" s="8">
        <v>3005</v>
      </c>
      <c r="J44" s="8">
        <v>23035758</v>
      </c>
      <c r="K44" s="9">
        <v>45219</v>
      </c>
      <c r="L44" s="9">
        <v>46966</v>
      </c>
      <c r="M44" s="8" t="s">
        <v>16</v>
      </c>
      <c r="P44" s="16" t="s">
        <v>65</v>
      </c>
      <c r="Q44" s="2" t="s">
        <v>16</v>
      </c>
      <c r="S44" s="8" t="s">
        <v>71</v>
      </c>
      <c r="T44" s="9">
        <v>46419</v>
      </c>
      <c r="U44" s="8">
        <v>0</v>
      </c>
      <c r="V44" s="20">
        <v>8000</v>
      </c>
      <c r="W44" s="21" t="s">
        <v>16</v>
      </c>
    </row>
    <row r="45" spans="1:23" ht="45">
      <c r="A45" s="8" t="s">
        <v>2248</v>
      </c>
      <c r="B45" s="8" t="s">
        <v>66</v>
      </c>
      <c r="C45" s="8" t="s">
        <v>2197</v>
      </c>
      <c r="D45" s="8" t="s">
        <v>18</v>
      </c>
      <c r="E45" s="8" t="s">
        <v>16</v>
      </c>
      <c r="F45" s="8" t="s">
        <v>2228</v>
      </c>
      <c r="G45" s="8" t="s">
        <v>2247</v>
      </c>
      <c r="H45" s="8">
        <v>3622</v>
      </c>
      <c r="I45" s="8">
        <v>22</v>
      </c>
      <c r="J45" s="8">
        <v>23065761</v>
      </c>
      <c r="K45" s="9">
        <v>45405</v>
      </c>
      <c r="L45" s="9">
        <v>47088</v>
      </c>
      <c r="M45" s="8" t="s">
        <v>16</v>
      </c>
      <c r="P45" s="16" t="s">
        <v>65</v>
      </c>
      <c r="Q45" s="2" t="s">
        <v>16</v>
      </c>
      <c r="S45" s="8" t="s">
        <v>71</v>
      </c>
      <c r="T45" s="9">
        <v>46296</v>
      </c>
      <c r="U45" s="8">
        <v>0</v>
      </c>
      <c r="V45" s="20">
        <v>4517</v>
      </c>
      <c r="W45" s="21" t="s">
        <v>16</v>
      </c>
    </row>
    <row r="46" spans="1:23" ht="45">
      <c r="A46" s="8" t="s">
        <v>2248</v>
      </c>
      <c r="B46" s="8" t="s">
        <v>66</v>
      </c>
      <c r="C46" s="8" t="s">
        <v>2197</v>
      </c>
      <c r="D46" s="8" t="s">
        <v>18</v>
      </c>
      <c r="E46" s="8" t="s">
        <v>16</v>
      </c>
      <c r="F46" s="8" t="s">
        <v>2228</v>
      </c>
      <c r="G46" s="8" t="s">
        <v>2247</v>
      </c>
      <c r="H46" s="8">
        <v>3622</v>
      </c>
      <c r="I46" s="8">
        <v>3600</v>
      </c>
      <c r="J46" s="8">
        <v>23105762</v>
      </c>
      <c r="K46" s="9">
        <v>45448</v>
      </c>
      <c r="L46" s="9">
        <v>47209</v>
      </c>
      <c r="M46" s="8" t="s">
        <v>16</v>
      </c>
      <c r="P46" s="16" t="s">
        <v>66</v>
      </c>
      <c r="Q46" s="2" t="s">
        <v>16</v>
      </c>
      <c r="S46" s="8" t="s">
        <v>75</v>
      </c>
      <c r="T46" s="9">
        <v>45839</v>
      </c>
      <c r="U46" s="8">
        <v>0</v>
      </c>
      <c r="V46" s="20">
        <v>10</v>
      </c>
      <c r="W46" s="21" t="s">
        <v>16</v>
      </c>
    </row>
    <row r="47" spans="1:23" ht="45">
      <c r="A47" s="8" t="s">
        <v>2249</v>
      </c>
      <c r="B47" s="8" t="s">
        <v>67</v>
      </c>
      <c r="C47" s="8" t="s">
        <v>2197</v>
      </c>
      <c r="D47" s="8" t="s">
        <v>18</v>
      </c>
      <c r="E47" s="8" t="s">
        <v>16</v>
      </c>
      <c r="F47" s="8" t="s">
        <v>2250</v>
      </c>
      <c r="G47" s="8" t="s">
        <v>2251</v>
      </c>
      <c r="H47" s="8">
        <v>2572</v>
      </c>
      <c r="I47" s="8">
        <v>4</v>
      </c>
      <c r="J47" s="8" t="s">
        <v>68</v>
      </c>
      <c r="K47" s="9">
        <v>45010</v>
      </c>
      <c r="L47" s="9">
        <v>46419</v>
      </c>
      <c r="M47" s="8" t="s">
        <v>16</v>
      </c>
      <c r="P47" s="16" t="s">
        <v>66</v>
      </c>
      <c r="Q47" s="2" t="s">
        <v>16</v>
      </c>
      <c r="S47" s="8" t="s">
        <v>75</v>
      </c>
      <c r="T47" s="9">
        <v>46113</v>
      </c>
      <c r="U47" s="8">
        <v>0</v>
      </c>
      <c r="V47" s="20">
        <v>720</v>
      </c>
      <c r="W47" s="21" t="s">
        <v>16</v>
      </c>
    </row>
    <row r="48" spans="1:23" ht="60">
      <c r="A48" s="8" t="s">
        <v>2249</v>
      </c>
      <c r="B48" s="8" t="s">
        <v>67</v>
      </c>
      <c r="C48" s="8" t="s">
        <v>2197</v>
      </c>
      <c r="D48" s="8" t="s">
        <v>18</v>
      </c>
      <c r="E48" s="8" t="s">
        <v>16</v>
      </c>
      <c r="F48" s="8" t="s">
        <v>2250</v>
      </c>
      <c r="G48" s="8" t="s">
        <v>2251</v>
      </c>
      <c r="H48" s="8">
        <v>2572</v>
      </c>
      <c r="I48" s="8">
        <v>168</v>
      </c>
      <c r="J48" s="8" t="s">
        <v>69</v>
      </c>
      <c r="K48" s="9">
        <v>45371</v>
      </c>
      <c r="L48" s="9">
        <v>46692</v>
      </c>
      <c r="M48" s="8" t="s">
        <v>16</v>
      </c>
      <c r="P48" s="16" t="s">
        <v>67</v>
      </c>
      <c r="Q48" s="2" t="s">
        <v>16</v>
      </c>
      <c r="S48" s="8" t="s">
        <v>78</v>
      </c>
      <c r="T48" s="9">
        <v>47178</v>
      </c>
      <c r="U48" s="8">
        <v>0</v>
      </c>
      <c r="V48" s="20">
        <v>4834</v>
      </c>
      <c r="W48" s="21" t="s">
        <v>16</v>
      </c>
    </row>
    <row r="49" spans="1:23" ht="45">
      <c r="A49" s="8" t="s">
        <v>2249</v>
      </c>
      <c r="B49" s="8" t="s">
        <v>67</v>
      </c>
      <c r="C49" s="8" t="s">
        <v>2197</v>
      </c>
      <c r="D49" s="8" t="s">
        <v>18</v>
      </c>
      <c r="E49" s="8" t="s">
        <v>16</v>
      </c>
      <c r="F49" s="8" t="s">
        <v>2250</v>
      </c>
      <c r="G49" s="8" t="s">
        <v>2251</v>
      </c>
      <c r="H49" s="8">
        <v>2572</v>
      </c>
      <c r="I49" s="8">
        <v>2400</v>
      </c>
      <c r="J49" s="8" t="s">
        <v>70</v>
      </c>
      <c r="K49" s="9">
        <v>45436</v>
      </c>
      <c r="L49" s="9">
        <v>46844</v>
      </c>
      <c r="M49" s="8" t="s">
        <v>16</v>
      </c>
      <c r="P49" s="16" t="s">
        <v>67</v>
      </c>
      <c r="Q49" s="2" t="s">
        <v>16</v>
      </c>
      <c r="S49" s="8" t="s">
        <v>80</v>
      </c>
      <c r="T49" s="9">
        <v>46388</v>
      </c>
      <c r="U49" s="8">
        <v>0</v>
      </c>
      <c r="V49" s="20">
        <v>2445</v>
      </c>
      <c r="W49" s="21" t="s">
        <v>16</v>
      </c>
    </row>
    <row r="50" spans="1:23" ht="45">
      <c r="A50" s="8" t="s">
        <v>2252</v>
      </c>
      <c r="B50" s="8" t="s">
        <v>71</v>
      </c>
      <c r="C50" s="8" t="s">
        <v>2197</v>
      </c>
      <c r="D50" s="8" t="s">
        <v>18</v>
      </c>
      <c r="E50" s="8" t="s">
        <v>16</v>
      </c>
      <c r="F50" s="8" t="s">
        <v>2198</v>
      </c>
      <c r="G50" s="8" t="s">
        <v>2253</v>
      </c>
      <c r="H50" s="8">
        <v>10517</v>
      </c>
      <c r="I50" s="8">
        <v>720</v>
      </c>
      <c r="J50" s="8" t="s">
        <v>72</v>
      </c>
      <c r="K50" s="9">
        <v>45461</v>
      </c>
      <c r="L50" s="9">
        <v>46419</v>
      </c>
      <c r="M50" s="8" t="s">
        <v>16</v>
      </c>
      <c r="P50" s="16" t="s">
        <v>67</v>
      </c>
      <c r="Q50" s="2" t="s">
        <v>16</v>
      </c>
      <c r="S50" s="8" t="s">
        <v>80</v>
      </c>
      <c r="T50" s="9">
        <v>46447</v>
      </c>
      <c r="U50" s="8">
        <v>0</v>
      </c>
      <c r="V50" s="20">
        <v>15000</v>
      </c>
      <c r="W50" s="21" t="s">
        <v>16</v>
      </c>
    </row>
    <row r="51" spans="1:23" ht="45">
      <c r="A51" s="8" t="s">
        <v>2252</v>
      </c>
      <c r="B51" s="8" t="s">
        <v>71</v>
      </c>
      <c r="C51" s="8" t="s">
        <v>2197</v>
      </c>
      <c r="D51" s="8" t="s">
        <v>15</v>
      </c>
      <c r="E51" s="8" t="s">
        <v>16</v>
      </c>
      <c r="F51" s="8" t="s">
        <v>2198</v>
      </c>
      <c r="G51" s="8" t="s">
        <v>2253</v>
      </c>
      <c r="H51" s="8">
        <v>2000</v>
      </c>
      <c r="I51" s="8">
        <v>2000</v>
      </c>
      <c r="J51" s="8" t="s">
        <v>72</v>
      </c>
      <c r="K51" s="9">
        <v>45461</v>
      </c>
      <c r="L51" s="9">
        <v>46419</v>
      </c>
      <c r="M51" s="8" t="s">
        <v>16</v>
      </c>
      <c r="P51" s="16" t="s">
        <v>71</v>
      </c>
      <c r="Q51" s="2" t="s">
        <v>16</v>
      </c>
      <c r="S51" s="8" t="s">
        <v>83</v>
      </c>
      <c r="T51" s="9">
        <v>46388</v>
      </c>
      <c r="U51" s="8">
        <v>0</v>
      </c>
      <c r="V51" s="20">
        <v>1808</v>
      </c>
      <c r="W51" s="21" t="s">
        <v>16</v>
      </c>
    </row>
    <row r="52" spans="1:23" ht="45">
      <c r="A52" s="8" t="s">
        <v>2252</v>
      </c>
      <c r="B52" s="8" t="s">
        <v>71</v>
      </c>
      <c r="C52" s="8" t="s">
        <v>2197</v>
      </c>
      <c r="D52" s="8" t="s">
        <v>18</v>
      </c>
      <c r="E52" s="8" t="s">
        <v>16</v>
      </c>
      <c r="F52" s="8" t="s">
        <v>2198</v>
      </c>
      <c r="G52" s="8" t="s">
        <v>2253</v>
      </c>
      <c r="H52" s="8">
        <v>10517</v>
      </c>
      <c r="I52" s="8">
        <v>4517</v>
      </c>
      <c r="J52" s="8" t="s">
        <v>73</v>
      </c>
      <c r="K52" s="9">
        <v>45299</v>
      </c>
      <c r="L52" s="9">
        <v>46296</v>
      </c>
      <c r="M52" s="8" t="s">
        <v>16</v>
      </c>
      <c r="P52" s="16" t="s">
        <v>71</v>
      </c>
      <c r="Q52" s="2" t="s">
        <v>16</v>
      </c>
      <c r="S52" s="8" t="s">
        <v>83</v>
      </c>
      <c r="T52" s="9">
        <v>46447</v>
      </c>
      <c r="U52" s="8">
        <v>0</v>
      </c>
      <c r="V52" s="20">
        <v>10360</v>
      </c>
      <c r="W52" s="21" t="s">
        <v>16</v>
      </c>
    </row>
    <row r="53" spans="1:23" ht="45">
      <c r="A53" s="8" t="s">
        <v>2252</v>
      </c>
      <c r="B53" s="8" t="s">
        <v>71</v>
      </c>
      <c r="C53" s="8" t="s">
        <v>2197</v>
      </c>
      <c r="D53" s="8" t="s">
        <v>18</v>
      </c>
      <c r="E53" s="8" t="s">
        <v>16</v>
      </c>
      <c r="F53" s="8" t="s">
        <v>2198</v>
      </c>
      <c r="G53" s="8" t="s">
        <v>2253</v>
      </c>
      <c r="H53" s="8">
        <v>10517</v>
      </c>
      <c r="I53" s="8">
        <v>5280</v>
      </c>
      <c r="J53" s="8" t="s">
        <v>74</v>
      </c>
      <c r="K53" s="9">
        <v>45461</v>
      </c>
      <c r="L53" s="9">
        <v>46419</v>
      </c>
      <c r="M53" s="8" t="s">
        <v>16</v>
      </c>
      <c r="P53" s="16" t="s">
        <v>71</v>
      </c>
      <c r="Q53" s="2" t="s">
        <v>16</v>
      </c>
      <c r="S53" s="8" t="s">
        <v>86</v>
      </c>
      <c r="T53" s="9">
        <v>46539</v>
      </c>
      <c r="U53" s="8">
        <v>0</v>
      </c>
      <c r="V53" s="20">
        <v>4953</v>
      </c>
      <c r="W53" s="21" t="s">
        <v>16</v>
      </c>
    </row>
    <row r="54" spans="1:23" ht="45">
      <c r="A54" s="8" t="s">
        <v>2254</v>
      </c>
      <c r="B54" s="8" t="s">
        <v>75</v>
      </c>
      <c r="C54" s="8" t="s">
        <v>2197</v>
      </c>
      <c r="D54" s="8" t="s">
        <v>18</v>
      </c>
      <c r="E54" s="8" t="s">
        <v>16</v>
      </c>
      <c r="F54" s="8" t="s">
        <v>2255</v>
      </c>
      <c r="G54" s="8" t="s">
        <v>2256</v>
      </c>
      <c r="H54" s="8">
        <v>730</v>
      </c>
      <c r="I54" s="8">
        <v>10</v>
      </c>
      <c r="J54" s="8" t="s">
        <v>76</v>
      </c>
      <c r="K54" s="9">
        <v>45138</v>
      </c>
      <c r="L54" s="9">
        <v>45839</v>
      </c>
      <c r="M54" s="8" t="s">
        <v>16</v>
      </c>
      <c r="P54" s="16" t="s">
        <v>71</v>
      </c>
      <c r="Q54" s="2" t="s">
        <v>16</v>
      </c>
      <c r="S54" s="8" t="s">
        <v>88</v>
      </c>
      <c r="T54" s="9">
        <v>45717</v>
      </c>
      <c r="U54" s="8">
        <v>0</v>
      </c>
      <c r="V54" s="20">
        <v>428</v>
      </c>
      <c r="W54" s="21" t="s">
        <v>16</v>
      </c>
    </row>
    <row r="55" spans="1:23" ht="45">
      <c r="A55" s="8" t="s">
        <v>2254</v>
      </c>
      <c r="B55" s="8" t="s">
        <v>75</v>
      </c>
      <c r="C55" s="8" t="s">
        <v>2197</v>
      </c>
      <c r="D55" s="8" t="s">
        <v>18</v>
      </c>
      <c r="E55" s="8" t="s">
        <v>16</v>
      </c>
      <c r="F55" s="8" t="s">
        <v>2255</v>
      </c>
      <c r="G55" s="8" t="s">
        <v>2256</v>
      </c>
      <c r="H55" s="8">
        <v>730</v>
      </c>
      <c r="I55" s="8">
        <v>720</v>
      </c>
      <c r="J55" s="8" t="s">
        <v>77</v>
      </c>
      <c r="K55" s="9">
        <v>45408</v>
      </c>
      <c r="L55" s="9">
        <v>46113</v>
      </c>
      <c r="M55" s="8" t="s">
        <v>16</v>
      </c>
      <c r="P55" s="16" t="s">
        <v>75</v>
      </c>
      <c r="Q55" s="2" t="s">
        <v>16</v>
      </c>
      <c r="S55" s="8" t="s">
        <v>88</v>
      </c>
      <c r="T55" s="9">
        <v>46266</v>
      </c>
      <c r="U55" s="8">
        <v>0</v>
      </c>
      <c r="V55" s="20">
        <v>500</v>
      </c>
      <c r="W55" s="21" t="s">
        <v>16</v>
      </c>
    </row>
    <row r="56" spans="1:23" ht="60">
      <c r="A56" s="8" t="s">
        <v>2257</v>
      </c>
      <c r="B56" s="8" t="s">
        <v>78</v>
      </c>
      <c r="C56" s="8" t="s">
        <v>2197</v>
      </c>
      <c r="D56" s="8" t="s">
        <v>18</v>
      </c>
      <c r="E56" s="8" t="s">
        <v>16</v>
      </c>
      <c r="F56" s="8" t="s">
        <v>2258</v>
      </c>
      <c r="G56" s="8" t="s">
        <v>2259</v>
      </c>
      <c r="H56" s="8">
        <v>4834</v>
      </c>
      <c r="I56" s="8">
        <v>4834</v>
      </c>
      <c r="J56" s="8" t="s">
        <v>79</v>
      </c>
      <c r="K56" s="9">
        <v>45370</v>
      </c>
      <c r="L56" s="9">
        <v>47178</v>
      </c>
      <c r="M56" s="8" t="s">
        <v>16</v>
      </c>
      <c r="P56" s="16" t="s">
        <v>75</v>
      </c>
      <c r="Q56" s="2" t="s">
        <v>16</v>
      </c>
      <c r="S56" s="8" t="s">
        <v>92</v>
      </c>
      <c r="T56" s="9">
        <v>46631</v>
      </c>
      <c r="U56" s="8">
        <v>0</v>
      </c>
      <c r="V56" s="20">
        <v>180</v>
      </c>
      <c r="W56" s="21" t="s">
        <v>16</v>
      </c>
    </row>
    <row r="57" spans="1:23" ht="48.75">
      <c r="A57" s="8" t="s">
        <v>2260</v>
      </c>
      <c r="B57" s="8" t="s">
        <v>80</v>
      </c>
      <c r="C57" s="8" t="s">
        <v>2197</v>
      </c>
      <c r="D57" s="8" t="s">
        <v>18</v>
      </c>
      <c r="E57" s="8" t="s">
        <v>16</v>
      </c>
      <c r="F57" s="8" t="s">
        <v>2198</v>
      </c>
      <c r="G57" s="8" t="s">
        <v>2261</v>
      </c>
      <c r="H57" s="8">
        <v>17445</v>
      </c>
      <c r="I57" s="8">
        <v>2445</v>
      </c>
      <c r="J57" s="8" t="s">
        <v>81</v>
      </c>
      <c r="K57" s="9">
        <v>45349</v>
      </c>
      <c r="L57" s="9">
        <v>46388</v>
      </c>
      <c r="M57" s="8" t="s">
        <v>16</v>
      </c>
      <c r="P57" s="16" t="s">
        <v>78</v>
      </c>
      <c r="Q57" s="2" t="s">
        <v>16</v>
      </c>
      <c r="S57" s="8" t="s">
        <v>92</v>
      </c>
      <c r="T57" s="9">
        <v>46357</v>
      </c>
      <c r="U57" s="8">
        <v>0</v>
      </c>
      <c r="V57" s="20">
        <v>565</v>
      </c>
      <c r="W57" s="21" t="s">
        <v>16</v>
      </c>
    </row>
    <row r="58" spans="1:23" ht="45">
      <c r="A58" s="8" t="s">
        <v>2260</v>
      </c>
      <c r="B58" s="8" t="s">
        <v>80</v>
      </c>
      <c r="C58" s="8" t="s">
        <v>2197</v>
      </c>
      <c r="D58" s="8" t="s">
        <v>18</v>
      </c>
      <c r="E58" s="8" t="s">
        <v>16</v>
      </c>
      <c r="F58" s="8" t="s">
        <v>2198</v>
      </c>
      <c r="G58" s="8" t="s">
        <v>2261</v>
      </c>
      <c r="H58" s="8">
        <v>17445</v>
      </c>
      <c r="I58" s="8">
        <v>15000</v>
      </c>
      <c r="J58" s="8" t="s">
        <v>82</v>
      </c>
      <c r="K58" s="9">
        <v>45402</v>
      </c>
      <c r="L58" s="9">
        <v>46447</v>
      </c>
      <c r="M58" s="8" t="s">
        <v>16</v>
      </c>
      <c r="P58" s="16" t="s">
        <v>80</v>
      </c>
      <c r="Q58" s="2" t="s">
        <v>16</v>
      </c>
      <c r="S58" s="8" t="s">
        <v>95</v>
      </c>
      <c r="T58" s="9">
        <v>45717</v>
      </c>
      <c r="U58" s="8">
        <v>0</v>
      </c>
      <c r="V58" s="20">
        <v>1793</v>
      </c>
      <c r="W58" s="21" t="s">
        <v>16</v>
      </c>
    </row>
    <row r="59" spans="1:23" ht="60">
      <c r="A59" s="8" t="s">
        <v>2262</v>
      </c>
      <c r="B59" s="8" t="s">
        <v>83</v>
      </c>
      <c r="C59" s="8" t="s">
        <v>2197</v>
      </c>
      <c r="D59" s="8" t="s">
        <v>18</v>
      </c>
      <c r="E59" s="8" t="s">
        <v>16</v>
      </c>
      <c r="F59" s="8" t="s">
        <v>2198</v>
      </c>
      <c r="G59" s="8" t="s">
        <v>2261</v>
      </c>
      <c r="H59" s="8">
        <v>12168</v>
      </c>
      <c r="I59" s="8">
        <v>1808</v>
      </c>
      <c r="J59" s="8" t="s">
        <v>84</v>
      </c>
      <c r="K59" s="9">
        <v>45327</v>
      </c>
      <c r="L59" s="9">
        <v>46388</v>
      </c>
      <c r="M59" s="8" t="s">
        <v>16</v>
      </c>
      <c r="P59" s="16" t="s">
        <v>80</v>
      </c>
      <c r="Q59" s="2" t="s">
        <v>16</v>
      </c>
      <c r="S59" s="8" t="s">
        <v>97</v>
      </c>
      <c r="T59" s="9">
        <v>45901</v>
      </c>
      <c r="U59" s="8">
        <v>0</v>
      </c>
      <c r="V59" s="20">
        <v>840</v>
      </c>
      <c r="W59" s="21" t="s">
        <v>16</v>
      </c>
    </row>
    <row r="60" spans="1:23" ht="45">
      <c r="A60" s="8" t="s">
        <v>2262</v>
      </c>
      <c r="B60" s="8" t="s">
        <v>83</v>
      </c>
      <c r="C60" s="8" t="s">
        <v>2197</v>
      </c>
      <c r="D60" s="8" t="s">
        <v>18</v>
      </c>
      <c r="E60" s="8" t="s">
        <v>16</v>
      </c>
      <c r="F60" s="8" t="s">
        <v>2198</v>
      </c>
      <c r="G60" s="8" t="s">
        <v>2261</v>
      </c>
      <c r="H60" s="8">
        <v>12168</v>
      </c>
      <c r="I60" s="8">
        <v>10360</v>
      </c>
      <c r="J60" s="8" t="s">
        <v>85</v>
      </c>
      <c r="K60" s="9">
        <v>45402</v>
      </c>
      <c r="L60" s="9">
        <v>46447</v>
      </c>
      <c r="M60" s="8" t="s">
        <v>16</v>
      </c>
      <c r="P60" s="16" t="s">
        <v>83</v>
      </c>
      <c r="Q60" s="2" t="s">
        <v>16</v>
      </c>
      <c r="S60" s="8" t="s">
        <v>98</v>
      </c>
      <c r="T60" s="9">
        <v>46174</v>
      </c>
      <c r="U60" s="8">
        <v>0</v>
      </c>
      <c r="V60" s="20">
        <v>649</v>
      </c>
      <c r="W60" s="21" t="s">
        <v>16</v>
      </c>
    </row>
    <row r="61" spans="1:23" ht="75">
      <c r="A61" s="8" t="s">
        <v>2263</v>
      </c>
      <c r="B61" s="8" t="s">
        <v>86</v>
      </c>
      <c r="C61" s="8" t="s">
        <v>2203</v>
      </c>
      <c r="D61" s="8" t="s">
        <v>18</v>
      </c>
      <c r="E61" s="8" t="s">
        <v>16</v>
      </c>
      <c r="F61" s="8" t="s">
        <v>2198</v>
      </c>
      <c r="G61" s="8" t="s">
        <v>2264</v>
      </c>
      <c r="H61" s="8">
        <v>4953</v>
      </c>
      <c r="I61" s="8">
        <v>4953</v>
      </c>
      <c r="J61" s="8" t="s">
        <v>87</v>
      </c>
      <c r="K61" s="9">
        <v>44830</v>
      </c>
      <c r="L61" s="9">
        <v>46539</v>
      </c>
      <c r="M61" s="8" t="s">
        <v>16</v>
      </c>
      <c r="P61" s="16" t="s">
        <v>83</v>
      </c>
      <c r="Q61" s="2" t="s">
        <v>16</v>
      </c>
      <c r="S61" s="8" t="s">
        <v>99</v>
      </c>
      <c r="T61" s="9" t="s">
        <v>2222</v>
      </c>
      <c r="U61" s="8">
        <v>0</v>
      </c>
      <c r="V61" s="20">
        <v>1</v>
      </c>
      <c r="W61" s="21" t="s">
        <v>101</v>
      </c>
    </row>
    <row r="62" spans="1:23" ht="90">
      <c r="A62" s="8" t="s">
        <v>2265</v>
      </c>
      <c r="B62" s="8" t="s">
        <v>88</v>
      </c>
      <c r="C62" s="8" t="s">
        <v>2197</v>
      </c>
      <c r="D62" s="8" t="s">
        <v>18</v>
      </c>
      <c r="E62" s="8" t="s">
        <v>16</v>
      </c>
      <c r="F62" s="8" t="s">
        <v>2228</v>
      </c>
      <c r="G62" s="8" t="s">
        <v>2266</v>
      </c>
      <c r="H62" s="8">
        <v>928</v>
      </c>
      <c r="I62" s="8">
        <v>3</v>
      </c>
      <c r="J62" s="8" t="s">
        <v>89</v>
      </c>
      <c r="K62" s="9">
        <v>44869</v>
      </c>
      <c r="L62" s="9">
        <v>45717</v>
      </c>
      <c r="M62" s="8" t="s">
        <v>16</v>
      </c>
      <c r="P62" s="16" t="s">
        <v>86</v>
      </c>
      <c r="Q62" s="2" t="s">
        <v>16</v>
      </c>
      <c r="S62" s="8" t="s">
        <v>102</v>
      </c>
      <c r="T62" s="9" t="s">
        <v>2222</v>
      </c>
      <c r="U62" s="8">
        <v>0</v>
      </c>
      <c r="V62" s="20">
        <v>63</v>
      </c>
      <c r="W62" s="21" t="s">
        <v>101</v>
      </c>
    </row>
    <row r="63" spans="1:23" ht="90">
      <c r="A63" s="8" t="s">
        <v>2265</v>
      </c>
      <c r="B63" s="8" t="s">
        <v>88</v>
      </c>
      <c r="C63" s="8" t="s">
        <v>2197</v>
      </c>
      <c r="D63" s="8" t="s">
        <v>18</v>
      </c>
      <c r="E63" s="8" t="s">
        <v>16</v>
      </c>
      <c r="F63" s="8" t="s">
        <v>2228</v>
      </c>
      <c r="G63" s="8" t="s">
        <v>2266</v>
      </c>
      <c r="H63" s="8">
        <v>928</v>
      </c>
      <c r="I63" s="8">
        <v>425</v>
      </c>
      <c r="J63" s="8" t="s">
        <v>90</v>
      </c>
      <c r="K63" s="9">
        <v>44869</v>
      </c>
      <c r="L63" s="9">
        <v>45717</v>
      </c>
      <c r="M63" s="8" t="s">
        <v>16</v>
      </c>
      <c r="P63" s="16" t="s">
        <v>88</v>
      </c>
      <c r="Q63" s="2" t="s">
        <v>16</v>
      </c>
      <c r="S63" s="8" t="s">
        <v>103</v>
      </c>
      <c r="T63" s="9" t="s">
        <v>2222</v>
      </c>
      <c r="U63" s="8">
        <v>0</v>
      </c>
      <c r="V63" s="20">
        <v>1</v>
      </c>
      <c r="W63" s="21" t="s">
        <v>101</v>
      </c>
    </row>
    <row r="64" spans="1:23" ht="90">
      <c r="A64" s="8" t="s">
        <v>2265</v>
      </c>
      <c r="B64" s="8" t="s">
        <v>88</v>
      </c>
      <c r="C64" s="8" t="s">
        <v>2197</v>
      </c>
      <c r="D64" s="8" t="s">
        <v>18</v>
      </c>
      <c r="E64" s="8" t="s">
        <v>16</v>
      </c>
      <c r="F64" s="8" t="s">
        <v>2228</v>
      </c>
      <c r="G64" s="8" t="s">
        <v>2266</v>
      </c>
      <c r="H64" s="8">
        <v>928</v>
      </c>
      <c r="I64" s="8">
        <v>500</v>
      </c>
      <c r="J64" s="8" t="s">
        <v>91</v>
      </c>
      <c r="K64" s="9">
        <v>45327</v>
      </c>
      <c r="L64" s="9">
        <v>46266</v>
      </c>
      <c r="M64" s="8" t="s">
        <v>16</v>
      </c>
      <c r="P64" s="16" t="s">
        <v>88</v>
      </c>
      <c r="Q64" s="2" t="s">
        <v>16</v>
      </c>
      <c r="S64" s="8" t="s">
        <v>104</v>
      </c>
      <c r="T64" s="9" t="s">
        <v>2222</v>
      </c>
      <c r="U64" s="8">
        <v>0</v>
      </c>
      <c r="V64" s="20">
        <v>80</v>
      </c>
      <c r="W64" s="21" t="s">
        <v>101</v>
      </c>
    </row>
    <row r="65" spans="1:23" ht="60">
      <c r="A65" s="8" t="s">
        <v>2267</v>
      </c>
      <c r="B65" s="8" t="s">
        <v>92</v>
      </c>
      <c r="C65" s="8" t="s">
        <v>2197</v>
      </c>
      <c r="D65" s="8" t="s">
        <v>18</v>
      </c>
      <c r="E65" s="8" t="s">
        <v>16</v>
      </c>
      <c r="F65" s="8" t="s">
        <v>2228</v>
      </c>
      <c r="G65" s="8" t="s">
        <v>2266</v>
      </c>
      <c r="H65" s="8">
        <v>745</v>
      </c>
      <c r="I65" s="8">
        <v>180</v>
      </c>
      <c r="J65" s="8" t="s">
        <v>93</v>
      </c>
      <c r="K65" s="9">
        <v>45414</v>
      </c>
      <c r="L65" s="9">
        <v>46631</v>
      </c>
      <c r="M65" s="8" t="s">
        <v>16</v>
      </c>
      <c r="P65" s="16" t="s">
        <v>88</v>
      </c>
      <c r="Q65" s="2" t="s">
        <v>16</v>
      </c>
      <c r="S65" s="8" t="s">
        <v>105</v>
      </c>
      <c r="T65" s="9" t="s">
        <v>2222</v>
      </c>
      <c r="U65" s="8">
        <v>0</v>
      </c>
      <c r="V65" s="20">
        <v>20</v>
      </c>
      <c r="W65" s="21" t="s">
        <v>101</v>
      </c>
    </row>
    <row r="66" spans="1:23" ht="45">
      <c r="A66" s="8" t="s">
        <v>2267</v>
      </c>
      <c r="B66" s="8" t="s">
        <v>92</v>
      </c>
      <c r="C66" s="8" t="s">
        <v>2197</v>
      </c>
      <c r="D66" s="8" t="s">
        <v>18</v>
      </c>
      <c r="E66" s="8" t="s">
        <v>16</v>
      </c>
      <c r="F66" s="8" t="s">
        <v>2228</v>
      </c>
      <c r="G66" s="8" t="s">
        <v>2266</v>
      </c>
      <c r="H66" s="8">
        <v>745</v>
      </c>
      <c r="I66" s="8">
        <v>565</v>
      </c>
      <c r="J66" s="8" t="s">
        <v>94</v>
      </c>
      <c r="K66" s="9">
        <v>45360</v>
      </c>
      <c r="L66" s="9">
        <v>46357</v>
      </c>
      <c r="M66" s="8" t="s">
        <v>16</v>
      </c>
      <c r="P66" s="16" t="s">
        <v>92</v>
      </c>
      <c r="Q66" s="2" t="s">
        <v>16</v>
      </c>
      <c r="S66" s="8" t="s">
        <v>106</v>
      </c>
      <c r="T66" s="9" t="s">
        <v>2222</v>
      </c>
      <c r="U66" s="8">
        <v>0</v>
      </c>
      <c r="V66" s="20">
        <v>20</v>
      </c>
      <c r="W66" s="21" t="s">
        <v>41</v>
      </c>
    </row>
    <row r="67" spans="1:23" ht="105">
      <c r="A67" s="8" t="s">
        <v>2268</v>
      </c>
      <c r="B67" s="8" t="s">
        <v>95</v>
      </c>
      <c r="C67" s="8" t="s">
        <v>2197</v>
      </c>
      <c r="D67" s="8" t="s">
        <v>18</v>
      </c>
      <c r="E67" s="8" t="s">
        <v>16</v>
      </c>
      <c r="F67" s="8" t="s">
        <v>2228</v>
      </c>
      <c r="G67" s="8" t="s">
        <v>2266</v>
      </c>
      <c r="H67" s="8">
        <v>1793</v>
      </c>
      <c r="I67" s="8">
        <v>1793</v>
      </c>
      <c r="J67" s="8" t="s">
        <v>96</v>
      </c>
      <c r="K67" s="9">
        <v>44655</v>
      </c>
      <c r="L67" s="9">
        <v>45717</v>
      </c>
      <c r="M67" s="8" t="s">
        <v>16</v>
      </c>
      <c r="P67" s="16" t="s">
        <v>92</v>
      </c>
      <c r="Q67" s="2" t="s">
        <v>16</v>
      </c>
      <c r="S67" s="8" t="s">
        <v>107</v>
      </c>
      <c r="T67" s="9" t="s">
        <v>2222</v>
      </c>
      <c r="U67" s="8">
        <v>0</v>
      </c>
      <c r="V67" s="20">
        <v>368</v>
      </c>
      <c r="W67" s="21" t="s">
        <v>101</v>
      </c>
    </row>
    <row r="68" spans="1:23" ht="60">
      <c r="A68" s="8" t="s">
        <v>2269</v>
      </c>
      <c r="B68" s="8" t="s">
        <v>97</v>
      </c>
      <c r="C68" s="8" t="s">
        <v>2203</v>
      </c>
      <c r="D68" s="8" t="s">
        <v>18</v>
      </c>
      <c r="E68" s="8" t="s">
        <v>16</v>
      </c>
      <c r="F68" s="8" t="s">
        <v>2204</v>
      </c>
      <c r="G68" s="8" t="s">
        <v>2270</v>
      </c>
      <c r="H68" s="8">
        <v>840</v>
      </c>
      <c r="I68" s="8">
        <v>840</v>
      </c>
      <c r="J68" s="8">
        <v>12152901</v>
      </c>
      <c r="K68" s="9">
        <v>45206</v>
      </c>
      <c r="L68" s="9">
        <v>45901</v>
      </c>
      <c r="M68" s="8" t="s">
        <v>16</v>
      </c>
      <c r="P68" s="16" t="s">
        <v>95</v>
      </c>
      <c r="Q68" s="2" t="s">
        <v>16</v>
      </c>
      <c r="S68" s="8" t="s">
        <v>108</v>
      </c>
      <c r="T68" s="9" t="s">
        <v>2222</v>
      </c>
      <c r="U68" s="8">
        <v>0</v>
      </c>
      <c r="V68" s="20">
        <v>110</v>
      </c>
      <c r="W68" s="21" t="s">
        <v>101</v>
      </c>
    </row>
    <row r="69" spans="1:23" ht="60">
      <c r="A69" s="8" t="s">
        <v>2271</v>
      </c>
      <c r="B69" s="8" t="s">
        <v>98</v>
      </c>
      <c r="C69" s="8" t="s">
        <v>2203</v>
      </c>
      <c r="D69" s="8" t="s">
        <v>18</v>
      </c>
      <c r="E69" s="8" t="s">
        <v>16</v>
      </c>
      <c r="F69" s="8" t="s">
        <v>2204</v>
      </c>
      <c r="G69" s="8" t="s">
        <v>2270</v>
      </c>
      <c r="H69" s="8">
        <v>649</v>
      </c>
      <c r="I69" s="8">
        <v>649</v>
      </c>
      <c r="J69" s="8">
        <v>11213101</v>
      </c>
      <c r="K69" s="9">
        <v>45299</v>
      </c>
      <c r="L69" s="9">
        <v>46174</v>
      </c>
      <c r="M69" s="8" t="s">
        <v>16</v>
      </c>
      <c r="P69" s="16" t="s">
        <v>97</v>
      </c>
      <c r="Q69" s="2" t="s">
        <v>16</v>
      </c>
      <c r="S69" s="8" t="s">
        <v>109</v>
      </c>
      <c r="T69" s="9" t="s">
        <v>2222</v>
      </c>
      <c r="U69" s="8">
        <v>0</v>
      </c>
      <c r="V69" s="20">
        <v>35</v>
      </c>
      <c r="W69" s="21" t="s">
        <v>101</v>
      </c>
    </row>
    <row r="70" spans="1:23" ht="75">
      <c r="A70" s="8" t="s">
        <v>2272</v>
      </c>
      <c r="B70" s="8" t="s">
        <v>99</v>
      </c>
      <c r="C70" s="8" t="s">
        <v>2221</v>
      </c>
      <c r="D70" s="8" t="s">
        <v>100</v>
      </c>
      <c r="E70" s="8" t="s">
        <v>101</v>
      </c>
      <c r="F70" s="8" t="s">
        <v>2273</v>
      </c>
      <c r="G70" s="8" t="s">
        <v>2273</v>
      </c>
      <c r="H70" s="8">
        <v>1</v>
      </c>
      <c r="I70" s="8">
        <v>1</v>
      </c>
      <c r="J70" s="8">
        <v>0</v>
      </c>
      <c r="K70" s="8" t="s">
        <v>2222</v>
      </c>
      <c r="L70" s="8" t="s">
        <v>2222</v>
      </c>
      <c r="M70" s="8" t="s">
        <v>101</v>
      </c>
      <c r="P70" s="16" t="s">
        <v>98</v>
      </c>
      <c r="Q70" s="2" t="s">
        <v>16</v>
      </c>
      <c r="S70" s="8" t="s">
        <v>110</v>
      </c>
      <c r="T70" s="9">
        <v>47088</v>
      </c>
      <c r="U70" s="8">
        <v>0</v>
      </c>
      <c r="V70" s="20">
        <v>15</v>
      </c>
      <c r="W70" s="21" t="s">
        <v>16</v>
      </c>
    </row>
    <row r="71" spans="1:23" ht="90">
      <c r="A71" s="8" t="s">
        <v>2274</v>
      </c>
      <c r="B71" s="8" t="s">
        <v>102</v>
      </c>
      <c r="C71" s="8" t="s">
        <v>2221</v>
      </c>
      <c r="D71" s="8" t="s">
        <v>18</v>
      </c>
      <c r="E71" s="8" t="s">
        <v>101</v>
      </c>
      <c r="F71" s="8" t="s">
        <v>2273</v>
      </c>
      <c r="G71" s="8" t="s">
        <v>2273</v>
      </c>
      <c r="H71" s="8">
        <v>63</v>
      </c>
      <c r="I71" s="8">
        <v>63</v>
      </c>
      <c r="J71" s="8">
        <v>0</v>
      </c>
      <c r="K71" s="8" t="s">
        <v>2222</v>
      </c>
      <c r="L71" s="8" t="s">
        <v>2222</v>
      </c>
      <c r="M71" s="8" t="s">
        <v>101</v>
      </c>
      <c r="P71" s="16" t="s">
        <v>99</v>
      </c>
      <c r="Q71" s="2" t="s">
        <v>101</v>
      </c>
      <c r="S71" s="8" t="s">
        <v>110</v>
      </c>
      <c r="T71" s="9">
        <v>47178</v>
      </c>
      <c r="U71" s="8">
        <v>0</v>
      </c>
      <c r="V71" s="20">
        <v>1980</v>
      </c>
      <c r="W71" s="21" t="s">
        <v>16</v>
      </c>
    </row>
    <row r="72" spans="1:23" ht="90">
      <c r="A72" s="8" t="s">
        <v>2275</v>
      </c>
      <c r="B72" s="8" t="s">
        <v>103</v>
      </c>
      <c r="C72" s="8" t="s">
        <v>2221</v>
      </c>
      <c r="D72" s="8" t="s">
        <v>100</v>
      </c>
      <c r="E72" s="8" t="s">
        <v>101</v>
      </c>
      <c r="F72" s="8" t="s">
        <v>2273</v>
      </c>
      <c r="G72" s="8" t="s">
        <v>2273</v>
      </c>
      <c r="H72" s="8">
        <v>1</v>
      </c>
      <c r="I72" s="8">
        <v>1</v>
      </c>
      <c r="J72" s="8">
        <v>0</v>
      </c>
      <c r="K72" s="8" t="s">
        <v>2222</v>
      </c>
      <c r="L72" s="8" t="s">
        <v>2222</v>
      </c>
      <c r="M72" s="8" t="s">
        <v>101</v>
      </c>
      <c r="P72" s="17" t="s">
        <v>102</v>
      </c>
      <c r="Q72" s="2" t="s">
        <v>101</v>
      </c>
      <c r="S72" s="8" t="s">
        <v>113</v>
      </c>
      <c r="T72" s="9">
        <v>46905</v>
      </c>
      <c r="U72" s="8">
        <v>0</v>
      </c>
      <c r="V72" s="20">
        <v>303</v>
      </c>
      <c r="W72" s="21" t="s">
        <v>16</v>
      </c>
    </row>
    <row r="73" spans="1:23" ht="90">
      <c r="A73" s="8" t="s">
        <v>2276</v>
      </c>
      <c r="B73" s="8" t="s">
        <v>104</v>
      </c>
      <c r="C73" s="8" t="s">
        <v>2221</v>
      </c>
      <c r="D73" s="8" t="s">
        <v>18</v>
      </c>
      <c r="E73" s="8" t="s">
        <v>101</v>
      </c>
      <c r="F73" s="8" t="s">
        <v>101</v>
      </c>
      <c r="G73" s="8" t="s">
        <v>2273</v>
      </c>
      <c r="H73" s="8">
        <v>80</v>
      </c>
      <c r="I73" s="8">
        <v>80</v>
      </c>
      <c r="J73" s="8">
        <v>0</v>
      </c>
      <c r="K73" s="9">
        <v>45308</v>
      </c>
      <c r="L73" s="8" t="s">
        <v>2222</v>
      </c>
      <c r="M73" s="8" t="s">
        <v>101</v>
      </c>
      <c r="P73" s="17" t="s">
        <v>103</v>
      </c>
      <c r="Q73" s="2" t="s">
        <v>101</v>
      </c>
      <c r="S73" s="8" t="s">
        <v>113</v>
      </c>
      <c r="T73" s="9">
        <v>47088</v>
      </c>
      <c r="U73" s="8">
        <v>0</v>
      </c>
      <c r="V73" s="20">
        <v>3400</v>
      </c>
      <c r="W73" s="21" t="s">
        <v>16</v>
      </c>
    </row>
    <row r="74" spans="1:23" ht="60">
      <c r="A74" s="8" t="s">
        <v>2277</v>
      </c>
      <c r="B74" s="8" t="s">
        <v>105</v>
      </c>
      <c r="C74" s="8" t="s">
        <v>2221</v>
      </c>
      <c r="D74" s="8" t="s">
        <v>18</v>
      </c>
      <c r="E74" s="8" t="s">
        <v>2217</v>
      </c>
      <c r="F74" s="8" t="s">
        <v>2217</v>
      </c>
      <c r="G74" s="8" t="s">
        <v>2217</v>
      </c>
      <c r="H74" s="8">
        <v>20</v>
      </c>
      <c r="I74" s="8">
        <v>20</v>
      </c>
      <c r="J74" s="8">
        <v>0</v>
      </c>
      <c r="K74" s="9">
        <v>45412</v>
      </c>
      <c r="L74" s="8" t="s">
        <v>2222</v>
      </c>
      <c r="M74" s="8" t="s">
        <v>101</v>
      </c>
      <c r="P74" s="17" t="s">
        <v>104</v>
      </c>
      <c r="Q74" s="2" t="s">
        <v>101</v>
      </c>
      <c r="S74" s="8" t="s">
        <v>116</v>
      </c>
      <c r="T74" s="9">
        <v>47178</v>
      </c>
      <c r="U74" s="8">
        <v>0</v>
      </c>
      <c r="V74" s="20">
        <v>5644</v>
      </c>
      <c r="W74" s="21" t="s">
        <v>16</v>
      </c>
    </row>
    <row r="75" spans="1:23" ht="48.75">
      <c r="A75" s="8" t="s">
        <v>2278</v>
      </c>
      <c r="B75" s="8" t="s">
        <v>106</v>
      </c>
      <c r="C75" s="8" t="s">
        <v>2221</v>
      </c>
      <c r="D75" s="8" t="s">
        <v>18</v>
      </c>
      <c r="E75" s="8" t="s">
        <v>101</v>
      </c>
      <c r="F75" s="8" t="s">
        <v>101</v>
      </c>
      <c r="G75" s="8" t="s">
        <v>2279</v>
      </c>
      <c r="H75" s="8">
        <v>20</v>
      </c>
      <c r="I75" s="8">
        <v>20</v>
      </c>
      <c r="J75" s="8">
        <v>0</v>
      </c>
      <c r="K75" s="8" t="s">
        <v>2222</v>
      </c>
      <c r="L75" s="8" t="s">
        <v>2222</v>
      </c>
      <c r="M75" s="8" t="s">
        <v>41</v>
      </c>
      <c r="P75" s="16" t="s">
        <v>105</v>
      </c>
      <c r="Q75" s="2" t="s">
        <v>101</v>
      </c>
      <c r="S75" s="8" t="s">
        <v>118</v>
      </c>
      <c r="T75" s="9">
        <v>45839</v>
      </c>
      <c r="U75" s="8">
        <v>0</v>
      </c>
      <c r="V75" s="20">
        <v>957</v>
      </c>
      <c r="W75" s="21" t="s">
        <v>16</v>
      </c>
    </row>
    <row r="76" spans="1:23" ht="105">
      <c r="A76" s="8" t="s">
        <v>2280</v>
      </c>
      <c r="B76" s="8" t="s">
        <v>107</v>
      </c>
      <c r="C76" s="8" t="s">
        <v>2221</v>
      </c>
      <c r="D76" s="8" t="s">
        <v>18</v>
      </c>
      <c r="E76" s="8" t="s">
        <v>101</v>
      </c>
      <c r="F76" s="8" t="s">
        <v>2281</v>
      </c>
      <c r="G76" s="8" t="s">
        <v>2281</v>
      </c>
      <c r="H76" s="8">
        <v>368</v>
      </c>
      <c r="I76" s="8">
        <v>368</v>
      </c>
      <c r="J76" s="8">
        <v>0</v>
      </c>
      <c r="K76" s="8" t="s">
        <v>2222</v>
      </c>
      <c r="L76" s="8" t="s">
        <v>2222</v>
      </c>
      <c r="M76" s="8" t="s">
        <v>101</v>
      </c>
      <c r="P76" s="16" t="s">
        <v>106</v>
      </c>
      <c r="Q76" s="2" t="s">
        <v>41</v>
      </c>
      <c r="S76" s="8" t="s">
        <v>122</v>
      </c>
      <c r="T76" s="9">
        <v>45839</v>
      </c>
      <c r="U76" s="8">
        <v>0</v>
      </c>
      <c r="V76" s="20">
        <v>28</v>
      </c>
      <c r="W76" s="21" t="s">
        <v>16</v>
      </c>
    </row>
    <row r="77" spans="1:23" ht="60">
      <c r="A77" s="8" t="s">
        <v>2282</v>
      </c>
      <c r="B77" s="8" t="s">
        <v>108</v>
      </c>
      <c r="C77" s="8" t="s">
        <v>2221</v>
      </c>
      <c r="D77" s="8" t="s">
        <v>18</v>
      </c>
      <c r="E77" s="8" t="s">
        <v>101</v>
      </c>
      <c r="F77" s="8" t="s">
        <v>2281</v>
      </c>
      <c r="G77" s="8" t="s">
        <v>2283</v>
      </c>
      <c r="H77" s="8">
        <v>110</v>
      </c>
      <c r="I77" s="8">
        <v>110</v>
      </c>
      <c r="J77" s="8">
        <v>0</v>
      </c>
      <c r="K77" s="8" t="s">
        <v>2222</v>
      </c>
      <c r="L77" s="8" t="s">
        <v>2222</v>
      </c>
      <c r="M77" s="8" t="s">
        <v>101</v>
      </c>
      <c r="P77" s="17" t="s">
        <v>107</v>
      </c>
      <c r="Q77" s="2" t="s">
        <v>101</v>
      </c>
      <c r="S77" s="8" t="s">
        <v>122</v>
      </c>
      <c r="T77" s="9">
        <v>45809</v>
      </c>
      <c r="U77" s="8">
        <v>0</v>
      </c>
      <c r="V77" s="20">
        <v>2131</v>
      </c>
      <c r="W77" s="21" t="s">
        <v>16</v>
      </c>
    </row>
    <row r="78" spans="1:23" ht="60">
      <c r="A78" s="8" t="s">
        <v>2284</v>
      </c>
      <c r="B78" s="8" t="s">
        <v>109</v>
      </c>
      <c r="C78" s="8" t="s">
        <v>2221</v>
      </c>
      <c r="D78" s="8" t="s">
        <v>18</v>
      </c>
      <c r="E78" s="8" t="s">
        <v>101</v>
      </c>
      <c r="F78" s="8" t="s">
        <v>2281</v>
      </c>
      <c r="G78" s="8" t="s">
        <v>2283</v>
      </c>
      <c r="H78" s="8">
        <v>35</v>
      </c>
      <c r="I78" s="8">
        <v>35</v>
      </c>
      <c r="J78" s="8">
        <v>0</v>
      </c>
      <c r="K78" s="8" t="s">
        <v>2222</v>
      </c>
      <c r="L78" s="8" t="s">
        <v>2222</v>
      </c>
      <c r="M78" s="8" t="s">
        <v>101</v>
      </c>
      <c r="P78" s="16" t="s">
        <v>108</v>
      </c>
      <c r="Q78" s="2" t="s">
        <v>101</v>
      </c>
      <c r="S78" s="8" t="s">
        <v>126</v>
      </c>
      <c r="T78" s="9">
        <v>45809</v>
      </c>
      <c r="U78" s="8">
        <v>0</v>
      </c>
      <c r="V78" s="20">
        <v>48</v>
      </c>
      <c r="W78" s="21" t="s">
        <v>16</v>
      </c>
    </row>
    <row r="79" spans="1:23" ht="60">
      <c r="A79" s="8" t="s">
        <v>2285</v>
      </c>
      <c r="B79" s="8" t="s">
        <v>110</v>
      </c>
      <c r="C79" s="8" t="s">
        <v>2197</v>
      </c>
      <c r="D79" s="8" t="s">
        <v>18</v>
      </c>
      <c r="E79" s="8" t="s">
        <v>16</v>
      </c>
      <c r="F79" s="8" t="s">
        <v>2198</v>
      </c>
      <c r="G79" s="8" t="s">
        <v>2286</v>
      </c>
      <c r="H79" s="8">
        <v>1995</v>
      </c>
      <c r="I79" s="8">
        <v>15</v>
      </c>
      <c r="J79" s="8" t="s">
        <v>111</v>
      </c>
      <c r="K79" s="9">
        <v>45299</v>
      </c>
      <c r="L79" s="9">
        <v>47088</v>
      </c>
      <c r="M79" s="8" t="s">
        <v>16</v>
      </c>
      <c r="P79" s="16" t="s">
        <v>109</v>
      </c>
      <c r="Q79" s="2" t="s">
        <v>101</v>
      </c>
      <c r="S79" s="8" t="s">
        <v>126</v>
      </c>
      <c r="T79" s="9">
        <v>45839</v>
      </c>
      <c r="U79" s="8">
        <v>0</v>
      </c>
      <c r="V79" s="20">
        <v>6050</v>
      </c>
      <c r="W79" s="21" t="s">
        <v>16</v>
      </c>
    </row>
    <row r="80" spans="1:23" ht="60">
      <c r="A80" s="8" t="s">
        <v>2285</v>
      </c>
      <c r="B80" s="8" t="s">
        <v>110</v>
      </c>
      <c r="C80" s="8" t="s">
        <v>2197</v>
      </c>
      <c r="D80" s="8" t="s">
        <v>18</v>
      </c>
      <c r="E80" s="8" t="s">
        <v>16</v>
      </c>
      <c r="F80" s="8" t="s">
        <v>2198</v>
      </c>
      <c r="G80" s="8" t="s">
        <v>2286</v>
      </c>
      <c r="H80" s="8">
        <v>1995</v>
      </c>
      <c r="I80" s="8">
        <v>1980</v>
      </c>
      <c r="J80" s="8" t="s">
        <v>112</v>
      </c>
      <c r="K80" s="9">
        <v>45376</v>
      </c>
      <c r="L80" s="9">
        <v>47178</v>
      </c>
      <c r="M80" s="8" t="s">
        <v>16</v>
      </c>
      <c r="P80" s="16" t="s">
        <v>110</v>
      </c>
      <c r="Q80" s="2" t="s">
        <v>16</v>
      </c>
      <c r="S80" s="8" t="s">
        <v>129</v>
      </c>
      <c r="T80" s="9">
        <v>47150</v>
      </c>
      <c r="U80" s="8">
        <v>0</v>
      </c>
      <c r="V80" s="20">
        <v>13</v>
      </c>
      <c r="W80" s="21" t="s">
        <v>16</v>
      </c>
    </row>
    <row r="81" spans="1:23" ht="60">
      <c r="A81" s="8" t="s">
        <v>2287</v>
      </c>
      <c r="B81" s="8" t="s">
        <v>113</v>
      </c>
      <c r="C81" s="8" t="s">
        <v>2197</v>
      </c>
      <c r="D81" s="8" t="s">
        <v>18</v>
      </c>
      <c r="E81" s="8" t="s">
        <v>16</v>
      </c>
      <c r="F81" s="8" t="s">
        <v>2198</v>
      </c>
      <c r="G81" s="8" t="s">
        <v>2286</v>
      </c>
      <c r="H81" s="8">
        <v>3703</v>
      </c>
      <c r="I81" s="8">
        <v>303</v>
      </c>
      <c r="J81" s="8" t="s">
        <v>114</v>
      </c>
      <c r="K81" s="9">
        <v>45154</v>
      </c>
      <c r="L81" s="9">
        <v>46905</v>
      </c>
      <c r="M81" s="8" t="s">
        <v>16</v>
      </c>
      <c r="P81" s="16" t="s">
        <v>110</v>
      </c>
      <c r="Q81" s="2" t="s">
        <v>16</v>
      </c>
      <c r="S81" s="8" t="s">
        <v>129</v>
      </c>
      <c r="T81" s="9">
        <v>47178</v>
      </c>
      <c r="U81" s="8">
        <v>0</v>
      </c>
      <c r="V81" s="20">
        <v>16</v>
      </c>
      <c r="W81" s="21" t="s">
        <v>16</v>
      </c>
    </row>
    <row r="82" spans="1:23" ht="60">
      <c r="A82" s="8" t="s">
        <v>2287</v>
      </c>
      <c r="B82" s="8" t="s">
        <v>113</v>
      </c>
      <c r="C82" s="8" t="s">
        <v>2197</v>
      </c>
      <c r="D82" s="8" t="s">
        <v>18</v>
      </c>
      <c r="E82" s="8" t="s">
        <v>16</v>
      </c>
      <c r="F82" s="8" t="s">
        <v>2198</v>
      </c>
      <c r="G82" s="8" t="s">
        <v>2286</v>
      </c>
      <c r="H82" s="8">
        <v>3703</v>
      </c>
      <c r="I82" s="8">
        <v>3400</v>
      </c>
      <c r="J82" s="8" t="s">
        <v>115</v>
      </c>
      <c r="K82" s="9">
        <v>45436</v>
      </c>
      <c r="L82" s="9">
        <v>47088</v>
      </c>
      <c r="M82" s="8" t="s">
        <v>16</v>
      </c>
      <c r="P82" s="16" t="s">
        <v>113</v>
      </c>
      <c r="Q82" s="2" t="s">
        <v>16</v>
      </c>
      <c r="S82" s="8" t="s">
        <v>129</v>
      </c>
      <c r="T82" s="9">
        <v>47209</v>
      </c>
      <c r="U82" s="8">
        <v>0</v>
      </c>
      <c r="V82" s="20">
        <v>1568</v>
      </c>
      <c r="W82" s="21" t="s">
        <v>16</v>
      </c>
    </row>
    <row r="83" spans="1:23" ht="60">
      <c r="A83" s="8" t="s">
        <v>2288</v>
      </c>
      <c r="B83" s="8" t="s">
        <v>116</v>
      </c>
      <c r="C83" s="8" t="s">
        <v>2197</v>
      </c>
      <c r="D83" s="8" t="s">
        <v>18</v>
      </c>
      <c r="E83" s="8" t="s">
        <v>16</v>
      </c>
      <c r="F83" s="8" t="s">
        <v>2198</v>
      </c>
      <c r="G83" s="8" t="s">
        <v>2286</v>
      </c>
      <c r="H83" s="8">
        <v>5644</v>
      </c>
      <c r="I83" s="8">
        <v>5644</v>
      </c>
      <c r="J83" s="8" t="s">
        <v>117</v>
      </c>
      <c r="K83" s="9">
        <v>45436</v>
      </c>
      <c r="L83" s="9">
        <v>47178</v>
      </c>
      <c r="M83" s="8" t="s">
        <v>16</v>
      </c>
      <c r="P83" s="16" t="s">
        <v>113</v>
      </c>
      <c r="Q83" s="2" t="s">
        <v>16</v>
      </c>
      <c r="S83" s="8" t="s">
        <v>130</v>
      </c>
      <c r="T83" s="9">
        <v>47209</v>
      </c>
      <c r="U83" s="8">
        <v>0</v>
      </c>
      <c r="V83" s="20">
        <v>517</v>
      </c>
      <c r="W83" s="21" t="s">
        <v>16</v>
      </c>
    </row>
    <row r="84" spans="1:23" ht="60">
      <c r="A84" s="8" t="s">
        <v>2289</v>
      </c>
      <c r="B84" s="8" t="s">
        <v>118</v>
      </c>
      <c r="C84" s="8" t="s">
        <v>2197</v>
      </c>
      <c r="D84" s="8" t="s">
        <v>18</v>
      </c>
      <c r="E84" s="8" t="s">
        <v>16</v>
      </c>
      <c r="F84" s="8" t="s">
        <v>2198</v>
      </c>
      <c r="G84" s="8" t="s">
        <v>2290</v>
      </c>
      <c r="H84" s="8">
        <v>705</v>
      </c>
      <c r="I84" s="8">
        <v>5</v>
      </c>
      <c r="J84" s="8" t="s">
        <v>119</v>
      </c>
      <c r="K84" s="9">
        <v>45272</v>
      </c>
      <c r="L84" s="9">
        <v>45839</v>
      </c>
      <c r="M84" s="8" t="s">
        <v>16</v>
      </c>
      <c r="P84" s="16" t="s">
        <v>116</v>
      </c>
      <c r="Q84" s="2" t="s">
        <v>16</v>
      </c>
      <c r="S84" s="8" t="s">
        <v>131</v>
      </c>
      <c r="T84" s="9">
        <v>46997</v>
      </c>
      <c r="U84" s="8">
        <v>0</v>
      </c>
      <c r="V84" s="20">
        <v>532</v>
      </c>
      <c r="W84" s="21" t="s">
        <v>16</v>
      </c>
    </row>
    <row r="85" spans="1:23" ht="60">
      <c r="A85" s="8" t="s">
        <v>2291</v>
      </c>
      <c r="B85" s="8" t="s">
        <v>118</v>
      </c>
      <c r="C85" s="8" t="s">
        <v>2197</v>
      </c>
      <c r="D85" s="8" t="s">
        <v>18</v>
      </c>
      <c r="E85" s="8" t="s">
        <v>16</v>
      </c>
      <c r="F85" s="8" t="s">
        <v>2198</v>
      </c>
      <c r="G85" s="8" t="s">
        <v>2290</v>
      </c>
      <c r="H85" s="8">
        <v>252</v>
      </c>
      <c r="I85" s="8">
        <v>252</v>
      </c>
      <c r="J85" s="8" t="s">
        <v>120</v>
      </c>
      <c r="K85" s="9">
        <v>45068</v>
      </c>
      <c r="L85" s="9">
        <v>45839</v>
      </c>
      <c r="M85" s="8" t="s">
        <v>16</v>
      </c>
      <c r="P85" s="16" t="s">
        <v>118</v>
      </c>
      <c r="Q85" s="2" t="s">
        <v>16</v>
      </c>
      <c r="S85" s="8" t="s">
        <v>132</v>
      </c>
      <c r="T85" s="9">
        <v>46753</v>
      </c>
      <c r="U85" s="8">
        <v>0</v>
      </c>
      <c r="V85" s="20">
        <v>211</v>
      </c>
      <c r="W85" s="21" t="s">
        <v>16</v>
      </c>
    </row>
    <row r="86" spans="1:23" ht="60">
      <c r="A86" s="8" t="s">
        <v>2289</v>
      </c>
      <c r="B86" s="8" t="s">
        <v>118</v>
      </c>
      <c r="C86" s="8" t="s">
        <v>2197</v>
      </c>
      <c r="D86" s="8" t="s">
        <v>18</v>
      </c>
      <c r="E86" s="8" t="s">
        <v>16</v>
      </c>
      <c r="F86" s="8" t="s">
        <v>2198</v>
      </c>
      <c r="G86" s="8" t="s">
        <v>2290</v>
      </c>
      <c r="H86" s="8">
        <v>705</v>
      </c>
      <c r="I86" s="8">
        <v>700</v>
      </c>
      <c r="J86" s="8" t="s">
        <v>121</v>
      </c>
      <c r="K86" s="9">
        <v>45360</v>
      </c>
      <c r="L86" s="9">
        <v>45839</v>
      </c>
      <c r="M86" s="8" t="s">
        <v>16</v>
      </c>
      <c r="P86" s="16" t="s">
        <v>118</v>
      </c>
      <c r="Q86" s="2" t="s">
        <v>16</v>
      </c>
      <c r="S86" s="8" t="s">
        <v>133</v>
      </c>
      <c r="T86" s="9">
        <v>46753</v>
      </c>
      <c r="U86" s="8">
        <v>0</v>
      </c>
      <c r="V86" s="20">
        <v>363</v>
      </c>
      <c r="W86" s="21" t="s">
        <v>16</v>
      </c>
    </row>
    <row r="87" spans="1:23" ht="45">
      <c r="A87" s="8" t="s">
        <v>2292</v>
      </c>
      <c r="B87" s="8" t="s">
        <v>122</v>
      </c>
      <c r="C87" s="8" t="s">
        <v>2197</v>
      </c>
      <c r="D87" s="8" t="s">
        <v>18</v>
      </c>
      <c r="E87" s="8" t="s">
        <v>16</v>
      </c>
      <c r="F87" s="8" t="s">
        <v>2198</v>
      </c>
      <c r="G87" s="8" t="s">
        <v>2290</v>
      </c>
      <c r="H87" s="8">
        <v>1079</v>
      </c>
      <c r="I87" s="8">
        <v>2</v>
      </c>
      <c r="J87" s="8" t="s">
        <v>123</v>
      </c>
      <c r="K87" s="9">
        <v>44921</v>
      </c>
      <c r="L87" s="9">
        <v>45839</v>
      </c>
      <c r="M87" s="8" t="s">
        <v>16</v>
      </c>
      <c r="P87" s="16" t="s">
        <v>118</v>
      </c>
      <c r="Q87" s="2" t="s">
        <v>16</v>
      </c>
      <c r="S87" s="8" t="s">
        <v>134</v>
      </c>
      <c r="T87" s="9">
        <v>47058</v>
      </c>
      <c r="U87" s="8">
        <v>0</v>
      </c>
      <c r="V87" s="20">
        <v>225</v>
      </c>
      <c r="W87" s="21" t="s">
        <v>16</v>
      </c>
    </row>
    <row r="88" spans="1:23" ht="45">
      <c r="A88" s="8" t="s">
        <v>2292</v>
      </c>
      <c r="B88" s="8" t="s">
        <v>122</v>
      </c>
      <c r="C88" s="8" t="s">
        <v>2197</v>
      </c>
      <c r="D88" s="8" t="s">
        <v>18</v>
      </c>
      <c r="E88" s="8" t="s">
        <v>16</v>
      </c>
      <c r="F88" s="8" t="s">
        <v>2198</v>
      </c>
      <c r="G88" s="8" t="s">
        <v>2290</v>
      </c>
      <c r="H88" s="8">
        <v>1079</v>
      </c>
      <c r="I88" s="8">
        <v>26</v>
      </c>
      <c r="J88" s="8" t="s">
        <v>124</v>
      </c>
      <c r="K88" s="9">
        <v>44921</v>
      </c>
      <c r="L88" s="9">
        <v>45839</v>
      </c>
      <c r="M88" s="8" t="s">
        <v>16</v>
      </c>
      <c r="P88" s="16" t="s">
        <v>122</v>
      </c>
      <c r="Q88" s="2" t="s">
        <v>16</v>
      </c>
      <c r="S88" s="8" t="s">
        <v>135</v>
      </c>
      <c r="T88" s="9">
        <v>47027</v>
      </c>
      <c r="U88" s="8">
        <v>0</v>
      </c>
      <c r="V88" s="20">
        <v>380</v>
      </c>
      <c r="W88" s="21" t="s">
        <v>16</v>
      </c>
    </row>
    <row r="89" spans="1:23" ht="45">
      <c r="A89" s="8" t="s">
        <v>2292</v>
      </c>
      <c r="B89" s="8" t="s">
        <v>122</v>
      </c>
      <c r="C89" s="8" t="s">
        <v>2197</v>
      </c>
      <c r="D89" s="8" t="s">
        <v>18</v>
      </c>
      <c r="E89" s="8" t="s">
        <v>16</v>
      </c>
      <c r="F89" s="8" t="s">
        <v>2198</v>
      </c>
      <c r="G89" s="8" t="s">
        <v>2290</v>
      </c>
      <c r="H89" s="8">
        <v>1079</v>
      </c>
      <c r="I89" s="8">
        <v>1051</v>
      </c>
      <c r="J89" s="8" t="s">
        <v>125</v>
      </c>
      <c r="K89" s="9">
        <v>45360</v>
      </c>
      <c r="L89" s="9">
        <v>45809</v>
      </c>
      <c r="M89" s="8" t="s">
        <v>16</v>
      </c>
      <c r="P89" s="16" t="s">
        <v>122</v>
      </c>
      <c r="Q89" s="2" t="s">
        <v>16</v>
      </c>
      <c r="S89" s="8" t="s">
        <v>135</v>
      </c>
      <c r="T89" s="9">
        <v>47058</v>
      </c>
      <c r="U89" s="8">
        <v>0</v>
      </c>
      <c r="V89" s="20">
        <v>10000</v>
      </c>
      <c r="W89" s="21" t="s">
        <v>16</v>
      </c>
    </row>
    <row r="90" spans="1:23" ht="45">
      <c r="A90" s="8" t="s">
        <v>2292</v>
      </c>
      <c r="B90" s="8" t="s">
        <v>122</v>
      </c>
      <c r="C90" s="8" t="s">
        <v>2197</v>
      </c>
      <c r="D90" s="8" t="s">
        <v>15</v>
      </c>
      <c r="E90" s="8" t="s">
        <v>16</v>
      </c>
      <c r="F90" s="8" t="s">
        <v>2198</v>
      </c>
      <c r="G90" s="8" t="s">
        <v>2290</v>
      </c>
      <c r="H90" s="8">
        <v>1080</v>
      </c>
      <c r="I90" s="8">
        <v>1080</v>
      </c>
      <c r="J90" s="8" t="s">
        <v>125</v>
      </c>
      <c r="K90" s="9">
        <v>45360</v>
      </c>
      <c r="L90" s="9">
        <v>45809</v>
      </c>
      <c r="M90" s="8" t="s">
        <v>16</v>
      </c>
      <c r="P90" s="16" t="s">
        <v>122</v>
      </c>
      <c r="Q90" s="2" t="s">
        <v>16</v>
      </c>
      <c r="S90" s="8" t="s">
        <v>136</v>
      </c>
      <c r="T90" s="9">
        <v>47058</v>
      </c>
      <c r="U90" s="8">
        <v>0</v>
      </c>
      <c r="V90" s="20">
        <v>904</v>
      </c>
      <c r="W90" s="21" t="s">
        <v>16</v>
      </c>
    </row>
    <row r="91" spans="1:23" ht="45">
      <c r="A91" s="8" t="s">
        <v>2293</v>
      </c>
      <c r="B91" s="8" t="s">
        <v>126</v>
      </c>
      <c r="C91" s="8" t="s">
        <v>2197</v>
      </c>
      <c r="D91" s="8" t="s">
        <v>18</v>
      </c>
      <c r="E91" s="8" t="s">
        <v>16</v>
      </c>
      <c r="F91" s="8" t="s">
        <v>2198</v>
      </c>
      <c r="G91" s="8" t="s">
        <v>2290</v>
      </c>
      <c r="H91" s="8">
        <v>6098</v>
      </c>
      <c r="I91" s="8">
        <v>12</v>
      </c>
      <c r="J91" s="8" t="s">
        <v>127</v>
      </c>
      <c r="K91" s="9">
        <v>45272</v>
      </c>
      <c r="L91" s="9">
        <v>45809</v>
      </c>
      <c r="M91" s="8" t="s">
        <v>16</v>
      </c>
      <c r="P91" s="16" t="s">
        <v>122</v>
      </c>
      <c r="Q91" s="2" t="s">
        <v>16</v>
      </c>
      <c r="S91" s="8" t="s">
        <v>137</v>
      </c>
      <c r="T91" s="9">
        <v>46296</v>
      </c>
      <c r="U91" s="8">
        <v>0</v>
      </c>
      <c r="V91" s="20">
        <v>86</v>
      </c>
      <c r="W91" s="21" t="s">
        <v>16</v>
      </c>
    </row>
    <row r="92" spans="1:23" ht="45">
      <c r="A92" s="8" t="s">
        <v>2293</v>
      </c>
      <c r="B92" s="8" t="s">
        <v>126</v>
      </c>
      <c r="C92" s="8" t="s">
        <v>2197</v>
      </c>
      <c r="D92" s="8" t="s">
        <v>18</v>
      </c>
      <c r="E92" s="8" t="s">
        <v>16</v>
      </c>
      <c r="F92" s="8" t="s">
        <v>2198</v>
      </c>
      <c r="G92" s="8" t="s">
        <v>2290</v>
      </c>
      <c r="H92" s="8">
        <v>6098</v>
      </c>
      <c r="I92" s="8">
        <v>36</v>
      </c>
      <c r="J92" s="8" t="s">
        <v>128</v>
      </c>
      <c r="K92" s="9">
        <v>45384</v>
      </c>
      <c r="L92" s="9">
        <v>45809</v>
      </c>
      <c r="M92" s="8" t="s">
        <v>16</v>
      </c>
      <c r="P92" s="16" t="s">
        <v>126</v>
      </c>
      <c r="Q92" s="2" t="s">
        <v>16</v>
      </c>
      <c r="S92" s="8" t="s">
        <v>138</v>
      </c>
      <c r="T92" s="9">
        <v>47027</v>
      </c>
      <c r="U92" s="8">
        <v>0</v>
      </c>
      <c r="V92" s="20">
        <v>3741</v>
      </c>
      <c r="W92" s="21" t="s">
        <v>16</v>
      </c>
    </row>
    <row r="93" spans="1:23" ht="60">
      <c r="A93" s="8" t="s">
        <v>2293</v>
      </c>
      <c r="B93" s="8" t="s">
        <v>126</v>
      </c>
      <c r="C93" s="8" t="s">
        <v>2197</v>
      </c>
      <c r="D93" s="8" t="s">
        <v>18</v>
      </c>
      <c r="E93" s="8" t="s">
        <v>16</v>
      </c>
      <c r="F93" s="8" t="s">
        <v>2198</v>
      </c>
      <c r="G93" s="8" t="s">
        <v>2290</v>
      </c>
      <c r="H93" s="8">
        <v>6098</v>
      </c>
      <c r="I93" s="8">
        <v>6050</v>
      </c>
      <c r="J93" s="8" t="s">
        <v>119</v>
      </c>
      <c r="K93" s="9">
        <v>45272</v>
      </c>
      <c r="L93" s="9">
        <v>45839</v>
      </c>
      <c r="M93" s="8" t="s">
        <v>16</v>
      </c>
      <c r="P93" s="16" t="s">
        <v>126</v>
      </c>
      <c r="Q93" s="2" t="s">
        <v>16</v>
      </c>
      <c r="S93" s="8" t="s">
        <v>139</v>
      </c>
      <c r="T93" s="9">
        <v>45870</v>
      </c>
      <c r="U93" s="8">
        <v>0</v>
      </c>
      <c r="V93" s="20">
        <v>387</v>
      </c>
      <c r="W93" s="21" t="s">
        <v>16</v>
      </c>
    </row>
    <row r="94" spans="1:23" ht="75">
      <c r="A94" s="8" t="s">
        <v>2294</v>
      </c>
      <c r="B94" s="8" t="s">
        <v>129</v>
      </c>
      <c r="C94" s="8" t="s">
        <v>2197</v>
      </c>
      <c r="D94" s="8" t="s">
        <v>18</v>
      </c>
      <c r="E94" s="8" t="s">
        <v>16</v>
      </c>
      <c r="F94" s="8" t="s">
        <v>2198</v>
      </c>
      <c r="G94" s="8" t="s">
        <v>2295</v>
      </c>
      <c r="H94" s="8">
        <v>1597</v>
      </c>
      <c r="I94" s="8">
        <v>13</v>
      </c>
      <c r="J94" s="8">
        <v>40202002</v>
      </c>
      <c r="K94" s="9">
        <v>45385</v>
      </c>
      <c r="L94" s="9">
        <v>47150</v>
      </c>
      <c r="M94" s="8" t="s">
        <v>16</v>
      </c>
      <c r="P94" s="16" t="s">
        <v>126</v>
      </c>
      <c r="Q94" s="2" t="s">
        <v>16</v>
      </c>
      <c r="S94" s="8" t="s">
        <v>140</v>
      </c>
      <c r="T94" s="9">
        <v>45870</v>
      </c>
      <c r="U94" s="8">
        <v>0</v>
      </c>
      <c r="V94" s="20">
        <v>336</v>
      </c>
      <c r="W94" s="21" t="s">
        <v>38</v>
      </c>
    </row>
    <row r="95" spans="1:23" ht="60">
      <c r="A95" s="8" t="s">
        <v>2294</v>
      </c>
      <c r="B95" s="8" t="s">
        <v>129</v>
      </c>
      <c r="C95" s="8" t="s">
        <v>2197</v>
      </c>
      <c r="D95" s="8" t="s">
        <v>18</v>
      </c>
      <c r="E95" s="8" t="s">
        <v>16</v>
      </c>
      <c r="F95" s="8" t="s">
        <v>2198</v>
      </c>
      <c r="G95" s="8" t="s">
        <v>2295</v>
      </c>
      <c r="H95" s="8">
        <v>1597</v>
      </c>
      <c r="I95" s="8">
        <v>16</v>
      </c>
      <c r="J95" s="8">
        <v>40320005</v>
      </c>
      <c r="K95" s="9">
        <v>45374</v>
      </c>
      <c r="L95" s="9">
        <v>47178</v>
      </c>
      <c r="M95" s="8" t="s">
        <v>16</v>
      </c>
      <c r="P95" s="16" t="s">
        <v>129</v>
      </c>
      <c r="Q95" s="2" t="s">
        <v>16</v>
      </c>
      <c r="S95" s="8" t="s">
        <v>141</v>
      </c>
      <c r="T95" s="9">
        <v>45870</v>
      </c>
      <c r="U95" s="8">
        <v>0</v>
      </c>
      <c r="V95" s="20">
        <v>701</v>
      </c>
      <c r="W95" s="21" t="s">
        <v>16</v>
      </c>
    </row>
    <row r="96" spans="1:23" ht="75">
      <c r="A96" s="8" t="s">
        <v>2294</v>
      </c>
      <c r="B96" s="8" t="s">
        <v>129</v>
      </c>
      <c r="C96" s="8" t="s">
        <v>2197</v>
      </c>
      <c r="D96" s="8" t="s">
        <v>18</v>
      </c>
      <c r="E96" s="8" t="s">
        <v>16</v>
      </c>
      <c r="F96" s="8" t="s">
        <v>2198</v>
      </c>
      <c r="G96" s="8" t="s">
        <v>2295</v>
      </c>
      <c r="H96" s="8">
        <v>1597</v>
      </c>
      <c r="I96" s="8">
        <v>192</v>
      </c>
      <c r="J96" s="8">
        <v>40320005</v>
      </c>
      <c r="K96" s="9">
        <v>45414</v>
      </c>
      <c r="L96" s="9">
        <v>47209</v>
      </c>
      <c r="M96" s="8" t="s">
        <v>16</v>
      </c>
      <c r="P96" s="16" t="s">
        <v>129</v>
      </c>
      <c r="Q96" s="2" t="s">
        <v>16</v>
      </c>
      <c r="S96" s="8" t="s">
        <v>142</v>
      </c>
      <c r="T96" s="9">
        <v>45870</v>
      </c>
      <c r="U96" s="8">
        <v>0</v>
      </c>
      <c r="V96" s="20">
        <v>325</v>
      </c>
      <c r="W96" s="21" t="s">
        <v>16</v>
      </c>
    </row>
    <row r="97" spans="1:23" ht="75">
      <c r="A97" s="8" t="s">
        <v>2294</v>
      </c>
      <c r="B97" s="8" t="s">
        <v>129</v>
      </c>
      <c r="C97" s="8" t="s">
        <v>2197</v>
      </c>
      <c r="D97" s="8" t="s">
        <v>18</v>
      </c>
      <c r="E97" s="8" t="s">
        <v>16</v>
      </c>
      <c r="F97" s="8" t="s">
        <v>2198</v>
      </c>
      <c r="G97" s="8" t="s">
        <v>2295</v>
      </c>
      <c r="H97" s="8">
        <v>1597</v>
      </c>
      <c r="I97" s="8">
        <v>192</v>
      </c>
      <c r="J97" s="8">
        <v>40427010</v>
      </c>
      <c r="K97" s="9">
        <v>45414</v>
      </c>
      <c r="L97" s="9">
        <v>47209</v>
      </c>
      <c r="M97" s="8" t="s">
        <v>16</v>
      </c>
      <c r="P97" s="16" t="s">
        <v>129</v>
      </c>
      <c r="Q97" s="2" t="s">
        <v>16</v>
      </c>
      <c r="S97" s="8" t="s">
        <v>143</v>
      </c>
      <c r="T97" s="9">
        <v>45870</v>
      </c>
      <c r="U97" s="8">
        <v>0</v>
      </c>
      <c r="V97" s="20">
        <v>266</v>
      </c>
      <c r="W97" s="21" t="s">
        <v>16</v>
      </c>
    </row>
    <row r="98" spans="1:23" ht="75">
      <c r="A98" s="8" t="s">
        <v>2294</v>
      </c>
      <c r="B98" s="8" t="s">
        <v>129</v>
      </c>
      <c r="C98" s="8" t="s">
        <v>2197</v>
      </c>
      <c r="D98" s="8" t="s">
        <v>18</v>
      </c>
      <c r="E98" s="8" t="s">
        <v>16</v>
      </c>
      <c r="F98" s="8" t="s">
        <v>2198</v>
      </c>
      <c r="G98" s="8" t="s">
        <v>2295</v>
      </c>
      <c r="H98" s="8">
        <v>1597</v>
      </c>
      <c r="I98" s="8">
        <v>288</v>
      </c>
      <c r="J98" s="8">
        <v>40426009</v>
      </c>
      <c r="K98" s="9">
        <v>45414</v>
      </c>
      <c r="L98" s="9">
        <v>47209</v>
      </c>
      <c r="M98" s="8" t="s">
        <v>16</v>
      </c>
      <c r="P98" s="16" t="s">
        <v>129</v>
      </c>
      <c r="Q98" s="2" t="s">
        <v>16</v>
      </c>
      <c r="S98" s="8" t="s">
        <v>144</v>
      </c>
      <c r="T98" s="9">
        <v>45870</v>
      </c>
      <c r="U98" s="8">
        <v>0</v>
      </c>
      <c r="V98" s="20">
        <v>589</v>
      </c>
      <c r="W98" s="21" t="s">
        <v>16</v>
      </c>
    </row>
    <row r="99" spans="1:23" ht="75">
      <c r="A99" s="8" t="s">
        <v>2294</v>
      </c>
      <c r="B99" s="8" t="s">
        <v>129</v>
      </c>
      <c r="C99" s="8" t="s">
        <v>2197</v>
      </c>
      <c r="D99" s="8" t="s">
        <v>18</v>
      </c>
      <c r="E99" s="8" t="s">
        <v>16</v>
      </c>
      <c r="F99" s="8" t="s">
        <v>2198</v>
      </c>
      <c r="G99" s="8" t="s">
        <v>2295</v>
      </c>
      <c r="H99" s="8">
        <v>1597</v>
      </c>
      <c r="I99" s="8">
        <v>416</v>
      </c>
      <c r="J99" s="8">
        <v>40423007</v>
      </c>
      <c r="K99" s="9">
        <v>45414</v>
      </c>
      <c r="L99" s="9">
        <v>47209</v>
      </c>
      <c r="M99" s="8" t="s">
        <v>16</v>
      </c>
      <c r="P99" s="16" t="s">
        <v>129</v>
      </c>
      <c r="Q99" s="2" t="s">
        <v>16</v>
      </c>
      <c r="S99" s="8" t="s">
        <v>145</v>
      </c>
      <c r="T99" s="9">
        <v>45992</v>
      </c>
      <c r="U99" s="8">
        <v>0</v>
      </c>
      <c r="V99" s="20">
        <v>2</v>
      </c>
      <c r="W99" s="21" t="s">
        <v>16</v>
      </c>
    </row>
    <row r="100" spans="1:23" ht="75">
      <c r="A100" s="8" t="s">
        <v>2294</v>
      </c>
      <c r="B100" s="8" t="s">
        <v>129</v>
      </c>
      <c r="C100" s="8" t="s">
        <v>2197</v>
      </c>
      <c r="D100" s="8" t="s">
        <v>18</v>
      </c>
      <c r="E100" s="8" t="s">
        <v>16</v>
      </c>
      <c r="F100" s="8" t="s">
        <v>2198</v>
      </c>
      <c r="G100" s="8" t="s">
        <v>2295</v>
      </c>
      <c r="H100" s="8">
        <v>1597</v>
      </c>
      <c r="I100" s="8">
        <v>480</v>
      </c>
      <c r="J100" s="8">
        <v>40417006</v>
      </c>
      <c r="K100" s="9">
        <v>45414</v>
      </c>
      <c r="L100" s="9">
        <v>47209</v>
      </c>
      <c r="M100" s="8" t="s">
        <v>16</v>
      </c>
      <c r="P100" s="16" t="s">
        <v>129</v>
      </c>
      <c r="Q100" s="2" t="s">
        <v>16</v>
      </c>
      <c r="S100" s="8" t="s">
        <v>145</v>
      </c>
      <c r="T100" s="9">
        <v>45870</v>
      </c>
      <c r="U100" s="8">
        <v>0</v>
      </c>
      <c r="V100" s="20">
        <v>332</v>
      </c>
      <c r="W100" s="21" t="s">
        <v>16</v>
      </c>
    </row>
    <row r="101" spans="1:23" ht="75">
      <c r="A101" s="8" t="s">
        <v>2296</v>
      </c>
      <c r="B101" s="8" t="s">
        <v>130</v>
      </c>
      <c r="C101" s="8" t="s">
        <v>2197</v>
      </c>
      <c r="D101" s="8" t="s">
        <v>18</v>
      </c>
      <c r="E101" s="8" t="s">
        <v>16</v>
      </c>
      <c r="F101" s="8" t="s">
        <v>2198</v>
      </c>
      <c r="G101" s="8" t="s">
        <v>2295</v>
      </c>
      <c r="H101" s="8">
        <v>517</v>
      </c>
      <c r="I101" s="8">
        <v>517</v>
      </c>
      <c r="J101" s="8">
        <v>40417006</v>
      </c>
      <c r="K101" s="9">
        <v>45409</v>
      </c>
      <c r="L101" s="9">
        <v>47209</v>
      </c>
      <c r="M101" s="8" t="s">
        <v>16</v>
      </c>
      <c r="P101" s="16" t="s">
        <v>129</v>
      </c>
      <c r="Q101" s="2" t="s">
        <v>16</v>
      </c>
      <c r="S101" s="8" t="s">
        <v>146</v>
      </c>
      <c r="T101" s="9">
        <v>45870</v>
      </c>
      <c r="U101" s="8">
        <v>0</v>
      </c>
      <c r="V101" s="20">
        <v>186</v>
      </c>
      <c r="W101" s="21" t="s">
        <v>16</v>
      </c>
    </row>
    <row r="102" spans="1:23" ht="75">
      <c r="A102" s="8" t="s">
        <v>2297</v>
      </c>
      <c r="B102" s="8" t="s">
        <v>131</v>
      </c>
      <c r="C102" s="8" t="s">
        <v>2197</v>
      </c>
      <c r="D102" s="8" t="s">
        <v>18</v>
      </c>
      <c r="E102" s="8" t="s">
        <v>16</v>
      </c>
      <c r="F102" s="8" t="s">
        <v>2198</v>
      </c>
      <c r="G102" s="8" t="s">
        <v>2298</v>
      </c>
      <c r="H102" s="8">
        <v>532</v>
      </c>
      <c r="I102" s="8">
        <v>532</v>
      </c>
      <c r="J102" s="8">
        <v>26092802</v>
      </c>
      <c r="K102" s="9">
        <v>45199</v>
      </c>
      <c r="L102" s="9">
        <v>46997</v>
      </c>
      <c r="M102" s="8" t="s">
        <v>16</v>
      </c>
      <c r="P102" s="16" t="s">
        <v>130</v>
      </c>
      <c r="Q102" s="2" t="s">
        <v>16</v>
      </c>
      <c r="S102" s="8" t="s">
        <v>147</v>
      </c>
      <c r="T102" s="9">
        <v>45870</v>
      </c>
      <c r="U102" s="8">
        <v>0</v>
      </c>
      <c r="V102" s="20">
        <v>467</v>
      </c>
      <c r="W102" s="21" t="s">
        <v>16</v>
      </c>
    </row>
    <row r="103" spans="1:23" ht="60">
      <c r="A103" s="8" t="s">
        <v>2299</v>
      </c>
      <c r="B103" s="8" t="s">
        <v>132</v>
      </c>
      <c r="C103" s="8" t="s">
        <v>2197</v>
      </c>
      <c r="D103" s="8" t="s">
        <v>18</v>
      </c>
      <c r="E103" s="8" t="s">
        <v>16</v>
      </c>
      <c r="F103" s="8" t="s">
        <v>2198</v>
      </c>
      <c r="G103" s="8" t="s">
        <v>2300</v>
      </c>
      <c r="H103" s="8">
        <v>211</v>
      </c>
      <c r="I103" s="8">
        <v>211</v>
      </c>
      <c r="J103" s="8">
        <v>8167</v>
      </c>
      <c r="K103" s="9">
        <v>45163</v>
      </c>
      <c r="L103" s="9">
        <v>46753</v>
      </c>
      <c r="M103" s="8" t="s">
        <v>16</v>
      </c>
      <c r="P103" s="16" t="s">
        <v>131</v>
      </c>
      <c r="Q103" s="2" t="s">
        <v>16</v>
      </c>
      <c r="S103" s="8" t="s">
        <v>148</v>
      </c>
      <c r="T103" s="9" t="s">
        <v>2222</v>
      </c>
      <c r="U103" s="8">
        <v>0</v>
      </c>
      <c r="V103" s="20">
        <v>11</v>
      </c>
      <c r="W103" s="21" t="s">
        <v>38</v>
      </c>
    </row>
    <row r="104" spans="1:23" ht="60">
      <c r="A104" s="8" t="s">
        <v>2301</v>
      </c>
      <c r="B104" s="8" t="s">
        <v>133</v>
      </c>
      <c r="C104" s="8" t="s">
        <v>2197</v>
      </c>
      <c r="D104" s="8" t="s">
        <v>18</v>
      </c>
      <c r="E104" s="8" t="s">
        <v>16</v>
      </c>
      <c r="F104" s="8" t="s">
        <v>2198</v>
      </c>
      <c r="G104" s="8" t="s">
        <v>2300</v>
      </c>
      <c r="H104" s="8">
        <v>363</v>
      </c>
      <c r="I104" s="8">
        <v>363</v>
      </c>
      <c r="J104" s="8">
        <v>8326</v>
      </c>
      <c r="K104" s="9">
        <v>45348</v>
      </c>
      <c r="L104" s="9">
        <v>46753</v>
      </c>
      <c r="M104" s="8" t="s">
        <v>16</v>
      </c>
      <c r="P104" s="16" t="s">
        <v>132</v>
      </c>
      <c r="Q104" s="2" t="s">
        <v>16</v>
      </c>
      <c r="S104" s="8" t="s">
        <v>149</v>
      </c>
      <c r="T104" s="9">
        <v>47150</v>
      </c>
      <c r="U104" s="8">
        <v>0</v>
      </c>
      <c r="V104" s="20">
        <v>545</v>
      </c>
      <c r="W104" s="21" t="s">
        <v>151</v>
      </c>
    </row>
    <row r="105" spans="1:23" ht="90">
      <c r="A105" s="8" t="s">
        <v>2302</v>
      </c>
      <c r="B105" s="8" t="s">
        <v>134</v>
      </c>
      <c r="C105" s="8" t="s">
        <v>2303</v>
      </c>
      <c r="D105" s="8" t="s">
        <v>18</v>
      </c>
      <c r="E105" s="8" t="s">
        <v>16</v>
      </c>
      <c r="F105" s="8" t="s">
        <v>2228</v>
      </c>
      <c r="G105" s="8" t="s">
        <v>2304</v>
      </c>
      <c r="H105" s="8">
        <v>225</v>
      </c>
      <c r="I105" s="8">
        <v>106</v>
      </c>
      <c r="J105" s="8">
        <v>222200007</v>
      </c>
      <c r="K105" s="9">
        <v>45257</v>
      </c>
      <c r="L105" s="9">
        <v>47058</v>
      </c>
      <c r="M105" s="8" t="s">
        <v>16</v>
      </c>
      <c r="P105" s="16" t="s">
        <v>133</v>
      </c>
      <c r="Q105" s="2" t="s">
        <v>16</v>
      </c>
      <c r="S105" s="8" t="s">
        <v>152</v>
      </c>
      <c r="T105" s="9">
        <v>47150</v>
      </c>
      <c r="U105" s="8">
        <v>0</v>
      </c>
      <c r="V105" s="20">
        <v>4</v>
      </c>
      <c r="W105" s="21" t="s">
        <v>38</v>
      </c>
    </row>
    <row r="106" spans="1:23" ht="60">
      <c r="A106" s="8" t="s">
        <v>2302</v>
      </c>
      <c r="B106" s="8" t="s">
        <v>134</v>
      </c>
      <c r="C106" s="8" t="s">
        <v>2303</v>
      </c>
      <c r="D106" s="8" t="s">
        <v>18</v>
      </c>
      <c r="E106" s="8" t="s">
        <v>16</v>
      </c>
      <c r="F106" s="8" t="s">
        <v>2228</v>
      </c>
      <c r="G106" s="8" t="s">
        <v>2304</v>
      </c>
      <c r="H106" s="8">
        <v>225</v>
      </c>
      <c r="I106" s="8">
        <v>119</v>
      </c>
      <c r="J106" s="8">
        <v>222200008</v>
      </c>
      <c r="K106" s="9">
        <v>45257</v>
      </c>
      <c r="L106" s="9">
        <v>47058</v>
      </c>
      <c r="M106" s="8" t="s">
        <v>16</v>
      </c>
      <c r="P106" s="16" t="s">
        <v>134</v>
      </c>
      <c r="Q106" s="2" t="s">
        <v>16</v>
      </c>
      <c r="S106" s="8" t="s">
        <v>154</v>
      </c>
      <c r="T106" s="9">
        <v>46113</v>
      </c>
      <c r="U106" s="8">
        <v>0</v>
      </c>
      <c r="V106" s="20">
        <v>10441</v>
      </c>
      <c r="W106" s="21" t="s">
        <v>16</v>
      </c>
    </row>
    <row r="107" spans="1:23" ht="60">
      <c r="A107" s="8" t="s">
        <v>2305</v>
      </c>
      <c r="B107" s="8" t="s">
        <v>135</v>
      </c>
      <c r="C107" s="8" t="s">
        <v>2197</v>
      </c>
      <c r="D107" s="8" t="s">
        <v>18</v>
      </c>
      <c r="E107" s="8" t="s">
        <v>16</v>
      </c>
      <c r="F107" s="8" t="s">
        <v>2228</v>
      </c>
      <c r="G107" s="8" t="s">
        <v>2304</v>
      </c>
      <c r="H107" s="8">
        <v>10380</v>
      </c>
      <c r="I107" s="8">
        <v>380</v>
      </c>
      <c r="J107" s="8">
        <v>222200001</v>
      </c>
      <c r="K107" s="9">
        <v>45233</v>
      </c>
      <c r="L107" s="9">
        <v>47027</v>
      </c>
      <c r="M107" s="8" t="s">
        <v>16</v>
      </c>
      <c r="P107" s="16" t="s">
        <v>134</v>
      </c>
      <c r="Q107" s="2" t="s">
        <v>16</v>
      </c>
      <c r="S107" s="8" t="s">
        <v>154</v>
      </c>
      <c r="T107" s="9">
        <v>46266</v>
      </c>
      <c r="U107" s="8">
        <v>0</v>
      </c>
      <c r="V107" s="20">
        <v>10000</v>
      </c>
      <c r="W107" s="21" t="s">
        <v>16</v>
      </c>
    </row>
    <row r="108" spans="1:23" ht="60">
      <c r="A108" s="8" t="s">
        <v>2305</v>
      </c>
      <c r="B108" s="8" t="s">
        <v>135</v>
      </c>
      <c r="C108" s="8" t="s">
        <v>2197</v>
      </c>
      <c r="D108" s="8" t="s">
        <v>18</v>
      </c>
      <c r="E108" s="8" t="s">
        <v>16</v>
      </c>
      <c r="F108" s="8" t="s">
        <v>2228</v>
      </c>
      <c r="G108" s="8" t="s">
        <v>2304</v>
      </c>
      <c r="H108" s="8">
        <v>10380</v>
      </c>
      <c r="I108" s="8">
        <v>400</v>
      </c>
      <c r="J108" s="8">
        <v>222200010</v>
      </c>
      <c r="K108" s="9">
        <v>45264</v>
      </c>
      <c r="L108" s="9">
        <v>47058</v>
      </c>
      <c r="M108" s="8" t="s">
        <v>16</v>
      </c>
      <c r="P108" s="16" t="s">
        <v>135</v>
      </c>
      <c r="Q108" s="2" t="s">
        <v>16</v>
      </c>
      <c r="S108" s="8" t="s">
        <v>158</v>
      </c>
      <c r="T108" s="9">
        <v>46174</v>
      </c>
      <c r="U108" s="8">
        <v>0</v>
      </c>
      <c r="V108" s="20">
        <v>1397</v>
      </c>
      <c r="W108" s="21" t="s">
        <v>16</v>
      </c>
    </row>
    <row r="109" spans="1:23" ht="60">
      <c r="A109" s="8" t="s">
        <v>2305</v>
      </c>
      <c r="B109" s="8" t="s">
        <v>135</v>
      </c>
      <c r="C109" s="8" t="s">
        <v>2197</v>
      </c>
      <c r="D109" s="8" t="s">
        <v>18</v>
      </c>
      <c r="E109" s="8" t="s">
        <v>16</v>
      </c>
      <c r="F109" s="8" t="s">
        <v>2228</v>
      </c>
      <c r="G109" s="8" t="s">
        <v>2304</v>
      </c>
      <c r="H109" s="8">
        <v>10380</v>
      </c>
      <c r="I109" s="8">
        <v>9600</v>
      </c>
      <c r="J109" s="8">
        <v>222200009</v>
      </c>
      <c r="K109" s="9">
        <v>45264</v>
      </c>
      <c r="L109" s="9">
        <v>47058</v>
      </c>
      <c r="M109" s="8" t="s">
        <v>16</v>
      </c>
      <c r="P109" s="16" t="s">
        <v>135</v>
      </c>
      <c r="Q109" s="2" t="s">
        <v>16</v>
      </c>
      <c r="S109" s="8" t="s">
        <v>158</v>
      </c>
      <c r="T109" s="9">
        <v>46266</v>
      </c>
      <c r="U109" s="8">
        <v>0</v>
      </c>
      <c r="V109" s="20">
        <v>24000</v>
      </c>
      <c r="W109" s="21" t="s">
        <v>16</v>
      </c>
    </row>
    <row r="110" spans="1:23" ht="60">
      <c r="A110" s="8" t="s">
        <v>2306</v>
      </c>
      <c r="B110" s="8" t="s">
        <v>136</v>
      </c>
      <c r="C110" s="8" t="s">
        <v>2307</v>
      </c>
      <c r="D110" s="8" t="s">
        <v>18</v>
      </c>
      <c r="E110" s="8" t="s">
        <v>16</v>
      </c>
      <c r="F110" s="8" t="s">
        <v>2228</v>
      </c>
      <c r="G110" s="8" t="s">
        <v>2304</v>
      </c>
      <c r="H110" s="8">
        <v>904</v>
      </c>
      <c r="I110" s="8">
        <v>904</v>
      </c>
      <c r="J110" s="8">
        <v>222200008</v>
      </c>
      <c r="K110" s="9">
        <v>45257</v>
      </c>
      <c r="L110" s="9">
        <v>47058</v>
      </c>
      <c r="M110" s="8" t="s">
        <v>16</v>
      </c>
      <c r="P110" s="16" t="s">
        <v>135</v>
      </c>
      <c r="Q110" s="2" t="s">
        <v>16</v>
      </c>
      <c r="S110" s="8" t="s">
        <v>163</v>
      </c>
      <c r="T110" s="9">
        <v>46266</v>
      </c>
      <c r="U110" s="8">
        <v>0</v>
      </c>
      <c r="V110" s="20">
        <v>10332</v>
      </c>
      <c r="W110" s="21" t="s">
        <v>16</v>
      </c>
    </row>
    <row r="111" spans="1:23" ht="60">
      <c r="A111" s="8" t="s">
        <v>2308</v>
      </c>
      <c r="B111" s="8" t="s">
        <v>137</v>
      </c>
      <c r="C111" s="8" t="s">
        <v>2203</v>
      </c>
      <c r="D111" s="8" t="s">
        <v>18</v>
      </c>
      <c r="E111" s="8" t="s">
        <v>16</v>
      </c>
      <c r="F111" s="8" t="s">
        <v>2228</v>
      </c>
      <c r="G111" s="8" t="s">
        <v>2309</v>
      </c>
      <c r="H111" s="8">
        <v>86</v>
      </c>
      <c r="I111" s="8">
        <v>86</v>
      </c>
      <c r="J111" s="8">
        <v>221800033</v>
      </c>
      <c r="K111" s="9">
        <v>44498</v>
      </c>
      <c r="L111" s="9">
        <v>46296</v>
      </c>
      <c r="M111" s="8" t="s">
        <v>16</v>
      </c>
      <c r="P111" s="16" t="s">
        <v>136</v>
      </c>
      <c r="Q111" s="2" t="s">
        <v>16</v>
      </c>
      <c r="S111" s="8" t="s">
        <v>167</v>
      </c>
      <c r="T111" s="9">
        <v>46113</v>
      </c>
      <c r="U111" s="8">
        <v>0</v>
      </c>
      <c r="V111" s="20">
        <v>19</v>
      </c>
      <c r="W111" s="21" t="s">
        <v>16</v>
      </c>
    </row>
    <row r="112" spans="1:23" ht="60">
      <c r="A112" s="8" t="s">
        <v>2310</v>
      </c>
      <c r="B112" s="8" t="s">
        <v>138</v>
      </c>
      <c r="C112" s="8" t="s">
        <v>2197</v>
      </c>
      <c r="D112" s="8" t="s">
        <v>18</v>
      </c>
      <c r="E112" s="8" t="s">
        <v>16</v>
      </c>
      <c r="F112" s="8" t="s">
        <v>2228</v>
      </c>
      <c r="G112" s="8" t="s">
        <v>2311</v>
      </c>
      <c r="H112" s="8">
        <v>3741</v>
      </c>
      <c r="I112" s="8">
        <v>102</v>
      </c>
      <c r="J112" s="8">
        <v>221125001000</v>
      </c>
      <c r="K112" s="9">
        <v>45429</v>
      </c>
      <c r="L112" s="9">
        <v>47027</v>
      </c>
      <c r="M112" s="8" t="s">
        <v>16</v>
      </c>
      <c r="P112" s="16" t="s">
        <v>137</v>
      </c>
      <c r="Q112" s="2" t="s">
        <v>16</v>
      </c>
      <c r="S112" s="8" t="s">
        <v>167</v>
      </c>
      <c r="T112" s="9">
        <v>46296</v>
      </c>
      <c r="U112" s="8">
        <v>0</v>
      </c>
      <c r="V112" s="20">
        <v>2800</v>
      </c>
      <c r="W112" s="21" t="s">
        <v>16</v>
      </c>
    </row>
    <row r="113" spans="1:23" ht="60">
      <c r="A113" s="8" t="s">
        <v>2310</v>
      </c>
      <c r="B113" s="8" t="s">
        <v>138</v>
      </c>
      <c r="C113" s="8" t="s">
        <v>2197</v>
      </c>
      <c r="D113" s="8" t="s">
        <v>18</v>
      </c>
      <c r="E113" s="8" t="s">
        <v>16</v>
      </c>
      <c r="F113" s="8" t="s">
        <v>2228</v>
      </c>
      <c r="G113" s="8" t="s">
        <v>2311</v>
      </c>
      <c r="H113" s="8">
        <v>3741</v>
      </c>
      <c r="I113" s="8">
        <v>3639</v>
      </c>
      <c r="J113" s="8">
        <v>231027001000</v>
      </c>
      <c r="K113" s="9">
        <v>45377</v>
      </c>
      <c r="L113" s="9">
        <v>47027</v>
      </c>
      <c r="M113" s="8" t="s">
        <v>16</v>
      </c>
      <c r="P113" s="16" t="s">
        <v>138</v>
      </c>
      <c r="Q113" s="2" t="s">
        <v>16</v>
      </c>
      <c r="S113" s="8" t="s">
        <v>167</v>
      </c>
      <c r="T113" s="9">
        <v>46753</v>
      </c>
      <c r="U113" s="8">
        <v>0</v>
      </c>
      <c r="V113" s="20">
        <v>1100</v>
      </c>
      <c r="W113" s="21" t="s">
        <v>16</v>
      </c>
    </row>
    <row r="114" spans="1:23" ht="60">
      <c r="A114" s="8" t="s">
        <v>2312</v>
      </c>
      <c r="B114" s="8" t="s">
        <v>139</v>
      </c>
      <c r="C114" s="8" t="s">
        <v>2197</v>
      </c>
      <c r="D114" s="8" t="s">
        <v>18</v>
      </c>
      <c r="E114" s="8" t="s">
        <v>151</v>
      </c>
      <c r="F114" s="8" t="s">
        <v>151</v>
      </c>
      <c r="G114" s="8" t="s">
        <v>2313</v>
      </c>
      <c r="H114" s="8">
        <v>387</v>
      </c>
      <c r="I114" s="8">
        <v>387</v>
      </c>
      <c r="J114" s="8">
        <v>0</v>
      </c>
      <c r="K114" s="9">
        <v>45157</v>
      </c>
      <c r="L114" s="9">
        <v>45870</v>
      </c>
      <c r="M114" s="8" t="s">
        <v>16</v>
      </c>
      <c r="P114" s="16" t="s">
        <v>138</v>
      </c>
      <c r="Q114" s="2" t="s">
        <v>16</v>
      </c>
      <c r="S114" s="8" t="s">
        <v>167</v>
      </c>
      <c r="T114" s="9">
        <v>47027</v>
      </c>
      <c r="U114" s="8">
        <v>0</v>
      </c>
      <c r="V114" s="20">
        <v>1900</v>
      </c>
      <c r="W114" s="21" t="s">
        <v>16</v>
      </c>
    </row>
    <row r="115" spans="1:23" ht="75">
      <c r="A115" s="8" t="s">
        <v>2314</v>
      </c>
      <c r="B115" s="8" t="s">
        <v>140</v>
      </c>
      <c r="C115" s="8" t="s">
        <v>2197</v>
      </c>
      <c r="D115" s="8" t="s">
        <v>18</v>
      </c>
      <c r="E115" s="8" t="s">
        <v>2217</v>
      </c>
      <c r="F115" s="8" t="s">
        <v>2217</v>
      </c>
      <c r="G115" s="8" t="s">
        <v>2217</v>
      </c>
      <c r="H115" s="8">
        <v>336</v>
      </c>
      <c r="I115" s="8">
        <v>336</v>
      </c>
      <c r="J115" s="8">
        <v>0</v>
      </c>
      <c r="K115" s="9">
        <v>45157</v>
      </c>
      <c r="L115" s="9">
        <v>45870</v>
      </c>
      <c r="M115" s="8" t="s">
        <v>38</v>
      </c>
      <c r="P115" s="16" t="s">
        <v>139</v>
      </c>
      <c r="Q115" s="2" t="s">
        <v>16</v>
      </c>
      <c r="S115" s="8" t="s">
        <v>167</v>
      </c>
      <c r="T115" s="9">
        <v>46235</v>
      </c>
      <c r="U115" s="8">
        <v>0</v>
      </c>
      <c r="V115" s="20">
        <v>6000</v>
      </c>
      <c r="W115" s="21" t="s">
        <v>16</v>
      </c>
    </row>
    <row r="116" spans="1:23" ht="60">
      <c r="A116" s="8" t="s">
        <v>2315</v>
      </c>
      <c r="B116" s="8" t="s">
        <v>141</v>
      </c>
      <c r="C116" s="8" t="s">
        <v>2197</v>
      </c>
      <c r="D116" s="8" t="s">
        <v>18</v>
      </c>
      <c r="E116" s="8" t="s">
        <v>151</v>
      </c>
      <c r="F116" s="8" t="s">
        <v>151</v>
      </c>
      <c r="G116" s="8" t="s">
        <v>2313</v>
      </c>
      <c r="H116" s="8">
        <v>701</v>
      </c>
      <c r="I116" s="8">
        <v>701</v>
      </c>
      <c r="J116" s="8">
        <v>0</v>
      </c>
      <c r="K116" s="9">
        <v>45157</v>
      </c>
      <c r="L116" s="9">
        <v>45870</v>
      </c>
      <c r="M116" s="8" t="s">
        <v>16</v>
      </c>
      <c r="P116" s="17" t="s">
        <v>140</v>
      </c>
      <c r="Q116" s="2" t="s">
        <v>38</v>
      </c>
      <c r="S116" s="8" t="s">
        <v>173</v>
      </c>
      <c r="T116" s="9">
        <v>46447</v>
      </c>
      <c r="U116" s="8">
        <v>0</v>
      </c>
      <c r="V116" s="20">
        <v>3</v>
      </c>
      <c r="W116" s="21" t="s">
        <v>16</v>
      </c>
    </row>
    <row r="117" spans="1:23" ht="75">
      <c r="A117" s="8" t="s">
        <v>2316</v>
      </c>
      <c r="B117" s="8" t="s">
        <v>142</v>
      </c>
      <c r="C117" s="8" t="s">
        <v>2197</v>
      </c>
      <c r="D117" s="8" t="s">
        <v>18</v>
      </c>
      <c r="E117" s="8" t="s">
        <v>151</v>
      </c>
      <c r="F117" s="8" t="s">
        <v>151</v>
      </c>
      <c r="G117" s="8" t="s">
        <v>2313</v>
      </c>
      <c r="H117" s="8">
        <v>325</v>
      </c>
      <c r="I117" s="8">
        <v>325</v>
      </c>
      <c r="J117" s="8">
        <v>0</v>
      </c>
      <c r="K117" s="9">
        <v>45157</v>
      </c>
      <c r="L117" s="9">
        <v>45870</v>
      </c>
      <c r="M117" s="8" t="s">
        <v>16</v>
      </c>
      <c r="P117" s="16" t="s">
        <v>141</v>
      </c>
      <c r="Q117" s="2" t="s">
        <v>16</v>
      </c>
      <c r="S117" s="8" t="s">
        <v>173</v>
      </c>
      <c r="T117" s="9">
        <v>47027</v>
      </c>
      <c r="U117" s="8">
        <v>0</v>
      </c>
      <c r="V117" s="20">
        <v>1640</v>
      </c>
      <c r="W117" s="21" t="s">
        <v>16</v>
      </c>
    </row>
    <row r="118" spans="1:23" ht="75">
      <c r="A118" s="8" t="s">
        <v>2317</v>
      </c>
      <c r="B118" s="8" t="s">
        <v>143</v>
      </c>
      <c r="C118" s="8" t="s">
        <v>2197</v>
      </c>
      <c r="D118" s="8" t="s">
        <v>18</v>
      </c>
      <c r="E118" s="8" t="s">
        <v>2217</v>
      </c>
      <c r="F118" s="8" t="s">
        <v>2217</v>
      </c>
      <c r="G118" s="8" t="s">
        <v>2217</v>
      </c>
      <c r="H118" s="8">
        <v>266</v>
      </c>
      <c r="I118" s="8">
        <v>266</v>
      </c>
      <c r="J118" s="8">
        <v>0</v>
      </c>
      <c r="K118" s="9">
        <v>45157</v>
      </c>
      <c r="L118" s="9">
        <v>45870</v>
      </c>
      <c r="M118" s="8" t="s">
        <v>16</v>
      </c>
      <c r="P118" s="16" t="s">
        <v>142</v>
      </c>
      <c r="Q118" s="2" t="s">
        <v>16</v>
      </c>
      <c r="S118" s="8" t="s">
        <v>176</v>
      </c>
      <c r="T118" s="9">
        <v>45901</v>
      </c>
      <c r="U118" s="8">
        <v>0</v>
      </c>
      <c r="V118" s="20">
        <v>800</v>
      </c>
      <c r="W118" s="21" t="s">
        <v>16</v>
      </c>
    </row>
    <row r="119" spans="1:23" ht="75">
      <c r="A119" s="8" t="s">
        <v>2318</v>
      </c>
      <c r="B119" s="8" t="s">
        <v>144</v>
      </c>
      <c r="C119" s="8" t="s">
        <v>2197</v>
      </c>
      <c r="D119" s="8" t="s">
        <v>18</v>
      </c>
      <c r="E119" s="8" t="s">
        <v>151</v>
      </c>
      <c r="F119" s="8" t="s">
        <v>151</v>
      </c>
      <c r="G119" s="8" t="s">
        <v>2313</v>
      </c>
      <c r="H119" s="8">
        <v>589</v>
      </c>
      <c r="I119" s="8">
        <v>589</v>
      </c>
      <c r="J119" s="8">
        <v>0</v>
      </c>
      <c r="K119" s="9">
        <v>45157</v>
      </c>
      <c r="L119" s="9">
        <v>45870</v>
      </c>
      <c r="M119" s="8" t="s">
        <v>16</v>
      </c>
      <c r="P119" s="16" t="s">
        <v>143</v>
      </c>
      <c r="Q119" s="2" t="s">
        <v>16</v>
      </c>
      <c r="S119" s="8" t="s">
        <v>178</v>
      </c>
      <c r="T119" s="9">
        <v>45536</v>
      </c>
      <c r="U119" s="8">
        <v>0</v>
      </c>
      <c r="V119" s="20">
        <v>36</v>
      </c>
      <c r="W119" s="21" t="s">
        <v>16</v>
      </c>
    </row>
    <row r="120" spans="1:23" ht="75">
      <c r="A120" s="8" t="s">
        <v>2319</v>
      </c>
      <c r="B120" s="8" t="s">
        <v>145</v>
      </c>
      <c r="C120" s="8" t="s">
        <v>2197</v>
      </c>
      <c r="D120" s="8" t="s">
        <v>18</v>
      </c>
      <c r="E120" s="8" t="s">
        <v>2217</v>
      </c>
      <c r="F120" s="8" t="s">
        <v>2217</v>
      </c>
      <c r="G120" s="8" t="s">
        <v>2217</v>
      </c>
      <c r="H120" s="8">
        <v>2</v>
      </c>
      <c r="I120" s="8">
        <v>2</v>
      </c>
      <c r="J120" s="8">
        <v>0</v>
      </c>
      <c r="K120" s="9">
        <v>45416</v>
      </c>
      <c r="L120" s="9">
        <v>45992</v>
      </c>
      <c r="M120" s="8" t="s">
        <v>16</v>
      </c>
      <c r="P120" s="16" t="s">
        <v>144</v>
      </c>
      <c r="Q120" s="2" t="s">
        <v>16</v>
      </c>
      <c r="S120" s="8" t="s">
        <v>178</v>
      </c>
      <c r="T120" s="9">
        <v>45809</v>
      </c>
      <c r="U120" s="8">
        <v>0</v>
      </c>
      <c r="V120" s="20">
        <v>960</v>
      </c>
      <c r="W120" s="21" t="s">
        <v>16</v>
      </c>
    </row>
    <row r="121" spans="1:23" ht="75">
      <c r="A121" s="8" t="s">
        <v>2320</v>
      </c>
      <c r="B121" s="8" t="s">
        <v>145</v>
      </c>
      <c r="C121" s="8" t="s">
        <v>2197</v>
      </c>
      <c r="D121" s="8" t="s">
        <v>18</v>
      </c>
      <c r="E121" s="8" t="s">
        <v>151</v>
      </c>
      <c r="F121" s="8" t="s">
        <v>151</v>
      </c>
      <c r="G121" s="8" t="s">
        <v>2313</v>
      </c>
      <c r="H121" s="8">
        <v>332</v>
      </c>
      <c r="I121" s="8">
        <v>332</v>
      </c>
      <c r="J121" s="8">
        <v>0</v>
      </c>
      <c r="K121" s="9">
        <v>45157</v>
      </c>
      <c r="L121" s="9">
        <v>45870</v>
      </c>
      <c r="M121" s="8" t="s">
        <v>16</v>
      </c>
      <c r="P121" s="16" t="s">
        <v>145</v>
      </c>
      <c r="Q121" s="2" t="s">
        <v>16</v>
      </c>
      <c r="S121" s="8" t="s">
        <v>178</v>
      </c>
      <c r="T121" s="9">
        <v>45931</v>
      </c>
      <c r="U121" s="8">
        <v>0</v>
      </c>
      <c r="V121" s="20">
        <v>1040</v>
      </c>
      <c r="W121" s="21" t="s">
        <v>16</v>
      </c>
    </row>
    <row r="122" spans="1:23" ht="75">
      <c r="A122" s="8" t="s">
        <v>2321</v>
      </c>
      <c r="B122" s="8" t="s">
        <v>146</v>
      </c>
      <c r="C122" s="8" t="s">
        <v>2197</v>
      </c>
      <c r="D122" s="8" t="s">
        <v>18</v>
      </c>
      <c r="E122" s="8" t="s">
        <v>2217</v>
      </c>
      <c r="F122" s="8" t="s">
        <v>2217</v>
      </c>
      <c r="G122" s="8" t="s">
        <v>2217</v>
      </c>
      <c r="H122" s="8">
        <v>186</v>
      </c>
      <c r="I122" s="8">
        <v>186</v>
      </c>
      <c r="J122" s="8">
        <v>0</v>
      </c>
      <c r="K122" s="9">
        <v>45157</v>
      </c>
      <c r="L122" s="9">
        <v>45870</v>
      </c>
      <c r="M122" s="8" t="s">
        <v>16</v>
      </c>
      <c r="P122" s="16" t="s">
        <v>145</v>
      </c>
      <c r="Q122" s="2" t="s">
        <v>16</v>
      </c>
      <c r="S122" s="8" t="s">
        <v>182</v>
      </c>
      <c r="T122" s="9">
        <v>47239</v>
      </c>
      <c r="U122" s="8">
        <v>0</v>
      </c>
      <c r="V122" s="20">
        <v>12</v>
      </c>
      <c r="W122" s="21" t="s">
        <v>16</v>
      </c>
    </row>
    <row r="123" spans="1:23" ht="75">
      <c r="A123" s="8" t="s">
        <v>2322</v>
      </c>
      <c r="B123" s="8" t="s">
        <v>147</v>
      </c>
      <c r="C123" s="8" t="s">
        <v>2197</v>
      </c>
      <c r="D123" s="8" t="s">
        <v>18</v>
      </c>
      <c r="E123" s="8" t="s">
        <v>151</v>
      </c>
      <c r="F123" s="8" t="s">
        <v>151</v>
      </c>
      <c r="G123" s="8" t="s">
        <v>2313</v>
      </c>
      <c r="H123" s="8">
        <v>467</v>
      </c>
      <c r="I123" s="8">
        <v>467</v>
      </c>
      <c r="J123" s="8">
        <v>0</v>
      </c>
      <c r="K123" s="9">
        <v>45157</v>
      </c>
      <c r="L123" s="9">
        <v>45870</v>
      </c>
      <c r="M123" s="8" t="s">
        <v>16</v>
      </c>
      <c r="P123" s="16" t="s">
        <v>146</v>
      </c>
      <c r="Q123" s="2" t="s">
        <v>16</v>
      </c>
      <c r="S123" s="8" t="s">
        <v>183</v>
      </c>
      <c r="T123" s="9">
        <v>46966</v>
      </c>
      <c r="U123" s="8">
        <v>0</v>
      </c>
      <c r="V123" s="20">
        <v>11</v>
      </c>
      <c r="W123" s="21" t="s">
        <v>16</v>
      </c>
    </row>
    <row r="124" spans="1:23" ht="48.75">
      <c r="A124" s="8" t="s">
        <v>2323</v>
      </c>
      <c r="B124" s="8" t="s">
        <v>148</v>
      </c>
      <c r="C124" s="8" t="s">
        <v>2197</v>
      </c>
      <c r="D124" s="8" t="s">
        <v>18</v>
      </c>
      <c r="E124" s="8" t="s">
        <v>2217</v>
      </c>
      <c r="F124" s="8" t="s">
        <v>2217</v>
      </c>
      <c r="G124" s="8" t="s">
        <v>2217</v>
      </c>
      <c r="H124" s="8">
        <v>11</v>
      </c>
      <c r="I124" s="8">
        <v>11</v>
      </c>
      <c r="J124" s="8">
        <v>0</v>
      </c>
      <c r="K124" s="8" t="s">
        <v>2222</v>
      </c>
      <c r="L124" s="8" t="s">
        <v>2222</v>
      </c>
      <c r="M124" s="8" t="s">
        <v>38</v>
      </c>
      <c r="P124" s="16" t="s">
        <v>147</v>
      </c>
      <c r="Q124" s="2" t="s">
        <v>16</v>
      </c>
      <c r="S124" s="8" t="s">
        <v>183</v>
      </c>
      <c r="T124" s="9">
        <v>47178</v>
      </c>
      <c r="U124" s="8">
        <v>0</v>
      </c>
      <c r="V124" s="20">
        <v>420</v>
      </c>
      <c r="W124" s="21" t="s">
        <v>16</v>
      </c>
    </row>
    <row r="125" spans="1:23" ht="60">
      <c r="A125" s="8" t="s">
        <v>2324</v>
      </c>
      <c r="B125" s="8" t="s">
        <v>149</v>
      </c>
      <c r="C125" s="8" t="s">
        <v>2197</v>
      </c>
      <c r="D125" s="8" t="s">
        <v>18</v>
      </c>
      <c r="E125" s="8" t="s">
        <v>151</v>
      </c>
      <c r="F125" s="8" t="s">
        <v>2325</v>
      </c>
      <c r="G125" s="8" t="s">
        <v>2326</v>
      </c>
      <c r="H125" s="8">
        <v>545</v>
      </c>
      <c r="I125" s="8">
        <v>545</v>
      </c>
      <c r="J125" s="8" t="s">
        <v>150</v>
      </c>
      <c r="K125" s="9">
        <v>45339</v>
      </c>
      <c r="L125" s="9">
        <v>47150</v>
      </c>
      <c r="M125" s="8" t="s">
        <v>151</v>
      </c>
      <c r="P125" s="16" t="s">
        <v>148</v>
      </c>
      <c r="Q125" s="2" t="s">
        <v>38</v>
      </c>
      <c r="S125" s="8" t="s">
        <v>184</v>
      </c>
      <c r="T125" s="9">
        <v>47088</v>
      </c>
      <c r="U125" s="8">
        <v>0</v>
      </c>
      <c r="V125" s="20">
        <v>56</v>
      </c>
      <c r="W125" s="21" t="s">
        <v>16</v>
      </c>
    </row>
    <row r="126" spans="1:23" ht="90">
      <c r="A126" s="8" t="s">
        <v>2327</v>
      </c>
      <c r="B126" s="8" t="s">
        <v>152</v>
      </c>
      <c r="C126" s="8" t="s">
        <v>2197</v>
      </c>
      <c r="D126" s="8" t="s">
        <v>18</v>
      </c>
      <c r="E126" s="8" t="s">
        <v>2217</v>
      </c>
      <c r="F126" s="8" t="s">
        <v>2217</v>
      </c>
      <c r="G126" s="8" t="s">
        <v>2217</v>
      </c>
      <c r="H126" s="8">
        <v>4</v>
      </c>
      <c r="I126" s="8">
        <v>4</v>
      </c>
      <c r="J126" s="8" t="s">
        <v>153</v>
      </c>
      <c r="K126" s="9">
        <v>45351</v>
      </c>
      <c r="L126" s="9">
        <v>47150</v>
      </c>
      <c r="M126" s="8" t="s">
        <v>38</v>
      </c>
      <c r="P126" s="16" t="s">
        <v>149</v>
      </c>
      <c r="Q126" s="2" t="s">
        <v>151</v>
      </c>
      <c r="S126" s="8" t="s">
        <v>184</v>
      </c>
      <c r="T126" s="9">
        <v>47058</v>
      </c>
      <c r="U126" s="8">
        <v>0</v>
      </c>
      <c r="V126" s="20">
        <v>284</v>
      </c>
      <c r="W126" s="21" t="s">
        <v>16</v>
      </c>
    </row>
    <row r="127" spans="1:23" ht="60">
      <c r="A127" s="8" t="s">
        <v>2328</v>
      </c>
      <c r="B127" s="8" t="s">
        <v>154</v>
      </c>
      <c r="C127" s="8" t="s">
        <v>2197</v>
      </c>
      <c r="D127" s="8" t="s">
        <v>18</v>
      </c>
      <c r="E127" s="8" t="s">
        <v>16</v>
      </c>
      <c r="F127" s="8" t="s">
        <v>2204</v>
      </c>
      <c r="G127" s="8" t="s">
        <v>2217</v>
      </c>
      <c r="H127" s="8">
        <v>22</v>
      </c>
      <c r="I127" s="8">
        <v>22</v>
      </c>
      <c r="J127" s="8" t="s">
        <v>155</v>
      </c>
      <c r="K127" s="9">
        <v>45369</v>
      </c>
      <c r="L127" s="9">
        <v>46113</v>
      </c>
      <c r="M127" s="8" t="s">
        <v>16</v>
      </c>
      <c r="P127" s="17" t="s">
        <v>152</v>
      </c>
      <c r="Q127" s="2" t="s">
        <v>38</v>
      </c>
      <c r="S127" s="8" t="s">
        <v>185</v>
      </c>
      <c r="T127" s="9">
        <v>46174</v>
      </c>
      <c r="U127" s="8">
        <v>0</v>
      </c>
      <c r="V127" s="20">
        <v>1387</v>
      </c>
      <c r="W127" s="21" t="s">
        <v>16</v>
      </c>
    </row>
    <row r="128" spans="1:23" ht="60">
      <c r="A128" s="8" t="s">
        <v>2329</v>
      </c>
      <c r="B128" s="8" t="s">
        <v>154</v>
      </c>
      <c r="C128" s="8" t="s">
        <v>2197</v>
      </c>
      <c r="D128" s="8" t="s">
        <v>18</v>
      </c>
      <c r="E128" s="8" t="s">
        <v>16</v>
      </c>
      <c r="F128" s="8" t="s">
        <v>2204</v>
      </c>
      <c r="G128" s="8" t="s">
        <v>2330</v>
      </c>
      <c r="H128" s="8">
        <v>2019</v>
      </c>
      <c r="I128" s="8">
        <v>2019</v>
      </c>
      <c r="J128" s="8" t="s">
        <v>155</v>
      </c>
      <c r="K128" s="9">
        <v>45307</v>
      </c>
      <c r="L128" s="9">
        <v>46113</v>
      </c>
      <c r="M128" s="8" t="s">
        <v>16</v>
      </c>
      <c r="P128" s="16" t="s">
        <v>154</v>
      </c>
      <c r="Q128" s="2" t="s">
        <v>16</v>
      </c>
      <c r="S128" s="8" t="s">
        <v>187</v>
      </c>
      <c r="T128" s="9">
        <v>46539</v>
      </c>
      <c r="U128" s="8">
        <v>0</v>
      </c>
      <c r="V128" s="20">
        <v>10394</v>
      </c>
      <c r="W128" s="21" t="s">
        <v>16</v>
      </c>
    </row>
    <row r="129" spans="1:23" ht="60">
      <c r="A129" s="8" t="s">
        <v>2329</v>
      </c>
      <c r="B129" s="8" t="s">
        <v>154</v>
      </c>
      <c r="C129" s="8" t="s">
        <v>2197</v>
      </c>
      <c r="D129" s="8" t="s">
        <v>15</v>
      </c>
      <c r="E129" s="8" t="s">
        <v>16</v>
      </c>
      <c r="F129" s="8" t="s">
        <v>2204</v>
      </c>
      <c r="G129" s="8" t="s">
        <v>2330</v>
      </c>
      <c r="H129" s="8">
        <v>18400</v>
      </c>
      <c r="I129" s="8">
        <v>3400</v>
      </c>
      <c r="J129" s="8" t="s">
        <v>155</v>
      </c>
      <c r="K129" s="9">
        <v>45307</v>
      </c>
      <c r="L129" s="9">
        <v>46113</v>
      </c>
      <c r="M129" s="8" t="s">
        <v>16</v>
      </c>
      <c r="P129" s="16" t="s">
        <v>154</v>
      </c>
      <c r="Q129" s="2" t="s">
        <v>16</v>
      </c>
      <c r="S129" s="8" t="s">
        <v>189</v>
      </c>
      <c r="T129" s="9">
        <v>45748</v>
      </c>
      <c r="U129" s="8">
        <v>0</v>
      </c>
      <c r="V129" s="20">
        <v>10</v>
      </c>
      <c r="W129" s="21" t="s">
        <v>16</v>
      </c>
    </row>
    <row r="130" spans="1:23" ht="60">
      <c r="A130" s="8" t="s">
        <v>2329</v>
      </c>
      <c r="B130" s="8" t="s">
        <v>154</v>
      </c>
      <c r="C130" s="8" t="s">
        <v>2197</v>
      </c>
      <c r="D130" s="8" t="s">
        <v>15</v>
      </c>
      <c r="E130" s="8" t="s">
        <v>16</v>
      </c>
      <c r="F130" s="8" t="s">
        <v>2204</v>
      </c>
      <c r="G130" s="8" t="s">
        <v>2330</v>
      </c>
      <c r="H130" s="8">
        <v>18400</v>
      </c>
      <c r="I130" s="8">
        <v>5000</v>
      </c>
      <c r="J130" s="8" t="s">
        <v>156</v>
      </c>
      <c r="K130" s="9">
        <v>45384</v>
      </c>
      <c r="L130" s="9">
        <v>46113</v>
      </c>
      <c r="M130" s="8" t="s">
        <v>16</v>
      </c>
      <c r="P130" s="16" t="s">
        <v>154</v>
      </c>
      <c r="Q130" s="2" t="s">
        <v>16</v>
      </c>
      <c r="S130" s="8" t="s">
        <v>189</v>
      </c>
      <c r="T130" s="9">
        <v>45931</v>
      </c>
      <c r="U130" s="8">
        <v>0</v>
      </c>
      <c r="V130" s="20">
        <v>660</v>
      </c>
      <c r="W130" s="21" t="s">
        <v>16</v>
      </c>
    </row>
    <row r="131" spans="1:23" ht="60">
      <c r="A131" s="8" t="s">
        <v>2329</v>
      </c>
      <c r="B131" s="8" t="s">
        <v>154</v>
      </c>
      <c r="C131" s="8" t="s">
        <v>2197</v>
      </c>
      <c r="D131" s="8" t="s">
        <v>15</v>
      </c>
      <c r="E131" s="8" t="s">
        <v>16</v>
      </c>
      <c r="F131" s="8" t="s">
        <v>2204</v>
      </c>
      <c r="G131" s="8" t="s">
        <v>2330</v>
      </c>
      <c r="H131" s="8">
        <v>18400</v>
      </c>
      <c r="I131" s="8">
        <v>10000</v>
      </c>
      <c r="J131" s="8" t="s">
        <v>157</v>
      </c>
      <c r="K131" s="9">
        <v>45411</v>
      </c>
      <c r="L131" s="9">
        <v>46266</v>
      </c>
      <c r="M131" s="8" t="s">
        <v>16</v>
      </c>
      <c r="P131" s="16" t="s">
        <v>154</v>
      </c>
      <c r="Q131" s="2" t="s">
        <v>16</v>
      </c>
      <c r="S131" s="8" t="s">
        <v>190</v>
      </c>
      <c r="T131" s="9">
        <v>45931</v>
      </c>
      <c r="U131" s="8">
        <v>0</v>
      </c>
      <c r="V131" s="20">
        <v>340</v>
      </c>
      <c r="W131" s="21" t="s">
        <v>16</v>
      </c>
    </row>
    <row r="132" spans="1:23" ht="60">
      <c r="A132" s="8" t="s">
        <v>2331</v>
      </c>
      <c r="B132" s="8" t="s">
        <v>158</v>
      </c>
      <c r="C132" s="8" t="s">
        <v>2197</v>
      </c>
      <c r="D132" s="8" t="s">
        <v>18</v>
      </c>
      <c r="E132" s="8" t="s">
        <v>16</v>
      </c>
      <c r="F132" s="8" t="s">
        <v>2204</v>
      </c>
      <c r="G132" s="8" t="s">
        <v>2330</v>
      </c>
      <c r="H132" s="8">
        <v>25397</v>
      </c>
      <c r="I132" s="8">
        <v>137</v>
      </c>
      <c r="J132" s="8" t="s">
        <v>159</v>
      </c>
      <c r="K132" s="9">
        <v>45307</v>
      </c>
      <c r="L132" s="9">
        <v>46174</v>
      </c>
      <c r="M132" s="8" t="s">
        <v>16</v>
      </c>
      <c r="P132" s="16" t="s">
        <v>154</v>
      </c>
      <c r="Q132" s="2" t="s">
        <v>16</v>
      </c>
      <c r="S132" s="8" t="s">
        <v>191</v>
      </c>
      <c r="T132" s="9">
        <v>45413</v>
      </c>
      <c r="U132" s="8">
        <v>0</v>
      </c>
      <c r="V132" s="20">
        <v>1115</v>
      </c>
      <c r="W132" s="21" t="s">
        <v>16</v>
      </c>
    </row>
    <row r="133" spans="1:23" ht="60">
      <c r="A133" s="8" t="s">
        <v>2331</v>
      </c>
      <c r="B133" s="8" t="s">
        <v>158</v>
      </c>
      <c r="C133" s="8" t="s">
        <v>2197</v>
      </c>
      <c r="D133" s="8" t="s">
        <v>18</v>
      </c>
      <c r="E133" s="8" t="s">
        <v>16</v>
      </c>
      <c r="F133" s="8" t="s">
        <v>2204</v>
      </c>
      <c r="G133" s="8" t="s">
        <v>2330</v>
      </c>
      <c r="H133" s="8">
        <v>25397</v>
      </c>
      <c r="I133" s="8">
        <v>1260</v>
      </c>
      <c r="J133" s="8" t="s">
        <v>160</v>
      </c>
      <c r="K133" s="9">
        <v>45307</v>
      </c>
      <c r="L133" s="9">
        <v>46174</v>
      </c>
      <c r="M133" s="8" t="s">
        <v>16</v>
      </c>
      <c r="P133" s="16" t="s">
        <v>158</v>
      </c>
      <c r="Q133" s="2" t="s">
        <v>16</v>
      </c>
      <c r="S133" s="8" t="s">
        <v>193</v>
      </c>
      <c r="T133" s="9">
        <v>46054</v>
      </c>
      <c r="U133" s="8">
        <v>0</v>
      </c>
      <c r="V133" s="20">
        <v>90</v>
      </c>
      <c r="W133" s="21" t="s">
        <v>16</v>
      </c>
    </row>
    <row r="134" spans="1:23" ht="90">
      <c r="A134" s="8" t="s">
        <v>2331</v>
      </c>
      <c r="B134" s="8" t="s">
        <v>158</v>
      </c>
      <c r="C134" s="8" t="s">
        <v>2197</v>
      </c>
      <c r="D134" s="8" t="s">
        <v>18</v>
      </c>
      <c r="E134" s="8" t="s">
        <v>16</v>
      </c>
      <c r="F134" s="8" t="s">
        <v>2204</v>
      </c>
      <c r="G134" s="8" t="s">
        <v>2330</v>
      </c>
      <c r="H134" s="8">
        <v>25397</v>
      </c>
      <c r="I134" s="8">
        <v>12000</v>
      </c>
      <c r="J134" s="8" t="s">
        <v>161</v>
      </c>
      <c r="K134" s="9">
        <v>45384</v>
      </c>
      <c r="L134" s="9">
        <v>46266</v>
      </c>
      <c r="M134" s="8" t="s">
        <v>16</v>
      </c>
      <c r="P134" s="16" t="s">
        <v>158</v>
      </c>
      <c r="Q134" s="2" t="s">
        <v>16</v>
      </c>
      <c r="S134" s="8" t="s">
        <v>195</v>
      </c>
      <c r="T134" s="9">
        <v>46235</v>
      </c>
      <c r="U134" s="8">
        <v>0</v>
      </c>
      <c r="V134" s="20">
        <v>30</v>
      </c>
      <c r="W134" s="21" t="s">
        <v>16</v>
      </c>
    </row>
    <row r="135" spans="1:23" ht="90">
      <c r="A135" s="8" t="s">
        <v>2331</v>
      </c>
      <c r="B135" s="8" t="s">
        <v>158</v>
      </c>
      <c r="C135" s="8" t="s">
        <v>2197</v>
      </c>
      <c r="D135" s="8" t="s">
        <v>18</v>
      </c>
      <c r="E135" s="8" t="s">
        <v>16</v>
      </c>
      <c r="F135" s="8" t="s">
        <v>2204</v>
      </c>
      <c r="G135" s="8" t="s">
        <v>2330</v>
      </c>
      <c r="H135" s="8">
        <v>25397</v>
      </c>
      <c r="I135" s="8">
        <v>12000</v>
      </c>
      <c r="J135" s="8" t="s">
        <v>162</v>
      </c>
      <c r="K135" s="9">
        <v>45384</v>
      </c>
      <c r="L135" s="9">
        <v>46266</v>
      </c>
      <c r="M135" s="8" t="s">
        <v>16</v>
      </c>
      <c r="P135" s="16" t="s">
        <v>158</v>
      </c>
      <c r="Q135" s="2" t="s">
        <v>16</v>
      </c>
      <c r="S135" s="8" t="s">
        <v>195</v>
      </c>
      <c r="T135" s="9">
        <v>46357</v>
      </c>
      <c r="U135" s="8">
        <v>0</v>
      </c>
      <c r="V135" s="20">
        <v>1258</v>
      </c>
      <c r="W135" s="21" t="s">
        <v>16</v>
      </c>
    </row>
    <row r="136" spans="1:23" ht="60">
      <c r="A136" s="8" t="s">
        <v>2332</v>
      </c>
      <c r="B136" s="8" t="s">
        <v>163</v>
      </c>
      <c r="C136" s="8" t="s">
        <v>2197</v>
      </c>
      <c r="D136" s="8" t="s">
        <v>18</v>
      </c>
      <c r="E136" s="8" t="s">
        <v>16</v>
      </c>
      <c r="F136" s="8" t="s">
        <v>2204</v>
      </c>
      <c r="G136" s="8" t="s">
        <v>2330</v>
      </c>
      <c r="H136" s="8">
        <v>10332</v>
      </c>
      <c r="I136" s="8">
        <v>82</v>
      </c>
      <c r="J136" s="8" t="s">
        <v>164</v>
      </c>
      <c r="K136" s="9">
        <v>45386</v>
      </c>
      <c r="L136" s="9">
        <v>46266</v>
      </c>
      <c r="M136" s="8" t="s">
        <v>16</v>
      </c>
      <c r="P136" s="16" t="s">
        <v>158</v>
      </c>
      <c r="Q136" s="2" t="s">
        <v>16</v>
      </c>
      <c r="S136" s="8" t="s">
        <v>196</v>
      </c>
      <c r="T136" s="9">
        <v>46143</v>
      </c>
      <c r="U136" s="8">
        <v>0</v>
      </c>
      <c r="V136" s="20">
        <v>118</v>
      </c>
      <c r="W136" s="21" t="s">
        <v>16</v>
      </c>
    </row>
    <row r="137" spans="1:23" ht="60">
      <c r="A137" s="8" t="s">
        <v>2332</v>
      </c>
      <c r="B137" s="8" t="s">
        <v>163</v>
      </c>
      <c r="C137" s="8" t="s">
        <v>2197</v>
      </c>
      <c r="D137" s="8" t="s">
        <v>18</v>
      </c>
      <c r="E137" s="8" t="s">
        <v>16</v>
      </c>
      <c r="F137" s="8" t="s">
        <v>2204</v>
      </c>
      <c r="G137" s="8" t="s">
        <v>2330</v>
      </c>
      <c r="H137" s="8">
        <v>10332</v>
      </c>
      <c r="I137" s="8">
        <v>1250</v>
      </c>
      <c r="J137" s="8" t="s">
        <v>165</v>
      </c>
      <c r="K137" s="9">
        <v>45386</v>
      </c>
      <c r="L137" s="9">
        <v>46266</v>
      </c>
      <c r="M137" s="8" t="s">
        <v>16</v>
      </c>
      <c r="P137" s="16" t="s">
        <v>163</v>
      </c>
      <c r="Q137" s="2" t="s">
        <v>16</v>
      </c>
      <c r="S137" s="8" t="s">
        <v>196</v>
      </c>
      <c r="T137" s="9">
        <v>46508</v>
      </c>
      <c r="U137" s="8">
        <v>0</v>
      </c>
      <c r="V137" s="20">
        <v>1250</v>
      </c>
      <c r="W137" s="21" t="s">
        <v>16</v>
      </c>
    </row>
    <row r="138" spans="1:23" ht="90">
      <c r="A138" s="8" t="s">
        <v>2332</v>
      </c>
      <c r="B138" s="8" t="s">
        <v>163</v>
      </c>
      <c r="C138" s="8" t="s">
        <v>2197</v>
      </c>
      <c r="D138" s="8" t="s">
        <v>18</v>
      </c>
      <c r="E138" s="8" t="s">
        <v>16</v>
      </c>
      <c r="F138" s="8" t="s">
        <v>2204</v>
      </c>
      <c r="G138" s="8" t="s">
        <v>2330</v>
      </c>
      <c r="H138" s="8">
        <v>10332</v>
      </c>
      <c r="I138" s="8">
        <v>9000</v>
      </c>
      <c r="J138" s="8" t="s">
        <v>166</v>
      </c>
      <c r="K138" s="9">
        <v>45386</v>
      </c>
      <c r="L138" s="9">
        <v>46266</v>
      </c>
      <c r="M138" s="8" t="s">
        <v>16</v>
      </c>
      <c r="P138" s="16" t="s">
        <v>163</v>
      </c>
      <c r="Q138" s="2" t="s">
        <v>16</v>
      </c>
      <c r="S138" s="8" t="s">
        <v>197</v>
      </c>
      <c r="T138" s="9">
        <v>45901</v>
      </c>
      <c r="U138" s="8">
        <v>0</v>
      </c>
      <c r="V138" s="20">
        <v>476</v>
      </c>
      <c r="W138" s="21" t="s">
        <v>16</v>
      </c>
    </row>
    <row r="139" spans="1:23" ht="90">
      <c r="A139" s="8" t="s">
        <v>2333</v>
      </c>
      <c r="B139" s="8" t="s">
        <v>167</v>
      </c>
      <c r="C139" s="8" t="s">
        <v>2197</v>
      </c>
      <c r="D139" s="8" t="s">
        <v>18</v>
      </c>
      <c r="E139" s="8" t="s">
        <v>16</v>
      </c>
      <c r="F139" s="8" t="s">
        <v>2204</v>
      </c>
      <c r="G139" s="8" t="s">
        <v>2334</v>
      </c>
      <c r="H139" s="8">
        <v>11749</v>
      </c>
      <c r="I139" s="8">
        <v>19</v>
      </c>
      <c r="J139" s="8" t="s">
        <v>168</v>
      </c>
      <c r="K139" s="9">
        <v>44496</v>
      </c>
      <c r="L139" s="9">
        <v>46113</v>
      </c>
      <c r="M139" s="8" t="s">
        <v>16</v>
      </c>
      <c r="P139" s="16" t="s">
        <v>163</v>
      </c>
      <c r="Q139" s="2" t="s">
        <v>16</v>
      </c>
      <c r="S139" s="8" t="s">
        <v>197</v>
      </c>
      <c r="T139" s="9">
        <v>46082</v>
      </c>
      <c r="U139" s="8">
        <v>0</v>
      </c>
      <c r="V139" s="20">
        <v>500</v>
      </c>
      <c r="W139" s="21" t="s">
        <v>16</v>
      </c>
    </row>
    <row r="140" spans="1:23" ht="60">
      <c r="A140" s="8" t="s">
        <v>2335</v>
      </c>
      <c r="B140" s="8" t="s">
        <v>167</v>
      </c>
      <c r="C140" s="8" t="s">
        <v>2197</v>
      </c>
      <c r="D140" s="8" t="s">
        <v>18</v>
      </c>
      <c r="E140" s="8" t="s">
        <v>16</v>
      </c>
      <c r="F140" s="8" t="s">
        <v>2204</v>
      </c>
      <c r="G140" s="8" t="s">
        <v>2217</v>
      </c>
      <c r="H140" s="8">
        <v>70</v>
      </c>
      <c r="I140" s="8">
        <v>70</v>
      </c>
      <c r="J140" s="8" t="s">
        <v>169</v>
      </c>
      <c r="K140" s="9">
        <v>44893</v>
      </c>
      <c r="L140" s="9">
        <v>46296</v>
      </c>
      <c r="M140" s="8" t="s">
        <v>16</v>
      </c>
      <c r="P140" s="16" t="s">
        <v>167</v>
      </c>
      <c r="Q140" s="2" t="s">
        <v>16</v>
      </c>
      <c r="S140" s="8" t="s">
        <v>198</v>
      </c>
      <c r="T140" s="9">
        <v>45717</v>
      </c>
      <c r="U140" s="8">
        <v>0</v>
      </c>
      <c r="V140" s="20">
        <v>354</v>
      </c>
      <c r="W140" s="21" t="s">
        <v>16</v>
      </c>
    </row>
    <row r="141" spans="1:23" ht="60">
      <c r="A141" s="8" t="s">
        <v>2333</v>
      </c>
      <c r="B141" s="8" t="s">
        <v>167</v>
      </c>
      <c r="C141" s="8" t="s">
        <v>2197</v>
      </c>
      <c r="D141" s="8" t="s">
        <v>18</v>
      </c>
      <c r="E141" s="8" t="s">
        <v>16</v>
      </c>
      <c r="F141" s="8" t="s">
        <v>2204</v>
      </c>
      <c r="G141" s="8" t="s">
        <v>2334</v>
      </c>
      <c r="H141" s="8">
        <v>11749</v>
      </c>
      <c r="I141" s="8">
        <v>1100</v>
      </c>
      <c r="J141" s="8" t="s">
        <v>170</v>
      </c>
      <c r="K141" s="9">
        <v>45402</v>
      </c>
      <c r="L141" s="9">
        <v>46753</v>
      </c>
      <c r="M141" s="8" t="s">
        <v>16</v>
      </c>
      <c r="P141" s="16" t="s">
        <v>167</v>
      </c>
      <c r="Q141" s="2" t="s">
        <v>16</v>
      </c>
      <c r="S141" s="8" t="s">
        <v>201</v>
      </c>
      <c r="T141" s="9">
        <v>46447</v>
      </c>
      <c r="U141" s="8">
        <v>0</v>
      </c>
      <c r="V141" s="20">
        <v>1</v>
      </c>
      <c r="W141" s="21" t="s">
        <v>16</v>
      </c>
    </row>
    <row r="142" spans="1:23" ht="60">
      <c r="A142" s="8" t="s">
        <v>2333</v>
      </c>
      <c r="B142" s="8" t="s">
        <v>167</v>
      </c>
      <c r="C142" s="8" t="s">
        <v>2197</v>
      </c>
      <c r="D142" s="8" t="s">
        <v>18</v>
      </c>
      <c r="E142" s="8" t="s">
        <v>16</v>
      </c>
      <c r="F142" s="8" t="s">
        <v>2204</v>
      </c>
      <c r="G142" s="8" t="s">
        <v>2334</v>
      </c>
      <c r="H142" s="8">
        <v>11749</v>
      </c>
      <c r="I142" s="8">
        <v>1900</v>
      </c>
      <c r="J142" s="8" t="s">
        <v>171</v>
      </c>
      <c r="K142" s="9">
        <v>45402</v>
      </c>
      <c r="L142" s="9">
        <v>47027</v>
      </c>
      <c r="M142" s="8" t="s">
        <v>16</v>
      </c>
      <c r="P142" s="16" t="s">
        <v>167</v>
      </c>
      <c r="Q142" s="2" t="s">
        <v>16</v>
      </c>
      <c r="S142" s="8" t="s">
        <v>201</v>
      </c>
      <c r="T142" s="9">
        <v>46478</v>
      </c>
      <c r="U142" s="8">
        <v>0</v>
      </c>
      <c r="V142" s="20">
        <v>1255</v>
      </c>
      <c r="W142" s="21" t="s">
        <v>16</v>
      </c>
    </row>
    <row r="143" spans="1:23" ht="60">
      <c r="A143" s="8" t="s">
        <v>2333</v>
      </c>
      <c r="B143" s="8" t="s">
        <v>167</v>
      </c>
      <c r="C143" s="8" t="s">
        <v>2197</v>
      </c>
      <c r="D143" s="8" t="s">
        <v>18</v>
      </c>
      <c r="E143" s="8" t="s">
        <v>16</v>
      </c>
      <c r="F143" s="8" t="s">
        <v>2204</v>
      </c>
      <c r="G143" s="8" t="s">
        <v>2334</v>
      </c>
      <c r="H143" s="8">
        <v>11749</v>
      </c>
      <c r="I143" s="8">
        <v>2730</v>
      </c>
      <c r="J143" s="8" t="s">
        <v>169</v>
      </c>
      <c r="K143" s="9">
        <v>44869</v>
      </c>
      <c r="L143" s="9">
        <v>46296</v>
      </c>
      <c r="M143" s="8" t="s">
        <v>16</v>
      </c>
      <c r="P143" s="16" t="s">
        <v>167</v>
      </c>
      <c r="Q143" s="2" t="s">
        <v>16</v>
      </c>
      <c r="S143" s="8" t="s">
        <v>204</v>
      </c>
      <c r="T143" s="9">
        <v>46266</v>
      </c>
      <c r="U143" s="8">
        <v>0</v>
      </c>
      <c r="V143" s="20">
        <v>886</v>
      </c>
      <c r="W143" s="21" t="s">
        <v>16</v>
      </c>
    </row>
    <row r="144" spans="1:23" ht="60">
      <c r="A144" s="8" t="s">
        <v>2333</v>
      </c>
      <c r="B144" s="8" t="s">
        <v>167</v>
      </c>
      <c r="C144" s="8" t="s">
        <v>2197</v>
      </c>
      <c r="D144" s="8" t="s">
        <v>18</v>
      </c>
      <c r="E144" s="8" t="s">
        <v>16</v>
      </c>
      <c r="F144" s="8" t="s">
        <v>2204</v>
      </c>
      <c r="G144" s="8" t="s">
        <v>2334</v>
      </c>
      <c r="H144" s="8">
        <v>11749</v>
      </c>
      <c r="I144" s="8">
        <v>6000</v>
      </c>
      <c r="J144" s="8" t="s">
        <v>172</v>
      </c>
      <c r="K144" s="9">
        <v>44719</v>
      </c>
      <c r="L144" s="9">
        <v>46235</v>
      </c>
      <c r="M144" s="8" t="s">
        <v>16</v>
      </c>
      <c r="P144" s="16" t="s">
        <v>167</v>
      </c>
      <c r="Q144" s="2" t="s">
        <v>16</v>
      </c>
      <c r="S144" s="8" t="s">
        <v>206</v>
      </c>
      <c r="T144" s="9">
        <v>45870</v>
      </c>
      <c r="U144" s="8">
        <v>0</v>
      </c>
      <c r="V144" s="20">
        <v>1170</v>
      </c>
      <c r="W144" s="21" t="s">
        <v>16</v>
      </c>
    </row>
    <row r="145" spans="1:23" ht="48.75">
      <c r="A145" s="8" t="s">
        <v>2336</v>
      </c>
      <c r="B145" s="8" t="s">
        <v>173</v>
      </c>
      <c r="C145" s="8" t="s">
        <v>2197</v>
      </c>
      <c r="D145" s="8" t="s">
        <v>18</v>
      </c>
      <c r="E145" s="8" t="s">
        <v>16</v>
      </c>
      <c r="F145" s="8" t="s">
        <v>2204</v>
      </c>
      <c r="G145" s="8" t="s">
        <v>2334</v>
      </c>
      <c r="H145" s="8">
        <v>1643</v>
      </c>
      <c r="I145" s="8">
        <v>3</v>
      </c>
      <c r="J145" s="8" t="s">
        <v>174</v>
      </c>
      <c r="K145" s="9">
        <v>45462</v>
      </c>
      <c r="L145" s="9">
        <v>46447</v>
      </c>
      <c r="M145" s="8" t="s">
        <v>16</v>
      </c>
      <c r="P145" s="16" t="s">
        <v>167</v>
      </c>
      <c r="Q145" s="2" t="s">
        <v>16</v>
      </c>
      <c r="S145" s="8" t="s">
        <v>210</v>
      </c>
      <c r="T145" s="9">
        <v>45870</v>
      </c>
      <c r="U145" s="8">
        <v>0</v>
      </c>
      <c r="V145" s="20">
        <v>6958</v>
      </c>
      <c r="W145" s="21" t="s">
        <v>16</v>
      </c>
    </row>
    <row r="146" spans="1:23" ht="60">
      <c r="A146" s="8" t="s">
        <v>2336</v>
      </c>
      <c r="B146" s="8" t="s">
        <v>173</v>
      </c>
      <c r="C146" s="8" t="s">
        <v>2197</v>
      </c>
      <c r="D146" s="8" t="s">
        <v>18</v>
      </c>
      <c r="E146" s="8" t="s">
        <v>16</v>
      </c>
      <c r="F146" s="8" t="s">
        <v>2204</v>
      </c>
      <c r="G146" s="8" t="s">
        <v>2334</v>
      </c>
      <c r="H146" s="8">
        <v>1643</v>
      </c>
      <c r="I146" s="8">
        <v>1640</v>
      </c>
      <c r="J146" s="8" t="s">
        <v>175</v>
      </c>
      <c r="K146" s="9">
        <v>45327</v>
      </c>
      <c r="L146" s="9">
        <v>47027</v>
      </c>
      <c r="M146" s="8" t="s">
        <v>16</v>
      </c>
      <c r="P146" s="16" t="s">
        <v>173</v>
      </c>
      <c r="Q146" s="2" t="s">
        <v>16</v>
      </c>
      <c r="S146" s="8" t="s">
        <v>214</v>
      </c>
      <c r="T146" s="9">
        <v>46784</v>
      </c>
      <c r="U146" s="8">
        <v>0</v>
      </c>
      <c r="V146" s="20">
        <v>7576</v>
      </c>
      <c r="W146" s="21" t="s">
        <v>16</v>
      </c>
    </row>
    <row r="147" spans="1:23" ht="60">
      <c r="A147" s="8" t="s">
        <v>2337</v>
      </c>
      <c r="B147" s="8" t="s">
        <v>176</v>
      </c>
      <c r="C147" s="8" t="s">
        <v>2197</v>
      </c>
      <c r="D147" s="8" t="s">
        <v>18</v>
      </c>
      <c r="E147" s="8" t="s">
        <v>2217</v>
      </c>
      <c r="F147" s="8" t="s">
        <v>2217</v>
      </c>
      <c r="G147" s="8" t="s">
        <v>2217</v>
      </c>
      <c r="H147" s="8">
        <v>800</v>
      </c>
      <c r="I147" s="8">
        <v>800</v>
      </c>
      <c r="J147" s="8" t="s">
        <v>177</v>
      </c>
      <c r="K147" s="9">
        <v>45327</v>
      </c>
      <c r="L147" s="9">
        <v>45901</v>
      </c>
      <c r="M147" s="8" t="s">
        <v>16</v>
      </c>
      <c r="P147" s="16" t="s">
        <v>173</v>
      </c>
      <c r="Q147" s="2" t="s">
        <v>16</v>
      </c>
      <c r="S147" s="8" t="s">
        <v>215</v>
      </c>
      <c r="T147" s="9">
        <v>45748</v>
      </c>
      <c r="U147" s="8">
        <v>0</v>
      </c>
      <c r="V147" s="20">
        <v>90</v>
      </c>
      <c r="W147" s="21" t="s">
        <v>16</v>
      </c>
    </row>
    <row r="148" spans="1:23" ht="45">
      <c r="A148" s="8" t="s">
        <v>2338</v>
      </c>
      <c r="B148" s="8" t="s">
        <v>178</v>
      </c>
      <c r="C148" s="8" t="s">
        <v>2197</v>
      </c>
      <c r="D148" s="8" t="s">
        <v>18</v>
      </c>
      <c r="E148" s="8" t="s">
        <v>16</v>
      </c>
      <c r="F148" s="8" t="s">
        <v>2204</v>
      </c>
      <c r="G148" s="8" t="s">
        <v>2339</v>
      </c>
      <c r="H148" s="8">
        <v>2036</v>
      </c>
      <c r="I148" s="8">
        <v>36</v>
      </c>
      <c r="J148" s="8" t="s">
        <v>179</v>
      </c>
      <c r="K148" s="9">
        <v>44496</v>
      </c>
      <c r="L148" s="9">
        <v>45536</v>
      </c>
      <c r="M148" s="8" t="s">
        <v>16</v>
      </c>
      <c r="P148" s="17" t="s">
        <v>176</v>
      </c>
      <c r="Q148" s="2" t="s">
        <v>16</v>
      </c>
      <c r="S148" s="8" t="s">
        <v>216</v>
      </c>
      <c r="T148" s="9" t="s">
        <v>2222</v>
      </c>
      <c r="U148" s="8">
        <v>0</v>
      </c>
      <c r="V148" s="20">
        <v>9</v>
      </c>
      <c r="W148" s="21" t="s">
        <v>16</v>
      </c>
    </row>
    <row r="149" spans="1:23" ht="60">
      <c r="A149" s="8" t="s">
        <v>2338</v>
      </c>
      <c r="B149" s="8" t="s">
        <v>178</v>
      </c>
      <c r="C149" s="8" t="s">
        <v>2197</v>
      </c>
      <c r="D149" s="8" t="s">
        <v>18</v>
      </c>
      <c r="E149" s="8" t="s">
        <v>16</v>
      </c>
      <c r="F149" s="8" t="s">
        <v>2204</v>
      </c>
      <c r="G149" s="8" t="s">
        <v>2339</v>
      </c>
      <c r="H149" s="8">
        <v>2036</v>
      </c>
      <c r="I149" s="8">
        <v>960</v>
      </c>
      <c r="J149" s="8" t="s">
        <v>180</v>
      </c>
      <c r="K149" s="9">
        <v>44869</v>
      </c>
      <c r="L149" s="9">
        <v>45809</v>
      </c>
      <c r="M149" s="8" t="s">
        <v>16</v>
      </c>
      <c r="P149" s="16" t="s">
        <v>178</v>
      </c>
      <c r="Q149" s="2" t="s">
        <v>16</v>
      </c>
      <c r="S149" s="8" t="s">
        <v>217</v>
      </c>
      <c r="T149" s="9">
        <v>47150</v>
      </c>
      <c r="U149" s="8">
        <v>0</v>
      </c>
      <c r="V149" s="20">
        <v>9200</v>
      </c>
      <c r="W149" s="21" t="s">
        <v>16</v>
      </c>
    </row>
    <row r="150" spans="1:23" ht="60">
      <c r="A150" s="8" t="s">
        <v>2338</v>
      </c>
      <c r="B150" s="8" t="s">
        <v>178</v>
      </c>
      <c r="C150" s="8" t="s">
        <v>2197</v>
      </c>
      <c r="D150" s="8" t="s">
        <v>18</v>
      </c>
      <c r="E150" s="8" t="s">
        <v>16</v>
      </c>
      <c r="F150" s="8" t="s">
        <v>2204</v>
      </c>
      <c r="G150" s="8" t="s">
        <v>2339</v>
      </c>
      <c r="H150" s="8">
        <v>2036</v>
      </c>
      <c r="I150" s="8">
        <v>1040</v>
      </c>
      <c r="J150" s="8" t="s">
        <v>181</v>
      </c>
      <c r="K150" s="9">
        <v>44869</v>
      </c>
      <c r="L150" s="9">
        <v>45931</v>
      </c>
      <c r="M150" s="8" t="s">
        <v>16</v>
      </c>
      <c r="P150" s="16" t="s">
        <v>178</v>
      </c>
      <c r="Q150" s="2" t="s">
        <v>16</v>
      </c>
      <c r="S150" s="8" t="s">
        <v>217</v>
      </c>
      <c r="T150" s="9">
        <v>46813</v>
      </c>
      <c r="U150" s="8">
        <v>0</v>
      </c>
      <c r="V150" s="20">
        <v>36975</v>
      </c>
      <c r="W150" s="21" t="s">
        <v>16</v>
      </c>
    </row>
    <row r="151" spans="1:23" ht="45">
      <c r="A151" s="8" t="s">
        <v>2340</v>
      </c>
      <c r="B151" s="8" t="s">
        <v>182</v>
      </c>
      <c r="C151" s="8" t="s">
        <v>2303</v>
      </c>
      <c r="D151" s="8" t="s">
        <v>18</v>
      </c>
      <c r="E151" s="8" t="s">
        <v>16</v>
      </c>
      <c r="F151" s="8" t="s">
        <v>2228</v>
      </c>
      <c r="G151" s="8" t="s">
        <v>2341</v>
      </c>
      <c r="H151" s="8">
        <v>12</v>
      </c>
      <c r="I151" s="8">
        <v>12</v>
      </c>
      <c r="J151" s="8">
        <v>24051320003</v>
      </c>
      <c r="K151" s="9">
        <v>45430</v>
      </c>
      <c r="L151" s="9">
        <v>47239</v>
      </c>
      <c r="M151" s="8" t="s">
        <v>16</v>
      </c>
      <c r="P151" s="16" t="s">
        <v>178</v>
      </c>
      <c r="Q151" s="2" t="s">
        <v>16</v>
      </c>
      <c r="S151" s="8" t="s">
        <v>220</v>
      </c>
      <c r="T151" s="9">
        <v>45931</v>
      </c>
      <c r="U151" s="8">
        <v>0</v>
      </c>
      <c r="V151" s="20">
        <v>11</v>
      </c>
      <c r="W151" s="21" t="s">
        <v>38</v>
      </c>
    </row>
    <row r="152" spans="1:23" ht="60">
      <c r="A152" s="8" t="s">
        <v>2342</v>
      </c>
      <c r="B152" s="8" t="s">
        <v>183</v>
      </c>
      <c r="C152" s="8" t="s">
        <v>2197</v>
      </c>
      <c r="D152" s="8" t="s">
        <v>18</v>
      </c>
      <c r="E152" s="8" t="s">
        <v>16</v>
      </c>
      <c r="F152" s="8" t="s">
        <v>2228</v>
      </c>
      <c r="G152" s="8" t="s">
        <v>2341</v>
      </c>
      <c r="H152" s="8">
        <v>431</v>
      </c>
      <c r="I152" s="8">
        <v>11</v>
      </c>
      <c r="J152" s="8">
        <v>2308291008</v>
      </c>
      <c r="K152" s="9">
        <v>45174</v>
      </c>
      <c r="L152" s="9">
        <v>46966</v>
      </c>
      <c r="M152" s="8" t="s">
        <v>16</v>
      </c>
      <c r="P152" s="16" t="s">
        <v>182</v>
      </c>
      <c r="Q152" s="2" t="s">
        <v>16</v>
      </c>
      <c r="S152" s="8" t="s">
        <v>222</v>
      </c>
      <c r="T152" s="9" t="s">
        <v>2222</v>
      </c>
      <c r="U152" s="8">
        <v>0</v>
      </c>
      <c r="V152" s="20">
        <v>2</v>
      </c>
      <c r="W152" s="21" t="s">
        <v>38</v>
      </c>
    </row>
    <row r="153" spans="1:23" ht="60">
      <c r="A153" s="8" t="s">
        <v>2342</v>
      </c>
      <c r="B153" s="8" t="s">
        <v>183</v>
      </c>
      <c r="C153" s="8" t="s">
        <v>2197</v>
      </c>
      <c r="D153" s="8" t="s">
        <v>18</v>
      </c>
      <c r="E153" s="8" t="s">
        <v>16</v>
      </c>
      <c r="F153" s="8" t="s">
        <v>2228</v>
      </c>
      <c r="G153" s="8" t="s">
        <v>2341</v>
      </c>
      <c r="H153" s="8">
        <v>431</v>
      </c>
      <c r="I153" s="8">
        <v>420</v>
      </c>
      <c r="J153" s="8">
        <v>2403021002</v>
      </c>
      <c r="K153" s="9">
        <v>45363</v>
      </c>
      <c r="L153" s="9">
        <v>47178</v>
      </c>
      <c r="M153" s="8" t="s">
        <v>16</v>
      </c>
      <c r="P153" s="16" t="s">
        <v>183</v>
      </c>
      <c r="Q153" s="2" t="s">
        <v>16</v>
      </c>
      <c r="S153" s="8" t="s">
        <v>223</v>
      </c>
      <c r="T153" s="9">
        <v>45839</v>
      </c>
      <c r="U153" s="8">
        <v>0</v>
      </c>
      <c r="V153" s="20">
        <v>1491</v>
      </c>
      <c r="W153" s="21" t="s">
        <v>16</v>
      </c>
    </row>
    <row r="154" spans="1:23" ht="60">
      <c r="A154" s="8" t="s">
        <v>2343</v>
      </c>
      <c r="B154" s="8" t="s">
        <v>184</v>
      </c>
      <c r="C154" s="8" t="s">
        <v>2307</v>
      </c>
      <c r="D154" s="8" t="s">
        <v>18</v>
      </c>
      <c r="E154" s="8" t="s">
        <v>16</v>
      </c>
      <c r="F154" s="8" t="s">
        <v>2228</v>
      </c>
      <c r="G154" s="8" t="s">
        <v>2341</v>
      </c>
      <c r="H154" s="8">
        <v>340</v>
      </c>
      <c r="I154" s="8">
        <v>56</v>
      </c>
      <c r="J154" s="8">
        <v>2312125010</v>
      </c>
      <c r="K154" s="9">
        <v>45276</v>
      </c>
      <c r="L154" s="9">
        <v>47088</v>
      </c>
      <c r="M154" s="8" t="s">
        <v>16</v>
      </c>
      <c r="P154" s="16" t="s">
        <v>183</v>
      </c>
      <c r="Q154" s="2" t="s">
        <v>16</v>
      </c>
      <c r="S154" s="8" t="s">
        <v>225</v>
      </c>
      <c r="T154" s="9">
        <v>45839</v>
      </c>
      <c r="U154" s="8">
        <v>0</v>
      </c>
      <c r="V154" s="20">
        <v>7</v>
      </c>
      <c r="W154" s="21" t="s">
        <v>38</v>
      </c>
    </row>
    <row r="155" spans="1:23" ht="60">
      <c r="A155" s="8" t="s">
        <v>2343</v>
      </c>
      <c r="B155" s="8" t="s">
        <v>184</v>
      </c>
      <c r="C155" s="8" t="s">
        <v>2307</v>
      </c>
      <c r="D155" s="8" t="s">
        <v>18</v>
      </c>
      <c r="E155" s="8" t="s">
        <v>16</v>
      </c>
      <c r="F155" s="8" t="s">
        <v>2228</v>
      </c>
      <c r="G155" s="8" t="s">
        <v>2341</v>
      </c>
      <c r="H155" s="8">
        <v>340</v>
      </c>
      <c r="I155" s="8">
        <v>284</v>
      </c>
      <c r="J155" s="8">
        <v>2311035009</v>
      </c>
      <c r="K155" s="9">
        <v>45261</v>
      </c>
      <c r="L155" s="9">
        <v>47058</v>
      </c>
      <c r="M155" s="8" t="s">
        <v>16</v>
      </c>
      <c r="P155" s="16" t="s">
        <v>184</v>
      </c>
      <c r="Q155" s="2" t="s">
        <v>16</v>
      </c>
      <c r="S155" s="8" t="s">
        <v>227</v>
      </c>
      <c r="T155" s="9">
        <v>45809</v>
      </c>
      <c r="U155" s="8">
        <v>0</v>
      </c>
      <c r="V155" s="20">
        <v>298</v>
      </c>
      <c r="W155" s="21" t="s">
        <v>16</v>
      </c>
    </row>
    <row r="156" spans="1:23" ht="60">
      <c r="A156" s="8" t="s">
        <v>2344</v>
      </c>
      <c r="B156" s="8" t="s">
        <v>185</v>
      </c>
      <c r="C156" s="8" t="s">
        <v>2197</v>
      </c>
      <c r="D156" s="8" t="s">
        <v>18</v>
      </c>
      <c r="E156" s="8" t="s">
        <v>16</v>
      </c>
      <c r="F156" s="8" t="s">
        <v>2198</v>
      </c>
      <c r="G156" s="8" t="s">
        <v>2345</v>
      </c>
      <c r="H156" s="8">
        <v>1387</v>
      </c>
      <c r="I156" s="8">
        <v>1387</v>
      </c>
      <c r="J156" s="8" t="s">
        <v>186</v>
      </c>
      <c r="K156" s="9">
        <v>44750</v>
      </c>
      <c r="L156" s="9">
        <v>46174</v>
      </c>
      <c r="M156" s="8" t="s">
        <v>16</v>
      </c>
      <c r="P156" s="16" t="s">
        <v>184</v>
      </c>
      <c r="Q156" s="2" t="s">
        <v>16</v>
      </c>
      <c r="S156" s="8" t="s">
        <v>227</v>
      </c>
      <c r="T156" s="9">
        <v>45931</v>
      </c>
      <c r="U156" s="8">
        <v>0</v>
      </c>
      <c r="V156" s="20">
        <v>24600</v>
      </c>
      <c r="W156" s="21" t="s">
        <v>16</v>
      </c>
    </row>
    <row r="157" spans="1:23" ht="48.75">
      <c r="A157" s="8" t="s">
        <v>2346</v>
      </c>
      <c r="B157" s="8" t="s">
        <v>187</v>
      </c>
      <c r="C157" s="8" t="s">
        <v>2197</v>
      </c>
      <c r="D157" s="8" t="s">
        <v>18</v>
      </c>
      <c r="E157" s="8" t="s">
        <v>16</v>
      </c>
      <c r="F157" s="8" t="s">
        <v>2198</v>
      </c>
      <c r="G157" s="8" t="s">
        <v>2345</v>
      </c>
      <c r="H157" s="8">
        <v>10394</v>
      </c>
      <c r="I157" s="8">
        <v>10394</v>
      </c>
      <c r="J157" s="8" t="s">
        <v>188</v>
      </c>
      <c r="K157" s="9">
        <v>44750</v>
      </c>
      <c r="L157" s="9">
        <v>46539</v>
      </c>
      <c r="M157" s="8" t="s">
        <v>16</v>
      </c>
      <c r="P157" s="16" t="s">
        <v>185</v>
      </c>
      <c r="Q157" s="2" t="s">
        <v>16</v>
      </c>
      <c r="S157" s="8" t="s">
        <v>228</v>
      </c>
      <c r="T157" s="9">
        <v>45870</v>
      </c>
      <c r="U157" s="8">
        <v>0</v>
      </c>
      <c r="V157" s="20">
        <v>100</v>
      </c>
      <c r="W157" s="21" t="s">
        <v>16</v>
      </c>
    </row>
    <row r="158" spans="1:23" ht="45">
      <c r="A158" s="8" t="s">
        <v>2347</v>
      </c>
      <c r="B158" s="8" t="s">
        <v>189</v>
      </c>
      <c r="C158" s="8" t="s">
        <v>2197</v>
      </c>
      <c r="D158" s="8" t="s">
        <v>18</v>
      </c>
      <c r="E158" s="8" t="s">
        <v>16</v>
      </c>
      <c r="F158" s="8" t="s">
        <v>2198</v>
      </c>
      <c r="G158" s="8" t="s">
        <v>2348</v>
      </c>
      <c r="H158" s="8">
        <v>670</v>
      </c>
      <c r="I158" s="8">
        <v>10</v>
      </c>
      <c r="J158" s="8">
        <v>3025</v>
      </c>
      <c r="K158" s="9">
        <v>45083</v>
      </c>
      <c r="L158" s="9">
        <v>45748</v>
      </c>
      <c r="M158" s="8" t="s">
        <v>16</v>
      </c>
      <c r="P158" s="16" t="s">
        <v>187</v>
      </c>
      <c r="Q158" s="2" t="s">
        <v>16</v>
      </c>
      <c r="S158" s="8" t="s">
        <v>228</v>
      </c>
      <c r="T158" s="9">
        <v>46357</v>
      </c>
      <c r="U158" s="8">
        <v>0</v>
      </c>
      <c r="V158" s="20">
        <v>460</v>
      </c>
      <c r="W158" s="21" t="s">
        <v>16</v>
      </c>
    </row>
    <row r="159" spans="1:23" ht="45">
      <c r="A159" s="8" t="s">
        <v>2347</v>
      </c>
      <c r="B159" s="8" t="s">
        <v>189</v>
      </c>
      <c r="C159" s="8" t="s">
        <v>2197</v>
      </c>
      <c r="D159" s="8" t="s">
        <v>18</v>
      </c>
      <c r="E159" s="8" t="s">
        <v>16</v>
      </c>
      <c r="F159" s="8" t="s">
        <v>2198</v>
      </c>
      <c r="G159" s="8" t="s">
        <v>2348</v>
      </c>
      <c r="H159" s="8">
        <v>670</v>
      </c>
      <c r="I159" s="8">
        <v>660</v>
      </c>
      <c r="J159" s="8">
        <v>3030</v>
      </c>
      <c r="K159" s="9">
        <v>45279</v>
      </c>
      <c r="L159" s="9">
        <v>45931</v>
      </c>
      <c r="M159" s="8" t="s">
        <v>16</v>
      </c>
      <c r="P159" s="16" t="s">
        <v>189</v>
      </c>
      <c r="Q159" s="2" t="s">
        <v>16</v>
      </c>
      <c r="S159" s="8" t="s">
        <v>232</v>
      </c>
      <c r="T159" s="9">
        <v>45870</v>
      </c>
      <c r="U159" s="8">
        <v>0</v>
      </c>
      <c r="V159" s="20">
        <v>1050</v>
      </c>
      <c r="W159" s="21" t="s">
        <v>16</v>
      </c>
    </row>
    <row r="160" spans="1:23" ht="45">
      <c r="A160" s="8" t="s">
        <v>2349</v>
      </c>
      <c r="B160" s="8" t="s">
        <v>190</v>
      </c>
      <c r="C160" s="8" t="s">
        <v>2197</v>
      </c>
      <c r="D160" s="8" t="s">
        <v>18</v>
      </c>
      <c r="E160" s="8" t="s">
        <v>16</v>
      </c>
      <c r="F160" s="8" t="s">
        <v>2198</v>
      </c>
      <c r="G160" s="8" t="s">
        <v>2348</v>
      </c>
      <c r="H160" s="8">
        <v>340</v>
      </c>
      <c r="I160" s="8">
        <v>340</v>
      </c>
      <c r="J160" s="8">
        <v>3030</v>
      </c>
      <c r="K160" s="9">
        <v>45247</v>
      </c>
      <c r="L160" s="9">
        <v>45931</v>
      </c>
      <c r="M160" s="8" t="s">
        <v>16</v>
      </c>
      <c r="P160" s="16" t="s">
        <v>189</v>
      </c>
      <c r="Q160" s="2" t="s">
        <v>16</v>
      </c>
      <c r="S160" s="8" t="s">
        <v>235</v>
      </c>
      <c r="T160" s="9">
        <v>45931</v>
      </c>
      <c r="U160" s="8">
        <v>0</v>
      </c>
      <c r="V160" s="20">
        <v>1</v>
      </c>
      <c r="W160" s="21" t="s">
        <v>16</v>
      </c>
    </row>
    <row r="161" spans="1:23" ht="45">
      <c r="A161" s="8" t="s">
        <v>2350</v>
      </c>
      <c r="B161" s="8" t="s">
        <v>191</v>
      </c>
      <c r="C161" s="8" t="s">
        <v>2197</v>
      </c>
      <c r="D161" s="8" t="s">
        <v>192</v>
      </c>
      <c r="E161" s="8" t="s">
        <v>16</v>
      </c>
      <c r="F161" s="8" t="s">
        <v>2198</v>
      </c>
      <c r="G161" s="8" t="s">
        <v>2348</v>
      </c>
      <c r="H161" s="8">
        <v>1115</v>
      </c>
      <c r="I161" s="8">
        <v>1115</v>
      </c>
      <c r="J161" s="8">
        <v>3023</v>
      </c>
      <c r="K161" s="9">
        <v>44733</v>
      </c>
      <c r="L161" s="9">
        <v>45413</v>
      </c>
      <c r="M161" s="8" t="s">
        <v>16</v>
      </c>
      <c r="P161" s="16" t="s">
        <v>190</v>
      </c>
      <c r="Q161" s="2" t="s">
        <v>16</v>
      </c>
      <c r="S161" s="8" t="s">
        <v>235</v>
      </c>
      <c r="T161" s="9">
        <v>46082</v>
      </c>
      <c r="U161" s="8">
        <v>0</v>
      </c>
      <c r="V161" s="20">
        <v>5</v>
      </c>
      <c r="W161" s="21" t="s">
        <v>16</v>
      </c>
    </row>
    <row r="162" spans="1:23" ht="60">
      <c r="A162" s="8" t="s">
        <v>2351</v>
      </c>
      <c r="B162" s="8" t="s">
        <v>193</v>
      </c>
      <c r="C162" s="8" t="s">
        <v>2203</v>
      </c>
      <c r="D162" s="8" t="s">
        <v>18</v>
      </c>
      <c r="E162" s="8" t="s">
        <v>16</v>
      </c>
      <c r="F162" s="8" t="s">
        <v>2198</v>
      </c>
      <c r="G162" s="8" t="s">
        <v>2352</v>
      </c>
      <c r="H162" s="8">
        <v>90</v>
      </c>
      <c r="I162" s="8">
        <v>90</v>
      </c>
      <c r="J162" s="8" t="s">
        <v>194</v>
      </c>
      <c r="K162" s="9">
        <v>45356</v>
      </c>
      <c r="L162" s="9">
        <v>46054</v>
      </c>
      <c r="M162" s="8" t="s">
        <v>16</v>
      </c>
      <c r="P162" s="16" t="s">
        <v>191</v>
      </c>
      <c r="Q162" s="2" t="s">
        <v>16</v>
      </c>
      <c r="S162" s="8" t="s">
        <v>235</v>
      </c>
      <c r="T162" s="9">
        <v>47178</v>
      </c>
      <c r="U162" s="8">
        <v>0</v>
      </c>
      <c r="V162" s="20">
        <v>1295</v>
      </c>
      <c r="W162" s="21" t="s">
        <v>16</v>
      </c>
    </row>
    <row r="163" spans="1:23" ht="90">
      <c r="A163" s="8" t="s">
        <v>2353</v>
      </c>
      <c r="B163" s="8" t="s">
        <v>195</v>
      </c>
      <c r="C163" s="8" t="s">
        <v>2197</v>
      </c>
      <c r="D163" s="8" t="s">
        <v>18</v>
      </c>
      <c r="E163" s="8" t="s">
        <v>16</v>
      </c>
      <c r="F163" s="8" t="s">
        <v>2198</v>
      </c>
      <c r="G163" s="8" t="s">
        <v>2354</v>
      </c>
      <c r="H163" s="8">
        <v>1288</v>
      </c>
      <c r="I163" s="8">
        <v>30</v>
      </c>
      <c r="J163" s="8">
        <v>34173201</v>
      </c>
      <c r="K163" s="9">
        <v>45418</v>
      </c>
      <c r="L163" s="9">
        <v>46235</v>
      </c>
      <c r="M163" s="8" t="s">
        <v>16</v>
      </c>
      <c r="P163" s="16" t="s">
        <v>193</v>
      </c>
      <c r="Q163" s="2" t="s">
        <v>16</v>
      </c>
      <c r="S163" s="8" t="s">
        <v>236</v>
      </c>
      <c r="T163" s="9">
        <v>47119</v>
      </c>
      <c r="U163" s="8">
        <v>0</v>
      </c>
      <c r="V163" s="20">
        <v>24</v>
      </c>
      <c r="W163" s="21" t="s">
        <v>16</v>
      </c>
    </row>
    <row r="164" spans="1:23" ht="90">
      <c r="A164" s="8" t="s">
        <v>2353</v>
      </c>
      <c r="B164" s="8" t="s">
        <v>195</v>
      </c>
      <c r="C164" s="8" t="s">
        <v>2197</v>
      </c>
      <c r="D164" s="8" t="s">
        <v>18</v>
      </c>
      <c r="E164" s="8" t="s">
        <v>16</v>
      </c>
      <c r="F164" s="8" t="s">
        <v>2198</v>
      </c>
      <c r="G164" s="8" t="s">
        <v>2354</v>
      </c>
      <c r="H164" s="8">
        <v>1288</v>
      </c>
      <c r="I164" s="8">
        <v>1258</v>
      </c>
      <c r="J164" s="8">
        <v>28213201</v>
      </c>
      <c r="K164" s="9">
        <v>45418</v>
      </c>
      <c r="L164" s="9">
        <v>46357</v>
      </c>
      <c r="M164" s="8" t="s">
        <v>16</v>
      </c>
      <c r="P164" s="17" t="s">
        <v>195</v>
      </c>
      <c r="Q164" s="2" t="s">
        <v>16</v>
      </c>
      <c r="S164" s="8" t="s">
        <v>236</v>
      </c>
      <c r="T164" s="9">
        <v>47270</v>
      </c>
      <c r="U164" s="8">
        <v>0</v>
      </c>
      <c r="V164" s="20">
        <v>246</v>
      </c>
      <c r="W164" s="21" t="s">
        <v>16</v>
      </c>
    </row>
    <row r="165" spans="1:23" ht="60">
      <c r="A165" s="8" t="s">
        <v>2355</v>
      </c>
      <c r="B165" s="8" t="s">
        <v>196</v>
      </c>
      <c r="C165" s="8" t="s">
        <v>2197</v>
      </c>
      <c r="D165" s="8" t="s">
        <v>18</v>
      </c>
      <c r="E165" s="8" t="s">
        <v>16</v>
      </c>
      <c r="F165" s="8" t="s">
        <v>2198</v>
      </c>
      <c r="G165" s="8" t="s">
        <v>2354</v>
      </c>
      <c r="H165" s="8">
        <v>1368</v>
      </c>
      <c r="I165" s="8">
        <v>118</v>
      </c>
      <c r="J165" s="8">
        <v>39143201</v>
      </c>
      <c r="K165" s="9">
        <v>45089</v>
      </c>
      <c r="L165" s="9">
        <v>46143</v>
      </c>
      <c r="M165" s="8" t="s">
        <v>16</v>
      </c>
      <c r="P165" s="17" t="s">
        <v>195</v>
      </c>
      <c r="Q165" s="2" t="s">
        <v>16</v>
      </c>
      <c r="S165" s="8" t="s">
        <v>237</v>
      </c>
      <c r="T165" s="9">
        <v>47270</v>
      </c>
      <c r="U165" s="8">
        <v>0</v>
      </c>
      <c r="V165" s="20">
        <v>2240</v>
      </c>
      <c r="W165" s="21" t="s">
        <v>16</v>
      </c>
    </row>
    <row r="166" spans="1:23" ht="60">
      <c r="A166" s="8" t="s">
        <v>2355</v>
      </c>
      <c r="B166" s="8" t="s">
        <v>196</v>
      </c>
      <c r="C166" s="8" t="s">
        <v>2197</v>
      </c>
      <c r="D166" s="8" t="s">
        <v>18</v>
      </c>
      <c r="E166" s="8" t="s">
        <v>16</v>
      </c>
      <c r="F166" s="8" t="s">
        <v>2198</v>
      </c>
      <c r="G166" s="8" t="s">
        <v>2354</v>
      </c>
      <c r="H166" s="8">
        <v>1368</v>
      </c>
      <c r="I166" s="8">
        <v>1250</v>
      </c>
      <c r="J166" s="8">
        <v>26143301</v>
      </c>
      <c r="K166" s="9">
        <v>45455</v>
      </c>
      <c r="L166" s="9">
        <v>46508</v>
      </c>
      <c r="M166" s="8" t="s">
        <v>16</v>
      </c>
      <c r="P166" s="16" t="s">
        <v>196</v>
      </c>
      <c r="Q166" s="2" t="s">
        <v>16</v>
      </c>
      <c r="S166" s="8" t="s">
        <v>238</v>
      </c>
      <c r="T166" s="9">
        <v>47270</v>
      </c>
      <c r="U166" s="8">
        <v>0</v>
      </c>
      <c r="V166" s="20">
        <v>347</v>
      </c>
      <c r="W166" s="21" t="s">
        <v>16</v>
      </c>
    </row>
    <row r="167" spans="1:23" ht="90">
      <c r="A167" s="8" t="s">
        <v>2356</v>
      </c>
      <c r="B167" s="8" t="s">
        <v>197</v>
      </c>
      <c r="C167" s="8" t="s">
        <v>2197</v>
      </c>
      <c r="D167" s="8" t="s">
        <v>18</v>
      </c>
      <c r="E167" s="8" t="s">
        <v>16</v>
      </c>
      <c r="F167" s="8" t="s">
        <v>2198</v>
      </c>
      <c r="G167" s="8" t="s">
        <v>2354</v>
      </c>
      <c r="H167" s="8">
        <v>976</v>
      </c>
      <c r="I167" s="8">
        <v>1</v>
      </c>
      <c r="J167" s="8">
        <v>10173101</v>
      </c>
      <c r="K167" s="9">
        <v>44904</v>
      </c>
      <c r="L167" s="9">
        <v>45901</v>
      </c>
      <c r="M167" s="8" t="s">
        <v>16</v>
      </c>
      <c r="P167" s="16" t="s">
        <v>196</v>
      </c>
      <c r="Q167" s="2" t="s">
        <v>16</v>
      </c>
      <c r="S167" s="8" t="s">
        <v>239</v>
      </c>
      <c r="T167" s="9">
        <v>46478</v>
      </c>
      <c r="U167" s="8">
        <v>0</v>
      </c>
      <c r="V167" s="20">
        <v>413</v>
      </c>
      <c r="W167" s="21" t="s">
        <v>16</v>
      </c>
    </row>
    <row r="168" spans="1:23" ht="90">
      <c r="A168" s="8" t="s">
        <v>2356</v>
      </c>
      <c r="B168" s="8" t="s">
        <v>197</v>
      </c>
      <c r="C168" s="8" t="s">
        <v>2197</v>
      </c>
      <c r="D168" s="8" t="s">
        <v>18</v>
      </c>
      <c r="E168" s="8" t="s">
        <v>16</v>
      </c>
      <c r="F168" s="8" t="s">
        <v>2198</v>
      </c>
      <c r="G168" s="8" t="s">
        <v>2354</v>
      </c>
      <c r="H168" s="8">
        <v>976</v>
      </c>
      <c r="I168" s="8">
        <v>475</v>
      </c>
      <c r="J168" s="8">
        <v>36183101</v>
      </c>
      <c r="K168" s="9">
        <v>44904</v>
      </c>
      <c r="L168" s="9">
        <v>45901</v>
      </c>
      <c r="M168" s="8" t="s">
        <v>16</v>
      </c>
      <c r="P168" s="17" t="s">
        <v>197</v>
      </c>
      <c r="Q168" s="2" t="s">
        <v>16</v>
      </c>
      <c r="S168" s="8" t="s">
        <v>240</v>
      </c>
      <c r="T168" s="9">
        <v>46935</v>
      </c>
      <c r="U168" s="8">
        <v>0</v>
      </c>
      <c r="V168" s="20">
        <v>204</v>
      </c>
      <c r="W168" s="21" t="s">
        <v>16</v>
      </c>
    </row>
    <row r="169" spans="1:23" ht="90">
      <c r="A169" s="8" t="s">
        <v>2356</v>
      </c>
      <c r="B169" s="8" t="s">
        <v>197</v>
      </c>
      <c r="C169" s="8" t="s">
        <v>2197</v>
      </c>
      <c r="D169" s="8" t="s">
        <v>18</v>
      </c>
      <c r="E169" s="8" t="s">
        <v>16</v>
      </c>
      <c r="F169" s="8" t="s">
        <v>2198</v>
      </c>
      <c r="G169" s="8" t="s">
        <v>2354</v>
      </c>
      <c r="H169" s="8">
        <v>976</v>
      </c>
      <c r="I169" s="8">
        <v>500</v>
      </c>
      <c r="J169" s="8">
        <v>30113201</v>
      </c>
      <c r="K169" s="9">
        <v>45089</v>
      </c>
      <c r="L169" s="9">
        <v>46082</v>
      </c>
      <c r="M169" s="8" t="s">
        <v>16</v>
      </c>
      <c r="P169" s="17" t="s">
        <v>197</v>
      </c>
      <c r="Q169" s="2" t="s">
        <v>16</v>
      </c>
      <c r="S169" s="8" t="s">
        <v>241</v>
      </c>
      <c r="T169" s="9">
        <v>45870</v>
      </c>
      <c r="U169" s="8">
        <v>0</v>
      </c>
      <c r="V169" s="20">
        <v>121</v>
      </c>
      <c r="W169" s="21" t="s">
        <v>16</v>
      </c>
    </row>
    <row r="170" spans="1:23" ht="45">
      <c r="A170" s="8" t="s">
        <v>2357</v>
      </c>
      <c r="B170" s="8" t="s">
        <v>198</v>
      </c>
      <c r="C170" s="8" t="s">
        <v>2203</v>
      </c>
      <c r="D170" s="8" t="s">
        <v>18</v>
      </c>
      <c r="E170" s="8" t="s">
        <v>16</v>
      </c>
      <c r="F170" s="8" t="s">
        <v>2204</v>
      </c>
      <c r="G170" s="8" t="s">
        <v>2358</v>
      </c>
      <c r="H170" s="8">
        <v>354</v>
      </c>
      <c r="I170" s="8">
        <v>54</v>
      </c>
      <c r="J170" s="8" t="s">
        <v>199</v>
      </c>
      <c r="K170" s="9">
        <v>45271</v>
      </c>
      <c r="L170" s="9">
        <v>45717</v>
      </c>
      <c r="M170" s="8" t="s">
        <v>16</v>
      </c>
      <c r="P170" s="17" t="s">
        <v>197</v>
      </c>
      <c r="Q170" s="2" t="s">
        <v>16</v>
      </c>
      <c r="S170" s="8" t="s">
        <v>241</v>
      </c>
      <c r="T170" s="9">
        <v>45992</v>
      </c>
      <c r="U170" s="8">
        <v>0</v>
      </c>
      <c r="V170" s="20">
        <v>340</v>
      </c>
      <c r="W170" s="21" t="s">
        <v>16</v>
      </c>
    </row>
    <row r="171" spans="1:23" ht="45">
      <c r="A171" s="8" t="s">
        <v>2357</v>
      </c>
      <c r="B171" s="8" t="s">
        <v>198</v>
      </c>
      <c r="C171" s="8" t="s">
        <v>2203</v>
      </c>
      <c r="D171" s="8" t="s">
        <v>18</v>
      </c>
      <c r="E171" s="8" t="s">
        <v>16</v>
      </c>
      <c r="F171" s="8" t="s">
        <v>2204</v>
      </c>
      <c r="G171" s="8" t="s">
        <v>2358</v>
      </c>
      <c r="H171" s="8">
        <v>354</v>
      </c>
      <c r="I171" s="8">
        <v>300</v>
      </c>
      <c r="J171" s="8" t="s">
        <v>200</v>
      </c>
      <c r="K171" s="9">
        <v>45271</v>
      </c>
      <c r="L171" s="9">
        <v>45717</v>
      </c>
      <c r="M171" s="8" t="s">
        <v>16</v>
      </c>
      <c r="P171" s="16" t="s">
        <v>198</v>
      </c>
      <c r="Q171" s="2" t="s">
        <v>16</v>
      </c>
      <c r="S171" s="8" t="s">
        <v>242</v>
      </c>
      <c r="T171" s="9">
        <v>46966</v>
      </c>
      <c r="U171" s="8">
        <v>0</v>
      </c>
      <c r="V171" s="20">
        <v>172</v>
      </c>
      <c r="W171" s="21" t="s">
        <v>16</v>
      </c>
    </row>
    <row r="172" spans="1:23" ht="60">
      <c r="A172" s="8" t="s">
        <v>2359</v>
      </c>
      <c r="B172" s="8" t="s">
        <v>201</v>
      </c>
      <c r="C172" s="8" t="s">
        <v>2203</v>
      </c>
      <c r="D172" s="8" t="s">
        <v>18</v>
      </c>
      <c r="E172" s="8" t="s">
        <v>16</v>
      </c>
      <c r="F172" s="8" t="s">
        <v>2204</v>
      </c>
      <c r="G172" s="8" t="s">
        <v>2358</v>
      </c>
      <c r="H172" s="8">
        <v>1256</v>
      </c>
      <c r="I172" s="8">
        <v>1</v>
      </c>
      <c r="J172" s="8" t="s">
        <v>202</v>
      </c>
      <c r="K172" s="9">
        <v>45414</v>
      </c>
      <c r="L172" s="9">
        <v>46447</v>
      </c>
      <c r="M172" s="8" t="s">
        <v>16</v>
      </c>
      <c r="P172" s="16" t="s">
        <v>198</v>
      </c>
      <c r="Q172" s="2" t="s">
        <v>16</v>
      </c>
      <c r="S172" s="8" t="s">
        <v>243</v>
      </c>
      <c r="T172" s="9">
        <v>45870</v>
      </c>
      <c r="U172" s="8">
        <v>0</v>
      </c>
      <c r="V172" s="20">
        <v>2401</v>
      </c>
      <c r="W172" s="21" t="s">
        <v>16</v>
      </c>
    </row>
    <row r="173" spans="1:23" ht="60">
      <c r="A173" s="8" t="s">
        <v>2359</v>
      </c>
      <c r="B173" s="8" t="s">
        <v>201</v>
      </c>
      <c r="C173" s="8" t="s">
        <v>2203</v>
      </c>
      <c r="D173" s="8" t="s">
        <v>18</v>
      </c>
      <c r="E173" s="8" t="s">
        <v>16</v>
      </c>
      <c r="F173" s="8" t="s">
        <v>2204</v>
      </c>
      <c r="G173" s="8" t="s">
        <v>2358</v>
      </c>
      <c r="H173" s="8">
        <v>1256</v>
      </c>
      <c r="I173" s="8">
        <v>1255</v>
      </c>
      <c r="J173" s="8" t="s">
        <v>203</v>
      </c>
      <c r="K173" s="9">
        <v>45414</v>
      </c>
      <c r="L173" s="9">
        <v>46478</v>
      </c>
      <c r="M173" s="8" t="s">
        <v>16</v>
      </c>
      <c r="P173" s="16" t="s">
        <v>201</v>
      </c>
      <c r="Q173" s="2" t="s">
        <v>16</v>
      </c>
      <c r="S173" s="8" t="s">
        <v>246</v>
      </c>
      <c r="T173" s="9">
        <v>46023</v>
      </c>
      <c r="U173" s="8">
        <v>0</v>
      </c>
      <c r="V173" s="20">
        <v>10903</v>
      </c>
      <c r="W173" s="21" t="s">
        <v>16</v>
      </c>
    </row>
    <row r="174" spans="1:23" ht="60">
      <c r="A174" s="8" t="s">
        <v>2360</v>
      </c>
      <c r="B174" s="8" t="s">
        <v>204</v>
      </c>
      <c r="C174" s="8" t="s">
        <v>2203</v>
      </c>
      <c r="D174" s="8" t="s">
        <v>18</v>
      </c>
      <c r="E174" s="8" t="s">
        <v>16</v>
      </c>
      <c r="F174" s="8" t="s">
        <v>2204</v>
      </c>
      <c r="G174" s="8" t="s">
        <v>2358</v>
      </c>
      <c r="H174" s="8">
        <v>886</v>
      </c>
      <c r="I174" s="8">
        <v>886</v>
      </c>
      <c r="J174" s="8" t="s">
        <v>205</v>
      </c>
      <c r="K174" s="9">
        <v>45371</v>
      </c>
      <c r="L174" s="9">
        <v>46266</v>
      </c>
      <c r="M174" s="8" t="s">
        <v>16</v>
      </c>
      <c r="P174" s="16" t="s">
        <v>201</v>
      </c>
      <c r="Q174" s="2" t="s">
        <v>16</v>
      </c>
      <c r="S174" s="8" t="s">
        <v>249</v>
      </c>
      <c r="T174" s="9">
        <v>45931</v>
      </c>
      <c r="U174" s="8">
        <v>0</v>
      </c>
      <c r="V174" s="20">
        <v>1216</v>
      </c>
      <c r="W174" s="21" t="s">
        <v>16</v>
      </c>
    </row>
    <row r="175" spans="1:23" ht="60">
      <c r="A175" s="8" t="s">
        <v>2361</v>
      </c>
      <c r="B175" s="8" t="s">
        <v>206</v>
      </c>
      <c r="C175" s="8" t="s">
        <v>2197</v>
      </c>
      <c r="D175" s="8" t="s">
        <v>18</v>
      </c>
      <c r="E175" s="8" t="s">
        <v>16</v>
      </c>
      <c r="F175" s="8" t="s">
        <v>2204</v>
      </c>
      <c r="G175" s="8" t="s">
        <v>2362</v>
      </c>
      <c r="H175" s="8">
        <v>170</v>
      </c>
      <c r="I175" s="8">
        <v>170</v>
      </c>
      <c r="J175" s="8" t="s">
        <v>207</v>
      </c>
      <c r="K175" s="9">
        <v>45272</v>
      </c>
      <c r="L175" s="9">
        <v>45870</v>
      </c>
      <c r="M175" s="8" t="s">
        <v>16</v>
      </c>
      <c r="P175" s="16" t="s">
        <v>204</v>
      </c>
      <c r="Q175" s="2" t="s">
        <v>16</v>
      </c>
      <c r="S175" s="8" t="s">
        <v>249</v>
      </c>
      <c r="T175" s="9">
        <v>46266</v>
      </c>
      <c r="U175" s="8">
        <v>0</v>
      </c>
      <c r="V175" s="20">
        <v>3920</v>
      </c>
      <c r="W175" s="21" t="s">
        <v>16</v>
      </c>
    </row>
    <row r="176" spans="1:23" ht="75">
      <c r="A176" s="8" t="s">
        <v>2361</v>
      </c>
      <c r="B176" s="8" t="s">
        <v>206</v>
      </c>
      <c r="C176" s="8" t="s">
        <v>2197</v>
      </c>
      <c r="D176" s="8" t="s">
        <v>209</v>
      </c>
      <c r="E176" s="8" t="s">
        <v>16</v>
      </c>
      <c r="F176" s="8" t="s">
        <v>2204</v>
      </c>
      <c r="G176" s="8" t="s">
        <v>2362</v>
      </c>
      <c r="H176" s="8">
        <v>1000</v>
      </c>
      <c r="I176" s="8">
        <v>1000</v>
      </c>
      <c r="J176" s="8" t="s">
        <v>208</v>
      </c>
      <c r="K176" s="9">
        <v>45411</v>
      </c>
      <c r="L176" s="9">
        <v>45870</v>
      </c>
      <c r="M176" s="8" t="s">
        <v>16</v>
      </c>
      <c r="P176" s="16" t="s">
        <v>206</v>
      </c>
      <c r="Q176" s="2" t="s">
        <v>16</v>
      </c>
      <c r="S176" s="8" t="s">
        <v>248</v>
      </c>
      <c r="T176" s="9">
        <v>45597</v>
      </c>
      <c r="U176" s="8">
        <v>0</v>
      </c>
      <c r="V176" s="20">
        <v>1</v>
      </c>
      <c r="W176" s="21" t="s">
        <v>38</v>
      </c>
    </row>
    <row r="177" spans="1:23" ht="60">
      <c r="A177" s="8" t="s">
        <v>2363</v>
      </c>
      <c r="B177" s="8" t="s">
        <v>210</v>
      </c>
      <c r="C177" s="8" t="s">
        <v>2197</v>
      </c>
      <c r="D177" s="8" t="s">
        <v>18</v>
      </c>
      <c r="E177" s="8" t="s">
        <v>16</v>
      </c>
      <c r="F177" s="8" t="s">
        <v>2204</v>
      </c>
      <c r="G177" s="8" t="s">
        <v>2362</v>
      </c>
      <c r="H177" s="8">
        <v>2958</v>
      </c>
      <c r="I177" s="8">
        <v>15</v>
      </c>
      <c r="J177" s="8" t="s">
        <v>211</v>
      </c>
      <c r="K177" s="9">
        <v>45272</v>
      </c>
      <c r="L177" s="9">
        <v>45870</v>
      </c>
      <c r="M177" s="8" t="s">
        <v>16</v>
      </c>
      <c r="P177" s="16" t="s">
        <v>206</v>
      </c>
      <c r="Q177" s="2" t="s">
        <v>16</v>
      </c>
      <c r="S177" s="8" t="s">
        <v>250</v>
      </c>
      <c r="T177" s="9">
        <v>45689</v>
      </c>
      <c r="U177" s="8">
        <v>0</v>
      </c>
      <c r="V177" s="20">
        <v>6466</v>
      </c>
      <c r="W177" s="21" t="s">
        <v>16</v>
      </c>
    </row>
    <row r="178" spans="1:23" ht="45">
      <c r="A178" s="8" t="s">
        <v>2363</v>
      </c>
      <c r="B178" s="8" t="s">
        <v>210</v>
      </c>
      <c r="C178" s="8" t="s">
        <v>2197</v>
      </c>
      <c r="D178" s="8" t="s">
        <v>18</v>
      </c>
      <c r="E178" s="8" t="s">
        <v>16</v>
      </c>
      <c r="F178" s="8" t="s">
        <v>2204</v>
      </c>
      <c r="G178" s="8" t="s">
        <v>2362</v>
      </c>
      <c r="H178" s="8">
        <v>2958</v>
      </c>
      <c r="I178" s="8">
        <v>63</v>
      </c>
      <c r="J178" s="8" t="s">
        <v>212</v>
      </c>
      <c r="K178" s="9">
        <v>45244</v>
      </c>
      <c r="L178" s="9">
        <v>45870</v>
      </c>
      <c r="M178" s="8" t="s">
        <v>16</v>
      </c>
      <c r="P178" s="16" t="s">
        <v>210</v>
      </c>
      <c r="Q178" s="2" t="s">
        <v>16</v>
      </c>
      <c r="S178" s="8" t="s">
        <v>251</v>
      </c>
      <c r="T178" s="9">
        <v>47058</v>
      </c>
      <c r="U178" s="8">
        <v>0</v>
      </c>
      <c r="V178" s="20">
        <v>849</v>
      </c>
      <c r="W178" s="21" t="s">
        <v>16</v>
      </c>
    </row>
    <row r="179" spans="1:23" ht="60">
      <c r="A179" s="8" t="s">
        <v>2363</v>
      </c>
      <c r="B179" s="8" t="s">
        <v>210</v>
      </c>
      <c r="C179" s="8" t="s">
        <v>2197</v>
      </c>
      <c r="D179" s="8" t="s">
        <v>18</v>
      </c>
      <c r="E179" s="8" t="s">
        <v>16</v>
      </c>
      <c r="F179" s="8" t="s">
        <v>2204</v>
      </c>
      <c r="G179" s="8" t="s">
        <v>2362</v>
      </c>
      <c r="H179" s="8">
        <v>2958</v>
      </c>
      <c r="I179" s="8">
        <v>2880</v>
      </c>
      <c r="J179" s="8" t="s">
        <v>213</v>
      </c>
      <c r="K179" s="9">
        <v>45317</v>
      </c>
      <c r="L179" s="9">
        <v>45870</v>
      </c>
      <c r="M179" s="8" t="s">
        <v>16</v>
      </c>
      <c r="P179" s="16" t="s">
        <v>210</v>
      </c>
      <c r="Q179" s="2" t="s">
        <v>16</v>
      </c>
      <c r="S179" s="8" t="s">
        <v>252</v>
      </c>
      <c r="T179" s="9">
        <v>46722</v>
      </c>
      <c r="U179" s="8">
        <v>0</v>
      </c>
      <c r="V179" s="20">
        <v>530</v>
      </c>
      <c r="W179" s="21" t="s">
        <v>16</v>
      </c>
    </row>
    <row r="180" spans="1:23" ht="60">
      <c r="A180" s="8" t="s">
        <v>2363</v>
      </c>
      <c r="B180" s="8" t="s">
        <v>210</v>
      </c>
      <c r="C180" s="8" t="s">
        <v>2197</v>
      </c>
      <c r="D180" s="8" t="s">
        <v>209</v>
      </c>
      <c r="E180" s="8" t="s">
        <v>16</v>
      </c>
      <c r="F180" s="8" t="s">
        <v>2204</v>
      </c>
      <c r="G180" s="8" t="s">
        <v>2362</v>
      </c>
      <c r="H180" s="8">
        <v>4000</v>
      </c>
      <c r="I180" s="8">
        <v>4000</v>
      </c>
      <c r="J180" s="8" t="s">
        <v>208</v>
      </c>
      <c r="K180" s="9">
        <v>45411</v>
      </c>
      <c r="L180" s="9">
        <v>45870</v>
      </c>
      <c r="M180" s="8" t="s">
        <v>16</v>
      </c>
      <c r="P180" s="16" t="s">
        <v>210</v>
      </c>
      <c r="Q180" s="2" t="s">
        <v>16</v>
      </c>
      <c r="S180" s="8" t="s">
        <v>254</v>
      </c>
      <c r="T180" s="9">
        <v>46722</v>
      </c>
      <c r="U180" s="8">
        <v>0</v>
      </c>
      <c r="V180" s="20">
        <v>1865</v>
      </c>
      <c r="W180" s="21" t="s">
        <v>16</v>
      </c>
    </row>
    <row r="181" spans="1:23" ht="60">
      <c r="A181" s="8" t="s">
        <v>2364</v>
      </c>
      <c r="B181" s="8" t="s">
        <v>214</v>
      </c>
      <c r="C181" s="8" t="s">
        <v>2203</v>
      </c>
      <c r="D181" s="8" t="s">
        <v>18</v>
      </c>
      <c r="E181" s="8" t="s">
        <v>16</v>
      </c>
      <c r="F181" s="8" t="s">
        <v>2198</v>
      </c>
      <c r="G181" s="8" t="s">
        <v>2365</v>
      </c>
      <c r="H181" s="8">
        <v>7576</v>
      </c>
      <c r="I181" s="8">
        <v>2576</v>
      </c>
      <c r="J181" s="8">
        <v>47021815</v>
      </c>
      <c r="K181" s="9">
        <v>45013</v>
      </c>
      <c r="L181" s="9">
        <v>46784</v>
      </c>
      <c r="M181" s="8" t="s">
        <v>16</v>
      </c>
      <c r="P181" s="16" t="s">
        <v>210</v>
      </c>
      <c r="Q181" s="2" t="s">
        <v>16</v>
      </c>
      <c r="S181" s="8" t="s">
        <v>255</v>
      </c>
      <c r="T181" s="9">
        <v>46722</v>
      </c>
      <c r="U181" s="8">
        <v>0</v>
      </c>
      <c r="V181" s="20">
        <v>409</v>
      </c>
      <c r="W181" s="21" t="s">
        <v>16</v>
      </c>
    </row>
    <row r="182" spans="1:23" ht="60">
      <c r="A182" s="8" t="s">
        <v>2364</v>
      </c>
      <c r="B182" s="8" t="s">
        <v>214</v>
      </c>
      <c r="C182" s="8" t="s">
        <v>2203</v>
      </c>
      <c r="D182" s="8" t="s">
        <v>18</v>
      </c>
      <c r="E182" s="8" t="s">
        <v>16</v>
      </c>
      <c r="F182" s="8" t="s">
        <v>2198</v>
      </c>
      <c r="G182" s="8" t="s">
        <v>2365</v>
      </c>
      <c r="H182" s="8">
        <v>7576</v>
      </c>
      <c r="I182" s="8">
        <v>5000</v>
      </c>
      <c r="J182" s="8">
        <v>47021915</v>
      </c>
      <c r="K182" s="9">
        <v>45013</v>
      </c>
      <c r="L182" s="9">
        <v>46784</v>
      </c>
      <c r="M182" s="8" t="s">
        <v>16</v>
      </c>
      <c r="P182" s="16" t="s">
        <v>214</v>
      </c>
      <c r="Q182" s="2" t="s">
        <v>16</v>
      </c>
      <c r="S182" s="8" t="s">
        <v>256</v>
      </c>
      <c r="T182" s="9">
        <v>47119</v>
      </c>
      <c r="U182" s="8">
        <v>0</v>
      </c>
      <c r="V182" s="20">
        <v>5</v>
      </c>
      <c r="W182" s="21" t="s">
        <v>151</v>
      </c>
    </row>
    <row r="183" spans="1:23" ht="60">
      <c r="A183" s="8" t="s">
        <v>2366</v>
      </c>
      <c r="B183" s="8" t="s">
        <v>215</v>
      </c>
      <c r="C183" s="8" t="s">
        <v>2197</v>
      </c>
      <c r="D183" s="8" t="s">
        <v>18</v>
      </c>
      <c r="E183" s="8" t="s">
        <v>16</v>
      </c>
      <c r="F183" s="8" t="s">
        <v>2204</v>
      </c>
      <c r="G183" s="8" t="s">
        <v>2367</v>
      </c>
      <c r="H183" s="8">
        <v>90</v>
      </c>
      <c r="I183" s="8">
        <v>90</v>
      </c>
      <c r="J183" s="8">
        <v>93127041</v>
      </c>
      <c r="K183" s="9">
        <v>44013</v>
      </c>
      <c r="L183" s="9">
        <v>45748</v>
      </c>
      <c r="M183" s="8" t="s">
        <v>16</v>
      </c>
      <c r="P183" s="16" t="s">
        <v>214</v>
      </c>
      <c r="Q183" s="2" t="s">
        <v>16</v>
      </c>
      <c r="S183" s="8" t="s">
        <v>256</v>
      </c>
      <c r="T183" s="9">
        <v>47239</v>
      </c>
      <c r="U183" s="8">
        <v>0</v>
      </c>
      <c r="V183" s="20">
        <v>3105</v>
      </c>
      <c r="W183" s="21" t="s">
        <v>151</v>
      </c>
    </row>
    <row r="184" spans="1:23" ht="48.75">
      <c r="A184" s="8" t="s">
        <v>2368</v>
      </c>
      <c r="B184" s="8" t="s">
        <v>216</v>
      </c>
      <c r="C184" s="8" t="s">
        <v>2197</v>
      </c>
      <c r="D184" s="8" t="s">
        <v>18</v>
      </c>
      <c r="E184" s="8" t="s">
        <v>16</v>
      </c>
      <c r="F184" s="8" t="s">
        <v>2204</v>
      </c>
      <c r="G184" s="8" t="s">
        <v>2367</v>
      </c>
      <c r="H184" s="8">
        <v>9</v>
      </c>
      <c r="I184" s="8">
        <v>9</v>
      </c>
      <c r="J184" s="8">
        <v>93227078</v>
      </c>
      <c r="K184" s="9">
        <v>44018</v>
      </c>
      <c r="L184" s="8" t="s">
        <v>2222</v>
      </c>
      <c r="M184" s="8" t="s">
        <v>16</v>
      </c>
      <c r="P184" s="16" t="s">
        <v>215</v>
      </c>
      <c r="Q184" s="2" t="s">
        <v>16</v>
      </c>
      <c r="S184" s="8" t="s">
        <v>257</v>
      </c>
      <c r="T184" s="9">
        <v>47239</v>
      </c>
      <c r="U184" s="8">
        <v>0</v>
      </c>
      <c r="V184" s="20">
        <v>4410</v>
      </c>
      <c r="W184" s="21" t="s">
        <v>151</v>
      </c>
    </row>
    <row r="185" spans="1:23" ht="60">
      <c r="A185" s="8" t="s">
        <v>2369</v>
      </c>
      <c r="B185" s="8" t="s">
        <v>217</v>
      </c>
      <c r="C185" s="8" t="s">
        <v>2197</v>
      </c>
      <c r="D185" s="8" t="s">
        <v>18</v>
      </c>
      <c r="E185" s="8" t="s">
        <v>16</v>
      </c>
      <c r="F185" s="8" t="s">
        <v>2228</v>
      </c>
      <c r="G185" s="8" t="s">
        <v>2370</v>
      </c>
      <c r="H185" s="8">
        <v>46175</v>
      </c>
      <c r="I185" s="8">
        <v>9200</v>
      </c>
      <c r="J185" s="8" t="s">
        <v>218</v>
      </c>
      <c r="K185" s="9">
        <v>45343</v>
      </c>
      <c r="L185" s="9">
        <v>47150</v>
      </c>
      <c r="M185" s="8" t="s">
        <v>16</v>
      </c>
      <c r="P185" s="16" t="s">
        <v>216</v>
      </c>
      <c r="Q185" s="2" t="s">
        <v>16</v>
      </c>
      <c r="S185" s="8" t="s">
        <v>258</v>
      </c>
      <c r="T185" s="9">
        <v>47150</v>
      </c>
      <c r="U185" s="8">
        <v>0</v>
      </c>
      <c r="V185" s="20">
        <v>33</v>
      </c>
      <c r="W185" s="21" t="s">
        <v>151</v>
      </c>
    </row>
    <row r="186" spans="1:23" ht="60">
      <c r="A186" s="8" t="s">
        <v>2369</v>
      </c>
      <c r="B186" s="8" t="s">
        <v>217</v>
      </c>
      <c r="C186" s="8" t="s">
        <v>2197</v>
      </c>
      <c r="D186" s="8" t="s">
        <v>18</v>
      </c>
      <c r="E186" s="8" t="s">
        <v>16</v>
      </c>
      <c r="F186" s="8" t="s">
        <v>2228</v>
      </c>
      <c r="G186" s="8" t="s">
        <v>2370</v>
      </c>
      <c r="H186" s="8">
        <v>46175</v>
      </c>
      <c r="I186" s="8">
        <v>36975</v>
      </c>
      <c r="J186" s="8" t="s">
        <v>219</v>
      </c>
      <c r="K186" s="9">
        <v>45031</v>
      </c>
      <c r="L186" s="9">
        <v>46813</v>
      </c>
      <c r="M186" s="8" t="s">
        <v>16</v>
      </c>
      <c r="P186" s="16" t="s">
        <v>217</v>
      </c>
      <c r="Q186" s="2" t="s">
        <v>16</v>
      </c>
      <c r="S186" s="8" t="s">
        <v>258</v>
      </c>
      <c r="T186" s="9">
        <v>47239</v>
      </c>
      <c r="U186" s="8">
        <v>0</v>
      </c>
      <c r="V186" s="20">
        <v>2200</v>
      </c>
      <c r="W186" s="21" t="s">
        <v>151</v>
      </c>
    </row>
    <row r="187" spans="1:23" ht="48.75">
      <c r="A187" s="8" t="s">
        <v>2371</v>
      </c>
      <c r="B187" s="8" t="s">
        <v>220</v>
      </c>
      <c r="C187" s="8" t="s">
        <v>2197</v>
      </c>
      <c r="D187" s="8" t="s">
        <v>18</v>
      </c>
      <c r="E187" s="8" t="s">
        <v>16</v>
      </c>
      <c r="F187" s="8" t="s">
        <v>2198</v>
      </c>
      <c r="G187" s="8" t="s">
        <v>2372</v>
      </c>
      <c r="H187" s="8">
        <v>5</v>
      </c>
      <c r="I187" s="8">
        <v>5</v>
      </c>
      <c r="J187" s="8" t="s">
        <v>221</v>
      </c>
      <c r="K187" s="9">
        <v>44893</v>
      </c>
      <c r="L187" s="9">
        <v>45931</v>
      </c>
      <c r="M187" s="8" t="s">
        <v>38</v>
      </c>
      <c r="P187" s="16" t="s">
        <v>217</v>
      </c>
      <c r="Q187" s="2" t="s">
        <v>16</v>
      </c>
      <c r="S187" s="8" t="s">
        <v>259</v>
      </c>
      <c r="T187" s="9">
        <v>45992</v>
      </c>
      <c r="U187" s="8">
        <v>0</v>
      </c>
      <c r="V187" s="20">
        <v>266</v>
      </c>
      <c r="W187" s="21" t="s">
        <v>16</v>
      </c>
    </row>
    <row r="188" spans="1:23" ht="60">
      <c r="A188" s="8" t="s">
        <v>2373</v>
      </c>
      <c r="B188" s="8" t="s">
        <v>220</v>
      </c>
      <c r="C188" s="8" t="s">
        <v>2197</v>
      </c>
      <c r="D188" s="8" t="s">
        <v>18</v>
      </c>
      <c r="E188" s="8" t="s">
        <v>16</v>
      </c>
      <c r="F188" s="8" t="s">
        <v>2198</v>
      </c>
      <c r="G188" s="8" t="s">
        <v>2372</v>
      </c>
      <c r="H188" s="8">
        <v>6</v>
      </c>
      <c r="I188" s="8">
        <v>6</v>
      </c>
      <c r="J188" s="8" t="s">
        <v>221</v>
      </c>
      <c r="K188" s="9">
        <v>44130</v>
      </c>
      <c r="L188" s="9">
        <v>45931</v>
      </c>
      <c r="M188" s="8" t="s">
        <v>38</v>
      </c>
      <c r="P188" s="16" t="s">
        <v>220</v>
      </c>
      <c r="Q188" s="2" t="s">
        <v>38</v>
      </c>
      <c r="S188" s="8" t="s">
        <v>261</v>
      </c>
      <c r="T188" s="9">
        <v>47209</v>
      </c>
      <c r="U188" s="8">
        <v>0</v>
      </c>
      <c r="V188" s="20">
        <v>8592</v>
      </c>
      <c r="W188" s="21" t="s">
        <v>16</v>
      </c>
    </row>
    <row r="189" spans="1:23" ht="60">
      <c r="A189" s="8" t="s">
        <v>2374</v>
      </c>
      <c r="B189" s="8" t="s">
        <v>222</v>
      </c>
      <c r="C189" s="8" t="s">
        <v>2197</v>
      </c>
      <c r="D189" s="8" t="s">
        <v>18</v>
      </c>
      <c r="E189" s="8" t="s">
        <v>16</v>
      </c>
      <c r="F189" s="8" t="s">
        <v>2198</v>
      </c>
      <c r="G189" s="8" t="s">
        <v>2372</v>
      </c>
      <c r="H189" s="8">
        <v>2</v>
      </c>
      <c r="I189" s="8">
        <v>2</v>
      </c>
      <c r="J189" s="8">
        <v>0</v>
      </c>
      <c r="K189" s="9">
        <v>44018</v>
      </c>
      <c r="L189" s="8" t="s">
        <v>2222</v>
      </c>
      <c r="M189" s="8" t="s">
        <v>38</v>
      </c>
      <c r="P189" s="16" t="s">
        <v>220</v>
      </c>
      <c r="Q189" s="2" t="s">
        <v>38</v>
      </c>
      <c r="S189" s="8" t="s">
        <v>262</v>
      </c>
      <c r="T189" s="9">
        <v>46419</v>
      </c>
      <c r="U189" s="8">
        <v>0</v>
      </c>
      <c r="V189" s="20">
        <v>1</v>
      </c>
      <c r="W189" s="21" t="s">
        <v>16</v>
      </c>
    </row>
    <row r="190" spans="1:23" ht="60">
      <c r="A190" s="8" t="s">
        <v>2375</v>
      </c>
      <c r="B190" s="8" t="s">
        <v>223</v>
      </c>
      <c r="C190" s="8" t="s">
        <v>2203</v>
      </c>
      <c r="D190" s="8" t="s">
        <v>18</v>
      </c>
      <c r="E190" s="8" t="s">
        <v>16</v>
      </c>
      <c r="F190" s="8" t="s">
        <v>2228</v>
      </c>
      <c r="G190" s="8" t="s">
        <v>2376</v>
      </c>
      <c r="H190" s="8">
        <v>1491</v>
      </c>
      <c r="I190" s="8">
        <v>1491</v>
      </c>
      <c r="J190" s="8" t="s">
        <v>224</v>
      </c>
      <c r="K190" s="9">
        <v>44834</v>
      </c>
      <c r="L190" s="9">
        <v>45839</v>
      </c>
      <c r="M190" s="8" t="s">
        <v>16</v>
      </c>
      <c r="P190" s="16" t="s">
        <v>222</v>
      </c>
      <c r="Q190" s="2" t="s">
        <v>38</v>
      </c>
      <c r="S190" s="8" t="s">
        <v>262</v>
      </c>
      <c r="T190" s="9">
        <v>46204</v>
      </c>
      <c r="U190" s="8">
        <v>0</v>
      </c>
      <c r="V190" s="20">
        <v>127</v>
      </c>
      <c r="W190" s="21" t="s">
        <v>16</v>
      </c>
    </row>
    <row r="191" spans="1:23" ht="60">
      <c r="A191" s="8" t="s">
        <v>2377</v>
      </c>
      <c r="B191" s="8" t="s">
        <v>225</v>
      </c>
      <c r="C191" s="8" t="s">
        <v>2203</v>
      </c>
      <c r="D191" s="8" t="s">
        <v>18</v>
      </c>
      <c r="E191" s="8" t="s">
        <v>2217</v>
      </c>
      <c r="F191" s="8" t="s">
        <v>2217</v>
      </c>
      <c r="G191" s="8" t="s">
        <v>2217</v>
      </c>
      <c r="H191" s="8">
        <v>7</v>
      </c>
      <c r="I191" s="8">
        <v>7</v>
      </c>
      <c r="J191" s="8" t="s">
        <v>226</v>
      </c>
      <c r="K191" s="9">
        <v>44793</v>
      </c>
      <c r="L191" s="9">
        <v>45839</v>
      </c>
      <c r="M191" s="8" t="s">
        <v>38</v>
      </c>
      <c r="P191" s="16" t="s">
        <v>223</v>
      </c>
      <c r="Q191" s="2" t="s">
        <v>16</v>
      </c>
      <c r="S191" s="8" t="s">
        <v>265</v>
      </c>
      <c r="T191" s="9">
        <v>45809</v>
      </c>
      <c r="U191" s="8">
        <v>0</v>
      </c>
      <c r="V191" s="20">
        <v>132</v>
      </c>
      <c r="W191" s="21" t="s">
        <v>16</v>
      </c>
    </row>
    <row r="192" spans="1:23" ht="60">
      <c r="A192" s="8" t="s">
        <v>2378</v>
      </c>
      <c r="B192" s="8" t="s">
        <v>227</v>
      </c>
      <c r="C192" s="8" t="s">
        <v>2203</v>
      </c>
      <c r="D192" s="8" t="s">
        <v>18</v>
      </c>
      <c r="E192" s="8" t="s">
        <v>16</v>
      </c>
      <c r="F192" s="8" t="s">
        <v>2198</v>
      </c>
      <c r="G192" s="8" t="s">
        <v>2379</v>
      </c>
      <c r="H192" s="8">
        <v>24898</v>
      </c>
      <c r="I192" s="8">
        <v>298</v>
      </c>
      <c r="J192" s="8">
        <v>1900131</v>
      </c>
      <c r="K192" s="9">
        <v>44601</v>
      </c>
      <c r="L192" s="9">
        <v>45809</v>
      </c>
      <c r="M192" s="8" t="s">
        <v>16</v>
      </c>
      <c r="P192" s="16" t="s">
        <v>225</v>
      </c>
      <c r="Q192" s="2" t="s">
        <v>38</v>
      </c>
      <c r="S192" s="8" t="s">
        <v>267</v>
      </c>
      <c r="T192" s="9">
        <v>46813</v>
      </c>
      <c r="U192" s="8">
        <v>0</v>
      </c>
      <c r="V192" s="20">
        <v>300</v>
      </c>
      <c r="W192" s="21" t="s">
        <v>16</v>
      </c>
    </row>
    <row r="193" spans="1:23" ht="60">
      <c r="A193" s="8" t="s">
        <v>2378</v>
      </c>
      <c r="B193" s="8" t="s">
        <v>227</v>
      </c>
      <c r="C193" s="8" t="s">
        <v>2203</v>
      </c>
      <c r="D193" s="8" t="s">
        <v>18</v>
      </c>
      <c r="E193" s="8" t="s">
        <v>16</v>
      </c>
      <c r="F193" s="8" t="s">
        <v>2198</v>
      </c>
      <c r="G193" s="8" t="s">
        <v>2379</v>
      </c>
      <c r="H193" s="8">
        <v>24898</v>
      </c>
      <c r="I193" s="8">
        <v>24600</v>
      </c>
      <c r="J193" s="8">
        <v>1900131</v>
      </c>
      <c r="K193" s="9">
        <v>45299</v>
      </c>
      <c r="L193" s="9">
        <v>45931</v>
      </c>
      <c r="M193" s="8" t="s">
        <v>16</v>
      </c>
      <c r="P193" s="16" t="s">
        <v>227</v>
      </c>
      <c r="Q193" s="2" t="s">
        <v>16</v>
      </c>
      <c r="S193" s="8" t="s">
        <v>269</v>
      </c>
      <c r="T193" s="9">
        <v>45658</v>
      </c>
      <c r="U193" s="8">
        <v>0</v>
      </c>
      <c r="V193" s="20">
        <v>604</v>
      </c>
      <c r="W193" s="21" t="s">
        <v>16</v>
      </c>
    </row>
    <row r="194" spans="1:23" ht="48.75">
      <c r="A194" s="8" t="s">
        <v>2380</v>
      </c>
      <c r="B194" s="8" t="s">
        <v>228</v>
      </c>
      <c r="C194" s="8" t="s">
        <v>2197</v>
      </c>
      <c r="D194" s="8" t="s">
        <v>18</v>
      </c>
      <c r="E194" s="8" t="s">
        <v>16</v>
      </c>
      <c r="F194" s="8" t="s">
        <v>2198</v>
      </c>
      <c r="G194" s="8" t="s">
        <v>2381</v>
      </c>
      <c r="H194" s="8">
        <v>560</v>
      </c>
      <c r="I194" s="8">
        <v>20</v>
      </c>
      <c r="J194" s="8" t="s">
        <v>229</v>
      </c>
      <c r="K194" s="9">
        <v>45187</v>
      </c>
      <c r="L194" s="9">
        <v>45870</v>
      </c>
      <c r="M194" s="8" t="s">
        <v>16</v>
      </c>
      <c r="P194" s="16" t="s">
        <v>227</v>
      </c>
      <c r="Q194" s="2" t="s">
        <v>16</v>
      </c>
      <c r="S194" s="8" t="s">
        <v>270</v>
      </c>
      <c r="T194" s="9" t="s">
        <v>2222</v>
      </c>
      <c r="U194" s="8">
        <v>0</v>
      </c>
      <c r="V194" s="20">
        <v>350</v>
      </c>
      <c r="W194" s="21" t="s">
        <v>43</v>
      </c>
    </row>
    <row r="195" spans="1:23" ht="60">
      <c r="A195" s="8" t="s">
        <v>2380</v>
      </c>
      <c r="B195" s="8" t="s">
        <v>228</v>
      </c>
      <c r="C195" s="8" t="s">
        <v>2197</v>
      </c>
      <c r="D195" s="8" t="s">
        <v>18</v>
      </c>
      <c r="E195" s="8" t="s">
        <v>16</v>
      </c>
      <c r="F195" s="8" t="s">
        <v>2198</v>
      </c>
      <c r="G195" s="8" t="s">
        <v>2381</v>
      </c>
      <c r="H195" s="8">
        <v>560</v>
      </c>
      <c r="I195" s="8">
        <v>20</v>
      </c>
      <c r="J195" s="8" t="s">
        <v>230</v>
      </c>
      <c r="K195" s="9">
        <v>45318</v>
      </c>
      <c r="L195" s="9">
        <v>45870</v>
      </c>
      <c r="M195" s="8" t="s">
        <v>16</v>
      </c>
      <c r="P195" s="16" t="s">
        <v>228</v>
      </c>
      <c r="Q195" s="2" t="s">
        <v>16</v>
      </c>
      <c r="S195" s="8" t="s">
        <v>271</v>
      </c>
      <c r="T195" s="9">
        <v>47453</v>
      </c>
      <c r="U195" s="8">
        <v>0</v>
      </c>
      <c r="V195" s="20">
        <v>2576</v>
      </c>
      <c r="W195" s="21" t="s">
        <v>16</v>
      </c>
    </row>
    <row r="196" spans="1:23" ht="60">
      <c r="A196" s="8" t="s">
        <v>2380</v>
      </c>
      <c r="B196" s="8" t="s">
        <v>228</v>
      </c>
      <c r="C196" s="8" t="s">
        <v>2197</v>
      </c>
      <c r="D196" s="8" t="s">
        <v>18</v>
      </c>
      <c r="E196" s="8" t="s">
        <v>16</v>
      </c>
      <c r="F196" s="8" t="s">
        <v>2198</v>
      </c>
      <c r="G196" s="8" t="s">
        <v>2381</v>
      </c>
      <c r="H196" s="8">
        <v>560</v>
      </c>
      <c r="I196" s="8">
        <v>60</v>
      </c>
      <c r="J196" s="8" t="s">
        <v>231</v>
      </c>
      <c r="K196" s="9">
        <v>45239</v>
      </c>
      <c r="L196" s="9">
        <v>45870</v>
      </c>
      <c r="M196" s="8" t="s">
        <v>16</v>
      </c>
      <c r="P196" s="16" t="s">
        <v>228</v>
      </c>
      <c r="Q196" s="2" t="s">
        <v>16</v>
      </c>
      <c r="S196" s="8" t="s">
        <v>272</v>
      </c>
      <c r="T196" s="9" t="s">
        <v>2222</v>
      </c>
      <c r="U196" s="8">
        <v>0</v>
      </c>
      <c r="V196" s="20">
        <v>72000</v>
      </c>
      <c r="W196" s="21" t="s">
        <v>273</v>
      </c>
    </row>
    <row r="197" spans="1:23" ht="45">
      <c r="A197" s="8" t="s">
        <v>2380</v>
      </c>
      <c r="B197" s="8" t="s">
        <v>228</v>
      </c>
      <c r="C197" s="8" t="s">
        <v>2197</v>
      </c>
      <c r="D197" s="8" t="s">
        <v>18</v>
      </c>
      <c r="E197" s="8" t="s">
        <v>16</v>
      </c>
      <c r="F197" s="8" t="s">
        <v>2198</v>
      </c>
      <c r="G197" s="8" t="s">
        <v>2381</v>
      </c>
      <c r="H197" s="8">
        <v>560</v>
      </c>
      <c r="I197" s="8">
        <v>460</v>
      </c>
      <c r="J197" s="8">
        <v>0</v>
      </c>
      <c r="K197" s="9">
        <v>45386</v>
      </c>
      <c r="L197" s="9">
        <v>46357</v>
      </c>
      <c r="M197" s="8" t="s">
        <v>16</v>
      </c>
      <c r="P197" s="16" t="s">
        <v>228</v>
      </c>
      <c r="Q197" s="2" t="s">
        <v>16</v>
      </c>
      <c r="S197" s="8" t="s">
        <v>274</v>
      </c>
      <c r="T197" s="9" t="s">
        <v>2222</v>
      </c>
      <c r="U197" s="8">
        <v>0</v>
      </c>
      <c r="V197" s="20">
        <v>66607</v>
      </c>
      <c r="W197" s="21" t="s">
        <v>273</v>
      </c>
    </row>
    <row r="198" spans="1:23" ht="45">
      <c r="A198" s="8" t="s">
        <v>2382</v>
      </c>
      <c r="B198" s="8" t="s">
        <v>232</v>
      </c>
      <c r="C198" s="8" t="s">
        <v>2197</v>
      </c>
      <c r="D198" s="8" t="s">
        <v>18</v>
      </c>
      <c r="E198" s="8" t="s">
        <v>16</v>
      </c>
      <c r="F198" s="8" t="s">
        <v>2198</v>
      </c>
      <c r="G198" s="8" t="s">
        <v>2381</v>
      </c>
      <c r="H198" s="8">
        <v>1050</v>
      </c>
      <c r="I198" s="8">
        <v>320</v>
      </c>
      <c r="J198" s="8" t="s">
        <v>233</v>
      </c>
      <c r="K198" s="9">
        <v>45208</v>
      </c>
      <c r="L198" s="9">
        <v>45870</v>
      </c>
      <c r="M198" s="8" t="s">
        <v>16</v>
      </c>
      <c r="P198" s="16" t="s">
        <v>228</v>
      </c>
      <c r="Q198" s="2" t="s">
        <v>16</v>
      </c>
      <c r="S198" s="8" t="s">
        <v>275</v>
      </c>
      <c r="T198" s="9" t="s">
        <v>2222</v>
      </c>
      <c r="U198" s="8">
        <v>0</v>
      </c>
      <c r="V198" s="20">
        <v>155</v>
      </c>
      <c r="W198" s="21" t="s">
        <v>43</v>
      </c>
    </row>
    <row r="199" spans="1:23" ht="45">
      <c r="A199" s="8" t="s">
        <v>2382</v>
      </c>
      <c r="B199" s="8" t="s">
        <v>232</v>
      </c>
      <c r="C199" s="8" t="s">
        <v>2197</v>
      </c>
      <c r="D199" s="8" t="s">
        <v>18</v>
      </c>
      <c r="E199" s="8" t="s">
        <v>16</v>
      </c>
      <c r="F199" s="8" t="s">
        <v>2198</v>
      </c>
      <c r="G199" s="8" t="s">
        <v>2381</v>
      </c>
      <c r="H199" s="8">
        <v>1050</v>
      </c>
      <c r="I199" s="8">
        <v>730</v>
      </c>
      <c r="J199" s="8" t="s">
        <v>234</v>
      </c>
      <c r="K199" s="9">
        <v>45239</v>
      </c>
      <c r="L199" s="9">
        <v>45870</v>
      </c>
      <c r="M199" s="8" t="s">
        <v>16</v>
      </c>
      <c r="P199" s="16" t="s">
        <v>232</v>
      </c>
      <c r="Q199" s="2" t="s">
        <v>16</v>
      </c>
      <c r="S199" s="8" t="s">
        <v>276</v>
      </c>
      <c r="T199" s="9" t="s">
        <v>2222</v>
      </c>
      <c r="U199" s="8">
        <v>0</v>
      </c>
      <c r="V199" s="20">
        <v>29</v>
      </c>
      <c r="W199" s="21" t="s">
        <v>43</v>
      </c>
    </row>
    <row r="200" spans="1:23" ht="60">
      <c r="A200" s="8" t="s">
        <v>2383</v>
      </c>
      <c r="B200" s="8" t="s">
        <v>235</v>
      </c>
      <c r="C200" s="8" t="s">
        <v>2197</v>
      </c>
      <c r="D200" s="8" t="s">
        <v>100</v>
      </c>
      <c r="E200" s="8" t="s">
        <v>16</v>
      </c>
      <c r="F200" s="8" t="s">
        <v>2204</v>
      </c>
      <c r="G200" s="8" t="s">
        <v>2384</v>
      </c>
      <c r="H200" s="8">
        <v>1</v>
      </c>
      <c r="I200" s="8">
        <v>1</v>
      </c>
      <c r="J200" s="8">
        <v>20180712</v>
      </c>
      <c r="K200" s="9">
        <v>44154</v>
      </c>
      <c r="L200" s="9">
        <v>45931</v>
      </c>
      <c r="M200" s="8" t="s">
        <v>16</v>
      </c>
      <c r="P200" s="16" t="s">
        <v>232</v>
      </c>
      <c r="Q200" s="2" t="s">
        <v>16</v>
      </c>
      <c r="S200" s="8" t="s">
        <v>277</v>
      </c>
      <c r="T200" s="9">
        <v>45870</v>
      </c>
      <c r="U200" s="8">
        <v>0</v>
      </c>
      <c r="V200" s="20">
        <v>892</v>
      </c>
      <c r="W200" s="21" t="s">
        <v>16</v>
      </c>
    </row>
    <row r="201" spans="1:23" ht="60">
      <c r="A201" s="8" t="s">
        <v>2383</v>
      </c>
      <c r="B201" s="8" t="s">
        <v>235</v>
      </c>
      <c r="C201" s="8" t="s">
        <v>2197</v>
      </c>
      <c r="D201" s="8" t="s">
        <v>18</v>
      </c>
      <c r="E201" s="8" t="s">
        <v>16</v>
      </c>
      <c r="F201" s="8" t="s">
        <v>2204</v>
      </c>
      <c r="G201" s="8" t="s">
        <v>2384</v>
      </c>
      <c r="H201" s="8">
        <v>1300</v>
      </c>
      <c r="I201" s="8">
        <v>5</v>
      </c>
      <c r="J201" s="8">
        <v>20170831</v>
      </c>
      <c r="K201" s="9">
        <v>45386</v>
      </c>
      <c r="L201" s="9">
        <v>46082</v>
      </c>
      <c r="M201" s="8" t="s">
        <v>16</v>
      </c>
      <c r="P201" s="16" t="s">
        <v>235</v>
      </c>
      <c r="Q201" s="2" t="s">
        <v>16</v>
      </c>
      <c r="S201" s="8" t="s">
        <v>278</v>
      </c>
      <c r="T201" s="9">
        <v>47088</v>
      </c>
      <c r="U201" s="8">
        <v>0</v>
      </c>
      <c r="V201" s="20">
        <v>1400</v>
      </c>
      <c r="W201" s="21" t="s">
        <v>16</v>
      </c>
    </row>
    <row r="202" spans="1:23" ht="60">
      <c r="A202" s="8" t="s">
        <v>2383</v>
      </c>
      <c r="B202" s="8" t="s">
        <v>235</v>
      </c>
      <c r="C202" s="8" t="s">
        <v>2197</v>
      </c>
      <c r="D202" s="8" t="s">
        <v>18</v>
      </c>
      <c r="E202" s="8" t="s">
        <v>16</v>
      </c>
      <c r="F202" s="8" t="s">
        <v>2204</v>
      </c>
      <c r="G202" s="8" t="s">
        <v>2384</v>
      </c>
      <c r="H202" s="8">
        <v>1300</v>
      </c>
      <c r="I202" s="8">
        <v>1295</v>
      </c>
      <c r="J202" s="8">
        <v>20230217</v>
      </c>
      <c r="K202" s="9">
        <v>45369</v>
      </c>
      <c r="L202" s="9">
        <v>47178</v>
      </c>
      <c r="M202" s="8" t="s">
        <v>16</v>
      </c>
      <c r="P202" s="16" t="s">
        <v>235</v>
      </c>
      <c r="Q202" s="2" t="s">
        <v>16</v>
      </c>
      <c r="S202" s="8" t="s">
        <v>279</v>
      </c>
      <c r="T202" s="9">
        <v>46204</v>
      </c>
      <c r="U202" s="8">
        <v>0</v>
      </c>
      <c r="V202" s="20">
        <v>2847</v>
      </c>
      <c r="W202" s="21" t="s">
        <v>16</v>
      </c>
    </row>
    <row r="203" spans="1:23" ht="60">
      <c r="A203" s="8" t="s">
        <v>2385</v>
      </c>
      <c r="B203" s="8" t="s">
        <v>236</v>
      </c>
      <c r="C203" s="8" t="s">
        <v>2303</v>
      </c>
      <c r="D203" s="8" t="s">
        <v>18</v>
      </c>
      <c r="E203" s="8" t="s">
        <v>16</v>
      </c>
      <c r="F203" s="8" t="s">
        <v>2228</v>
      </c>
      <c r="G203" s="8" t="s">
        <v>2386</v>
      </c>
      <c r="H203" s="8">
        <v>270</v>
      </c>
      <c r="I203" s="8">
        <v>24</v>
      </c>
      <c r="J203" s="8">
        <v>201240134031</v>
      </c>
      <c r="K203" s="9">
        <v>45453</v>
      </c>
      <c r="L203" s="9">
        <v>47119</v>
      </c>
      <c r="M203" s="8" t="s">
        <v>16</v>
      </c>
      <c r="P203" s="16" t="s">
        <v>235</v>
      </c>
      <c r="Q203" s="2" t="s">
        <v>16</v>
      </c>
      <c r="S203" s="8" t="s">
        <v>279</v>
      </c>
      <c r="T203" s="9">
        <v>46266</v>
      </c>
      <c r="U203" s="8">
        <v>0</v>
      </c>
      <c r="V203" s="20">
        <v>1400</v>
      </c>
      <c r="W203" s="21" t="s">
        <v>16</v>
      </c>
    </row>
    <row r="204" spans="1:23" ht="60">
      <c r="A204" s="8" t="s">
        <v>2385</v>
      </c>
      <c r="B204" s="8" t="s">
        <v>236</v>
      </c>
      <c r="C204" s="8" t="s">
        <v>2303</v>
      </c>
      <c r="D204" s="8" t="s">
        <v>18</v>
      </c>
      <c r="E204" s="8" t="s">
        <v>16</v>
      </c>
      <c r="F204" s="8" t="s">
        <v>2228</v>
      </c>
      <c r="G204" s="8" t="s">
        <v>2386</v>
      </c>
      <c r="H204" s="8">
        <v>270</v>
      </c>
      <c r="I204" s="8">
        <v>246</v>
      </c>
      <c r="J204" s="8">
        <v>201240635137</v>
      </c>
      <c r="K204" s="9">
        <v>45450</v>
      </c>
      <c r="L204" s="9">
        <v>47270</v>
      </c>
      <c r="M204" s="8" t="s">
        <v>16</v>
      </c>
      <c r="P204" s="16" t="s">
        <v>236</v>
      </c>
      <c r="Q204" s="2" t="s">
        <v>16</v>
      </c>
      <c r="S204" s="8" t="s">
        <v>279</v>
      </c>
      <c r="T204" s="9">
        <v>46419</v>
      </c>
      <c r="U204" s="8">
        <v>0</v>
      </c>
      <c r="V204" s="20">
        <v>2900</v>
      </c>
      <c r="W204" s="21" t="s">
        <v>16</v>
      </c>
    </row>
    <row r="205" spans="1:23" ht="60">
      <c r="A205" s="8" t="s">
        <v>2387</v>
      </c>
      <c r="B205" s="8" t="s">
        <v>237</v>
      </c>
      <c r="C205" s="8" t="s">
        <v>2197</v>
      </c>
      <c r="D205" s="8" t="s">
        <v>18</v>
      </c>
      <c r="E205" s="8" t="s">
        <v>16</v>
      </c>
      <c r="F205" s="8" t="s">
        <v>2228</v>
      </c>
      <c r="G205" s="8" t="s">
        <v>2386</v>
      </c>
      <c r="H205" s="8">
        <v>2240</v>
      </c>
      <c r="I205" s="8">
        <v>2240</v>
      </c>
      <c r="J205" s="8">
        <v>201240635142</v>
      </c>
      <c r="K205" s="9">
        <v>45456</v>
      </c>
      <c r="L205" s="9">
        <v>47270</v>
      </c>
      <c r="M205" s="8" t="s">
        <v>16</v>
      </c>
      <c r="P205" s="16" t="s">
        <v>236</v>
      </c>
      <c r="Q205" s="2" t="s">
        <v>16</v>
      </c>
      <c r="S205" s="8" t="s">
        <v>280</v>
      </c>
      <c r="T205" s="9">
        <v>46419</v>
      </c>
      <c r="U205" s="8">
        <v>0</v>
      </c>
      <c r="V205" s="20">
        <v>607</v>
      </c>
      <c r="W205" s="21" t="s">
        <v>16</v>
      </c>
    </row>
    <row r="206" spans="1:23" ht="60">
      <c r="A206" s="8" t="s">
        <v>2388</v>
      </c>
      <c r="B206" s="8" t="s">
        <v>238</v>
      </c>
      <c r="C206" s="8" t="s">
        <v>2307</v>
      </c>
      <c r="D206" s="8" t="s">
        <v>18</v>
      </c>
      <c r="E206" s="8" t="s">
        <v>16</v>
      </c>
      <c r="F206" s="8" t="s">
        <v>2228</v>
      </c>
      <c r="G206" s="8" t="s">
        <v>2386</v>
      </c>
      <c r="H206" s="8">
        <v>347</v>
      </c>
      <c r="I206" s="8">
        <v>347</v>
      </c>
      <c r="J206" s="8">
        <v>201240635137</v>
      </c>
      <c r="K206" s="9">
        <v>45450</v>
      </c>
      <c r="L206" s="9">
        <v>47270</v>
      </c>
      <c r="M206" s="8" t="s">
        <v>16</v>
      </c>
      <c r="P206" s="16" t="s">
        <v>237</v>
      </c>
      <c r="Q206" s="2" t="s">
        <v>16</v>
      </c>
      <c r="S206" s="8" t="s">
        <v>280</v>
      </c>
      <c r="T206" s="9">
        <v>46508</v>
      </c>
      <c r="U206" s="8">
        <v>0</v>
      </c>
      <c r="V206" s="20">
        <v>1060</v>
      </c>
      <c r="W206" s="21" t="s">
        <v>16</v>
      </c>
    </row>
    <row r="207" spans="1:23" ht="60">
      <c r="A207" s="8" t="s">
        <v>2389</v>
      </c>
      <c r="B207" s="8" t="s">
        <v>239</v>
      </c>
      <c r="C207" s="8" t="s">
        <v>2197</v>
      </c>
      <c r="D207" s="8" t="s">
        <v>18</v>
      </c>
      <c r="E207" s="8" t="s">
        <v>16</v>
      </c>
      <c r="F207" s="8" t="s">
        <v>2228</v>
      </c>
      <c r="G207" s="8" t="s">
        <v>2386</v>
      </c>
      <c r="H207" s="8">
        <v>413</v>
      </c>
      <c r="I207" s="8">
        <v>413</v>
      </c>
      <c r="J207" s="10">
        <v>201000000000</v>
      </c>
      <c r="K207" s="9">
        <v>45164</v>
      </c>
      <c r="L207" s="9">
        <v>46478</v>
      </c>
      <c r="M207" s="8" t="s">
        <v>16</v>
      </c>
      <c r="P207" s="16" t="s">
        <v>238</v>
      </c>
      <c r="Q207" s="2" t="s">
        <v>16</v>
      </c>
      <c r="S207" s="8" t="s">
        <v>281</v>
      </c>
      <c r="T207" s="9">
        <v>46204</v>
      </c>
      <c r="U207" s="8">
        <v>0</v>
      </c>
      <c r="V207" s="20">
        <v>2893</v>
      </c>
      <c r="W207" s="21" t="s">
        <v>16</v>
      </c>
    </row>
    <row r="208" spans="1:23" ht="60">
      <c r="A208" s="8" t="s">
        <v>2390</v>
      </c>
      <c r="B208" s="8" t="s">
        <v>240</v>
      </c>
      <c r="C208" s="8" t="s">
        <v>2203</v>
      </c>
      <c r="D208" s="8" t="s">
        <v>18</v>
      </c>
      <c r="E208" s="8" t="s">
        <v>16</v>
      </c>
      <c r="F208" s="8" t="s">
        <v>2204</v>
      </c>
      <c r="G208" s="8" t="s">
        <v>2391</v>
      </c>
      <c r="H208" s="8">
        <v>204</v>
      </c>
      <c r="I208" s="8">
        <v>17</v>
      </c>
      <c r="J208" s="8">
        <v>40223070700</v>
      </c>
      <c r="K208" s="9">
        <v>45127</v>
      </c>
      <c r="L208" s="9">
        <v>46935</v>
      </c>
      <c r="M208" s="8" t="s">
        <v>16</v>
      </c>
      <c r="P208" s="16" t="s">
        <v>239</v>
      </c>
      <c r="Q208" s="2" t="s">
        <v>16</v>
      </c>
      <c r="S208" s="8" t="s">
        <v>281</v>
      </c>
      <c r="T208" s="9">
        <v>46143</v>
      </c>
      <c r="U208" s="8">
        <v>0</v>
      </c>
      <c r="V208" s="20">
        <v>50</v>
      </c>
      <c r="W208" s="21" t="s">
        <v>16</v>
      </c>
    </row>
    <row r="209" spans="1:23" ht="60">
      <c r="A209" s="8" t="s">
        <v>2390</v>
      </c>
      <c r="B209" s="8" t="s">
        <v>240</v>
      </c>
      <c r="C209" s="8" t="s">
        <v>2203</v>
      </c>
      <c r="D209" s="8" t="s">
        <v>18</v>
      </c>
      <c r="E209" s="8" t="s">
        <v>16</v>
      </c>
      <c r="F209" s="8" t="s">
        <v>2204</v>
      </c>
      <c r="G209" s="8" t="s">
        <v>2391</v>
      </c>
      <c r="H209" s="8">
        <v>204</v>
      </c>
      <c r="I209" s="8">
        <v>187</v>
      </c>
      <c r="J209" s="10">
        <v>402000000000</v>
      </c>
      <c r="K209" s="9">
        <v>45146</v>
      </c>
      <c r="L209" s="9">
        <v>46935</v>
      </c>
      <c r="M209" s="8" t="s">
        <v>16</v>
      </c>
      <c r="P209" s="16" t="s">
        <v>240</v>
      </c>
      <c r="Q209" s="2" t="s">
        <v>16</v>
      </c>
      <c r="S209" s="8" t="s">
        <v>281</v>
      </c>
      <c r="T209" s="9">
        <v>46357</v>
      </c>
      <c r="U209" s="8">
        <v>0</v>
      </c>
      <c r="V209" s="20">
        <v>50</v>
      </c>
      <c r="W209" s="21" t="s">
        <v>16</v>
      </c>
    </row>
    <row r="210" spans="1:23" ht="60">
      <c r="A210" s="8" t="s">
        <v>2392</v>
      </c>
      <c r="B210" s="8" t="s">
        <v>241</v>
      </c>
      <c r="C210" s="8" t="s">
        <v>2203</v>
      </c>
      <c r="D210" s="8" t="s">
        <v>18</v>
      </c>
      <c r="E210" s="8" t="s">
        <v>16</v>
      </c>
      <c r="F210" s="8" t="s">
        <v>2204</v>
      </c>
      <c r="G210" s="8" t="s">
        <v>2391</v>
      </c>
      <c r="H210" s="8">
        <v>461</v>
      </c>
      <c r="I210" s="8">
        <v>121</v>
      </c>
      <c r="J210" s="10">
        <v>402000000000</v>
      </c>
      <c r="K210" s="9">
        <v>45127</v>
      </c>
      <c r="L210" s="9">
        <v>45870</v>
      </c>
      <c r="M210" s="8" t="s">
        <v>16</v>
      </c>
      <c r="P210" s="16" t="s">
        <v>240</v>
      </c>
      <c r="Q210" s="2" t="s">
        <v>16</v>
      </c>
      <c r="S210" s="8" t="s">
        <v>281</v>
      </c>
      <c r="T210" s="9">
        <v>46235</v>
      </c>
      <c r="U210" s="8">
        <v>0</v>
      </c>
      <c r="V210" s="20">
        <v>1700</v>
      </c>
      <c r="W210" s="21" t="s">
        <v>16</v>
      </c>
    </row>
    <row r="211" spans="1:23" ht="60">
      <c r="A211" s="8" t="s">
        <v>2392</v>
      </c>
      <c r="B211" s="8" t="s">
        <v>241</v>
      </c>
      <c r="C211" s="8" t="s">
        <v>2203</v>
      </c>
      <c r="D211" s="8" t="s">
        <v>18</v>
      </c>
      <c r="E211" s="8" t="s">
        <v>16</v>
      </c>
      <c r="F211" s="8" t="s">
        <v>2204</v>
      </c>
      <c r="G211" s="8" t="s">
        <v>2391</v>
      </c>
      <c r="H211" s="8">
        <v>461</v>
      </c>
      <c r="I211" s="8">
        <v>340</v>
      </c>
      <c r="J211" s="8">
        <v>402201207004</v>
      </c>
      <c r="K211" s="9">
        <v>45299</v>
      </c>
      <c r="L211" s="9">
        <v>45992</v>
      </c>
      <c r="M211" s="8" t="s">
        <v>16</v>
      </c>
      <c r="P211" s="16" t="s">
        <v>241</v>
      </c>
      <c r="Q211" s="2" t="s">
        <v>16</v>
      </c>
      <c r="S211" s="8" t="s">
        <v>281</v>
      </c>
      <c r="T211" s="9">
        <v>46296</v>
      </c>
      <c r="U211" s="8">
        <v>0</v>
      </c>
      <c r="V211" s="20">
        <v>4650</v>
      </c>
      <c r="W211" s="21" t="s">
        <v>16</v>
      </c>
    </row>
    <row r="212" spans="1:23" ht="45">
      <c r="A212" s="8" t="s">
        <v>2393</v>
      </c>
      <c r="B212" s="8" t="s">
        <v>242</v>
      </c>
      <c r="C212" s="8" t="s">
        <v>2203</v>
      </c>
      <c r="D212" s="8" t="s">
        <v>18</v>
      </c>
      <c r="E212" s="8" t="s">
        <v>16</v>
      </c>
      <c r="F212" s="8" t="s">
        <v>2204</v>
      </c>
      <c r="G212" s="8" t="s">
        <v>2391</v>
      </c>
      <c r="H212" s="8">
        <v>172</v>
      </c>
      <c r="I212" s="8">
        <v>172</v>
      </c>
      <c r="J212" s="10">
        <v>402000000000</v>
      </c>
      <c r="K212" s="9">
        <v>45146</v>
      </c>
      <c r="L212" s="9">
        <v>46966</v>
      </c>
      <c r="M212" s="8" t="s">
        <v>16</v>
      </c>
      <c r="P212" s="16" t="s">
        <v>241</v>
      </c>
      <c r="Q212" s="2" t="s">
        <v>16</v>
      </c>
      <c r="S212" s="8" t="s">
        <v>282</v>
      </c>
      <c r="T212" s="9" t="s">
        <v>2222</v>
      </c>
      <c r="U212" s="8">
        <v>0</v>
      </c>
      <c r="V212" s="20">
        <v>6</v>
      </c>
      <c r="W212" s="21" t="s">
        <v>43</v>
      </c>
    </row>
    <row r="213" spans="1:23" ht="60">
      <c r="A213" s="8" t="s">
        <v>2394</v>
      </c>
      <c r="B213" s="8" t="s">
        <v>243</v>
      </c>
      <c r="C213" s="8" t="s">
        <v>2203</v>
      </c>
      <c r="D213" s="8" t="s">
        <v>18</v>
      </c>
      <c r="E213" s="8" t="s">
        <v>16</v>
      </c>
      <c r="F213" s="8" t="s">
        <v>2198</v>
      </c>
      <c r="G213" s="8" t="s">
        <v>2395</v>
      </c>
      <c r="H213" s="8">
        <v>2401</v>
      </c>
      <c r="I213" s="8">
        <v>366</v>
      </c>
      <c r="J213" s="8" t="s">
        <v>244</v>
      </c>
      <c r="K213" s="9">
        <v>44496</v>
      </c>
      <c r="L213" s="9">
        <v>45870</v>
      </c>
      <c r="M213" s="8" t="s">
        <v>16</v>
      </c>
      <c r="P213" s="16" t="s">
        <v>242</v>
      </c>
      <c r="Q213" s="2" t="s">
        <v>16</v>
      </c>
      <c r="S213" s="8" t="s">
        <v>283</v>
      </c>
      <c r="T213" s="9">
        <v>44153</v>
      </c>
      <c r="U213" s="8">
        <v>0</v>
      </c>
      <c r="V213" s="20">
        <v>27</v>
      </c>
      <c r="W213" s="21" t="s">
        <v>43</v>
      </c>
    </row>
    <row r="214" spans="1:23" ht="60">
      <c r="A214" s="8" t="s">
        <v>2394</v>
      </c>
      <c r="B214" s="8" t="s">
        <v>243</v>
      </c>
      <c r="C214" s="8" t="s">
        <v>2203</v>
      </c>
      <c r="D214" s="8" t="s">
        <v>18</v>
      </c>
      <c r="E214" s="8" t="s">
        <v>16</v>
      </c>
      <c r="F214" s="8" t="s">
        <v>2198</v>
      </c>
      <c r="G214" s="8" t="s">
        <v>2395</v>
      </c>
      <c r="H214" s="8">
        <v>2401</v>
      </c>
      <c r="I214" s="8">
        <v>2035</v>
      </c>
      <c r="J214" s="8" t="s">
        <v>245</v>
      </c>
      <c r="K214" s="9">
        <v>44357</v>
      </c>
      <c r="L214" s="9">
        <v>45870</v>
      </c>
      <c r="M214" s="8" t="s">
        <v>16</v>
      </c>
      <c r="P214" s="16" t="s">
        <v>243</v>
      </c>
      <c r="Q214" s="2" t="s">
        <v>16</v>
      </c>
      <c r="S214" s="8" t="s">
        <v>284</v>
      </c>
      <c r="T214" s="9">
        <v>46753</v>
      </c>
      <c r="U214" s="8">
        <v>0</v>
      </c>
      <c r="V214" s="20">
        <v>414</v>
      </c>
      <c r="W214" s="21" t="s">
        <v>151</v>
      </c>
    </row>
    <row r="215" spans="1:23" ht="60">
      <c r="A215" s="8" t="s">
        <v>2396</v>
      </c>
      <c r="B215" s="8" t="s">
        <v>246</v>
      </c>
      <c r="C215" s="8" t="s">
        <v>2203</v>
      </c>
      <c r="D215" s="8" t="s">
        <v>18</v>
      </c>
      <c r="E215" s="8" t="s">
        <v>16</v>
      </c>
      <c r="F215" s="8" t="s">
        <v>2198</v>
      </c>
      <c r="G215" s="8" t="s">
        <v>2395</v>
      </c>
      <c r="H215" s="8">
        <v>10903</v>
      </c>
      <c r="I215" s="8">
        <v>10903</v>
      </c>
      <c r="J215" s="8" t="s">
        <v>247</v>
      </c>
      <c r="K215" s="9">
        <v>44869</v>
      </c>
      <c r="L215" s="9">
        <v>46023</v>
      </c>
      <c r="M215" s="8" t="s">
        <v>16</v>
      </c>
      <c r="P215" s="16" t="s">
        <v>243</v>
      </c>
      <c r="Q215" s="2" t="s">
        <v>16</v>
      </c>
      <c r="S215" s="8" t="s">
        <v>285</v>
      </c>
      <c r="T215" s="9">
        <v>46997</v>
      </c>
      <c r="U215" s="8">
        <v>0</v>
      </c>
      <c r="V215" s="20">
        <v>946</v>
      </c>
      <c r="W215" s="21" t="s">
        <v>151</v>
      </c>
    </row>
    <row r="216" spans="1:23" ht="60">
      <c r="A216" s="8" t="s">
        <v>2399</v>
      </c>
      <c r="B216" s="8" t="s">
        <v>249</v>
      </c>
      <c r="C216" s="8" t="s">
        <v>2197</v>
      </c>
      <c r="D216" s="8" t="s">
        <v>18</v>
      </c>
      <c r="E216" s="8" t="s">
        <v>16</v>
      </c>
      <c r="F216" s="8" t="s">
        <v>2198</v>
      </c>
      <c r="G216" s="8" t="s">
        <v>2398</v>
      </c>
      <c r="H216" s="8">
        <v>5136</v>
      </c>
      <c r="I216" s="8">
        <v>1216</v>
      </c>
      <c r="J216" s="8">
        <v>2100004</v>
      </c>
      <c r="K216" s="9">
        <v>44446</v>
      </c>
      <c r="L216" s="9">
        <v>45931</v>
      </c>
      <c r="M216" s="8" t="s">
        <v>16</v>
      </c>
      <c r="P216" s="16" t="s">
        <v>246</v>
      </c>
      <c r="Q216" s="2" t="s">
        <v>16</v>
      </c>
      <c r="S216" s="8" t="s">
        <v>285</v>
      </c>
      <c r="T216" s="9">
        <v>47239</v>
      </c>
      <c r="U216" s="8">
        <v>0</v>
      </c>
      <c r="V216" s="20">
        <v>2000</v>
      </c>
      <c r="W216" s="21" t="s">
        <v>151</v>
      </c>
    </row>
    <row r="217" spans="1:23" ht="75">
      <c r="A217" s="8" t="s">
        <v>2399</v>
      </c>
      <c r="B217" s="8" t="s">
        <v>249</v>
      </c>
      <c r="C217" s="8" t="s">
        <v>2197</v>
      </c>
      <c r="D217" s="8" t="s">
        <v>18</v>
      </c>
      <c r="E217" s="8" t="s">
        <v>16</v>
      </c>
      <c r="F217" s="8" t="s">
        <v>2198</v>
      </c>
      <c r="G217" s="8" t="s">
        <v>2398</v>
      </c>
      <c r="H217" s="8">
        <v>5136</v>
      </c>
      <c r="I217" s="8">
        <v>3920</v>
      </c>
      <c r="J217" s="8">
        <v>2109001</v>
      </c>
      <c r="K217" s="9">
        <v>44466</v>
      </c>
      <c r="L217" s="9">
        <v>46266</v>
      </c>
      <c r="M217" s="8" t="s">
        <v>16</v>
      </c>
      <c r="P217" s="17" t="s">
        <v>248</v>
      </c>
      <c r="Q217" s="2" t="s">
        <v>38</v>
      </c>
      <c r="S217" s="8" t="s">
        <v>286</v>
      </c>
      <c r="T217" s="9">
        <v>46753</v>
      </c>
      <c r="U217" s="8">
        <v>0</v>
      </c>
      <c r="V217" s="20">
        <v>339</v>
      </c>
      <c r="W217" s="21" t="s">
        <v>151</v>
      </c>
    </row>
    <row r="218" spans="1:23" ht="75">
      <c r="A218" s="8" t="s">
        <v>2397</v>
      </c>
      <c r="B218" s="8" t="s">
        <v>248</v>
      </c>
      <c r="C218" s="8" t="s">
        <v>2197</v>
      </c>
      <c r="D218" s="8" t="s">
        <v>18</v>
      </c>
      <c r="E218" s="8" t="s">
        <v>16</v>
      </c>
      <c r="F218" s="8" t="s">
        <v>2198</v>
      </c>
      <c r="G218" s="8" t="s">
        <v>2398</v>
      </c>
      <c r="H218" s="8">
        <v>1</v>
      </c>
      <c r="I218" s="8">
        <v>1</v>
      </c>
      <c r="J218" s="8">
        <v>1911001</v>
      </c>
      <c r="K218" s="9">
        <v>43935</v>
      </c>
      <c r="L218" s="9">
        <v>45597</v>
      </c>
      <c r="M218" s="8" t="s">
        <v>38</v>
      </c>
      <c r="P218" s="16" t="s">
        <v>249</v>
      </c>
      <c r="Q218" s="2" t="s">
        <v>16</v>
      </c>
      <c r="S218" s="8" t="s">
        <v>288</v>
      </c>
      <c r="T218" s="9">
        <v>47058</v>
      </c>
      <c r="U218" s="8">
        <v>0</v>
      </c>
      <c r="V218" s="20">
        <v>2175</v>
      </c>
      <c r="W218" s="21" t="s">
        <v>16</v>
      </c>
    </row>
    <row r="219" spans="1:23" ht="60">
      <c r="A219" s="8" t="s">
        <v>2400</v>
      </c>
      <c r="B219" s="8" t="s">
        <v>250</v>
      </c>
      <c r="C219" s="8" t="s">
        <v>2197</v>
      </c>
      <c r="D219" s="8" t="s">
        <v>18</v>
      </c>
      <c r="E219" s="8" t="s">
        <v>16</v>
      </c>
      <c r="F219" s="8" t="s">
        <v>2198</v>
      </c>
      <c r="G219" s="8" t="s">
        <v>2398</v>
      </c>
      <c r="H219" s="8">
        <v>6466</v>
      </c>
      <c r="I219" s="8">
        <v>6466</v>
      </c>
      <c r="J219" s="8">
        <v>2002001</v>
      </c>
      <c r="K219" s="9">
        <v>43935</v>
      </c>
      <c r="L219" s="9">
        <v>45689</v>
      </c>
      <c r="M219" s="8" t="s">
        <v>16</v>
      </c>
      <c r="P219" s="16" t="s">
        <v>249</v>
      </c>
      <c r="Q219" s="2" t="s">
        <v>16</v>
      </c>
      <c r="S219" s="8" t="s">
        <v>291</v>
      </c>
      <c r="T219" s="9">
        <v>46997</v>
      </c>
      <c r="U219" s="8">
        <v>0</v>
      </c>
      <c r="V219" s="20">
        <v>485</v>
      </c>
      <c r="W219" s="21" t="s">
        <v>16</v>
      </c>
    </row>
    <row r="220" spans="1:23" ht="48.75">
      <c r="A220" s="8" t="s">
        <v>2401</v>
      </c>
      <c r="B220" s="8" t="s">
        <v>251</v>
      </c>
      <c r="C220" s="8" t="s">
        <v>2203</v>
      </c>
      <c r="D220" s="8" t="s">
        <v>18</v>
      </c>
      <c r="E220" s="8" t="s">
        <v>16</v>
      </c>
      <c r="F220" s="8" t="s">
        <v>2211</v>
      </c>
      <c r="G220" s="8" t="s">
        <v>2402</v>
      </c>
      <c r="H220" s="8">
        <v>849</v>
      </c>
      <c r="I220" s="8">
        <v>849</v>
      </c>
      <c r="J220" s="8">
        <v>23120609</v>
      </c>
      <c r="K220" s="9">
        <v>45436</v>
      </c>
      <c r="L220" s="9">
        <v>47058</v>
      </c>
      <c r="M220" s="8" t="s">
        <v>16</v>
      </c>
      <c r="P220" s="16" t="s">
        <v>250</v>
      </c>
      <c r="Q220" s="2" t="s">
        <v>16</v>
      </c>
      <c r="S220" s="8" t="s">
        <v>293</v>
      </c>
      <c r="T220" s="9">
        <v>47058</v>
      </c>
      <c r="U220" s="8">
        <v>0</v>
      </c>
      <c r="V220" s="20">
        <v>1500</v>
      </c>
      <c r="W220" s="21" t="s">
        <v>16</v>
      </c>
    </row>
    <row r="221" spans="1:23" ht="60">
      <c r="A221" s="8" t="s">
        <v>2403</v>
      </c>
      <c r="B221" s="8" t="s">
        <v>252</v>
      </c>
      <c r="C221" s="8" t="s">
        <v>2197</v>
      </c>
      <c r="D221" s="8" t="s">
        <v>18</v>
      </c>
      <c r="E221" s="8" t="s">
        <v>16</v>
      </c>
      <c r="F221" s="8" t="s">
        <v>2228</v>
      </c>
      <c r="G221" s="8" t="s">
        <v>2404</v>
      </c>
      <c r="H221" s="8">
        <v>530</v>
      </c>
      <c r="I221" s="8">
        <v>530</v>
      </c>
      <c r="J221" s="8" t="s">
        <v>253</v>
      </c>
      <c r="K221" s="9">
        <v>44922</v>
      </c>
      <c r="L221" s="9">
        <v>46722</v>
      </c>
      <c r="M221" s="8" t="s">
        <v>16</v>
      </c>
      <c r="P221" s="16" t="s">
        <v>251</v>
      </c>
      <c r="Q221" s="2" t="s">
        <v>16</v>
      </c>
      <c r="S221" s="8" t="s">
        <v>295</v>
      </c>
      <c r="T221" s="9">
        <v>46997</v>
      </c>
      <c r="U221" s="8">
        <v>0</v>
      </c>
      <c r="V221" s="20">
        <v>419</v>
      </c>
      <c r="W221" s="21" t="s">
        <v>16</v>
      </c>
    </row>
    <row r="222" spans="1:23" ht="60">
      <c r="A222" s="8" t="s">
        <v>2405</v>
      </c>
      <c r="B222" s="8" t="s">
        <v>254</v>
      </c>
      <c r="C222" s="8" t="s">
        <v>2197</v>
      </c>
      <c r="D222" s="8" t="s">
        <v>18</v>
      </c>
      <c r="E222" s="8" t="s">
        <v>16</v>
      </c>
      <c r="F222" s="8" t="s">
        <v>2228</v>
      </c>
      <c r="G222" s="8" t="s">
        <v>2404</v>
      </c>
      <c r="H222" s="8">
        <v>1865</v>
      </c>
      <c r="I222" s="8">
        <v>1865</v>
      </c>
      <c r="J222" s="8" t="s">
        <v>253</v>
      </c>
      <c r="K222" s="9">
        <v>44922</v>
      </c>
      <c r="L222" s="9">
        <v>46722</v>
      </c>
      <c r="M222" s="8" t="s">
        <v>16</v>
      </c>
      <c r="P222" s="16" t="s">
        <v>252</v>
      </c>
      <c r="Q222" s="2" t="s">
        <v>16</v>
      </c>
      <c r="S222" s="8" t="s">
        <v>295</v>
      </c>
      <c r="T222" s="9">
        <v>47088</v>
      </c>
      <c r="U222" s="8">
        <v>0</v>
      </c>
      <c r="V222" s="20">
        <v>2500</v>
      </c>
      <c r="W222" s="21" t="s">
        <v>16</v>
      </c>
    </row>
    <row r="223" spans="1:23" ht="60">
      <c r="A223" s="8" t="s">
        <v>2406</v>
      </c>
      <c r="B223" s="8" t="s">
        <v>255</v>
      </c>
      <c r="C223" s="8" t="s">
        <v>2197</v>
      </c>
      <c r="D223" s="8" t="s">
        <v>18</v>
      </c>
      <c r="E223" s="8" t="s">
        <v>16</v>
      </c>
      <c r="F223" s="8" t="s">
        <v>2228</v>
      </c>
      <c r="G223" s="8" t="s">
        <v>2404</v>
      </c>
      <c r="H223" s="8">
        <v>409</v>
      </c>
      <c r="I223" s="8">
        <v>409</v>
      </c>
      <c r="J223" s="8" t="s">
        <v>253</v>
      </c>
      <c r="K223" s="9">
        <v>44922</v>
      </c>
      <c r="L223" s="9">
        <v>46722</v>
      </c>
      <c r="M223" s="8" t="s">
        <v>16</v>
      </c>
      <c r="P223" s="17" t="s">
        <v>254</v>
      </c>
      <c r="Q223" s="2" t="s">
        <v>16</v>
      </c>
      <c r="S223" s="8" t="s">
        <v>298</v>
      </c>
      <c r="T223" s="9">
        <v>47058</v>
      </c>
      <c r="U223" s="8">
        <v>0</v>
      </c>
      <c r="V223" s="20">
        <v>8</v>
      </c>
      <c r="W223" s="21" t="s">
        <v>16</v>
      </c>
    </row>
    <row r="224" spans="1:23" ht="45">
      <c r="A224" s="8" t="s">
        <v>2407</v>
      </c>
      <c r="B224" s="8" t="s">
        <v>256</v>
      </c>
      <c r="C224" s="8" t="s">
        <v>2197</v>
      </c>
      <c r="D224" s="8" t="s">
        <v>18</v>
      </c>
      <c r="E224" s="8" t="s">
        <v>151</v>
      </c>
      <c r="F224" s="8" t="s">
        <v>2258</v>
      </c>
      <c r="G224" s="8" t="s">
        <v>2408</v>
      </c>
      <c r="H224" s="8">
        <v>3110</v>
      </c>
      <c r="I224" s="8">
        <v>5</v>
      </c>
      <c r="J224" s="8">
        <v>111021624</v>
      </c>
      <c r="K224" s="9">
        <v>45379</v>
      </c>
      <c r="L224" s="9">
        <v>47119</v>
      </c>
      <c r="M224" s="8" t="s">
        <v>151</v>
      </c>
      <c r="P224" s="17" t="s">
        <v>255</v>
      </c>
      <c r="Q224" s="2" t="s">
        <v>16</v>
      </c>
      <c r="S224" s="8" t="s">
        <v>298</v>
      </c>
      <c r="T224" s="9">
        <v>47239</v>
      </c>
      <c r="U224" s="8">
        <v>0</v>
      </c>
      <c r="V224" s="20">
        <v>440</v>
      </c>
      <c r="W224" s="21" t="s">
        <v>16</v>
      </c>
    </row>
    <row r="225" spans="1:23" ht="45">
      <c r="A225" s="8" t="s">
        <v>2407</v>
      </c>
      <c r="B225" s="8" t="s">
        <v>256</v>
      </c>
      <c r="C225" s="8" t="s">
        <v>2197</v>
      </c>
      <c r="D225" s="8" t="s">
        <v>18</v>
      </c>
      <c r="E225" s="8" t="s">
        <v>151</v>
      </c>
      <c r="F225" s="8" t="s">
        <v>2258</v>
      </c>
      <c r="G225" s="8" t="s">
        <v>2408</v>
      </c>
      <c r="H225" s="8">
        <v>3110</v>
      </c>
      <c r="I225" s="8">
        <v>3105</v>
      </c>
      <c r="J225" s="8">
        <v>511022024</v>
      </c>
      <c r="K225" s="9">
        <v>45461</v>
      </c>
      <c r="L225" s="9">
        <v>47239</v>
      </c>
      <c r="M225" s="8" t="s">
        <v>151</v>
      </c>
      <c r="P225" s="16" t="s">
        <v>256</v>
      </c>
      <c r="Q225" s="2" t="s">
        <v>151</v>
      </c>
      <c r="S225" s="8" t="s">
        <v>298</v>
      </c>
      <c r="T225" s="9">
        <v>47270</v>
      </c>
      <c r="U225" s="8">
        <v>0</v>
      </c>
      <c r="V225" s="20">
        <v>1000</v>
      </c>
      <c r="W225" s="21" t="s">
        <v>16</v>
      </c>
    </row>
    <row r="226" spans="1:23" ht="45">
      <c r="A226" s="8" t="s">
        <v>2409</v>
      </c>
      <c r="B226" s="8" t="s">
        <v>257</v>
      </c>
      <c r="C226" s="8" t="s">
        <v>2197</v>
      </c>
      <c r="D226" s="8" t="s">
        <v>18</v>
      </c>
      <c r="E226" s="8" t="s">
        <v>151</v>
      </c>
      <c r="F226" s="8" t="s">
        <v>2258</v>
      </c>
      <c r="G226" s="8" t="s">
        <v>2408</v>
      </c>
      <c r="H226" s="8">
        <v>4410</v>
      </c>
      <c r="I226" s="8">
        <v>4410</v>
      </c>
      <c r="J226" s="8">
        <v>511023024</v>
      </c>
      <c r="K226" s="9">
        <v>45446</v>
      </c>
      <c r="L226" s="9">
        <v>47239</v>
      </c>
      <c r="M226" s="8" t="s">
        <v>151</v>
      </c>
      <c r="P226" s="16" t="s">
        <v>256</v>
      </c>
      <c r="Q226" s="2" t="s">
        <v>151</v>
      </c>
      <c r="S226" s="8" t="s">
        <v>301</v>
      </c>
      <c r="T226" s="9">
        <v>47058</v>
      </c>
      <c r="U226" s="8">
        <v>0</v>
      </c>
      <c r="V226" s="20">
        <v>289</v>
      </c>
      <c r="W226" s="21" t="s">
        <v>16</v>
      </c>
    </row>
    <row r="227" spans="1:23" ht="45">
      <c r="A227" s="8" t="s">
        <v>2410</v>
      </c>
      <c r="B227" s="8" t="s">
        <v>258</v>
      </c>
      <c r="C227" s="8" t="s">
        <v>2197</v>
      </c>
      <c r="D227" s="8" t="s">
        <v>18</v>
      </c>
      <c r="E227" s="8" t="s">
        <v>151</v>
      </c>
      <c r="F227" s="8" t="s">
        <v>2258</v>
      </c>
      <c r="G227" s="8" t="s">
        <v>2408</v>
      </c>
      <c r="H227" s="8">
        <v>2233</v>
      </c>
      <c r="I227" s="8">
        <v>8</v>
      </c>
      <c r="J227" s="8">
        <v>211020726</v>
      </c>
      <c r="K227" s="9">
        <v>45337</v>
      </c>
      <c r="L227" s="9">
        <v>47150</v>
      </c>
      <c r="M227" s="8" t="s">
        <v>151</v>
      </c>
      <c r="P227" s="16" t="s">
        <v>257</v>
      </c>
      <c r="Q227" s="2" t="s">
        <v>151</v>
      </c>
      <c r="S227" s="8" t="s">
        <v>303</v>
      </c>
      <c r="T227" s="9">
        <v>47058</v>
      </c>
      <c r="U227" s="8">
        <v>0</v>
      </c>
      <c r="V227" s="20">
        <v>830</v>
      </c>
      <c r="W227" s="21" t="s">
        <v>16</v>
      </c>
    </row>
    <row r="228" spans="1:23" ht="45">
      <c r="A228" s="8" t="s">
        <v>2410</v>
      </c>
      <c r="B228" s="8" t="s">
        <v>258</v>
      </c>
      <c r="C228" s="8" t="s">
        <v>2197</v>
      </c>
      <c r="D228" s="8" t="s">
        <v>18</v>
      </c>
      <c r="E228" s="8" t="s">
        <v>151</v>
      </c>
      <c r="F228" s="8" t="s">
        <v>2258</v>
      </c>
      <c r="G228" s="8" t="s">
        <v>2408</v>
      </c>
      <c r="H228" s="8">
        <v>2233</v>
      </c>
      <c r="I228" s="8">
        <v>25</v>
      </c>
      <c r="J228" s="8">
        <v>222024</v>
      </c>
      <c r="K228" s="9">
        <v>45369</v>
      </c>
      <c r="L228" s="9">
        <v>47150</v>
      </c>
      <c r="M228" s="8" t="s">
        <v>151</v>
      </c>
      <c r="P228" s="16" t="s">
        <v>258</v>
      </c>
      <c r="Q228" s="2" t="s">
        <v>151</v>
      </c>
      <c r="S228" s="8" t="s">
        <v>305</v>
      </c>
      <c r="T228" s="9">
        <v>46327</v>
      </c>
      <c r="U228" s="8">
        <v>0</v>
      </c>
      <c r="V228" s="20">
        <v>1067</v>
      </c>
      <c r="W228" s="21" t="s">
        <v>16</v>
      </c>
    </row>
    <row r="229" spans="1:23" ht="60">
      <c r="A229" s="8" t="s">
        <v>2410</v>
      </c>
      <c r="B229" s="8" t="s">
        <v>258</v>
      </c>
      <c r="C229" s="8" t="s">
        <v>2197</v>
      </c>
      <c r="D229" s="8" t="s">
        <v>18</v>
      </c>
      <c r="E229" s="8" t="s">
        <v>151</v>
      </c>
      <c r="F229" s="8" t="s">
        <v>2258</v>
      </c>
      <c r="G229" s="8" t="s">
        <v>2408</v>
      </c>
      <c r="H229" s="8">
        <v>2233</v>
      </c>
      <c r="I229" s="8">
        <v>2200</v>
      </c>
      <c r="J229" s="8">
        <v>511020824</v>
      </c>
      <c r="K229" s="9">
        <v>45461</v>
      </c>
      <c r="L229" s="9">
        <v>47239</v>
      </c>
      <c r="M229" s="8" t="s">
        <v>151</v>
      </c>
      <c r="P229" s="16" t="s">
        <v>258</v>
      </c>
      <c r="Q229" s="2" t="s">
        <v>151</v>
      </c>
      <c r="S229" s="8" t="s">
        <v>307</v>
      </c>
      <c r="T229" s="9" t="s">
        <v>2222</v>
      </c>
      <c r="U229" s="8">
        <v>0</v>
      </c>
      <c r="V229" s="20">
        <v>10</v>
      </c>
      <c r="W229" s="21" t="s">
        <v>41</v>
      </c>
    </row>
    <row r="230" spans="1:23" ht="45">
      <c r="A230" s="8" t="s">
        <v>2411</v>
      </c>
      <c r="B230" s="8" t="s">
        <v>259</v>
      </c>
      <c r="C230" s="8" t="s">
        <v>2203</v>
      </c>
      <c r="D230" s="8" t="s">
        <v>18</v>
      </c>
      <c r="E230" s="8" t="s">
        <v>16</v>
      </c>
      <c r="F230" s="8" t="s">
        <v>2204</v>
      </c>
      <c r="G230" s="8" t="s">
        <v>2412</v>
      </c>
      <c r="H230" s="8">
        <v>266</v>
      </c>
      <c r="I230" s="8">
        <v>266</v>
      </c>
      <c r="J230" s="8" t="s">
        <v>260</v>
      </c>
      <c r="K230" s="9">
        <v>44223</v>
      </c>
      <c r="L230" s="9">
        <v>45992</v>
      </c>
      <c r="M230" s="8" t="s">
        <v>16</v>
      </c>
      <c r="P230" s="16" t="s">
        <v>258</v>
      </c>
      <c r="Q230" s="2" t="s">
        <v>151</v>
      </c>
      <c r="S230" s="8" t="s">
        <v>308</v>
      </c>
      <c r="T230" s="9" t="s">
        <v>2222</v>
      </c>
      <c r="U230" s="8">
        <v>0</v>
      </c>
      <c r="V230" s="20">
        <v>100</v>
      </c>
      <c r="W230" s="21" t="s">
        <v>41</v>
      </c>
    </row>
    <row r="231" spans="1:23" ht="60">
      <c r="A231" s="8" t="s">
        <v>2413</v>
      </c>
      <c r="B231" s="8" t="s">
        <v>261</v>
      </c>
      <c r="C231" s="8" t="s">
        <v>2203</v>
      </c>
      <c r="D231" s="8" t="s">
        <v>18</v>
      </c>
      <c r="E231" s="8" t="s">
        <v>16</v>
      </c>
      <c r="F231" s="8" t="s">
        <v>2198</v>
      </c>
      <c r="G231" s="8" t="s">
        <v>2414</v>
      </c>
      <c r="H231" s="8">
        <v>8592</v>
      </c>
      <c r="I231" s="8">
        <v>8592</v>
      </c>
      <c r="J231" s="8">
        <v>42024001</v>
      </c>
      <c r="K231" s="9">
        <v>45439</v>
      </c>
      <c r="L231" s="9">
        <v>47209</v>
      </c>
      <c r="M231" s="8" t="s">
        <v>16</v>
      </c>
      <c r="P231" s="16" t="s">
        <v>259</v>
      </c>
      <c r="Q231" s="2" t="s">
        <v>16</v>
      </c>
      <c r="S231" s="8" t="s">
        <v>309</v>
      </c>
      <c r="T231" s="9" t="s">
        <v>2222</v>
      </c>
      <c r="U231" s="8">
        <v>0</v>
      </c>
      <c r="V231" s="20">
        <v>18</v>
      </c>
      <c r="W231" s="21" t="s">
        <v>41</v>
      </c>
    </row>
    <row r="232" spans="1:23" ht="45">
      <c r="A232" s="8" t="s">
        <v>2415</v>
      </c>
      <c r="B232" s="8" t="s">
        <v>262</v>
      </c>
      <c r="C232" s="8" t="s">
        <v>2197</v>
      </c>
      <c r="D232" s="8" t="s">
        <v>18</v>
      </c>
      <c r="E232" s="8" t="s">
        <v>16</v>
      </c>
      <c r="F232" s="8" t="s">
        <v>2228</v>
      </c>
      <c r="G232" s="8" t="s">
        <v>2416</v>
      </c>
      <c r="H232" s="8">
        <v>128</v>
      </c>
      <c r="I232" s="8">
        <v>1</v>
      </c>
      <c r="J232" s="8" t="s">
        <v>263</v>
      </c>
      <c r="K232" s="9">
        <v>45458</v>
      </c>
      <c r="L232" s="9">
        <v>46419</v>
      </c>
      <c r="M232" s="8" t="s">
        <v>16</v>
      </c>
      <c r="P232" s="16" t="s">
        <v>261</v>
      </c>
      <c r="Q232" s="2" t="s">
        <v>16</v>
      </c>
      <c r="S232" s="8" t="s">
        <v>310</v>
      </c>
      <c r="T232" s="9" t="s">
        <v>2222</v>
      </c>
      <c r="U232" s="8">
        <v>0</v>
      </c>
      <c r="V232" s="20">
        <v>6</v>
      </c>
      <c r="W232" s="21" t="s">
        <v>41</v>
      </c>
    </row>
    <row r="233" spans="1:23" ht="45">
      <c r="A233" s="8" t="s">
        <v>2415</v>
      </c>
      <c r="B233" s="8" t="s">
        <v>262</v>
      </c>
      <c r="C233" s="8" t="s">
        <v>2197</v>
      </c>
      <c r="D233" s="8" t="s">
        <v>18</v>
      </c>
      <c r="E233" s="8" t="s">
        <v>16</v>
      </c>
      <c r="F233" s="8" t="s">
        <v>2228</v>
      </c>
      <c r="G233" s="8" t="s">
        <v>2416</v>
      </c>
      <c r="H233" s="8">
        <v>128</v>
      </c>
      <c r="I233" s="8">
        <v>127</v>
      </c>
      <c r="J233" s="8" t="s">
        <v>264</v>
      </c>
      <c r="K233" s="9">
        <v>45215</v>
      </c>
      <c r="L233" s="9">
        <v>46204</v>
      </c>
      <c r="M233" s="8" t="s">
        <v>16</v>
      </c>
      <c r="P233" s="16" t="s">
        <v>262</v>
      </c>
      <c r="Q233" s="2" t="s">
        <v>16</v>
      </c>
      <c r="S233" s="8" t="s">
        <v>315</v>
      </c>
      <c r="T233" s="9">
        <v>45778</v>
      </c>
      <c r="U233" s="8">
        <v>0</v>
      </c>
      <c r="V233" s="20">
        <v>4429</v>
      </c>
      <c r="W233" s="21" t="s">
        <v>16</v>
      </c>
    </row>
    <row r="234" spans="1:23" ht="45">
      <c r="A234" s="8" t="s">
        <v>2417</v>
      </c>
      <c r="B234" s="8" t="s">
        <v>265</v>
      </c>
      <c r="C234" s="8" t="s">
        <v>2197</v>
      </c>
      <c r="D234" s="8" t="s">
        <v>18</v>
      </c>
      <c r="E234" s="8" t="s">
        <v>16</v>
      </c>
      <c r="F234" s="8" t="s">
        <v>2198</v>
      </c>
      <c r="G234" s="8" t="s">
        <v>2418</v>
      </c>
      <c r="H234" s="8">
        <v>132</v>
      </c>
      <c r="I234" s="8">
        <v>132</v>
      </c>
      <c r="J234" s="8" t="s">
        <v>266</v>
      </c>
      <c r="K234" s="9">
        <v>44106</v>
      </c>
      <c r="L234" s="9">
        <v>45809</v>
      </c>
      <c r="M234" s="8" t="s">
        <v>16</v>
      </c>
      <c r="P234" s="16" t="s">
        <v>262</v>
      </c>
      <c r="Q234" s="2" t="s">
        <v>16</v>
      </c>
      <c r="S234" s="8" t="s">
        <v>315</v>
      </c>
      <c r="T234" s="9">
        <v>45809</v>
      </c>
      <c r="U234" s="8">
        <v>0</v>
      </c>
      <c r="V234" s="20">
        <v>2000</v>
      </c>
      <c r="W234" s="21" t="s">
        <v>16</v>
      </c>
    </row>
    <row r="235" spans="1:23" ht="60">
      <c r="A235" s="8" t="s">
        <v>2419</v>
      </c>
      <c r="B235" s="8" t="s">
        <v>267</v>
      </c>
      <c r="C235" s="8" t="s">
        <v>2197</v>
      </c>
      <c r="D235" s="8" t="s">
        <v>18</v>
      </c>
      <c r="E235" s="8" t="s">
        <v>16</v>
      </c>
      <c r="F235" s="8" t="s">
        <v>2228</v>
      </c>
      <c r="G235" s="8" t="s">
        <v>2420</v>
      </c>
      <c r="H235" s="8">
        <v>300</v>
      </c>
      <c r="I235" s="8">
        <v>300</v>
      </c>
      <c r="J235" s="8" t="s">
        <v>268</v>
      </c>
      <c r="K235" s="9">
        <v>45192</v>
      </c>
      <c r="L235" s="9">
        <v>46813</v>
      </c>
      <c r="M235" s="8" t="s">
        <v>16</v>
      </c>
      <c r="P235" s="16" t="s">
        <v>265</v>
      </c>
      <c r="Q235" s="2" t="s">
        <v>16</v>
      </c>
      <c r="S235" s="8" t="s">
        <v>319</v>
      </c>
      <c r="T235" s="9">
        <v>45778</v>
      </c>
      <c r="U235" s="8">
        <v>0</v>
      </c>
      <c r="V235" s="20">
        <v>5</v>
      </c>
      <c r="W235" s="21" t="s">
        <v>151</v>
      </c>
    </row>
    <row r="236" spans="1:23" ht="60">
      <c r="A236" s="8" t="s">
        <v>2421</v>
      </c>
      <c r="B236" s="8" t="s">
        <v>269</v>
      </c>
      <c r="C236" s="8" t="s">
        <v>2203</v>
      </c>
      <c r="D236" s="8" t="s">
        <v>18</v>
      </c>
      <c r="E236" s="8" t="s">
        <v>16</v>
      </c>
      <c r="F236" s="8" t="s">
        <v>2204</v>
      </c>
      <c r="G236" s="8" t="s">
        <v>2422</v>
      </c>
      <c r="H236" s="8">
        <v>604</v>
      </c>
      <c r="I236" s="8">
        <v>604</v>
      </c>
      <c r="J236" s="8">
        <v>300120</v>
      </c>
      <c r="K236" s="9">
        <v>44496</v>
      </c>
      <c r="L236" s="9">
        <v>45658</v>
      </c>
      <c r="M236" s="8" t="s">
        <v>16</v>
      </c>
      <c r="P236" s="16" t="s">
        <v>267</v>
      </c>
      <c r="Q236" s="2" t="s">
        <v>16</v>
      </c>
      <c r="S236" s="8" t="s">
        <v>321</v>
      </c>
      <c r="T236" s="9">
        <v>46874</v>
      </c>
      <c r="U236" s="8">
        <v>0</v>
      </c>
      <c r="V236" s="20">
        <v>80</v>
      </c>
      <c r="W236" s="21" t="s">
        <v>16</v>
      </c>
    </row>
    <row r="237" spans="1:23" ht="60">
      <c r="A237" s="8" t="s">
        <v>2423</v>
      </c>
      <c r="B237" s="8" t="s">
        <v>270</v>
      </c>
      <c r="C237" s="8" t="s">
        <v>2221</v>
      </c>
      <c r="D237" s="8" t="s">
        <v>18</v>
      </c>
      <c r="E237" s="8" t="s">
        <v>43</v>
      </c>
      <c r="F237" s="8" t="s">
        <v>2217</v>
      </c>
      <c r="G237" s="8" t="s">
        <v>2217</v>
      </c>
      <c r="H237" s="8">
        <v>350</v>
      </c>
      <c r="I237" s="8">
        <v>350</v>
      </c>
      <c r="J237" s="8">
        <v>0</v>
      </c>
      <c r="K237" s="9">
        <v>44146</v>
      </c>
      <c r="L237" s="8" t="s">
        <v>2222</v>
      </c>
      <c r="M237" s="8" t="s">
        <v>43</v>
      </c>
      <c r="P237" s="16" t="s">
        <v>269</v>
      </c>
      <c r="Q237" s="2" t="s">
        <v>16</v>
      </c>
      <c r="S237" s="8" t="s">
        <v>322</v>
      </c>
      <c r="T237" s="9">
        <v>46997</v>
      </c>
      <c r="U237" s="8">
        <v>0</v>
      </c>
      <c r="V237" s="20">
        <v>379</v>
      </c>
      <c r="W237" s="21" t="s">
        <v>16</v>
      </c>
    </row>
    <row r="238" spans="1:23" ht="60">
      <c r="A238" s="8" t="s">
        <v>2424</v>
      </c>
      <c r="B238" s="8" t="s">
        <v>271</v>
      </c>
      <c r="C238" s="8" t="s">
        <v>2197</v>
      </c>
      <c r="D238" s="8" t="s">
        <v>18</v>
      </c>
      <c r="E238" s="8" t="s">
        <v>16</v>
      </c>
      <c r="F238" s="8" t="s">
        <v>2425</v>
      </c>
      <c r="G238" s="8" t="s">
        <v>2426</v>
      </c>
      <c r="H238" s="8">
        <v>2576</v>
      </c>
      <c r="I238" s="8">
        <v>2576</v>
      </c>
      <c r="J238" s="8">
        <v>3032023</v>
      </c>
      <c r="K238" s="9">
        <v>45022</v>
      </c>
      <c r="L238" s="9">
        <v>47453</v>
      </c>
      <c r="M238" s="8" t="s">
        <v>16</v>
      </c>
      <c r="P238" s="16" t="s">
        <v>270</v>
      </c>
      <c r="Q238" s="2" t="s">
        <v>43</v>
      </c>
      <c r="S238" s="8" t="s">
        <v>323</v>
      </c>
      <c r="T238" s="9">
        <v>46905</v>
      </c>
      <c r="U238" s="8">
        <v>0</v>
      </c>
      <c r="V238" s="20">
        <v>3</v>
      </c>
      <c r="W238" s="21" t="s">
        <v>16</v>
      </c>
    </row>
    <row r="239" spans="1:23" ht="60">
      <c r="A239" s="8" t="s">
        <v>2427</v>
      </c>
      <c r="B239" s="8" t="s">
        <v>272</v>
      </c>
      <c r="C239" s="8" t="s">
        <v>2221</v>
      </c>
      <c r="D239" s="8" t="s">
        <v>18</v>
      </c>
      <c r="E239" s="8" t="s">
        <v>273</v>
      </c>
      <c r="F239" s="8" t="s">
        <v>2428</v>
      </c>
      <c r="G239" s="8" t="s">
        <v>2217</v>
      </c>
      <c r="H239" s="8">
        <v>72000</v>
      </c>
      <c r="I239" s="8">
        <v>72000</v>
      </c>
      <c r="J239" s="8">
        <v>0</v>
      </c>
      <c r="K239" s="8" t="s">
        <v>2222</v>
      </c>
      <c r="L239" s="8" t="s">
        <v>2222</v>
      </c>
      <c r="M239" s="8" t="s">
        <v>273</v>
      </c>
      <c r="P239" s="16" t="s">
        <v>271</v>
      </c>
      <c r="Q239" s="2" t="s">
        <v>16</v>
      </c>
      <c r="S239" s="8" t="s">
        <v>323</v>
      </c>
      <c r="T239" s="9">
        <v>46997</v>
      </c>
      <c r="U239" s="8">
        <v>0</v>
      </c>
      <c r="V239" s="20">
        <v>588</v>
      </c>
      <c r="W239" s="21" t="s">
        <v>16</v>
      </c>
    </row>
    <row r="240" spans="1:23" ht="48.75">
      <c r="A240" s="8" t="s">
        <v>2429</v>
      </c>
      <c r="B240" s="8" t="s">
        <v>274</v>
      </c>
      <c r="C240" s="8" t="s">
        <v>2221</v>
      </c>
      <c r="D240" s="8" t="s">
        <v>18</v>
      </c>
      <c r="E240" s="8" t="s">
        <v>273</v>
      </c>
      <c r="F240" s="8" t="s">
        <v>2428</v>
      </c>
      <c r="G240" s="8" t="s">
        <v>2217</v>
      </c>
      <c r="H240" s="8">
        <v>66607</v>
      </c>
      <c r="I240" s="8">
        <v>66607</v>
      </c>
      <c r="J240" s="8">
        <v>0</v>
      </c>
      <c r="K240" s="9">
        <v>44160</v>
      </c>
      <c r="L240" s="8" t="s">
        <v>2222</v>
      </c>
      <c r="M240" s="8" t="s">
        <v>273</v>
      </c>
      <c r="P240" s="16" t="s">
        <v>272</v>
      </c>
      <c r="Q240" s="2" t="s">
        <v>273</v>
      </c>
      <c r="S240" s="8" t="s">
        <v>324</v>
      </c>
      <c r="T240" s="9">
        <v>47209</v>
      </c>
      <c r="U240" s="8">
        <v>0</v>
      </c>
      <c r="V240" s="20">
        <v>160</v>
      </c>
      <c r="W240" s="21" t="s">
        <v>16</v>
      </c>
    </row>
    <row r="241" spans="1:23" ht="60">
      <c r="A241" s="8" t="s">
        <v>2430</v>
      </c>
      <c r="B241" s="8" t="s">
        <v>275</v>
      </c>
      <c r="C241" s="8" t="s">
        <v>2221</v>
      </c>
      <c r="D241" s="8" t="s">
        <v>18</v>
      </c>
      <c r="E241" s="8" t="s">
        <v>43</v>
      </c>
      <c r="F241" s="8" t="s">
        <v>2217</v>
      </c>
      <c r="G241" s="8" t="s">
        <v>2217</v>
      </c>
      <c r="H241" s="8">
        <v>155</v>
      </c>
      <c r="I241" s="8">
        <v>155</v>
      </c>
      <c r="J241" s="8">
        <v>0</v>
      </c>
      <c r="K241" s="9">
        <v>44146</v>
      </c>
      <c r="L241" s="8" t="s">
        <v>2222</v>
      </c>
      <c r="M241" s="8" t="s">
        <v>43</v>
      </c>
      <c r="P241" s="16" t="s">
        <v>272</v>
      </c>
      <c r="Q241" s="2" t="s">
        <v>273</v>
      </c>
      <c r="S241" s="8" t="s">
        <v>325</v>
      </c>
      <c r="T241" s="9">
        <v>46905</v>
      </c>
      <c r="U241" s="8">
        <v>0</v>
      </c>
      <c r="V241" s="20">
        <v>348</v>
      </c>
      <c r="W241" s="21" t="s">
        <v>16</v>
      </c>
    </row>
    <row r="242" spans="1:23" ht="75">
      <c r="A242" s="8" t="s">
        <v>2431</v>
      </c>
      <c r="B242" s="8" t="s">
        <v>276</v>
      </c>
      <c r="C242" s="8" t="s">
        <v>2221</v>
      </c>
      <c r="D242" s="8" t="s">
        <v>18</v>
      </c>
      <c r="E242" s="8" t="s">
        <v>43</v>
      </c>
      <c r="F242" s="8" t="s">
        <v>2217</v>
      </c>
      <c r="G242" s="8" t="s">
        <v>2217</v>
      </c>
      <c r="H242" s="8">
        <v>29</v>
      </c>
      <c r="I242" s="8">
        <v>29</v>
      </c>
      <c r="J242" s="8">
        <v>0</v>
      </c>
      <c r="K242" s="9">
        <v>44146</v>
      </c>
      <c r="L242" s="8" t="s">
        <v>2222</v>
      </c>
      <c r="M242" s="8" t="s">
        <v>43</v>
      </c>
      <c r="P242" s="16" t="s">
        <v>274</v>
      </c>
      <c r="Q242" s="2" t="s">
        <v>273</v>
      </c>
      <c r="S242" s="8" t="s">
        <v>326</v>
      </c>
      <c r="T242" s="9">
        <v>44256</v>
      </c>
      <c r="U242" s="8">
        <v>0</v>
      </c>
      <c r="V242" s="20">
        <v>656</v>
      </c>
      <c r="W242" s="21" t="s">
        <v>151</v>
      </c>
    </row>
    <row r="243" spans="1:23" ht="60">
      <c r="A243" s="8" t="s">
        <v>2432</v>
      </c>
      <c r="B243" s="8" t="s">
        <v>277</v>
      </c>
      <c r="C243" s="8" t="s">
        <v>2197</v>
      </c>
      <c r="D243" s="8" t="s">
        <v>18</v>
      </c>
      <c r="E243" s="8" t="s">
        <v>16</v>
      </c>
      <c r="F243" s="8" t="s">
        <v>2198</v>
      </c>
      <c r="G243" s="8" t="s">
        <v>2433</v>
      </c>
      <c r="H243" s="8">
        <v>892</v>
      </c>
      <c r="I243" s="8">
        <v>892</v>
      </c>
      <c r="J243" s="8">
        <v>1121086301</v>
      </c>
      <c r="K243" s="9">
        <v>45264</v>
      </c>
      <c r="L243" s="9">
        <v>45870</v>
      </c>
      <c r="M243" s="8" t="s">
        <v>16</v>
      </c>
      <c r="P243" s="16" t="s">
        <v>275</v>
      </c>
      <c r="Q243" s="2" t="s">
        <v>43</v>
      </c>
      <c r="S243" s="8" t="s">
        <v>328</v>
      </c>
      <c r="T243" s="9">
        <v>45931</v>
      </c>
      <c r="U243" s="8">
        <v>0</v>
      </c>
      <c r="V243" s="20">
        <v>810</v>
      </c>
      <c r="W243" s="21" t="s">
        <v>16</v>
      </c>
    </row>
    <row r="244" spans="1:23" ht="60">
      <c r="A244" s="8" t="s">
        <v>2434</v>
      </c>
      <c r="B244" s="8" t="s">
        <v>278</v>
      </c>
      <c r="C244" s="8" t="s">
        <v>2197</v>
      </c>
      <c r="D244" s="8" t="s">
        <v>18</v>
      </c>
      <c r="E244" s="8" t="s">
        <v>16</v>
      </c>
      <c r="F244" s="8" t="s">
        <v>2198</v>
      </c>
      <c r="G244" s="8" t="s">
        <v>2433</v>
      </c>
      <c r="H244" s="8">
        <v>1400</v>
      </c>
      <c r="I244" s="8">
        <v>1400</v>
      </c>
      <c r="J244" s="8">
        <v>1123096303</v>
      </c>
      <c r="K244" s="9">
        <v>45286</v>
      </c>
      <c r="L244" s="9">
        <v>47088</v>
      </c>
      <c r="M244" s="8" t="s">
        <v>16</v>
      </c>
      <c r="P244" s="16" t="s">
        <v>276</v>
      </c>
      <c r="Q244" s="2" t="s">
        <v>43</v>
      </c>
      <c r="S244" s="8" t="s">
        <v>329</v>
      </c>
      <c r="T244" s="9" t="s">
        <v>2222</v>
      </c>
      <c r="U244" s="8">
        <v>0</v>
      </c>
      <c r="V244" s="20">
        <v>9</v>
      </c>
      <c r="W244" s="21" t="s">
        <v>41</v>
      </c>
    </row>
    <row r="245" spans="1:23" ht="60">
      <c r="A245" s="8" t="s">
        <v>2435</v>
      </c>
      <c r="B245" s="8" t="s">
        <v>279</v>
      </c>
      <c r="C245" s="8" t="s">
        <v>2197</v>
      </c>
      <c r="D245" s="8" t="s">
        <v>18</v>
      </c>
      <c r="E245" s="8" t="s">
        <v>16</v>
      </c>
      <c r="F245" s="8" t="s">
        <v>2198</v>
      </c>
      <c r="G245" s="8" t="s">
        <v>2436</v>
      </c>
      <c r="H245" s="8">
        <v>7147</v>
      </c>
      <c r="I245" s="8">
        <v>700</v>
      </c>
      <c r="J245" s="8">
        <v>12163202</v>
      </c>
      <c r="K245" s="9">
        <v>45334</v>
      </c>
      <c r="L245" s="9">
        <v>46204</v>
      </c>
      <c r="M245" s="8" t="s">
        <v>16</v>
      </c>
      <c r="P245" s="16" t="s">
        <v>277</v>
      </c>
      <c r="Q245" s="2" t="s">
        <v>16</v>
      </c>
      <c r="S245" s="8" t="s">
        <v>330</v>
      </c>
      <c r="T245" s="9" t="s">
        <v>2222</v>
      </c>
      <c r="U245" s="8">
        <v>0</v>
      </c>
      <c r="V245" s="20">
        <v>1942</v>
      </c>
      <c r="W245" s="21" t="s">
        <v>101</v>
      </c>
    </row>
    <row r="246" spans="1:23" ht="60">
      <c r="A246" s="8" t="s">
        <v>2435</v>
      </c>
      <c r="B246" s="8" t="s">
        <v>279</v>
      </c>
      <c r="C246" s="8" t="s">
        <v>2197</v>
      </c>
      <c r="D246" s="8" t="s">
        <v>18</v>
      </c>
      <c r="E246" s="8" t="s">
        <v>16</v>
      </c>
      <c r="F246" s="8" t="s">
        <v>2198</v>
      </c>
      <c r="G246" s="8" t="s">
        <v>2436</v>
      </c>
      <c r="H246" s="8">
        <v>7147</v>
      </c>
      <c r="I246" s="8">
        <v>1400</v>
      </c>
      <c r="J246" s="8">
        <v>23163201</v>
      </c>
      <c r="K246" s="9">
        <v>45334</v>
      </c>
      <c r="L246" s="9">
        <v>46266</v>
      </c>
      <c r="M246" s="8" t="s">
        <v>16</v>
      </c>
      <c r="P246" s="16" t="s">
        <v>278</v>
      </c>
      <c r="Q246" s="2" t="s">
        <v>16</v>
      </c>
      <c r="S246" s="8" t="s">
        <v>331</v>
      </c>
      <c r="T246" s="9">
        <v>46966</v>
      </c>
      <c r="U246" s="8">
        <v>0</v>
      </c>
      <c r="V246" s="20">
        <v>171</v>
      </c>
      <c r="W246" s="21" t="s">
        <v>16</v>
      </c>
    </row>
    <row r="247" spans="1:23" ht="60">
      <c r="A247" s="8" t="s">
        <v>2435</v>
      </c>
      <c r="B247" s="8" t="s">
        <v>279</v>
      </c>
      <c r="C247" s="8" t="s">
        <v>2197</v>
      </c>
      <c r="D247" s="8" t="s">
        <v>18</v>
      </c>
      <c r="E247" s="8" t="s">
        <v>16</v>
      </c>
      <c r="F247" s="8" t="s">
        <v>2198</v>
      </c>
      <c r="G247" s="8" t="s">
        <v>2436</v>
      </c>
      <c r="H247" s="8">
        <v>7147</v>
      </c>
      <c r="I247" s="8">
        <v>2147</v>
      </c>
      <c r="J247" s="8">
        <v>12163201</v>
      </c>
      <c r="K247" s="9">
        <v>45222</v>
      </c>
      <c r="L247" s="9">
        <v>46204</v>
      </c>
      <c r="M247" s="8" t="s">
        <v>16</v>
      </c>
      <c r="P247" s="16" t="s">
        <v>279</v>
      </c>
      <c r="Q247" s="2" t="s">
        <v>16</v>
      </c>
      <c r="S247" s="8" t="s">
        <v>332</v>
      </c>
      <c r="T247" s="9">
        <v>46508</v>
      </c>
      <c r="U247" s="8">
        <v>0</v>
      </c>
      <c r="V247" s="20">
        <v>156</v>
      </c>
      <c r="W247" s="21" t="s">
        <v>16</v>
      </c>
    </row>
    <row r="248" spans="1:23" ht="60">
      <c r="A248" s="8" t="s">
        <v>2435</v>
      </c>
      <c r="B248" s="8" t="s">
        <v>279</v>
      </c>
      <c r="C248" s="8" t="s">
        <v>2197</v>
      </c>
      <c r="D248" s="8" t="s">
        <v>18</v>
      </c>
      <c r="E248" s="8" t="s">
        <v>16</v>
      </c>
      <c r="F248" s="8" t="s">
        <v>2198</v>
      </c>
      <c r="G248" s="8" t="s">
        <v>2436</v>
      </c>
      <c r="H248" s="8">
        <v>7147</v>
      </c>
      <c r="I248" s="8">
        <v>2900</v>
      </c>
      <c r="J248" s="8">
        <v>29103302</v>
      </c>
      <c r="K248" s="9">
        <v>45334</v>
      </c>
      <c r="L248" s="9">
        <v>46419</v>
      </c>
      <c r="M248" s="8" t="s">
        <v>16</v>
      </c>
      <c r="P248" s="16" t="s">
        <v>279</v>
      </c>
      <c r="Q248" s="2" t="s">
        <v>16</v>
      </c>
      <c r="S248" s="8" t="s">
        <v>333</v>
      </c>
      <c r="T248" s="9" t="s">
        <v>2222</v>
      </c>
      <c r="U248" s="8">
        <v>0</v>
      </c>
      <c r="V248" s="20">
        <v>8</v>
      </c>
      <c r="W248" s="21" t="s">
        <v>41</v>
      </c>
    </row>
    <row r="249" spans="1:23" ht="60">
      <c r="A249" s="8" t="s">
        <v>2437</v>
      </c>
      <c r="B249" s="8" t="s">
        <v>280</v>
      </c>
      <c r="C249" s="8" t="s">
        <v>2197</v>
      </c>
      <c r="D249" s="8" t="s">
        <v>18</v>
      </c>
      <c r="E249" s="8" t="s">
        <v>16</v>
      </c>
      <c r="F249" s="8" t="s">
        <v>2198</v>
      </c>
      <c r="G249" s="8" t="s">
        <v>2436</v>
      </c>
      <c r="H249" s="8">
        <v>1667</v>
      </c>
      <c r="I249" s="8">
        <v>140</v>
      </c>
      <c r="J249" s="8">
        <v>35113301</v>
      </c>
      <c r="K249" s="9">
        <v>45439</v>
      </c>
      <c r="L249" s="9">
        <v>46419</v>
      </c>
      <c r="M249" s="8" t="s">
        <v>16</v>
      </c>
      <c r="P249" s="16" t="s">
        <v>279</v>
      </c>
      <c r="Q249" s="2" t="s">
        <v>16</v>
      </c>
      <c r="S249" s="8" t="s">
        <v>334</v>
      </c>
      <c r="T249" s="9">
        <v>46204</v>
      </c>
      <c r="U249" s="8">
        <v>0</v>
      </c>
      <c r="V249" s="20">
        <v>150</v>
      </c>
      <c r="W249" s="21" t="s">
        <v>16</v>
      </c>
    </row>
    <row r="250" spans="1:23" ht="60">
      <c r="A250" s="8" t="s">
        <v>2437</v>
      </c>
      <c r="B250" s="8" t="s">
        <v>280</v>
      </c>
      <c r="C250" s="8" t="s">
        <v>2197</v>
      </c>
      <c r="D250" s="8" t="s">
        <v>18</v>
      </c>
      <c r="E250" s="8" t="s">
        <v>16</v>
      </c>
      <c r="F250" s="8" t="s">
        <v>2198</v>
      </c>
      <c r="G250" s="8" t="s">
        <v>2436</v>
      </c>
      <c r="H250" s="8">
        <v>1667</v>
      </c>
      <c r="I250" s="8">
        <v>300</v>
      </c>
      <c r="J250" s="8">
        <v>29143301</v>
      </c>
      <c r="K250" s="9">
        <v>45439</v>
      </c>
      <c r="L250" s="9">
        <v>46508</v>
      </c>
      <c r="M250" s="8" t="s">
        <v>16</v>
      </c>
      <c r="P250" s="16" t="s">
        <v>279</v>
      </c>
      <c r="Q250" s="2" t="s">
        <v>16</v>
      </c>
      <c r="S250" s="8" t="s">
        <v>335</v>
      </c>
      <c r="T250" s="9">
        <v>45992</v>
      </c>
      <c r="U250" s="8">
        <v>0</v>
      </c>
      <c r="V250" s="20">
        <v>40</v>
      </c>
      <c r="W250" s="21" t="s">
        <v>16</v>
      </c>
    </row>
    <row r="251" spans="1:23" ht="60">
      <c r="A251" s="8" t="s">
        <v>2437</v>
      </c>
      <c r="B251" s="8" t="s">
        <v>280</v>
      </c>
      <c r="C251" s="8" t="s">
        <v>2197</v>
      </c>
      <c r="D251" s="8" t="s">
        <v>18</v>
      </c>
      <c r="E251" s="8" t="s">
        <v>16</v>
      </c>
      <c r="F251" s="8" t="s">
        <v>2198</v>
      </c>
      <c r="G251" s="8" t="s">
        <v>2436</v>
      </c>
      <c r="H251" s="8">
        <v>1667</v>
      </c>
      <c r="I251" s="8">
        <v>467</v>
      </c>
      <c r="J251" s="8">
        <v>23113301</v>
      </c>
      <c r="K251" s="9">
        <v>45356</v>
      </c>
      <c r="L251" s="9">
        <v>46419</v>
      </c>
      <c r="M251" s="8" t="s">
        <v>16</v>
      </c>
      <c r="P251" s="16" t="s">
        <v>280</v>
      </c>
      <c r="Q251" s="2" t="s">
        <v>16</v>
      </c>
      <c r="S251" s="8" t="s">
        <v>335</v>
      </c>
      <c r="T251" s="9">
        <v>46054</v>
      </c>
      <c r="U251" s="8">
        <v>0</v>
      </c>
      <c r="V251" s="20">
        <v>1100</v>
      </c>
      <c r="W251" s="21" t="s">
        <v>16</v>
      </c>
    </row>
    <row r="252" spans="1:23" ht="60">
      <c r="A252" s="8" t="s">
        <v>2437</v>
      </c>
      <c r="B252" s="8" t="s">
        <v>280</v>
      </c>
      <c r="C252" s="8" t="s">
        <v>2197</v>
      </c>
      <c r="D252" s="8" t="s">
        <v>18</v>
      </c>
      <c r="E252" s="8" t="s">
        <v>16</v>
      </c>
      <c r="F252" s="8" t="s">
        <v>2198</v>
      </c>
      <c r="G252" s="8" t="s">
        <v>2436</v>
      </c>
      <c r="H252" s="8">
        <v>1667</v>
      </c>
      <c r="I252" s="8">
        <v>760</v>
      </c>
      <c r="J252" s="8">
        <v>27123301</v>
      </c>
      <c r="K252" s="9">
        <v>45439</v>
      </c>
      <c r="L252" s="9">
        <v>46508</v>
      </c>
      <c r="M252" s="8" t="s">
        <v>16</v>
      </c>
      <c r="P252" s="16" t="s">
        <v>280</v>
      </c>
      <c r="Q252" s="2" t="s">
        <v>16</v>
      </c>
      <c r="S252" s="8" t="s">
        <v>336</v>
      </c>
      <c r="T252" s="9">
        <v>45689</v>
      </c>
      <c r="U252" s="8">
        <v>0</v>
      </c>
      <c r="V252" s="20">
        <v>1779</v>
      </c>
      <c r="W252" s="21" t="s">
        <v>16</v>
      </c>
    </row>
    <row r="253" spans="1:23" ht="60">
      <c r="A253" s="8" t="s">
        <v>2438</v>
      </c>
      <c r="B253" s="8" t="s">
        <v>281</v>
      </c>
      <c r="C253" s="8" t="s">
        <v>2197</v>
      </c>
      <c r="D253" s="8" t="s">
        <v>18</v>
      </c>
      <c r="E253" s="8" t="s">
        <v>16</v>
      </c>
      <c r="F253" s="8" t="s">
        <v>2198</v>
      </c>
      <c r="G253" s="8" t="s">
        <v>2436</v>
      </c>
      <c r="H253" s="8">
        <v>9243</v>
      </c>
      <c r="I253" s="8">
        <v>3</v>
      </c>
      <c r="J253" s="8">
        <v>11153201</v>
      </c>
      <c r="K253" s="9">
        <v>45222</v>
      </c>
      <c r="L253" s="9">
        <v>46204</v>
      </c>
      <c r="M253" s="8" t="s">
        <v>16</v>
      </c>
      <c r="P253" s="16" t="s">
        <v>280</v>
      </c>
      <c r="Q253" s="2" t="s">
        <v>16</v>
      </c>
      <c r="S253" s="8" t="s">
        <v>337</v>
      </c>
      <c r="T253" s="9">
        <v>47088</v>
      </c>
      <c r="U253" s="8">
        <v>0</v>
      </c>
      <c r="V253" s="20">
        <v>941</v>
      </c>
      <c r="W253" s="21" t="s">
        <v>16</v>
      </c>
    </row>
    <row r="254" spans="1:23" ht="60">
      <c r="A254" s="8" t="s">
        <v>2439</v>
      </c>
      <c r="B254" s="8" t="s">
        <v>281</v>
      </c>
      <c r="C254" s="8" t="s">
        <v>2197</v>
      </c>
      <c r="D254" s="8" t="s">
        <v>209</v>
      </c>
      <c r="E254" s="8" t="s">
        <v>16</v>
      </c>
      <c r="F254" s="8" t="s">
        <v>2198</v>
      </c>
      <c r="G254" s="8" t="s">
        <v>2436</v>
      </c>
      <c r="H254" s="8">
        <v>100</v>
      </c>
      <c r="I254" s="8">
        <v>50</v>
      </c>
      <c r="J254" s="8">
        <v>26133201</v>
      </c>
      <c r="K254" s="9">
        <v>45266</v>
      </c>
      <c r="L254" s="9">
        <v>46143</v>
      </c>
      <c r="M254" s="8" t="s">
        <v>16</v>
      </c>
      <c r="P254" s="16" t="s">
        <v>280</v>
      </c>
      <c r="Q254" s="2" t="s">
        <v>16</v>
      </c>
      <c r="S254" s="8" t="s">
        <v>338</v>
      </c>
      <c r="T254" s="9">
        <v>47453</v>
      </c>
      <c r="U254" s="8">
        <v>0</v>
      </c>
      <c r="V254" s="20">
        <v>108424</v>
      </c>
      <c r="W254" s="21" t="s">
        <v>16</v>
      </c>
    </row>
    <row r="255" spans="1:23" ht="60">
      <c r="A255" s="8" t="s">
        <v>2439</v>
      </c>
      <c r="B255" s="8" t="s">
        <v>281</v>
      </c>
      <c r="C255" s="8" t="s">
        <v>2197</v>
      </c>
      <c r="D255" s="8" t="s">
        <v>209</v>
      </c>
      <c r="E255" s="8" t="s">
        <v>16</v>
      </c>
      <c r="F255" s="8" t="s">
        <v>2198</v>
      </c>
      <c r="G255" s="8" t="s">
        <v>2436</v>
      </c>
      <c r="H255" s="8">
        <v>100</v>
      </c>
      <c r="I255" s="8">
        <v>50</v>
      </c>
      <c r="J255" s="8">
        <v>12163202</v>
      </c>
      <c r="K255" s="9">
        <v>45447</v>
      </c>
      <c r="L255" s="9">
        <v>46204</v>
      </c>
      <c r="M255" s="8" t="s">
        <v>16</v>
      </c>
      <c r="P255" s="16" t="s">
        <v>281</v>
      </c>
      <c r="Q255" s="2" t="s">
        <v>16</v>
      </c>
      <c r="S255" s="8" t="s">
        <v>339</v>
      </c>
      <c r="T255" s="9">
        <v>47453</v>
      </c>
      <c r="U255" s="8">
        <v>0</v>
      </c>
      <c r="V255" s="20">
        <v>28492</v>
      </c>
      <c r="W255" s="21" t="s">
        <v>151</v>
      </c>
    </row>
    <row r="256" spans="1:23" ht="60">
      <c r="A256" s="8" t="s">
        <v>2438</v>
      </c>
      <c r="B256" s="8" t="s">
        <v>281</v>
      </c>
      <c r="C256" s="8" t="s">
        <v>2197</v>
      </c>
      <c r="D256" s="8" t="s">
        <v>18</v>
      </c>
      <c r="E256" s="8" t="s">
        <v>16</v>
      </c>
      <c r="F256" s="8" t="s">
        <v>2198</v>
      </c>
      <c r="G256" s="8" t="s">
        <v>2436</v>
      </c>
      <c r="H256" s="8">
        <v>9243</v>
      </c>
      <c r="I256" s="8">
        <v>50</v>
      </c>
      <c r="J256" s="8">
        <v>22213201</v>
      </c>
      <c r="K256" s="9">
        <v>45334</v>
      </c>
      <c r="L256" s="9">
        <v>46357</v>
      </c>
      <c r="M256" s="8" t="s">
        <v>16</v>
      </c>
      <c r="P256" s="16" t="s">
        <v>281</v>
      </c>
      <c r="Q256" s="2" t="s">
        <v>16</v>
      </c>
      <c r="S256" s="8" t="s">
        <v>340</v>
      </c>
      <c r="T256" s="9">
        <v>47088</v>
      </c>
      <c r="U256" s="8">
        <v>0</v>
      </c>
      <c r="V256" s="20">
        <v>600</v>
      </c>
      <c r="W256" s="21" t="s">
        <v>16</v>
      </c>
    </row>
    <row r="257" spans="1:23" ht="60">
      <c r="A257" s="8" t="s">
        <v>2438</v>
      </c>
      <c r="B257" s="8" t="s">
        <v>281</v>
      </c>
      <c r="C257" s="8" t="s">
        <v>2197</v>
      </c>
      <c r="D257" s="8" t="s">
        <v>18</v>
      </c>
      <c r="E257" s="8" t="s">
        <v>16</v>
      </c>
      <c r="F257" s="8" t="s">
        <v>2198</v>
      </c>
      <c r="G257" s="8" t="s">
        <v>2436</v>
      </c>
      <c r="H257" s="8">
        <v>9243</v>
      </c>
      <c r="I257" s="8">
        <v>1700</v>
      </c>
      <c r="J257" s="8">
        <v>23163201</v>
      </c>
      <c r="K257" s="9">
        <v>45222</v>
      </c>
      <c r="L257" s="9">
        <v>46235</v>
      </c>
      <c r="M257" s="8" t="s">
        <v>16</v>
      </c>
      <c r="P257" s="16" t="s">
        <v>281</v>
      </c>
      <c r="Q257" s="2" t="s">
        <v>16</v>
      </c>
      <c r="S257" s="8" t="s">
        <v>341</v>
      </c>
      <c r="T257" s="9">
        <v>45627</v>
      </c>
      <c r="U257" s="8">
        <v>0</v>
      </c>
      <c r="V257" s="20">
        <v>95</v>
      </c>
      <c r="W257" s="21" t="s">
        <v>151</v>
      </c>
    </row>
    <row r="258" spans="1:23" ht="60">
      <c r="A258" s="8" t="s">
        <v>2438</v>
      </c>
      <c r="B258" s="8" t="s">
        <v>281</v>
      </c>
      <c r="C258" s="8" t="s">
        <v>2197</v>
      </c>
      <c r="D258" s="8" t="s">
        <v>18</v>
      </c>
      <c r="E258" s="8" t="s">
        <v>16</v>
      </c>
      <c r="F258" s="8" t="s">
        <v>2198</v>
      </c>
      <c r="G258" s="8" t="s">
        <v>2436</v>
      </c>
      <c r="H258" s="8">
        <v>9243</v>
      </c>
      <c r="I258" s="8">
        <v>2840</v>
      </c>
      <c r="J258" s="8">
        <v>12163202</v>
      </c>
      <c r="K258" s="9">
        <v>45222</v>
      </c>
      <c r="L258" s="9">
        <v>46204</v>
      </c>
      <c r="M258" s="8" t="s">
        <v>16</v>
      </c>
      <c r="P258" s="16" t="s">
        <v>281</v>
      </c>
      <c r="Q258" s="2" t="s">
        <v>16</v>
      </c>
      <c r="S258" s="8" t="s">
        <v>342</v>
      </c>
      <c r="T258" s="9">
        <v>45627</v>
      </c>
      <c r="U258" s="8">
        <v>0</v>
      </c>
      <c r="V258" s="20">
        <v>11</v>
      </c>
      <c r="W258" s="21" t="s">
        <v>151</v>
      </c>
    </row>
    <row r="259" spans="1:23" ht="60">
      <c r="A259" s="8" t="s">
        <v>2438</v>
      </c>
      <c r="B259" s="8" t="s">
        <v>281</v>
      </c>
      <c r="C259" s="8" t="s">
        <v>2197</v>
      </c>
      <c r="D259" s="8" t="s">
        <v>18</v>
      </c>
      <c r="E259" s="8" t="s">
        <v>16</v>
      </c>
      <c r="F259" s="8" t="s">
        <v>2198</v>
      </c>
      <c r="G259" s="8" t="s">
        <v>2436</v>
      </c>
      <c r="H259" s="8">
        <v>9243</v>
      </c>
      <c r="I259" s="8">
        <v>4650</v>
      </c>
      <c r="J259" s="8">
        <v>13193201</v>
      </c>
      <c r="K259" s="9">
        <v>45222</v>
      </c>
      <c r="L259" s="9">
        <v>46296</v>
      </c>
      <c r="M259" s="8" t="s">
        <v>16</v>
      </c>
      <c r="P259" s="16" t="s">
        <v>281</v>
      </c>
      <c r="Q259" s="2" t="s">
        <v>16</v>
      </c>
      <c r="S259" s="8" t="s">
        <v>343</v>
      </c>
      <c r="T259" s="9">
        <v>45627</v>
      </c>
      <c r="U259" s="8">
        <v>0</v>
      </c>
      <c r="V259" s="20">
        <v>540</v>
      </c>
      <c r="W259" s="21" t="s">
        <v>151</v>
      </c>
    </row>
    <row r="260" spans="1:23" ht="60">
      <c r="A260" s="8" t="s">
        <v>2440</v>
      </c>
      <c r="B260" s="8" t="s">
        <v>282</v>
      </c>
      <c r="C260" s="8" t="s">
        <v>2221</v>
      </c>
      <c r="D260" s="8" t="s">
        <v>18</v>
      </c>
      <c r="E260" s="8" t="s">
        <v>43</v>
      </c>
      <c r="F260" s="8" t="s">
        <v>2217</v>
      </c>
      <c r="G260" s="8" t="s">
        <v>2217</v>
      </c>
      <c r="H260" s="8">
        <v>6</v>
      </c>
      <c r="I260" s="8">
        <v>6</v>
      </c>
      <c r="J260" s="8">
        <v>0</v>
      </c>
      <c r="K260" s="8" t="s">
        <v>2222</v>
      </c>
      <c r="L260" s="8" t="s">
        <v>2222</v>
      </c>
      <c r="M260" s="8" t="s">
        <v>43</v>
      </c>
      <c r="P260" s="16" t="s">
        <v>281</v>
      </c>
      <c r="Q260" s="2" t="s">
        <v>16</v>
      </c>
      <c r="S260" s="8" t="s">
        <v>344</v>
      </c>
      <c r="T260" s="9">
        <v>45778</v>
      </c>
      <c r="U260" s="8">
        <v>0</v>
      </c>
      <c r="V260" s="20">
        <v>7188</v>
      </c>
      <c r="W260" s="21" t="s">
        <v>16</v>
      </c>
    </row>
    <row r="261" spans="1:23" ht="60">
      <c r="A261" s="8" t="s">
        <v>2441</v>
      </c>
      <c r="B261" s="8" t="s">
        <v>283</v>
      </c>
      <c r="C261" s="8" t="s">
        <v>2221</v>
      </c>
      <c r="D261" s="8" t="s">
        <v>18</v>
      </c>
      <c r="E261" s="8" t="s">
        <v>43</v>
      </c>
      <c r="F261" s="8" t="s">
        <v>2217</v>
      </c>
      <c r="G261" s="8" t="s">
        <v>2217</v>
      </c>
      <c r="H261" s="8">
        <v>27</v>
      </c>
      <c r="I261" s="8">
        <v>27</v>
      </c>
      <c r="J261" s="8">
        <v>0</v>
      </c>
      <c r="K261" s="9">
        <v>44153</v>
      </c>
      <c r="L261" s="9">
        <v>44153</v>
      </c>
      <c r="M261" s="8" t="s">
        <v>43</v>
      </c>
      <c r="P261" s="16" t="s">
        <v>281</v>
      </c>
      <c r="Q261" s="2" t="s">
        <v>16</v>
      </c>
      <c r="S261" s="8" t="s">
        <v>344</v>
      </c>
      <c r="T261" s="9">
        <v>45931</v>
      </c>
      <c r="U261" s="8">
        <v>0</v>
      </c>
      <c r="V261" s="20">
        <v>2200</v>
      </c>
      <c r="W261" s="21" t="s">
        <v>16</v>
      </c>
    </row>
    <row r="262" spans="1:23" ht="45">
      <c r="A262" s="8" t="s">
        <v>2442</v>
      </c>
      <c r="B262" s="8" t="s">
        <v>284</v>
      </c>
      <c r="C262" s="8" t="s">
        <v>2197</v>
      </c>
      <c r="D262" s="8" t="s">
        <v>18</v>
      </c>
      <c r="E262" s="8" t="s">
        <v>151</v>
      </c>
      <c r="F262" s="8" t="s">
        <v>2325</v>
      </c>
      <c r="G262" s="8" t="s">
        <v>2443</v>
      </c>
      <c r="H262" s="8">
        <v>414</v>
      </c>
      <c r="I262" s="8">
        <v>414</v>
      </c>
      <c r="J262" s="8">
        <v>381696</v>
      </c>
      <c r="K262" s="9">
        <v>45127</v>
      </c>
      <c r="L262" s="9">
        <v>46753</v>
      </c>
      <c r="M262" s="8" t="s">
        <v>151</v>
      </c>
      <c r="P262" s="16" t="s">
        <v>282</v>
      </c>
      <c r="Q262" s="2" t="s">
        <v>43</v>
      </c>
      <c r="S262" s="8" t="s">
        <v>351</v>
      </c>
      <c r="T262" s="9">
        <v>47119</v>
      </c>
      <c r="U262" s="8">
        <v>0</v>
      </c>
      <c r="V262" s="20">
        <v>2</v>
      </c>
      <c r="W262" s="21" t="s">
        <v>16</v>
      </c>
    </row>
    <row r="263" spans="1:23" ht="60">
      <c r="A263" s="8" t="s">
        <v>2444</v>
      </c>
      <c r="B263" s="8" t="s">
        <v>285</v>
      </c>
      <c r="C263" s="8" t="s">
        <v>2197</v>
      </c>
      <c r="D263" s="8" t="s">
        <v>18</v>
      </c>
      <c r="E263" s="8" t="s">
        <v>151</v>
      </c>
      <c r="F263" s="8" t="s">
        <v>2325</v>
      </c>
      <c r="G263" s="8" t="s">
        <v>2445</v>
      </c>
      <c r="H263" s="8">
        <v>2946</v>
      </c>
      <c r="I263" s="8">
        <v>946</v>
      </c>
      <c r="J263" s="8">
        <v>15839</v>
      </c>
      <c r="K263" s="9">
        <v>45283</v>
      </c>
      <c r="L263" s="9">
        <v>46997</v>
      </c>
      <c r="M263" s="8" t="s">
        <v>151</v>
      </c>
      <c r="P263" s="16" t="s">
        <v>283</v>
      </c>
      <c r="Q263" s="2" t="s">
        <v>43</v>
      </c>
      <c r="S263" s="8" t="s">
        <v>351</v>
      </c>
      <c r="T263" s="9">
        <v>47209</v>
      </c>
      <c r="U263" s="8">
        <v>0</v>
      </c>
      <c r="V263" s="20">
        <v>820</v>
      </c>
      <c r="W263" s="21" t="s">
        <v>16</v>
      </c>
    </row>
    <row r="264" spans="1:23" ht="60">
      <c r="A264" s="8" t="s">
        <v>2444</v>
      </c>
      <c r="B264" s="8" t="s">
        <v>285</v>
      </c>
      <c r="C264" s="8" t="s">
        <v>2197</v>
      </c>
      <c r="D264" s="8" t="s">
        <v>18</v>
      </c>
      <c r="E264" s="8" t="s">
        <v>151</v>
      </c>
      <c r="F264" s="8" t="s">
        <v>2325</v>
      </c>
      <c r="G264" s="8" t="s">
        <v>2445</v>
      </c>
      <c r="H264" s="8">
        <v>2946</v>
      </c>
      <c r="I264" s="8">
        <v>2000</v>
      </c>
      <c r="J264" s="8">
        <v>2230002</v>
      </c>
      <c r="K264" s="9">
        <v>45446</v>
      </c>
      <c r="L264" s="9">
        <v>47239</v>
      </c>
      <c r="M264" s="8" t="s">
        <v>151</v>
      </c>
      <c r="P264" s="16" t="s">
        <v>284</v>
      </c>
      <c r="Q264" s="2" t="s">
        <v>151</v>
      </c>
      <c r="S264" s="8" t="s">
        <v>352</v>
      </c>
      <c r="T264" s="9">
        <v>47209</v>
      </c>
      <c r="U264" s="8">
        <v>0</v>
      </c>
      <c r="V264" s="20">
        <v>1445</v>
      </c>
      <c r="W264" s="21" t="s">
        <v>16</v>
      </c>
    </row>
    <row r="265" spans="1:23" ht="75">
      <c r="A265" s="8" t="s">
        <v>2446</v>
      </c>
      <c r="B265" s="8" t="s">
        <v>286</v>
      </c>
      <c r="C265" s="8" t="s">
        <v>2197</v>
      </c>
      <c r="D265" s="8" t="s">
        <v>18</v>
      </c>
      <c r="E265" s="8" t="s">
        <v>151</v>
      </c>
      <c r="F265" s="8" t="s">
        <v>2325</v>
      </c>
      <c r="G265" s="8" t="s">
        <v>2447</v>
      </c>
      <c r="H265" s="8">
        <v>10</v>
      </c>
      <c r="I265" s="8">
        <v>10</v>
      </c>
      <c r="J265" s="8" t="s">
        <v>287</v>
      </c>
      <c r="K265" s="9">
        <v>43935</v>
      </c>
      <c r="L265" s="9">
        <v>46753</v>
      </c>
      <c r="M265" s="8" t="s">
        <v>151</v>
      </c>
      <c r="P265" s="16" t="s">
        <v>285</v>
      </c>
      <c r="Q265" s="2" t="s">
        <v>151</v>
      </c>
      <c r="S265" s="8" t="s">
        <v>352</v>
      </c>
      <c r="T265" s="9">
        <v>47239</v>
      </c>
      <c r="U265" s="8">
        <v>0</v>
      </c>
      <c r="V265" s="20">
        <v>4300</v>
      </c>
      <c r="W265" s="21" t="s">
        <v>16</v>
      </c>
    </row>
    <row r="266" spans="1:23" ht="75">
      <c r="A266" s="8" t="s">
        <v>2448</v>
      </c>
      <c r="B266" s="8" t="s">
        <v>286</v>
      </c>
      <c r="C266" s="8" t="s">
        <v>2197</v>
      </c>
      <c r="D266" s="8" t="s">
        <v>18</v>
      </c>
      <c r="E266" s="8" t="s">
        <v>151</v>
      </c>
      <c r="F266" s="8" t="s">
        <v>2325</v>
      </c>
      <c r="G266" s="8" t="s">
        <v>2447</v>
      </c>
      <c r="H266" s="8">
        <v>329</v>
      </c>
      <c r="I266" s="8">
        <v>329</v>
      </c>
      <c r="J266" s="8" t="s">
        <v>287</v>
      </c>
      <c r="K266" s="9">
        <v>43935</v>
      </c>
      <c r="L266" s="9">
        <v>46753</v>
      </c>
      <c r="M266" s="8" t="s">
        <v>151</v>
      </c>
      <c r="P266" s="16" t="s">
        <v>285</v>
      </c>
      <c r="Q266" s="2" t="s">
        <v>151</v>
      </c>
      <c r="S266" s="8" t="s">
        <v>353</v>
      </c>
      <c r="T266" s="9" t="s">
        <v>2222</v>
      </c>
      <c r="U266" s="8">
        <v>0</v>
      </c>
      <c r="V266" s="20">
        <v>99</v>
      </c>
      <c r="W266" s="21" t="s">
        <v>38</v>
      </c>
    </row>
    <row r="267" spans="1:23" ht="45">
      <c r="A267" s="8" t="s">
        <v>2449</v>
      </c>
      <c r="B267" s="8" t="s">
        <v>288</v>
      </c>
      <c r="C267" s="8" t="s">
        <v>2197</v>
      </c>
      <c r="D267" s="8" t="s">
        <v>18</v>
      </c>
      <c r="E267" s="8" t="s">
        <v>16</v>
      </c>
      <c r="F267" s="8" t="s">
        <v>2198</v>
      </c>
      <c r="G267" s="8" t="s">
        <v>2450</v>
      </c>
      <c r="H267" s="8">
        <v>2175</v>
      </c>
      <c r="I267" s="8">
        <v>75</v>
      </c>
      <c r="J267" s="8" t="s">
        <v>289</v>
      </c>
      <c r="K267" s="9">
        <v>45246</v>
      </c>
      <c r="L267" s="9">
        <v>47058</v>
      </c>
      <c r="M267" s="8" t="s">
        <v>16</v>
      </c>
      <c r="P267" s="17" t="s">
        <v>286</v>
      </c>
      <c r="Q267" s="2" t="s">
        <v>151</v>
      </c>
      <c r="S267" s="8" t="s">
        <v>354</v>
      </c>
      <c r="T267" s="9">
        <v>45597</v>
      </c>
      <c r="U267" s="8">
        <v>0</v>
      </c>
      <c r="V267" s="20">
        <v>2</v>
      </c>
      <c r="W267" s="21" t="s">
        <v>38</v>
      </c>
    </row>
    <row r="268" spans="1:23" ht="45">
      <c r="A268" s="8" t="s">
        <v>2449</v>
      </c>
      <c r="B268" s="8" t="s">
        <v>288</v>
      </c>
      <c r="C268" s="8" t="s">
        <v>2197</v>
      </c>
      <c r="D268" s="8" t="s">
        <v>18</v>
      </c>
      <c r="E268" s="8" t="s">
        <v>16</v>
      </c>
      <c r="F268" s="8" t="s">
        <v>2198</v>
      </c>
      <c r="G268" s="8" t="s">
        <v>2450</v>
      </c>
      <c r="H268" s="8">
        <v>2175</v>
      </c>
      <c r="I268" s="8">
        <v>2100</v>
      </c>
      <c r="J268" s="8" t="s">
        <v>290</v>
      </c>
      <c r="K268" s="9">
        <v>45428</v>
      </c>
      <c r="L268" s="9">
        <v>47058</v>
      </c>
      <c r="M268" s="8" t="s">
        <v>16</v>
      </c>
      <c r="P268" s="17" t="s">
        <v>286</v>
      </c>
      <c r="Q268" s="2" t="s">
        <v>151</v>
      </c>
      <c r="S268" s="8" t="s">
        <v>355</v>
      </c>
      <c r="T268" s="9">
        <v>46357</v>
      </c>
      <c r="U268" s="8">
        <v>0</v>
      </c>
      <c r="V268" s="20">
        <v>1</v>
      </c>
      <c r="W268" s="21" t="s">
        <v>16</v>
      </c>
    </row>
    <row r="269" spans="1:23" ht="48.75">
      <c r="A269" s="8" t="s">
        <v>2451</v>
      </c>
      <c r="B269" s="8" t="s">
        <v>291</v>
      </c>
      <c r="C269" s="8" t="s">
        <v>2197</v>
      </c>
      <c r="D269" s="8" t="s">
        <v>18</v>
      </c>
      <c r="E269" s="8" t="s">
        <v>16</v>
      </c>
      <c r="F269" s="8" t="s">
        <v>2198</v>
      </c>
      <c r="G269" s="8" t="s">
        <v>2450</v>
      </c>
      <c r="H269" s="8">
        <v>485</v>
      </c>
      <c r="I269" s="8">
        <v>485</v>
      </c>
      <c r="J269" s="8" t="s">
        <v>292</v>
      </c>
      <c r="K269" s="9">
        <v>45246</v>
      </c>
      <c r="L269" s="9">
        <v>46997</v>
      </c>
      <c r="M269" s="8" t="s">
        <v>16</v>
      </c>
      <c r="P269" s="16" t="s">
        <v>288</v>
      </c>
      <c r="Q269" s="2" t="s">
        <v>16</v>
      </c>
      <c r="S269" s="8" t="s">
        <v>356</v>
      </c>
      <c r="T269" s="9">
        <v>46357</v>
      </c>
      <c r="U269" s="8">
        <v>0</v>
      </c>
      <c r="V269" s="20">
        <v>199</v>
      </c>
      <c r="W269" s="21" t="s">
        <v>16</v>
      </c>
    </row>
    <row r="270" spans="1:23" ht="48.75">
      <c r="A270" s="8" t="s">
        <v>2452</v>
      </c>
      <c r="B270" s="8" t="s">
        <v>293</v>
      </c>
      <c r="C270" s="8" t="s">
        <v>2197</v>
      </c>
      <c r="D270" s="8" t="s">
        <v>18</v>
      </c>
      <c r="E270" s="8" t="s">
        <v>16</v>
      </c>
      <c r="F270" s="8" t="s">
        <v>2198</v>
      </c>
      <c r="G270" s="8" t="s">
        <v>2450</v>
      </c>
      <c r="H270" s="8">
        <v>1500</v>
      </c>
      <c r="I270" s="8">
        <v>1500</v>
      </c>
      <c r="J270" s="8" t="s">
        <v>294</v>
      </c>
      <c r="K270" s="9">
        <v>45331</v>
      </c>
      <c r="L270" s="9">
        <v>47058</v>
      </c>
      <c r="M270" s="8" t="s">
        <v>16</v>
      </c>
      <c r="P270" s="16" t="s">
        <v>288</v>
      </c>
      <c r="Q270" s="2" t="s">
        <v>16</v>
      </c>
      <c r="S270" s="8" t="s">
        <v>357</v>
      </c>
      <c r="T270" s="9">
        <v>45597</v>
      </c>
      <c r="U270" s="8">
        <v>0</v>
      </c>
      <c r="V270" s="20">
        <v>80</v>
      </c>
      <c r="W270" s="21" t="s">
        <v>16</v>
      </c>
    </row>
    <row r="271" spans="1:23" ht="90">
      <c r="A271" s="8" t="s">
        <v>2453</v>
      </c>
      <c r="B271" s="8" t="s">
        <v>295</v>
      </c>
      <c r="C271" s="8" t="s">
        <v>2197</v>
      </c>
      <c r="D271" s="8" t="s">
        <v>18</v>
      </c>
      <c r="E271" s="8" t="s">
        <v>16</v>
      </c>
      <c r="F271" s="8" t="s">
        <v>2198</v>
      </c>
      <c r="G271" s="8" t="s">
        <v>2450</v>
      </c>
      <c r="H271" s="8">
        <v>2919</v>
      </c>
      <c r="I271" s="8">
        <v>419</v>
      </c>
      <c r="J271" s="8" t="s">
        <v>296</v>
      </c>
      <c r="K271" s="9">
        <v>45246</v>
      </c>
      <c r="L271" s="9">
        <v>46997</v>
      </c>
      <c r="M271" s="8" t="s">
        <v>16</v>
      </c>
      <c r="P271" s="16" t="s">
        <v>291</v>
      </c>
      <c r="Q271" s="2" t="s">
        <v>16</v>
      </c>
      <c r="S271" s="8" t="s">
        <v>358</v>
      </c>
      <c r="T271" s="9">
        <v>45627</v>
      </c>
      <c r="U271" s="8">
        <v>0</v>
      </c>
      <c r="V271" s="20">
        <v>24</v>
      </c>
      <c r="W271" s="21" t="s">
        <v>16</v>
      </c>
    </row>
    <row r="272" spans="1:23" ht="90">
      <c r="A272" s="8" t="s">
        <v>2453</v>
      </c>
      <c r="B272" s="8" t="s">
        <v>295</v>
      </c>
      <c r="C272" s="8" t="s">
        <v>2197</v>
      </c>
      <c r="D272" s="8" t="s">
        <v>18</v>
      </c>
      <c r="E272" s="8" t="s">
        <v>16</v>
      </c>
      <c r="F272" s="8" t="s">
        <v>2198</v>
      </c>
      <c r="G272" s="8" t="s">
        <v>2450</v>
      </c>
      <c r="H272" s="8">
        <v>2919</v>
      </c>
      <c r="I272" s="8">
        <v>2500</v>
      </c>
      <c r="J272" s="8" t="s">
        <v>297</v>
      </c>
      <c r="K272" s="9">
        <v>45428</v>
      </c>
      <c r="L272" s="9">
        <v>47088</v>
      </c>
      <c r="M272" s="8" t="s">
        <v>16</v>
      </c>
      <c r="P272" s="16" t="s">
        <v>293</v>
      </c>
      <c r="Q272" s="2" t="s">
        <v>16</v>
      </c>
      <c r="S272" s="8" t="s">
        <v>360</v>
      </c>
      <c r="T272" s="9">
        <v>45627</v>
      </c>
      <c r="U272" s="8">
        <v>0</v>
      </c>
      <c r="V272" s="20">
        <v>319</v>
      </c>
      <c r="W272" s="21" t="s">
        <v>16</v>
      </c>
    </row>
    <row r="273" spans="1:23" ht="45">
      <c r="A273" s="8" t="s">
        <v>2454</v>
      </c>
      <c r="B273" s="8" t="s">
        <v>298</v>
      </c>
      <c r="C273" s="8" t="s">
        <v>2197</v>
      </c>
      <c r="D273" s="8" t="s">
        <v>18</v>
      </c>
      <c r="E273" s="8" t="s">
        <v>16</v>
      </c>
      <c r="F273" s="8" t="s">
        <v>2228</v>
      </c>
      <c r="G273" s="8" t="s">
        <v>2455</v>
      </c>
      <c r="H273" s="8">
        <v>1448</v>
      </c>
      <c r="I273" s="8">
        <v>8</v>
      </c>
      <c r="J273" s="8" t="s">
        <v>299</v>
      </c>
      <c r="K273" s="9">
        <v>45246</v>
      </c>
      <c r="L273" s="9">
        <v>47058</v>
      </c>
      <c r="M273" s="8" t="s">
        <v>16</v>
      </c>
      <c r="P273" s="16" t="s">
        <v>295</v>
      </c>
      <c r="Q273" s="2" t="s">
        <v>16</v>
      </c>
      <c r="S273" s="8" t="s">
        <v>361</v>
      </c>
      <c r="T273" s="9" t="s">
        <v>2222</v>
      </c>
      <c r="U273" s="8">
        <v>0</v>
      </c>
      <c r="V273" s="20">
        <v>83</v>
      </c>
      <c r="W273" s="21" t="s">
        <v>41</v>
      </c>
    </row>
    <row r="274" spans="1:23" ht="45">
      <c r="A274" s="8" t="s">
        <v>2454</v>
      </c>
      <c r="B274" s="8" t="s">
        <v>298</v>
      </c>
      <c r="C274" s="8" t="s">
        <v>2197</v>
      </c>
      <c r="D274" s="8" t="s">
        <v>18</v>
      </c>
      <c r="E274" s="8" t="s">
        <v>16</v>
      </c>
      <c r="F274" s="8" t="s">
        <v>2228</v>
      </c>
      <c r="G274" s="8" t="s">
        <v>2455</v>
      </c>
      <c r="H274" s="8">
        <v>1448</v>
      </c>
      <c r="I274" s="8">
        <v>440</v>
      </c>
      <c r="J274" s="8" t="s">
        <v>300</v>
      </c>
      <c r="K274" s="9">
        <v>45428</v>
      </c>
      <c r="L274" s="9">
        <v>47239</v>
      </c>
      <c r="M274" s="8" t="s">
        <v>16</v>
      </c>
      <c r="P274" s="16" t="s">
        <v>295</v>
      </c>
      <c r="Q274" s="2" t="s">
        <v>16</v>
      </c>
      <c r="S274" s="8" t="s">
        <v>362</v>
      </c>
      <c r="T274" s="9">
        <v>46874</v>
      </c>
      <c r="U274" s="8">
        <v>0</v>
      </c>
      <c r="V274" s="20">
        <v>1655</v>
      </c>
      <c r="W274" s="21" t="s">
        <v>16</v>
      </c>
    </row>
    <row r="275" spans="1:23" ht="45">
      <c r="A275" s="8" t="s">
        <v>2454</v>
      </c>
      <c r="B275" s="8" t="s">
        <v>298</v>
      </c>
      <c r="C275" s="8" t="s">
        <v>2197</v>
      </c>
      <c r="D275" s="8" t="s">
        <v>18</v>
      </c>
      <c r="E275" s="8" t="s">
        <v>16</v>
      </c>
      <c r="F275" s="8" t="s">
        <v>2228</v>
      </c>
      <c r="G275" s="8" t="s">
        <v>2455</v>
      </c>
      <c r="H275" s="8">
        <v>1448</v>
      </c>
      <c r="I275" s="8">
        <v>1000</v>
      </c>
      <c r="J275" s="8">
        <v>2406061000</v>
      </c>
      <c r="K275" s="9">
        <v>45463</v>
      </c>
      <c r="L275" s="9">
        <v>47270</v>
      </c>
      <c r="M275" s="8" t="s">
        <v>16</v>
      </c>
      <c r="P275" s="16" t="s">
        <v>298</v>
      </c>
      <c r="Q275" s="2" t="s">
        <v>16</v>
      </c>
      <c r="S275" s="8" t="s">
        <v>365</v>
      </c>
      <c r="T275" s="9">
        <v>46174</v>
      </c>
      <c r="U275" s="8">
        <v>0</v>
      </c>
      <c r="V275" s="20">
        <v>18</v>
      </c>
      <c r="W275" s="21" t="s">
        <v>16</v>
      </c>
    </row>
    <row r="276" spans="1:23" ht="45">
      <c r="A276" s="8" t="s">
        <v>2456</v>
      </c>
      <c r="B276" s="8" t="s">
        <v>301</v>
      </c>
      <c r="C276" s="8" t="s">
        <v>2197</v>
      </c>
      <c r="D276" s="8" t="s">
        <v>18</v>
      </c>
      <c r="E276" s="8" t="s">
        <v>16</v>
      </c>
      <c r="F276" s="8" t="s">
        <v>2228</v>
      </c>
      <c r="G276" s="8" t="s">
        <v>2455</v>
      </c>
      <c r="H276" s="8">
        <v>289</v>
      </c>
      <c r="I276" s="8">
        <v>289</v>
      </c>
      <c r="J276" s="8" t="s">
        <v>302</v>
      </c>
      <c r="K276" s="9">
        <v>45246</v>
      </c>
      <c r="L276" s="9">
        <v>47058</v>
      </c>
      <c r="M276" s="8" t="s">
        <v>16</v>
      </c>
      <c r="P276" s="16" t="s">
        <v>298</v>
      </c>
      <c r="Q276" s="2" t="s">
        <v>16</v>
      </c>
      <c r="S276" s="8" t="s">
        <v>365</v>
      </c>
      <c r="T276" s="9">
        <v>46844</v>
      </c>
      <c r="U276" s="8">
        <v>0</v>
      </c>
      <c r="V276" s="20">
        <v>624</v>
      </c>
      <c r="W276" s="21" t="s">
        <v>16</v>
      </c>
    </row>
    <row r="277" spans="1:23" ht="45">
      <c r="A277" s="8" t="s">
        <v>2457</v>
      </c>
      <c r="B277" s="8" t="s">
        <v>303</v>
      </c>
      <c r="C277" s="8" t="s">
        <v>2197</v>
      </c>
      <c r="D277" s="8" t="s">
        <v>18</v>
      </c>
      <c r="E277" s="8" t="s">
        <v>16</v>
      </c>
      <c r="F277" s="8" t="s">
        <v>2228</v>
      </c>
      <c r="G277" s="8" t="s">
        <v>2455</v>
      </c>
      <c r="H277" s="8">
        <v>830</v>
      </c>
      <c r="I277" s="8">
        <v>830</v>
      </c>
      <c r="J277" s="8" t="s">
        <v>304</v>
      </c>
      <c r="K277" s="9">
        <v>45246</v>
      </c>
      <c r="L277" s="9">
        <v>47058</v>
      </c>
      <c r="M277" s="8" t="s">
        <v>16</v>
      </c>
      <c r="P277" s="16" t="s">
        <v>298</v>
      </c>
      <c r="Q277" s="2" t="s">
        <v>16</v>
      </c>
      <c r="S277" s="8" t="s">
        <v>368</v>
      </c>
      <c r="T277" s="9">
        <v>46327</v>
      </c>
      <c r="U277" s="8">
        <v>0</v>
      </c>
      <c r="V277" s="20">
        <v>764</v>
      </c>
      <c r="W277" s="21" t="s">
        <v>16</v>
      </c>
    </row>
    <row r="278" spans="1:23" ht="60">
      <c r="A278" s="8" t="s">
        <v>2458</v>
      </c>
      <c r="B278" s="8" t="s">
        <v>305</v>
      </c>
      <c r="C278" s="8" t="s">
        <v>2197</v>
      </c>
      <c r="D278" s="8" t="s">
        <v>18</v>
      </c>
      <c r="E278" s="8" t="s">
        <v>2217</v>
      </c>
      <c r="F278" s="8" t="s">
        <v>2217</v>
      </c>
      <c r="G278" s="8" t="s">
        <v>2217</v>
      </c>
      <c r="H278" s="8">
        <v>1067</v>
      </c>
      <c r="I278" s="8">
        <v>1067</v>
      </c>
      <c r="J278" s="8" t="s">
        <v>306</v>
      </c>
      <c r="K278" s="9">
        <v>45306</v>
      </c>
      <c r="L278" s="9">
        <v>46327</v>
      </c>
      <c r="M278" s="8" t="s">
        <v>16</v>
      </c>
      <c r="P278" s="16" t="s">
        <v>301</v>
      </c>
      <c r="Q278" s="2" t="s">
        <v>16</v>
      </c>
      <c r="S278" s="8" t="s">
        <v>373</v>
      </c>
      <c r="T278" s="9">
        <v>46508</v>
      </c>
      <c r="U278" s="8">
        <v>0</v>
      </c>
      <c r="V278" s="20">
        <v>9</v>
      </c>
      <c r="W278" s="21" t="s">
        <v>16</v>
      </c>
    </row>
    <row r="279" spans="1:23" ht="60">
      <c r="A279" s="8" t="s">
        <v>2459</v>
      </c>
      <c r="B279" s="8" t="s">
        <v>307</v>
      </c>
      <c r="C279" s="8" t="s">
        <v>2221</v>
      </c>
      <c r="D279" s="8" t="s">
        <v>18</v>
      </c>
      <c r="E279" s="8" t="s">
        <v>2217</v>
      </c>
      <c r="F279" s="8" t="s">
        <v>2217</v>
      </c>
      <c r="G279" s="8" t="s">
        <v>2217</v>
      </c>
      <c r="H279" s="8">
        <v>10</v>
      </c>
      <c r="I279" s="8">
        <v>10</v>
      </c>
      <c r="J279" s="8">
        <v>0</v>
      </c>
      <c r="K279" s="9">
        <v>45090</v>
      </c>
      <c r="L279" s="8" t="s">
        <v>2222</v>
      </c>
      <c r="M279" s="8" t="s">
        <v>41</v>
      </c>
      <c r="P279" s="16" t="s">
        <v>303</v>
      </c>
      <c r="Q279" s="2" t="s">
        <v>16</v>
      </c>
      <c r="S279" s="8" t="s">
        <v>373</v>
      </c>
      <c r="T279" s="9">
        <v>46600</v>
      </c>
      <c r="U279" s="8">
        <v>0</v>
      </c>
      <c r="V279" s="20">
        <v>860</v>
      </c>
      <c r="W279" s="21" t="s">
        <v>16</v>
      </c>
    </row>
    <row r="280" spans="1:23" ht="60">
      <c r="A280" s="8" t="s">
        <v>2460</v>
      </c>
      <c r="B280" s="8" t="s">
        <v>308</v>
      </c>
      <c r="C280" s="8" t="s">
        <v>2221</v>
      </c>
      <c r="D280" s="8" t="s">
        <v>18</v>
      </c>
      <c r="E280" s="8" t="s">
        <v>101</v>
      </c>
      <c r="F280" s="8" t="s">
        <v>2461</v>
      </c>
      <c r="G280" s="8" t="s">
        <v>2217</v>
      </c>
      <c r="H280" s="8">
        <v>100</v>
      </c>
      <c r="I280" s="8">
        <v>100</v>
      </c>
      <c r="J280" s="8">
        <v>0</v>
      </c>
      <c r="K280" s="9">
        <v>44132</v>
      </c>
      <c r="L280" s="8" t="s">
        <v>2222</v>
      </c>
      <c r="M280" s="8" t="s">
        <v>41</v>
      </c>
      <c r="P280" s="16" t="s">
        <v>305</v>
      </c>
      <c r="Q280" s="2" t="s">
        <v>16</v>
      </c>
      <c r="S280" s="8" t="s">
        <v>373</v>
      </c>
      <c r="T280" s="9">
        <v>47119</v>
      </c>
      <c r="U280" s="8">
        <v>0</v>
      </c>
      <c r="V280" s="20">
        <v>1140</v>
      </c>
      <c r="W280" s="21" t="s">
        <v>16</v>
      </c>
    </row>
    <row r="281" spans="1:23" ht="60">
      <c r="A281" s="8" t="s">
        <v>2462</v>
      </c>
      <c r="B281" s="8" t="s">
        <v>309</v>
      </c>
      <c r="C281" s="8" t="s">
        <v>2221</v>
      </c>
      <c r="D281" s="8" t="s">
        <v>18</v>
      </c>
      <c r="E281" s="8" t="s">
        <v>101</v>
      </c>
      <c r="F281" s="8" t="s">
        <v>2461</v>
      </c>
      <c r="G281" s="8" t="s">
        <v>2217</v>
      </c>
      <c r="H281" s="8">
        <v>18</v>
      </c>
      <c r="I281" s="8">
        <v>18</v>
      </c>
      <c r="J281" s="8">
        <v>0</v>
      </c>
      <c r="K281" s="9">
        <v>44132</v>
      </c>
      <c r="L281" s="8" t="s">
        <v>2222</v>
      </c>
      <c r="M281" s="8" t="s">
        <v>41</v>
      </c>
      <c r="P281" s="16" t="s">
        <v>307</v>
      </c>
      <c r="Q281" s="2" t="s">
        <v>41</v>
      </c>
      <c r="S281" s="8" t="s">
        <v>377</v>
      </c>
      <c r="T281" s="9">
        <v>47119</v>
      </c>
      <c r="U281" s="8">
        <v>0</v>
      </c>
      <c r="V281" s="20">
        <v>14</v>
      </c>
      <c r="W281" s="21" t="s">
        <v>16</v>
      </c>
    </row>
    <row r="282" spans="1:23" ht="60">
      <c r="A282" s="8" t="s">
        <v>2463</v>
      </c>
      <c r="B282" s="8" t="s">
        <v>310</v>
      </c>
      <c r="C282" s="8" t="s">
        <v>2221</v>
      </c>
      <c r="D282" s="8" t="s">
        <v>18</v>
      </c>
      <c r="E282" s="8" t="s">
        <v>101</v>
      </c>
      <c r="F282" s="8" t="s">
        <v>2461</v>
      </c>
      <c r="G282" s="8" t="s">
        <v>2217</v>
      </c>
      <c r="H282" s="8">
        <v>6</v>
      </c>
      <c r="I282" s="8">
        <v>6</v>
      </c>
      <c r="J282" s="8">
        <v>0</v>
      </c>
      <c r="K282" s="9">
        <v>44132</v>
      </c>
      <c r="L282" s="8" t="s">
        <v>2222</v>
      </c>
      <c r="M282" s="8" t="s">
        <v>41</v>
      </c>
      <c r="P282" s="16" t="s">
        <v>308</v>
      </c>
      <c r="Q282" s="2" t="s">
        <v>41</v>
      </c>
      <c r="S282" s="8" t="s">
        <v>377</v>
      </c>
      <c r="T282" s="9">
        <v>47239</v>
      </c>
      <c r="U282" s="8">
        <v>0</v>
      </c>
      <c r="V282" s="20">
        <v>2000</v>
      </c>
      <c r="W282" s="21" t="s">
        <v>16</v>
      </c>
    </row>
    <row r="283" spans="1:23" ht="60">
      <c r="A283" s="8" t="s">
        <v>2471</v>
      </c>
      <c r="B283" s="8" t="s">
        <v>315</v>
      </c>
      <c r="C283" s="8" t="s">
        <v>2197</v>
      </c>
      <c r="D283" s="8" t="s">
        <v>18</v>
      </c>
      <c r="E283" s="8" t="s">
        <v>16</v>
      </c>
      <c r="F283" s="8" t="s">
        <v>2198</v>
      </c>
      <c r="G283" s="8" t="s">
        <v>2472</v>
      </c>
      <c r="H283" s="8">
        <v>6429</v>
      </c>
      <c r="I283" s="8">
        <v>9</v>
      </c>
      <c r="J283" s="8" t="s">
        <v>316</v>
      </c>
      <c r="K283" s="9">
        <v>45274</v>
      </c>
      <c r="L283" s="9">
        <v>45778</v>
      </c>
      <c r="M283" s="8" t="s">
        <v>16</v>
      </c>
      <c r="P283" s="16" t="s">
        <v>309</v>
      </c>
      <c r="Q283" s="2" t="s">
        <v>41</v>
      </c>
      <c r="S283" s="8" t="s">
        <v>378</v>
      </c>
      <c r="T283" s="9">
        <v>47239</v>
      </c>
      <c r="U283" s="8">
        <v>0</v>
      </c>
      <c r="V283" s="20">
        <v>10000</v>
      </c>
      <c r="W283" s="21" t="s">
        <v>16</v>
      </c>
    </row>
    <row r="284" spans="1:23" ht="60">
      <c r="A284" s="8" t="s">
        <v>2471</v>
      </c>
      <c r="B284" s="8" t="s">
        <v>315</v>
      </c>
      <c r="C284" s="8" t="s">
        <v>2197</v>
      </c>
      <c r="D284" s="8" t="s">
        <v>18</v>
      </c>
      <c r="E284" s="8" t="s">
        <v>16</v>
      </c>
      <c r="F284" s="8" t="s">
        <v>2198</v>
      </c>
      <c r="G284" s="8" t="s">
        <v>2472</v>
      </c>
      <c r="H284" s="8">
        <v>6429</v>
      </c>
      <c r="I284" s="8">
        <v>2000</v>
      </c>
      <c r="J284" s="8" t="s">
        <v>317</v>
      </c>
      <c r="K284" s="9">
        <v>45287</v>
      </c>
      <c r="L284" s="9">
        <v>45809</v>
      </c>
      <c r="M284" s="8" t="s">
        <v>16</v>
      </c>
      <c r="P284" s="16" t="s">
        <v>310</v>
      </c>
      <c r="Q284" s="2" t="s">
        <v>41</v>
      </c>
      <c r="S284" s="8" t="s">
        <v>380</v>
      </c>
      <c r="T284" s="9">
        <v>47239</v>
      </c>
      <c r="U284" s="8">
        <v>0</v>
      </c>
      <c r="V284" s="20">
        <v>1140</v>
      </c>
      <c r="W284" s="21" t="s">
        <v>16</v>
      </c>
    </row>
    <row r="285" spans="1:23" ht="60">
      <c r="A285" s="8" t="s">
        <v>2471</v>
      </c>
      <c r="B285" s="8" t="s">
        <v>315</v>
      </c>
      <c r="C285" s="8" t="s">
        <v>2197</v>
      </c>
      <c r="D285" s="8" t="s">
        <v>18</v>
      </c>
      <c r="E285" s="8" t="s">
        <v>16</v>
      </c>
      <c r="F285" s="8" t="s">
        <v>2198</v>
      </c>
      <c r="G285" s="8" t="s">
        <v>2472</v>
      </c>
      <c r="H285" s="8">
        <v>6429</v>
      </c>
      <c r="I285" s="8">
        <v>4420</v>
      </c>
      <c r="J285" s="8" t="s">
        <v>318</v>
      </c>
      <c r="K285" s="9">
        <v>45274</v>
      </c>
      <c r="L285" s="9">
        <v>45778</v>
      </c>
      <c r="M285" s="8" t="s">
        <v>16</v>
      </c>
      <c r="P285" s="16" t="s">
        <v>311</v>
      </c>
      <c r="Q285" s="2" t="s">
        <v>312</v>
      </c>
      <c r="S285" s="8" t="s">
        <v>381</v>
      </c>
      <c r="T285" s="9">
        <v>46784</v>
      </c>
      <c r="U285" s="8">
        <v>0</v>
      </c>
      <c r="V285" s="20">
        <v>2533</v>
      </c>
      <c r="W285" s="21" t="s">
        <v>16</v>
      </c>
    </row>
    <row r="286" spans="1:23" ht="45">
      <c r="A286" s="8" t="s">
        <v>2473</v>
      </c>
      <c r="B286" s="8" t="s">
        <v>319</v>
      </c>
      <c r="C286" s="8" t="s">
        <v>2197</v>
      </c>
      <c r="D286" s="8" t="s">
        <v>18</v>
      </c>
      <c r="E286" s="8" t="s">
        <v>151</v>
      </c>
      <c r="F286" s="8" t="s">
        <v>2474</v>
      </c>
      <c r="G286" s="8" t="s">
        <v>2475</v>
      </c>
      <c r="H286" s="8">
        <v>5</v>
      </c>
      <c r="I286" s="8">
        <v>5</v>
      </c>
      <c r="J286" s="8" t="s">
        <v>320</v>
      </c>
      <c r="K286" s="9">
        <v>45274</v>
      </c>
      <c r="L286" s="9">
        <v>45778</v>
      </c>
      <c r="M286" s="8" t="s">
        <v>151</v>
      </c>
      <c r="P286" s="16" t="s">
        <v>313</v>
      </c>
      <c r="Q286" s="2" t="s">
        <v>312</v>
      </c>
      <c r="S286" s="8" t="s">
        <v>383</v>
      </c>
      <c r="T286" s="9" t="s">
        <v>2222</v>
      </c>
      <c r="U286" s="8">
        <v>0</v>
      </c>
      <c r="V286" s="20">
        <v>5</v>
      </c>
      <c r="W286" s="21" t="s">
        <v>41</v>
      </c>
    </row>
    <row r="287" spans="1:23" ht="60">
      <c r="A287" s="8" t="s">
        <v>2476</v>
      </c>
      <c r="B287" s="8" t="s">
        <v>321</v>
      </c>
      <c r="C287" s="8" t="s">
        <v>2197</v>
      </c>
      <c r="D287" s="8" t="s">
        <v>18</v>
      </c>
      <c r="E287" s="8" t="s">
        <v>151</v>
      </c>
      <c r="F287" s="8" t="s">
        <v>151</v>
      </c>
      <c r="G287" s="8" t="s">
        <v>2477</v>
      </c>
      <c r="H287" s="8">
        <v>80</v>
      </c>
      <c r="I287" s="8">
        <v>80</v>
      </c>
      <c r="J287" s="8">
        <v>0</v>
      </c>
      <c r="K287" s="9">
        <v>45092</v>
      </c>
      <c r="L287" s="9">
        <v>46874</v>
      </c>
      <c r="M287" s="8" t="s">
        <v>16</v>
      </c>
      <c r="P287" s="16" t="s">
        <v>313</v>
      </c>
      <c r="Q287" s="2" t="s">
        <v>312</v>
      </c>
      <c r="S287" s="8" t="s">
        <v>384</v>
      </c>
      <c r="T287" s="9">
        <v>45901</v>
      </c>
      <c r="U287" s="8">
        <v>0</v>
      </c>
      <c r="V287" s="20">
        <v>2059</v>
      </c>
      <c r="W287" s="21" t="s">
        <v>16</v>
      </c>
    </row>
    <row r="288" spans="1:23" ht="60">
      <c r="A288" s="8" t="s">
        <v>2478</v>
      </c>
      <c r="B288" s="8" t="s">
        <v>322</v>
      </c>
      <c r="C288" s="8" t="s">
        <v>2197</v>
      </c>
      <c r="D288" s="8" t="s">
        <v>18</v>
      </c>
      <c r="E288" s="8" t="s">
        <v>151</v>
      </c>
      <c r="F288" s="8" t="s">
        <v>151</v>
      </c>
      <c r="G288" s="8" t="s">
        <v>2479</v>
      </c>
      <c r="H288" s="8">
        <v>379</v>
      </c>
      <c r="I288" s="8">
        <v>379</v>
      </c>
      <c r="J288" s="8">
        <v>0</v>
      </c>
      <c r="K288" s="9">
        <v>45178</v>
      </c>
      <c r="L288" s="9">
        <v>46997</v>
      </c>
      <c r="M288" s="8" t="s">
        <v>16</v>
      </c>
      <c r="P288" s="16" t="s">
        <v>313</v>
      </c>
      <c r="Q288" s="2" t="s">
        <v>312</v>
      </c>
      <c r="S288" s="8" t="s">
        <v>386</v>
      </c>
      <c r="T288" s="9">
        <v>46569</v>
      </c>
      <c r="U288" s="8">
        <v>0</v>
      </c>
      <c r="V288" s="20">
        <v>133</v>
      </c>
      <c r="W288" s="21" t="s">
        <v>151</v>
      </c>
    </row>
    <row r="289" spans="1:23" ht="45">
      <c r="A289" s="8" t="s">
        <v>2480</v>
      </c>
      <c r="B289" s="8" t="s">
        <v>323</v>
      </c>
      <c r="C289" s="8" t="s">
        <v>2197</v>
      </c>
      <c r="D289" s="8" t="s">
        <v>18</v>
      </c>
      <c r="E289" s="8" t="s">
        <v>151</v>
      </c>
      <c r="F289" s="8" t="s">
        <v>151</v>
      </c>
      <c r="G289" s="8" t="s">
        <v>2481</v>
      </c>
      <c r="H289" s="8">
        <v>591</v>
      </c>
      <c r="I289" s="8">
        <v>3</v>
      </c>
      <c r="J289" s="8">
        <v>0</v>
      </c>
      <c r="K289" s="9">
        <v>45299</v>
      </c>
      <c r="L289" s="9">
        <v>46905</v>
      </c>
      <c r="M289" s="8" t="s">
        <v>16</v>
      </c>
      <c r="P289" s="16" t="s">
        <v>314</v>
      </c>
      <c r="Q289" s="2" t="s">
        <v>312</v>
      </c>
      <c r="S289" s="8" t="s">
        <v>386</v>
      </c>
      <c r="T289" s="9" t="s">
        <v>2222</v>
      </c>
      <c r="U289" s="8">
        <v>0</v>
      </c>
      <c r="V289" s="20">
        <v>43270</v>
      </c>
      <c r="W289" s="21" t="s">
        <v>151</v>
      </c>
    </row>
    <row r="290" spans="1:23" ht="75">
      <c r="A290" s="8" t="s">
        <v>2480</v>
      </c>
      <c r="B290" s="8" t="s">
        <v>323</v>
      </c>
      <c r="C290" s="8" t="s">
        <v>2197</v>
      </c>
      <c r="D290" s="8" t="s">
        <v>18</v>
      </c>
      <c r="E290" s="8" t="s">
        <v>151</v>
      </c>
      <c r="F290" s="8" t="s">
        <v>151</v>
      </c>
      <c r="G290" s="8" t="s">
        <v>2481</v>
      </c>
      <c r="H290" s="8">
        <v>591</v>
      </c>
      <c r="I290" s="8">
        <v>588</v>
      </c>
      <c r="J290" s="8">
        <v>0</v>
      </c>
      <c r="K290" s="9">
        <v>45178</v>
      </c>
      <c r="L290" s="9">
        <v>46997</v>
      </c>
      <c r="M290" s="8" t="s">
        <v>16</v>
      </c>
      <c r="P290" s="16" t="s">
        <v>315</v>
      </c>
      <c r="Q290" s="2" t="s">
        <v>16</v>
      </c>
      <c r="S290" s="8" t="s">
        <v>387</v>
      </c>
      <c r="T290" s="9" t="s">
        <v>2222</v>
      </c>
      <c r="U290" s="8">
        <v>0</v>
      </c>
      <c r="V290" s="20">
        <v>2</v>
      </c>
      <c r="W290" s="21" t="s">
        <v>38</v>
      </c>
    </row>
    <row r="291" spans="1:23" ht="75">
      <c r="A291" s="8" t="s">
        <v>2482</v>
      </c>
      <c r="B291" s="8" t="s">
        <v>324</v>
      </c>
      <c r="C291" s="8" t="s">
        <v>2197</v>
      </c>
      <c r="D291" s="8" t="s">
        <v>18</v>
      </c>
      <c r="E291" s="8" t="s">
        <v>151</v>
      </c>
      <c r="F291" s="8" t="s">
        <v>151</v>
      </c>
      <c r="G291" s="8" t="s">
        <v>2483</v>
      </c>
      <c r="H291" s="8">
        <v>160</v>
      </c>
      <c r="I291" s="8">
        <v>160</v>
      </c>
      <c r="J291" s="8">
        <v>0</v>
      </c>
      <c r="K291" s="8" t="s">
        <v>2484</v>
      </c>
      <c r="L291" s="9">
        <v>47209</v>
      </c>
      <c r="M291" s="8" t="s">
        <v>16</v>
      </c>
      <c r="P291" s="16" t="s">
        <v>315</v>
      </c>
      <c r="Q291" s="2" t="s">
        <v>16</v>
      </c>
      <c r="S291" s="8" t="s">
        <v>388</v>
      </c>
      <c r="T291" s="9" t="s">
        <v>2222</v>
      </c>
      <c r="U291" s="8">
        <v>0</v>
      </c>
      <c r="V291" s="20">
        <v>2</v>
      </c>
      <c r="W291" s="21" t="s">
        <v>38</v>
      </c>
    </row>
    <row r="292" spans="1:23" ht="60">
      <c r="A292" s="8" t="s">
        <v>2485</v>
      </c>
      <c r="B292" s="8" t="s">
        <v>325</v>
      </c>
      <c r="C292" s="8" t="s">
        <v>2197</v>
      </c>
      <c r="D292" s="8" t="s">
        <v>18</v>
      </c>
      <c r="E292" s="8" t="s">
        <v>151</v>
      </c>
      <c r="F292" s="8" t="s">
        <v>2258</v>
      </c>
      <c r="G292" s="8" t="s">
        <v>2486</v>
      </c>
      <c r="H292" s="8">
        <v>348</v>
      </c>
      <c r="I292" s="8">
        <v>348</v>
      </c>
      <c r="J292" s="8">
        <v>0</v>
      </c>
      <c r="K292" s="9">
        <v>45092</v>
      </c>
      <c r="L292" s="9">
        <v>46905</v>
      </c>
      <c r="M292" s="8" t="s">
        <v>16</v>
      </c>
      <c r="P292" s="16" t="s">
        <v>315</v>
      </c>
      <c r="Q292" s="2" t="s">
        <v>16</v>
      </c>
      <c r="S292" s="8" t="s">
        <v>389</v>
      </c>
      <c r="T292" s="9" t="s">
        <v>2222</v>
      </c>
      <c r="U292" s="8">
        <v>0</v>
      </c>
      <c r="V292" s="20">
        <v>2</v>
      </c>
      <c r="W292" s="21" t="s">
        <v>38</v>
      </c>
    </row>
    <row r="293" spans="1:23" ht="75">
      <c r="A293" s="8" t="s">
        <v>2487</v>
      </c>
      <c r="B293" s="8" t="s">
        <v>326</v>
      </c>
      <c r="C293" s="8" t="s">
        <v>2197</v>
      </c>
      <c r="D293" s="8" t="s">
        <v>192</v>
      </c>
      <c r="E293" s="8" t="s">
        <v>151</v>
      </c>
      <c r="F293" s="8" t="s">
        <v>151</v>
      </c>
      <c r="G293" s="8" t="s">
        <v>2488</v>
      </c>
      <c r="H293" s="8">
        <v>656</v>
      </c>
      <c r="I293" s="8">
        <v>656</v>
      </c>
      <c r="J293" s="8" t="s">
        <v>327</v>
      </c>
      <c r="K293" s="9">
        <v>43935</v>
      </c>
      <c r="L293" s="9">
        <v>44256</v>
      </c>
      <c r="M293" s="8" t="s">
        <v>151</v>
      </c>
      <c r="P293" s="16" t="s">
        <v>319</v>
      </c>
      <c r="Q293" s="2" t="s">
        <v>151</v>
      </c>
      <c r="S293" s="8" t="s">
        <v>390</v>
      </c>
      <c r="T293" s="9" t="s">
        <v>2222</v>
      </c>
      <c r="U293" s="8">
        <v>0</v>
      </c>
      <c r="V293" s="20">
        <v>2</v>
      </c>
      <c r="W293" s="21" t="s">
        <v>38</v>
      </c>
    </row>
    <row r="294" spans="1:23" ht="45">
      <c r="A294" s="8" t="s">
        <v>2489</v>
      </c>
      <c r="B294" s="8" t="s">
        <v>328</v>
      </c>
      <c r="C294" s="8" t="s">
        <v>2197</v>
      </c>
      <c r="D294" s="8" t="s">
        <v>18</v>
      </c>
      <c r="E294" s="8" t="s">
        <v>16</v>
      </c>
      <c r="F294" s="8" t="s">
        <v>2198</v>
      </c>
      <c r="G294" s="8" t="s">
        <v>2490</v>
      </c>
      <c r="H294" s="8">
        <v>810</v>
      </c>
      <c r="I294" s="8">
        <v>810</v>
      </c>
      <c r="J294" s="8">
        <v>20221015</v>
      </c>
      <c r="K294" s="9">
        <v>44968</v>
      </c>
      <c r="L294" s="9">
        <v>45931</v>
      </c>
      <c r="M294" s="8" t="s">
        <v>16</v>
      </c>
      <c r="P294" s="16" t="s">
        <v>321</v>
      </c>
      <c r="Q294" s="2" t="s">
        <v>16</v>
      </c>
      <c r="S294" s="8" t="s">
        <v>391</v>
      </c>
      <c r="T294" s="9">
        <v>46997</v>
      </c>
      <c r="U294" s="8">
        <v>0</v>
      </c>
      <c r="V294" s="20">
        <v>491</v>
      </c>
      <c r="W294" s="21" t="s">
        <v>16</v>
      </c>
    </row>
    <row r="295" spans="1:23" ht="48.75">
      <c r="A295" s="8" t="s">
        <v>2491</v>
      </c>
      <c r="B295" s="8" t="s">
        <v>329</v>
      </c>
      <c r="C295" s="8" t="s">
        <v>2221</v>
      </c>
      <c r="D295" s="8" t="s">
        <v>18</v>
      </c>
      <c r="E295" s="8" t="s">
        <v>101</v>
      </c>
      <c r="F295" s="8" t="s">
        <v>101</v>
      </c>
      <c r="G295" s="8" t="s">
        <v>2217</v>
      </c>
      <c r="H295" s="8">
        <v>9</v>
      </c>
      <c r="I295" s="8">
        <v>9</v>
      </c>
      <c r="J295" s="8">
        <v>0</v>
      </c>
      <c r="K295" s="9">
        <v>44132</v>
      </c>
      <c r="L295" s="8" t="s">
        <v>2222</v>
      </c>
      <c r="M295" s="8" t="s">
        <v>41</v>
      </c>
      <c r="P295" s="16" t="s">
        <v>322</v>
      </c>
      <c r="Q295" s="2" t="s">
        <v>16</v>
      </c>
      <c r="S295" s="8" t="s">
        <v>393</v>
      </c>
      <c r="T295" s="9">
        <v>46113</v>
      </c>
      <c r="U295" s="8">
        <v>0</v>
      </c>
      <c r="V295" s="20">
        <v>380</v>
      </c>
      <c r="W295" s="21" t="s">
        <v>16</v>
      </c>
    </row>
    <row r="296" spans="1:23" ht="45">
      <c r="A296" s="8" t="s">
        <v>2492</v>
      </c>
      <c r="B296" s="8" t="s">
        <v>330</v>
      </c>
      <c r="C296" s="8" t="s">
        <v>2493</v>
      </c>
      <c r="D296" s="8" t="s">
        <v>18</v>
      </c>
      <c r="E296" s="8" t="s">
        <v>101</v>
      </c>
      <c r="F296" s="8" t="s">
        <v>101</v>
      </c>
      <c r="G296" s="8" t="s">
        <v>330</v>
      </c>
      <c r="H296" s="8">
        <v>1942</v>
      </c>
      <c r="I296" s="8">
        <v>1942</v>
      </c>
      <c r="J296" s="8">
        <v>0</v>
      </c>
      <c r="K296" s="9">
        <v>44167</v>
      </c>
      <c r="L296" s="8" t="s">
        <v>2222</v>
      </c>
      <c r="M296" s="8" t="s">
        <v>101</v>
      </c>
      <c r="P296" s="16" t="s">
        <v>323</v>
      </c>
      <c r="Q296" s="2" t="s">
        <v>16</v>
      </c>
      <c r="S296" s="8" t="s">
        <v>393</v>
      </c>
      <c r="T296" s="9">
        <v>45962</v>
      </c>
      <c r="U296" s="8">
        <v>0</v>
      </c>
      <c r="V296" s="20">
        <v>77</v>
      </c>
      <c r="W296" s="21" t="s">
        <v>16</v>
      </c>
    </row>
    <row r="297" spans="1:23" ht="45">
      <c r="A297" s="8" t="s">
        <v>2494</v>
      </c>
      <c r="B297" s="8" t="s">
        <v>331</v>
      </c>
      <c r="C297" s="8" t="s">
        <v>2197</v>
      </c>
      <c r="D297" s="8" t="s">
        <v>18</v>
      </c>
      <c r="E297" s="8" t="s">
        <v>16</v>
      </c>
      <c r="F297" s="8" t="s">
        <v>2204</v>
      </c>
      <c r="G297" s="8" t="s">
        <v>2495</v>
      </c>
      <c r="H297" s="8">
        <v>171</v>
      </c>
      <c r="I297" s="8">
        <v>171</v>
      </c>
      <c r="J297" s="10">
        <v>403000000000</v>
      </c>
      <c r="K297" s="9">
        <v>45146</v>
      </c>
      <c r="L297" s="9">
        <v>46966</v>
      </c>
      <c r="M297" s="8" t="s">
        <v>16</v>
      </c>
      <c r="P297" s="16" t="s">
        <v>323</v>
      </c>
      <c r="Q297" s="2" t="s">
        <v>16</v>
      </c>
      <c r="S297" s="8" t="s">
        <v>394</v>
      </c>
      <c r="T297" s="9">
        <v>46600</v>
      </c>
      <c r="U297" s="8">
        <v>0</v>
      </c>
      <c r="V297" s="20">
        <v>2</v>
      </c>
      <c r="W297" s="21" t="s">
        <v>16</v>
      </c>
    </row>
    <row r="298" spans="1:23" ht="45">
      <c r="A298" s="8" t="s">
        <v>2496</v>
      </c>
      <c r="B298" s="8" t="s">
        <v>332</v>
      </c>
      <c r="C298" s="8" t="s">
        <v>2197</v>
      </c>
      <c r="D298" s="8" t="s">
        <v>18</v>
      </c>
      <c r="E298" s="8" t="s">
        <v>16</v>
      </c>
      <c r="F298" s="8" t="s">
        <v>2204</v>
      </c>
      <c r="G298" s="8" t="s">
        <v>2495</v>
      </c>
      <c r="H298" s="8">
        <v>156</v>
      </c>
      <c r="I298" s="8">
        <v>156</v>
      </c>
      <c r="J298" s="10">
        <v>402000000000</v>
      </c>
      <c r="K298" s="9">
        <v>44935</v>
      </c>
      <c r="L298" s="9">
        <v>46508</v>
      </c>
      <c r="M298" s="8" t="s">
        <v>16</v>
      </c>
      <c r="P298" s="16" t="s">
        <v>324</v>
      </c>
      <c r="Q298" s="2" t="s">
        <v>16</v>
      </c>
      <c r="S298" s="8" t="s">
        <v>394</v>
      </c>
      <c r="T298" s="9">
        <v>46784</v>
      </c>
      <c r="U298" s="8">
        <v>0</v>
      </c>
      <c r="V298" s="20">
        <v>265</v>
      </c>
      <c r="W298" s="21" t="s">
        <v>16</v>
      </c>
    </row>
    <row r="299" spans="1:23" ht="48.75">
      <c r="A299" s="8" t="s">
        <v>2497</v>
      </c>
      <c r="B299" s="8" t="s">
        <v>333</v>
      </c>
      <c r="C299" s="8" t="s">
        <v>2221</v>
      </c>
      <c r="D299" s="8" t="s">
        <v>18</v>
      </c>
      <c r="E299" s="8" t="s">
        <v>101</v>
      </c>
      <c r="F299" s="8" t="s">
        <v>2498</v>
      </c>
      <c r="G299" s="8" t="s">
        <v>2499</v>
      </c>
      <c r="H299" s="8">
        <v>8</v>
      </c>
      <c r="I299" s="8">
        <v>8</v>
      </c>
      <c r="J299" s="8">
        <v>0</v>
      </c>
      <c r="K299" s="8" t="s">
        <v>2222</v>
      </c>
      <c r="L299" s="8" t="s">
        <v>2222</v>
      </c>
      <c r="M299" s="8" t="s">
        <v>41</v>
      </c>
      <c r="P299" s="16" t="s">
        <v>325</v>
      </c>
      <c r="Q299" s="2" t="s">
        <v>16</v>
      </c>
      <c r="S299" s="8" t="s">
        <v>394</v>
      </c>
      <c r="T299" s="9">
        <v>46813</v>
      </c>
      <c r="U299" s="8">
        <v>0</v>
      </c>
      <c r="V299" s="20">
        <v>1000</v>
      </c>
      <c r="W299" s="21" t="s">
        <v>16</v>
      </c>
    </row>
    <row r="300" spans="1:23" ht="60.75">
      <c r="A300" s="8" t="s">
        <v>2500</v>
      </c>
      <c r="B300" s="8" t="s">
        <v>334</v>
      </c>
      <c r="C300" s="8" t="s">
        <v>2197</v>
      </c>
      <c r="D300" s="8" t="s">
        <v>18</v>
      </c>
      <c r="E300" s="8" t="s">
        <v>16</v>
      </c>
      <c r="F300" s="8" t="s">
        <v>2204</v>
      </c>
      <c r="G300" s="8" t="s">
        <v>2501</v>
      </c>
      <c r="H300" s="8">
        <v>150</v>
      </c>
      <c r="I300" s="8">
        <v>150</v>
      </c>
      <c r="J300" s="8">
        <v>21153001</v>
      </c>
      <c r="K300" s="9">
        <v>45378</v>
      </c>
      <c r="L300" s="9">
        <v>46204</v>
      </c>
      <c r="M300" s="8" t="s">
        <v>16</v>
      </c>
      <c r="P300" s="16" t="s">
        <v>326</v>
      </c>
      <c r="Q300" s="2" t="s">
        <v>151</v>
      </c>
      <c r="S300" s="8" t="s">
        <v>395</v>
      </c>
      <c r="T300" s="9">
        <v>45931</v>
      </c>
      <c r="U300" s="8">
        <v>0</v>
      </c>
      <c r="V300" s="20">
        <v>10</v>
      </c>
      <c r="W300" s="21" t="s">
        <v>16</v>
      </c>
    </row>
    <row r="301" spans="1:23" ht="60">
      <c r="A301" s="8" t="s">
        <v>2502</v>
      </c>
      <c r="B301" s="8" t="s">
        <v>335</v>
      </c>
      <c r="C301" s="8" t="s">
        <v>2197</v>
      </c>
      <c r="D301" s="8" t="s">
        <v>18</v>
      </c>
      <c r="E301" s="8" t="s">
        <v>16</v>
      </c>
      <c r="F301" s="8" t="s">
        <v>2204</v>
      </c>
      <c r="G301" s="8" t="s">
        <v>2501</v>
      </c>
      <c r="H301" s="8">
        <v>1140</v>
      </c>
      <c r="I301" s="8">
        <v>40</v>
      </c>
      <c r="J301" s="8">
        <v>21153001</v>
      </c>
      <c r="K301" s="9">
        <v>45378</v>
      </c>
      <c r="L301" s="9">
        <v>45992</v>
      </c>
      <c r="M301" s="8" t="s">
        <v>16</v>
      </c>
      <c r="P301" s="16" t="s">
        <v>328</v>
      </c>
      <c r="Q301" s="2" t="s">
        <v>16</v>
      </c>
      <c r="S301" s="8" t="s">
        <v>395</v>
      </c>
      <c r="T301" s="9">
        <v>46054</v>
      </c>
      <c r="U301" s="8">
        <v>0</v>
      </c>
      <c r="V301" s="20">
        <v>700</v>
      </c>
      <c r="W301" s="21" t="s">
        <v>16</v>
      </c>
    </row>
    <row r="302" spans="1:23" ht="75">
      <c r="A302" s="8" t="s">
        <v>2502</v>
      </c>
      <c r="B302" s="8" t="s">
        <v>335</v>
      </c>
      <c r="C302" s="8" t="s">
        <v>2197</v>
      </c>
      <c r="D302" s="8" t="s">
        <v>18</v>
      </c>
      <c r="E302" s="8" t="s">
        <v>16</v>
      </c>
      <c r="F302" s="8" t="s">
        <v>2204</v>
      </c>
      <c r="G302" s="8" t="s">
        <v>2501</v>
      </c>
      <c r="H302" s="8">
        <v>1140</v>
      </c>
      <c r="I302" s="8">
        <v>1100</v>
      </c>
      <c r="J302" s="8">
        <v>15142101</v>
      </c>
      <c r="K302" s="9">
        <v>45378</v>
      </c>
      <c r="L302" s="9">
        <v>46054</v>
      </c>
      <c r="M302" s="8" t="s">
        <v>16</v>
      </c>
      <c r="P302" s="16" t="s">
        <v>329</v>
      </c>
      <c r="Q302" s="2" t="s">
        <v>41</v>
      </c>
      <c r="S302" s="8" t="s">
        <v>396</v>
      </c>
      <c r="T302" s="9">
        <v>47058</v>
      </c>
      <c r="U302" s="8">
        <v>0</v>
      </c>
      <c r="V302" s="20">
        <v>116</v>
      </c>
      <c r="W302" s="21" t="s">
        <v>16</v>
      </c>
    </row>
    <row r="303" spans="1:23" ht="75">
      <c r="A303" s="8" t="s">
        <v>2503</v>
      </c>
      <c r="B303" s="8" t="s">
        <v>336</v>
      </c>
      <c r="C303" s="8" t="s">
        <v>2197</v>
      </c>
      <c r="D303" s="8" t="s">
        <v>18</v>
      </c>
      <c r="E303" s="8" t="s">
        <v>16</v>
      </c>
      <c r="F303" s="8" t="s">
        <v>2228</v>
      </c>
      <c r="G303" s="8" t="s">
        <v>2504</v>
      </c>
      <c r="H303" s="8">
        <v>1779</v>
      </c>
      <c r="I303" s="8">
        <v>1779</v>
      </c>
      <c r="J303" s="8">
        <v>123081</v>
      </c>
      <c r="K303" s="9">
        <v>44988</v>
      </c>
      <c r="L303" s="9">
        <v>45689</v>
      </c>
      <c r="M303" s="8" t="s">
        <v>16</v>
      </c>
      <c r="P303" s="16" t="s">
        <v>330</v>
      </c>
      <c r="Q303" s="2" t="s">
        <v>101</v>
      </c>
      <c r="S303" s="8" t="s">
        <v>397</v>
      </c>
      <c r="T303" s="9">
        <v>47027</v>
      </c>
      <c r="U303" s="8">
        <v>0</v>
      </c>
      <c r="V303" s="20">
        <v>2719</v>
      </c>
      <c r="W303" s="21" t="s">
        <v>16</v>
      </c>
    </row>
    <row r="304" spans="1:23" ht="75">
      <c r="A304" s="8" t="s">
        <v>2505</v>
      </c>
      <c r="B304" s="8" t="s">
        <v>337</v>
      </c>
      <c r="C304" s="8" t="s">
        <v>2197</v>
      </c>
      <c r="D304" s="8" t="s">
        <v>18</v>
      </c>
      <c r="E304" s="8" t="s">
        <v>16</v>
      </c>
      <c r="F304" s="8" t="s">
        <v>2255</v>
      </c>
      <c r="G304" s="8" t="s">
        <v>2506</v>
      </c>
      <c r="H304" s="8">
        <v>15</v>
      </c>
      <c r="I304" s="8">
        <v>15</v>
      </c>
      <c r="J304" s="8">
        <v>29201</v>
      </c>
      <c r="K304" s="9">
        <v>44496</v>
      </c>
      <c r="L304" s="9">
        <v>47088</v>
      </c>
      <c r="M304" s="8" t="s">
        <v>16</v>
      </c>
      <c r="P304" s="16" t="s">
        <v>330</v>
      </c>
      <c r="Q304" s="2" t="s">
        <v>101</v>
      </c>
      <c r="S304" s="8" t="s">
        <v>397</v>
      </c>
      <c r="T304" s="9">
        <v>47058</v>
      </c>
      <c r="U304" s="8">
        <v>0</v>
      </c>
      <c r="V304" s="20">
        <v>2740</v>
      </c>
      <c r="W304" s="21" t="s">
        <v>16</v>
      </c>
    </row>
    <row r="305" spans="1:23" ht="75">
      <c r="A305" s="8" t="s">
        <v>2507</v>
      </c>
      <c r="B305" s="8" t="s">
        <v>337</v>
      </c>
      <c r="C305" s="8" t="s">
        <v>2197</v>
      </c>
      <c r="D305" s="8" t="s">
        <v>18</v>
      </c>
      <c r="E305" s="8" t="s">
        <v>16</v>
      </c>
      <c r="F305" s="8" t="s">
        <v>2255</v>
      </c>
      <c r="G305" s="8" t="s">
        <v>2506</v>
      </c>
      <c r="H305" s="8">
        <v>926</v>
      </c>
      <c r="I305" s="8">
        <v>926</v>
      </c>
      <c r="J305" s="8">
        <v>29201</v>
      </c>
      <c r="K305" s="9">
        <v>43936</v>
      </c>
      <c r="L305" s="9">
        <v>47088</v>
      </c>
      <c r="M305" s="8" t="s">
        <v>16</v>
      </c>
      <c r="P305" s="16" t="s">
        <v>331</v>
      </c>
      <c r="Q305" s="2" t="s">
        <v>16</v>
      </c>
      <c r="S305" s="8" t="s">
        <v>398</v>
      </c>
      <c r="T305" s="9">
        <v>47027</v>
      </c>
      <c r="U305" s="8">
        <v>0</v>
      </c>
      <c r="V305" s="20">
        <v>717</v>
      </c>
      <c r="W305" s="21" t="s">
        <v>16</v>
      </c>
    </row>
    <row r="306" spans="1:23" ht="60">
      <c r="A306" s="8" t="s">
        <v>2508</v>
      </c>
      <c r="B306" s="8" t="s">
        <v>338</v>
      </c>
      <c r="C306" s="8" t="s">
        <v>2509</v>
      </c>
      <c r="D306" s="8" t="s">
        <v>18</v>
      </c>
      <c r="E306" s="8" t="s">
        <v>151</v>
      </c>
      <c r="F306" s="8" t="s">
        <v>2258</v>
      </c>
      <c r="G306" s="8" t="s">
        <v>2510</v>
      </c>
      <c r="H306" s="8">
        <v>108424</v>
      </c>
      <c r="I306" s="8">
        <v>108424</v>
      </c>
      <c r="J306" s="8">
        <v>3032023</v>
      </c>
      <c r="K306" s="9">
        <v>45059</v>
      </c>
      <c r="L306" s="9">
        <v>47453</v>
      </c>
      <c r="M306" s="8" t="s">
        <v>16</v>
      </c>
      <c r="P306" s="16" t="s">
        <v>332</v>
      </c>
      <c r="Q306" s="2" t="s">
        <v>16</v>
      </c>
      <c r="S306" s="8" t="s">
        <v>399</v>
      </c>
      <c r="T306" s="9">
        <v>44387</v>
      </c>
      <c r="U306" s="8">
        <v>0</v>
      </c>
      <c r="V306" s="20">
        <v>13450</v>
      </c>
      <c r="W306" s="21" t="s">
        <v>43</v>
      </c>
    </row>
    <row r="307" spans="1:23" ht="45">
      <c r="A307" s="8" t="s">
        <v>2511</v>
      </c>
      <c r="B307" s="8" t="s">
        <v>339</v>
      </c>
      <c r="C307" s="8" t="s">
        <v>2509</v>
      </c>
      <c r="D307" s="8" t="s">
        <v>18</v>
      </c>
      <c r="E307" s="8" t="s">
        <v>151</v>
      </c>
      <c r="F307" s="8" t="s">
        <v>2258</v>
      </c>
      <c r="G307" s="8" t="s">
        <v>2512</v>
      </c>
      <c r="H307" s="8">
        <v>28492</v>
      </c>
      <c r="I307" s="8">
        <v>28492</v>
      </c>
      <c r="J307" s="8">
        <v>3032023</v>
      </c>
      <c r="K307" s="9">
        <v>45092</v>
      </c>
      <c r="L307" s="9">
        <v>47453</v>
      </c>
      <c r="M307" s="8" t="s">
        <v>151</v>
      </c>
      <c r="P307" s="16" t="s">
        <v>333</v>
      </c>
      <c r="Q307" s="2" t="s">
        <v>41</v>
      </c>
      <c r="S307" s="8" t="s">
        <v>400</v>
      </c>
      <c r="T307" s="9" t="s">
        <v>2222</v>
      </c>
      <c r="U307" s="8">
        <v>0</v>
      </c>
      <c r="V307" s="20">
        <v>2600</v>
      </c>
      <c r="W307" s="21" t="s">
        <v>43</v>
      </c>
    </row>
    <row r="308" spans="1:23" ht="48.75">
      <c r="A308" s="8" t="s">
        <v>2513</v>
      </c>
      <c r="B308" s="8" t="s">
        <v>340</v>
      </c>
      <c r="C308" s="8" t="s">
        <v>2197</v>
      </c>
      <c r="D308" s="8" t="s">
        <v>18</v>
      </c>
      <c r="E308" s="8" t="s">
        <v>2217</v>
      </c>
      <c r="F308" s="8" t="s">
        <v>2217</v>
      </c>
      <c r="G308" s="8" t="s">
        <v>2217</v>
      </c>
      <c r="H308" s="8">
        <v>600</v>
      </c>
      <c r="I308" s="8">
        <v>600</v>
      </c>
      <c r="J308" s="8">
        <v>31211527</v>
      </c>
      <c r="K308" s="9">
        <v>45304</v>
      </c>
      <c r="L308" s="9">
        <v>47088</v>
      </c>
      <c r="M308" s="8" t="s">
        <v>16</v>
      </c>
      <c r="P308" s="16" t="s">
        <v>334</v>
      </c>
      <c r="Q308" s="2" t="s">
        <v>16</v>
      </c>
      <c r="S308" s="8" t="s">
        <v>401</v>
      </c>
      <c r="T308" s="9" t="s">
        <v>2222</v>
      </c>
      <c r="U308" s="8">
        <v>0</v>
      </c>
      <c r="V308" s="20">
        <v>33119</v>
      </c>
      <c r="W308" s="21" t="s">
        <v>43</v>
      </c>
    </row>
    <row r="309" spans="1:23" ht="60">
      <c r="A309" s="8" t="s">
        <v>2514</v>
      </c>
      <c r="B309" s="8" t="s">
        <v>341</v>
      </c>
      <c r="C309" s="8" t="s">
        <v>2197</v>
      </c>
      <c r="D309" s="8" t="s">
        <v>18</v>
      </c>
      <c r="E309" s="8" t="s">
        <v>151</v>
      </c>
      <c r="F309" s="8" t="s">
        <v>151</v>
      </c>
      <c r="G309" s="8" t="s">
        <v>2217</v>
      </c>
      <c r="H309" s="8">
        <v>95</v>
      </c>
      <c r="I309" s="8">
        <v>95</v>
      </c>
      <c r="J309" s="8">
        <v>1</v>
      </c>
      <c r="K309" s="9">
        <v>44784</v>
      </c>
      <c r="L309" s="9">
        <v>45627</v>
      </c>
      <c r="M309" s="8" t="s">
        <v>151</v>
      </c>
      <c r="P309" s="16" t="s">
        <v>335</v>
      </c>
      <c r="Q309" s="2" t="s">
        <v>16</v>
      </c>
      <c r="S309" s="8" t="s">
        <v>402</v>
      </c>
      <c r="T309" s="9" t="s">
        <v>2222</v>
      </c>
      <c r="U309" s="8">
        <v>0</v>
      </c>
      <c r="V309" s="20">
        <v>34047</v>
      </c>
      <c r="W309" s="21" t="s">
        <v>43</v>
      </c>
    </row>
    <row r="310" spans="1:23" ht="48.75">
      <c r="A310" s="8" t="s">
        <v>2515</v>
      </c>
      <c r="B310" s="8" t="s">
        <v>342</v>
      </c>
      <c r="C310" s="8" t="s">
        <v>2197</v>
      </c>
      <c r="D310" s="8" t="s">
        <v>18</v>
      </c>
      <c r="E310" s="8" t="s">
        <v>151</v>
      </c>
      <c r="F310" s="8" t="s">
        <v>151</v>
      </c>
      <c r="G310" s="8" t="s">
        <v>2516</v>
      </c>
      <c r="H310" s="8">
        <v>11</v>
      </c>
      <c r="I310" s="8">
        <v>11</v>
      </c>
      <c r="J310" s="8">
        <v>1</v>
      </c>
      <c r="K310" s="9">
        <v>44573</v>
      </c>
      <c r="L310" s="9">
        <v>45627</v>
      </c>
      <c r="M310" s="8" t="s">
        <v>151</v>
      </c>
      <c r="P310" s="16" t="s">
        <v>335</v>
      </c>
      <c r="Q310" s="2" t="s">
        <v>16</v>
      </c>
      <c r="S310" s="8" t="s">
        <v>403</v>
      </c>
      <c r="T310" s="9" t="s">
        <v>2222</v>
      </c>
      <c r="U310" s="8">
        <v>0</v>
      </c>
      <c r="V310" s="20">
        <v>12400</v>
      </c>
      <c r="W310" s="21" t="s">
        <v>43</v>
      </c>
    </row>
    <row r="311" spans="1:23" ht="60">
      <c r="A311" s="8" t="s">
        <v>2517</v>
      </c>
      <c r="B311" s="8" t="s">
        <v>343</v>
      </c>
      <c r="C311" s="8" t="s">
        <v>2197</v>
      </c>
      <c r="D311" s="8" t="s">
        <v>18</v>
      </c>
      <c r="E311" s="8" t="s">
        <v>151</v>
      </c>
      <c r="F311" s="8" t="s">
        <v>151</v>
      </c>
      <c r="G311" s="8" t="s">
        <v>2217</v>
      </c>
      <c r="H311" s="8">
        <v>540</v>
      </c>
      <c r="I311" s="8">
        <v>540</v>
      </c>
      <c r="J311" s="8">
        <v>1</v>
      </c>
      <c r="K311" s="9">
        <v>44782</v>
      </c>
      <c r="L311" s="9">
        <v>45627</v>
      </c>
      <c r="M311" s="8" t="s">
        <v>151</v>
      </c>
      <c r="P311" s="16" t="s">
        <v>336</v>
      </c>
      <c r="Q311" s="2" t="s">
        <v>16</v>
      </c>
      <c r="S311" s="8" t="s">
        <v>404</v>
      </c>
      <c r="T311" s="9" t="s">
        <v>2222</v>
      </c>
      <c r="U311" s="8">
        <v>0</v>
      </c>
      <c r="V311" s="20">
        <v>20</v>
      </c>
      <c r="W311" s="21" t="s">
        <v>43</v>
      </c>
    </row>
    <row r="312" spans="1:23" ht="60">
      <c r="A312" s="8" t="s">
        <v>2518</v>
      </c>
      <c r="B312" s="8" t="s">
        <v>344</v>
      </c>
      <c r="C312" s="8" t="s">
        <v>2203</v>
      </c>
      <c r="D312" s="8" t="s">
        <v>18</v>
      </c>
      <c r="E312" s="8" t="s">
        <v>16</v>
      </c>
      <c r="F312" s="8" t="s">
        <v>2204</v>
      </c>
      <c r="G312" s="8" t="s">
        <v>2519</v>
      </c>
      <c r="H312" s="8">
        <v>6508</v>
      </c>
      <c r="I312" s="8">
        <v>3</v>
      </c>
      <c r="J312" s="8" t="s">
        <v>345</v>
      </c>
      <c r="K312" s="9">
        <v>45311</v>
      </c>
      <c r="L312" s="9">
        <v>45778</v>
      </c>
      <c r="M312" s="8" t="s">
        <v>16</v>
      </c>
      <c r="P312" s="16" t="s">
        <v>337</v>
      </c>
      <c r="Q312" s="2" t="s">
        <v>16</v>
      </c>
      <c r="S312" s="8" t="s">
        <v>405</v>
      </c>
      <c r="T312" s="9" t="s">
        <v>2222</v>
      </c>
      <c r="U312" s="8">
        <v>0</v>
      </c>
      <c r="V312" s="20">
        <v>20</v>
      </c>
      <c r="W312" s="21" t="s">
        <v>43</v>
      </c>
    </row>
    <row r="313" spans="1:23" ht="60">
      <c r="A313" s="8" t="s">
        <v>2518</v>
      </c>
      <c r="B313" s="8" t="s">
        <v>344</v>
      </c>
      <c r="C313" s="8" t="s">
        <v>2203</v>
      </c>
      <c r="D313" s="8" t="s">
        <v>18</v>
      </c>
      <c r="E313" s="8" t="s">
        <v>16</v>
      </c>
      <c r="F313" s="8" t="s">
        <v>2204</v>
      </c>
      <c r="G313" s="8" t="s">
        <v>2519</v>
      </c>
      <c r="H313" s="8">
        <v>6508</v>
      </c>
      <c r="I313" s="8">
        <v>160</v>
      </c>
      <c r="J313" s="8" t="s">
        <v>346</v>
      </c>
      <c r="K313" s="9">
        <v>45017</v>
      </c>
      <c r="L313" s="9">
        <v>45931</v>
      </c>
      <c r="M313" s="8" t="s">
        <v>16</v>
      </c>
      <c r="P313" s="16" t="s">
        <v>337</v>
      </c>
      <c r="Q313" s="2" t="s">
        <v>16</v>
      </c>
      <c r="S313" s="8" t="s">
        <v>406</v>
      </c>
      <c r="T313" s="9" t="s">
        <v>2222</v>
      </c>
      <c r="U313" s="8">
        <v>0</v>
      </c>
      <c r="V313" s="20">
        <v>5</v>
      </c>
      <c r="W313" s="21" t="s">
        <v>43</v>
      </c>
    </row>
    <row r="314" spans="1:23" ht="60">
      <c r="A314" s="8" t="s">
        <v>2518</v>
      </c>
      <c r="B314" s="8" t="s">
        <v>344</v>
      </c>
      <c r="C314" s="8" t="s">
        <v>2203</v>
      </c>
      <c r="D314" s="8" t="s">
        <v>15</v>
      </c>
      <c r="E314" s="8" t="s">
        <v>16</v>
      </c>
      <c r="F314" s="8" t="s">
        <v>2204</v>
      </c>
      <c r="G314" s="8" t="s">
        <v>2519</v>
      </c>
      <c r="H314" s="8">
        <v>1000</v>
      </c>
      <c r="I314" s="8">
        <v>1000</v>
      </c>
      <c r="J314" s="8" t="s">
        <v>347</v>
      </c>
      <c r="K314" s="9">
        <v>45017</v>
      </c>
      <c r="L314" s="9">
        <v>45931</v>
      </c>
      <c r="M314" s="8" t="s">
        <v>16</v>
      </c>
      <c r="P314" s="16" t="s">
        <v>338</v>
      </c>
      <c r="Q314" s="2" t="s">
        <v>16</v>
      </c>
      <c r="S314" s="8" t="s">
        <v>407</v>
      </c>
      <c r="T314" s="9" t="s">
        <v>2222</v>
      </c>
      <c r="U314" s="8">
        <v>0</v>
      </c>
      <c r="V314" s="20">
        <v>1302</v>
      </c>
      <c r="W314" s="21" t="s">
        <v>43</v>
      </c>
    </row>
    <row r="315" spans="1:23" ht="60">
      <c r="A315" s="8" t="s">
        <v>2518</v>
      </c>
      <c r="B315" s="8" t="s">
        <v>344</v>
      </c>
      <c r="C315" s="8" t="s">
        <v>2203</v>
      </c>
      <c r="D315" s="8" t="s">
        <v>18</v>
      </c>
      <c r="E315" s="8" t="s">
        <v>16</v>
      </c>
      <c r="F315" s="8" t="s">
        <v>2204</v>
      </c>
      <c r="G315" s="8" t="s">
        <v>2519</v>
      </c>
      <c r="H315" s="8">
        <v>6508</v>
      </c>
      <c r="I315" s="8">
        <v>1040</v>
      </c>
      <c r="J315" s="8" t="s">
        <v>348</v>
      </c>
      <c r="K315" s="9">
        <v>45017</v>
      </c>
      <c r="L315" s="9">
        <v>45931</v>
      </c>
      <c r="M315" s="8" t="s">
        <v>16</v>
      </c>
      <c r="P315" s="16" t="s">
        <v>339</v>
      </c>
      <c r="Q315" s="2" t="s">
        <v>151</v>
      </c>
      <c r="S315" s="8" t="s">
        <v>408</v>
      </c>
      <c r="T315" s="9" t="s">
        <v>2222</v>
      </c>
      <c r="U315" s="8">
        <v>0</v>
      </c>
      <c r="V315" s="20">
        <v>2235</v>
      </c>
      <c r="W315" s="21" t="s">
        <v>43</v>
      </c>
    </row>
    <row r="316" spans="1:23" ht="60">
      <c r="A316" s="8" t="s">
        <v>2518</v>
      </c>
      <c r="B316" s="8" t="s">
        <v>344</v>
      </c>
      <c r="C316" s="8" t="s">
        <v>2203</v>
      </c>
      <c r="D316" s="8" t="s">
        <v>18</v>
      </c>
      <c r="E316" s="8" t="s">
        <v>16</v>
      </c>
      <c r="F316" s="8" t="s">
        <v>2204</v>
      </c>
      <c r="G316" s="8" t="s">
        <v>2519</v>
      </c>
      <c r="H316" s="8">
        <v>6508</v>
      </c>
      <c r="I316" s="8">
        <v>1185</v>
      </c>
      <c r="J316" s="8" t="s">
        <v>349</v>
      </c>
      <c r="K316" s="9">
        <v>45311</v>
      </c>
      <c r="L316" s="9">
        <v>45778</v>
      </c>
      <c r="M316" s="8" t="s">
        <v>16</v>
      </c>
      <c r="P316" s="16" t="s">
        <v>340</v>
      </c>
      <c r="Q316" s="2" t="s">
        <v>16</v>
      </c>
      <c r="S316" s="8" t="s">
        <v>410</v>
      </c>
      <c r="T316" s="9">
        <v>46722</v>
      </c>
      <c r="U316" s="8">
        <v>0</v>
      </c>
      <c r="V316" s="20">
        <v>80</v>
      </c>
      <c r="W316" s="21" t="s">
        <v>16</v>
      </c>
    </row>
    <row r="317" spans="1:23" ht="60">
      <c r="A317" s="8" t="s">
        <v>2518</v>
      </c>
      <c r="B317" s="8" t="s">
        <v>344</v>
      </c>
      <c r="C317" s="8" t="s">
        <v>2203</v>
      </c>
      <c r="D317" s="8" t="s">
        <v>209</v>
      </c>
      <c r="E317" s="8" t="s">
        <v>16</v>
      </c>
      <c r="F317" s="8" t="s">
        <v>2204</v>
      </c>
      <c r="G317" s="8" t="s">
        <v>2519</v>
      </c>
      <c r="H317" s="8">
        <v>1880</v>
      </c>
      <c r="I317" s="8">
        <v>1880</v>
      </c>
      <c r="J317" s="8" t="s">
        <v>350</v>
      </c>
      <c r="K317" s="9">
        <v>45411</v>
      </c>
      <c r="L317" s="9">
        <v>45778</v>
      </c>
      <c r="M317" s="8" t="s">
        <v>16</v>
      </c>
      <c r="P317" s="16" t="s">
        <v>341</v>
      </c>
      <c r="Q317" s="2" t="s">
        <v>151</v>
      </c>
      <c r="S317" s="8" t="s">
        <v>410</v>
      </c>
      <c r="T317" s="9">
        <v>46692</v>
      </c>
      <c r="U317" s="8">
        <v>0</v>
      </c>
      <c r="V317" s="20">
        <v>193</v>
      </c>
      <c r="W317" s="21" t="s">
        <v>16</v>
      </c>
    </row>
    <row r="318" spans="1:23" ht="60">
      <c r="A318" s="8" t="s">
        <v>2518</v>
      </c>
      <c r="B318" s="8" t="s">
        <v>344</v>
      </c>
      <c r="C318" s="8" t="s">
        <v>2203</v>
      </c>
      <c r="D318" s="8" t="s">
        <v>18</v>
      </c>
      <c r="E318" s="8" t="s">
        <v>16</v>
      </c>
      <c r="F318" s="8" t="s">
        <v>2204</v>
      </c>
      <c r="G318" s="8" t="s">
        <v>2519</v>
      </c>
      <c r="H318" s="8">
        <v>6508</v>
      </c>
      <c r="I318" s="8">
        <v>4120</v>
      </c>
      <c r="J318" s="8" t="s">
        <v>350</v>
      </c>
      <c r="K318" s="9">
        <v>45411</v>
      </c>
      <c r="L318" s="9">
        <v>45778</v>
      </c>
      <c r="M318" s="8" t="s">
        <v>16</v>
      </c>
      <c r="P318" s="16" t="s">
        <v>342</v>
      </c>
      <c r="Q318" s="2" t="s">
        <v>151</v>
      </c>
      <c r="S318" s="8" t="s">
        <v>411</v>
      </c>
      <c r="T318" s="9" t="s">
        <v>2222</v>
      </c>
      <c r="U318" s="8">
        <v>0</v>
      </c>
      <c r="V318" s="20">
        <v>5</v>
      </c>
      <c r="W318" s="21" t="s">
        <v>41</v>
      </c>
    </row>
    <row r="319" spans="1:23" ht="45">
      <c r="A319" s="8" t="s">
        <v>2520</v>
      </c>
      <c r="B319" s="8" t="s">
        <v>351</v>
      </c>
      <c r="C319" s="8" t="s">
        <v>2197</v>
      </c>
      <c r="D319" s="8" t="s">
        <v>18</v>
      </c>
      <c r="E319" s="8" t="s">
        <v>16</v>
      </c>
      <c r="F319" s="8" t="s">
        <v>2198</v>
      </c>
      <c r="G319" s="8" t="s">
        <v>2521</v>
      </c>
      <c r="H319" s="8">
        <v>822</v>
      </c>
      <c r="I319" s="8">
        <v>2</v>
      </c>
      <c r="J319" s="8">
        <v>31110999</v>
      </c>
      <c r="K319" s="9">
        <v>45324</v>
      </c>
      <c r="L319" s="9">
        <v>47119</v>
      </c>
      <c r="M319" s="8" t="s">
        <v>16</v>
      </c>
      <c r="P319" s="16" t="s">
        <v>343</v>
      </c>
      <c r="Q319" s="2" t="s">
        <v>151</v>
      </c>
      <c r="S319" s="8" t="s">
        <v>427</v>
      </c>
      <c r="T319" s="9">
        <v>45870</v>
      </c>
      <c r="U319" s="8">
        <v>0</v>
      </c>
      <c r="V319" s="20">
        <v>25</v>
      </c>
      <c r="W319" s="21" t="s">
        <v>16</v>
      </c>
    </row>
    <row r="320" spans="1:23" ht="48.75">
      <c r="A320" s="8" t="s">
        <v>2520</v>
      </c>
      <c r="B320" s="8" t="s">
        <v>351</v>
      </c>
      <c r="C320" s="8" t="s">
        <v>2197</v>
      </c>
      <c r="D320" s="8" t="s">
        <v>18</v>
      </c>
      <c r="E320" s="8" t="s">
        <v>16</v>
      </c>
      <c r="F320" s="8" t="s">
        <v>2198</v>
      </c>
      <c r="G320" s="8" t="s">
        <v>2521</v>
      </c>
      <c r="H320" s="8">
        <v>822</v>
      </c>
      <c r="I320" s="8">
        <v>820</v>
      </c>
      <c r="J320" s="8">
        <v>40222999</v>
      </c>
      <c r="K320" s="9">
        <v>45414</v>
      </c>
      <c r="L320" s="9">
        <v>47209</v>
      </c>
      <c r="M320" s="8" t="s">
        <v>16</v>
      </c>
      <c r="P320" s="16" t="s">
        <v>344</v>
      </c>
      <c r="Q320" s="2" t="s">
        <v>16</v>
      </c>
      <c r="S320" s="8" t="s">
        <v>427</v>
      </c>
      <c r="T320" s="9">
        <v>46082</v>
      </c>
      <c r="U320" s="8">
        <v>0</v>
      </c>
      <c r="V320" s="20">
        <v>3936</v>
      </c>
      <c r="W320" s="21" t="s">
        <v>16</v>
      </c>
    </row>
    <row r="321" spans="1:23" ht="48.75">
      <c r="A321" s="8" t="s">
        <v>2522</v>
      </c>
      <c r="B321" s="8" t="s">
        <v>352</v>
      </c>
      <c r="C321" s="8" t="s">
        <v>2197</v>
      </c>
      <c r="D321" s="8" t="s">
        <v>18</v>
      </c>
      <c r="E321" s="8" t="s">
        <v>16</v>
      </c>
      <c r="F321" s="8" t="s">
        <v>2198</v>
      </c>
      <c r="G321" s="8" t="s">
        <v>2521</v>
      </c>
      <c r="H321" s="8">
        <v>5745</v>
      </c>
      <c r="I321" s="8">
        <v>1445</v>
      </c>
      <c r="J321" s="8">
        <v>40222999</v>
      </c>
      <c r="K321" s="9">
        <v>45420</v>
      </c>
      <c r="L321" s="9">
        <v>47209</v>
      </c>
      <c r="M321" s="8" t="s">
        <v>16</v>
      </c>
      <c r="P321" s="16" t="s">
        <v>344</v>
      </c>
      <c r="Q321" s="2" t="s">
        <v>16</v>
      </c>
      <c r="S321" s="8" t="s">
        <v>434</v>
      </c>
      <c r="T321" s="9">
        <v>46023</v>
      </c>
      <c r="U321" s="8">
        <v>0</v>
      </c>
      <c r="V321" s="20">
        <v>28</v>
      </c>
      <c r="W321" s="21" t="s">
        <v>16</v>
      </c>
    </row>
    <row r="322" spans="1:23" ht="48.75">
      <c r="A322" s="8" t="s">
        <v>2522</v>
      </c>
      <c r="B322" s="8" t="s">
        <v>352</v>
      </c>
      <c r="C322" s="8" t="s">
        <v>2197</v>
      </c>
      <c r="D322" s="8" t="s">
        <v>18</v>
      </c>
      <c r="E322" s="8" t="s">
        <v>16</v>
      </c>
      <c r="F322" s="8" t="s">
        <v>2198</v>
      </c>
      <c r="G322" s="8" t="s">
        <v>2521</v>
      </c>
      <c r="H322" s="8">
        <v>5745</v>
      </c>
      <c r="I322" s="8">
        <v>4300</v>
      </c>
      <c r="J322" s="8">
        <v>40222999</v>
      </c>
      <c r="K322" s="9">
        <v>45456</v>
      </c>
      <c r="L322" s="9">
        <v>47239</v>
      </c>
      <c r="M322" s="8" t="s">
        <v>16</v>
      </c>
      <c r="P322" s="16" t="s">
        <v>344</v>
      </c>
      <c r="Q322" s="2" t="s">
        <v>16</v>
      </c>
      <c r="S322" s="8" t="s">
        <v>434</v>
      </c>
      <c r="T322" s="9">
        <v>46082</v>
      </c>
      <c r="U322" s="8">
        <v>0</v>
      </c>
      <c r="V322" s="20">
        <v>1344</v>
      </c>
      <c r="W322" s="21" t="s">
        <v>16</v>
      </c>
    </row>
    <row r="323" spans="1:23" ht="48.75">
      <c r="A323" s="8" t="s">
        <v>2523</v>
      </c>
      <c r="B323" s="8" t="s">
        <v>353</v>
      </c>
      <c r="C323" s="8" t="s">
        <v>2197</v>
      </c>
      <c r="D323" s="8" t="s">
        <v>18</v>
      </c>
      <c r="E323" s="8" t="s">
        <v>16</v>
      </c>
      <c r="F323" s="8" t="s">
        <v>2198</v>
      </c>
      <c r="G323" s="8" t="s">
        <v>2524</v>
      </c>
      <c r="H323" s="8">
        <v>99</v>
      </c>
      <c r="I323" s="8">
        <v>99</v>
      </c>
      <c r="J323" s="8">
        <v>0</v>
      </c>
      <c r="K323" s="9">
        <v>44015</v>
      </c>
      <c r="L323" s="8" t="s">
        <v>2222</v>
      </c>
      <c r="M323" s="8" t="s">
        <v>38</v>
      </c>
      <c r="P323" s="16" t="s">
        <v>344</v>
      </c>
      <c r="Q323" s="2" t="s">
        <v>16</v>
      </c>
      <c r="S323" s="8" t="s">
        <v>437</v>
      </c>
      <c r="T323" s="9">
        <v>45870</v>
      </c>
      <c r="U323" s="8">
        <v>0</v>
      </c>
      <c r="V323" s="20">
        <v>5</v>
      </c>
      <c r="W323" s="21" t="s">
        <v>16</v>
      </c>
    </row>
    <row r="324" spans="1:23" ht="48.75">
      <c r="A324" s="8" t="s">
        <v>2525</v>
      </c>
      <c r="B324" s="8" t="s">
        <v>354</v>
      </c>
      <c r="C324" s="8" t="s">
        <v>2197</v>
      </c>
      <c r="D324" s="8" t="s">
        <v>18</v>
      </c>
      <c r="E324" s="8" t="s">
        <v>2217</v>
      </c>
      <c r="F324" s="8" t="s">
        <v>2217</v>
      </c>
      <c r="G324" s="8" t="s">
        <v>2217</v>
      </c>
      <c r="H324" s="8">
        <v>2</v>
      </c>
      <c r="I324" s="8">
        <v>2</v>
      </c>
      <c r="J324" s="8">
        <v>34183201</v>
      </c>
      <c r="K324" s="9">
        <v>45344</v>
      </c>
      <c r="L324" s="9">
        <v>45597</v>
      </c>
      <c r="M324" s="8" t="s">
        <v>38</v>
      </c>
      <c r="P324" s="16" t="s">
        <v>344</v>
      </c>
      <c r="Q324" s="2" t="s">
        <v>16</v>
      </c>
      <c r="S324" s="8" t="s">
        <v>437</v>
      </c>
      <c r="T324" s="9">
        <v>45901</v>
      </c>
      <c r="U324" s="8">
        <v>0</v>
      </c>
      <c r="V324" s="20">
        <v>150</v>
      </c>
      <c r="W324" s="21" t="s">
        <v>16</v>
      </c>
    </row>
    <row r="325" spans="1:23" ht="48.75">
      <c r="A325" s="8" t="s">
        <v>2526</v>
      </c>
      <c r="B325" s="8" t="s">
        <v>355</v>
      </c>
      <c r="C325" s="8" t="s">
        <v>2197</v>
      </c>
      <c r="D325" s="8" t="s">
        <v>18</v>
      </c>
      <c r="E325" s="8" t="s">
        <v>16</v>
      </c>
      <c r="F325" s="8" t="s">
        <v>2255</v>
      </c>
      <c r="G325" s="8" t="s">
        <v>2527</v>
      </c>
      <c r="H325" s="8">
        <v>1</v>
      </c>
      <c r="I325" s="8">
        <v>1</v>
      </c>
      <c r="J325" s="8">
        <v>8051</v>
      </c>
      <c r="K325" s="9">
        <v>44749</v>
      </c>
      <c r="L325" s="9">
        <v>46357</v>
      </c>
      <c r="M325" s="8" t="s">
        <v>16</v>
      </c>
      <c r="P325" s="16" t="s">
        <v>344</v>
      </c>
      <c r="Q325" s="2" t="s">
        <v>16</v>
      </c>
      <c r="S325" s="8" t="s">
        <v>440</v>
      </c>
      <c r="T325" s="9">
        <v>45901</v>
      </c>
      <c r="U325" s="8">
        <v>0</v>
      </c>
      <c r="V325" s="20">
        <v>23</v>
      </c>
      <c r="W325" s="21" t="s">
        <v>16</v>
      </c>
    </row>
    <row r="326" spans="1:23" ht="48.75">
      <c r="A326" s="8" t="s">
        <v>2528</v>
      </c>
      <c r="B326" s="8" t="s">
        <v>356</v>
      </c>
      <c r="C326" s="8" t="s">
        <v>2197</v>
      </c>
      <c r="D326" s="8" t="s">
        <v>18</v>
      </c>
      <c r="E326" s="8" t="s">
        <v>16</v>
      </c>
      <c r="F326" s="8" t="s">
        <v>2255</v>
      </c>
      <c r="G326" s="8" t="s">
        <v>2527</v>
      </c>
      <c r="H326" s="8">
        <v>10</v>
      </c>
      <c r="I326" s="8">
        <v>10</v>
      </c>
      <c r="J326" s="8">
        <v>8051</v>
      </c>
      <c r="K326" s="9">
        <v>44895</v>
      </c>
      <c r="L326" s="9">
        <v>46357</v>
      </c>
      <c r="M326" s="8" t="s">
        <v>16</v>
      </c>
      <c r="P326" s="16" t="s">
        <v>344</v>
      </c>
      <c r="Q326" s="2" t="s">
        <v>16</v>
      </c>
      <c r="S326" s="8" t="s">
        <v>440</v>
      </c>
      <c r="T326" s="9">
        <v>46054</v>
      </c>
      <c r="U326" s="8">
        <v>0</v>
      </c>
      <c r="V326" s="20">
        <v>21840</v>
      </c>
      <c r="W326" s="21" t="s">
        <v>16</v>
      </c>
    </row>
    <row r="327" spans="1:23" ht="48.75">
      <c r="A327" s="8" t="s">
        <v>2529</v>
      </c>
      <c r="B327" s="8" t="s">
        <v>356</v>
      </c>
      <c r="C327" s="8" t="s">
        <v>2197</v>
      </c>
      <c r="D327" s="8" t="s">
        <v>18</v>
      </c>
      <c r="E327" s="8" t="s">
        <v>16</v>
      </c>
      <c r="F327" s="8" t="s">
        <v>2255</v>
      </c>
      <c r="G327" s="8" t="s">
        <v>2527</v>
      </c>
      <c r="H327" s="8">
        <v>189</v>
      </c>
      <c r="I327" s="8">
        <v>189</v>
      </c>
      <c r="J327" s="8">
        <v>8051</v>
      </c>
      <c r="K327" s="9">
        <v>44875</v>
      </c>
      <c r="L327" s="9">
        <v>46357</v>
      </c>
      <c r="M327" s="8" t="s">
        <v>16</v>
      </c>
      <c r="P327" s="16" t="s">
        <v>351</v>
      </c>
      <c r="Q327" s="2" t="s">
        <v>16</v>
      </c>
      <c r="S327" s="8" t="s">
        <v>448</v>
      </c>
      <c r="T327" s="9">
        <v>45901</v>
      </c>
      <c r="U327" s="8">
        <v>0</v>
      </c>
      <c r="V327" s="20">
        <v>24534</v>
      </c>
      <c r="W327" s="21" t="s">
        <v>16</v>
      </c>
    </row>
    <row r="328" spans="1:23" ht="48.75">
      <c r="A328" s="8" t="s">
        <v>2530</v>
      </c>
      <c r="B328" s="8" t="s">
        <v>357</v>
      </c>
      <c r="C328" s="8" t="s">
        <v>2197</v>
      </c>
      <c r="D328" s="8" t="s">
        <v>18</v>
      </c>
      <c r="E328" s="8" t="s">
        <v>16</v>
      </c>
      <c r="F328" s="8" t="s">
        <v>2255</v>
      </c>
      <c r="G328" s="8" t="s">
        <v>2527</v>
      </c>
      <c r="H328" s="8">
        <v>80</v>
      </c>
      <c r="I328" s="8">
        <v>80</v>
      </c>
      <c r="J328" s="8">
        <v>7002</v>
      </c>
      <c r="K328" s="9">
        <v>45147</v>
      </c>
      <c r="L328" s="9">
        <v>45597</v>
      </c>
      <c r="M328" s="8" t="s">
        <v>16</v>
      </c>
      <c r="P328" s="16" t="s">
        <v>351</v>
      </c>
      <c r="Q328" s="2" t="s">
        <v>16</v>
      </c>
      <c r="S328" s="8" t="s">
        <v>448</v>
      </c>
      <c r="T328" s="9">
        <v>46054</v>
      </c>
      <c r="U328" s="8">
        <v>0</v>
      </c>
      <c r="V328" s="20">
        <v>720</v>
      </c>
      <c r="W328" s="21" t="s">
        <v>16</v>
      </c>
    </row>
    <row r="329" spans="1:23" ht="90">
      <c r="A329" s="8" t="s">
        <v>2531</v>
      </c>
      <c r="B329" s="8" t="s">
        <v>358</v>
      </c>
      <c r="C329" s="8" t="s">
        <v>2197</v>
      </c>
      <c r="D329" s="8" t="s">
        <v>18</v>
      </c>
      <c r="E329" s="8" t="s">
        <v>16</v>
      </c>
      <c r="F329" s="8" t="s">
        <v>2258</v>
      </c>
      <c r="G329" s="8" t="s">
        <v>2532</v>
      </c>
      <c r="H329" s="8">
        <v>24</v>
      </c>
      <c r="I329" s="8">
        <v>24</v>
      </c>
      <c r="J329" s="8" t="s">
        <v>359</v>
      </c>
      <c r="K329" s="9">
        <v>44580</v>
      </c>
      <c r="L329" s="9">
        <v>45627</v>
      </c>
      <c r="M329" s="8" t="s">
        <v>16</v>
      </c>
      <c r="P329" s="16" t="s">
        <v>351</v>
      </c>
      <c r="Q329" s="2" t="s">
        <v>16</v>
      </c>
      <c r="S329" s="8" t="s">
        <v>448</v>
      </c>
      <c r="T329" s="9">
        <v>46082</v>
      </c>
      <c r="U329" s="8">
        <v>0</v>
      </c>
      <c r="V329" s="20">
        <v>9600</v>
      </c>
      <c r="W329" s="21" t="s">
        <v>16</v>
      </c>
    </row>
    <row r="330" spans="1:23" ht="90">
      <c r="A330" s="8" t="s">
        <v>2533</v>
      </c>
      <c r="B330" s="8" t="s">
        <v>360</v>
      </c>
      <c r="C330" s="8" t="s">
        <v>2197</v>
      </c>
      <c r="D330" s="8" t="s">
        <v>18</v>
      </c>
      <c r="E330" s="8" t="s">
        <v>16</v>
      </c>
      <c r="F330" s="8" t="s">
        <v>2258</v>
      </c>
      <c r="G330" s="8" t="s">
        <v>2534</v>
      </c>
      <c r="H330" s="8">
        <v>319</v>
      </c>
      <c r="I330" s="8">
        <v>319</v>
      </c>
      <c r="J330" s="8" t="s">
        <v>359</v>
      </c>
      <c r="K330" s="9">
        <v>43966</v>
      </c>
      <c r="L330" s="9">
        <v>45627</v>
      </c>
      <c r="M330" s="8" t="s">
        <v>16</v>
      </c>
      <c r="P330" s="16" t="s">
        <v>352</v>
      </c>
      <c r="Q330" s="2" t="s">
        <v>16</v>
      </c>
      <c r="S330" s="8" t="s">
        <v>464</v>
      </c>
      <c r="T330" s="9">
        <v>47178</v>
      </c>
      <c r="U330" s="8">
        <v>0</v>
      </c>
      <c r="V330" s="20">
        <v>28</v>
      </c>
      <c r="W330" s="21" t="s">
        <v>151</v>
      </c>
    </row>
    <row r="331" spans="1:23" ht="48.75">
      <c r="A331" s="8" t="s">
        <v>2535</v>
      </c>
      <c r="B331" s="8" t="s">
        <v>361</v>
      </c>
      <c r="C331" s="8" t="s">
        <v>2221</v>
      </c>
      <c r="D331" s="8" t="s">
        <v>18</v>
      </c>
      <c r="E331" s="8" t="s">
        <v>101</v>
      </c>
      <c r="F331" s="8" t="s">
        <v>2536</v>
      </c>
      <c r="G331" s="8" t="s">
        <v>361</v>
      </c>
      <c r="H331" s="8">
        <v>83</v>
      </c>
      <c r="I331" s="8">
        <v>83</v>
      </c>
      <c r="J331" s="8">
        <v>0</v>
      </c>
      <c r="K331" s="9">
        <v>44132</v>
      </c>
      <c r="L331" s="8" t="s">
        <v>2222</v>
      </c>
      <c r="M331" s="8" t="s">
        <v>41</v>
      </c>
      <c r="P331" s="16" t="s">
        <v>352</v>
      </c>
      <c r="Q331" s="2" t="s">
        <v>16</v>
      </c>
      <c r="S331" s="8" t="s">
        <v>464</v>
      </c>
      <c r="T331" s="9">
        <v>47270</v>
      </c>
      <c r="U331" s="8">
        <v>0</v>
      </c>
      <c r="V331" s="20">
        <v>2500</v>
      </c>
      <c r="W331" s="21" t="s">
        <v>151</v>
      </c>
    </row>
    <row r="332" spans="1:23" ht="45">
      <c r="A332" s="8" t="s">
        <v>2537</v>
      </c>
      <c r="B332" s="8" t="s">
        <v>362</v>
      </c>
      <c r="C332" s="8" t="s">
        <v>2197</v>
      </c>
      <c r="D332" s="8" t="s">
        <v>18</v>
      </c>
      <c r="E332" s="8" t="s">
        <v>16</v>
      </c>
      <c r="F332" s="8" t="s">
        <v>2204</v>
      </c>
      <c r="G332" s="8" t="s">
        <v>2538</v>
      </c>
      <c r="H332" s="8">
        <v>1655</v>
      </c>
      <c r="I332" s="8">
        <v>655</v>
      </c>
      <c r="J332" s="8" t="s">
        <v>363</v>
      </c>
      <c r="K332" s="9">
        <v>45443</v>
      </c>
      <c r="L332" s="9">
        <v>46874</v>
      </c>
      <c r="M332" s="8" t="s">
        <v>16</v>
      </c>
      <c r="P332" s="16" t="s">
        <v>353</v>
      </c>
      <c r="Q332" s="2" t="s">
        <v>38</v>
      </c>
      <c r="S332" s="8" t="s">
        <v>464</v>
      </c>
      <c r="T332" s="9">
        <v>47239</v>
      </c>
      <c r="U332" s="8">
        <v>0</v>
      </c>
      <c r="V332" s="20">
        <v>3200</v>
      </c>
      <c r="W332" s="21" t="s">
        <v>151</v>
      </c>
    </row>
    <row r="333" spans="1:23" ht="45">
      <c r="A333" s="8" t="s">
        <v>2537</v>
      </c>
      <c r="B333" s="8" t="s">
        <v>362</v>
      </c>
      <c r="C333" s="8" t="s">
        <v>2197</v>
      </c>
      <c r="D333" s="8" t="s">
        <v>18</v>
      </c>
      <c r="E333" s="8" t="s">
        <v>16</v>
      </c>
      <c r="F333" s="8" t="s">
        <v>2204</v>
      </c>
      <c r="G333" s="8" t="s">
        <v>2538</v>
      </c>
      <c r="H333" s="8">
        <v>1655</v>
      </c>
      <c r="I333" s="8">
        <v>1000</v>
      </c>
      <c r="J333" s="8" t="s">
        <v>364</v>
      </c>
      <c r="K333" s="9">
        <v>45448</v>
      </c>
      <c r="L333" s="9">
        <v>46874</v>
      </c>
      <c r="M333" s="8" t="s">
        <v>16</v>
      </c>
      <c r="P333" s="16" t="s">
        <v>354</v>
      </c>
      <c r="Q333" s="2" t="s">
        <v>38</v>
      </c>
      <c r="S333" s="8" t="s">
        <v>465</v>
      </c>
      <c r="T333" s="9">
        <v>46844</v>
      </c>
      <c r="U333" s="8">
        <v>0</v>
      </c>
      <c r="V333" s="20">
        <v>6</v>
      </c>
      <c r="W333" s="21" t="s">
        <v>151</v>
      </c>
    </row>
    <row r="334" spans="1:23" ht="45">
      <c r="A334" s="8" t="s">
        <v>2539</v>
      </c>
      <c r="B334" s="8" t="s">
        <v>365</v>
      </c>
      <c r="C334" s="8" t="s">
        <v>2197</v>
      </c>
      <c r="D334" s="8" t="s">
        <v>18</v>
      </c>
      <c r="E334" s="8" t="s">
        <v>16</v>
      </c>
      <c r="F334" s="8" t="s">
        <v>2204</v>
      </c>
      <c r="G334" s="8" t="s">
        <v>2538</v>
      </c>
      <c r="H334" s="8">
        <v>642</v>
      </c>
      <c r="I334" s="8">
        <v>18</v>
      </c>
      <c r="J334" s="8" t="s">
        <v>366</v>
      </c>
      <c r="K334" s="9">
        <v>44737</v>
      </c>
      <c r="L334" s="9">
        <v>46174</v>
      </c>
      <c r="M334" s="8" t="s">
        <v>16</v>
      </c>
      <c r="P334" s="16" t="s">
        <v>355</v>
      </c>
      <c r="Q334" s="2" t="s">
        <v>16</v>
      </c>
      <c r="S334" s="8" t="s">
        <v>465</v>
      </c>
      <c r="T334" s="9">
        <v>47239</v>
      </c>
      <c r="U334" s="8">
        <v>0</v>
      </c>
      <c r="V334" s="20">
        <v>1840</v>
      </c>
      <c r="W334" s="21" t="s">
        <v>151</v>
      </c>
    </row>
    <row r="335" spans="1:23" ht="45">
      <c r="A335" s="8" t="s">
        <v>2539</v>
      </c>
      <c r="B335" s="8" t="s">
        <v>365</v>
      </c>
      <c r="C335" s="8" t="s">
        <v>2197</v>
      </c>
      <c r="D335" s="8" t="s">
        <v>18</v>
      </c>
      <c r="E335" s="8" t="s">
        <v>16</v>
      </c>
      <c r="F335" s="8" t="s">
        <v>2204</v>
      </c>
      <c r="G335" s="8" t="s">
        <v>2538</v>
      </c>
      <c r="H335" s="8">
        <v>642</v>
      </c>
      <c r="I335" s="8">
        <v>624</v>
      </c>
      <c r="J335" s="8" t="s">
        <v>367</v>
      </c>
      <c r="K335" s="9">
        <v>45419</v>
      </c>
      <c r="L335" s="9">
        <v>46844</v>
      </c>
      <c r="M335" s="8" t="s">
        <v>16</v>
      </c>
      <c r="P335" s="16" t="s">
        <v>356</v>
      </c>
      <c r="Q335" s="2" t="s">
        <v>16</v>
      </c>
      <c r="S335" s="8" t="s">
        <v>466</v>
      </c>
      <c r="T335" s="9">
        <v>46419</v>
      </c>
      <c r="U335" s="8">
        <v>0</v>
      </c>
      <c r="V335" s="20">
        <v>47</v>
      </c>
      <c r="W335" s="21" t="s">
        <v>16</v>
      </c>
    </row>
    <row r="336" spans="1:23" ht="45">
      <c r="A336" s="8" t="s">
        <v>2540</v>
      </c>
      <c r="B336" s="8" t="s">
        <v>368</v>
      </c>
      <c r="C336" s="8" t="s">
        <v>2203</v>
      </c>
      <c r="D336" s="8" t="s">
        <v>18</v>
      </c>
      <c r="E336" s="8" t="s">
        <v>16</v>
      </c>
      <c r="F336" s="8" t="s">
        <v>2204</v>
      </c>
      <c r="G336" s="8" t="s">
        <v>2541</v>
      </c>
      <c r="H336" s="8">
        <v>764</v>
      </c>
      <c r="I336" s="8">
        <v>4</v>
      </c>
      <c r="J336" s="8" t="s">
        <v>369</v>
      </c>
      <c r="K336" s="9">
        <v>45324</v>
      </c>
      <c r="L336" s="9">
        <v>46327</v>
      </c>
      <c r="M336" s="8" t="s">
        <v>16</v>
      </c>
      <c r="P336" s="16" t="s">
        <v>356</v>
      </c>
      <c r="Q336" s="2" t="s">
        <v>16</v>
      </c>
      <c r="S336" s="8" t="s">
        <v>468</v>
      </c>
      <c r="T336" s="9">
        <v>45962</v>
      </c>
      <c r="U336" s="8">
        <v>0</v>
      </c>
      <c r="V336" s="20">
        <v>472</v>
      </c>
      <c r="W336" s="21" t="s">
        <v>16</v>
      </c>
    </row>
    <row r="337" spans="1:23" ht="45">
      <c r="A337" s="8" t="s">
        <v>2540</v>
      </c>
      <c r="B337" s="8" t="s">
        <v>368</v>
      </c>
      <c r="C337" s="8" t="s">
        <v>2203</v>
      </c>
      <c r="D337" s="8" t="s">
        <v>18</v>
      </c>
      <c r="E337" s="8" t="s">
        <v>16</v>
      </c>
      <c r="F337" s="8" t="s">
        <v>2204</v>
      </c>
      <c r="G337" s="8" t="s">
        <v>2541</v>
      </c>
      <c r="H337" s="8">
        <v>764</v>
      </c>
      <c r="I337" s="8">
        <v>40</v>
      </c>
      <c r="J337" s="8" t="s">
        <v>370</v>
      </c>
      <c r="K337" s="9">
        <v>45338</v>
      </c>
      <c r="L337" s="9">
        <v>46327</v>
      </c>
      <c r="M337" s="8" t="s">
        <v>16</v>
      </c>
      <c r="P337" s="16" t="s">
        <v>357</v>
      </c>
      <c r="Q337" s="2" t="s">
        <v>16</v>
      </c>
      <c r="S337" s="8" t="s">
        <v>468</v>
      </c>
      <c r="T337" s="9">
        <v>46419</v>
      </c>
      <c r="U337" s="8">
        <v>0</v>
      </c>
      <c r="V337" s="20">
        <v>1820</v>
      </c>
      <c r="W337" s="21" t="s">
        <v>16</v>
      </c>
    </row>
    <row r="338" spans="1:23" ht="45">
      <c r="A338" s="8" t="s">
        <v>2540</v>
      </c>
      <c r="B338" s="8" t="s">
        <v>368</v>
      </c>
      <c r="C338" s="8" t="s">
        <v>2203</v>
      </c>
      <c r="D338" s="8" t="s">
        <v>18</v>
      </c>
      <c r="E338" s="8" t="s">
        <v>16</v>
      </c>
      <c r="F338" s="8" t="s">
        <v>2204</v>
      </c>
      <c r="G338" s="8" t="s">
        <v>2541</v>
      </c>
      <c r="H338" s="8">
        <v>764</v>
      </c>
      <c r="I338" s="8">
        <v>280</v>
      </c>
      <c r="J338" s="8" t="s">
        <v>371</v>
      </c>
      <c r="K338" s="9">
        <v>45338</v>
      </c>
      <c r="L338" s="9">
        <v>46327</v>
      </c>
      <c r="M338" s="8" t="s">
        <v>16</v>
      </c>
      <c r="P338" s="17" t="s">
        <v>358</v>
      </c>
      <c r="Q338" s="2" t="s">
        <v>16</v>
      </c>
      <c r="S338" s="8" t="s">
        <v>469</v>
      </c>
      <c r="T338" s="9">
        <v>45748</v>
      </c>
      <c r="U338" s="8">
        <v>0</v>
      </c>
      <c r="V338" s="20">
        <v>1</v>
      </c>
      <c r="W338" s="21" t="s">
        <v>16</v>
      </c>
    </row>
    <row r="339" spans="1:23" ht="45">
      <c r="A339" s="8" t="s">
        <v>2540</v>
      </c>
      <c r="B339" s="8" t="s">
        <v>368</v>
      </c>
      <c r="C339" s="8" t="s">
        <v>2203</v>
      </c>
      <c r="D339" s="8" t="s">
        <v>18</v>
      </c>
      <c r="E339" s="8" t="s">
        <v>16</v>
      </c>
      <c r="F339" s="8" t="s">
        <v>2204</v>
      </c>
      <c r="G339" s="8" t="s">
        <v>2541</v>
      </c>
      <c r="H339" s="8">
        <v>764</v>
      </c>
      <c r="I339" s="8">
        <v>440</v>
      </c>
      <c r="J339" s="8" t="s">
        <v>372</v>
      </c>
      <c r="K339" s="9">
        <v>45338</v>
      </c>
      <c r="L339" s="9">
        <v>46327</v>
      </c>
      <c r="M339" s="8" t="s">
        <v>16</v>
      </c>
      <c r="P339" s="17" t="s">
        <v>360</v>
      </c>
      <c r="Q339" s="2" t="s">
        <v>16</v>
      </c>
      <c r="S339" s="8" t="s">
        <v>470</v>
      </c>
      <c r="T339" s="9">
        <v>47058</v>
      </c>
      <c r="U339" s="8">
        <v>0</v>
      </c>
      <c r="V339" s="20">
        <v>500</v>
      </c>
      <c r="W339" s="21" t="s">
        <v>16</v>
      </c>
    </row>
    <row r="340" spans="1:23" ht="60">
      <c r="A340" s="8" t="s">
        <v>2542</v>
      </c>
      <c r="B340" s="8" t="s">
        <v>373</v>
      </c>
      <c r="C340" s="8" t="s">
        <v>2197</v>
      </c>
      <c r="D340" s="8" t="s">
        <v>18</v>
      </c>
      <c r="E340" s="8" t="s">
        <v>16</v>
      </c>
      <c r="F340" s="8" t="s">
        <v>2198</v>
      </c>
      <c r="G340" s="8" t="s">
        <v>2543</v>
      </c>
      <c r="H340" s="8">
        <v>2009</v>
      </c>
      <c r="I340" s="8">
        <v>9</v>
      </c>
      <c r="J340" s="8" t="s">
        <v>374</v>
      </c>
      <c r="K340" s="9">
        <v>44744</v>
      </c>
      <c r="L340" s="9">
        <v>46508</v>
      </c>
      <c r="M340" s="8" t="s">
        <v>16</v>
      </c>
      <c r="P340" s="16" t="s">
        <v>361</v>
      </c>
      <c r="Q340" s="2" t="s">
        <v>41</v>
      </c>
      <c r="S340" s="8" t="s">
        <v>470</v>
      </c>
      <c r="T340" s="9">
        <v>46966</v>
      </c>
      <c r="U340" s="8">
        <v>0</v>
      </c>
      <c r="V340" s="20">
        <v>1374</v>
      </c>
      <c r="W340" s="21" t="s">
        <v>16</v>
      </c>
    </row>
    <row r="341" spans="1:23" ht="60">
      <c r="A341" s="8" t="s">
        <v>2542</v>
      </c>
      <c r="B341" s="8" t="s">
        <v>373</v>
      </c>
      <c r="C341" s="8" t="s">
        <v>2197</v>
      </c>
      <c r="D341" s="8" t="s">
        <v>18</v>
      </c>
      <c r="E341" s="8" t="s">
        <v>16</v>
      </c>
      <c r="F341" s="8" t="s">
        <v>2198</v>
      </c>
      <c r="G341" s="8" t="s">
        <v>2543</v>
      </c>
      <c r="H341" s="8">
        <v>2009</v>
      </c>
      <c r="I341" s="8">
        <v>860</v>
      </c>
      <c r="J341" s="8" t="s">
        <v>375</v>
      </c>
      <c r="K341" s="9">
        <v>45127</v>
      </c>
      <c r="L341" s="9">
        <v>46600</v>
      </c>
      <c r="M341" s="8" t="s">
        <v>16</v>
      </c>
      <c r="P341" s="16" t="s">
        <v>362</v>
      </c>
      <c r="Q341" s="2" t="s">
        <v>16</v>
      </c>
      <c r="S341" s="8" t="s">
        <v>471</v>
      </c>
      <c r="T341" s="9">
        <v>47178</v>
      </c>
      <c r="U341" s="8">
        <v>0</v>
      </c>
      <c r="V341" s="20">
        <v>30</v>
      </c>
      <c r="W341" s="21" t="s">
        <v>151</v>
      </c>
    </row>
    <row r="342" spans="1:23" ht="60">
      <c r="A342" s="8" t="s">
        <v>2542</v>
      </c>
      <c r="B342" s="8" t="s">
        <v>373</v>
      </c>
      <c r="C342" s="8" t="s">
        <v>2197</v>
      </c>
      <c r="D342" s="8" t="s">
        <v>18</v>
      </c>
      <c r="E342" s="8" t="s">
        <v>16</v>
      </c>
      <c r="F342" s="8" t="s">
        <v>2198</v>
      </c>
      <c r="G342" s="8" t="s">
        <v>2543</v>
      </c>
      <c r="H342" s="8">
        <v>2009</v>
      </c>
      <c r="I342" s="8">
        <v>1140</v>
      </c>
      <c r="J342" s="8" t="s">
        <v>376</v>
      </c>
      <c r="K342" s="9">
        <v>45325</v>
      </c>
      <c r="L342" s="9">
        <v>47119</v>
      </c>
      <c r="M342" s="8" t="s">
        <v>16</v>
      </c>
      <c r="P342" s="16" t="s">
        <v>362</v>
      </c>
      <c r="Q342" s="2" t="s">
        <v>16</v>
      </c>
      <c r="S342" s="8" t="s">
        <v>473</v>
      </c>
      <c r="T342" s="9">
        <v>47178</v>
      </c>
      <c r="U342" s="8">
        <v>0</v>
      </c>
      <c r="V342" s="20">
        <v>1860</v>
      </c>
      <c r="W342" s="21" t="s">
        <v>151</v>
      </c>
    </row>
    <row r="343" spans="1:23" ht="60">
      <c r="A343" s="8" t="s">
        <v>2544</v>
      </c>
      <c r="B343" s="8" t="s">
        <v>377</v>
      </c>
      <c r="C343" s="8" t="s">
        <v>2197</v>
      </c>
      <c r="D343" s="8" t="s">
        <v>18</v>
      </c>
      <c r="E343" s="8" t="s">
        <v>16</v>
      </c>
      <c r="F343" s="8" t="s">
        <v>2198</v>
      </c>
      <c r="G343" s="8" t="s">
        <v>2545</v>
      </c>
      <c r="H343" s="8">
        <v>2014</v>
      </c>
      <c r="I343" s="8">
        <v>14</v>
      </c>
      <c r="J343" s="8">
        <v>20230926</v>
      </c>
      <c r="K343" s="9">
        <v>45321</v>
      </c>
      <c r="L343" s="9">
        <v>47119</v>
      </c>
      <c r="M343" s="8" t="s">
        <v>16</v>
      </c>
      <c r="P343" s="16" t="s">
        <v>365</v>
      </c>
      <c r="Q343" s="2" t="s">
        <v>16</v>
      </c>
      <c r="S343" s="8" t="s">
        <v>474</v>
      </c>
      <c r="T343" s="9">
        <v>47119</v>
      </c>
      <c r="U343" s="8">
        <v>0</v>
      </c>
      <c r="V343" s="20">
        <v>120</v>
      </c>
      <c r="W343" s="21" t="s">
        <v>151</v>
      </c>
    </row>
    <row r="344" spans="1:23" ht="60">
      <c r="A344" s="8" t="s">
        <v>2544</v>
      </c>
      <c r="B344" s="8" t="s">
        <v>377</v>
      </c>
      <c r="C344" s="8" t="s">
        <v>2197</v>
      </c>
      <c r="D344" s="8" t="s">
        <v>18</v>
      </c>
      <c r="E344" s="8" t="s">
        <v>16</v>
      </c>
      <c r="F344" s="8" t="s">
        <v>2198</v>
      </c>
      <c r="G344" s="8" t="s">
        <v>2545</v>
      </c>
      <c r="H344" s="8">
        <v>2014</v>
      </c>
      <c r="I344" s="8">
        <v>2000</v>
      </c>
      <c r="J344" s="8">
        <v>24022921</v>
      </c>
      <c r="K344" s="9">
        <v>45446</v>
      </c>
      <c r="L344" s="9">
        <v>47239</v>
      </c>
      <c r="M344" s="8" t="s">
        <v>16</v>
      </c>
      <c r="P344" s="16" t="s">
        <v>365</v>
      </c>
      <c r="Q344" s="2" t="s">
        <v>16</v>
      </c>
      <c r="S344" s="8" t="s">
        <v>476</v>
      </c>
      <c r="T344" s="9">
        <v>46569</v>
      </c>
      <c r="U344" s="8">
        <v>0</v>
      </c>
      <c r="V344" s="20">
        <v>98990</v>
      </c>
      <c r="W344" s="21" t="s">
        <v>16</v>
      </c>
    </row>
    <row r="345" spans="1:23" ht="60">
      <c r="A345" s="8" t="s">
        <v>2546</v>
      </c>
      <c r="B345" s="8" t="s">
        <v>378</v>
      </c>
      <c r="C345" s="8" t="s">
        <v>2203</v>
      </c>
      <c r="D345" s="8" t="s">
        <v>18</v>
      </c>
      <c r="E345" s="8" t="s">
        <v>16</v>
      </c>
      <c r="F345" s="8" t="s">
        <v>2198</v>
      </c>
      <c r="G345" s="8" t="s">
        <v>2547</v>
      </c>
      <c r="H345" s="8">
        <v>10000</v>
      </c>
      <c r="I345" s="8">
        <v>10000</v>
      </c>
      <c r="J345" s="8" t="s">
        <v>379</v>
      </c>
      <c r="K345" s="9">
        <v>45446</v>
      </c>
      <c r="L345" s="9">
        <v>47239</v>
      </c>
      <c r="M345" s="8" t="s">
        <v>16</v>
      </c>
      <c r="P345" s="16" t="s">
        <v>368</v>
      </c>
      <c r="Q345" s="2" t="s">
        <v>16</v>
      </c>
      <c r="S345" s="8" t="s">
        <v>477</v>
      </c>
      <c r="T345" s="9">
        <v>46600</v>
      </c>
      <c r="U345" s="8">
        <v>0</v>
      </c>
      <c r="V345" s="20">
        <v>3133</v>
      </c>
      <c r="W345" s="21" t="s">
        <v>16</v>
      </c>
    </row>
    <row r="346" spans="1:23" ht="60">
      <c r="A346" s="8" t="s">
        <v>2548</v>
      </c>
      <c r="B346" s="8" t="s">
        <v>380</v>
      </c>
      <c r="C346" s="8" t="s">
        <v>2203</v>
      </c>
      <c r="D346" s="8" t="s">
        <v>18</v>
      </c>
      <c r="E346" s="8" t="s">
        <v>16</v>
      </c>
      <c r="F346" s="8" t="s">
        <v>2198</v>
      </c>
      <c r="G346" s="8" t="s">
        <v>2547</v>
      </c>
      <c r="H346" s="8">
        <v>1140</v>
      </c>
      <c r="I346" s="8">
        <v>1140</v>
      </c>
      <c r="J346" s="8" t="s">
        <v>379</v>
      </c>
      <c r="K346" s="9">
        <v>45446</v>
      </c>
      <c r="L346" s="9">
        <v>47239</v>
      </c>
      <c r="M346" s="8" t="s">
        <v>16</v>
      </c>
      <c r="P346" s="16" t="s">
        <v>368</v>
      </c>
      <c r="Q346" s="2" t="s">
        <v>16</v>
      </c>
      <c r="S346" s="8" t="s">
        <v>478</v>
      </c>
      <c r="T346" s="9">
        <v>46600</v>
      </c>
      <c r="U346" s="8">
        <v>0</v>
      </c>
      <c r="V346" s="20">
        <v>48986</v>
      </c>
      <c r="W346" s="21" t="s">
        <v>16</v>
      </c>
    </row>
    <row r="347" spans="1:23" ht="60">
      <c r="A347" s="8" t="s">
        <v>2549</v>
      </c>
      <c r="B347" s="8" t="s">
        <v>381</v>
      </c>
      <c r="C347" s="8" t="s">
        <v>2203</v>
      </c>
      <c r="D347" s="8" t="s">
        <v>18</v>
      </c>
      <c r="E347" s="8" t="s">
        <v>16</v>
      </c>
      <c r="F347" s="8" t="s">
        <v>2198</v>
      </c>
      <c r="G347" s="8" t="s">
        <v>2550</v>
      </c>
      <c r="H347" s="8">
        <v>2533</v>
      </c>
      <c r="I347" s="8">
        <v>2533</v>
      </c>
      <c r="J347" s="8" t="s">
        <v>382</v>
      </c>
      <c r="K347" s="9">
        <v>45016</v>
      </c>
      <c r="L347" s="9">
        <v>46784</v>
      </c>
      <c r="M347" s="8" t="s">
        <v>16</v>
      </c>
      <c r="P347" s="16" t="s">
        <v>368</v>
      </c>
      <c r="Q347" s="2" t="s">
        <v>16</v>
      </c>
      <c r="S347" s="8" t="s">
        <v>481</v>
      </c>
      <c r="T347" s="9">
        <v>46722</v>
      </c>
      <c r="U347" s="8">
        <v>0</v>
      </c>
      <c r="V347" s="20">
        <v>691</v>
      </c>
      <c r="W347" s="21" t="s">
        <v>16</v>
      </c>
    </row>
    <row r="348" spans="1:23" ht="45">
      <c r="A348" s="8" t="s">
        <v>2551</v>
      </c>
      <c r="B348" s="8" t="s">
        <v>383</v>
      </c>
      <c r="C348" s="8" t="s">
        <v>2221</v>
      </c>
      <c r="D348" s="8" t="s">
        <v>18</v>
      </c>
      <c r="E348" s="8" t="s">
        <v>101</v>
      </c>
      <c r="F348" s="8" t="s">
        <v>101</v>
      </c>
      <c r="G348" s="8" t="s">
        <v>2552</v>
      </c>
      <c r="H348" s="8">
        <v>5</v>
      </c>
      <c r="I348" s="8">
        <v>5</v>
      </c>
      <c r="J348" s="8">
        <v>0</v>
      </c>
      <c r="K348" s="8" t="s">
        <v>2222</v>
      </c>
      <c r="L348" s="8" t="s">
        <v>2222</v>
      </c>
      <c r="M348" s="8" t="s">
        <v>41</v>
      </c>
      <c r="P348" s="16" t="s">
        <v>368</v>
      </c>
      <c r="Q348" s="2" t="s">
        <v>16</v>
      </c>
      <c r="S348" s="8" t="s">
        <v>482</v>
      </c>
      <c r="T348" s="9">
        <v>46357</v>
      </c>
      <c r="U348" s="8">
        <v>0</v>
      </c>
      <c r="V348" s="20">
        <v>120</v>
      </c>
      <c r="W348" s="21" t="s">
        <v>16</v>
      </c>
    </row>
    <row r="349" spans="1:23" ht="60.75">
      <c r="A349" s="8" t="s">
        <v>2553</v>
      </c>
      <c r="B349" s="8" t="s">
        <v>384</v>
      </c>
      <c r="C349" s="8" t="s">
        <v>2197</v>
      </c>
      <c r="D349" s="8" t="s">
        <v>18</v>
      </c>
      <c r="E349" s="8" t="s">
        <v>16</v>
      </c>
      <c r="F349" s="8" t="s">
        <v>2228</v>
      </c>
      <c r="G349" s="8" t="s">
        <v>2554</v>
      </c>
      <c r="H349" s="8">
        <v>2059</v>
      </c>
      <c r="I349" s="8">
        <v>192</v>
      </c>
      <c r="J349" s="8">
        <v>176568</v>
      </c>
      <c r="K349" s="9">
        <v>45461</v>
      </c>
      <c r="L349" s="9">
        <v>45901</v>
      </c>
      <c r="M349" s="8" t="s">
        <v>16</v>
      </c>
      <c r="P349" s="16" t="s">
        <v>373</v>
      </c>
      <c r="Q349" s="2" t="s">
        <v>16</v>
      </c>
      <c r="S349" s="8" t="s">
        <v>482</v>
      </c>
      <c r="T349" s="9">
        <v>46296</v>
      </c>
      <c r="U349" s="8">
        <v>0</v>
      </c>
      <c r="V349" s="20">
        <v>435</v>
      </c>
      <c r="W349" s="21" t="s">
        <v>16</v>
      </c>
    </row>
    <row r="350" spans="1:23" ht="60.75">
      <c r="A350" s="8" t="s">
        <v>2553</v>
      </c>
      <c r="B350" s="8" t="s">
        <v>384</v>
      </c>
      <c r="C350" s="8" t="s">
        <v>2197</v>
      </c>
      <c r="D350" s="8" t="s">
        <v>18</v>
      </c>
      <c r="E350" s="8" t="s">
        <v>16</v>
      </c>
      <c r="F350" s="8" t="s">
        <v>2228</v>
      </c>
      <c r="G350" s="8" t="s">
        <v>2554</v>
      </c>
      <c r="H350" s="8">
        <v>2059</v>
      </c>
      <c r="I350" s="8">
        <v>480</v>
      </c>
      <c r="J350" s="8">
        <v>176997</v>
      </c>
      <c r="K350" s="9">
        <v>45461</v>
      </c>
      <c r="L350" s="9">
        <v>45901</v>
      </c>
      <c r="M350" s="8" t="s">
        <v>16</v>
      </c>
      <c r="P350" s="16" t="s">
        <v>373</v>
      </c>
      <c r="Q350" s="2" t="s">
        <v>16</v>
      </c>
      <c r="S350" s="8" t="s">
        <v>482</v>
      </c>
      <c r="T350" s="9">
        <v>46419</v>
      </c>
      <c r="U350" s="8">
        <v>0</v>
      </c>
      <c r="V350" s="20">
        <v>1100</v>
      </c>
      <c r="W350" s="21" t="s">
        <v>16</v>
      </c>
    </row>
    <row r="351" spans="1:23" ht="60.75">
      <c r="A351" s="8" t="s">
        <v>2553</v>
      </c>
      <c r="B351" s="8" t="s">
        <v>384</v>
      </c>
      <c r="C351" s="8" t="s">
        <v>2197</v>
      </c>
      <c r="D351" s="8" t="s">
        <v>18</v>
      </c>
      <c r="E351" s="8" t="s">
        <v>16</v>
      </c>
      <c r="F351" s="8" t="s">
        <v>2228</v>
      </c>
      <c r="G351" s="8" t="s">
        <v>2554</v>
      </c>
      <c r="H351" s="8">
        <v>2059</v>
      </c>
      <c r="I351" s="8">
        <v>480</v>
      </c>
      <c r="J351" s="8">
        <v>177048</v>
      </c>
      <c r="K351" s="9">
        <v>45461</v>
      </c>
      <c r="L351" s="9">
        <v>45901</v>
      </c>
      <c r="M351" s="8" t="s">
        <v>16</v>
      </c>
      <c r="P351" s="16" t="s">
        <v>373</v>
      </c>
      <c r="Q351" s="2" t="s">
        <v>16</v>
      </c>
      <c r="S351" s="8" t="s">
        <v>483</v>
      </c>
      <c r="T351" s="9">
        <v>46447</v>
      </c>
      <c r="U351" s="8">
        <v>0</v>
      </c>
      <c r="V351" s="20">
        <v>13</v>
      </c>
      <c r="W351" s="21" t="s">
        <v>16</v>
      </c>
    </row>
    <row r="352" spans="1:23" ht="48.75">
      <c r="A352" s="8" t="s">
        <v>2553</v>
      </c>
      <c r="B352" s="8" t="s">
        <v>384</v>
      </c>
      <c r="C352" s="8" t="s">
        <v>2197</v>
      </c>
      <c r="D352" s="8" t="s">
        <v>18</v>
      </c>
      <c r="E352" s="8" t="s">
        <v>16</v>
      </c>
      <c r="F352" s="8" t="s">
        <v>2228</v>
      </c>
      <c r="G352" s="8" t="s">
        <v>2554</v>
      </c>
      <c r="H352" s="8">
        <v>2059</v>
      </c>
      <c r="I352" s="8">
        <v>907</v>
      </c>
      <c r="J352" s="8">
        <v>177927</v>
      </c>
      <c r="K352" s="9">
        <v>45443</v>
      </c>
      <c r="L352" s="9">
        <v>45901</v>
      </c>
      <c r="M352" s="8" t="s">
        <v>16</v>
      </c>
      <c r="P352" s="16" t="s">
        <v>377</v>
      </c>
      <c r="Q352" s="2" t="s">
        <v>16</v>
      </c>
      <c r="S352" s="8" t="s">
        <v>483</v>
      </c>
      <c r="T352" s="9">
        <v>46419</v>
      </c>
      <c r="U352" s="8">
        <v>0</v>
      </c>
      <c r="V352" s="20">
        <v>1134</v>
      </c>
      <c r="W352" s="21" t="s">
        <v>16</v>
      </c>
    </row>
    <row r="353" spans="1:23" ht="48.75">
      <c r="A353" s="8" t="s">
        <v>2555</v>
      </c>
      <c r="B353" s="8" t="s">
        <v>386</v>
      </c>
      <c r="C353" s="8" t="s">
        <v>2203</v>
      </c>
      <c r="D353" s="8" t="s">
        <v>18</v>
      </c>
      <c r="E353" s="8" t="s">
        <v>151</v>
      </c>
      <c r="F353" s="8" t="s">
        <v>151</v>
      </c>
      <c r="G353" s="8" t="s">
        <v>2556</v>
      </c>
      <c r="H353" s="8">
        <v>41589</v>
      </c>
      <c r="I353" s="8">
        <v>133</v>
      </c>
      <c r="J353" s="8">
        <v>0</v>
      </c>
      <c r="K353" s="9">
        <v>45309</v>
      </c>
      <c r="L353" s="9">
        <v>46569</v>
      </c>
      <c r="M353" s="8" t="s">
        <v>151</v>
      </c>
      <c r="P353" s="16" t="s">
        <v>377</v>
      </c>
      <c r="Q353" s="2" t="s">
        <v>16</v>
      </c>
      <c r="S353" s="8" t="s">
        <v>484</v>
      </c>
      <c r="T353" s="9" t="s">
        <v>2222</v>
      </c>
      <c r="U353" s="8">
        <v>0</v>
      </c>
      <c r="V353" s="20">
        <v>28</v>
      </c>
      <c r="W353" s="21" t="s">
        <v>43</v>
      </c>
    </row>
    <row r="354" spans="1:23" ht="48.75">
      <c r="A354" s="8" t="s">
        <v>2557</v>
      </c>
      <c r="B354" s="8" t="s">
        <v>386</v>
      </c>
      <c r="C354" s="8" t="s">
        <v>2203</v>
      </c>
      <c r="D354" s="8" t="s">
        <v>18</v>
      </c>
      <c r="E354" s="8" t="s">
        <v>151</v>
      </c>
      <c r="F354" s="8" t="s">
        <v>151</v>
      </c>
      <c r="G354" s="8" t="s">
        <v>2556</v>
      </c>
      <c r="H354" s="8">
        <v>1814</v>
      </c>
      <c r="I354" s="8">
        <v>1814</v>
      </c>
      <c r="J354" s="8">
        <v>0</v>
      </c>
      <c r="K354" s="8" t="s">
        <v>2222</v>
      </c>
      <c r="L354" s="8" t="s">
        <v>2222</v>
      </c>
      <c r="M354" s="8" t="s">
        <v>151</v>
      </c>
      <c r="P354" s="16" t="s">
        <v>378</v>
      </c>
      <c r="Q354" s="2" t="s">
        <v>16</v>
      </c>
      <c r="S354" s="8" t="s">
        <v>485</v>
      </c>
      <c r="T354" s="9" t="s">
        <v>2222</v>
      </c>
      <c r="U354" s="8">
        <v>0</v>
      </c>
      <c r="V354" s="20">
        <v>485</v>
      </c>
      <c r="W354" s="21" t="s">
        <v>43</v>
      </c>
    </row>
    <row r="355" spans="1:23" ht="48.75">
      <c r="A355" s="8" t="s">
        <v>2555</v>
      </c>
      <c r="B355" s="8" t="s">
        <v>386</v>
      </c>
      <c r="C355" s="8" t="s">
        <v>2203</v>
      </c>
      <c r="D355" s="8" t="s">
        <v>18</v>
      </c>
      <c r="E355" s="8" t="s">
        <v>151</v>
      </c>
      <c r="F355" s="8" t="s">
        <v>151</v>
      </c>
      <c r="G355" s="8" t="s">
        <v>2556</v>
      </c>
      <c r="H355" s="8">
        <v>41589</v>
      </c>
      <c r="I355" s="8">
        <v>41456</v>
      </c>
      <c r="J355" s="8">
        <v>0</v>
      </c>
      <c r="K355" s="9">
        <v>43937</v>
      </c>
      <c r="L355" s="8" t="s">
        <v>2222</v>
      </c>
      <c r="M355" s="8" t="s">
        <v>151</v>
      </c>
      <c r="P355" s="16" t="s">
        <v>380</v>
      </c>
      <c r="Q355" s="2" t="s">
        <v>16</v>
      </c>
      <c r="S355" s="8" t="s">
        <v>486</v>
      </c>
      <c r="T355" s="9">
        <v>46174</v>
      </c>
      <c r="U355" s="8">
        <v>0</v>
      </c>
      <c r="V355" s="20">
        <v>230</v>
      </c>
      <c r="W355" s="21" t="s">
        <v>16</v>
      </c>
    </row>
    <row r="356" spans="1:23" ht="75">
      <c r="A356" s="8" t="s">
        <v>2558</v>
      </c>
      <c r="B356" s="8" t="s">
        <v>387</v>
      </c>
      <c r="C356" s="8" t="s">
        <v>2221</v>
      </c>
      <c r="D356" s="8" t="s">
        <v>18</v>
      </c>
      <c r="E356" s="8" t="s">
        <v>2217</v>
      </c>
      <c r="F356" s="8" t="s">
        <v>2217</v>
      </c>
      <c r="G356" s="8" t="s">
        <v>2217</v>
      </c>
      <c r="H356" s="8">
        <v>2</v>
      </c>
      <c r="I356" s="8">
        <v>2</v>
      </c>
      <c r="J356" s="8">
        <v>0</v>
      </c>
      <c r="K356" s="9">
        <v>45430</v>
      </c>
      <c r="L356" s="8" t="s">
        <v>2222</v>
      </c>
      <c r="M356" s="8" t="s">
        <v>38</v>
      </c>
      <c r="P356" s="16" t="s">
        <v>381</v>
      </c>
      <c r="Q356" s="2" t="s">
        <v>16</v>
      </c>
      <c r="S356" s="8" t="s">
        <v>486</v>
      </c>
      <c r="T356" s="9">
        <v>46204</v>
      </c>
      <c r="U356" s="8">
        <v>0</v>
      </c>
      <c r="V356" s="20">
        <v>10000</v>
      </c>
      <c r="W356" s="21" t="s">
        <v>16</v>
      </c>
    </row>
    <row r="357" spans="1:23" ht="75">
      <c r="A357" s="8" t="s">
        <v>2559</v>
      </c>
      <c r="B357" s="8" t="s">
        <v>388</v>
      </c>
      <c r="C357" s="8" t="s">
        <v>2221</v>
      </c>
      <c r="D357" s="8" t="s">
        <v>18</v>
      </c>
      <c r="E357" s="8" t="s">
        <v>2217</v>
      </c>
      <c r="F357" s="8" t="s">
        <v>2217</v>
      </c>
      <c r="G357" s="8" t="s">
        <v>2217</v>
      </c>
      <c r="H357" s="8">
        <v>2</v>
      </c>
      <c r="I357" s="8">
        <v>2</v>
      </c>
      <c r="J357" s="8">
        <v>0</v>
      </c>
      <c r="K357" s="9">
        <v>45430</v>
      </c>
      <c r="L357" s="8" t="s">
        <v>2222</v>
      </c>
      <c r="M357" s="8" t="s">
        <v>38</v>
      </c>
      <c r="P357" s="16" t="s">
        <v>383</v>
      </c>
      <c r="Q357" s="2" t="s">
        <v>41</v>
      </c>
      <c r="S357" s="8" t="s">
        <v>487</v>
      </c>
      <c r="T357" s="9">
        <v>46935</v>
      </c>
      <c r="U357" s="8">
        <v>0</v>
      </c>
      <c r="V357" s="20">
        <v>60</v>
      </c>
      <c r="W357" s="21" t="s">
        <v>16</v>
      </c>
    </row>
    <row r="358" spans="1:23" ht="60">
      <c r="A358" s="8" t="s">
        <v>2560</v>
      </c>
      <c r="B358" s="8" t="s">
        <v>389</v>
      </c>
      <c r="C358" s="8" t="s">
        <v>2221</v>
      </c>
      <c r="D358" s="8" t="s">
        <v>18</v>
      </c>
      <c r="E358" s="8" t="s">
        <v>2217</v>
      </c>
      <c r="F358" s="8" t="s">
        <v>2217</v>
      </c>
      <c r="G358" s="8" t="s">
        <v>2217</v>
      </c>
      <c r="H358" s="8">
        <v>2</v>
      </c>
      <c r="I358" s="8">
        <v>2</v>
      </c>
      <c r="J358" s="8">
        <v>0</v>
      </c>
      <c r="K358" s="9">
        <v>45430</v>
      </c>
      <c r="L358" s="8" t="s">
        <v>2222</v>
      </c>
      <c r="M358" s="8" t="s">
        <v>38</v>
      </c>
      <c r="P358" s="16" t="s">
        <v>384</v>
      </c>
      <c r="Q358" s="2" t="s">
        <v>16</v>
      </c>
      <c r="S358" s="8" t="s">
        <v>488</v>
      </c>
      <c r="T358" s="9">
        <v>46447</v>
      </c>
      <c r="U358" s="8">
        <v>0</v>
      </c>
      <c r="V358" s="20">
        <v>320</v>
      </c>
      <c r="W358" s="21" t="s">
        <v>16</v>
      </c>
    </row>
    <row r="359" spans="1:23" ht="45">
      <c r="A359" s="8" t="s">
        <v>2561</v>
      </c>
      <c r="B359" s="8" t="s">
        <v>390</v>
      </c>
      <c r="C359" s="8" t="s">
        <v>2221</v>
      </c>
      <c r="D359" s="8" t="s">
        <v>18</v>
      </c>
      <c r="E359" s="8" t="s">
        <v>2217</v>
      </c>
      <c r="F359" s="8" t="s">
        <v>2217</v>
      </c>
      <c r="G359" s="8" t="s">
        <v>2217</v>
      </c>
      <c r="H359" s="8">
        <v>2</v>
      </c>
      <c r="I359" s="8">
        <v>2</v>
      </c>
      <c r="J359" s="8">
        <v>0</v>
      </c>
      <c r="K359" s="9">
        <v>45430</v>
      </c>
      <c r="L359" s="8" t="s">
        <v>2222</v>
      </c>
      <c r="M359" s="8" t="s">
        <v>38</v>
      </c>
      <c r="P359" s="16" t="s">
        <v>384</v>
      </c>
      <c r="Q359" s="2" t="s">
        <v>16</v>
      </c>
      <c r="S359" s="8" t="s">
        <v>488</v>
      </c>
      <c r="T359" s="9">
        <v>46753</v>
      </c>
      <c r="U359" s="8">
        <v>0</v>
      </c>
      <c r="V359" s="20">
        <v>1920</v>
      </c>
      <c r="W359" s="21" t="s">
        <v>16</v>
      </c>
    </row>
    <row r="360" spans="1:23" ht="45">
      <c r="A360" s="8" t="s">
        <v>2562</v>
      </c>
      <c r="B360" s="8" t="s">
        <v>391</v>
      </c>
      <c r="C360" s="8" t="s">
        <v>2197</v>
      </c>
      <c r="D360" s="8" t="s">
        <v>209</v>
      </c>
      <c r="E360" s="8" t="s">
        <v>16</v>
      </c>
      <c r="F360" s="8" t="s">
        <v>2258</v>
      </c>
      <c r="G360" s="8" t="s">
        <v>2563</v>
      </c>
      <c r="H360" s="8">
        <v>3</v>
      </c>
      <c r="I360" s="8">
        <v>3</v>
      </c>
      <c r="J360" s="8" t="s">
        <v>392</v>
      </c>
      <c r="K360" s="9">
        <v>45447</v>
      </c>
      <c r="L360" s="9">
        <v>46997</v>
      </c>
      <c r="M360" s="8" t="s">
        <v>16</v>
      </c>
      <c r="P360" s="16" t="s">
        <v>384</v>
      </c>
      <c r="Q360" s="2" t="s">
        <v>16</v>
      </c>
      <c r="S360" s="8" t="s">
        <v>489</v>
      </c>
      <c r="T360" s="9">
        <v>47209</v>
      </c>
      <c r="U360" s="8">
        <v>0</v>
      </c>
      <c r="V360" s="20">
        <v>1320</v>
      </c>
      <c r="W360" s="21" t="s">
        <v>16</v>
      </c>
    </row>
    <row r="361" spans="1:23" ht="45">
      <c r="A361" s="8" t="s">
        <v>2564</v>
      </c>
      <c r="B361" s="8" t="s">
        <v>391</v>
      </c>
      <c r="C361" s="8" t="s">
        <v>2197</v>
      </c>
      <c r="D361" s="8" t="s">
        <v>18</v>
      </c>
      <c r="E361" s="8" t="s">
        <v>16</v>
      </c>
      <c r="F361" s="8" t="s">
        <v>2258</v>
      </c>
      <c r="G361" s="8" t="s">
        <v>2563</v>
      </c>
      <c r="H361" s="8">
        <v>488</v>
      </c>
      <c r="I361" s="8">
        <v>488</v>
      </c>
      <c r="J361" s="8" t="s">
        <v>392</v>
      </c>
      <c r="K361" s="9">
        <v>45405</v>
      </c>
      <c r="L361" s="9">
        <v>46997</v>
      </c>
      <c r="M361" s="8" t="s">
        <v>16</v>
      </c>
      <c r="P361" s="16" t="s">
        <v>384</v>
      </c>
      <c r="Q361" s="2" t="s">
        <v>16</v>
      </c>
      <c r="S361" s="8" t="s">
        <v>490</v>
      </c>
      <c r="T361" s="9" t="s">
        <v>2222</v>
      </c>
      <c r="U361" s="8">
        <v>0</v>
      </c>
      <c r="V361" s="20">
        <v>10</v>
      </c>
      <c r="W361" s="21" t="s">
        <v>43</v>
      </c>
    </row>
    <row r="362" spans="1:23" ht="60">
      <c r="A362" s="8" t="s">
        <v>2565</v>
      </c>
      <c r="B362" s="8" t="s">
        <v>393</v>
      </c>
      <c r="C362" s="8" t="s">
        <v>2197</v>
      </c>
      <c r="D362" s="8" t="s">
        <v>18</v>
      </c>
      <c r="E362" s="8" t="s">
        <v>16</v>
      </c>
      <c r="F362" s="8" t="s">
        <v>2198</v>
      </c>
      <c r="G362" s="8" t="s">
        <v>2566</v>
      </c>
      <c r="H362" s="8">
        <v>8</v>
      </c>
      <c r="I362" s="8">
        <v>8</v>
      </c>
      <c r="J362" s="8">
        <v>6038</v>
      </c>
      <c r="K362" s="9">
        <v>44895</v>
      </c>
      <c r="L362" s="9">
        <v>46113</v>
      </c>
      <c r="M362" s="8" t="s">
        <v>16</v>
      </c>
      <c r="P362" s="16" t="s">
        <v>385</v>
      </c>
      <c r="Q362" s="2" t="s">
        <v>38</v>
      </c>
      <c r="S362" s="8" t="s">
        <v>491</v>
      </c>
      <c r="T362" s="9" t="s">
        <v>2222</v>
      </c>
      <c r="U362" s="8">
        <v>0</v>
      </c>
      <c r="V362" s="20">
        <v>1</v>
      </c>
      <c r="W362" s="21" t="s">
        <v>41</v>
      </c>
    </row>
    <row r="363" spans="1:23" ht="45">
      <c r="A363" s="8" t="s">
        <v>2567</v>
      </c>
      <c r="B363" s="8" t="s">
        <v>393</v>
      </c>
      <c r="C363" s="8" t="s">
        <v>2197</v>
      </c>
      <c r="D363" s="8" t="s">
        <v>18</v>
      </c>
      <c r="E363" s="8" t="s">
        <v>16</v>
      </c>
      <c r="F363" s="8" t="s">
        <v>2198</v>
      </c>
      <c r="G363" s="8" t="s">
        <v>2566</v>
      </c>
      <c r="H363" s="8">
        <v>449</v>
      </c>
      <c r="I363" s="8">
        <v>77</v>
      </c>
      <c r="J363" s="8">
        <v>6032</v>
      </c>
      <c r="K363" s="9">
        <v>45069</v>
      </c>
      <c r="L363" s="9">
        <v>45962</v>
      </c>
      <c r="M363" s="8" t="s">
        <v>16</v>
      </c>
      <c r="P363" s="16" t="s">
        <v>386</v>
      </c>
      <c r="Q363" s="2" t="s">
        <v>151</v>
      </c>
      <c r="S363" s="8" t="s">
        <v>492</v>
      </c>
      <c r="T363" s="9">
        <v>47178</v>
      </c>
      <c r="U363" s="8">
        <v>0</v>
      </c>
      <c r="V363" s="20">
        <v>124</v>
      </c>
      <c r="W363" s="21" t="s">
        <v>16</v>
      </c>
    </row>
    <row r="364" spans="1:23" ht="45">
      <c r="A364" s="8" t="s">
        <v>2567</v>
      </c>
      <c r="B364" s="8" t="s">
        <v>393</v>
      </c>
      <c r="C364" s="8" t="s">
        <v>2197</v>
      </c>
      <c r="D364" s="8" t="s">
        <v>18</v>
      </c>
      <c r="E364" s="8" t="s">
        <v>16</v>
      </c>
      <c r="F364" s="8" t="s">
        <v>2198</v>
      </c>
      <c r="G364" s="8" t="s">
        <v>2566</v>
      </c>
      <c r="H364" s="8">
        <v>449</v>
      </c>
      <c r="I364" s="8">
        <v>372</v>
      </c>
      <c r="J364" s="8">
        <v>6038</v>
      </c>
      <c r="K364" s="9">
        <v>44810</v>
      </c>
      <c r="L364" s="9">
        <v>46113</v>
      </c>
      <c r="M364" s="8" t="s">
        <v>16</v>
      </c>
      <c r="P364" s="16" t="s">
        <v>386</v>
      </c>
      <c r="Q364" s="2" t="s">
        <v>151</v>
      </c>
      <c r="S364" s="8" t="s">
        <v>494</v>
      </c>
      <c r="T364" s="9">
        <v>45658</v>
      </c>
      <c r="U364" s="8">
        <v>0</v>
      </c>
      <c r="V364" s="20">
        <v>2</v>
      </c>
      <c r="W364" s="21" t="s">
        <v>16</v>
      </c>
    </row>
    <row r="365" spans="1:23" ht="45">
      <c r="A365" s="8" t="s">
        <v>2568</v>
      </c>
      <c r="B365" s="8" t="s">
        <v>394</v>
      </c>
      <c r="C365" s="8" t="s">
        <v>2197</v>
      </c>
      <c r="D365" s="8" t="s">
        <v>18</v>
      </c>
      <c r="E365" s="8" t="s">
        <v>16</v>
      </c>
      <c r="F365" s="8" t="s">
        <v>2198</v>
      </c>
      <c r="G365" s="8" t="s">
        <v>2566</v>
      </c>
      <c r="H365" s="8">
        <v>2</v>
      </c>
      <c r="I365" s="8">
        <v>2</v>
      </c>
      <c r="J365" s="8">
        <v>6042</v>
      </c>
      <c r="K365" s="9">
        <v>44895</v>
      </c>
      <c r="L365" s="9">
        <v>46600</v>
      </c>
      <c r="M365" s="8" t="s">
        <v>16</v>
      </c>
      <c r="P365" s="16" t="s">
        <v>386</v>
      </c>
      <c r="Q365" s="2" t="s">
        <v>151</v>
      </c>
      <c r="S365" s="8" t="s">
        <v>494</v>
      </c>
      <c r="T365" s="9">
        <v>45870</v>
      </c>
      <c r="U365" s="8">
        <v>0</v>
      </c>
      <c r="V365" s="20">
        <v>440</v>
      </c>
      <c r="W365" s="21" t="s">
        <v>16</v>
      </c>
    </row>
    <row r="366" spans="1:23" ht="60.75">
      <c r="A366" s="8" t="s">
        <v>2569</v>
      </c>
      <c r="B366" s="8" t="s">
        <v>394</v>
      </c>
      <c r="C366" s="8" t="s">
        <v>2197</v>
      </c>
      <c r="D366" s="8" t="s">
        <v>18</v>
      </c>
      <c r="E366" s="8" t="s">
        <v>16</v>
      </c>
      <c r="F366" s="8" t="s">
        <v>2198</v>
      </c>
      <c r="G366" s="8" t="s">
        <v>2566</v>
      </c>
      <c r="H366" s="8">
        <v>1265</v>
      </c>
      <c r="I366" s="8">
        <v>265</v>
      </c>
      <c r="J366" s="8">
        <v>6049</v>
      </c>
      <c r="K366" s="9">
        <v>44994</v>
      </c>
      <c r="L366" s="9">
        <v>46784</v>
      </c>
      <c r="M366" s="8" t="s">
        <v>16</v>
      </c>
      <c r="P366" s="16" t="s">
        <v>387</v>
      </c>
      <c r="Q366" s="2" t="s">
        <v>38</v>
      </c>
      <c r="S366" s="8" t="s">
        <v>496</v>
      </c>
      <c r="T366" s="9">
        <v>45658</v>
      </c>
      <c r="U366" s="8">
        <v>0</v>
      </c>
      <c r="V366" s="20">
        <v>110</v>
      </c>
      <c r="W366" s="21" t="s">
        <v>16</v>
      </c>
    </row>
    <row r="367" spans="1:23" ht="48.75">
      <c r="A367" s="8" t="s">
        <v>2569</v>
      </c>
      <c r="B367" s="8" t="s">
        <v>394</v>
      </c>
      <c r="C367" s="8" t="s">
        <v>2197</v>
      </c>
      <c r="D367" s="8" t="s">
        <v>18</v>
      </c>
      <c r="E367" s="8" t="s">
        <v>16</v>
      </c>
      <c r="F367" s="8" t="s">
        <v>2198</v>
      </c>
      <c r="G367" s="8" t="s">
        <v>2566</v>
      </c>
      <c r="H367" s="8">
        <v>1265</v>
      </c>
      <c r="I367" s="8">
        <v>1000</v>
      </c>
      <c r="J367" s="8">
        <v>6050</v>
      </c>
      <c r="K367" s="9">
        <v>45072</v>
      </c>
      <c r="L367" s="9">
        <v>46813</v>
      </c>
      <c r="M367" s="8" t="s">
        <v>16</v>
      </c>
      <c r="P367" s="16" t="s">
        <v>388</v>
      </c>
      <c r="Q367" s="2" t="s">
        <v>38</v>
      </c>
      <c r="S367" s="8" t="s">
        <v>497</v>
      </c>
      <c r="T367" s="9">
        <v>46447</v>
      </c>
      <c r="U367" s="8">
        <v>0</v>
      </c>
      <c r="V367" s="20">
        <v>938</v>
      </c>
      <c r="W367" s="21" t="s">
        <v>16</v>
      </c>
    </row>
    <row r="368" spans="1:23" ht="60">
      <c r="A368" s="8" t="s">
        <v>2570</v>
      </c>
      <c r="B368" s="8" t="s">
        <v>395</v>
      </c>
      <c r="C368" s="8" t="s">
        <v>2197</v>
      </c>
      <c r="D368" s="8" t="s">
        <v>18</v>
      </c>
      <c r="E368" s="8" t="s">
        <v>16</v>
      </c>
      <c r="F368" s="8" t="s">
        <v>2198</v>
      </c>
      <c r="G368" s="8" t="s">
        <v>2566</v>
      </c>
      <c r="H368" s="8">
        <v>710</v>
      </c>
      <c r="I368" s="8">
        <v>10</v>
      </c>
      <c r="J368" s="8">
        <v>6031</v>
      </c>
      <c r="K368" s="9">
        <v>44347</v>
      </c>
      <c r="L368" s="9">
        <v>45931</v>
      </c>
      <c r="M368" s="8" t="s">
        <v>16</v>
      </c>
      <c r="P368" s="16" t="s">
        <v>389</v>
      </c>
      <c r="Q368" s="2" t="s">
        <v>38</v>
      </c>
      <c r="S368" s="8" t="s">
        <v>498</v>
      </c>
      <c r="T368" s="9" t="s">
        <v>2222</v>
      </c>
      <c r="U368" s="8">
        <v>0</v>
      </c>
      <c r="V368" s="20">
        <v>22</v>
      </c>
      <c r="W368" s="21" t="s">
        <v>38</v>
      </c>
    </row>
    <row r="369" spans="1:23" ht="60">
      <c r="A369" s="8" t="s">
        <v>2570</v>
      </c>
      <c r="B369" s="8" t="s">
        <v>395</v>
      </c>
      <c r="C369" s="8" t="s">
        <v>2197</v>
      </c>
      <c r="D369" s="8" t="s">
        <v>18</v>
      </c>
      <c r="E369" s="8" t="s">
        <v>16</v>
      </c>
      <c r="F369" s="8" t="s">
        <v>2198</v>
      </c>
      <c r="G369" s="8" t="s">
        <v>2566</v>
      </c>
      <c r="H369" s="8">
        <v>710</v>
      </c>
      <c r="I369" s="8">
        <v>700</v>
      </c>
      <c r="J369" s="8">
        <v>6036</v>
      </c>
      <c r="K369" s="9">
        <v>44867</v>
      </c>
      <c r="L369" s="9">
        <v>46054</v>
      </c>
      <c r="M369" s="8" t="s">
        <v>16</v>
      </c>
      <c r="P369" s="16" t="s">
        <v>390</v>
      </c>
      <c r="Q369" s="2" t="s">
        <v>38</v>
      </c>
      <c r="S369" s="8" t="s">
        <v>499</v>
      </c>
      <c r="T369" s="9">
        <v>46569</v>
      </c>
      <c r="U369" s="8">
        <v>0</v>
      </c>
      <c r="V369" s="20">
        <v>42</v>
      </c>
      <c r="W369" s="21" t="s">
        <v>16</v>
      </c>
    </row>
    <row r="370" spans="1:23" ht="75">
      <c r="A370" s="8" t="s">
        <v>2571</v>
      </c>
      <c r="B370" s="8" t="s">
        <v>396</v>
      </c>
      <c r="C370" s="8" t="s">
        <v>2303</v>
      </c>
      <c r="D370" s="8" t="s">
        <v>18</v>
      </c>
      <c r="E370" s="8" t="s">
        <v>16</v>
      </c>
      <c r="F370" s="8" t="s">
        <v>2228</v>
      </c>
      <c r="G370" s="8" t="s">
        <v>2572</v>
      </c>
      <c r="H370" s="8">
        <v>116</v>
      </c>
      <c r="I370" s="8">
        <v>116</v>
      </c>
      <c r="J370" s="8">
        <v>31117437</v>
      </c>
      <c r="K370" s="9">
        <v>45251</v>
      </c>
      <c r="L370" s="9">
        <v>47058</v>
      </c>
      <c r="M370" s="8" t="s">
        <v>16</v>
      </c>
      <c r="P370" s="16" t="s">
        <v>391</v>
      </c>
      <c r="Q370" s="2" t="s">
        <v>16</v>
      </c>
      <c r="S370" s="8" t="s">
        <v>499</v>
      </c>
      <c r="T370" s="9">
        <v>46692</v>
      </c>
      <c r="U370" s="8">
        <v>0</v>
      </c>
      <c r="V370" s="20">
        <v>2000</v>
      </c>
      <c r="W370" s="21" t="s">
        <v>16</v>
      </c>
    </row>
    <row r="371" spans="1:23" ht="75">
      <c r="A371" s="8" t="s">
        <v>2573</v>
      </c>
      <c r="B371" s="8" t="s">
        <v>397</v>
      </c>
      <c r="C371" s="8" t="s">
        <v>2197</v>
      </c>
      <c r="D371" s="8" t="s">
        <v>18</v>
      </c>
      <c r="E371" s="8" t="s">
        <v>16</v>
      </c>
      <c r="F371" s="8" t="s">
        <v>2228</v>
      </c>
      <c r="G371" s="8" t="s">
        <v>2572</v>
      </c>
      <c r="H371" s="8">
        <v>5459</v>
      </c>
      <c r="I371" s="8">
        <v>719</v>
      </c>
      <c r="J371" s="8">
        <v>31006390</v>
      </c>
      <c r="K371" s="9">
        <v>45251</v>
      </c>
      <c r="L371" s="9">
        <v>47027</v>
      </c>
      <c r="M371" s="8" t="s">
        <v>16</v>
      </c>
      <c r="P371" s="16" t="s">
        <v>391</v>
      </c>
      <c r="Q371" s="2" t="s">
        <v>16</v>
      </c>
      <c r="S371" s="8" t="s">
        <v>499</v>
      </c>
      <c r="T371" s="9">
        <v>46661</v>
      </c>
      <c r="U371" s="8">
        <v>0</v>
      </c>
      <c r="V371" s="20">
        <v>2200</v>
      </c>
      <c r="W371" s="21" t="s">
        <v>16</v>
      </c>
    </row>
    <row r="372" spans="1:23" ht="75">
      <c r="A372" s="8" t="s">
        <v>2573</v>
      </c>
      <c r="B372" s="8" t="s">
        <v>397</v>
      </c>
      <c r="C372" s="8" t="s">
        <v>2197</v>
      </c>
      <c r="D372" s="8" t="s">
        <v>18</v>
      </c>
      <c r="E372" s="8" t="s">
        <v>16</v>
      </c>
      <c r="F372" s="8" t="s">
        <v>2228</v>
      </c>
      <c r="G372" s="8" t="s">
        <v>2572</v>
      </c>
      <c r="H372" s="8">
        <v>5459</v>
      </c>
      <c r="I372" s="8">
        <v>980</v>
      </c>
      <c r="J372" s="8">
        <v>31116435</v>
      </c>
      <c r="K372" s="9">
        <v>45251</v>
      </c>
      <c r="L372" s="9">
        <v>47058</v>
      </c>
      <c r="M372" s="8" t="s">
        <v>16</v>
      </c>
      <c r="P372" s="16" t="s">
        <v>393</v>
      </c>
      <c r="Q372" s="2" t="s">
        <v>16</v>
      </c>
      <c r="S372" s="8" t="s">
        <v>503</v>
      </c>
      <c r="T372" s="9">
        <v>45962</v>
      </c>
      <c r="U372" s="8">
        <v>0</v>
      </c>
      <c r="V372" s="20">
        <v>1120</v>
      </c>
      <c r="W372" s="21" t="s">
        <v>16</v>
      </c>
    </row>
    <row r="373" spans="1:23" ht="75">
      <c r="A373" s="8" t="s">
        <v>2573</v>
      </c>
      <c r="B373" s="8" t="s">
        <v>397</v>
      </c>
      <c r="C373" s="8" t="s">
        <v>2197</v>
      </c>
      <c r="D373" s="8" t="s">
        <v>18</v>
      </c>
      <c r="E373" s="8" t="s">
        <v>16</v>
      </c>
      <c r="F373" s="8" t="s">
        <v>2228</v>
      </c>
      <c r="G373" s="8" t="s">
        <v>2572</v>
      </c>
      <c r="H373" s="8">
        <v>5459</v>
      </c>
      <c r="I373" s="8">
        <v>1760</v>
      </c>
      <c r="J373" s="8">
        <v>31116436</v>
      </c>
      <c r="K373" s="9">
        <v>45251</v>
      </c>
      <c r="L373" s="9">
        <v>47058</v>
      </c>
      <c r="M373" s="8" t="s">
        <v>16</v>
      </c>
      <c r="P373" s="16" t="s">
        <v>393</v>
      </c>
      <c r="Q373" s="2" t="s">
        <v>16</v>
      </c>
      <c r="S373" s="8" t="s">
        <v>505</v>
      </c>
      <c r="T373" s="9">
        <v>46661</v>
      </c>
      <c r="U373" s="8">
        <v>0</v>
      </c>
      <c r="V373" s="20">
        <v>585</v>
      </c>
      <c r="W373" s="21" t="s">
        <v>16</v>
      </c>
    </row>
    <row r="374" spans="1:23" ht="75">
      <c r="A374" s="8" t="s">
        <v>2573</v>
      </c>
      <c r="B374" s="8" t="s">
        <v>397</v>
      </c>
      <c r="C374" s="8" t="s">
        <v>2197</v>
      </c>
      <c r="D374" s="8" t="s">
        <v>18</v>
      </c>
      <c r="E374" s="8" t="s">
        <v>16</v>
      </c>
      <c r="F374" s="8" t="s">
        <v>2228</v>
      </c>
      <c r="G374" s="8" t="s">
        <v>2572</v>
      </c>
      <c r="H374" s="8">
        <v>5459</v>
      </c>
      <c r="I374" s="8">
        <v>2000</v>
      </c>
      <c r="J374" s="8">
        <v>31006391</v>
      </c>
      <c r="K374" s="9">
        <v>45251</v>
      </c>
      <c r="L374" s="9">
        <v>47027</v>
      </c>
      <c r="M374" s="8" t="s">
        <v>16</v>
      </c>
      <c r="P374" s="16" t="s">
        <v>393</v>
      </c>
      <c r="Q374" s="2" t="s">
        <v>16</v>
      </c>
      <c r="S374" s="8" t="s">
        <v>507</v>
      </c>
      <c r="T374" s="9">
        <v>47058</v>
      </c>
      <c r="U374" s="8">
        <v>0</v>
      </c>
      <c r="V374" s="20">
        <v>1000</v>
      </c>
      <c r="W374" s="21" t="s">
        <v>16</v>
      </c>
    </row>
    <row r="375" spans="1:23" ht="75">
      <c r="A375" s="8" t="s">
        <v>2574</v>
      </c>
      <c r="B375" s="8" t="s">
        <v>398</v>
      </c>
      <c r="C375" s="8" t="s">
        <v>2197</v>
      </c>
      <c r="D375" s="8" t="s">
        <v>18</v>
      </c>
      <c r="E375" s="8" t="s">
        <v>16</v>
      </c>
      <c r="F375" s="8" t="s">
        <v>2228</v>
      </c>
      <c r="G375" s="8" t="s">
        <v>2572</v>
      </c>
      <c r="H375" s="8">
        <v>717</v>
      </c>
      <c r="I375" s="8">
        <v>1</v>
      </c>
      <c r="J375" s="8">
        <v>31004388</v>
      </c>
      <c r="K375" s="9">
        <v>45208</v>
      </c>
      <c r="L375" s="9">
        <v>47027</v>
      </c>
      <c r="M375" s="8" t="s">
        <v>16</v>
      </c>
      <c r="P375" s="16" t="s">
        <v>394</v>
      </c>
      <c r="Q375" s="2" t="s">
        <v>16</v>
      </c>
      <c r="S375" s="8" t="s">
        <v>507</v>
      </c>
      <c r="T375" s="9">
        <v>47088</v>
      </c>
      <c r="U375" s="8">
        <v>0</v>
      </c>
      <c r="V375" s="20">
        <v>3000</v>
      </c>
      <c r="W375" s="21" t="s">
        <v>16</v>
      </c>
    </row>
    <row r="376" spans="1:23" ht="75">
      <c r="A376" s="8" t="s">
        <v>2574</v>
      </c>
      <c r="B376" s="8" t="s">
        <v>398</v>
      </c>
      <c r="C376" s="8" t="s">
        <v>2197</v>
      </c>
      <c r="D376" s="8" t="s">
        <v>18</v>
      </c>
      <c r="E376" s="8" t="s">
        <v>16</v>
      </c>
      <c r="F376" s="8" t="s">
        <v>2228</v>
      </c>
      <c r="G376" s="8" t="s">
        <v>2572</v>
      </c>
      <c r="H376" s="8">
        <v>717</v>
      </c>
      <c r="I376" s="8">
        <v>16</v>
      </c>
      <c r="J376" s="8">
        <v>31006390</v>
      </c>
      <c r="K376" s="9">
        <v>45251</v>
      </c>
      <c r="L376" s="9">
        <v>47027</v>
      </c>
      <c r="M376" s="8" t="s">
        <v>16</v>
      </c>
      <c r="P376" s="16" t="s">
        <v>394</v>
      </c>
      <c r="Q376" s="2" t="s">
        <v>16</v>
      </c>
      <c r="S376" s="8" t="s">
        <v>508</v>
      </c>
      <c r="T376" s="9">
        <v>47119</v>
      </c>
      <c r="U376" s="8">
        <v>0</v>
      </c>
      <c r="V376" s="20">
        <v>680</v>
      </c>
      <c r="W376" s="21" t="s">
        <v>16</v>
      </c>
    </row>
    <row r="377" spans="1:23" ht="75">
      <c r="A377" s="8" t="s">
        <v>2574</v>
      </c>
      <c r="B377" s="8" t="s">
        <v>398</v>
      </c>
      <c r="C377" s="8" t="s">
        <v>2197</v>
      </c>
      <c r="D377" s="8" t="s">
        <v>18</v>
      </c>
      <c r="E377" s="8" t="s">
        <v>16</v>
      </c>
      <c r="F377" s="8" t="s">
        <v>2228</v>
      </c>
      <c r="G377" s="8" t="s">
        <v>2572</v>
      </c>
      <c r="H377" s="8">
        <v>717</v>
      </c>
      <c r="I377" s="8">
        <v>300</v>
      </c>
      <c r="J377" s="8">
        <v>31006392</v>
      </c>
      <c r="K377" s="9">
        <v>45251</v>
      </c>
      <c r="L377" s="9">
        <v>47027</v>
      </c>
      <c r="M377" s="8" t="s">
        <v>16</v>
      </c>
      <c r="P377" s="16" t="s">
        <v>394</v>
      </c>
      <c r="Q377" s="2" t="s">
        <v>16</v>
      </c>
      <c r="S377" s="8" t="s">
        <v>508</v>
      </c>
      <c r="T377" s="9">
        <v>47058</v>
      </c>
      <c r="U377" s="8">
        <v>0</v>
      </c>
      <c r="V377" s="20">
        <v>1920</v>
      </c>
      <c r="W377" s="21" t="s">
        <v>16</v>
      </c>
    </row>
    <row r="378" spans="1:23" ht="75">
      <c r="A378" s="8" t="s">
        <v>2574</v>
      </c>
      <c r="B378" s="8" t="s">
        <v>398</v>
      </c>
      <c r="C378" s="8" t="s">
        <v>2197</v>
      </c>
      <c r="D378" s="8" t="s">
        <v>18</v>
      </c>
      <c r="E378" s="8" t="s">
        <v>16</v>
      </c>
      <c r="F378" s="8" t="s">
        <v>2228</v>
      </c>
      <c r="G378" s="8" t="s">
        <v>2572</v>
      </c>
      <c r="H378" s="8">
        <v>717</v>
      </c>
      <c r="I378" s="8">
        <v>400</v>
      </c>
      <c r="J378" s="8">
        <v>31011404</v>
      </c>
      <c r="K378" s="9">
        <v>45251</v>
      </c>
      <c r="L378" s="9">
        <v>47027</v>
      </c>
      <c r="M378" s="8" t="s">
        <v>16</v>
      </c>
      <c r="P378" s="16" t="s">
        <v>395</v>
      </c>
      <c r="Q378" s="2" t="s">
        <v>16</v>
      </c>
      <c r="S378" s="8" t="s">
        <v>508</v>
      </c>
      <c r="T378" s="9">
        <v>47088</v>
      </c>
      <c r="U378" s="8">
        <v>0</v>
      </c>
      <c r="V378" s="20">
        <v>4000</v>
      </c>
      <c r="W378" s="21" t="s">
        <v>16</v>
      </c>
    </row>
    <row r="379" spans="1:23" ht="75">
      <c r="A379" s="8" t="s">
        <v>2575</v>
      </c>
      <c r="B379" s="8" t="s">
        <v>399</v>
      </c>
      <c r="C379" s="8" t="s">
        <v>2221</v>
      </c>
      <c r="D379" s="8" t="s">
        <v>18</v>
      </c>
      <c r="E379" s="8" t="s">
        <v>43</v>
      </c>
      <c r="F379" s="8" t="s">
        <v>2217</v>
      </c>
      <c r="G379" s="8" t="s">
        <v>2217</v>
      </c>
      <c r="H379" s="8">
        <v>13450</v>
      </c>
      <c r="I379" s="8">
        <v>13450</v>
      </c>
      <c r="J379" s="8">
        <v>0</v>
      </c>
      <c r="K379" s="9">
        <v>44387</v>
      </c>
      <c r="L379" s="9">
        <v>44387</v>
      </c>
      <c r="M379" s="8" t="s">
        <v>43</v>
      </c>
      <c r="P379" s="16" t="s">
        <v>395</v>
      </c>
      <c r="Q379" s="2" t="s">
        <v>16</v>
      </c>
      <c r="S379" s="8" t="s">
        <v>509</v>
      </c>
      <c r="T379" s="9">
        <v>45748</v>
      </c>
      <c r="U379" s="8">
        <v>0</v>
      </c>
      <c r="V379" s="20">
        <v>2190</v>
      </c>
      <c r="W379" s="21" t="s">
        <v>16</v>
      </c>
    </row>
    <row r="380" spans="1:23" ht="75">
      <c r="A380" s="8" t="s">
        <v>2576</v>
      </c>
      <c r="B380" s="8" t="s">
        <v>400</v>
      </c>
      <c r="C380" s="8" t="s">
        <v>2221</v>
      </c>
      <c r="D380" s="8" t="s">
        <v>18</v>
      </c>
      <c r="E380" s="8" t="s">
        <v>43</v>
      </c>
      <c r="F380" s="8" t="s">
        <v>2217</v>
      </c>
      <c r="G380" s="8" t="s">
        <v>2217</v>
      </c>
      <c r="H380" s="8">
        <v>2600</v>
      </c>
      <c r="I380" s="8">
        <v>2600</v>
      </c>
      <c r="J380" s="8">
        <v>0</v>
      </c>
      <c r="K380" s="9">
        <v>44160</v>
      </c>
      <c r="L380" s="8" t="s">
        <v>2222</v>
      </c>
      <c r="M380" s="8" t="s">
        <v>43</v>
      </c>
      <c r="P380" s="17" t="s">
        <v>396</v>
      </c>
      <c r="Q380" s="2" t="s">
        <v>16</v>
      </c>
      <c r="S380" s="8" t="s">
        <v>511</v>
      </c>
      <c r="T380" s="9">
        <v>45627</v>
      </c>
      <c r="U380" s="8">
        <v>0</v>
      </c>
      <c r="V380" s="20">
        <v>75</v>
      </c>
      <c r="W380" s="21" t="s">
        <v>16</v>
      </c>
    </row>
    <row r="381" spans="1:23" ht="45">
      <c r="A381" s="8" t="s">
        <v>2577</v>
      </c>
      <c r="B381" s="8" t="s">
        <v>401</v>
      </c>
      <c r="C381" s="8" t="s">
        <v>2221</v>
      </c>
      <c r="D381" s="8" t="s">
        <v>18</v>
      </c>
      <c r="E381" s="8" t="s">
        <v>43</v>
      </c>
      <c r="F381" s="8" t="s">
        <v>2217</v>
      </c>
      <c r="G381" s="8" t="s">
        <v>2217</v>
      </c>
      <c r="H381" s="8">
        <v>33119</v>
      </c>
      <c r="I381" s="8">
        <v>33119</v>
      </c>
      <c r="J381" s="8">
        <v>0</v>
      </c>
      <c r="K381" s="9">
        <v>44758</v>
      </c>
      <c r="L381" s="8" t="s">
        <v>2222</v>
      </c>
      <c r="M381" s="8" t="s">
        <v>43</v>
      </c>
      <c r="P381" s="17" t="s">
        <v>397</v>
      </c>
      <c r="Q381" s="2" t="s">
        <v>16</v>
      </c>
      <c r="S381" s="8" t="s">
        <v>513</v>
      </c>
      <c r="T381" s="9">
        <v>46600</v>
      </c>
      <c r="U381" s="8">
        <v>0</v>
      </c>
      <c r="V381" s="20">
        <v>780</v>
      </c>
      <c r="W381" s="21" t="s">
        <v>16</v>
      </c>
    </row>
    <row r="382" spans="1:23" ht="60">
      <c r="A382" s="8" t="s">
        <v>2578</v>
      </c>
      <c r="B382" s="8" t="s">
        <v>402</v>
      </c>
      <c r="C382" s="8" t="s">
        <v>2221</v>
      </c>
      <c r="D382" s="8" t="s">
        <v>18</v>
      </c>
      <c r="E382" s="8" t="s">
        <v>43</v>
      </c>
      <c r="F382" s="8" t="s">
        <v>2217</v>
      </c>
      <c r="G382" s="8" t="s">
        <v>2217</v>
      </c>
      <c r="H382" s="8">
        <v>34047</v>
      </c>
      <c r="I382" s="8">
        <v>34047</v>
      </c>
      <c r="J382" s="8">
        <v>0</v>
      </c>
      <c r="K382" s="9">
        <v>44758</v>
      </c>
      <c r="L382" s="8" t="s">
        <v>2222</v>
      </c>
      <c r="M382" s="8" t="s">
        <v>43</v>
      </c>
      <c r="P382" s="17" t="s">
        <v>397</v>
      </c>
      <c r="Q382" s="2" t="s">
        <v>16</v>
      </c>
      <c r="S382" s="8" t="s">
        <v>515</v>
      </c>
      <c r="T382" s="9">
        <v>46357</v>
      </c>
      <c r="U382" s="8">
        <v>0</v>
      </c>
      <c r="V382" s="20">
        <v>250</v>
      </c>
      <c r="W382" s="21" t="s">
        <v>16</v>
      </c>
    </row>
    <row r="383" spans="1:23" ht="60">
      <c r="A383" s="8" t="s">
        <v>2579</v>
      </c>
      <c r="B383" s="8" t="s">
        <v>403</v>
      </c>
      <c r="C383" s="8" t="s">
        <v>2221</v>
      </c>
      <c r="D383" s="8" t="s">
        <v>18</v>
      </c>
      <c r="E383" s="8" t="s">
        <v>43</v>
      </c>
      <c r="F383" s="8" t="s">
        <v>2217</v>
      </c>
      <c r="G383" s="8" t="s">
        <v>2217</v>
      </c>
      <c r="H383" s="8">
        <v>12400</v>
      </c>
      <c r="I383" s="8">
        <v>12400</v>
      </c>
      <c r="J383" s="8">
        <v>0</v>
      </c>
      <c r="K383" s="8" t="s">
        <v>2222</v>
      </c>
      <c r="L383" s="8" t="s">
        <v>2222</v>
      </c>
      <c r="M383" s="8" t="s">
        <v>43</v>
      </c>
      <c r="P383" s="17" t="s">
        <v>397</v>
      </c>
      <c r="Q383" s="2" t="s">
        <v>16</v>
      </c>
      <c r="S383" s="8" t="s">
        <v>517</v>
      </c>
      <c r="T383" s="9">
        <v>46419</v>
      </c>
      <c r="U383" s="8">
        <v>0</v>
      </c>
      <c r="V383" s="20">
        <v>299</v>
      </c>
      <c r="W383" s="21" t="s">
        <v>16</v>
      </c>
    </row>
    <row r="384" spans="1:23" ht="45">
      <c r="A384" s="8" t="s">
        <v>2580</v>
      </c>
      <c r="B384" s="8" t="s">
        <v>404</v>
      </c>
      <c r="C384" s="8" t="s">
        <v>2221</v>
      </c>
      <c r="D384" s="8" t="s">
        <v>18</v>
      </c>
      <c r="E384" s="8" t="s">
        <v>43</v>
      </c>
      <c r="F384" s="8" t="s">
        <v>2217</v>
      </c>
      <c r="G384" s="8" t="s">
        <v>2217</v>
      </c>
      <c r="H384" s="8">
        <v>20</v>
      </c>
      <c r="I384" s="8">
        <v>20</v>
      </c>
      <c r="J384" s="8">
        <v>0</v>
      </c>
      <c r="K384" s="9">
        <v>44162</v>
      </c>
      <c r="L384" s="8" t="s">
        <v>2222</v>
      </c>
      <c r="M384" s="8" t="s">
        <v>43</v>
      </c>
      <c r="P384" s="17" t="s">
        <v>397</v>
      </c>
      <c r="Q384" s="2" t="s">
        <v>16</v>
      </c>
      <c r="S384" s="8" t="s">
        <v>519</v>
      </c>
      <c r="T384" s="9">
        <v>45689</v>
      </c>
      <c r="U384" s="8">
        <v>0</v>
      </c>
      <c r="V384" s="20">
        <v>12</v>
      </c>
      <c r="W384" s="21" t="s">
        <v>16</v>
      </c>
    </row>
    <row r="385" spans="1:23" ht="45">
      <c r="A385" s="8" t="s">
        <v>2581</v>
      </c>
      <c r="B385" s="8" t="s">
        <v>405</v>
      </c>
      <c r="C385" s="8" t="s">
        <v>2221</v>
      </c>
      <c r="D385" s="8" t="s">
        <v>18</v>
      </c>
      <c r="E385" s="8" t="s">
        <v>273</v>
      </c>
      <c r="F385" s="8" t="s">
        <v>2217</v>
      </c>
      <c r="G385" s="8" t="s">
        <v>2217</v>
      </c>
      <c r="H385" s="8">
        <v>20</v>
      </c>
      <c r="I385" s="8">
        <v>20</v>
      </c>
      <c r="J385" s="8">
        <v>0</v>
      </c>
      <c r="K385" s="9">
        <v>44646</v>
      </c>
      <c r="L385" s="8" t="s">
        <v>2222</v>
      </c>
      <c r="M385" s="8" t="s">
        <v>43</v>
      </c>
      <c r="P385" s="17" t="s">
        <v>398</v>
      </c>
      <c r="Q385" s="2" t="s">
        <v>16</v>
      </c>
      <c r="S385" s="8" t="s">
        <v>519</v>
      </c>
      <c r="T385" s="9">
        <v>45748</v>
      </c>
      <c r="U385" s="8">
        <v>0</v>
      </c>
      <c r="V385" s="20">
        <v>3480</v>
      </c>
      <c r="W385" s="21" t="s">
        <v>16</v>
      </c>
    </row>
    <row r="386" spans="1:23" ht="60">
      <c r="A386" s="8" t="s">
        <v>2582</v>
      </c>
      <c r="B386" s="8" t="s">
        <v>406</v>
      </c>
      <c r="C386" s="8" t="s">
        <v>2221</v>
      </c>
      <c r="D386" s="8" t="s">
        <v>18</v>
      </c>
      <c r="E386" s="8" t="s">
        <v>2217</v>
      </c>
      <c r="F386" s="8" t="s">
        <v>2217</v>
      </c>
      <c r="G386" s="8" t="s">
        <v>2217</v>
      </c>
      <c r="H386" s="8">
        <v>5</v>
      </c>
      <c r="I386" s="8">
        <v>5</v>
      </c>
      <c r="J386" s="8">
        <v>0</v>
      </c>
      <c r="K386" s="9">
        <v>45300</v>
      </c>
      <c r="L386" s="8" t="s">
        <v>2222</v>
      </c>
      <c r="M386" s="8" t="s">
        <v>43</v>
      </c>
      <c r="P386" s="17" t="s">
        <v>398</v>
      </c>
      <c r="Q386" s="2" t="s">
        <v>16</v>
      </c>
      <c r="S386" s="8" t="s">
        <v>522</v>
      </c>
      <c r="T386" s="9">
        <v>45689</v>
      </c>
      <c r="U386" s="8">
        <v>0</v>
      </c>
      <c r="V386" s="20">
        <v>3476</v>
      </c>
      <c r="W386" s="21" t="s">
        <v>16</v>
      </c>
    </row>
    <row r="387" spans="1:23" ht="45">
      <c r="A387" s="8" t="s">
        <v>2583</v>
      </c>
      <c r="B387" s="8" t="s">
        <v>407</v>
      </c>
      <c r="C387" s="8" t="s">
        <v>2221</v>
      </c>
      <c r="D387" s="8" t="s">
        <v>18</v>
      </c>
      <c r="E387" s="8" t="s">
        <v>43</v>
      </c>
      <c r="F387" s="8" t="s">
        <v>2217</v>
      </c>
      <c r="G387" s="8" t="s">
        <v>2217</v>
      </c>
      <c r="H387" s="8">
        <v>1302</v>
      </c>
      <c r="I387" s="8">
        <v>1302</v>
      </c>
      <c r="J387" s="8">
        <v>0</v>
      </c>
      <c r="K387" s="8" t="s">
        <v>2222</v>
      </c>
      <c r="L387" s="8" t="s">
        <v>2222</v>
      </c>
      <c r="M387" s="8" t="s">
        <v>43</v>
      </c>
      <c r="P387" s="17" t="s">
        <v>398</v>
      </c>
      <c r="Q387" s="2" t="s">
        <v>16</v>
      </c>
      <c r="S387" s="8" t="s">
        <v>526</v>
      </c>
      <c r="T387" s="9">
        <v>46388</v>
      </c>
      <c r="U387" s="8">
        <v>0</v>
      </c>
      <c r="V387" s="20">
        <v>310</v>
      </c>
      <c r="W387" s="21" t="s">
        <v>16</v>
      </c>
    </row>
    <row r="388" spans="1:23" ht="45">
      <c r="A388" s="8" t="s">
        <v>2584</v>
      </c>
      <c r="B388" s="8" t="s">
        <v>408</v>
      </c>
      <c r="C388" s="8" t="s">
        <v>2221</v>
      </c>
      <c r="D388" s="8" t="s">
        <v>18</v>
      </c>
      <c r="E388" s="8" t="s">
        <v>43</v>
      </c>
      <c r="F388" s="8" t="s">
        <v>2217</v>
      </c>
      <c r="G388" s="8" t="s">
        <v>2217</v>
      </c>
      <c r="H388" s="8">
        <v>2235</v>
      </c>
      <c r="I388" s="8">
        <v>2235</v>
      </c>
      <c r="J388" s="8">
        <v>0</v>
      </c>
      <c r="K388" s="9">
        <v>44162</v>
      </c>
      <c r="L388" s="8" t="s">
        <v>2222</v>
      </c>
      <c r="M388" s="8" t="s">
        <v>43</v>
      </c>
      <c r="P388" s="17" t="s">
        <v>398</v>
      </c>
      <c r="Q388" s="2" t="s">
        <v>16</v>
      </c>
      <c r="S388" s="8" t="s">
        <v>527</v>
      </c>
      <c r="T388" s="9">
        <v>46023</v>
      </c>
      <c r="U388" s="8">
        <v>0</v>
      </c>
      <c r="V388" s="20">
        <v>80</v>
      </c>
      <c r="W388" s="21" t="s">
        <v>16</v>
      </c>
    </row>
    <row r="389" spans="1:23" ht="60">
      <c r="A389" s="8" t="s">
        <v>2588</v>
      </c>
      <c r="B389" s="8" t="s">
        <v>410</v>
      </c>
      <c r="C389" s="8" t="s">
        <v>2203</v>
      </c>
      <c r="D389" s="8" t="s">
        <v>18</v>
      </c>
      <c r="E389" s="8" t="s">
        <v>16</v>
      </c>
      <c r="F389" s="8" t="s">
        <v>2198</v>
      </c>
      <c r="G389" s="8" t="s">
        <v>2589</v>
      </c>
      <c r="H389" s="8">
        <v>273</v>
      </c>
      <c r="I389" s="8">
        <v>80</v>
      </c>
      <c r="J389" s="10">
        <v>323000000000</v>
      </c>
      <c r="K389" s="9">
        <v>44959</v>
      </c>
      <c r="L389" s="9">
        <v>46722</v>
      </c>
      <c r="M389" s="8" t="s">
        <v>16</v>
      </c>
      <c r="P389" s="16" t="s">
        <v>399</v>
      </c>
      <c r="Q389" s="2" t="s">
        <v>43</v>
      </c>
      <c r="S389" s="8" t="s">
        <v>527</v>
      </c>
      <c r="T389" s="9">
        <v>45809</v>
      </c>
      <c r="U389" s="8">
        <v>0</v>
      </c>
      <c r="V389" s="20">
        <v>1040</v>
      </c>
      <c r="W389" s="21" t="s">
        <v>16</v>
      </c>
    </row>
    <row r="390" spans="1:23" ht="60">
      <c r="A390" s="8" t="s">
        <v>2588</v>
      </c>
      <c r="B390" s="8" t="s">
        <v>410</v>
      </c>
      <c r="C390" s="8" t="s">
        <v>2203</v>
      </c>
      <c r="D390" s="8" t="s">
        <v>18</v>
      </c>
      <c r="E390" s="8" t="s">
        <v>16</v>
      </c>
      <c r="F390" s="8" t="s">
        <v>2198</v>
      </c>
      <c r="G390" s="8" t="s">
        <v>2589</v>
      </c>
      <c r="H390" s="8">
        <v>273</v>
      </c>
      <c r="I390" s="8">
        <v>193</v>
      </c>
      <c r="J390" s="10">
        <v>313000000000</v>
      </c>
      <c r="K390" s="9">
        <v>45146</v>
      </c>
      <c r="L390" s="9">
        <v>46692</v>
      </c>
      <c r="M390" s="8" t="s">
        <v>16</v>
      </c>
      <c r="P390" s="16" t="s">
        <v>400</v>
      </c>
      <c r="Q390" s="2" t="s">
        <v>43</v>
      </c>
      <c r="S390" s="8" t="s">
        <v>530</v>
      </c>
      <c r="T390" s="9">
        <v>46113</v>
      </c>
      <c r="U390" s="8">
        <v>0</v>
      </c>
      <c r="V390" s="20">
        <v>5</v>
      </c>
      <c r="W390" s="21" t="s">
        <v>16</v>
      </c>
    </row>
    <row r="391" spans="1:23" ht="45">
      <c r="A391" s="8" t="s">
        <v>2590</v>
      </c>
      <c r="B391" s="8" t="s">
        <v>411</v>
      </c>
      <c r="C391" s="8" t="s">
        <v>2221</v>
      </c>
      <c r="D391" s="8" t="s">
        <v>18</v>
      </c>
      <c r="E391" s="8" t="s">
        <v>101</v>
      </c>
      <c r="F391" s="8" t="s">
        <v>2498</v>
      </c>
      <c r="G391" s="8" t="s">
        <v>2591</v>
      </c>
      <c r="H391" s="8">
        <v>5</v>
      </c>
      <c r="I391" s="8">
        <v>5</v>
      </c>
      <c r="J391" s="8">
        <v>0</v>
      </c>
      <c r="K391" s="9">
        <v>44146</v>
      </c>
      <c r="L391" s="8" t="s">
        <v>2222</v>
      </c>
      <c r="M391" s="8" t="s">
        <v>41</v>
      </c>
      <c r="P391" s="16" t="s">
        <v>401</v>
      </c>
      <c r="Q391" s="2" t="s">
        <v>43</v>
      </c>
      <c r="S391" s="8" t="s">
        <v>530</v>
      </c>
      <c r="T391" s="9">
        <v>47027</v>
      </c>
      <c r="U391" s="8">
        <v>0</v>
      </c>
      <c r="V391" s="20">
        <v>40</v>
      </c>
      <c r="W391" s="21" t="s">
        <v>16</v>
      </c>
    </row>
    <row r="392" spans="1:23" ht="45">
      <c r="A392" s="8" t="s">
        <v>2617</v>
      </c>
      <c r="B392" s="8" t="s">
        <v>427</v>
      </c>
      <c r="C392" s="8" t="s">
        <v>2197</v>
      </c>
      <c r="D392" s="8" t="s">
        <v>18</v>
      </c>
      <c r="E392" s="8" t="s">
        <v>16</v>
      </c>
      <c r="F392" s="8" t="s">
        <v>2204</v>
      </c>
      <c r="G392" s="8" t="s">
        <v>2618</v>
      </c>
      <c r="H392" s="8">
        <v>3961</v>
      </c>
      <c r="I392" s="8">
        <v>2</v>
      </c>
      <c r="J392" s="8" t="s">
        <v>428</v>
      </c>
      <c r="K392" s="9">
        <v>44949</v>
      </c>
      <c r="L392" s="9">
        <v>45870</v>
      </c>
      <c r="M392" s="8" t="s">
        <v>16</v>
      </c>
      <c r="P392" s="16" t="s">
        <v>402</v>
      </c>
      <c r="Q392" s="2" t="s">
        <v>43</v>
      </c>
      <c r="S392" s="8" t="s">
        <v>530</v>
      </c>
      <c r="T392" s="9">
        <v>47088</v>
      </c>
      <c r="U392" s="8">
        <v>0</v>
      </c>
      <c r="V392" s="20">
        <v>3600</v>
      </c>
      <c r="W392" s="21" t="s">
        <v>16</v>
      </c>
    </row>
    <row r="393" spans="1:23" ht="45">
      <c r="A393" s="8" t="s">
        <v>2617</v>
      </c>
      <c r="B393" s="8" t="s">
        <v>427</v>
      </c>
      <c r="C393" s="8" t="s">
        <v>2197</v>
      </c>
      <c r="D393" s="8" t="s">
        <v>18</v>
      </c>
      <c r="E393" s="8" t="s">
        <v>16</v>
      </c>
      <c r="F393" s="8" t="s">
        <v>2204</v>
      </c>
      <c r="G393" s="8" t="s">
        <v>2618</v>
      </c>
      <c r="H393" s="8">
        <v>3961</v>
      </c>
      <c r="I393" s="8">
        <v>4</v>
      </c>
      <c r="J393" s="8" t="s">
        <v>429</v>
      </c>
      <c r="K393" s="9">
        <v>45356</v>
      </c>
      <c r="L393" s="9">
        <v>46082</v>
      </c>
      <c r="M393" s="8" t="s">
        <v>16</v>
      </c>
      <c r="P393" s="16" t="s">
        <v>403</v>
      </c>
      <c r="Q393" s="2" t="s">
        <v>43</v>
      </c>
      <c r="S393" s="8" t="s">
        <v>534</v>
      </c>
      <c r="T393" s="9" t="s">
        <v>2222</v>
      </c>
      <c r="U393" s="8">
        <v>0</v>
      </c>
      <c r="V393" s="20">
        <v>32</v>
      </c>
      <c r="W393" s="21" t="s">
        <v>16</v>
      </c>
    </row>
    <row r="394" spans="1:23" ht="60">
      <c r="A394" s="8" t="s">
        <v>2617</v>
      </c>
      <c r="B394" s="8" t="s">
        <v>427</v>
      </c>
      <c r="C394" s="8" t="s">
        <v>2197</v>
      </c>
      <c r="D394" s="8" t="s">
        <v>18</v>
      </c>
      <c r="E394" s="8" t="s">
        <v>16</v>
      </c>
      <c r="F394" s="8" t="s">
        <v>2204</v>
      </c>
      <c r="G394" s="8" t="s">
        <v>2618</v>
      </c>
      <c r="H394" s="8">
        <v>3961</v>
      </c>
      <c r="I394" s="8">
        <v>5</v>
      </c>
      <c r="J394" s="8" t="s">
        <v>430</v>
      </c>
      <c r="K394" s="9">
        <v>44949</v>
      </c>
      <c r="L394" s="9">
        <v>45870</v>
      </c>
      <c r="M394" s="8" t="s">
        <v>16</v>
      </c>
      <c r="P394" s="16" t="s">
        <v>404</v>
      </c>
      <c r="Q394" s="2" t="s">
        <v>43</v>
      </c>
      <c r="S394" s="8" t="s">
        <v>535</v>
      </c>
      <c r="T394" s="9">
        <v>45474</v>
      </c>
      <c r="U394" s="8">
        <v>0</v>
      </c>
      <c r="V394" s="20">
        <v>648</v>
      </c>
      <c r="W394" s="21" t="s">
        <v>16</v>
      </c>
    </row>
    <row r="395" spans="1:23" ht="45">
      <c r="A395" s="8" t="s">
        <v>2617</v>
      </c>
      <c r="B395" s="8" t="s">
        <v>427</v>
      </c>
      <c r="C395" s="8" t="s">
        <v>2197</v>
      </c>
      <c r="D395" s="8" t="s">
        <v>18</v>
      </c>
      <c r="E395" s="8" t="s">
        <v>16</v>
      </c>
      <c r="F395" s="8" t="s">
        <v>2204</v>
      </c>
      <c r="G395" s="8" t="s">
        <v>2618</v>
      </c>
      <c r="H395" s="8">
        <v>3961</v>
      </c>
      <c r="I395" s="8">
        <v>18</v>
      </c>
      <c r="J395" s="8" t="s">
        <v>431</v>
      </c>
      <c r="K395" s="9">
        <v>44961</v>
      </c>
      <c r="L395" s="9">
        <v>45870</v>
      </c>
      <c r="M395" s="8" t="s">
        <v>16</v>
      </c>
      <c r="P395" s="16" t="s">
        <v>405</v>
      </c>
      <c r="Q395" s="2" t="s">
        <v>43</v>
      </c>
      <c r="S395" s="8" t="s">
        <v>536</v>
      </c>
      <c r="T395" s="9">
        <v>45474</v>
      </c>
      <c r="U395" s="8">
        <v>0</v>
      </c>
      <c r="V395" s="20">
        <v>9</v>
      </c>
      <c r="W395" s="21" t="s">
        <v>16</v>
      </c>
    </row>
    <row r="396" spans="1:23" ht="48.75">
      <c r="A396" s="8" t="s">
        <v>2617</v>
      </c>
      <c r="B396" s="8" t="s">
        <v>427</v>
      </c>
      <c r="C396" s="8" t="s">
        <v>2197</v>
      </c>
      <c r="D396" s="8" t="s">
        <v>18</v>
      </c>
      <c r="E396" s="8" t="s">
        <v>16</v>
      </c>
      <c r="F396" s="8" t="s">
        <v>2204</v>
      </c>
      <c r="G396" s="8" t="s">
        <v>2618</v>
      </c>
      <c r="H396" s="8">
        <v>3961</v>
      </c>
      <c r="I396" s="8">
        <v>20</v>
      </c>
      <c r="J396" s="8" t="s">
        <v>432</v>
      </c>
      <c r="K396" s="9">
        <v>45282</v>
      </c>
      <c r="L396" s="9">
        <v>46082</v>
      </c>
      <c r="M396" s="8" t="s">
        <v>16</v>
      </c>
      <c r="P396" s="16" t="s">
        <v>406</v>
      </c>
      <c r="Q396" s="2" t="s">
        <v>43</v>
      </c>
      <c r="S396" s="8" t="s">
        <v>536</v>
      </c>
      <c r="T396" s="9">
        <v>45689</v>
      </c>
      <c r="U396" s="8">
        <v>0</v>
      </c>
      <c r="V396" s="20">
        <v>210</v>
      </c>
      <c r="W396" s="21" t="s">
        <v>16</v>
      </c>
    </row>
    <row r="397" spans="1:23" ht="45">
      <c r="A397" s="8" t="s">
        <v>2617</v>
      </c>
      <c r="B397" s="8" t="s">
        <v>427</v>
      </c>
      <c r="C397" s="8" t="s">
        <v>2197</v>
      </c>
      <c r="D397" s="8" t="s">
        <v>18</v>
      </c>
      <c r="E397" s="8" t="s">
        <v>16</v>
      </c>
      <c r="F397" s="8" t="s">
        <v>2204</v>
      </c>
      <c r="G397" s="8" t="s">
        <v>2618</v>
      </c>
      <c r="H397" s="8">
        <v>3961</v>
      </c>
      <c r="I397" s="8">
        <v>3912</v>
      </c>
      <c r="J397" s="8" t="s">
        <v>433</v>
      </c>
      <c r="K397" s="9">
        <v>45379</v>
      </c>
      <c r="L397" s="9">
        <v>46082</v>
      </c>
      <c r="M397" s="8" t="s">
        <v>16</v>
      </c>
      <c r="P397" s="16" t="s">
        <v>407</v>
      </c>
      <c r="Q397" s="2" t="s">
        <v>43</v>
      </c>
      <c r="S397" s="8" t="s">
        <v>537</v>
      </c>
      <c r="T397" s="9">
        <v>45931</v>
      </c>
      <c r="U397" s="8">
        <v>0</v>
      </c>
      <c r="V397" s="20">
        <v>90</v>
      </c>
      <c r="W397" s="21" t="s">
        <v>16</v>
      </c>
    </row>
    <row r="398" spans="1:23" ht="45">
      <c r="A398" s="8" t="s">
        <v>2619</v>
      </c>
      <c r="B398" s="8" t="s">
        <v>434</v>
      </c>
      <c r="C398" s="8" t="s">
        <v>2197</v>
      </c>
      <c r="D398" s="8" t="s">
        <v>18</v>
      </c>
      <c r="E398" s="8" t="s">
        <v>16</v>
      </c>
      <c r="F398" s="8" t="s">
        <v>2204</v>
      </c>
      <c r="G398" s="8" t="s">
        <v>2618</v>
      </c>
      <c r="H398" s="8">
        <v>1372</v>
      </c>
      <c r="I398" s="8">
        <v>28</v>
      </c>
      <c r="J398" s="8" t="s">
        <v>435</v>
      </c>
      <c r="K398" s="9">
        <v>45201</v>
      </c>
      <c r="L398" s="9">
        <v>46023</v>
      </c>
      <c r="M398" s="8" t="s">
        <v>16</v>
      </c>
      <c r="P398" s="16" t="s">
        <v>408</v>
      </c>
      <c r="Q398" s="2" t="s">
        <v>43</v>
      </c>
      <c r="S398" s="8" t="s">
        <v>537</v>
      </c>
      <c r="T398" s="9">
        <v>45627</v>
      </c>
      <c r="U398" s="8">
        <v>0</v>
      </c>
      <c r="V398" s="20">
        <v>180</v>
      </c>
      <c r="W398" s="21" t="s">
        <v>16</v>
      </c>
    </row>
    <row r="399" spans="1:23" ht="45">
      <c r="A399" s="8" t="s">
        <v>2619</v>
      </c>
      <c r="B399" s="8" t="s">
        <v>434</v>
      </c>
      <c r="C399" s="8" t="s">
        <v>2197</v>
      </c>
      <c r="D399" s="8" t="s">
        <v>18</v>
      </c>
      <c r="E399" s="8" t="s">
        <v>16</v>
      </c>
      <c r="F399" s="8" t="s">
        <v>2204</v>
      </c>
      <c r="G399" s="8" t="s">
        <v>2618</v>
      </c>
      <c r="H399" s="8">
        <v>1372</v>
      </c>
      <c r="I399" s="8">
        <v>1344</v>
      </c>
      <c r="J399" s="8" t="s">
        <v>436</v>
      </c>
      <c r="K399" s="9">
        <v>45379</v>
      </c>
      <c r="L399" s="9">
        <v>46082</v>
      </c>
      <c r="M399" s="8" t="s">
        <v>16</v>
      </c>
      <c r="P399" s="16" t="s">
        <v>409</v>
      </c>
      <c r="Q399" s="2" t="s">
        <v>312</v>
      </c>
      <c r="S399" s="8" t="s">
        <v>537</v>
      </c>
      <c r="T399" s="9">
        <v>45962</v>
      </c>
      <c r="U399" s="8">
        <v>0</v>
      </c>
      <c r="V399" s="20">
        <v>228</v>
      </c>
      <c r="W399" s="21" t="s">
        <v>16</v>
      </c>
    </row>
    <row r="400" spans="1:23" ht="48.75">
      <c r="A400" s="8" t="s">
        <v>2620</v>
      </c>
      <c r="B400" s="8" t="s">
        <v>437</v>
      </c>
      <c r="C400" s="8" t="s">
        <v>2197</v>
      </c>
      <c r="D400" s="8" t="s">
        <v>18</v>
      </c>
      <c r="E400" s="8" t="s">
        <v>16</v>
      </c>
      <c r="F400" s="8" t="s">
        <v>2228</v>
      </c>
      <c r="G400" s="8" t="s">
        <v>2621</v>
      </c>
      <c r="H400" s="8">
        <v>155</v>
      </c>
      <c r="I400" s="8">
        <v>5</v>
      </c>
      <c r="J400" s="8" t="s">
        <v>438</v>
      </c>
      <c r="K400" s="9">
        <v>45356</v>
      </c>
      <c r="L400" s="9">
        <v>45870</v>
      </c>
      <c r="M400" s="8" t="s">
        <v>16</v>
      </c>
      <c r="P400" s="16" t="s">
        <v>410</v>
      </c>
      <c r="Q400" s="2" t="s">
        <v>16</v>
      </c>
      <c r="S400" s="8" t="s">
        <v>538</v>
      </c>
      <c r="T400" s="9">
        <v>47119</v>
      </c>
      <c r="U400" s="8">
        <v>0</v>
      </c>
      <c r="V400" s="20">
        <v>40</v>
      </c>
      <c r="W400" s="21" t="s">
        <v>16</v>
      </c>
    </row>
    <row r="401" spans="1:23" ht="48.75">
      <c r="A401" s="8" t="s">
        <v>2620</v>
      </c>
      <c r="B401" s="8" t="s">
        <v>437</v>
      </c>
      <c r="C401" s="8" t="s">
        <v>2197</v>
      </c>
      <c r="D401" s="8" t="s">
        <v>18</v>
      </c>
      <c r="E401" s="8" t="s">
        <v>16</v>
      </c>
      <c r="F401" s="8" t="s">
        <v>2228</v>
      </c>
      <c r="G401" s="8" t="s">
        <v>2621</v>
      </c>
      <c r="H401" s="8">
        <v>155</v>
      </c>
      <c r="I401" s="8">
        <v>150</v>
      </c>
      <c r="J401" s="8" t="s">
        <v>439</v>
      </c>
      <c r="K401" s="9">
        <v>45386</v>
      </c>
      <c r="L401" s="9">
        <v>45901</v>
      </c>
      <c r="M401" s="8" t="s">
        <v>16</v>
      </c>
      <c r="P401" s="16" t="s">
        <v>410</v>
      </c>
      <c r="Q401" s="2" t="s">
        <v>16</v>
      </c>
      <c r="S401" s="8" t="s">
        <v>540</v>
      </c>
      <c r="T401" s="9">
        <v>47119</v>
      </c>
      <c r="U401" s="8">
        <v>0</v>
      </c>
      <c r="V401" s="20">
        <v>2150</v>
      </c>
      <c r="W401" s="21" t="s">
        <v>16</v>
      </c>
    </row>
    <row r="402" spans="1:23" ht="45">
      <c r="A402" s="8" t="s">
        <v>2622</v>
      </c>
      <c r="B402" s="8" t="s">
        <v>440</v>
      </c>
      <c r="C402" s="8" t="s">
        <v>2197</v>
      </c>
      <c r="D402" s="8" t="s">
        <v>18</v>
      </c>
      <c r="E402" s="8" t="s">
        <v>16</v>
      </c>
      <c r="F402" s="8" t="s">
        <v>2228</v>
      </c>
      <c r="G402" s="8" t="s">
        <v>2621</v>
      </c>
      <c r="H402" s="8">
        <v>21863</v>
      </c>
      <c r="I402" s="8">
        <v>8</v>
      </c>
      <c r="J402" s="8" t="s">
        <v>441</v>
      </c>
      <c r="K402" s="9">
        <v>45297</v>
      </c>
      <c r="L402" s="9">
        <v>45901</v>
      </c>
      <c r="M402" s="8" t="s">
        <v>16</v>
      </c>
      <c r="P402" s="16" t="s">
        <v>411</v>
      </c>
      <c r="Q402" s="2" t="s">
        <v>41</v>
      </c>
      <c r="S402" s="8" t="s">
        <v>542</v>
      </c>
      <c r="T402" s="9">
        <v>47088</v>
      </c>
      <c r="U402" s="8">
        <v>0</v>
      </c>
      <c r="V402" s="20">
        <v>152</v>
      </c>
      <c r="W402" s="21" t="s">
        <v>16</v>
      </c>
    </row>
    <row r="403" spans="1:23" ht="48.75">
      <c r="A403" s="8" t="s">
        <v>2622</v>
      </c>
      <c r="B403" s="8" t="s">
        <v>440</v>
      </c>
      <c r="C403" s="8" t="s">
        <v>2197</v>
      </c>
      <c r="D403" s="8" t="s">
        <v>18</v>
      </c>
      <c r="E403" s="8" t="s">
        <v>16</v>
      </c>
      <c r="F403" s="8" t="s">
        <v>2228</v>
      </c>
      <c r="G403" s="8" t="s">
        <v>2621</v>
      </c>
      <c r="H403" s="8">
        <v>21863</v>
      </c>
      <c r="I403" s="8">
        <v>15</v>
      </c>
      <c r="J403" s="8" t="s">
        <v>442</v>
      </c>
      <c r="K403" s="9">
        <v>45302</v>
      </c>
      <c r="L403" s="9">
        <v>45901</v>
      </c>
      <c r="M403" s="8" t="s">
        <v>16</v>
      </c>
      <c r="P403" s="16" t="s">
        <v>412</v>
      </c>
      <c r="Q403" s="2" t="s">
        <v>312</v>
      </c>
      <c r="S403" s="8" t="s">
        <v>544</v>
      </c>
      <c r="T403" s="9">
        <v>46844</v>
      </c>
      <c r="U403" s="8">
        <v>0</v>
      </c>
      <c r="V403" s="20">
        <v>22980</v>
      </c>
      <c r="W403" s="21" t="s">
        <v>16</v>
      </c>
    </row>
    <row r="404" spans="1:23" ht="48.75">
      <c r="A404" s="8" t="s">
        <v>2622</v>
      </c>
      <c r="B404" s="8" t="s">
        <v>440</v>
      </c>
      <c r="C404" s="8" t="s">
        <v>2197</v>
      </c>
      <c r="D404" s="8" t="s">
        <v>18</v>
      </c>
      <c r="E404" s="8" t="s">
        <v>16</v>
      </c>
      <c r="F404" s="8" t="s">
        <v>2228</v>
      </c>
      <c r="G404" s="8" t="s">
        <v>2621</v>
      </c>
      <c r="H404" s="8">
        <v>21863</v>
      </c>
      <c r="I404" s="8">
        <v>121</v>
      </c>
      <c r="J404" s="8" t="s">
        <v>443</v>
      </c>
      <c r="K404" s="9">
        <v>45031</v>
      </c>
      <c r="L404" s="9">
        <v>46054</v>
      </c>
      <c r="M404" s="8" t="s">
        <v>16</v>
      </c>
      <c r="P404" s="16" t="s">
        <v>413</v>
      </c>
      <c r="Q404" s="2" t="s">
        <v>312</v>
      </c>
      <c r="S404" s="8" t="s">
        <v>547</v>
      </c>
      <c r="T404" s="9">
        <v>46874</v>
      </c>
      <c r="U404" s="8">
        <v>0</v>
      </c>
      <c r="V404" s="20">
        <v>39977</v>
      </c>
      <c r="W404" s="21" t="s">
        <v>16</v>
      </c>
    </row>
    <row r="405" spans="1:23" ht="48.75">
      <c r="A405" s="8" t="s">
        <v>2622</v>
      </c>
      <c r="B405" s="8" t="s">
        <v>440</v>
      </c>
      <c r="C405" s="8" t="s">
        <v>2197</v>
      </c>
      <c r="D405" s="8" t="s">
        <v>18</v>
      </c>
      <c r="E405" s="8" t="s">
        <v>16</v>
      </c>
      <c r="F405" s="8" t="s">
        <v>2228</v>
      </c>
      <c r="G405" s="8" t="s">
        <v>2621</v>
      </c>
      <c r="H405" s="8">
        <v>21863</v>
      </c>
      <c r="I405" s="8">
        <v>154</v>
      </c>
      <c r="J405" s="8" t="s">
        <v>444</v>
      </c>
      <c r="K405" s="9">
        <v>45031</v>
      </c>
      <c r="L405" s="9">
        <v>46054</v>
      </c>
      <c r="M405" s="8" t="s">
        <v>16</v>
      </c>
      <c r="P405" s="16" t="s">
        <v>413</v>
      </c>
      <c r="Q405" s="2" t="s">
        <v>312</v>
      </c>
      <c r="S405" s="8" t="s">
        <v>551</v>
      </c>
      <c r="T405" s="9">
        <v>46753</v>
      </c>
      <c r="U405" s="8">
        <v>0</v>
      </c>
      <c r="V405" s="20">
        <v>2129</v>
      </c>
      <c r="W405" s="21" t="s">
        <v>16</v>
      </c>
    </row>
    <row r="406" spans="1:23" ht="48.75">
      <c r="A406" s="8" t="s">
        <v>2622</v>
      </c>
      <c r="B406" s="8" t="s">
        <v>440</v>
      </c>
      <c r="C406" s="8" t="s">
        <v>2197</v>
      </c>
      <c r="D406" s="8" t="s">
        <v>18</v>
      </c>
      <c r="E406" s="8" t="s">
        <v>16</v>
      </c>
      <c r="F406" s="8" t="s">
        <v>2228</v>
      </c>
      <c r="G406" s="8" t="s">
        <v>2621</v>
      </c>
      <c r="H406" s="8">
        <v>21863</v>
      </c>
      <c r="I406" s="8">
        <v>1700</v>
      </c>
      <c r="J406" s="8" t="s">
        <v>445</v>
      </c>
      <c r="K406" s="9">
        <v>45234</v>
      </c>
      <c r="L406" s="9">
        <v>46054</v>
      </c>
      <c r="M406" s="8" t="s">
        <v>16</v>
      </c>
      <c r="P406" s="16" t="s">
        <v>413</v>
      </c>
      <c r="Q406" s="2" t="s">
        <v>312</v>
      </c>
      <c r="S406" s="8" t="s">
        <v>554</v>
      </c>
      <c r="T406" s="9">
        <v>46784</v>
      </c>
      <c r="U406" s="8">
        <v>0</v>
      </c>
      <c r="V406" s="20">
        <v>3410</v>
      </c>
      <c r="W406" s="21" t="s">
        <v>16</v>
      </c>
    </row>
    <row r="407" spans="1:23" ht="48.75">
      <c r="A407" s="8" t="s">
        <v>2622</v>
      </c>
      <c r="B407" s="8" t="s">
        <v>440</v>
      </c>
      <c r="C407" s="8" t="s">
        <v>2197</v>
      </c>
      <c r="D407" s="8" t="s">
        <v>18</v>
      </c>
      <c r="E407" s="8" t="s">
        <v>16</v>
      </c>
      <c r="F407" s="8" t="s">
        <v>2228</v>
      </c>
      <c r="G407" s="8" t="s">
        <v>2621</v>
      </c>
      <c r="H407" s="8">
        <v>21863</v>
      </c>
      <c r="I407" s="8">
        <v>8120</v>
      </c>
      <c r="J407" s="8" t="s">
        <v>446</v>
      </c>
      <c r="K407" s="9">
        <v>45031</v>
      </c>
      <c r="L407" s="9">
        <v>46054</v>
      </c>
      <c r="M407" s="8" t="s">
        <v>16</v>
      </c>
      <c r="P407" s="16" t="s">
        <v>414</v>
      </c>
      <c r="Q407" s="2" t="s">
        <v>312</v>
      </c>
      <c r="S407" s="8" t="s">
        <v>554</v>
      </c>
      <c r="T407" s="9">
        <v>46844</v>
      </c>
      <c r="U407" s="8">
        <v>0</v>
      </c>
      <c r="V407" s="20">
        <v>1360</v>
      </c>
      <c r="W407" s="21" t="s">
        <v>16</v>
      </c>
    </row>
    <row r="408" spans="1:23" ht="60">
      <c r="A408" s="8" t="s">
        <v>2622</v>
      </c>
      <c r="B408" s="8" t="s">
        <v>440</v>
      </c>
      <c r="C408" s="8" t="s">
        <v>2197</v>
      </c>
      <c r="D408" s="8" t="s">
        <v>18</v>
      </c>
      <c r="E408" s="8" t="s">
        <v>16</v>
      </c>
      <c r="F408" s="8" t="s">
        <v>2228</v>
      </c>
      <c r="G408" s="8" t="s">
        <v>2621</v>
      </c>
      <c r="H408" s="8">
        <v>21863</v>
      </c>
      <c r="I408" s="8">
        <v>11745</v>
      </c>
      <c r="J408" s="8" t="s">
        <v>447</v>
      </c>
      <c r="K408" s="9">
        <v>45234</v>
      </c>
      <c r="L408" s="9">
        <v>46054</v>
      </c>
      <c r="M408" s="8" t="s">
        <v>16</v>
      </c>
      <c r="P408" s="16" t="s">
        <v>414</v>
      </c>
      <c r="Q408" s="2" t="s">
        <v>312</v>
      </c>
      <c r="S408" s="8" t="s">
        <v>558</v>
      </c>
      <c r="T408" s="9">
        <v>46296</v>
      </c>
      <c r="U408" s="8">
        <v>0</v>
      </c>
      <c r="V408" s="20">
        <v>1031</v>
      </c>
      <c r="W408" s="21" t="s">
        <v>16</v>
      </c>
    </row>
    <row r="409" spans="1:23" ht="48.75">
      <c r="A409" s="8" t="s">
        <v>2623</v>
      </c>
      <c r="B409" s="8" t="s">
        <v>448</v>
      </c>
      <c r="C409" s="8" t="s">
        <v>2197</v>
      </c>
      <c r="D409" s="8" t="s">
        <v>18</v>
      </c>
      <c r="E409" s="8" t="s">
        <v>16</v>
      </c>
      <c r="F409" s="8" t="s">
        <v>2228</v>
      </c>
      <c r="G409" s="8" t="s">
        <v>2621</v>
      </c>
      <c r="H409" s="8">
        <v>34854</v>
      </c>
      <c r="I409" s="8">
        <v>4</v>
      </c>
      <c r="J409" s="8" t="s">
        <v>449</v>
      </c>
      <c r="K409" s="9">
        <v>45297</v>
      </c>
      <c r="L409" s="9">
        <v>45901</v>
      </c>
      <c r="M409" s="8" t="s">
        <v>16</v>
      </c>
      <c r="P409" s="16" t="s">
        <v>414</v>
      </c>
      <c r="Q409" s="2" t="s">
        <v>312</v>
      </c>
      <c r="S409" s="8" t="s">
        <v>561</v>
      </c>
      <c r="T409" s="9">
        <v>46174</v>
      </c>
      <c r="U409" s="8">
        <v>0</v>
      </c>
      <c r="V409" s="20">
        <v>661</v>
      </c>
      <c r="W409" s="21" t="s">
        <v>16</v>
      </c>
    </row>
    <row r="410" spans="1:23" ht="60">
      <c r="A410" s="8" t="s">
        <v>2623</v>
      </c>
      <c r="B410" s="8" t="s">
        <v>448</v>
      </c>
      <c r="C410" s="8" t="s">
        <v>2197</v>
      </c>
      <c r="D410" s="8" t="s">
        <v>18</v>
      </c>
      <c r="E410" s="8" t="s">
        <v>16</v>
      </c>
      <c r="F410" s="8" t="s">
        <v>2228</v>
      </c>
      <c r="G410" s="8" t="s">
        <v>2621</v>
      </c>
      <c r="H410" s="8">
        <v>34854</v>
      </c>
      <c r="I410" s="8">
        <v>15</v>
      </c>
      <c r="J410" s="8" t="s">
        <v>450</v>
      </c>
      <c r="K410" s="9">
        <v>45174</v>
      </c>
      <c r="L410" s="9">
        <v>46054</v>
      </c>
      <c r="M410" s="8" t="s">
        <v>16</v>
      </c>
      <c r="P410" s="16" t="s">
        <v>414</v>
      </c>
      <c r="Q410" s="2" t="s">
        <v>312</v>
      </c>
      <c r="S410" s="8" t="s">
        <v>563</v>
      </c>
      <c r="T410" s="9">
        <v>46054</v>
      </c>
      <c r="U410" s="8">
        <v>0</v>
      </c>
      <c r="V410" s="20">
        <v>4</v>
      </c>
      <c r="W410" s="21" t="s">
        <v>16</v>
      </c>
    </row>
    <row r="411" spans="1:23" ht="60">
      <c r="A411" s="8" t="s">
        <v>2623</v>
      </c>
      <c r="B411" s="8" t="s">
        <v>448</v>
      </c>
      <c r="C411" s="8" t="s">
        <v>2197</v>
      </c>
      <c r="D411" s="8" t="s">
        <v>18</v>
      </c>
      <c r="E411" s="8" t="s">
        <v>16</v>
      </c>
      <c r="F411" s="8" t="s">
        <v>2228</v>
      </c>
      <c r="G411" s="8" t="s">
        <v>2621</v>
      </c>
      <c r="H411" s="8">
        <v>34854</v>
      </c>
      <c r="I411" s="8">
        <v>280</v>
      </c>
      <c r="J411" s="8" t="s">
        <v>451</v>
      </c>
      <c r="K411" s="9">
        <v>45302</v>
      </c>
      <c r="L411" s="9">
        <v>45901</v>
      </c>
      <c r="M411" s="8" t="s">
        <v>16</v>
      </c>
      <c r="P411" s="16" t="s">
        <v>414</v>
      </c>
      <c r="Q411" s="2" t="s">
        <v>312</v>
      </c>
      <c r="S411" s="8" t="s">
        <v>563</v>
      </c>
      <c r="T411" s="9">
        <v>46174</v>
      </c>
      <c r="U411" s="8">
        <v>0</v>
      </c>
      <c r="V411" s="20">
        <v>53</v>
      </c>
      <c r="W411" s="21" t="s">
        <v>16</v>
      </c>
    </row>
    <row r="412" spans="1:23" ht="60">
      <c r="A412" s="8" t="s">
        <v>2623</v>
      </c>
      <c r="B412" s="8" t="s">
        <v>448</v>
      </c>
      <c r="C412" s="8" t="s">
        <v>2197</v>
      </c>
      <c r="D412" s="8" t="s">
        <v>18</v>
      </c>
      <c r="E412" s="8" t="s">
        <v>16</v>
      </c>
      <c r="F412" s="8" t="s">
        <v>2228</v>
      </c>
      <c r="G412" s="8" t="s">
        <v>2621</v>
      </c>
      <c r="H412" s="8">
        <v>34854</v>
      </c>
      <c r="I412" s="8">
        <v>325</v>
      </c>
      <c r="J412" s="8" t="s">
        <v>452</v>
      </c>
      <c r="K412" s="9">
        <v>45174</v>
      </c>
      <c r="L412" s="9">
        <v>46054</v>
      </c>
      <c r="M412" s="8" t="s">
        <v>16</v>
      </c>
      <c r="P412" s="16" t="s">
        <v>415</v>
      </c>
      <c r="Q412" s="2" t="s">
        <v>312</v>
      </c>
      <c r="S412" s="8" t="s">
        <v>566</v>
      </c>
      <c r="T412" s="9">
        <v>46419</v>
      </c>
      <c r="U412" s="8">
        <v>0</v>
      </c>
      <c r="V412" s="20">
        <v>2</v>
      </c>
      <c r="W412" s="21" t="s">
        <v>16</v>
      </c>
    </row>
    <row r="413" spans="1:23" ht="48.75">
      <c r="A413" s="8" t="s">
        <v>2623</v>
      </c>
      <c r="B413" s="8" t="s">
        <v>448</v>
      </c>
      <c r="C413" s="8" t="s">
        <v>2197</v>
      </c>
      <c r="D413" s="8" t="s">
        <v>18</v>
      </c>
      <c r="E413" s="8" t="s">
        <v>16</v>
      </c>
      <c r="F413" s="8" t="s">
        <v>2228</v>
      </c>
      <c r="G413" s="8" t="s">
        <v>2621</v>
      </c>
      <c r="H413" s="8">
        <v>34854</v>
      </c>
      <c r="I413" s="8">
        <v>380</v>
      </c>
      <c r="J413" s="8" t="s">
        <v>453</v>
      </c>
      <c r="K413" s="9">
        <v>45174</v>
      </c>
      <c r="L413" s="9">
        <v>46054</v>
      </c>
      <c r="M413" s="8" t="s">
        <v>16</v>
      </c>
      <c r="P413" s="16" t="s">
        <v>416</v>
      </c>
      <c r="Q413" s="2" t="s">
        <v>312</v>
      </c>
      <c r="S413" s="8" t="s">
        <v>568</v>
      </c>
      <c r="T413" s="9">
        <v>45627</v>
      </c>
      <c r="U413" s="8">
        <v>0</v>
      </c>
      <c r="V413" s="20">
        <v>318</v>
      </c>
      <c r="W413" s="21" t="s">
        <v>16</v>
      </c>
    </row>
    <row r="414" spans="1:23" ht="48.75">
      <c r="A414" s="8" t="s">
        <v>2623</v>
      </c>
      <c r="B414" s="8" t="s">
        <v>448</v>
      </c>
      <c r="C414" s="8" t="s">
        <v>2197</v>
      </c>
      <c r="D414" s="8" t="s">
        <v>18</v>
      </c>
      <c r="E414" s="8" t="s">
        <v>16</v>
      </c>
      <c r="F414" s="8" t="s">
        <v>2228</v>
      </c>
      <c r="G414" s="8" t="s">
        <v>2621</v>
      </c>
      <c r="H414" s="8">
        <v>34854</v>
      </c>
      <c r="I414" s="8">
        <v>430</v>
      </c>
      <c r="J414" s="8" t="s">
        <v>454</v>
      </c>
      <c r="K414" s="9">
        <v>45297</v>
      </c>
      <c r="L414" s="9">
        <v>45901</v>
      </c>
      <c r="M414" s="8" t="s">
        <v>16</v>
      </c>
      <c r="P414" s="16" t="s">
        <v>417</v>
      </c>
      <c r="Q414" s="2" t="s">
        <v>312</v>
      </c>
      <c r="S414" s="8" t="s">
        <v>570</v>
      </c>
      <c r="T414" s="9">
        <v>45566</v>
      </c>
      <c r="U414" s="8">
        <v>0</v>
      </c>
      <c r="V414" s="20">
        <v>60</v>
      </c>
      <c r="W414" s="21" t="s">
        <v>16</v>
      </c>
    </row>
    <row r="415" spans="1:23" ht="48.75">
      <c r="A415" s="8" t="s">
        <v>2623</v>
      </c>
      <c r="B415" s="8" t="s">
        <v>448</v>
      </c>
      <c r="C415" s="8" t="s">
        <v>2197</v>
      </c>
      <c r="D415" s="8" t="s">
        <v>18</v>
      </c>
      <c r="E415" s="8" t="s">
        <v>16</v>
      </c>
      <c r="F415" s="8" t="s">
        <v>2228</v>
      </c>
      <c r="G415" s="8" t="s">
        <v>2621</v>
      </c>
      <c r="H415" s="8">
        <v>34854</v>
      </c>
      <c r="I415" s="8">
        <v>1600</v>
      </c>
      <c r="J415" s="8" t="s">
        <v>455</v>
      </c>
      <c r="K415" s="9">
        <v>45302</v>
      </c>
      <c r="L415" s="9">
        <v>45901</v>
      </c>
      <c r="M415" s="8" t="s">
        <v>16</v>
      </c>
      <c r="P415" s="16" t="s">
        <v>417</v>
      </c>
      <c r="Q415" s="2" t="s">
        <v>312</v>
      </c>
      <c r="S415" s="8" t="s">
        <v>570</v>
      </c>
      <c r="T415" s="9">
        <v>46235</v>
      </c>
      <c r="U415" s="8">
        <v>0</v>
      </c>
      <c r="V415" s="20">
        <v>104</v>
      </c>
      <c r="W415" s="21" t="s">
        <v>16</v>
      </c>
    </row>
    <row r="416" spans="1:23" ht="48.75">
      <c r="A416" s="8" t="s">
        <v>2623</v>
      </c>
      <c r="B416" s="8" t="s">
        <v>448</v>
      </c>
      <c r="C416" s="8" t="s">
        <v>2197</v>
      </c>
      <c r="D416" s="8" t="s">
        <v>18</v>
      </c>
      <c r="E416" s="8" t="s">
        <v>16</v>
      </c>
      <c r="F416" s="8" t="s">
        <v>2228</v>
      </c>
      <c r="G416" s="8" t="s">
        <v>2621</v>
      </c>
      <c r="H416" s="8">
        <v>34854</v>
      </c>
      <c r="I416" s="8">
        <v>1880</v>
      </c>
      <c r="J416" s="8" t="s">
        <v>456</v>
      </c>
      <c r="K416" s="9">
        <v>45299</v>
      </c>
      <c r="L416" s="9">
        <v>45901</v>
      </c>
      <c r="M416" s="8" t="s">
        <v>16</v>
      </c>
      <c r="P416" s="16" t="s">
        <v>417</v>
      </c>
      <c r="Q416" s="2" t="s">
        <v>312</v>
      </c>
      <c r="S416" s="8" t="s">
        <v>573</v>
      </c>
      <c r="T416" s="9">
        <v>46235</v>
      </c>
      <c r="U416" s="8">
        <v>0</v>
      </c>
      <c r="V416" s="20">
        <v>11</v>
      </c>
      <c r="W416" s="21" t="s">
        <v>16</v>
      </c>
    </row>
    <row r="417" spans="1:23" ht="48.75">
      <c r="A417" s="8" t="s">
        <v>2623</v>
      </c>
      <c r="B417" s="8" t="s">
        <v>448</v>
      </c>
      <c r="C417" s="8" t="s">
        <v>2197</v>
      </c>
      <c r="D417" s="8" t="s">
        <v>18</v>
      </c>
      <c r="E417" s="8" t="s">
        <v>16</v>
      </c>
      <c r="F417" s="8" t="s">
        <v>2228</v>
      </c>
      <c r="G417" s="8" t="s">
        <v>2621</v>
      </c>
      <c r="H417" s="8">
        <v>34854</v>
      </c>
      <c r="I417" s="8">
        <v>1880</v>
      </c>
      <c r="J417" s="8" t="s">
        <v>457</v>
      </c>
      <c r="K417" s="9">
        <v>45299</v>
      </c>
      <c r="L417" s="9">
        <v>45901</v>
      </c>
      <c r="M417" s="8" t="s">
        <v>16</v>
      </c>
      <c r="P417" s="16" t="s">
        <v>418</v>
      </c>
      <c r="Q417" s="2" t="s">
        <v>312</v>
      </c>
      <c r="S417" s="8" t="s">
        <v>573</v>
      </c>
      <c r="T417" s="9">
        <v>46539</v>
      </c>
      <c r="U417" s="8">
        <v>0</v>
      </c>
      <c r="V417" s="20">
        <v>800</v>
      </c>
      <c r="W417" s="21" t="s">
        <v>16</v>
      </c>
    </row>
    <row r="418" spans="1:23" ht="45">
      <c r="A418" s="8" t="s">
        <v>2623</v>
      </c>
      <c r="B418" s="8" t="s">
        <v>448</v>
      </c>
      <c r="C418" s="8" t="s">
        <v>2197</v>
      </c>
      <c r="D418" s="8" t="s">
        <v>18</v>
      </c>
      <c r="E418" s="8" t="s">
        <v>16</v>
      </c>
      <c r="F418" s="8" t="s">
        <v>2228</v>
      </c>
      <c r="G418" s="8" t="s">
        <v>2621</v>
      </c>
      <c r="H418" s="8">
        <v>34854</v>
      </c>
      <c r="I418" s="8">
        <v>1880</v>
      </c>
      <c r="J418" s="8" t="s">
        <v>458</v>
      </c>
      <c r="K418" s="9">
        <v>45299</v>
      </c>
      <c r="L418" s="9">
        <v>45901</v>
      </c>
      <c r="M418" s="8" t="s">
        <v>16</v>
      </c>
      <c r="P418" s="16" t="s">
        <v>419</v>
      </c>
      <c r="Q418" s="2" t="s">
        <v>312</v>
      </c>
      <c r="S418" s="8" t="s">
        <v>576</v>
      </c>
      <c r="T418" s="9">
        <v>46600</v>
      </c>
      <c r="U418" s="8">
        <v>0</v>
      </c>
      <c r="V418" s="20">
        <v>20</v>
      </c>
      <c r="W418" s="21" t="s">
        <v>16</v>
      </c>
    </row>
    <row r="419" spans="1:23" ht="48.75">
      <c r="A419" s="8" t="s">
        <v>2623</v>
      </c>
      <c r="B419" s="8" t="s">
        <v>448</v>
      </c>
      <c r="C419" s="8" t="s">
        <v>2197</v>
      </c>
      <c r="D419" s="8" t="s">
        <v>18</v>
      </c>
      <c r="E419" s="8" t="s">
        <v>16</v>
      </c>
      <c r="F419" s="8" t="s">
        <v>2228</v>
      </c>
      <c r="G419" s="8" t="s">
        <v>2621</v>
      </c>
      <c r="H419" s="8">
        <v>34854</v>
      </c>
      <c r="I419" s="8">
        <v>3000</v>
      </c>
      <c r="J419" s="8" t="s">
        <v>459</v>
      </c>
      <c r="K419" s="9">
        <v>45299</v>
      </c>
      <c r="L419" s="9">
        <v>45901</v>
      </c>
      <c r="M419" s="8" t="s">
        <v>16</v>
      </c>
      <c r="P419" s="16" t="s">
        <v>420</v>
      </c>
      <c r="Q419" s="2" t="s">
        <v>312</v>
      </c>
      <c r="S419" s="8" t="s">
        <v>577</v>
      </c>
      <c r="T419" s="9">
        <v>46174</v>
      </c>
      <c r="U419" s="8">
        <v>0</v>
      </c>
      <c r="V419" s="20">
        <v>22</v>
      </c>
      <c r="W419" s="21" t="s">
        <v>16</v>
      </c>
    </row>
    <row r="420" spans="1:23" ht="48.75">
      <c r="A420" s="8" t="s">
        <v>2623</v>
      </c>
      <c r="B420" s="8" t="s">
        <v>448</v>
      </c>
      <c r="C420" s="8" t="s">
        <v>2197</v>
      </c>
      <c r="D420" s="8" t="s">
        <v>18</v>
      </c>
      <c r="E420" s="8" t="s">
        <v>16</v>
      </c>
      <c r="F420" s="8" t="s">
        <v>2228</v>
      </c>
      <c r="G420" s="8" t="s">
        <v>2621</v>
      </c>
      <c r="H420" s="8">
        <v>34854</v>
      </c>
      <c r="I420" s="8">
        <v>3800</v>
      </c>
      <c r="J420" s="8" t="s">
        <v>460</v>
      </c>
      <c r="K420" s="9">
        <v>45174</v>
      </c>
      <c r="L420" s="9">
        <v>46082</v>
      </c>
      <c r="M420" s="8" t="s">
        <v>16</v>
      </c>
      <c r="P420" s="16" t="s">
        <v>421</v>
      </c>
      <c r="Q420" s="2" t="s">
        <v>312</v>
      </c>
      <c r="S420" s="8" t="s">
        <v>577</v>
      </c>
      <c r="T420" s="9">
        <v>46784</v>
      </c>
      <c r="U420" s="8">
        <v>0</v>
      </c>
      <c r="V420" s="20">
        <v>625</v>
      </c>
      <c r="W420" s="21" t="s">
        <v>16</v>
      </c>
    </row>
    <row r="421" spans="1:23" ht="48.75">
      <c r="A421" s="8" t="s">
        <v>2623</v>
      </c>
      <c r="B421" s="8" t="s">
        <v>448</v>
      </c>
      <c r="C421" s="8" t="s">
        <v>2197</v>
      </c>
      <c r="D421" s="8" t="s">
        <v>18</v>
      </c>
      <c r="E421" s="8" t="s">
        <v>16</v>
      </c>
      <c r="F421" s="8" t="s">
        <v>2228</v>
      </c>
      <c r="G421" s="8" t="s">
        <v>2621</v>
      </c>
      <c r="H421" s="8">
        <v>34854</v>
      </c>
      <c r="I421" s="8">
        <v>5020</v>
      </c>
      <c r="J421" s="8" t="s">
        <v>461</v>
      </c>
      <c r="K421" s="9">
        <v>45302</v>
      </c>
      <c r="L421" s="9">
        <v>45901</v>
      </c>
      <c r="M421" s="8" t="s">
        <v>16</v>
      </c>
      <c r="P421" s="16" t="s">
        <v>422</v>
      </c>
      <c r="Q421" s="2" t="s">
        <v>312</v>
      </c>
      <c r="S421" s="8" t="s">
        <v>578</v>
      </c>
      <c r="T421" s="9">
        <v>46174</v>
      </c>
      <c r="U421" s="8">
        <v>0</v>
      </c>
      <c r="V421" s="20">
        <v>5</v>
      </c>
      <c r="W421" s="21" t="s">
        <v>16</v>
      </c>
    </row>
    <row r="422" spans="1:23" ht="48.75">
      <c r="A422" s="8" t="s">
        <v>2623</v>
      </c>
      <c r="B422" s="8" t="s">
        <v>448</v>
      </c>
      <c r="C422" s="8" t="s">
        <v>2197</v>
      </c>
      <c r="D422" s="8" t="s">
        <v>18</v>
      </c>
      <c r="E422" s="8" t="s">
        <v>16</v>
      </c>
      <c r="F422" s="8" t="s">
        <v>2228</v>
      </c>
      <c r="G422" s="8" t="s">
        <v>2621</v>
      </c>
      <c r="H422" s="8">
        <v>34854</v>
      </c>
      <c r="I422" s="8">
        <v>5800</v>
      </c>
      <c r="J422" s="8" t="s">
        <v>462</v>
      </c>
      <c r="K422" s="9">
        <v>45181</v>
      </c>
      <c r="L422" s="9">
        <v>46082</v>
      </c>
      <c r="M422" s="8" t="s">
        <v>16</v>
      </c>
      <c r="P422" s="16" t="s">
        <v>422</v>
      </c>
      <c r="Q422" s="2" t="s">
        <v>312</v>
      </c>
      <c r="S422" s="8" t="s">
        <v>579</v>
      </c>
      <c r="T422" s="9" t="s">
        <v>2222</v>
      </c>
      <c r="U422" s="8">
        <v>0</v>
      </c>
      <c r="V422" s="20">
        <v>610</v>
      </c>
      <c r="W422" s="21" t="s">
        <v>43</v>
      </c>
    </row>
    <row r="423" spans="1:23" ht="45">
      <c r="A423" s="8" t="s">
        <v>2623</v>
      </c>
      <c r="B423" s="8" t="s">
        <v>448</v>
      </c>
      <c r="C423" s="8" t="s">
        <v>2197</v>
      </c>
      <c r="D423" s="8" t="s">
        <v>18</v>
      </c>
      <c r="E423" s="8" t="s">
        <v>16</v>
      </c>
      <c r="F423" s="8" t="s">
        <v>2228</v>
      </c>
      <c r="G423" s="8" t="s">
        <v>2621</v>
      </c>
      <c r="H423" s="8">
        <v>34854</v>
      </c>
      <c r="I423" s="8">
        <v>8560</v>
      </c>
      <c r="J423" s="8" t="s">
        <v>463</v>
      </c>
      <c r="K423" s="9">
        <v>45299</v>
      </c>
      <c r="L423" s="9">
        <v>45901</v>
      </c>
      <c r="M423" s="8" t="s">
        <v>16</v>
      </c>
      <c r="P423" s="16" t="s">
        <v>423</v>
      </c>
      <c r="Q423" s="2" t="s">
        <v>312</v>
      </c>
      <c r="S423" s="8" t="s">
        <v>580</v>
      </c>
      <c r="T423" s="9" t="s">
        <v>2222</v>
      </c>
      <c r="U423" s="8">
        <v>0</v>
      </c>
      <c r="V423" s="20">
        <v>790</v>
      </c>
      <c r="W423" s="21" t="s">
        <v>43</v>
      </c>
    </row>
    <row r="424" spans="1:23" ht="45">
      <c r="A424" s="8" t="s">
        <v>2624</v>
      </c>
      <c r="B424" s="8" t="s">
        <v>464</v>
      </c>
      <c r="C424" s="8" t="s">
        <v>2203</v>
      </c>
      <c r="D424" s="8" t="s">
        <v>18</v>
      </c>
      <c r="E424" s="8" t="s">
        <v>151</v>
      </c>
      <c r="F424" s="8" t="s">
        <v>151</v>
      </c>
      <c r="G424" s="8" t="s">
        <v>2625</v>
      </c>
      <c r="H424" s="8">
        <v>5728</v>
      </c>
      <c r="I424" s="8">
        <v>28</v>
      </c>
      <c r="J424" s="8">
        <v>0</v>
      </c>
      <c r="K424" s="9">
        <v>45378</v>
      </c>
      <c r="L424" s="9">
        <v>47178</v>
      </c>
      <c r="M424" s="8" t="s">
        <v>151</v>
      </c>
      <c r="P424" s="16" t="s">
        <v>423</v>
      </c>
      <c r="Q424" s="2" t="s">
        <v>312</v>
      </c>
      <c r="S424" s="8" t="s">
        <v>581</v>
      </c>
      <c r="T424" s="9" t="s">
        <v>2222</v>
      </c>
      <c r="U424" s="8">
        <v>0</v>
      </c>
      <c r="V424" s="20">
        <v>5105</v>
      </c>
      <c r="W424" s="21" t="s">
        <v>43</v>
      </c>
    </row>
    <row r="425" spans="1:23" ht="45">
      <c r="A425" s="8" t="s">
        <v>2624</v>
      </c>
      <c r="B425" s="8" t="s">
        <v>464</v>
      </c>
      <c r="C425" s="8" t="s">
        <v>2203</v>
      </c>
      <c r="D425" s="8" t="s">
        <v>18</v>
      </c>
      <c r="E425" s="8" t="s">
        <v>151</v>
      </c>
      <c r="F425" s="8" t="s">
        <v>151</v>
      </c>
      <c r="G425" s="8" t="s">
        <v>2625</v>
      </c>
      <c r="H425" s="8">
        <v>5728</v>
      </c>
      <c r="I425" s="8">
        <v>2500</v>
      </c>
      <c r="J425" s="8">
        <v>0</v>
      </c>
      <c r="K425" s="9">
        <v>45447</v>
      </c>
      <c r="L425" s="9">
        <v>47270</v>
      </c>
      <c r="M425" s="8" t="s">
        <v>151</v>
      </c>
      <c r="P425" s="16" t="s">
        <v>424</v>
      </c>
      <c r="Q425" s="2" t="s">
        <v>312</v>
      </c>
      <c r="S425" s="8" t="s">
        <v>582</v>
      </c>
      <c r="T425" s="9" t="s">
        <v>2222</v>
      </c>
      <c r="U425" s="8">
        <v>0</v>
      </c>
      <c r="V425" s="20">
        <v>5205</v>
      </c>
      <c r="W425" s="21" t="s">
        <v>43</v>
      </c>
    </row>
    <row r="426" spans="1:23" ht="48.75">
      <c r="A426" s="8" t="s">
        <v>2624</v>
      </c>
      <c r="B426" s="8" t="s">
        <v>464</v>
      </c>
      <c r="C426" s="8" t="s">
        <v>2203</v>
      </c>
      <c r="D426" s="8" t="s">
        <v>18</v>
      </c>
      <c r="E426" s="8" t="s">
        <v>151</v>
      </c>
      <c r="F426" s="8" t="s">
        <v>151</v>
      </c>
      <c r="G426" s="8" t="s">
        <v>2625</v>
      </c>
      <c r="H426" s="8">
        <v>5728</v>
      </c>
      <c r="I426" s="8">
        <v>3200</v>
      </c>
      <c r="J426" s="8">
        <v>0</v>
      </c>
      <c r="K426" s="9">
        <v>45423</v>
      </c>
      <c r="L426" s="9">
        <v>47239</v>
      </c>
      <c r="M426" s="8" t="s">
        <v>151</v>
      </c>
      <c r="P426" s="16" t="s">
        <v>425</v>
      </c>
      <c r="Q426" s="2" t="s">
        <v>426</v>
      </c>
      <c r="S426" s="8" t="s">
        <v>583</v>
      </c>
      <c r="T426" s="9" t="s">
        <v>2222</v>
      </c>
      <c r="U426" s="8">
        <v>0</v>
      </c>
      <c r="V426" s="20">
        <v>450</v>
      </c>
      <c r="W426" s="21" t="s">
        <v>43</v>
      </c>
    </row>
    <row r="427" spans="1:23" ht="48.75">
      <c r="A427" s="8" t="s">
        <v>2626</v>
      </c>
      <c r="B427" s="8" t="s">
        <v>465</v>
      </c>
      <c r="C427" s="8" t="s">
        <v>2203</v>
      </c>
      <c r="D427" s="8" t="s">
        <v>18</v>
      </c>
      <c r="E427" s="8" t="s">
        <v>151</v>
      </c>
      <c r="F427" s="8" t="s">
        <v>151</v>
      </c>
      <c r="G427" s="8" t="s">
        <v>2627</v>
      </c>
      <c r="H427" s="8">
        <v>1846</v>
      </c>
      <c r="I427" s="8">
        <v>6</v>
      </c>
      <c r="J427" s="8">
        <v>0</v>
      </c>
      <c r="K427" s="9">
        <v>45309</v>
      </c>
      <c r="L427" s="9">
        <v>46844</v>
      </c>
      <c r="M427" s="8" t="s">
        <v>151</v>
      </c>
      <c r="P427" s="16" t="s">
        <v>427</v>
      </c>
      <c r="Q427" s="2" t="s">
        <v>16</v>
      </c>
      <c r="S427" s="8" t="s">
        <v>584</v>
      </c>
      <c r="T427" s="9" t="s">
        <v>2222</v>
      </c>
      <c r="U427" s="8">
        <v>0</v>
      </c>
      <c r="V427" s="20">
        <v>4715</v>
      </c>
      <c r="W427" s="21" t="s">
        <v>43</v>
      </c>
    </row>
    <row r="428" spans="1:23" ht="48.75">
      <c r="A428" s="8" t="s">
        <v>2626</v>
      </c>
      <c r="B428" s="8" t="s">
        <v>465</v>
      </c>
      <c r="C428" s="8" t="s">
        <v>2203</v>
      </c>
      <c r="D428" s="8" t="s">
        <v>18</v>
      </c>
      <c r="E428" s="8" t="s">
        <v>151</v>
      </c>
      <c r="F428" s="8" t="s">
        <v>151</v>
      </c>
      <c r="G428" s="8" t="s">
        <v>2627</v>
      </c>
      <c r="H428" s="8">
        <v>1846</v>
      </c>
      <c r="I428" s="8">
        <v>1840</v>
      </c>
      <c r="J428" s="8">
        <v>0</v>
      </c>
      <c r="K428" s="9">
        <v>45429</v>
      </c>
      <c r="L428" s="9">
        <v>47239</v>
      </c>
      <c r="M428" s="8" t="s">
        <v>151</v>
      </c>
      <c r="P428" s="16" t="s">
        <v>427</v>
      </c>
      <c r="Q428" s="2" t="s">
        <v>16</v>
      </c>
      <c r="S428" s="8" t="s">
        <v>585</v>
      </c>
      <c r="T428" s="9" t="s">
        <v>2222</v>
      </c>
      <c r="U428" s="8">
        <v>0</v>
      </c>
      <c r="V428" s="20">
        <v>355</v>
      </c>
      <c r="W428" s="21" t="s">
        <v>43</v>
      </c>
    </row>
    <row r="429" spans="1:23" ht="60">
      <c r="A429" s="8" t="s">
        <v>2628</v>
      </c>
      <c r="B429" s="8" t="s">
        <v>466</v>
      </c>
      <c r="C429" s="8" t="s">
        <v>2303</v>
      </c>
      <c r="D429" s="8" t="s">
        <v>18</v>
      </c>
      <c r="E429" s="8" t="s">
        <v>16</v>
      </c>
      <c r="F429" s="8" t="s">
        <v>2228</v>
      </c>
      <c r="G429" s="8" t="s">
        <v>2629</v>
      </c>
      <c r="H429" s="8">
        <v>47</v>
      </c>
      <c r="I429" s="8">
        <v>47</v>
      </c>
      <c r="J429" s="8" t="s">
        <v>467</v>
      </c>
      <c r="K429" s="9">
        <v>45334</v>
      </c>
      <c r="L429" s="9">
        <v>46419</v>
      </c>
      <c r="M429" s="8" t="s">
        <v>16</v>
      </c>
      <c r="P429" s="16" t="s">
        <v>427</v>
      </c>
      <c r="Q429" s="2" t="s">
        <v>16</v>
      </c>
      <c r="S429" s="8" t="s">
        <v>586</v>
      </c>
      <c r="T429" s="9">
        <v>45658</v>
      </c>
      <c r="U429" s="8">
        <v>0</v>
      </c>
      <c r="V429" s="20">
        <v>105</v>
      </c>
      <c r="W429" s="21" t="s">
        <v>16</v>
      </c>
    </row>
    <row r="430" spans="1:23" ht="48.75">
      <c r="A430" s="8" t="s">
        <v>2630</v>
      </c>
      <c r="B430" s="8" t="s">
        <v>468</v>
      </c>
      <c r="C430" s="8" t="s">
        <v>2197</v>
      </c>
      <c r="D430" s="8" t="s">
        <v>18</v>
      </c>
      <c r="E430" s="8" t="s">
        <v>16</v>
      </c>
      <c r="F430" s="8" t="s">
        <v>2228</v>
      </c>
      <c r="G430" s="8" t="s">
        <v>2629</v>
      </c>
      <c r="H430" s="8">
        <v>2292</v>
      </c>
      <c r="I430" s="8">
        <v>472</v>
      </c>
      <c r="J430" s="8" t="s">
        <v>467</v>
      </c>
      <c r="K430" s="9">
        <v>45260</v>
      </c>
      <c r="L430" s="9">
        <v>45962</v>
      </c>
      <c r="M430" s="8" t="s">
        <v>16</v>
      </c>
      <c r="P430" s="16" t="s">
        <v>427</v>
      </c>
      <c r="Q430" s="2" t="s">
        <v>16</v>
      </c>
      <c r="S430" s="8" t="s">
        <v>588</v>
      </c>
      <c r="T430" s="9">
        <v>46935</v>
      </c>
      <c r="U430" s="8">
        <v>0</v>
      </c>
      <c r="V430" s="20">
        <v>26589</v>
      </c>
      <c r="W430" s="21" t="s">
        <v>16</v>
      </c>
    </row>
    <row r="431" spans="1:23" ht="48.75">
      <c r="A431" s="8" t="s">
        <v>2630</v>
      </c>
      <c r="B431" s="8" t="s">
        <v>468</v>
      </c>
      <c r="C431" s="8" t="s">
        <v>2197</v>
      </c>
      <c r="D431" s="8" t="s">
        <v>18</v>
      </c>
      <c r="E431" s="8" t="s">
        <v>16</v>
      </c>
      <c r="F431" s="8" t="s">
        <v>2228</v>
      </c>
      <c r="G431" s="8" t="s">
        <v>2629</v>
      </c>
      <c r="H431" s="8">
        <v>2292</v>
      </c>
      <c r="I431" s="8">
        <v>1820</v>
      </c>
      <c r="J431" s="8" t="s">
        <v>467</v>
      </c>
      <c r="K431" s="9">
        <v>45334</v>
      </c>
      <c r="L431" s="9">
        <v>46419</v>
      </c>
      <c r="M431" s="8" t="s">
        <v>16</v>
      </c>
      <c r="P431" s="16" t="s">
        <v>427</v>
      </c>
      <c r="Q431" s="2" t="s">
        <v>16</v>
      </c>
      <c r="S431" s="8" t="s">
        <v>588</v>
      </c>
      <c r="T431" s="9" t="s">
        <v>2222</v>
      </c>
      <c r="U431" s="8">
        <v>0</v>
      </c>
      <c r="V431" s="20">
        <v>1</v>
      </c>
      <c r="W431" s="21" t="s">
        <v>16</v>
      </c>
    </row>
    <row r="432" spans="1:23" ht="48.75">
      <c r="A432" s="8" t="s">
        <v>2631</v>
      </c>
      <c r="B432" s="8" t="s">
        <v>469</v>
      </c>
      <c r="C432" s="8" t="s">
        <v>2307</v>
      </c>
      <c r="D432" s="8" t="s">
        <v>18</v>
      </c>
      <c r="E432" s="8" t="s">
        <v>16</v>
      </c>
      <c r="F432" s="8" t="s">
        <v>2228</v>
      </c>
      <c r="G432" s="8" t="s">
        <v>2629</v>
      </c>
      <c r="H432" s="8">
        <v>1</v>
      </c>
      <c r="I432" s="8">
        <v>1</v>
      </c>
      <c r="J432" s="8">
        <v>24183001</v>
      </c>
      <c r="K432" s="9">
        <v>44669</v>
      </c>
      <c r="L432" s="9">
        <v>45748</v>
      </c>
      <c r="M432" s="8" t="s">
        <v>16</v>
      </c>
      <c r="P432" s="16" t="s">
        <v>427</v>
      </c>
      <c r="Q432" s="2" t="s">
        <v>16</v>
      </c>
      <c r="S432" s="8" t="s">
        <v>588</v>
      </c>
      <c r="T432" s="9">
        <v>45809</v>
      </c>
      <c r="U432" s="8">
        <v>0</v>
      </c>
      <c r="V432" s="20">
        <v>109</v>
      </c>
      <c r="W432" s="21" t="s">
        <v>16</v>
      </c>
    </row>
    <row r="433" spans="1:23" ht="48.75">
      <c r="A433" s="8" t="s">
        <v>2632</v>
      </c>
      <c r="B433" s="8" t="s">
        <v>470</v>
      </c>
      <c r="C433" s="8" t="s">
        <v>2203</v>
      </c>
      <c r="D433" s="8" t="s">
        <v>18</v>
      </c>
      <c r="E433" s="8" t="s">
        <v>16</v>
      </c>
      <c r="F433" s="8" t="s">
        <v>2204</v>
      </c>
      <c r="G433" s="8" t="s">
        <v>2633</v>
      </c>
      <c r="H433" s="8">
        <v>1874</v>
      </c>
      <c r="I433" s="8">
        <v>500</v>
      </c>
      <c r="J433" s="8">
        <v>23023115</v>
      </c>
      <c r="K433" s="9">
        <v>45264</v>
      </c>
      <c r="L433" s="9">
        <v>47058</v>
      </c>
      <c r="M433" s="8" t="s">
        <v>16</v>
      </c>
      <c r="P433" s="16" t="s">
        <v>434</v>
      </c>
      <c r="Q433" s="2" t="s">
        <v>16</v>
      </c>
      <c r="S433" s="8" t="s">
        <v>590</v>
      </c>
      <c r="T433" s="9">
        <v>47239</v>
      </c>
      <c r="U433" s="8">
        <v>0</v>
      </c>
      <c r="V433" s="20">
        <v>2164</v>
      </c>
      <c r="W433" s="21" t="s">
        <v>151</v>
      </c>
    </row>
    <row r="434" spans="1:23" ht="48.75">
      <c r="A434" s="8" t="s">
        <v>2632</v>
      </c>
      <c r="B434" s="8" t="s">
        <v>470</v>
      </c>
      <c r="C434" s="8" t="s">
        <v>2203</v>
      </c>
      <c r="D434" s="8" t="s">
        <v>18</v>
      </c>
      <c r="E434" s="8" t="s">
        <v>16</v>
      </c>
      <c r="F434" s="8" t="s">
        <v>2204</v>
      </c>
      <c r="G434" s="8" t="s">
        <v>2633</v>
      </c>
      <c r="H434" s="8">
        <v>1874</v>
      </c>
      <c r="I434" s="8">
        <v>1374</v>
      </c>
      <c r="J434" s="8">
        <v>23023114</v>
      </c>
      <c r="K434" s="9">
        <v>45264</v>
      </c>
      <c r="L434" s="9">
        <v>46966</v>
      </c>
      <c r="M434" s="8" t="s">
        <v>16</v>
      </c>
      <c r="P434" s="16" t="s">
        <v>434</v>
      </c>
      <c r="Q434" s="2" t="s">
        <v>16</v>
      </c>
      <c r="S434" s="8" t="s">
        <v>591</v>
      </c>
      <c r="T434" s="9">
        <v>46753</v>
      </c>
      <c r="U434" s="8">
        <v>0</v>
      </c>
      <c r="V434" s="20">
        <v>237</v>
      </c>
      <c r="W434" s="21" t="s">
        <v>151</v>
      </c>
    </row>
    <row r="435" spans="1:23" ht="45">
      <c r="A435" s="8" t="s">
        <v>2634</v>
      </c>
      <c r="B435" s="8" t="s">
        <v>471</v>
      </c>
      <c r="C435" s="8" t="s">
        <v>2303</v>
      </c>
      <c r="D435" s="8" t="s">
        <v>18</v>
      </c>
      <c r="E435" s="8" t="s">
        <v>2217</v>
      </c>
      <c r="F435" s="8" t="s">
        <v>2217</v>
      </c>
      <c r="G435" s="8" t="s">
        <v>2217</v>
      </c>
      <c r="H435" s="8">
        <v>30</v>
      </c>
      <c r="I435" s="8">
        <v>30</v>
      </c>
      <c r="J435" s="8" t="s">
        <v>472</v>
      </c>
      <c r="K435" s="9">
        <v>45364</v>
      </c>
      <c r="L435" s="9">
        <v>47178</v>
      </c>
      <c r="M435" s="8" t="s">
        <v>151</v>
      </c>
      <c r="P435" s="16" t="s">
        <v>437</v>
      </c>
      <c r="Q435" s="2" t="s">
        <v>16</v>
      </c>
      <c r="S435" s="8" t="s">
        <v>591</v>
      </c>
      <c r="T435" s="9">
        <v>47178</v>
      </c>
      <c r="U435" s="8">
        <v>0</v>
      </c>
      <c r="V435" s="20">
        <v>1000</v>
      </c>
      <c r="W435" s="21" t="s">
        <v>151</v>
      </c>
    </row>
    <row r="436" spans="1:23" ht="60">
      <c r="A436" s="8" t="s">
        <v>2635</v>
      </c>
      <c r="B436" s="8" t="s">
        <v>473</v>
      </c>
      <c r="C436" s="8" t="s">
        <v>2197</v>
      </c>
      <c r="D436" s="8" t="s">
        <v>18</v>
      </c>
      <c r="E436" s="8" t="s">
        <v>16</v>
      </c>
      <c r="F436" s="8" t="s">
        <v>2228</v>
      </c>
      <c r="G436" s="8" t="s">
        <v>2636</v>
      </c>
      <c r="H436" s="8">
        <v>1860</v>
      </c>
      <c r="I436" s="8">
        <v>1860</v>
      </c>
      <c r="J436" s="8" t="s">
        <v>472</v>
      </c>
      <c r="K436" s="9">
        <v>45364</v>
      </c>
      <c r="L436" s="9">
        <v>47178</v>
      </c>
      <c r="M436" s="8" t="s">
        <v>151</v>
      </c>
      <c r="P436" s="16" t="s">
        <v>437</v>
      </c>
      <c r="Q436" s="2" t="s">
        <v>16</v>
      </c>
      <c r="S436" s="8" t="s">
        <v>592</v>
      </c>
      <c r="T436" s="9">
        <v>45200</v>
      </c>
      <c r="U436" s="8">
        <v>0</v>
      </c>
      <c r="V436" s="20">
        <v>3</v>
      </c>
      <c r="W436" s="21" t="s">
        <v>38</v>
      </c>
    </row>
    <row r="437" spans="1:23" ht="60">
      <c r="A437" s="8" t="s">
        <v>2637</v>
      </c>
      <c r="B437" s="8" t="s">
        <v>474</v>
      </c>
      <c r="C437" s="8" t="s">
        <v>2307</v>
      </c>
      <c r="D437" s="8" t="s">
        <v>18</v>
      </c>
      <c r="E437" s="8" t="s">
        <v>2217</v>
      </c>
      <c r="F437" s="8" t="s">
        <v>2217</v>
      </c>
      <c r="G437" s="8" t="s">
        <v>2217</v>
      </c>
      <c r="H437" s="8">
        <v>120</v>
      </c>
      <c r="I437" s="8">
        <v>120</v>
      </c>
      <c r="J437" s="8" t="s">
        <v>475</v>
      </c>
      <c r="K437" s="9">
        <v>45310</v>
      </c>
      <c r="L437" s="9">
        <v>47119</v>
      </c>
      <c r="M437" s="8" t="s">
        <v>151</v>
      </c>
      <c r="P437" s="16" t="s">
        <v>440</v>
      </c>
      <c r="Q437" s="2" t="s">
        <v>16</v>
      </c>
      <c r="S437" s="8" t="s">
        <v>594</v>
      </c>
      <c r="T437" s="9" t="s">
        <v>2222</v>
      </c>
      <c r="U437" s="8">
        <v>0</v>
      </c>
      <c r="V437" s="20">
        <v>1</v>
      </c>
      <c r="W437" s="21" t="s">
        <v>41</v>
      </c>
    </row>
    <row r="438" spans="1:23" ht="75">
      <c r="A438" s="8" t="s">
        <v>2638</v>
      </c>
      <c r="B438" s="8" t="s">
        <v>476</v>
      </c>
      <c r="C438" s="8" t="s">
        <v>2203</v>
      </c>
      <c r="D438" s="8" t="s">
        <v>18</v>
      </c>
      <c r="E438" s="8" t="s">
        <v>16</v>
      </c>
      <c r="F438" s="8" t="s">
        <v>2198</v>
      </c>
      <c r="G438" s="8" t="s">
        <v>2639</v>
      </c>
      <c r="H438" s="8">
        <v>98990</v>
      </c>
      <c r="I438" s="8">
        <v>98990</v>
      </c>
      <c r="J438" s="8">
        <v>220328</v>
      </c>
      <c r="K438" s="9">
        <v>44827</v>
      </c>
      <c r="L438" s="9">
        <v>46569</v>
      </c>
      <c r="M438" s="8" t="s">
        <v>16</v>
      </c>
      <c r="P438" s="16" t="s">
        <v>440</v>
      </c>
      <c r="Q438" s="2" t="s">
        <v>16</v>
      </c>
      <c r="S438" s="8" t="s">
        <v>595</v>
      </c>
      <c r="T438" s="9" t="s">
        <v>2222</v>
      </c>
      <c r="U438" s="8">
        <v>0</v>
      </c>
      <c r="V438" s="20">
        <v>100</v>
      </c>
      <c r="W438" s="21" t="s">
        <v>41</v>
      </c>
    </row>
    <row r="439" spans="1:23" ht="60">
      <c r="A439" s="8" t="s">
        <v>2640</v>
      </c>
      <c r="B439" s="8" t="s">
        <v>477</v>
      </c>
      <c r="C439" s="8" t="s">
        <v>2203</v>
      </c>
      <c r="D439" s="8" t="s">
        <v>18</v>
      </c>
      <c r="E439" s="8" t="s">
        <v>16</v>
      </c>
      <c r="F439" s="8" t="s">
        <v>2198</v>
      </c>
      <c r="G439" s="8" t="s">
        <v>2639</v>
      </c>
      <c r="H439" s="8">
        <v>3133</v>
      </c>
      <c r="I439" s="8">
        <v>3133</v>
      </c>
      <c r="J439" s="8">
        <v>220328</v>
      </c>
      <c r="K439" s="9">
        <v>44827</v>
      </c>
      <c r="L439" s="9">
        <v>46600</v>
      </c>
      <c r="M439" s="8" t="s">
        <v>16</v>
      </c>
      <c r="P439" s="16" t="s">
        <v>440</v>
      </c>
      <c r="Q439" s="2" t="s">
        <v>16</v>
      </c>
      <c r="S439" s="8" t="s">
        <v>596</v>
      </c>
      <c r="T439" s="9" t="s">
        <v>2222</v>
      </c>
      <c r="U439" s="8">
        <v>0</v>
      </c>
      <c r="V439" s="20">
        <v>4</v>
      </c>
      <c r="W439" s="21" t="s">
        <v>41</v>
      </c>
    </row>
    <row r="440" spans="1:23" ht="60">
      <c r="A440" s="8" t="s">
        <v>2641</v>
      </c>
      <c r="B440" s="8" t="s">
        <v>478</v>
      </c>
      <c r="C440" s="8" t="s">
        <v>2203</v>
      </c>
      <c r="D440" s="8" t="s">
        <v>18</v>
      </c>
      <c r="E440" s="8" t="s">
        <v>16</v>
      </c>
      <c r="F440" s="8" t="s">
        <v>2198</v>
      </c>
      <c r="G440" s="8" t="s">
        <v>2639</v>
      </c>
      <c r="H440" s="8">
        <v>48986</v>
      </c>
      <c r="I440" s="8">
        <v>48986</v>
      </c>
      <c r="J440" s="8">
        <v>220328</v>
      </c>
      <c r="K440" s="9">
        <v>44833</v>
      </c>
      <c r="L440" s="9">
        <v>46600</v>
      </c>
      <c r="M440" s="8" t="s">
        <v>16</v>
      </c>
      <c r="P440" s="16" t="s">
        <v>440</v>
      </c>
      <c r="Q440" s="2" t="s">
        <v>16</v>
      </c>
      <c r="S440" s="8" t="s">
        <v>597</v>
      </c>
      <c r="T440" s="9" t="s">
        <v>2222</v>
      </c>
      <c r="U440" s="8">
        <v>0</v>
      </c>
      <c r="V440" s="20">
        <v>12</v>
      </c>
      <c r="W440" s="21" t="s">
        <v>41</v>
      </c>
    </row>
    <row r="441" spans="1:23" ht="60">
      <c r="A441" s="8" t="s">
        <v>2647</v>
      </c>
      <c r="B441" s="8" t="s">
        <v>481</v>
      </c>
      <c r="C441" s="8" t="s">
        <v>2197</v>
      </c>
      <c r="D441" s="8" t="s">
        <v>18</v>
      </c>
      <c r="E441" s="8" t="s">
        <v>16</v>
      </c>
      <c r="F441" s="8" t="s">
        <v>2198</v>
      </c>
      <c r="G441" s="8" t="s">
        <v>2648</v>
      </c>
      <c r="H441" s="8">
        <v>691</v>
      </c>
      <c r="I441" s="8">
        <v>691</v>
      </c>
      <c r="J441" s="8">
        <v>46121211</v>
      </c>
      <c r="K441" s="9">
        <v>44981</v>
      </c>
      <c r="L441" s="9">
        <v>46722</v>
      </c>
      <c r="M441" s="8" t="s">
        <v>16</v>
      </c>
      <c r="P441" s="16" t="s">
        <v>440</v>
      </c>
      <c r="Q441" s="2" t="s">
        <v>16</v>
      </c>
      <c r="S441" s="8" t="s">
        <v>598</v>
      </c>
      <c r="T441" s="9">
        <v>46874</v>
      </c>
      <c r="U441" s="8">
        <v>0</v>
      </c>
      <c r="V441" s="20">
        <v>120</v>
      </c>
      <c r="W441" s="21" t="s">
        <v>16</v>
      </c>
    </row>
    <row r="442" spans="1:23" ht="48.75">
      <c r="A442" s="8" t="s">
        <v>2649</v>
      </c>
      <c r="B442" s="8" t="s">
        <v>482</v>
      </c>
      <c r="C442" s="8" t="s">
        <v>2197</v>
      </c>
      <c r="D442" s="8" t="s">
        <v>18</v>
      </c>
      <c r="E442" s="8" t="s">
        <v>16</v>
      </c>
      <c r="F442" s="8" t="s">
        <v>2198</v>
      </c>
      <c r="G442" s="8" t="s">
        <v>2648</v>
      </c>
      <c r="H442" s="8">
        <v>1655</v>
      </c>
      <c r="I442" s="8">
        <v>120</v>
      </c>
      <c r="J442" s="8">
        <v>45120811</v>
      </c>
      <c r="K442" s="9">
        <v>45002</v>
      </c>
      <c r="L442" s="9">
        <v>46357</v>
      </c>
      <c r="M442" s="8" t="s">
        <v>16</v>
      </c>
      <c r="P442" s="16" t="s">
        <v>440</v>
      </c>
      <c r="Q442" s="2" t="s">
        <v>16</v>
      </c>
      <c r="S442" s="8" t="s">
        <v>599</v>
      </c>
      <c r="T442" s="9" t="s">
        <v>2222</v>
      </c>
      <c r="U442" s="8">
        <v>0</v>
      </c>
      <c r="V442" s="20">
        <v>1</v>
      </c>
      <c r="W442" s="21" t="s">
        <v>43</v>
      </c>
    </row>
    <row r="443" spans="1:23" ht="60">
      <c r="A443" s="8" t="s">
        <v>2649</v>
      </c>
      <c r="B443" s="8" t="s">
        <v>482</v>
      </c>
      <c r="C443" s="8" t="s">
        <v>2197</v>
      </c>
      <c r="D443" s="8" t="s">
        <v>18</v>
      </c>
      <c r="E443" s="8" t="s">
        <v>16</v>
      </c>
      <c r="F443" s="8" t="s">
        <v>2198</v>
      </c>
      <c r="G443" s="8" t="s">
        <v>2648</v>
      </c>
      <c r="H443" s="8">
        <v>1655</v>
      </c>
      <c r="I443" s="8">
        <v>435</v>
      </c>
      <c r="J443" s="8">
        <v>45102811</v>
      </c>
      <c r="K443" s="9">
        <v>44981</v>
      </c>
      <c r="L443" s="9">
        <v>46296</v>
      </c>
      <c r="M443" s="8" t="s">
        <v>16</v>
      </c>
      <c r="P443" s="16" t="s">
        <v>440</v>
      </c>
      <c r="Q443" s="2" t="s">
        <v>16</v>
      </c>
      <c r="S443" s="8" t="s">
        <v>600</v>
      </c>
      <c r="T443" s="9">
        <v>45689</v>
      </c>
      <c r="U443" s="8">
        <v>0</v>
      </c>
      <c r="V443" s="20">
        <v>200</v>
      </c>
      <c r="W443" s="21" t="s">
        <v>16</v>
      </c>
    </row>
    <row r="444" spans="1:23" ht="60">
      <c r="A444" s="8" t="s">
        <v>2649</v>
      </c>
      <c r="B444" s="8" t="s">
        <v>482</v>
      </c>
      <c r="C444" s="8" t="s">
        <v>2197</v>
      </c>
      <c r="D444" s="8" t="s">
        <v>18</v>
      </c>
      <c r="E444" s="8" t="s">
        <v>16</v>
      </c>
      <c r="F444" s="8" t="s">
        <v>2198</v>
      </c>
      <c r="G444" s="8" t="s">
        <v>2648</v>
      </c>
      <c r="H444" s="8">
        <v>1655</v>
      </c>
      <c r="I444" s="8">
        <v>1100</v>
      </c>
      <c r="J444" s="8">
        <v>46022411</v>
      </c>
      <c r="K444" s="9">
        <v>45002</v>
      </c>
      <c r="L444" s="9">
        <v>46419</v>
      </c>
      <c r="M444" s="8" t="s">
        <v>16</v>
      </c>
      <c r="P444" s="16" t="s">
        <v>448</v>
      </c>
      <c r="Q444" s="2" t="s">
        <v>16</v>
      </c>
      <c r="S444" s="8" t="s">
        <v>600</v>
      </c>
      <c r="T444" s="9">
        <v>46753</v>
      </c>
      <c r="U444" s="8">
        <v>0</v>
      </c>
      <c r="V444" s="20">
        <v>400</v>
      </c>
      <c r="W444" s="21" t="s">
        <v>16</v>
      </c>
    </row>
    <row r="445" spans="1:23" ht="48.75">
      <c r="A445" s="8" t="s">
        <v>2650</v>
      </c>
      <c r="B445" s="8" t="s">
        <v>483</v>
      </c>
      <c r="C445" s="8" t="s">
        <v>2197</v>
      </c>
      <c r="D445" s="8" t="s">
        <v>18</v>
      </c>
      <c r="E445" s="8" t="s">
        <v>16</v>
      </c>
      <c r="F445" s="8" t="s">
        <v>2198</v>
      </c>
      <c r="G445" s="8" t="s">
        <v>2648</v>
      </c>
      <c r="H445" s="8">
        <v>1147</v>
      </c>
      <c r="I445" s="8">
        <v>13</v>
      </c>
      <c r="J445" s="8">
        <v>47031311</v>
      </c>
      <c r="K445" s="9">
        <v>45002</v>
      </c>
      <c r="L445" s="9">
        <v>46447</v>
      </c>
      <c r="M445" s="8" t="s">
        <v>16</v>
      </c>
      <c r="P445" s="16" t="s">
        <v>448</v>
      </c>
      <c r="Q445" s="2" t="s">
        <v>16</v>
      </c>
      <c r="S445" s="8" t="s">
        <v>602</v>
      </c>
      <c r="T445" s="9">
        <v>46997</v>
      </c>
      <c r="U445" s="8">
        <v>0</v>
      </c>
      <c r="V445" s="20">
        <v>151</v>
      </c>
      <c r="W445" s="21" t="s">
        <v>16</v>
      </c>
    </row>
    <row r="446" spans="1:23" ht="48.75">
      <c r="A446" s="8" t="s">
        <v>2650</v>
      </c>
      <c r="B446" s="8" t="s">
        <v>483</v>
      </c>
      <c r="C446" s="8" t="s">
        <v>2197</v>
      </c>
      <c r="D446" s="8" t="s">
        <v>18</v>
      </c>
      <c r="E446" s="8" t="s">
        <v>16</v>
      </c>
      <c r="F446" s="8" t="s">
        <v>2198</v>
      </c>
      <c r="G446" s="8" t="s">
        <v>2648</v>
      </c>
      <c r="H446" s="8">
        <v>1147</v>
      </c>
      <c r="I446" s="8">
        <v>1134</v>
      </c>
      <c r="J446" s="8">
        <v>46022411</v>
      </c>
      <c r="K446" s="9">
        <v>44981</v>
      </c>
      <c r="L446" s="9">
        <v>46419</v>
      </c>
      <c r="M446" s="8" t="s">
        <v>16</v>
      </c>
      <c r="P446" s="16" t="s">
        <v>448</v>
      </c>
      <c r="Q446" s="2" t="s">
        <v>16</v>
      </c>
      <c r="S446" s="8" t="s">
        <v>602</v>
      </c>
      <c r="T446" s="9">
        <v>47150</v>
      </c>
      <c r="U446" s="8">
        <v>0</v>
      </c>
      <c r="V446" s="20">
        <v>980</v>
      </c>
      <c r="W446" s="21" t="s">
        <v>16</v>
      </c>
    </row>
    <row r="447" spans="1:23" ht="48.75">
      <c r="A447" s="8" t="s">
        <v>2651</v>
      </c>
      <c r="B447" s="8" t="s">
        <v>484</v>
      </c>
      <c r="C447" s="8" t="s">
        <v>2221</v>
      </c>
      <c r="D447" s="8" t="s">
        <v>18</v>
      </c>
      <c r="E447" s="8" t="s">
        <v>43</v>
      </c>
      <c r="F447" s="8" t="s">
        <v>2217</v>
      </c>
      <c r="G447" s="8" t="s">
        <v>2217</v>
      </c>
      <c r="H447" s="8">
        <v>28</v>
      </c>
      <c r="I447" s="8">
        <v>28</v>
      </c>
      <c r="J447" s="8">
        <v>0</v>
      </c>
      <c r="K447" s="9">
        <v>44146</v>
      </c>
      <c r="L447" s="8" t="s">
        <v>2222</v>
      </c>
      <c r="M447" s="8" t="s">
        <v>43</v>
      </c>
      <c r="P447" s="16" t="s">
        <v>448</v>
      </c>
      <c r="Q447" s="2" t="s">
        <v>16</v>
      </c>
      <c r="S447" s="8" t="s">
        <v>604</v>
      </c>
      <c r="T447" s="9">
        <v>47088</v>
      </c>
      <c r="U447" s="8">
        <v>0</v>
      </c>
      <c r="V447" s="20">
        <v>32</v>
      </c>
      <c r="W447" s="21" t="s">
        <v>16</v>
      </c>
    </row>
    <row r="448" spans="1:23" ht="48.75">
      <c r="A448" s="8" t="s">
        <v>2652</v>
      </c>
      <c r="B448" s="8" t="s">
        <v>485</v>
      </c>
      <c r="C448" s="8" t="s">
        <v>2221</v>
      </c>
      <c r="D448" s="8" t="s">
        <v>18</v>
      </c>
      <c r="E448" s="8" t="s">
        <v>43</v>
      </c>
      <c r="F448" s="8" t="s">
        <v>2217</v>
      </c>
      <c r="G448" s="8" t="s">
        <v>2217</v>
      </c>
      <c r="H448" s="8">
        <v>485</v>
      </c>
      <c r="I448" s="8">
        <v>485</v>
      </c>
      <c r="J448" s="8">
        <v>0</v>
      </c>
      <c r="K448" s="8" t="s">
        <v>2222</v>
      </c>
      <c r="L448" s="8" t="s">
        <v>2222</v>
      </c>
      <c r="M448" s="8" t="s">
        <v>43</v>
      </c>
      <c r="P448" s="16" t="s">
        <v>448</v>
      </c>
      <c r="Q448" s="2" t="s">
        <v>16</v>
      </c>
      <c r="S448" s="8" t="s">
        <v>605</v>
      </c>
      <c r="T448" s="9">
        <v>47150</v>
      </c>
      <c r="U448" s="8">
        <v>0</v>
      </c>
      <c r="V448" s="20">
        <v>3172</v>
      </c>
      <c r="W448" s="21" t="s">
        <v>16</v>
      </c>
    </row>
    <row r="449" spans="1:23" ht="60">
      <c r="A449" s="8" t="s">
        <v>2653</v>
      </c>
      <c r="B449" s="8" t="s">
        <v>486</v>
      </c>
      <c r="C449" s="8" t="s">
        <v>2197</v>
      </c>
      <c r="D449" s="8" t="s">
        <v>18</v>
      </c>
      <c r="E449" s="8" t="s">
        <v>16</v>
      </c>
      <c r="F449" s="8" t="s">
        <v>2228</v>
      </c>
      <c r="G449" s="8" t="s">
        <v>2654</v>
      </c>
      <c r="H449" s="8">
        <v>10230</v>
      </c>
      <c r="I449" s="8">
        <v>230</v>
      </c>
      <c r="J449" s="8">
        <v>20062023</v>
      </c>
      <c r="K449" s="9">
        <v>45162</v>
      </c>
      <c r="L449" s="9">
        <v>46174</v>
      </c>
      <c r="M449" s="8" t="s">
        <v>16</v>
      </c>
      <c r="P449" s="16" t="s">
        <v>448</v>
      </c>
      <c r="Q449" s="2" t="s">
        <v>16</v>
      </c>
      <c r="S449" s="8" t="s">
        <v>607</v>
      </c>
      <c r="T449" s="9" t="s">
        <v>2222</v>
      </c>
      <c r="U449" s="8">
        <v>0</v>
      </c>
      <c r="V449" s="20">
        <v>15</v>
      </c>
      <c r="W449" s="21" t="s">
        <v>38</v>
      </c>
    </row>
    <row r="450" spans="1:23" ht="75">
      <c r="A450" s="8" t="s">
        <v>2653</v>
      </c>
      <c r="B450" s="8" t="s">
        <v>486</v>
      </c>
      <c r="C450" s="8" t="s">
        <v>2197</v>
      </c>
      <c r="D450" s="8" t="s">
        <v>18</v>
      </c>
      <c r="E450" s="8" t="s">
        <v>16</v>
      </c>
      <c r="F450" s="8" t="s">
        <v>2228</v>
      </c>
      <c r="G450" s="8" t="s">
        <v>2654</v>
      </c>
      <c r="H450" s="8">
        <v>10230</v>
      </c>
      <c r="I450" s="8">
        <v>10000</v>
      </c>
      <c r="J450" s="8">
        <v>20072023</v>
      </c>
      <c r="K450" s="9">
        <v>45209</v>
      </c>
      <c r="L450" s="9">
        <v>46204</v>
      </c>
      <c r="M450" s="8" t="s">
        <v>16</v>
      </c>
      <c r="P450" s="16" t="s">
        <v>448</v>
      </c>
      <c r="Q450" s="2" t="s">
        <v>16</v>
      </c>
      <c r="S450" s="8" t="s">
        <v>608</v>
      </c>
      <c r="T450" s="9">
        <v>45474</v>
      </c>
      <c r="U450" s="8">
        <v>0</v>
      </c>
      <c r="V450" s="20">
        <v>16</v>
      </c>
      <c r="W450" s="21" t="s">
        <v>38</v>
      </c>
    </row>
    <row r="451" spans="1:23" ht="48.75">
      <c r="A451" s="8" t="s">
        <v>2655</v>
      </c>
      <c r="B451" s="8" t="s">
        <v>487</v>
      </c>
      <c r="C451" s="8" t="s">
        <v>2307</v>
      </c>
      <c r="D451" s="8" t="s">
        <v>18</v>
      </c>
      <c r="E451" s="8" t="s">
        <v>16</v>
      </c>
      <c r="F451" s="8" t="s">
        <v>2228</v>
      </c>
      <c r="G451" s="8" t="s">
        <v>2654</v>
      </c>
      <c r="H451" s="8">
        <v>60</v>
      </c>
      <c r="I451" s="8">
        <v>60</v>
      </c>
      <c r="J451" s="8">
        <v>0</v>
      </c>
      <c r="K451" s="9">
        <v>45133</v>
      </c>
      <c r="L451" s="9">
        <v>46935</v>
      </c>
      <c r="M451" s="8" t="s">
        <v>16</v>
      </c>
      <c r="P451" s="16" t="s">
        <v>448</v>
      </c>
      <c r="Q451" s="2" t="s">
        <v>16</v>
      </c>
      <c r="S451" s="8" t="s">
        <v>609</v>
      </c>
      <c r="T451" s="9" t="s">
        <v>2222</v>
      </c>
      <c r="U451" s="8">
        <v>0</v>
      </c>
      <c r="V451" s="20">
        <v>60</v>
      </c>
      <c r="W451" s="21" t="s">
        <v>41</v>
      </c>
    </row>
    <row r="452" spans="1:23" ht="48.75">
      <c r="A452" s="8" t="s">
        <v>2656</v>
      </c>
      <c r="B452" s="8" t="s">
        <v>488</v>
      </c>
      <c r="C452" s="8" t="s">
        <v>2197</v>
      </c>
      <c r="D452" s="8" t="s">
        <v>18</v>
      </c>
      <c r="E452" s="8" t="s">
        <v>16</v>
      </c>
      <c r="F452" s="8" t="s">
        <v>2228</v>
      </c>
      <c r="G452" s="8" t="s">
        <v>2657</v>
      </c>
      <c r="H452" s="8">
        <v>2240</v>
      </c>
      <c r="I452" s="8">
        <v>320</v>
      </c>
      <c r="J452" s="8">
        <v>2303151700</v>
      </c>
      <c r="K452" s="9">
        <v>45024</v>
      </c>
      <c r="L452" s="9">
        <v>46447</v>
      </c>
      <c r="M452" s="8" t="s">
        <v>16</v>
      </c>
      <c r="P452" s="16" t="s">
        <v>448</v>
      </c>
      <c r="Q452" s="2" t="s">
        <v>16</v>
      </c>
      <c r="S452" s="8" t="s">
        <v>610</v>
      </c>
      <c r="T452" s="9">
        <v>46023</v>
      </c>
      <c r="U452" s="8">
        <v>0</v>
      </c>
      <c r="V452" s="20">
        <v>403</v>
      </c>
      <c r="W452" s="21" t="s">
        <v>16</v>
      </c>
    </row>
    <row r="453" spans="1:23" ht="48.75">
      <c r="A453" s="8" t="s">
        <v>2656</v>
      </c>
      <c r="B453" s="8" t="s">
        <v>488</v>
      </c>
      <c r="C453" s="8" t="s">
        <v>2197</v>
      </c>
      <c r="D453" s="8" t="s">
        <v>18</v>
      </c>
      <c r="E453" s="8" t="s">
        <v>16</v>
      </c>
      <c r="F453" s="8" t="s">
        <v>2228</v>
      </c>
      <c r="G453" s="8" t="s">
        <v>2657</v>
      </c>
      <c r="H453" s="8">
        <v>2240</v>
      </c>
      <c r="I453" s="8">
        <v>1920</v>
      </c>
      <c r="J453" s="8">
        <v>2401081000</v>
      </c>
      <c r="K453" s="9">
        <v>45345</v>
      </c>
      <c r="L453" s="9">
        <v>46753</v>
      </c>
      <c r="M453" s="8" t="s">
        <v>16</v>
      </c>
      <c r="P453" s="16" t="s">
        <v>448</v>
      </c>
      <c r="Q453" s="2" t="s">
        <v>16</v>
      </c>
      <c r="S453" s="8" t="s">
        <v>611</v>
      </c>
      <c r="T453" s="9">
        <v>46023</v>
      </c>
      <c r="U453" s="8">
        <v>0</v>
      </c>
      <c r="V453" s="20">
        <v>2693</v>
      </c>
      <c r="W453" s="21" t="s">
        <v>16</v>
      </c>
    </row>
    <row r="454" spans="1:23" ht="48.75">
      <c r="A454" s="8" t="s">
        <v>2658</v>
      </c>
      <c r="B454" s="8" t="s">
        <v>489</v>
      </c>
      <c r="C454" s="8" t="s">
        <v>2203</v>
      </c>
      <c r="D454" s="8" t="s">
        <v>18</v>
      </c>
      <c r="E454" s="8" t="s">
        <v>16</v>
      </c>
      <c r="F454" s="8" t="s">
        <v>2204</v>
      </c>
      <c r="G454" s="8" t="s">
        <v>2659</v>
      </c>
      <c r="H454" s="8">
        <v>1320</v>
      </c>
      <c r="I454" s="8">
        <v>1320</v>
      </c>
      <c r="J454" s="8">
        <v>2404003</v>
      </c>
      <c r="K454" s="9">
        <v>45406</v>
      </c>
      <c r="L454" s="9">
        <v>47209</v>
      </c>
      <c r="M454" s="8" t="s">
        <v>16</v>
      </c>
      <c r="P454" s="16" t="s">
        <v>448</v>
      </c>
      <c r="Q454" s="2" t="s">
        <v>16</v>
      </c>
      <c r="S454" s="8" t="s">
        <v>612</v>
      </c>
      <c r="T454" s="9">
        <v>46905</v>
      </c>
      <c r="U454" s="8">
        <v>0</v>
      </c>
      <c r="V454" s="20">
        <v>191</v>
      </c>
      <c r="W454" s="21" t="s">
        <v>16</v>
      </c>
    </row>
    <row r="455" spans="1:23" ht="60">
      <c r="A455" s="8" t="s">
        <v>2660</v>
      </c>
      <c r="B455" s="8" t="s">
        <v>490</v>
      </c>
      <c r="C455" s="8" t="s">
        <v>2221</v>
      </c>
      <c r="D455" s="8" t="s">
        <v>18</v>
      </c>
      <c r="E455" s="8" t="s">
        <v>2217</v>
      </c>
      <c r="F455" s="8" t="s">
        <v>2217</v>
      </c>
      <c r="G455" s="8" t="s">
        <v>2217</v>
      </c>
      <c r="H455" s="8">
        <v>10</v>
      </c>
      <c r="I455" s="8">
        <v>10</v>
      </c>
      <c r="J455" s="8">
        <v>0</v>
      </c>
      <c r="K455" s="9">
        <v>45090</v>
      </c>
      <c r="L455" s="8" t="s">
        <v>2222</v>
      </c>
      <c r="M455" s="8" t="s">
        <v>43</v>
      </c>
      <c r="P455" s="16" t="s">
        <v>448</v>
      </c>
      <c r="Q455" s="2" t="s">
        <v>16</v>
      </c>
      <c r="S455" s="8" t="s">
        <v>613</v>
      </c>
      <c r="T455" s="9">
        <v>46661</v>
      </c>
      <c r="U455" s="8">
        <v>0</v>
      </c>
      <c r="V455" s="20">
        <v>54804</v>
      </c>
      <c r="W455" s="21" t="s">
        <v>16</v>
      </c>
    </row>
    <row r="456" spans="1:23" ht="60">
      <c r="A456" s="8" t="s">
        <v>2661</v>
      </c>
      <c r="B456" s="8" t="s">
        <v>491</v>
      </c>
      <c r="C456" s="8" t="s">
        <v>2221</v>
      </c>
      <c r="D456" s="8" t="s">
        <v>18</v>
      </c>
      <c r="E456" s="8" t="s">
        <v>101</v>
      </c>
      <c r="F456" s="8" t="s">
        <v>101</v>
      </c>
      <c r="G456" s="8" t="s">
        <v>2662</v>
      </c>
      <c r="H456" s="8">
        <v>1</v>
      </c>
      <c r="I456" s="8">
        <v>1</v>
      </c>
      <c r="J456" s="8">
        <v>0</v>
      </c>
      <c r="K456" s="9">
        <v>44161</v>
      </c>
      <c r="L456" s="8" t="s">
        <v>2222</v>
      </c>
      <c r="M456" s="8" t="s">
        <v>41</v>
      </c>
      <c r="P456" s="16" t="s">
        <v>448</v>
      </c>
      <c r="Q456" s="2" t="s">
        <v>16</v>
      </c>
      <c r="S456" s="8" t="s">
        <v>614</v>
      </c>
      <c r="T456" s="9">
        <v>46692</v>
      </c>
      <c r="U456" s="8">
        <v>0</v>
      </c>
      <c r="V456" s="20">
        <v>21532</v>
      </c>
      <c r="W456" s="21" t="s">
        <v>16</v>
      </c>
    </row>
    <row r="457" spans="1:23" ht="60">
      <c r="A457" s="8" t="s">
        <v>2663</v>
      </c>
      <c r="B457" s="8" t="s">
        <v>492</v>
      </c>
      <c r="C457" s="8" t="s">
        <v>2307</v>
      </c>
      <c r="D457" s="8" t="s">
        <v>18</v>
      </c>
      <c r="E457" s="8" t="s">
        <v>2217</v>
      </c>
      <c r="F457" s="8" t="s">
        <v>2217</v>
      </c>
      <c r="G457" s="8" t="s">
        <v>2217</v>
      </c>
      <c r="H457" s="8">
        <v>124</v>
      </c>
      <c r="I457" s="8">
        <v>124</v>
      </c>
      <c r="J457" s="8" t="s">
        <v>493</v>
      </c>
      <c r="K457" s="9">
        <v>45384</v>
      </c>
      <c r="L457" s="9">
        <v>47178</v>
      </c>
      <c r="M457" s="8" t="s">
        <v>16</v>
      </c>
      <c r="P457" s="16" t="s">
        <v>448</v>
      </c>
      <c r="Q457" s="2" t="s">
        <v>16</v>
      </c>
      <c r="S457" s="8" t="s">
        <v>614</v>
      </c>
      <c r="T457" s="9">
        <v>46935</v>
      </c>
      <c r="U457" s="8">
        <v>0</v>
      </c>
      <c r="V457" s="20">
        <v>39600</v>
      </c>
      <c r="W457" s="21" t="s">
        <v>16</v>
      </c>
    </row>
    <row r="458" spans="1:23" ht="60">
      <c r="A458" s="8" t="s">
        <v>2664</v>
      </c>
      <c r="B458" s="8" t="s">
        <v>494</v>
      </c>
      <c r="C458" s="8" t="s">
        <v>2197</v>
      </c>
      <c r="D458" s="8" t="s">
        <v>18</v>
      </c>
      <c r="E458" s="8" t="s">
        <v>16</v>
      </c>
      <c r="F458" s="8" t="s">
        <v>2198</v>
      </c>
      <c r="G458" s="8" t="s">
        <v>2665</v>
      </c>
      <c r="H458" s="8">
        <v>442</v>
      </c>
      <c r="I458" s="8">
        <v>2</v>
      </c>
      <c r="J458" s="8" t="s">
        <v>495</v>
      </c>
      <c r="K458" s="9">
        <v>44585</v>
      </c>
      <c r="L458" s="9">
        <v>45658</v>
      </c>
      <c r="M458" s="8" t="s">
        <v>16</v>
      </c>
      <c r="P458" s="16" t="s">
        <v>448</v>
      </c>
      <c r="Q458" s="2" t="s">
        <v>16</v>
      </c>
      <c r="S458" s="8" t="s">
        <v>616</v>
      </c>
      <c r="T458" s="9">
        <v>46082</v>
      </c>
      <c r="U458" s="8">
        <v>0</v>
      </c>
      <c r="V458" s="20">
        <v>4</v>
      </c>
      <c r="W458" s="21" t="s">
        <v>151</v>
      </c>
    </row>
    <row r="459" spans="1:23" ht="60">
      <c r="A459" s="8" t="s">
        <v>2664</v>
      </c>
      <c r="B459" s="8" t="s">
        <v>494</v>
      </c>
      <c r="C459" s="8" t="s">
        <v>2197</v>
      </c>
      <c r="D459" s="8" t="s">
        <v>18</v>
      </c>
      <c r="E459" s="8" t="s">
        <v>16</v>
      </c>
      <c r="F459" s="8" t="s">
        <v>2198</v>
      </c>
      <c r="G459" s="8" t="s">
        <v>2665</v>
      </c>
      <c r="H459" s="8">
        <v>442</v>
      </c>
      <c r="I459" s="8">
        <v>440</v>
      </c>
      <c r="J459" s="8" t="s">
        <v>495</v>
      </c>
      <c r="K459" s="9">
        <v>45309</v>
      </c>
      <c r="L459" s="9">
        <v>45870</v>
      </c>
      <c r="M459" s="8" t="s">
        <v>16</v>
      </c>
      <c r="P459" s="16" t="s">
        <v>464</v>
      </c>
      <c r="Q459" s="2" t="s">
        <v>151</v>
      </c>
      <c r="S459" s="8" t="s">
        <v>616</v>
      </c>
      <c r="T459" s="9">
        <v>46113</v>
      </c>
      <c r="U459" s="8">
        <v>0</v>
      </c>
      <c r="V459" s="20">
        <v>2775</v>
      </c>
      <c r="W459" s="21" t="s">
        <v>151</v>
      </c>
    </row>
    <row r="460" spans="1:23" ht="60">
      <c r="A460" s="8" t="s">
        <v>2666</v>
      </c>
      <c r="B460" s="8" t="s">
        <v>496</v>
      </c>
      <c r="C460" s="8" t="s">
        <v>2197</v>
      </c>
      <c r="D460" s="8" t="s">
        <v>18</v>
      </c>
      <c r="E460" s="8" t="s">
        <v>16</v>
      </c>
      <c r="F460" s="8" t="s">
        <v>2198</v>
      </c>
      <c r="G460" s="8" t="s">
        <v>2665</v>
      </c>
      <c r="H460" s="8">
        <v>110</v>
      </c>
      <c r="I460" s="8">
        <v>110</v>
      </c>
      <c r="J460" s="8" t="s">
        <v>495</v>
      </c>
      <c r="K460" s="9">
        <v>44807</v>
      </c>
      <c r="L460" s="9">
        <v>45658</v>
      </c>
      <c r="M460" s="8" t="s">
        <v>16</v>
      </c>
      <c r="P460" s="16" t="s">
        <v>464</v>
      </c>
      <c r="Q460" s="2" t="s">
        <v>151</v>
      </c>
      <c r="S460" s="8" t="s">
        <v>617</v>
      </c>
      <c r="T460" s="9">
        <v>46082</v>
      </c>
      <c r="U460" s="8">
        <v>0</v>
      </c>
      <c r="V460" s="20">
        <v>2130</v>
      </c>
      <c r="W460" s="21" t="s">
        <v>151</v>
      </c>
    </row>
    <row r="461" spans="1:23" ht="60">
      <c r="A461" s="8" t="s">
        <v>2667</v>
      </c>
      <c r="B461" s="8" t="s">
        <v>497</v>
      </c>
      <c r="C461" s="8" t="s">
        <v>2197</v>
      </c>
      <c r="D461" s="8" t="s">
        <v>18</v>
      </c>
      <c r="E461" s="8" t="s">
        <v>16</v>
      </c>
      <c r="F461" s="8" t="s">
        <v>2198</v>
      </c>
      <c r="G461" s="8" t="s">
        <v>2665</v>
      </c>
      <c r="H461" s="8">
        <v>938</v>
      </c>
      <c r="I461" s="8">
        <v>938</v>
      </c>
      <c r="J461" s="8">
        <v>231216</v>
      </c>
      <c r="K461" s="9">
        <v>45369</v>
      </c>
      <c r="L461" s="9">
        <v>46447</v>
      </c>
      <c r="M461" s="8" t="s">
        <v>16</v>
      </c>
      <c r="P461" s="16" t="s">
        <v>464</v>
      </c>
      <c r="Q461" s="2" t="s">
        <v>151</v>
      </c>
      <c r="S461" s="8" t="s">
        <v>618</v>
      </c>
      <c r="T461" s="9">
        <v>46082</v>
      </c>
      <c r="U461" s="8">
        <v>0</v>
      </c>
      <c r="V461" s="20">
        <v>9</v>
      </c>
      <c r="W461" s="21" t="s">
        <v>151</v>
      </c>
    </row>
    <row r="462" spans="1:23" ht="60">
      <c r="A462" s="8" t="s">
        <v>2668</v>
      </c>
      <c r="B462" s="8" t="s">
        <v>498</v>
      </c>
      <c r="C462" s="8" t="s">
        <v>2197</v>
      </c>
      <c r="D462" s="8" t="s">
        <v>18</v>
      </c>
      <c r="E462" s="8" t="s">
        <v>16</v>
      </c>
      <c r="F462" s="8" t="s">
        <v>2198</v>
      </c>
      <c r="G462" s="8" t="s">
        <v>2217</v>
      </c>
      <c r="H462" s="8">
        <v>22</v>
      </c>
      <c r="I462" s="8">
        <v>22</v>
      </c>
      <c r="J462" s="8">
        <v>0</v>
      </c>
      <c r="K462" s="9">
        <v>44013</v>
      </c>
      <c r="L462" s="8" t="s">
        <v>2222</v>
      </c>
      <c r="M462" s="8" t="s">
        <v>38</v>
      </c>
      <c r="P462" s="16" t="s">
        <v>465</v>
      </c>
      <c r="Q462" s="2" t="s">
        <v>151</v>
      </c>
      <c r="S462" s="8" t="s">
        <v>618</v>
      </c>
      <c r="T462" s="9">
        <v>46113</v>
      </c>
      <c r="U462" s="8">
        <v>0</v>
      </c>
      <c r="V462" s="20">
        <v>1860</v>
      </c>
      <c r="W462" s="21" t="s">
        <v>151</v>
      </c>
    </row>
    <row r="463" spans="1:23" ht="60">
      <c r="A463" s="8" t="s">
        <v>2669</v>
      </c>
      <c r="B463" s="8" t="s">
        <v>499</v>
      </c>
      <c r="C463" s="8" t="s">
        <v>2197</v>
      </c>
      <c r="D463" s="8" t="s">
        <v>18</v>
      </c>
      <c r="E463" s="8" t="s">
        <v>16</v>
      </c>
      <c r="F463" s="8" t="s">
        <v>2198</v>
      </c>
      <c r="G463" s="8" t="s">
        <v>2670</v>
      </c>
      <c r="H463" s="8">
        <v>4242</v>
      </c>
      <c r="I463" s="8">
        <v>42</v>
      </c>
      <c r="J463" s="8" t="s">
        <v>500</v>
      </c>
      <c r="K463" s="9">
        <v>45139</v>
      </c>
      <c r="L463" s="9">
        <v>46569</v>
      </c>
      <c r="M463" s="8" t="s">
        <v>16</v>
      </c>
      <c r="P463" s="16" t="s">
        <v>465</v>
      </c>
      <c r="Q463" s="2" t="s">
        <v>151</v>
      </c>
      <c r="S463" s="8" t="s">
        <v>619</v>
      </c>
      <c r="T463" s="9">
        <v>45809</v>
      </c>
      <c r="U463" s="8">
        <v>0</v>
      </c>
      <c r="V463" s="20">
        <v>120</v>
      </c>
      <c r="W463" s="21" t="s">
        <v>16</v>
      </c>
    </row>
    <row r="464" spans="1:23" ht="60">
      <c r="A464" s="8" t="s">
        <v>2669</v>
      </c>
      <c r="B464" s="8" t="s">
        <v>499</v>
      </c>
      <c r="C464" s="8" t="s">
        <v>2197</v>
      </c>
      <c r="D464" s="8" t="s">
        <v>18</v>
      </c>
      <c r="E464" s="8" t="s">
        <v>16</v>
      </c>
      <c r="F464" s="8" t="s">
        <v>2198</v>
      </c>
      <c r="G464" s="8" t="s">
        <v>2670</v>
      </c>
      <c r="H464" s="8">
        <v>4242</v>
      </c>
      <c r="I464" s="8">
        <v>2000</v>
      </c>
      <c r="J464" s="8" t="s">
        <v>501</v>
      </c>
      <c r="K464" s="9">
        <v>45281</v>
      </c>
      <c r="L464" s="9">
        <v>46692</v>
      </c>
      <c r="M464" s="8" t="s">
        <v>16</v>
      </c>
      <c r="P464" s="16" t="s">
        <v>466</v>
      </c>
      <c r="Q464" s="2" t="s">
        <v>16</v>
      </c>
      <c r="S464" s="8" t="s">
        <v>619</v>
      </c>
      <c r="T464" s="9">
        <v>46235</v>
      </c>
      <c r="U464" s="8">
        <v>0</v>
      </c>
      <c r="V464" s="20">
        <v>739</v>
      </c>
      <c r="W464" s="21" t="s">
        <v>16</v>
      </c>
    </row>
    <row r="465" spans="1:23" ht="60">
      <c r="A465" s="8" t="s">
        <v>2669</v>
      </c>
      <c r="B465" s="8" t="s">
        <v>499</v>
      </c>
      <c r="C465" s="8" t="s">
        <v>2197</v>
      </c>
      <c r="D465" s="8" t="s">
        <v>18</v>
      </c>
      <c r="E465" s="8" t="s">
        <v>16</v>
      </c>
      <c r="F465" s="8" t="s">
        <v>2198</v>
      </c>
      <c r="G465" s="8" t="s">
        <v>2670</v>
      </c>
      <c r="H465" s="8">
        <v>4242</v>
      </c>
      <c r="I465" s="8">
        <v>2200</v>
      </c>
      <c r="J465" s="8" t="s">
        <v>502</v>
      </c>
      <c r="K465" s="9">
        <v>45281</v>
      </c>
      <c r="L465" s="9">
        <v>46661</v>
      </c>
      <c r="M465" s="8" t="s">
        <v>16</v>
      </c>
      <c r="P465" s="16" t="s">
        <v>468</v>
      </c>
      <c r="Q465" s="2" t="s">
        <v>16</v>
      </c>
      <c r="S465" s="8" t="s">
        <v>620</v>
      </c>
      <c r="T465" s="9">
        <v>46143</v>
      </c>
      <c r="U465" s="8">
        <v>0</v>
      </c>
      <c r="V465" s="20">
        <v>771</v>
      </c>
      <c r="W465" s="21" t="s">
        <v>16</v>
      </c>
    </row>
    <row r="466" spans="1:23" ht="60">
      <c r="A466" s="8" t="s">
        <v>2671</v>
      </c>
      <c r="B466" s="8" t="s">
        <v>503</v>
      </c>
      <c r="C466" s="8" t="s">
        <v>2197</v>
      </c>
      <c r="D466" s="8" t="s">
        <v>18</v>
      </c>
      <c r="E466" s="8" t="s">
        <v>16</v>
      </c>
      <c r="F466" s="8" t="s">
        <v>2198</v>
      </c>
      <c r="G466" s="8" t="s">
        <v>2672</v>
      </c>
      <c r="H466" s="8">
        <v>1120</v>
      </c>
      <c r="I466" s="8">
        <v>1120</v>
      </c>
      <c r="J466" s="8" t="s">
        <v>504</v>
      </c>
      <c r="K466" s="9">
        <v>45257</v>
      </c>
      <c r="L466" s="9">
        <v>45962</v>
      </c>
      <c r="M466" s="8" t="s">
        <v>16</v>
      </c>
      <c r="P466" s="16" t="s">
        <v>468</v>
      </c>
      <c r="Q466" s="2" t="s">
        <v>16</v>
      </c>
      <c r="S466" s="8" t="s">
        <v>621</v>
      </c>
      <c r="T466" s="9">
        <v>46235</v>
      </c>
      <c r="U466" s="8">
        <v>0</v>
      </c>
      <c r="V466" s="20">
        <v>1445</v>
      </c>
      <c r="W466" s="21" t="s">
        <v>16</v>
      </c>
    </row>
    <row r="467" spans="1:23" ht="60">
      <c r="A467" s="8" t="s">
        <v>2673</v>
      </c>
      <c r="B467" s="8" t="s">
        <v>505</v>
      </c>
      <c r="C467" s="8" t="s">
        <v>2203</v>
      </c>
      <c r="D467" s="8" t="s">
        <v>18</v>
      </c>
      <c r="E467" s="8" t="s">
        <v>16</v>
      </c>
      <c r="F467" s="8" t="s">
        <v>2204</v>
      </c>
      <c r="G467" s="8" t="s">
        <v>2674</v>
      </c>
      <c r="H467" s="8">
        <v>585</v>
      </c>
      <c r="I467" s="8">
        <v>585</v>
      </c>
      <c r="J467" s="8" t="s">
        <v>506</v>
      </c>
      <c r="K467" s="9">
        <v>45169</v>
      </c>
      <c r="L467" s="9">
        <v>46661</v>
      </c>
      <c r="M467" s="8" t="s">
        <v>16</v>
      </c>
      <c r="P467" s="16" t="s">
        <v>469</v>
      </c>
      <c r="Q467" s="2" t="s">
        <v>16</v>
      </c>
      <c r="S467" s="8" t="s">
        <v>622</v>
      </c>
      <c r="T467" s="9">
        <v>46266</v>
      </c>
      <c r="U467" s="8">
        <v>0</v>
      </c>
      <c r="V467" s="20">
        <v>2935</v>
      </c>
      <c r="W467" s="21" t="s">
        <v>16</v>
      </c>
    </row>
    <row r="468" spans="1:23" ht="45">
      <c r="A468" s="8" t="s">
        <v>2675</v>
      </c>
      <c r="B468" s="8" t="s">
        <v>507</v>
      </c>
      <c r="C468" s="8" t="s">
        <v>2197</v>
      </c>
      <c r="D468" s="8" t="s">
        <v>18</v>
      </c>
      <c r="E468" s="8" t="s">
        <v>16</v>
      </c>
      <c r="F468" s="8" t="s">
        <v>2204</v>
      </c>
      <c r="G468" s="8" t="s">
        <v>2676</v>
      </c>
      <c r="H468" s="8">
        <v>4000</v>
      </c>
      <c r="I468" s="8">
        <v>1000</v>
      </c>
      <c r="J468" s="8">
        <v>23093101</v>
      </c>
      <c r="K468" s="9">
        <v>45264</v>
      </c>
      <c r="L468" s="9">
        <v>47058</v>
      </c>
      <c r="M468" s="8" t="s">
        <v>16</v>
      </c>
      <c r="P468" s="16" t="s">
        <v>470</v>
      </c>
      <c r="Q468" s="2" t="s">
        <v>16</v>
      </c>
      <c r="S468" s="8" t="s">
        <v>623</v>
      </c>
      <c r="T468" s="9">
        <v>45536</v>
      </c>
      <c r="U468" s="8">
        <v>0</v>
      </c>
      <c r="V468" s="20">
        <v>375</v>
      </c>
      <c r="W468" s="21" t="s">
        <v>16</v>
      </c>
    </row>
    <row r="469" spans="1:23" ht="45">
      <c r="A469" s="8" t="s">
        <v>2675</v>
      </c>
      <c r="B469" s="8" t="s">
        <v>507</v>
      </c>
      <c r="C469" s="8" t="s">
        <v>2197</v>
      </c>
      <c r="D469" s="8" t="s">
        <v>18</v>
      </c>
      <c r="E469" s="8" t="s">
        <v>16</v>
      </c>
      <c r="F469" s="8" t="s">
        <v>2204</v>
      </c>
      <c r="G469" s="8" t="s">
        <v>2676</v>
      </c>
      <c r="H469" s="8">
        <v>4000</v>
      </c>
      <c r="I469" s="8">
        <v>3000</v>
      </c>
      <c r="J469" s="8">
        <v>23093102</v>
      </c>
      <c r="K469" s="9">
        <v>45286</v>
      </c>
      <c r="L469" s="9">
        <v>47088</v>
      </c>
      <c r="M469" s="8" t="s">
        <v>16</v>
      </c>
      <c r="P469" s="16" t="s">
        <v>470</v>
      </c>
      <c r="Q469" s="2" t="s">
        <v>16</v>
      </c>
      <c r="S469" s="8" t="s">
        <v>624</v>
      </c>
      <c r="T469" s="9">
        <v>45870</v>
      </c>
      <c r="U469" s="8">
        <v>0</v>
      </c>
      <c r="V469" s="20">
        <v>180</v>
      </c>
      <c r="W469" s="21" t="s">
        <v>16</v>
      </c>
    </row>
    <row r="470" spans="1:23" ht="45">
      <c r="A470" s="8" t="s">
        <v>2677</v>
      </c>
      <c r="B470" s="8" t="s">
        <v>508</v>
      </c>
      <c r="C470" s="8" t="s">
        <v>2197</v>
      </c>
      <c r="D470" s="8" t="s">
        <v>18</v>
      </c>
      <c r="E470" s="8" t="s">
        <v>16</v>
      </c>
      <c r="F470" s="8" t="s">
        <v>2204</v>
      </c>
      <c r="G470" s="8" t="s">
        <v>2676</v>
      </c>
      <c r="H470" s="8">
        <v>6600</v>
      </c>
      <c r="I470" s="8">
        <v>680</v>
      </c>
      <c r="J470" s="8">
        <v>23093102</v>
      </c>
      <c r="K470" s="9">
        <v>45302</v>
      </c>
      <c r="L470" s="9">
        <v>47119</v>
      </c>
      <c r="M470" s="8" t="s">
        <v>16</v>
      </c>
      <c r="P470" s="16" t="s">
        <v>471</v>
      </c>
      <c r="Q470" s="2" t="s">
        <v>151</v>
      </c>
      <c r="S470" s="8" t="s">
        <v>624</v>
      </c>
      <c r="T470" s="9">
        <v>45901</v>
      </c>
      <c r="U470" s="8">
        <v>0</v>
      </c>
      <c r="V470" s="20">
        <v>340</v>
      </c>
      <c r="W470" s="21" t="s">
        <v>16</v>
      </c>
    </row>
    <row r="471" spans="1:23" ht="75">
      <c r="A471" s="8" t="s">
        <v>2677</v>
      </c>
      <c r="B471" s="8" t="s">
        <v>508</v>
      </c>
      <c r="C471" s="8" t="s">
        <v>2197</v>
      </c>
      <c r="D471" s="8" t="s">
        <v>18</v>
      </c>
      <c r="E471" s="8" t="s">
        <v>16</v>
      </c>
      <c r="F471" s="8" t="s">
        <v>2204</v>
      </c>
      <c r="G471" s="8" t="s">
        <v>2676</v>
      </c>
      <c r="H471" s="8">
        <v>6600</v>
      </c>
      <c r="I471" s="8">
        <v>1920</v>
      </c>
      <c r="J471" s="8">
        <v>23093101</v>
      </c>
      <c r="K471" s="9">
        <v>45264</v>
      </c>
      <c r="L471" s="9">
        <v>47058</v>
      </c>
      <c r="M471" s="8" t="s">
        <v>16</v>
      </c>
      <c r="P471" s="16" t="s">
        <v>473</v>
      </c>
      <c r="Q471" s="2" t="s">
        <v>151</v>
      </c>
      <c r="S471" s="8" t="s">
        <v>625</v>
      </c>
      <c r="T471" s="9">
        <v>45717</v>
      </c>
      <c r="U471" s="8">
        <v>0</v>
      </c>
      <c r="V471" s="20">
        <v>9</v>
      </c>
      <c r="W471" s="21" t="s">
        <v>16</v>
      </c>
    </row>
    <row r="472" spans="1:23" ht="48.75">
      <c r="A472" s="8" t="s">
        <v>2677</v>
      </c>
      <c r="B472" s="8" t="s">
        <v>508</v>
      </c>
      <c r="C472" s="8" t="s">
        <v>2197</v>
      </c>
      <c r="D472" s="8" t="s">
        <v>18</v>
      </c>
      <c r="E472" s="8" t="s">
        <v>16</v>
      </c>
      <c r="F472" s="8" t="s">
        <v>2204</v>
      </c>
      <c r="G472" s="8" t="s">
        <v>2676</v>
      </c>
      <c r="H472" s="8">
        <v>6600</v>
      </c>
      <c r="I472" s="8">
        <v>2000</v>
      </c>
      <c r="J472" s="8">
        <v>23093101</v>
      </c>
      <c r="K472" s="9">
        <v>45324</v>
      </c>
      <c r="L472" s="9">
        <v>47088</v>
      </c>
      <c r="M472" s="8" t="s">
        <v>16</v>
      </c>
      <c r="P472" s="16" t="s">
        <v>474</v>
      </c>
      <c r="Q472" s="2" t="s">
        <v>151</v>
      </c>
      <c r="S472" s="8" t="s">
        <v>626</v>
      </c>
      <c r="T472" s="9">
        <v>46327</v>
      </c>
      <c r="U472" s="8">
        <v>0</v>
      </c>
      <c r="V472" s="20">
        <v>1029</v>
      </c>
      <c r="W472" s="21" t="s">
        <v>16</v>
      </c>
    </row>
    <row r="473" spans="1:23" ht="48.75">
      <c r="A473" s="8" t="s">
        <v>2677</v>
      </c>
      <c r="B473" s="8" t="s">
        <v>508</v>
      </c>
      <c r="C473" s="8" t="s">
        <v>2197</v>
      </c>
      <c r="D473" s="8" t="s">
        <v>18</v>
      </c>
      <c r="E473" s="8" t="s">
        <v>16</v>
      </c>
      <c r="F473" s="8" t="s">
        <v>2204</v>
      </c>
      <c r="G473" s="8" t="s">
        <v>2676</v>
      </c>
      <c r="H473" s="8">
        <v>6600</v>
      </c>
      <c r="I473" s="8">
        <v>2000</v>
      </c>
      <c r="J473" s="8">
        <v>23093102</v>
      </c>
      <c r="K473" s="9">
        <v>45324</v>
      </c>
      <c r="L473" s="9">
        <v>47088</v>
      </c>
      <c r="M473" s="8" t="s">
        <v>16</v>
      </c>
      <c r="P473" s="16" t="s">
        <v>476</v>
      </c>
      <c r="Q473" s="2" t="s">
        <v>16</v>
      </c>
      <c r="S473" s="8" t="s">
        <v>627</v>
      </c>
      <c r="T473" s="9" t="s">
        <v>2222</v>
      </c>
      <c r="U473" s="8">
        <v>0</v>
      </c>
      <c r="V473" s="20">
        <v>194</v>
      </c>
      <c r="W473" s="21" t="s">
        <v>38</v>
      </c>
    </row>
    <row r="474" spans="1:23" ht="75">
      <c r="A474" s="8" t="s">
        <v>2678</v>
      </c>
      <c r="B474" s="8" t="s">
        <v>509</v>
      </c>
      <c r="C474" s="8" t="s">
        <v>2197</v>
      </c>
      <c r="D474" s="8" t="s">
        <v>18</v>
      </c>
      <c r="E474" s="8" t="s">
        <v>16</v>
      </c>
      <c r="F474" s="8" t="s">
        <v>2228</v>
      </c>
      <c r="G474" s="8" t="s">
        <v>2679</v>
      </c>
      <c r="H474" s="8">
        <v>2190</v>
      </c>
      <c r="I474" s="8">
        <v>2190</v>
      </c>
      <c r="J474" s="8" t="s">
        <v>510</v>
      </c>
      <c r="K474" s="9">
        <v>45281</v>
      </c>
      <c r="L474" s="9">
        <v>45748</v>
      </c>
      <c r="M474" s="8" t="s">
        <v>16</v>
      </c>
      <c r="P474" s="16" t="s">
        <v>477</v>
      </c>
      <c r="Q474" s="2" t="s">
        <v>16</v>
      </c>
      <c r="S474" s="8" t="s">
        <v>628</v>
      </c>
      <c r="T474" s="9">
        <v>46388</v>
      </c>
      <c r="U474" s="8">
        <v>0</v>
      </c>
      <c r="V474" s="20">
        <v>1320</v>
      </c>
      <c r="W474" s="21" t="s">
        <v>16</v>
      </c>
    </row>
    <row r="475" spans="1:23" ht="75">
      <c r="A475" s="8" t="s">
        <v>2680</v>
      </c>
      <c r="B475" s="8" t="s">
        <v>511</v>
      </c>
      <c r="C475" s="8" t="s">
        <v>2197</v>
      </c>
      <c r="D475" s="8" t="s">
        <v>18</v>
      </c>
      <c r="E475" s="8" t="s">
        <v>16</v>
      </c>
      <c r="F475" s="8" t="s">
        <v>2228</v>
      </c>
      <c r="G475" s="8" t="s">
        <v>2679</v>
      </c>
      <c r="H475" s="8">
        <v>75</v>
      </c>
      <c r="I475" s="8">
        <v>75</v>
      </c>
      <c r="J475" s="8" t="s">
        <v>512</v>
      </c>
      <c r="K475" s="9">
        <v>45281</v>
      </c>
      <c r="L475" s="9">
        <v>45627</v>
      </c>
      <c r="M475" s="8" t="s">
        <v>16</v>
      </c>
      <c r="P475" s="16" t="s">
        <v>478</v>
      </c>
      <c r="Q475" s="2" t="s">
        <v>16</v>
      </c>
      <c r="S475" s="8" t="s">
        <v>629</v>
      </c>
      <c r="T475" s="9">
        <v>46235</v>
      </c>
      <c r="U475" s="8">
        <v>0</v>
      </c>
      <c r="V475" s="20">
        <v>800</v>
      </c>
      <c r="W475" s="21" t="s">
        <v>16</v>
      </c>
    </row>
    <row r="476" spans="1:23" ht="60">
      <c r="A476" s="8" t="s">
        <v>2681</v>
      </c>
      <c r="B476" s="8" t="s">
        <v>513</v>
      </c>
      <c r="C476" s="8" t="s">
        <v>2197</v>
      </c>
      <c r="D476" s="8" t="s">
        <v>18</v>
      </c>
      <c r="E476" s="8" t="s">
        <v>16</v>
      </c>
      <c r="F476" s="8" t="s">
        <v>2198</v>
      </c>
      <c r="G476" s="8" t="s">
        <v>2682</v>
      </c>
      <c r="H476" s="8">
        <v>780</v>
      </c>
      <c r="I476" s="8">
        <v>780</v>
      </c>
      <c r="J476" s="8" t="s">
        <v>514</v>
      </c>
      <c r="K476" s="9">
        <v>45150</v>
      </c>
      <c r="L476" s="9">
        <v>46600</v>
      </c>
      <c r="M476" s="8" t="s">
        <v>16</v>
      </c>
      <c r="P476" s="17" t="s">
        <v>479</v>
      </c>
      <c r="Q476" s="2" t="s">
        <v>312</v>
      </c>
      <c r="S476" s="8" t="s">
        <v>629</v>
      </c>
      <c r="T476" s="9">
        <v>46357</v>
      </c>
      <c r="U476" s="8">
        <v>0</v>
      </c>
      <c r="V476" s="20">
        <v>40</v>
      </c>
      <c r="W476" s="21" t="s">
        <v>16</v>
      </c>
    </row>
    <row r="477" spans="1:23" ht="60">
      <c r="A477" s="8" t="s">
        <v>2683</v>
      </c>
      <c r="B477" s="8" t="s">
        <v>515</v>
      </c>
      <c r="C477" s="8" t="s">
        <v>2197</v>
      </c>
      <c r="D477" s="8" t="s">
        <v>18</v>
      </c>
      <c r="E477" s="8" t="s">
        <v>2217</v>
      </c>
      <c r="F477" s="8" t="s">
        <v>2217</v>
      </c>
      <c r="G477" s="8" t="s">
        <v>2217</v>
      </c>
      <c r="H477" s="8">
        <v>250</v>
      </c>
      <c r="I477" s="8">
        <v>250</v>
      </c>
      <c r="J477" s="8" t="s">
        <v>516</v>
      </c>
      <c r="K477" s="9">
        <v>45355</v>
      </c>
      <c r="L477" s="9">
        <v>46357</v>
      </c>
      <c r="M477" s="8" t="s">
        <v>16</v>
      </c>
      <c r="P477" s="17" t="s">
        <v>480</v>
      </c>
      <c r="Q477" s="2" t="s">
        <v>312</v>
      </c>
      <c r="S477" s="8" t="s">
        <v>629</v>
      </c>
      <c r="T477" s="9">
        <v>46113</v>
      </c>
      <c r="U477" s="8">
        <v>0</v>
      </c>
      <c r="V477" s="20">
        <v>80</v>
      </c>
      <c r="W477" s="21" t="s">
        <v>16</v>
      </c>
    </row>
    <row r="478" spans="1:23" ht="60">
      <c r="A478" s="8" t="s">
        <v>2684</v>
      </c>
      <c r="B478" s="8" t="s">
        <v>517</v>
      </c>
      <c r="C478" s="8" t="s">
        <v>2197</v>
      </c>
      <c r="D478" s="8" t="s">
        <v>18</v>
      </c>
      <c r="E478" s="8" t="s">
        <v>2217</v>
      </c>
      <c r="F478" s="8" t="s">
        <v>2217</v>
      </c>
      <c r="G478" s="8" t="s">
        <v>2217</v>
      </c>
      <c r="H478" s="8">
        <v>299</v>
      </c>
      <c r="I478" s="8">
        <v>299</v>
      </c>
      <c r="J478" s="8" t="s">
        <v>518</v>
      </c>
      <c r="K478" s="9">
        <v>45355</v>
      </c>
      <c r="L478" s="9">
        <v>46419</v>
      </c>
      <c r="M478" s="8" t="s">
        <v>16</v>
      </c>
      <c r="P478" s="16" t="s">
        <v>481</v>
      </c>
      <c r="Q478" s="2" t="s">
        <v>16</v>
      </c>
      <c r="S478" s="8" t="s">
        <v>629</v>
      </c>
      <c r="T478" s="9">
        <v>46174</v>
      </c>
      <c r="U478" s="8">
        <v>0</v>
      </c>
      <c r="V478" s="20">
        <v>120</v>
      </c>
      <c r="W478" s="21" t="s">
        <v>16</v>
      </c>
    </row>
    <row r="479" spans="1:23" ht="60">
      <c r="A479" s="8" t="s">
        <v>2685</v>
      </c>
      <c r="B479" s="8" t="s">
        <v>519</v>
      </c>
      <c r="C479" s="8" t="s">
        <v>2197</v>
      </c>
      <c r="D479" s="8" t="s">
        <v>18</v>
      </c>
      <c r="E479" s="8" t="s">
        <v>16</v>
      </c>
      <c r="F479" s="8" t="s">
        <v>2198</v>
      </c>
      <c r="G479" s="8" t="s">
        <v>2686</v>
      </c>
      <c r="H479" s="8">
        <v>3492</v>
      </c>
      <c r="I479" s="8">
        <v>12</v>
      </c>
      <c r="J479" s="8" t="s">
        <v>520</v>
      </c>
      <c r="K479" s="9">
        <v>45405</v>
      </c>
      <c r="L479" s="9">
        <v>45689</v>
      </c>
      <c r="M479" s="8" t="s">
        <v>16</v>
      </c>
      <c r="P479" s="16" t="s">
        <v>482</v>
      </c>
      <c r="Q479" s="2" t="s">
        <v>16</v>
      </c>
      <c r="S479" s="8" t="s">
        <v>629</v>
      </c>
      <c r="T479" s="9">
        <v>46082</v>
      </c>
      <c r="U479" s="8">
        <v>0</v>
      </c>
      <c r="V479" s="20">
        <v>140</v>
      </c>
      <c r="W479" s="21" t="s">
        <v>16</v>
      </c>
    </row>
    <row r="480" spans="1:23" ht="60">
      <c r="A480" s="8" t="s">
        <v>2685</v>
      </c>
      <c r="B480" s="8" t="s">
        <v>519</v>
      </c>
      <c r="C480" s="8" t="s">
        <v>2197</v>
      </c>
      <c r="D480" s="8" t="s">
        <v>18</v>
      </c>
      <c r="E480" s="8" t="s">
        <v>16</v>
      </c>
      <c r="F480" s="8" t="s">
        <v>2198</v>
      </c>
      <c r="G480" s="8" t="s">
        <v>2686</v>
      </c>
      <c r="H480" s="8">
        <v>3492</v>
      </c>
      <c r="I480" s="8">
        <v>3480</v>
      </c>
      <c r="J480" s="8" t="s">
        <v>521</v>
      </c>
      <c r="K480" s="9">
        <v>45419</v>
      </c>
      <c r="L480" s="9">
        <v>45748</v>
      </c>
      <c r="M480" s="8" t="s">
        <v>16</v>
      </c>
      <c r="P480" s="16" t="s">
        <v>482</v>
      </c>
      <c r="Q480" s="2" t="s">
        <v>16</v>
      </c>
      <c r="S480" s="8" t="s">
        <v>629</v>
      </c>
      <c r="T480" s="9">
        <v>46204</v>
      </c>
      <c r="U480" s="8">
        <v>0</v>
      </c>
      <c r="V480" s="20">
        <v>297</v>
      </c>
      <c r="W480" s="21" t="s">
        <v>16</v>
      </c>
    </row>
    <row r="481" spans="1:23" ht="45">
      <c r="A481" s="8" t="s">
        <v>2687</v>
      </c>
      <c r="B481" s="8" t="s">
        <v>522</v>
      </c>
      <c r="C481" s="8" t="s">
        <v>2197</v>
      </c>
      <c r="D481" s="8" t="s">
        <v>18</v>
      </c>
      <c r="E481" s="8" t="s">
        <v>16</v>
      </c>
      <c r="F481" s="8" t="s">
        <v>2198</v>
      </c>
      <c r="G481" s="8" t="s">
        <v>2686</v>
      </c>
      <c r="H481" s="8">
        <v>3476</v>
      </c>
      <c r="I481" s="8">
        <v>331</v>
      </c>
      <c r="J481" s="8" t="s">
        <v>523</v>
      </c>
      <c r="K481" s="9">
        <v>45405</v>
      </c>
      <c r="L481" s="9">
        <v>45689</v>
      </c>
      <c r="M481" s="8" t="s">
        <v>16</v>
      </c>
      <c r="P481" s="16" t="s">
        <v>482</v>
      </c>
      <c r="Q481" s="2" t="s">
        <v>16</v>
      </c>
      <c r="S481" s="8" t="s">
        <v>630</v>
      </c>
      <c r="T481" s="9" t="s">
        <v>2222</v>
      </c>
      <c r="U481" s="8">
        <v>0</v>
      </c>
      <c r="V481" s="20">
        <v>44</v>
      </c>
      <c r="W481" s="21" t="s">
        <v>43</v>
      </c>
    </row>
    <row r="482" spans="1:23" ht="60">
      <c r="A482" s="8" t="s">
        <v>2687</v>
      </c>
      <c r="B482" s="8" t="s">
        <v>522</v>
      </c>
      <c r="C482" s="8" t="s">
        <v>2197</v>
      </c>
      <c r="D482" s="8" t="s">
        <v>18</v>
      </c>
      <c r="E482" s="8" t="s">
        <v>16</v>
      </c>
      <c r="F482" s="8" t="s">
        <v>2198</v>
      </c>
      <c r="G482" s="8" t="s">
        <v>2686</v>
      </c>
      <c r="H482" s="8">
        <v>3476</v>
      </c>
      <c r="I482" s="8">
        <v>345</v>
      </c>
      <c r="J482" s="8" t="s">
        <v>524</v>
      </c>
      <c r="K482" s="9">
        <v>45405</v>
      </c>
      <c r="L482" s="9">
        <v>45689</v>
      </c>
      <c r="M482" s="8" t="s">
        <v>16</v>
      </c>
      <c r="P482" s="16" t="s">
        <v>483</v>
      </c>
      <c r="Q482" s="2" t="s">
        <v>16</v>
      </c>
      <c r="S482" s="8" t="s">
        <v>631</v>
      </c>
      <c r="T482" s="9">
        <v>45870</v>
      </c>
      <c r="U482" s="8">
        <v>0</v>
      </c>
      <c r="V482" s="20">
        <v>27</v>
      </c>
      <c r="W482" s="21" t="s">
        <v>16</v>
      </c>
    </row>
    <row r="483" spans="1:23" ht="60">
      <c r="A483" s="8" t="s">
        <v>2687</v>
      </c>
      <c r="B483" s="8" t="s">
        <v>522</v>
      </c>
      <c r="C483" s="8" t="s">
        <v>2197</v>
      </c>
      <c r="D483" s="8" t="s">
        <v>18</v>
      </c>
      <c r="E483" s="8" t="s">
        <v>16</v>
      </c>
      <c r="F483" s="8" t="s">
        <v>2198</v>
      </c>
      <c r="G483" s="8" t="s">
        <v>2686</v>
      </c>
      <c r="H483" s="8">
        <v>3476</v>
      </c>
      <c r="I483" s="8">
        <v>2800</v>
      </c>
      <c r="J483" s="8" t="s">
        <v>525</v>
      </c>
      <c r="K483" s="9">
        <v>45405</v>
      </c>
      <c r="L483" s="9">
        <v>45689</v>
      </c>
      <c r="M483" s="8" t="s">
        <v>16</v>
      </c>
      <c r="P483" s="16" t="s">
        <v>483</v>
      </c>
      <c r="Q483" s="2" t="s">
        <v>16</v>
      </c>
      <c r="S483" s="8" t="s">
        <v>631</v>
      </c>
      <c r="T483" s="9">
        <v>46204</v>
      </c>
      <c r="U483" s="8">
        <v>0</v>
      </c>
      <c r="V483" s="20">
        <v>500</v>
      </c>
      <c r="W483" s="21" t="s">
        <v>16</v>
      </c>
    </row>
    <row r="484" spans="1:23" ht="60">
      <c r="A484" s="8" t="s">
        <v>2688</v>
      </c>
      <c r="B484" s="8" t="s">
        <v>526</v>
      </c>
      <c r="C484" s="8" t="s">
        <v>2203</v>
      </c>
      <c r="D484" s="8" t="s">
        <v>18</v>
      </c>
      <c r="E484" s="8" t="s">
        <v>16</v>
      </c>
      <c r="F484" s="8" t="s">
        <v>2198</v>
      </c>
      <c r="G484" s="8" t="s">
        <v>2689</v>
      </c>
      <c r="H484" s="8">
        <v>310</v>
      </c>
      <c r="I484" s="8">
        <v>310</v>
      </c>
      <c r="J484" s="8">
        <v>181728</v>
      </c>
      <c r="K484" s="9">
        <v>45350</v>
      </c>
      <c r="L484" s="9">
        <v>46388</v>
      </c>
      <c r="M484" s="8" t="s">
        <v>16</v>
      </c>
      <c r="P484" s="16" t="s">
        <v>484</v>
      </c>
      <c r="Q484" s="2" t="s">
        <v>43</v>
      </c>
      <c r="S484" s="8" t="s">
        <v>632</v>
      </c>
      <c r="T484" s="9">
        <v>45962</v>
      </c>
      <c r="U484" s="8">
        <v>0</v>
      </c>
      <c r="V484" s="20">
        <v>1833</v>
      </c>
      <c r="W484" s="21" t="s">
        <v>16</v>
      </c>
    </row>
    <row r="485" spans="1:23" ht="45">
      <c r="A485" s="8" t="s">
        <v>2690</v>
      </c>
      <c r="B485" s="8" t="s">
        <v>527</v>
      </c>
      <c r="C485" s="8" t="s">
        <v>2197</v>
      </c>
      <c r="D485" s="8" t="s">
        <v>18</v>
      </c>
      <c r="E485" s="8" t="s">
        <v>16</v>
      </c>
      <c r="F485" s="8" t="s">
        <v>2198</v>
      </c>
      <c r="G485" s="8" t="s">
        <v>2691</v>
      </c>
      <c r="H485" s="8">
        <v>1120</v>
      </c>
      <c r="I485" s="8">
        <v>80</v>
      </c>
      <c r="J485" s="8" t="s">
        <v>528</v>
      </c>
      <c r="K485" s="9">
        <v>45113</v>
      </c>
      <c r="L485" s="9">
        <v>46023</v>
      </c>
      <c r="M485" s="8" t="s">
        <v>16</v>
      </c>
      <c r="P485" s="16" t="s">
        <v>485</v>
      </c>
      <c r="Q485" s="2" t="s">
        <v>43</v>
      </c>
      <c r="S485" s="8" t="s">
        <v>634</v>
      </c>
      <c r="T485" s="9">
        <v>43678</v>
      </c>
      <c r="U485" s="8">
        <v>0</v>
      </c>
      <c r="V485" s="20">
        <v>1</v>
      </c>
      <c r="W485" s="21" t="s">
        <v>38</v>
      </c>
    </row>
    <row r="486" spans="1:23" ht="60">
      <c r="A486" s="8" t="s">
        <v>2690</v>
      </c>
      <c r="B486" s="8" t="s">
        <v>527</v>
      </c>
      <c r="C486" s="8" t="s">
        <v>2197</v>
      </c>
      <c r="D486" s="8" t="s">
        <v>18</v>
      </c>
      <c r="E486" s="8" t="s">
        <v>16</v>
      </c>
      <c r="F486" s="8" t="s">
        <v>2198</v>
      </c>
      <c r="G486" s="8" t="s">
        <v>2691</v>
      </c>
      <c r="H486" s="8">
        <v>1120</v>
      </c>
      <c r="I486" s="8">
        <v>1040</v>
      </c>
      <c r="J486" s="8" t="s">
        <v>529</v>
      </c>
      <c r="K486" s="9">
        <v>45113</v>
      </c>
      <c r="L486" s="9">
        <v>45809</v>
      </c>
      <c r="M486" s="8" t="s">
        <v>16</v>
      </c>
      <c r="P486" s="16" t="s">
        <v>486</v>
      </c>
      <c r="Q486" s="2" t="s">
        <v>16</v>
      </c>
      <c r="S486" s="8" t="s">
        <v>635</v>
      </c>
      <c r="T486" s="9">
        <v>46539</v>
      </c>
      <c r="U486" s="8">
        <v>0</v>
      </c>
      <c r="V486" s="20">
        <v>7519</v>
      </c>
      <c r="W486" s="21" t="s">
        <v>16</v>
      </c>
    </row>
    <row r="487" spans="1:23" ht="60">
      <c r="A487" s="8" t="s">
        <v>2692</v>
      </c>
      <c r="B487" s="8" t="s">
        <v>530</v>
      </c>
      <c r="C487" s="8" t="s">
        <v>2203</v>
      </c>
      <c r="D487" s="8" t="s">
        <v>18</v>
      </c>
      <c r="E487" s="8" t="s">
        <v>16</v>
      </c>
      <c r="F487" s="8" t="s">
        <v>2204</v>
      </c>
      <c r="G487" s="8" t="s">
        <v>2693</v>
      </c>
      <c r="H487" s="8">
        <v>3645</v>
      </c>
      <c r="I487" s="8">
        <v>5</v>
      </c>
      <c r="J487" s="8" t="s">
        <v>531</v>
      </c>
      <c r="K487" s="9">
        <v>44867</v>
      </c>
      <c r="L487" s="9">
        <v>46113</v>
      </c>
      <c r="M487" s="8" t="s">
        <v>16</v>
      </c>
      <c r="P487" s="16" t="s">
        <v>486</v>
      </c>
      <c r="Q487" s="2" t="s">
        <v>16</v>
      </c>
      <c r="S487" s="8" t="s">
        <v>635</v>
      </c>
      <c r="T487" s="9">
        <v>46569</v>
      </c>
      <c r="U487" s="8">
        <v>0</v>
      </c>
      <c r="V487" s="20">
        <v>1300</v>
      </c>
      <c r="W487" s="21" t="s">
        <v>16</v>
      </c>
    </row>
    <row r="488" spans="1:23" ht="60">
      <c r="A488" s="8" t="s">
        <v>2692</v>
      </c>
      <c r="B488" s="8" t="s">
        <v>530</v>
      </c>
      <c r="C488" s="8" t="s">
        <v>2203</v>
      </c>
      <c r="D488" s="8" t="s">
        <v>18</v>
      </c>
      <c r="E488" s="8" t="s">
        <v>16</v>
      </c>
      <c r="F488" s="8" t="s">
        <v>2204</v>
      </c>
      <c r="G488" s="8" t="s">
        <v>2693</v>
      </c>
      <c r="H488" s="8">
        <v>3645</v>
      </c>
      <c r="I488" s="8">
        <v>40</v>
      </c>
      <c r="J488" s="8" t="s">
        <v>532</v>
      </c>
      <c r="K488" s="9">
        <v>45296</v>
      </c>
      <c r="L488" s="9">
        <v>47027</v>
      </c>
      <c r="M488" s="8" t="s">
        <v>16</v>
      </c>
      <c r="P488" s="16" t="s">
        <v>487</v>
      </c>
      <c r="Q488" s="2" t="s">
        <v>16</v>
      </c>
      <c r="S488" s="8" t="s">
        <v>639</v>
      </c>
      <c r="T488" s="9">
        <v>46997</v>
      </c>
      <c r="U488" s="8">
        <v>0</v>
      </c>
      <c r="V488" s="20">
        <v>50</v>
      </c>
      <c r="W488" s="21" t="s">
        <v>16</v>
      </c>
    </row>
    <row r="489" spans="1:23" ht="45">
      <c r="A489" s="8" t="s">
        <v>2692</v>
      </c>
      <c r="B489" s="8" t="s">
        <v>530</v>
      </c>
      <c r="C489" s="8" t="s">
        <v>2203</v>
      </c>
      <c r="D489" s="8" t="s">
        <v>18</v>
      </c>
      <c r="E489" s="8" t="s">
        <v>16</v>
      </c>
      <c r="F489" s="8" t="s">
        <v>2204</v>
      </c>
      <c r="G489" s="8" t="s">
        <v>2693</v>
      </c>
      <c r="H489" s="8">
        <v>3645</v>
      </c>
      <c r="I489" s="8">
        <v>3600</v>
      </c>
      <c r="J489" s="8" t="s">
        <v>533</v>
      </c>
      <c r="K489" s="9">
        <v>45296</v>
      </c>
      <c r="L489" s="9">
        <v>47088</v>
      </c>
      <c r="M489" s="8" t="s">
        <v>16</v>
      </c>
      <c r="P489" s="16" t="s">
        <v>488</v>
      </c>
      <c r="Q489" s="2" t="s">
        <v>16</v>
      </c>
      <c r="S489" s="8" t="s">
        <v>640</v>
      </c>
      <c r="T489" s="9" t="s">
        <v>2222</v>
      </c>
      <c r="U489" s="8">
        <v>0</v>
      </c>
      <c r="V489" s="20">
        <v>25</v>
      </c>
      <c r="W489" s="21" t="s">
        <v>41</v>
      </c>
    </row>
    <row r="490" spans="1:23" ht="45">
      <c r="A490" s="8" t="s">
        <v>2694</v>
      </c>
      <c r="B490" s="8" t="s">
        <v>534</v>
      </c>
      <c r="C490" s="8" t="s">
        <v>2197</v>
      </c>
      <c r="D490" s="8" t="s">
        <v>18</v>
      </c>
      <c r="E490" s="8" t="s">
        <v>16</v>
      </c>
      <c r="F490" s="8" t="s">
        <v>2198</v>
      </c>
      <c r="G490" s="8" t="s">
        <v>2695</v>
      </c>
      <c r="H490" s="8">
        <v>32</v>
      </c>
      <c r="I490" s="8">
        <v>32</v>
      </c>
      <c r="J490" s="8">
        <v>318082</v>
      </c>
      <c r="K490" s="9">
        <v>43946</v>
      </c>
      <c r="L490" s="8" t="s">
        <v>2222</v>
      </c>
      <c r="M490" s="8" t="s">
        <v>16</v>
      </c>
      <c r="P490" s="16" t="s">
        <v>488</v>
      </c>
      <c r="Q490" s="2" t="s">
        <v>16</v>
      </c>
      <c r="S490" s="8" t="s">
        <v>641</v>
      </c>
      <c r="T490" s="9">
        <v>46600</v>
      </c>
      <c r="U490" s="8">
        <v>0</v>
      </c>
      <c r="V490" s="20">
        <v>10</v>
      </c>
      <c r="W490" s="21" t="s">
        <v>16</v>
      </c>
    </row>
    <row r="491" spans="1:23" ht="60">
      <c r="A491" s="8" t="s">
        <v>2696</v>
      </c>
      <c r="B491" s="8" t="s">
        <v>535</v>
      </c>
      <c r="C491" s="8" t="s">
        <v>2203</v>
      </c>
      <c r="D491" s="8" t="s">
        <v>192</v>
      </c>
      <c r="E491" s="8" t="s">
        <v>16</v>
      </c>
      <c r="F491" s="8" t="s">
        <v>2204</v>
      </c>
      <c r="G491" s="8" t="s">
        <v>2697</v>
      </c>
      <c r="H491" s="8">
        <v>648</v>
      </c>
      <c r="I491" s="8">
        <v>648</v>
      </c>
      <c r="J491" s="8">
        <v>522294</v>
      </c>
      <c r="K491" s="9">
        <v>44858</v>
      </c>
      <c r="L491" s="9">
        <v>45474</v>
      </c>
      <c r="M491" s="8" t="s">
        <v>16</v>
      </c>
      <c r="P491" s="16" t="s">
        <v>489</v>
      </c>
      <c r="Q491" s="2" t="s">
        <v>16</v>
      </c>
      <c r="S491" s="8" t="s">
        <v>641</v>
      </c>
      <c r="T491" s="9">
        <v>46844</v>
      </c>
      <c r="U491" s="8">
        <v>0</v>
      </c>
      <c r="V491" s="20">
        <v>2</v>
      </c>
      <c r="W491" s="21" t="s">
        <v>16</v>
      </c>
    </row>
    <row r="492" spans="1:23" ht="45">
      <c r="A492" s="8" t="s">
        <v>2698</v>
      </c>
      <c r="B492" s="8" t="s">
        <v>536</v>
      </c>
      <c r="C492" s="8" t="s">
        <v>2197</v>
      </c>
      <c r="D492" s="8" t="s">
        <v>192</v>
      </c>
      <c r="E492" s="8" t="s">
        <v>16</v>
      </c>
      <c r="F492" s="8" t="s">
        <v>2198</v>
      </c>
      <c r="G492" s="8" t="s">
        <v>2699</v>
      </c>
      <c r="H492" s="8">
        <v>9</v>
      </c>
      <c r="I492" s="8">
        <v>9</v>
      </c>
      <c r="J492" s="8">
        <v>26163001</v>
      </c>
      <c r="K492" s="9">
        <v>44401</v>
      </c>
      <c r="L492" s="9">
        <v>45474</v>
      </c>
      <c r="M492" s="8" t="s">
        <v>16</v>
      </c>
      <c r="P492" s="16" t="s">
        <v>490</v>
      </c>
      <c r="Q492" s="2" t="s">
        <v>43</v>
      </c>
      <c r="S492" s="8" t="s">
        <v>641</v>
      </c>
      <c r="T492" s="9">
        <v>46966</v>
      </c>
      <c r="U492" s="8">
        <v>0</v>
      </c>
      <c r="V492" s="20">
        <v>444</v>
      </c>
      <c r="W492" s="21" t="s">
        <v>16</v>
      </c>
    </row>
    <row r="493" spans="1:23" ht="48.75">
      <c r="A493" s="8" t="s">
        <v>2698</v>
      </c>
      <c r="B493" s="8" t="s">
        <v>536</v>
      </c>
      <c r="C493" s="8" t="s">
        <v>2197</v>
      </c>
      <c r="D493" s="8" t="s">
        <v>18</v>
      </c>
      <c r="E493" s="8" t="s">
        <v>16</v>
      </c>
      <c r="F493" s="8" t="s">
        <v>2198</v>
      </c>
      <c r="G493" s="8" t="s">
        <v>2699</v>
      </c>
      <c r="H493" s="8">
        <v>210</v>
      </c>
      <c r="I493" s="8">
        <v>210</v>
      </c>
      <c r="J493" s="8">
        <v>14113101</v>
      </c>
      <c r="K493" s="9">
        <v>44608</v>
      </c>
      <c r="L493" s="9">
        <v>45689</v>
      </c>
      <c r="M493" s="8" t="s">
        <v>16</v>
      </c>
      <c r="P493" s="16" t="s">
        <v>491</v>
      </c>
      <c r="Q493" s="2" t="s">
        <v>41</v>
      </c>
      <c r="S493" s="8" t="s">
        <v>642</v>
      </c>
      <c r="T493" s="9">
        <v>45839</v>
      </c>
      <c r="U493" s="8">
        <v>0</v>
      </c>
      <c r="V493" s="20">
        <v>2995</v>
      </c>
      <c r="W493" s="21" t="s">
        <v>16</v>
      </c>
    </row>
    <row r="494" spans="1:23" ht="60">
      <c r="A494" s="8" t="s">
        <v>2700</v>
      </c>
      <c r="B494" s="8" t="s">
        <v>537</v>
      </c>
      <c r="C494" s="8" t="s">
        <v>2197</v>
      </c>
      <c r="D494" s="8" t="s">
        <v>18</v>
      </c>
      <c r="E494" s="8" t="s">
        <v>16</v>
      </c>
      <c r="F494" s="8" t="s">
        <v>2198</v>
      </c>
      <c r="G494" s="8" t="s">
        <v>2699</v>
      </c>
      <c r="H494" s="8">
        <v>498</v>
      </c>
      <c r="I494" s="8">
        <v>90</v>
      </c>
      <c r="J494" s="8">
        <v>30163101</v>
      </c>
      <c r="K494" s="9">
        <v>44904</v>
      </c>
      <c r="L494" s="9">
        <v>45931</v>
      </c>
      <c r="M494" s="8" t="s">
        <v>16</v>
      </c>
      <c r="P494" s="16" t="s">
        <v>492</v>
      </c>
      <c r="Q494" s="2" t="s">
        <v>16</v>
      </c>
      <c r="S494" s="8" t="s">
        <v>643</v>
      </c>
      <c r="T494" s="9">
        <v>46600</v>
      </c>
      <c r="U494" s="8">
        <v>0</v>
      </c>
      <c r="V494" s="20">
        <v>948</v>
      </c>
      <c r="W494" s="21" t="s">
        <v>16</v>
      </c>
    </row>
    <row r="495" spans="1:23" ht="60">
      <c r="A495" s="8" t="s">
        <v>2700</v>
      </c>
      <c r="B495" s="8" t="s">
        <v>537</v>
      </c>
      <c r="C495" s="8" t="s">
        <v>2197</v>
      </c>
      <c r="D495" s="8" t="s">
        <v>18</v>
      </c>
      <c r="E495" s="8" t="s">
        <v>16</v>
      </c>
      <c r="F495" s="8" t="s">
        <v>2198</v>
      </c>
      <c r="G495" s="8" t="s">
        <v>2699</v>
      </c>
      <c r="H495" s="8">
        <v>498</v>
      </c>
      <c r="I495" s="8">
        <v>180</v>
      </c>
      <c r="J495" s="8">
        <v>31212901</v>
      </c>
      <c r="K495" s="9">
        <v>44904</v>
      </c>
      <c r="L495" s="9">
        <v>45627</v>
      </c>
      <c r="M495" s="8" t="s">
        <v>16</v>
      </c>
      <c r="P495" s="16" t="s">
        <v>494</v>
      </c>
      <c r="Q495" s="2" t="s">
        <v>16</v>
      </c>
      <c r="S495" s="8" t="s">
        <v>645</v>
      </c>
      <c r="T495" s="9">
        <v>46388</v>
      </c>
      <c r="U495" s="8">
        <v>0</v>
      </c>
      <c r="V495" s="20">
        <v>649</v>
      </c>
      <c r="W495" s="21" t="s">
        <v>16</v>
      </c>
    </row>
    <row r="496" spans="1:23" ht="45">
      <c r="A496" s="8" t="s">
        <v>2700</v>
      </c>
      <c r="B496" s="8" t="s">
        <v>537</v>
      </c>
      <c r="C496" s="8" t="s">
        <v>2197</v>
      </c>
      <c r="D496" s="8" t="s">
        <v>18</v>
      </c>
      <c r="E496" s="8" t="s">
        <v>16</v>
      </c>
      <c r="F496" s="8" t="s">
        <v>2198</v>
      </c>
      <c r="G496" s="8" t="s">
        <v>2699</v>
      </c>
      <c r="H496" s="8">
        <v>498</v>
      </c>
      <c r="I496" s="8">
        <v>228</v>
      </c>
      <c r="J496" s="8">
        <v>29172801</v>
      </c>
      <c r="K496" s="9">
        <v>44911</v>
      </c>
      <c r="L496" s="9">
        <v>45962</v>
      </c>
      <c r="M496" s="8" t="s">
        <v>16</v>
      </c>
      <c r="P496" s="16" t="s">
        <v>494</v>
      </c>
      <c r="Q496" s="2" t="s">
        <v>16</v>
      </c>
      <c r="S496" s="8" t="s">
        <v>647</v>
      </c>
      <c r="T496" s="9">
        <v>45901</v>
      </c>
      <c r="U496" s="8">
        <v>0</v>
      </c>
      <c r="V496" s="20">
        <v>5</v>
      </c>
      <c r="W496" s="21" t="s">
        <v>16</v>
      </c>
    </row>
    <row r="497" spans="1:23" ht="45">
      <c r="A497" s="8" t="s">
        <v>2701</v>
      </c>
      <c r="B497" s="8" t="s">
        <v>538</v>
      </c>
      <c r="C497" s="8" t="s">
        <v>2303</v>
      </c>
      <c r="D497" s="8" t="s">
        <v>18</v>
      </c>
      <c r="E497" s="8" t="s">
        <v>16</v>
      </c>
      <c r="F497" s="8" t="s">
        <v>2228</v>
      </c>
      <c r="G497" s="8" t="s">
        <v>2702</v>
      </c>
      <c r="H497" s="8">
        <v>40</v>
      </c>
      <c r="I497" s="8">
        <v>40</v>
      </c>
      <c r="J497" s="8" t="s">
        <v>539</v>
      </c>
      <c r="K497" s="9">
        <v>45307</v>
      </c>
      <c r="L497" s="9">
        <v>47119</v>
      </c>
      <c r="M497" s="8" t="s">
        <v>16</v>
      </c>
      <c r="P497" s="16" t="s">
        <v>496</v>
      </c>
      <c r="Q497" s="2" t="s">
        <v>16</v>
      </c>
      <c r="S497" s="8" t="s">
        <v>648</v>
      </c>
      <c r="T497" s="9">
        <v>46874</v>
      </c>
      <c r="U497" s="8">
        <v>0</v>
      </c>
      <c r="V497" s="20">
        <v>103</v>
      </c>
      <c r="W497" s="21" t="s">
        <v>16</v>
      </c>
    </row>
    <row r="498" spans="1:23" ht="45">
      <c r="A498" s="8" t="s">
        <v>2703</v>
      </c>
      <c r="B498" s="8" t="s">
        <v>540</v>
      </c>
      <c r="C498" s="8" t="s">
        <v>2197</v>
      </c>
      <c r="D498" s="8" t="s">
        <v>18</v>
      </c>
      <c r="E498" s="8" t="s">
        <v>16</v>
      </c>
      <c r="F498" s="8" t="s">
        <v>2228</v>
      </c>
      <c r="G498" s="8" t="s">
        <v>2702</v>
      </c>
      <c r="H498" s="8">
        <v>2150</v>
      </c>
      <c r="I498" s="8">
        <v>2150</v>
      </c>
      <c r="J498" s="8" t="s">
        <v>541</v>
      </c>
      <c r="K498" s="9">
        <v>45307</v>
      </c>
      <c r="L498" s="9">
        <v>47119</v>
      </c>
      <c r="M498" s="8" t="s">
        <v>16</v>
      </c>
      <c r="P498" s="16" t="s">
        <v>497</v>
      </c>
      <c r="Q498" s="2" t="s">
        <v>16</v>
      </c>
      <c r="S498" s="8" t="s">
        <v>649</v>
      </c>
      <c r="T498" s="9">
        <v>46874</v>
      </c>
      <c r="U498" s="8">
        <v>0</v>
      </c>
      <c r="V498" s="20">
        <v>5</v>
      </c>
      <c r="W498" s="21" t="s">
        <v>16</v>
      </c>
    </row>
    <row r="499" spans="1:23" ht="45">
      <c r="A499" s="8" t="s">
        <v>2704</v>
      </c>
      <c r="B499" s="8" t="s">
        <v>542</v>
      </c>
      <c r="C499" s="8" t="s">
        <v>2307</v>
      </c>
      <c r="D499" s="8" t="s">
        <v>18</v>
      </c>
      <c r="E499" s="8" t="s">
        <v>16</v>
      </c>
      <c r="F499" s="8" t="s">
        <v>2228</v>
      </c>
      <c r="G499" s="8" t="s">
        <v>2702</v>
      </c>
      <c r="H499" s="8">
        <v>152</v>
      </c>
      <c r="I499" s="8">
        <v>152</v>
      </c>
      <c r="J499" s="8" t="s">
        <v>543</v>
      </c>
      <c r="K499" s="9">
        <v>45271</v>
      </c>
      <c r="L499" s="9">
        <v>47088</v>
      </c>
      <c r="M499" s="8" t="s">
        <v>16</v>
      </c>
      <c r="P499" s="17" t="s">
        <v>498</v>
      </c>
      <c r="Q499" s="2" t="s">
        <v>38</v>
      </c>
      <c r="S499" s="8" t="s">
        <v>649</v>
      </c>
      <c r="T499" s="9">
        <v>46997</v>
      </c>
      <c r="U499" s="8">
        <v>0</v>
      </c>
      <c r="V499" s="20">
        <v>150</v>
      </c>
      <c r="W499" s="21" t="s">
        <v>16</v>
      </c>
    </row>
    <row r="500" spans="1:23" ht="48.75">
      <c r="A500" s="8" t="s">
        <v>2705</v>
      </c>
      <c r="B500" s="8" t="s">
        <v>544</v>
      </c>
      <c r="C500" s="8" t="s">
        <v>2197</v>
      </c>
      <c r="D500" s="8" t="s">
        <v>18</v>
      </c>
      <c r="E500" s="8" t="s">
        <v>16</v>
      </c>
      <c r="F500" s="8" t="s">
        <v>2198</v>
      </c>
      <c r="G500" s="8" t="s">
        <v>2706</v>
      </c>
      <c r="H500" s="8">
        <v>22980</v>
      </c>
      <c r="I500" s="8">
        <v>10679</v>
      </c>
      <c r="J500" s="8" t="s">
        <v>545</v>
      </c>
      <c r="K500" s="9">
        <v>45418</v>
      </c>
      <c r="L500" s="9">
        <v>46844</v>
      </c>
      <c r="M500" s="8" t="s">
        <v>16</v>
      </c>
      <c r="P500" s="16" t="s">
        <v>499</v>
      </c>
      <c r="Q500" s="2" t="s">
        <v>16</v>
      </c>
      <c r="S500" s="8" t="s">
        <v>649</v>
      </c>
      <c r="T500" s="9">
        <v>47088</v>
      </c>
      <c r="U500" s="8">
        <v>0</v>
      </c>
      <c r="V500" s="20">
        <v>1050</v>
      </c>
      <c r="W500" s="21" t="s">
        <v>16</v>
      </c>
    </row>
    <row r="501" spans="1:23" ht="48.75">
      <c r="A501" s="8" t="s">
        <v>2705</v>
      </c>
      <c r="B501" s="8" t="s">
        <v>544</v>
      </c>
      <c r="C501" s="8" t="s">
        <v>2197</v>
      </c>
      <c r="D501" s="8" t="s">
        <v>18</v>
      </c>
      <c r="E501" s="8" t="s">
        <v>16</v>
      </c>
      <c r="F501" s="8" t="s">
        <v>2198</v>
      </c>
      <c r="G501" s="8" t="s">
        <v>2706</v>
      </c>
      <c r="H501" s="8">
        <v>22980</v>
      </c>
      <c r="I501" s="8">
        <v>12301</v>
      </c>
      <c r="J501" s="8" t="s">
        <v>546</v>
      </c>
      <c r="K501" s="9">
        <v>45418</v>
      </c>
      <c r="L501" s="9">
        <v>46844</v>
      </c>
      <c r="M501" s="8" t="s">
        <v>16</v>
      </c>
      <c r="P501" s="16" t="s">
        <v>499</v>
      </c>
      <c r="Q501" s="2" t="s">
        <v>16</v>
      </c>
      <c r="S501" s="8" t="s">
        <v>650</v>
      </c>
      <c r="T501" s="9">
        <v>46174</v>
      </c>
      <c r="U501" s="8">
        <v>0</v>
      </c>
      <c r="V501" s="20">
        <v>9</v>
      </c>
      <c r="W501" s="21" t="s">
        <v>16</v>
      </c>
    </row>
    <row r="502" spans="1:23" ht="48.75">
      <c r="A502" s="8" t="s">
        <v>2707</v>
      </c>
      <c r="B502" s="8" t="s">
        <v>547</v>
      </c>
      <c r="C502" s="8" t="s">
        <v>2197</v>
      </c>
      <c r="D502" s="8" t="s">
        <v>18</v>
      </c>
      <c r="E502" s="8" t="s">
        <v>16</v>
      </c>
      <c r="F502" s="8" t="s">
        <v>2198</v>
      </c>
      <c r="G502" s="8" t="s">
        <v>2706</v>
      </c>
      <c r="H502" s="8">
        <v>39977</v>
      </c>
      <c r="I502" s="8">
        <v>1000</v>
      </c>
      <c r="J502" s="8" t="s">
        <v>548</v>
      </c>
      <c r="K502" s="9">
        <v>45437</v>
      </c>
      <c r="L502" s="9">
        <v>46874</v>
      </c>
      <c r="M502" s="8" t="s">
        <v>16</v>
      </c>
      <c r="P502" s="16" t="s">
        <v>499</v>
      </c>
      <c r="Q502" s="2" t="s">
        <v>16</v>
      </c>
      <c r="S502" s="8" t="s">
        <v>650</v>
      </c>
      <c r="T502" s="9">
        <v>46997</v>
      </c>
      <c r="U502" s="8">
        <v>0</v>
      </c>
      <c r="V502" s="20">
        <v>820</v>
      </c>
      <c r="W502" s="21" t="s">
        <v>16</v>
      </c>
    </row>
    <row r="503" spans="1:23" ht="45">
      <c r="A503" s="8" t="s">
        <v>2707</v>
      </c>
      <c r="B503" s="8" t="s">
        <v>547</v>
      </c>
      <c r="C503" s="8" t="s">
        <v>2197</v>
      </c>
      <c r="D503" s="8" t="s">
        <v>18</v>
      </c>
      <c r="E503" s="8" t="s">
        <v>16</v>
      </c>
      <c r="F503" s="8" t="s">
        <v>2198</v>
      </c>
      <c r="G503" s="8" t="s">
        <v>2706</v>
      </c>
      <c r="H503" s="8">
        <v>39977</v>
      </c>
      <c r="I503" s="8">
        <v>8900</v>
      </c>
      <c r="J503" s="8" t="s">
        <v>549</v>
      </c>
      <c r="K503" s="9">
        <v>45439</v>
      </c>
      <c r="L503" s="9">
        <v>46874</v>
      </c>
      <c r="M503" s="8" t="s">
        <v>16</v>
      </c>
      <c r="P503" s="17" t="s">
        <v>503</v>
      </c>
      <c r="Q503" s="2" t="s">
        <v>16</v>
      </c>
      <c r="S503" s="8" t="s">
        <v>650</v>
      </c>
      <c r="T503" s="9">
        <v>47088</v>
      </c>
      <c r="U503" s="8">
        <v>0</v>
      </c>
      <c r="V503" s="20">
        <v>1120</v>
      </c>
      <c r="W503" s="21" t="s">
        <v>16</v>
      </c>
    </row>
    <row r="504" spans="1:23" ht="45">
      <c r="A504" s="8" t="s">
        <v>2707</v>
      </c>
      <c r="B504" s="8" t="s">
        <v>547</v>
      </c>
      <c r="C504" s="8" t="s">
        <v>2197</v>
      </c>
      <c r="D504" s="8" t="s">
        <v>18</v>
      </c>
      <c r="E504" s="8" t="s">
        <v>16</v>
      </c>
      <c r="F504" s="8" t="s">
        <v>2198</v>
      </c>
      <c r="G504" s="8" t="s">
        <v>2706</v>
      </c>
      <c r="H504" s="8">
        <v>39977</v>
      </c>
      <c r="I504" s="8">
        <v>30077</v>
      </c>
      <c r="J504" s="8" t="s">
        <v>550</v>
      </c>
      <c r="K504" s="9">
        <v>45437</v>
      </c>
      <c r="L504" s="9">
        <v>46874</v>
      </c>
      <c r="M504" s="8" t="s">
        <v>16</v>
      </c>
      <c r="P504" s="16" t="s">
        <v>505</v>
      </c>
      <c r="Q504" s="2" t="s">
        <v>16</v>
      </c>
      <c r="S504" s="8" t="s">
        <v>651</v>
      </c>
      <c r="T504" s="9">
        <v>47088</v>
      </c>
      <c r="U504" s="8">
        <v>0</v>
      </c>
      <c r="V504" s="20">
        <v>759</v>
      </c>
      <c r="W504" s="21" t="s">
        <v>16</v>
      </c>
    </row>
    <row r="505" spans="1:23" ht="45">
      <c r="A505" s="8" t="s">
        <v>2708</v>
      </c>
      <c r="B505" s="8" t="s">
        <v>551</v>
      </c>
      <c r="C505" s="8" t="s">
        <v>2197</v>
      </c>
      <c r="D505" s="8" t="s">
        <v>18</v>
      </c>
      <c r="E505" s="8" t="s">
        <v>16</v>
      </c>
      <c r="F505" s="8" t="s">
        <v>2198</v>
      </c>
      <c r="G505" s="8" t="s">
        <v>2217</v>
      </c>
      <c r="H505" s="8">
        <v>2</v>
      </c>
      <c r="I505" s="8">
        <v>2</v>
      </c>
      <c r="J505" s="8" t="s">
        <v>552</v>
      </c>
      <c r="K505" s="9">
        <v>45399</v>
      </c>
      <c r="L505" s="9">
        <v>46753</v>
      </c>
      <c r="M505" s="8" t="s">
        <v>16</v>
      </c>
      <c r="P505" s="16" t="s">
        <v>507</v>
      </c>
      <c r="Q505" s="2" t="s">
        <v>16</v>
      </c>
      <c r="S505" s="8" t="s">
        <v>652</v>
      </c>
      <c r="T505" s="9">
        <v>46539</v>
      </c>
      <c r="U505" s="8">
        <v>0</v>
      </c>
      <c r="V505" s="20">
        <v>13</v>
      </c>
      <c r="W505" s="21" t="s">
        <v>16</v>
      </c>
    </row>
    <row r="506" spans="1:23" ht="45">
      <c r="A506" s="8" t="s">
        <v>2709</v>
      </c>
      <c r="B506" s="8" t="s">
        <v>551</v>
      </c>
      <c r="C506" s="8" t="s">
        <v>2197</v>
      </c>
      <c r="D506" s="8" t="s">
        <v>18</v>
      </c>
      <c r="E506" s="8" t="s">
        <v>16</v>
      </c>
      <c r="F506" s="8" t="s">
        <v>2198</v>
      </c>
      <c r="G506" s="8" t="s">
        <v>2706</v>
      </c>
      <c r="H506" s="8">
        <v>2127</v>
      </c>
      <c r="I506" s="8">
        <v>54</v>
      </c>
      <c r="J506" s="8" t="s">
        <v>552</v>
      </c>
      <c r="K506" s="9">
        <v>45374</v>
      </c>
      <c r="L506" s="9">
        <v>46753</v>
      </c>
      <c r="M506" s="8" t="s">
        <v>16</v>
      </c>
      <c r="P506" s="16" t="s">
        <v>507</v>
      </c>
      <c r="Q506" s="2" t="s">
        <v>16</v>
      </c>
      <c r="S506" s="8" t="s">
        <v>652</v>
      </c>
      <c r="T506" s="9">
        <v>47150</v>
      </c>
      <c r="U506" s="8">
        <v>0</v>
      </c>
      <c r="V506" s="20">
        <v>750</v>
      </c>
      <c r="W506" s="21" t="s">
        <v>16</v>
      </c>
    </row>
    <row r="507" spans="1:23" ht="45">
      <c r="A507" s="8" t="s">
        <v>2709</v>
      </c>
      <c r="B507" s="8" t="s">
        <v>551</v>
      </c>
      <c r="C507" s="8" t="s">
        <v>2197</v>
      </c>
      <c r="D507" s="8" t="s">
        <v>18</v>
      </c>
      <c r="E507" s="8" t="s">
        <v>16</v>
      </c>
      <c r="F507" s="8" t="s">
        <v>2198</v>
      </c>
      <c r="G507" s="8" t="s">
        <v>2706</v>
      </c>
      <c r="H507" s="8">
        <v>2127</v>
      </c>
      <c r="I507" s="8">
        <v>2073</v>
      </c>
      <c r="J507" s="8" t="s">
        <v>553</v>
      </c>
      <c r="K507" s="9">
        <v>45377</v>
      </c>
      <c r="L507" s="9">
        <v>46753</v>
      </c>
      <c r="M507" s="8" t="s">
        <v>16</v>
      </c>
      <c r="P507" s="16" t="s">
        <v>508</v>
      </c>
      <c r="Q507" s="2" t="s">
        <v>16</v>
      </c>
      <c r="S507" s="8" t="s">
        <v>652</v>
      </c>
      <c r="T507" s="9">
        <v>47088</v>
      </c>
      <c r="U507" s="8">
        <v>0</v>
      </c>
      <c r="V507" s="20">
        <v>3500</v>
      </c>
      <c r="W507" s="21" t="s">
        <v>16</v>
      </c>
    </row>
    <row r="508" spans="1:23" ht="60">
      <c r="A508" s="8" t="s">
        <v>2710</v>
      </c>
      <c r="B508" s="8" t="s">
        <v>554</v>
      </c>
      <c r="C508" s="8" t="s">
        <v>2197</v>
      </c>
      <c r="D508" s="8" t="s">
        <v>18</v>
      </c>
      <c r="E508" s="8" t="s">
        <v>16</v>
      </c>
      <c r="F508" s="8" t="s">
        <v>2198</v>
      </c>
      <c r="G508" s="8" t="s">
        <v>2706</v>
      </c>
      <c r="H508" s="8">
        <v>4770</v>
      </c>
      <c r="I508" s="8">
        <v>770</v>
      </c>
      <c r="J508" s="8" t="s">
        <v>555</v>
      </c>
      <c r="K508" s="9">
        <v>45408</v>
      </c>
      <c r="L508" s="9">
        <v>46784</v>
      </c>
      <c r="M508" s="8" t="s">
        <v>16</v>
      </c>
      <c r="P508" s="16" t="s">
        <v>508</v>
      </c>
      <c r="Q508" s="2" t="s">
        <v>16</v>
      </c>
      <c r="S508" s="8" t="s">
        <v>653</v>
      </c>
      <c r="T508" s="9">
        <v>46753</v>
      </c>
      <c r="U508" s="8">
        <v>0</v>
      </c>
      <c r="V508" s="20">
        <v>309</v>
      </c>
      <c r="W508" s="21" t="s">
        <v>16</v>
      </c>
    </row>
    <row r="509" spans="1:23" ht="60">
      <c r="A509" s="8" t="s">
        <v>2710</v>
      </c>
      <c r="B509" s="8" t="s">
        <v>554</v>
      </c>
      <c r="C509" s="8" t="s">
        <v>2197</v>
      </c>
      <c r="D509" s="8" t="s">
        <v>18</v>
      </c>
      <c r="E509" s="8" t="s">
        <v>16</v>
      </c>
      <c r="F509" s="8" t="s">
        <v>2198</v>
      </c>
      <c r="G509" s="8" t="s">
        <v>2706</v>
      </c>
      <c r="H509" s="8">
        <v>4770</v>
      </c>
      <c r="I509" s="8">
        <v>1360</v>
      </c>
      <c r="J509" s="8" t="s">
        <v>556</v>
      </c>
      <c r="K509" s="9">
        <v>45430</v>
      </c>
      <c r="L509" s="9">
        <v>46844</v>
      </c>
      <c r="M509" s="8" t="s">
        <v>16</v>
      </c>
      <c r="P509" s="16" t="s">
        <v>508</v>
      </c>
      <c r="Q509" s="2" t="s">
        <v>16</v>
      </c>
      <c r="S509" s="8" t="s">
        <v>655</v>
      </c>
      <c r="T509" s="9">
        <v>46966</v>
      </c>
      <c r="U509" s="8">
        <v>0</v>
      </c>
      <c r="V509" s="20">
        <v>1400</v>
      </c>
      <c r="W509" s="21" t="s">
        <v>16</v>
      </c>
    </row>
    <row r="510" spans="1:23" ht="45">
      <c r="A510" s="8" t="s">
        <v>2710</v>
      </c>
      <c r="B510" s="8" t="s">
        <v>554</v>
      </c>
      <c r="C510" s="8" t="s">
        <v>2197</v>
      </c>
      <c r="D510" s="8" t="s">
        <v>18</v>
      </c>
      <c r="E510" s="8" t="s">
        <v>16</v>
      </c>
      <c r="F510" s="8" t="s">
        <v>2198</v>
      </c>
      <c r="G510" s="8" t="s">
        <v>2706</v>
      </c>
      <c r="H510" s="8">
        <v>4770</v>
      </c>
      <c r="I510" s="8">
        <v>2640</v>
      </c>
      <c r="J510" s="8" t="s">
        <v>557</v>
      </c>
      <c r="K510" s="9">
        <v>45430</v>
      </c>
      <c r="L510" s="9">
        <v>46784</v>
      </c>
      <c r="M510" s="8" t="s">
        <v>16</v>
      </c>
      <c r="P510" s="16" t="s">
        <v>508</v>
      </c>
      <c r="Q510" s="2" t="s">
        <v>16</v>
      </c>
      <c r="S510" s="8" t="s">
        <v>656</v>
      </c>
      <c r="T510" s="9">
        <v>45689</v>
      </c>
      <c r="U510" s="8">
        <v>0</v>
      </c>
      <c r="V510" s="20">
        <v>84</v>
      </c>
      <c r="W510" s="21" t="s">
        <v>16</v>
      </c>
    </row>
    <row r="511" spans="1:23" ht="60">
      <c r="A511" s="8" t="s">
        <v>2711</v>
      </c>
      <c r="B511" s="8" t="s">
        <v>558</v>
      </c>
      <c r="C511" s="8" t="s">
        <v>2197</v>
      </c>
      <c r="D511" s="8" t="s">
        <v>18</v>
      </c>
      <c r="E511" s="8" t="s">
        <v>16</v>
      </c>
      <c r="F511" s="8" t="s">
        <v>2258</v>
      </c>
      <c r="G511" s="8" t="s">
        <v>2712</v>
      </c>
      <c r="H511" s="8">
        <v>1031</v>
      </c>
      <c r="I511" s="8">
        <v>41</v>
      </c>
      <c r="J511" s="8" t="s">
        <v>559</v>
      </c>
      <c r="K511" s="9">
        <v>45229</v>
      </c>
      <c r="L511" s="9">
        <v>46296</v>
      </c>
      <c r="M511" s="8" t="s">
        <v>16</v>
      </c>
      <c r="P511" s="17" t="s">
        <v>509</v>
      </c>
      <c r="Q511" s="2" t="s">
        <v>16</v>
      </c>
      <c r="S511" s="8" t="s">
        <v>656</v>
      </c>
      <c r="T511" s="9">
        <v>46054</v>
      </c>
      <c r="U511" s="8">
        <v>0</v>
      </c>
      <c r="V511" s="20">
        <v>14300</v>
      </c>
      <c r="W511" s="21" t="s">
        <v>16</v>
      </c>
    </row>
    <row r="512" spans="1:23" ht="60">
      <c r="A512" s="8" t="s">
        <v>2711</v>
      </c>
      <c r="B512" s="8" t="s">
        <v>558</v>
      </c>
      <c r="C512" s="8" t="s">
        <v>2197</v>
      </c>
      <c r="D512" s="8" t="s">
        <v>18</v>
      </c>
      <c r="E512" s="8" t="s">
        <v>16</v>
      </c>
      <c r="F512" s="8" t="s">
        <v>2258</v>
      </c>
      <c r="G512" s="8" t="s">
        <v>2712</v>
      </c>
      <c r="H512" s="8">
        <v>1031</v>
      </c>
      <c r="I512" s="8">
        <v>990</v>
      </c>
      <c r="J512" s="8" t="s">
        <v>560</v>
      </c>
      <c r="K512" s="9">
        <v>45323</v>
      </c>
      <c r="L512" s="9">
        <v>46296</v>
      </c>
      <c r="M512" s="8" t="s">
        <v>16</v>
      </c>
      <c r="P512" s="17" t="s">
        <v>511</v>
      </c>
      <c r="Q512" s="2" t="s">
        <v>16</v>
      </c>
      <c r="S512" s="8" t="s">
        <v>660</v>
      </c>
      <c r="T512" s="9">
        <v>46327</v>
      </c>
      <c r="U512" s="8">
        <v>0</v>
      </c>
      <c r="V512" s="20">
        <v>800</v>
      </c>
      <c r="W512" s="21" t="s">
        <v>16</v>
      </c>
    </row>
    <row r="513" spans="1:23" ht="48.75">
      <c r="A513" s="8" t="s">
        <v>2713</v>
      </c>
      <c r="B513" s="8" t="s">
        <v>561</v>
      </c>
      <c r="C513" s="8" t="s">
        <v>2197</v>
      </c>
      <c r="D513" s="8" t="s">
        <v>18</v>
      </c>
      <c r="E513" s="8" t="s">
        <v>16</v>
      </c>
      <c r="F513" s="8" t="s">
        <v>2258</v>
      </c>
      <c r="G513" s="8" t="s">
        <v>2712</v>
      </c>
      <c r="H513" s="8">
        <v>661</v>
      </c>
      <c r="I513" s="8">
        <v>661</v>
      </c>
      <c r="J513" s="8" t="s">
        <v>562</v>
      </c>
      <c r="K513" s="9">
        <v>45143</v>
      </c>
      <c r="L513" s="9">
        <v>46174</v>
      </c>
      <c r="M513" s="8" t="s">
        <v>16</v>
      </c>
      <c r="P513" s="16" t="s">
        <v>513</v>
      </c>
      <c r="Q513" s="2" t="s">
        <v>16</v>
      </c>
      <c r="S513" s="8" t="s">
        <v>660</v>
      </c>
      <c r="T513" s="9">
        <v>46508</v>
      </c>
      <c r="U513" s="8">
        <v>0</v>
      </c>
      <c r="V513" s="20">
        <v>20</v>
      </c>
      <c r="W513" s="21" t="s">
        <v>16</v>
      </c>
    </row>
    <row r="514" spans="1:23" ht="60">
      <c r="A514" s="8" t="s">
        <v>2714</v>
      </c>
      <c r="B514" s="8" t="s">
        <v>563</v>
      </c>
      <c r="C514" s="8" t="s">
        <v>2197</v>
      </c>
      <c r="D514" s="8" t="s">
        <v>18</v>
      </c>
      <c r="E514" s="8" t="s">
        <v>16</v>
      </c>
      <c r="F514" s="8" t="s">
        <v>2198</v>
      </c>
      <c r="G514" s="8" t="s">
        <v>2715</v>
      </c>
      <c r="H514" s="8">
        <v>57</v>
      </c>
      <c r="I514" s="8">
        <v>4</v>
      </c>
      <c r="J514" s="8" t="s">
        <v>564</v>
      </c>
      <c r="K514" s="9">
        <v>45118</v>
      </c>
      <c r="L514" s="9">
        <v>46054</v>
      </c>
      <c r="M514" s="8" t="s">
        <v>16</v>
      </c>
      <c r="P514" s="16" t="s">
        <v>515</v>
      </c>
      <c r="Q514" s="2" t="s">
        <v>16</v>
      </c>
      <c r="S514" s="8" t="s">
        <v>660</v>
      </c>
      <c r="T514" s="9">
        <v>46447</v>
      </c>
      <c r="U514" s="8">
        <v>0</v>
      </c>
      <c r="V514" s="20">
        <v>16440</v>
      </c>
      <c r="W514" s="21" t="s">
        <v>16</v>
      </c>
    </row>
    <row r="515" spans="1:23" ht="60">
      <c r="A515" s="8" t="s">
        <v>2714</v>
      </c>
      <c r="B515" s="8" t="s">
        <v>563</v>
      </c>
      <c r="C515" s="8" t="s">
        <v>2197</v>
      </c>
      <c r="D515" s="8" t="s">
        <v>18</v>
      </c>
      <c r="E515" s="8" t="s">
        <v>16</v>
      </c>
      <c r="F515" s="8" t="s">
        <v>2198</v>
      </c>
      <c r="G515" s="8" t="s">
        <v>2715</v>
      </c>
      <c r="H515" s="8">
        <v>57</v>
      </c>
      <c r="I515" s="8">
        <v>53</v>
      </c>
      <c r="J515" s="8" t="s">
        <v>565</v>
      </c>
      <c r="K515" s="9">
        <v>45118</v>
      </c>
      <c r="L515" s="9">
        <v>46174</v>
      </c>
      <c r="M515" s="8" t="s">
        <v>16</v>
      </c>
      <c r="P515" s="16" t="s">
        <v>517</v>
      </c>
      <c r="Q515" s="2" t="s">
        <v>16</v>
      </c>
      <c r="S515" s="8" t="s">
        <v>665</v>
      </c>
      <c r="T515" s="9">
        <v>46054</v>
      </c>
      <c r="U515" s="8">
        <v>0</v>
      </c>
      <c r="V515" s="20">
        <v>200</v>
      </c>
      <c r="W515" s="21" t="s">
        <v>16</v>
      </c>
    </row>
    <row r="516" spans="1:23" ht="60">
      <c r="A516" s="8" t="s">
        <v>2716</v>
      </c>
      <c r="B516" s="8" t="s">
        <v>566</v>
      </c>
      <c r="C516" s="8" t="s">
        <v>2197</v>
      </c>
      <c r="D516" s="8" t="s">
        <v>18</v>
      </c>
      <c r="E516" s="8" t="s">
        <v>16</v>
      </c>
      <c r="F516" s="8" t="s">
        <v>2198</v>
      </c>
      <c r="G516" s="8" t="s">
        <v>2715</v>
      </c>
      <c r="H516" s="8">
        <v>2</v>
      </c>
      <c r="I516" s="8">
        <v>2</v>
      </c>
      <c r="J516" s="8" t="s">
        <v>567</v>
      </c>
      <c r="K516" s="9">
        <v>45372</v>
      </c>
      <c r="L516" s="9">
        <v>46419</v>
      </c>
      <c r="M516" s="8" t="s">
        <v>16</v>
      </c>
      <c r="P516" s="16" t="s">
        <v>519</v>
      </c>
      <c r="Q516" s="2" t="s">
        <v>16</v>
      </c>
      <c r="S516" s="8" t="s">
        <v>665</v>
      </c>
      <c r="T516" s="9">
        <v>46023</v>
      </c>
      <c r="U516" s="8">
        <v>0</v>
      </c>
      <c r="V516" s="20">
        <v>640</v>
      </c>
      <c r="W516" s="21" t="s">
        <v>16</v>
      </c>
    </row>
    <row r="517" spans="1:23" ht="48.75">
      <c r="A517" s="8" t="s">
        <v>2717</v>
      </c>
      <c r="B517" s="8" t="s">
        <v>568</v>
      </c>
      <c r="C517" s="8" t="s">
        <v>2197</v>
      </c>
      <c r="D517" s="8" t="s">
        <v>18</v>
      </c>
      <c r="E517" s="8" t="s">
        <v>16</v>
      </c>
      <c r="F517" s="8" t="s">
        <v>2198</v>
      </c>
      <c r="G517" s="8" t="s">
        <v>2718</v>
      </c>
      <c r="H517" s="8">
        <v>318</v>
      </c>
      <c r="I517" s="8">
        <v>318</v>
      </c>
      <c r="J517" s="8" t="s">
        <v>569</v>
      </c>
      <c r="K517" s="9">
        <v>44819</v>
      </c>
      <c r="L517" s="9">
        <v>45627</v>
      </c>
      <c r="M517" s="8" t="s">
        <v>16</v>
      </c>
      <c r="P517" s="16" t="s">
        <v>519</v>
      </c>
      <c r="Q517" s="2" t="s">
        <v>16</v>
      </c>
      <c r="S517" s="8" t="s">
        <v>666</v>
      </c>
      <c r="T517" s="9">
        <v>47058</v>
      </c>
      <c r="U517" s="8">
        <v>0</v>
      </c>
      <c r="V517" s="20">
        <v>2298</v>
      </c>
      <c r="W517" s="21" t="s">
        <v>16</v>
      </c>
    </row>
    <row r="518" spans="1:23" ht="48.75">
      <c r="A518" s="8" t="s">
        <v>2719</v>
      </c>
      <c r="B518" s="8" t="s">
        <v>570</v>
      </c>
      <c r="C518" s="8" t="s">
        <v>2197</v>
      </c>
      <c r="D518" s="8" t="s">
        <v>18</v>
      </c>
      <c r="E518" s="8" t="s">
        <v>16</v>
      </c>
      <c r="F518" s="8" t="s">
        <v>2198</v>
      </c>
      <c r="G518" s="8" t="s">
        <v>2718</v>
      </c>
      <c r="H518" s="8">
        <v>164</v>
      </c>
      <c r="I518" s="8">
        <v>60</v>
      </c>
      <c r="J518" s="8" t="s">
        <v>571</v>
      </c>
      <c r="K518" s="9">
        <v>44547</v>
      </c>
      <c r="L518" s="9">
        <v>45566</v>
      </c>
      <c r="M518" s="8" t="s">
        <v>16</v>
      </c>
      <c r="P518" s="16" t="s">
        <v>522</v>
      </c>
      <c r="Q518" s="2" t="s">
        <v>16</v>
      </c>
      <c r="S518" s="8" t="s">
        <v>667</v>
      </c>
      <c r="T518" s="9">
        <v>46844</v>
      </c>
      <c r="U518" s="8">
        <v>0</v>
      </c>
      <c r="V518" s="20">
        <v>327</v>
      </c>
      <c r="W518" s="21" t="s">
        <v>16</v>
      </c>
    </row>
    <row r="519" spans="1:23" ht="48.75">
      <c r="A519" s="8" t="s">
        <v>2719</v>
      </c>
      <c r="B519" s="8" t="s">
        <v>570</v>
      </c>
      <c r="C519" s="8" t="s">
        <v>2197</v>
      </c>
      <c r="D519" s="8" t="s">
        <v>18</v>
      </c>
      <c r="E519" s="8" t="s">
        <v>16</v>
      </c>
      <c r="F519" s="8" t="s">
        <v>2198</v>
      </c>
      <c r="G519" s="8" t="s">
        <v>2718</v>
      </c>
      <c r="H519" s="8">
        <v>164</v>
      </c>
      <c r="I519" s="8">
        <v>104</v>
      </c>
      <c r="J519" s="8" t="s">
        <v>572</v>
      </c>
      <c r="K519" s="9">
        <v>45202</v>
      </c>
      <c r="L519" s="9">
        <v>46235</v>
      </c>
      <c r="M519" s="8" t="s">
        <v>16</v>
      </c>
      <c r="P519" s="16" t="s">
        <v>522</v>
      </c>
      <c r="Q519" s="2" t="s">
        <v>16</v>
      </c>
      <c r="S519" s="8" t="s">
        <v>667</v>
      </c>
      <c r="T519" s="9">
        <v>46935</v>
      </c>
      <c r="U519" s="8">
        <v>0</v>
      </c>
      <c r="V519" s="20">
        <v>340</v>
      </c>
      <c r="W519" s="21" t="s">
        <v>16</v>
      </c>
    </row>
    <row r="520" spans="1:23" ht="48.75">
      <c r="A520" s="8" t="s">
        <v>2720</v>
      </c>
      <c r="B520" s="8" t="s">
        <v>573</v>
      </c>
      <c r="C520" s="8" t="s">
        <v>2197</v>
      </c>
      <c r="D520" s="8" t="s">
        <v>18</v>
      </c>
      <c r="E520" s="8" t="s">
        <v>16</v>
      </c>
      <c r="F520" s="8" t="s">
        <v>2198</v>
      </c>
      <c r="G520" s="8" t="s">
        <v>2718</v>
      </c>
      <c r="H520" s="8">
        <v>811</v>
      </c>
      <c r="I520" s="8">
        <v>11</v>
      </c>
      <c r="J520" s="8" t="s">
        <v>574</v>
      </c>
      <c r="K520" s="9">
        <v>45255</v>
      </c>
      <c r="L520" s="9">
        <v>46235</v>
      </c>
      <c r="M520" s="8" t="s">
        <v>16</v>
      </c>
      <c r="P520" s="16" t="s">
        <v>522</v>
      </c>
      <c r="Q520" s="2" t="s">
        <v>16</v>
      </c>
      <c r="S520" s="8" t="s">
        <v>668</v>
      </c>
      <c r="T520" s="9">
        <v>45870</v>
      </c>
      <c r="U520" s="8">
        <v>0</v>
      </c>
      <c r="V520" s="20">
        <v>31</v>
      </c>
      <c r="W520" s="21" t="s">
        <v>16</v>
      </c>
    </row>
    <row r="521" spans="1:23" ht="60">
      <c r="A521" s="8" t="s">
        <v>2720</v>
      </c>
      <c r="B521" s="8" t="s">
        <v>573</v>
      </c>
      <c r="C521" s="8" t="s">
        <v>2197</v>
      </c>
      <c r="D521" s="8" t="s">
        <v>18</v>
      </c>
      <c r="E521" s="8" t="s">
        <v>16</v>
      </c>
      <c r="F521" s="8" t="s">
        <v>2198</v>
      </c>
      <c r="G521" s="8" t="s">
        <v>2718</v>
      </c>
      <c r="H521" s="8">
        <v>811</v>
      </c>
      <c r="I521" s="8">
        <v>800</v>
      </c>
      <c r="J521" s="8" t="s">
        <v>575</v>
      </c>
      <c r="K521" s="9">
        <v>45456</v>
      </c>
      <c r="L521" s="9">
        <v>46539</v>
      </c>
      <c r="M521" s="8" t="s">
        <v>16</v>
      </c>
      <c r="P521" s="16" t="s">
        <v>526</v>
      </c>
      <c r="Q521" s="2" t="s">
        <v>16</v>
      </c>
      <c r="S521" s="8" t="s">
        <v>669</v>
      </c>
      <c r="T521" s="9">
        <v>47058</v>
      </c>
      <c r="U521" s="8">
        <v>0</v>
      </c>
      <c r="V521" s="20">
        <v>1980</v>
      </c>
      <c r="W521" s="21" t="s">
        <v>16</v>
      </c>
    </row>
    <row r="522" spans="1:23" ht="45">
      <c r="A522" s="8" t="s">
        <v>2721</v>
      </c>
      <c r="B522" s="8" t="s">
        <v>576</v>
      </c>
      <c r="C522" s="8" t="s">
        <v>2197</v>
      </c>
      <c r="D522" s="8" t="s">
        <v>18</v>
      </c>
      <c r="E522" s="8" t="s">
        <v>16</v>
      </c>
      <c r="F522" s="8" t="s">
        <v>2198</v>
      </c>
      <c r="G522" s="8" t="s">
        <v>2722</v>
      </c>
      <c r="H522" s="8">
        <v>20</v>
      </c>
      <c r="I522" s="8">
        <v>20</v>
      </c>
      <c r="J522" s="8">
        <v>22090204</v>
      </c>
      <c r="K522" s="9">
        <v>44812</v>
      </c>
      <c r="L522" s="9">
        <v>46600</v>
      </c>
      <c r="M522" s="8" t="s">
        <v>16</v>
      </c>
      <c r="P522" s="16" t="s">
        <v>527</v>
      </c>
      <c r="Q522" s="2" t="s">
        <v>16</v>
      </c>
      <c r="S522" s="8" t="s">
        <v>670</v>
      </c>
      <c r="T522" s="9">
        <v>46784</v>
      </c>
      <c r="U522" s="8">
        <v>0</v>
      </c>
      <c r="V522" s="20">
        <v>4</v>
      </c>
      <c r="W522" s="21" t="s">
        <v>151</v>
      </c>
    </row>
    <row r="523" spans="1:23" ht="45">
      <c r="A523" s="8" t="s">
        <v>2723</v>
      </c>
      <c r="B523" s="8" t="s">
        <v>577</v>
      </c>
      <c r="C523" s="8" t="s">
        <v>2197</v>
      </c>
      <c r="D523" s="8" t="s">
        <v>18</v>
      </c>
      <c r="E523" s="8" t="s">
        <v>16</v>
      </c>
      <c r="F523" s="8" t="s">
        <v>2198</v>
      </c>
      <c r="G523" s="8" t="s">
        <v>2722</v>
      </c>
      <c r="H523" s="8">
        <v>647</v>
      </c>
      <c r="I523" s="8">
        <v>22</v>
      </c>
      <c r="J523" s="8">
        <v>21072912</v>
      </c>
      <c r="K523" s="9">
        <v>44530</v>
      </c>
      <c r="L523" s="9">
        <v>46174</v>
      </c>
      <c r="M523" s="8" t="s">
        <v>16</v>
      </c>
      <c r="P523" s="16" t="s">
        <v>527</v>
      </c>
      <c r="Q523" s="2" t="s">
        <v>16</v>
      </c>
      <c r="S523" s="8" t="s">
        <v>671</v>
      </c>
      <c r="T523" s="9">
        <v>46997</v>
      </c>
      <c r="U523" s="8">
        <v>0</v>
      </c>
      <c r="V523" s="20">
        <v>5</v>
      </c>
      <c r="W523" s="21" t="s">
        <v>151</v>
      </c>
    </row>
    <row r="524" spans="1:23" ht="45">
      <c r="A524" s="8" t="s">
        <v>2723</v>
      </c>
      <c r="B524" s="8" t="s">
        <v>577</v>
      </c>
      <c r="C524" s="8" t="s">
        <v>2197</v>
      </c>
      <c r="D524" s="8" t="s">
        <v>18</v>
      </c>
      <c r="E524" s="8" t="s">
        <v>16</v>
      </c>
      <c r="F524" s="8" t="s">
        <v>2198</v>
      </c>
      <c r="G524" s="8" t="s">
        <v>2722</v>
      </c>
      <c r="H524" s="8">
        <v>647</v>
      </c>
      <c r="I524" s="8">
        <v>625</v>
      </c>
      <c r="J524" s="8">
        <v>23030917</v>
      </c>
      <c r="K524" s="9">
        <v>45026</v>
      </c>
      <c r="L524" s="9">
        <v>46784</v>
      </c>
      <c r="M524" s="8" t="s">
        <v>16</v>
      </c>
      <c r="P524" s="16" t="s">
        <v>530</v>
      </c>
      <c r="Q524" s="2" t="s">
        <v>16</v>
      </c>
      <c r="S524" s="8" t="s">
        <v>671</v>
      </c>
      <c r="T524" s="9">
        <v>47058</v>
      </c>
      <c r="U524" s="8">
        <v>0</v>
      </c>
      <c r="V524" s="20">
        <v>94</v>
      </c>
      <c r="W524" s="21" t="s">
        <v>151</v>
      </c>
    </row>
    <row r="525" spans="1:23" ht="45">
      <c r="A525" s="8" t="s">
        <v>2724</v>
      </c>
      <c r="B525" s="8" t="s">
        <v>578</v>
      </c>
      <c r="C525" s="8" t="s">
        <v>2197</v>
      </c>
      <c r="D525" s="8" t="s">
        <v>18</v>
      </c>
      <c r="E525" s="8" t="s">
        <v>16</v>
      </c>
      <c r="F525" s="8" t="s">
        <v>2198</v>
      </c>
      <c r="G525" s="8" t="s">
        <v>2722</v>
      </c>
      <c r="H525" s="8">
        <v>5</v>
      </c>
      <c r="I525" s="8">
        <v>5</v>
      </c>
      <c r="J525" s="8">
        <v>21072911</v>
      </c>
      <c r="K525" s="9">
        <v>44530</v>
      </c>
      <c r="L525" s="9">
        <v>46174</v>
      </c>
      <c r="M525" s="8" t="s">
        <v>16</v>
      </c>
      <c r="P525" s="16" t="s">
        <v>530</v>
      </c>
      <c r="Q525" s="2" t="s">
        <v>16</v>
      </c>
      <c r="S525" s="8" t="s">
        <v>672</v>
      </c>
      <c r="T525" s="9">
        <v>45170</v>
      </c>
      <c r="U525" s="8">
        <v>0</v>
      </c>
      <c r="V525" s="20">
        <v>5</v>
      </c>
      <c r="W525" s="21" t="s">
        <v>38</v>
      </c>
    </row>
    <row r="526" spans="1:23" ht="45">
      <c r="A526" s="8" t="s">
        <v>2725</v>
      </c>
      <c r="B526" s="8" t="s">
        <v>579</v>
      </c>
      <c r="C526" s="8" t="s">
        <v>2221</v>
      </c>
      <c r="D526" s="8" t="s">
        <v>18</v>
      </c>
      <c r="E526" s="8" t="s">
        <v>43</v>
      </c>
      <c r="F526" s="8" t="s">
        <v>2217</v>
      </c>
      <c r="G526" s="8" t="s">
        <v>2217</v>
      </c>
      <c r="H526" s="8">
        <v>610</v>
      </c>
      <c r="I526" s="8">
        <v>610</v>
      </c>
      <c r="J526" s="8">
        <v>0</v>
      </c>
      <c r="K526" s="8" t="s">
        <v>2222</v>
      </c>
      <c r="L526" s="8" t="s">
        <v>2222</v>
      </c>
      <c r="M526" s="8" t="s">
        <v>43</v>
      </c>
      <c r="P526" s="16" t="s">
        <v>530</v>
      </c>
      <c r="Q526" s="2" t="s">
        <v>16</v>
      </c>
      <c r="S526" s="8" t="s">
        <v>674</v>
      </c>
      <c r="T526" s="9">
        <v>46813</v>
      </c>
      <c r="U526" s="8">
        <v>0</v>
      </c>
      <c r="V526" s="20">
        <v>5883</v>
      </c>
      <c r="W526" s="21" t="s">
        <v>16</v>
      </c>
    </row>
    <row r="527" spans="1:23" ht="60">
      <c r="A527" s="8" t="s">
        <v>2726</v>
      </c>
      <c r="B527" s="8" t="s">
        <v>580</v>
      </c>
      <c r="C527" s="8" t="s">
        <v>2221</v>
      </c>
      <c r="D527" s="8" t="s">
        <v>18</v>
      </c>
      <c r="E527" s="8" t="s">
        <v>43</v>
      </c>
      <c r="F527" s="8" t="s">
        <v>2217</v>
      </c>
      <c r="G527" s="8" t="s">
        <v>2217</v>
      </c>
      <c r="H527" s="8">
        <v>790</v>
      </c>
      <c r="I527" s="8">
        <v>790</v>
      </c>
      <c r="J527" s="8">
        <v>0</v>
      </c>
      <c r="K527" s="9">
        <v>44595</v>
      </c>
      <c r="L527" s="8" t="s">
        <v>2222</v>
      </c>
      <c r="M527" s="8" t="s">
        <v>43</v>
      </c>
      <c r="P527" s="16" t="s">
        <v>534</v>
      </c>
      <c r="Q527" s="2" t="s">
        <v>16</v>
      </c>
      <c r="S527" s="8" t="s">
        <v>675</v>
      </c>
      <c r="T527" s="9">
        <v>46235</v>
      </c>
      <c r="U527" s="8">
        <v>0</v>
      </c>
      <c r="V527" s="20">
        <v>877</v>
      </c>
      <c r="W527" s="21" t="s">
        <v>16</v>
      </c>
    </row>
    <row r="528" spans="1:23" ht="48.75">
      <c r="A528" s="8" t="s">
        <v>2727</v>
      </c>
      <c r="B528" s="8" t="s">
        <v>581</v>
      </c>
      <c r="C528" s="8" t="s">
        <v>2221</v>
      </c>
      <c r="D528" s="8" t="s">
        <v>18</v>
      </c>
      <c r="E528" s="8" t="s">
        <v>43</v>
      </c>
      <c r="F528" s="8" t="s">
        <v>2217</v>
      </c>
      <c r="G528" s="8" t="s">
        <v>2217</v>
      </c>
      <c r="H528" s="8">
        <v>5105</v>
      </c>
      <c r="I528" s="8">
        <v>5105</v>
      </c>
      <c r="J528" s="8">
        <v>0</v>
      </c>
      <c r="K528" s="9">
        <v>44595</v>
      </c>
      <c r="L528" s="8" t="s">
        <v>2222</v>
      </c>
      <c r="M528" s="8" t="s">
        <v>43</v>
      </c>
      <c r="P528" s="16" t="s">
        <v>535</v>
      </c>
      <c r="Q528" s="2" t="s">
        <v>16</v>
      </c>
      <c r="S528" s="8" t="s">
        <v>676</v>
      </c>
      <c r="T528" s="9">
        <v>45901</v>
      </c>
      <c r="U528" s="8">
        <v>0</v>
      </c>
      <c r="V528" s="20">
        <v>245</v>
      </c>
      <c r="W528" s="21" t="s">
        <v>16</v>
      </c>
    </row>
    <row r="529" spans="1:23" ht="60">
      <c r="A529" s="8" t="s">
        <v>2728</v>
      </c>
      <c r="B529" s="8" t="s">
        <v>582</v>
      </c>
      <c r="C529" s="8" t="s">
        <v>2221</v>
      </c>
      <c r="D529" s="8" t="s">
        <v>18</v>
      </c>
      <c r="E529" s="8" t="s">
        <v>43</v>
      </c>
      <c r="F529" s="8" t="s">
        <v>2217</v>
      </c>
      <c r="G529" s="8" t="s">
        <v>2217</v>
      </c>
      <c r="H529" s="8">
        <v>5205</v>
      </c>
      <c r="I529" s="8">
        <v>5205</v>
      </c>
      <c r="J529" s="8">
        <v>0</v>
      </c>
      <c r="K529" s="8" t="s">
        <v>2222</v>
      </c>
      <c r="L529" s="8" t="s">
        <v>2222</v>
      </c>
      <c r="M529" s="8" t="s">
        <v>43</v>
      </c>
      <c r="P529" s="16" t="s">
        <v>536</v>
      </c>
      <c r="Q529" s="2" t="s">
        <v>16</v>
      </c>
      <c r="S529" s="8" t="s">
        <v>677</v>
      </c>
      <c r="T529" s="9">
        <v>46054</v>
      </c>
      <c r="U529" s="8">
        <v>0</v>
      </c>
      <c r="V529" s="20">
        <v>160</v>
      </c>
      <c r="W529" s="21" t="s">
        <v>16</v>
      </c>
    </row>
    <row r="530" spans="1:23" ht="75">
      <c r="A530" s="8" t="s">
        <v>2729</v>
      </c>
      <c r="B530" s="8" t="s">
        <v>583</v>
      </c>
      <c r="C530" s="8" t="s">
        <v>2221</v>
      </c>
      <c r="D530" s="8" t="s">
        <v>18</v>
      </c>
      <c r="E530" s="8" t="s">
        <v>43</v>
      </c>
      <c r="F530" s="8" t="s">
        <v>2217</v>
      </c>
      <c r="G530" s="8" t="s">
        <v>2217</v>
      </c>
      <c r="H530" s="8">
        <v>450</v>
      </c>
      <c r="I530" s="8">
        <v>450</v>
      </c>
      <c r="J530" s="8">
        <v>0</v>
      </c>
      <c r="K530" s="9">
        <v>44595</v>
      </c>
      <c r="L530" s="8" t="s">
        <v>2222</v>
      </c>
      <c r="M530" s="8" t="s">
        <v>43</v>
      </c>
      <c r="P530" s="16" t="s">
        <v>536</v>
      </c>
      <c r="Q530" s="2" t="s">
        <v>16</v>
      </c>
      <c r="S530" s="8" t="s">
        <v>678</v>
      </c>
      <c r="T530" s="9">
        <v>46204</v>
      </c>
      <c r="U530" s="8">
        <v>0</v>
      </c>
      <c r="V530" s="20">
        <v>40</v>
      </c>
      <c r="W530" s="21" t="s">
        <v>38</v>
      </c>
    </row>
    <row r="531" spans="1:23" ht="45">
      <c r="A531" s="8" t="s">
        <v>2730</v>
      </c>
      <c r="B531" s="8" t="s">
        <v>584</v>
      </c>
      <c r="C531" s="8" t="s">
        <v>2221</v>
      </c>
      <c r="D531" s="8" t="s">
        <v>18</v>
      </c>
      <c r="E531" s="8" t="s">
        <v>43</v>
      </c>
      <c r="F531" s="8" t="s">
        <v>2217</v>
      </c>
      <c r="G531" s="8" t="s">
        <v>2217</v>
      </c>
      <c r="H531" s="8">
        <v>4715</v>
      </c>
      <c r="I531" s="8">
        <v>4715</v>
      </c>
      <c r="J531" s="8">
        <v>0</v>
      </c>
      <c r="K531" s="8" t="s">
        <v>2222</v>
      </c>
      <c r="L531" s="8" t="s">
        <v>2222</v>
      </c>
      <c r="M531" s="8" t="s">
        <v>43</v>
      </c>
      <c r="P531" s="16" t="s">
        <v>537</v>
      </c>
      <c r="Q531" s="2" t="s">
        <v>16</v>
      </c>
      <c r="S531" s="8" t="s">
        <v>679</v>
      </c>
      <c r="T531" s="9">
        <v>46296</v>
      </c>
      <c r="U531" s="8">
        <v>0</v>
      </c>
      <c r="V531" s="20">
        <v>100</v>
      </c>
      <c r="W531" s="21" t="s">
        <v>16</v>
      </c>
    </row>
    <row r="532" spans="1:23" ht="45">
      <c r="A532" s="8" t="s">
        <v>2731</v>
      </c>
      <c r="B532" s="8" t="s">
        <v>585</v>
      </c>
      <c r="C532" s="8" t="s">
        <v>2221</v>
      </c>
      <c r="D532" s="8" t="s">
        <v>18</v>
      </c>
      <c r="E532" s="8" t="s">
        <v>43</v>
      </c>
      <c r="F532" s="8" t="s">
        <v>2217</v>
      </c>
      <c r="G532" s="8" t="s">
        <v>2217</v>
      </c>
      <c r="H532" s="8">
        <v>355</v>
      </c>
      <c r="I532" s="8">
        <v>355</v>
      </c>
      <c r="J532" s="8">
        <v>0</v>
      </c>
      <c r="K532" s="9">
        <v>44595</v>
      </c>
      <c r="L532" s="8" t="s">
        <v>2222</v>
      </c>
      <c r="M532" s="8" t="s">
        <v>43</v>
      </c>
      <c r="P532" s="16" t="s">
        <v>537</v>
      </c>
      <c r="Q532" s="2" t="s">
        <v>16</v>
      </c>
      <c r="S532" s="8" t="s">
        <v>679</v>
      </c>
      <c r="T532" s="9">
        <v>46143</v>
      </c>
      <c r="U532" s="8">
        <v>0</v>
      </c>
      <c r="V532" s="20">
        <v>760</v>
      </c>
      <c r="W532" s="21" t="s">
        <v>16</v>
      </c>
    </row>
    <row r="533" spans="1:23" ht="60">
      <c r="A533" s="8" t="s">
        <v>2734</v>
      </c>
      <c r="B533" s="8" t="s">
        <v>586</v>
      </c>
      <c r="C533" s="8" t="s">
        <v>2197</v>
      </c>
      <c r="D533" s="8" t="s">
        <v>100</v>
      </c>
      <c r="E533" s="8" t="s">
        <v>16</v>
      </c>
      <c r="F533" s="8" t="s">
        <v>2198</v>
      </c>
      <c r="G533" s="8" t="s">
        <v>2733</v>
      </c>
      <c r="H533" s="8">
        <v>105</v>
      </c>
      <c r="I533" s="8">
        <v>105</v>
      </c>
      <c r="J533" s="8" t="s">
        <v>587</v>
      </c>
      <c r="K533" s="9">
        <v>44137</v>
      </c>
      <c r="L533" s="9">
        <v>45658</v>
      </c>
      <c r="M533" s="8" t="s">
        <v>16</v>
      </c>
      <c r="P533" s="16" t="s">
        <v>537</v>
      </c>
      <c r="Q533" s="2" t="s">
        <v>16</v>
      </c>
      <c r="S533" s="8" t="s">
        <v>680</v>
      </c>
      <c r="T533" s="9">
        <v>46143</v>
      </c>
      <c r="U533" s="8">
        <v>0</v>
      </c>
      <c r="V533" s="20">
        <v>120</v>
      </c>
      <c r="W533" s="21" t="s">
        <v>16</v>
      </c>
    </row>
    <row r="534" spans="1:23" ht="45">
      <c r="A534" s="8" t="s">
        <v>2735</v>
      </c>
      <c r="B534" s="8" t="s">
        <v>588</v>
      </c>
      <c r="C534" s="8" t="s">
        <v>2197</v>
      </c>
      <c r="D534" s="8" t="s">
        <v>18</v>
      </c>
      <c r="E534" s="8" t="s">
        <v>16</v>
      </c>
      <c r="F534" s="8" t="s">
        <v>2198</v>
      </c>
      <c r="G534" s="8" t="s">
        <v>2733</v>
      </c>
      <c r="H534" s="8">
        <v>1</v>
      </c>
      <c r="I534" s="8">
        <v>1</v>
      </c>
      <c r="J534" s="8" t="s">
        <v>589</v>
      </c>
      <c r="K534" s="9">
        <v>45365</v>
      </c>
      <c r="L534" s="9">
        <v>46935</v>
      </c>
      <c r="M534" s="8" t="s">
        <v>16</v>
      </c>
      <c r="P534" s="16" t="s">
        <v>538</v>
      </c>
      <c r="Q534" s="2" t="s">
        <v>16</v>
      </c>
      <c r="S534" s="8" t="s">
        <v>680</v>
      </c>
      <c r="T534" s="9">
        <v>45992</v>
      </c>
      <c r="U534" s="8">
        <v>0</v>
      </c>
      <c r="V534" s="20">
        <v>390</v>
      </c>
      <c r="W534" s="21" t="s">
        <v>16</v>
      </c>
    </row>
    <row r="535" spans="1:23" ht="45">
      <c r="A535" s="8" t="s">
        <v>2736</v>
      </c>
      <c r="B535" s="8" t="s">
        <v>588</v>
      </c>
      <c r="C535" s="8" t="s">
        <v>2197</v>
      </c>
      <c r="D535" s="8" t="s">
        <v>100</v>
      </c>
      <c r="E535" s="8" t="s">
        <v>16</v>
      </c>
      <c r="F535" s="8" t="s">
        <v>2198</v>
      </c>
      <c r="G535" s="8" t="s">
        <v>2733</v>
      </c>
      <c r="H535" s="8">
        <v>1</v>
      </c>
      <c r="I535" s="8">
        <v>1</v>
      </c>
      <c r="J535" s="8">
        <v>1706200717</v>
      </c>
      <c r="K535" s="9">
        <v>44720</v>
      </c>
      <c r="L535" s="8" t="s">
        <v>2222</v>
      </c>
      <c r="M535" s="8" t="s">
        <v>16</v>
      </c>
      <c r="P535" s="16" t="s">
        <v>540</v>
      </c>
      <c r="Q535" s="2" t="s">
        <v>16</v>
      </c>
      <c r="S535" s="8" t="s">
        <v>681</v>
      </c>
      <c r="T535" s="9">
        <v>46813</v>
      </c>
      <c r="U535" s="8">
        <v>0</v>
      </c>
      <c r="V535" s="20">
        <v>3150</v>
      </c>
      <c r="W535" s="21" t="s">
        <v>151</v>
      </c>
    </row>
    <row r="536" spans="1:23" ht="60">
      <c r="A536" s="8" t="s">
        <v>2735</v>
      </c>
      <c r="B536" s="8" t="s">
        <v>588</v>
      </c>
      <c r="C536" s="8" t="s">
        <v>2197</v>
      </c>
      <c r="D536" s="8" t="s">
        <v>100</v>
      </c>
      <c r="E536" s="8" t="s">
        <v>16</v>
      </c>
      <c r="F536" s="8" t="s">
        <v>2198</v>
      </c>
      <c r="G536" s="8" t="s">
        <v>2733</v>
      </c>
      <c r="H536" s="8">
        <v>109</v>
      </c>
      <c r="I536" s="8">
        <v>109</v>
      </c>
      <c r="J536" s="8">
        <v>190120</v>
      </c>
      <c r="K536" s="9">
        <v>44082</v>
      </c>
      <c r="L536" s="9">
        <v>45809</v>
      </c>
      <c r="M536" s="8" t="s">
        <v>16</v>
      </c>
      <c r="P536" s="16" t="s">
        <v>542</v>
      </c>
      <c r="Q536" s="2" t="s">
        <v>16</v>
      </c>
      <c r="S536" s="8" t="s">
        <v>683</v>
      </c>
      <c r="T536" s="9">
        <v>46722</v>
      </c>
      <c r="U536" s="8">
        <v>0</v>
      </c>
      <c r="V536" s="20">
        <v>119</v>
      </c>
      <c r="W536" s="21" t="s">
        <v>16</v>
      </c>
    </row>
    <row r="537" spans="1:23" ht="45">
      <c r="A537" s="8" t="s">
        <v>2736</v>
      </c>
      <c r="B537" s="8" t="s">
        <v>588</v>
      </c>
      <c r="C537" s="8" t="s">
        <v>2197</v>
      </c>
      <c r="D537" s="8" t="s">
        <v>18</v>
      </c>
      <c r="E537" s="8" t="s">
        <v>16</v>
      </c>
      <c r="F537" s="8" t="s">
        <v>2198</v>
      </c>
      <c r="G537" s="8" t="s">
        <v>2733</v>
      </c>
      <c r="H537" s="8">
        <v>26588</v>
      </c>
      <c r="I537" s="8">
        <v>26588</v>
      </c>
      <c r="J537" s="8" t="s">
        <v>589</v>
      </c>
      <c r="K537" s="9">
        <v>45148</v>
      </c>
      <c r="L537" s="9">
        <v>46935</v>
      </c>
      <c r="M537" s="8" t="s">
        <v>16</v>
      </c>
      <c r="P537" s="16" t="s">
        <v>544</v>
      </c>
      <c r="Q537" s="2" t="s">
        <v>16</v>
      </c>
      <c r="S537" s="8" t="s">
        <v>684</v>
      </c>
      <c r="T537" s="9">
        <v>45962</v>
      </c>
      <c r="U537" s="8">
        <v>0</v>
      </c>
      <c r="V537" s="20">
        <v>140</v>
      </c>
      <c r="W537" s="21" t="s">
        <v>16</v>
      </c>
    </row>
    <row r="538" spans="1:23" ht="45">
      <c r="A538" s="8" t="s">
        <v>2737</v>
      </c>
      <c r="B538" s="8" t="s">
        <v>590</v>
      </c>
      <c r="C538" s="8" t="s">
        <v>2197</v>
      </c>
      <c r="D538" s="8" t="s">
        <v>15</v>
      </c>
      <c r="E538" s="8" t="s">
        <v>151</v>
      </c>
      <c r="F538" s="8" t="s">
        <v>151</v>
      </c>
      <c r="G538" s="8" t="s">
        <v>2738</v>
      </c>
      <c r="H538" s="8">
        <v>450</v>
      </c>
      <c r="I538" s="8">
        <v>450</v>
      </c>
      <c r="J538" s="8">
        <v>0</v>
      </c>
      <c r="K538" s="9">
        <v>45423</v>
      </c>
      <c r="L538" s="9">
        <v>47239</v>
      </c>
      <c r="M538" s="8" t="s">
        <v>151</v>
      </c>
      <c r="P538" s="16" t="s">
        <v>544</v>
      </c>
      <c r="Q538" s="2" t="s">
        <v>16</v>
      </c>
      <c r="S538" s="8" t="s">
        <v>684</v>
      </c>
      <c r="T538" s="9">
        <v>46235</v>
      </c>
      <c r="U538" s="8">
        <v>0</v>
      </c>
      <c r="V538" s="20">
        <v>300</v>
      </c>
      <c r="W538" s="21" t="s">
        <v>16</v>
      </c>
    </row>
    <row r="539" spans="1:23" ht="75">
      <c r="A539" s="8" t="s">
        <v>2737</v>
      </c>
      <c r="B539" s="8" t="s">
        <v>590</v>
      </c>
      <c r="C539" s="8" t="s">
        <v>2197</v>
      </c>
      <c r="D539" s="8" t="s">
        <v>18</v>
      </c>
      <c r="E539" s="8" t="s">
        <v>151</v>
      </c>
      <c r="F539" s="8" t="s">
        <v>151</v>
      </c>
      <c r="G539" s="8" t="s">
        <v>2738</v>
      </c>
      <c r="H539" s="8">
        <v>1714</v>
      </c>
      <c r="I539" s="8">
        <v>1714</v>
      </c>
      <c r="J539" s="8">
        <v>0</v>
      </c>
      <c r="K539" s="9">
        <v>45423</v>
      </c>
      <c r="L539" s="9">
        <v>47239</v>
      </c>
      <c r="M539" s="8" t="s">
        <v>151</v>
      </c>
      <c r="P539" s="16" t="s">
        <v>547</v>
      </c>
      <c r="Q539" s="2" t="s">
        <v>16</v>
      </c>
      <c r="S539" s="8" t="s">
        <v>685</v>
      </c>
      <c r="T539" s="9">
        <v>46143</v>
      </c>
      <c r="U539" s="8">
        <v>0</v>
      </c>
      <c r="V539" s="20">
        <v>149</v>
      </c>
      <c r="W539" s="21" t="s">
        <v>16</v>
      </c>
    </row>
    <row r="540" spans="1:23" ht="75">
      <c r="A540" s="8" t="s">
        <v>2739</v>
      </c>
      <c r="B540" s="8" t="s">
        <v>591</v>
      </c>
      <c r="C540" s="8" t="s">
        <v>2197</v>
      </c>
      <c r="D540" s="8" t="s">
        <v>18</v>
      </c>
      <c r="E540" s="8" t="s">
        <v>151</v>
      </c>
      <c r="F540" s="8" t="s">
        <v>151</v>
      </c>
      <c r="G540" s="8" t="s">
        <v>2738</v>
      </c>
      <c r="H540" s="8">
        <v>1237</v>
      </c>
      <c r="I540" s="8">
        <v>237</v>
      </c>
      <c r="J540" s="8">
        <v>0</v>
      </c>
      <c r="K540" s="9">
        <v>44945</v>
      </c>
      <c r="L540" s="9">
        <v>46753</v>
      </c>
      <c r="M540" s="8" t="s">
        <v>151</v>
      </c>
      <c r="P540" s="16" t="s">
        <v>547</v>
      </c>
      <c r="Q540" s="2" t="s">
        <v>16</v>
      </c>
      <c r="S540" s="8" t="s">
        <v>685</v>
      </c>
      <c r="T540" s="9">
        <v>46235</v>
      </c>
      <c r="U540" s="8">
        <v>0</v>
      </c>
      <c r="V540" s="20">
        <v>590</v>
      </c>
      <c r="W540" s="21" t="s">
        <v>16</v>
      </c>
    </row>
    <row r="541" spans="1:23" ht="90">
      <c r="A541" s="8" t="s">
        <v>2739</v>
      </c>
      <c r="B541" s="8" t="s">
        <v>591</v>
      </c>
      <c r="C541" s="8" t="s">
        <v>2197</v>
      </c>
      <c r="D541" s="8" t="s">
        <v>18</v>
      </c>
      <c r="E541" s="8" t="s">
        <v>151</v>
      </c>
      <c r="F541" s="8" t="s">
        <v>151</v>
      </c>
      <c r="G541" s="8" t="s">
        <v>2738</v>
      </c>
      <c r="H541" s="8">
        <v>1237</v>
      </c>
      <c r="I541" s="8">
        <v>1000</v>
      </c>
      <c r="J541" s="8">
        <v>0</v>
      </c>
      <c r="K541" s="9">
        <v>45378</v>
      </c>
      <c r="L541" s="9">
        <v>47178</v>
      </c>
      <c r="M541" s="8" t="s">
        <v>151</v>
      </c>
      <c r="P541" s="16" t="s">
        <v>547</v>
      </c>
      <c r="Q541" s="2" t="s">
        <v>16</v>
      </c>
      <c r="S541" s="8" t="s">
        <v>686</v>
      </c>
      <c r="T541" s="9">
        <v>46296</v>
      </c>
      <c r="U541" s="8">
        <v>0</v>
      </c>
      <c r="V541" s="20">
        <v>419</v>
      </c>
      <c r="W541" s="21" t="s">
        <v>16</v>
      </c>
    </row>
    <row r="542" spans="1:23" ht="60">
      <c r="A542" s="8" t="s">
        <v>2740</v>
      </c>
      <c r="B542" s="8" t="s">
        <v>592</v>
      </c>
      <c r="C542" s="8" t="s">
        <v>2197</v>
      </c>
      <c r="D542" s="8" t="s">
        <v>18</v>
      </c>
      <c r="E542" s="8" t="s">
        <v>151</v>
      </c>
      <c r="F542" s="8" t="s">
        <v>151</v>
      </c>
      <c r="G542" s="8" t="s">
        <v>2738</v>
      </c>
      <c r="H542" s="8">
        <v>3</v>
      </c>
      <c r="I542" s="8">
        <v>3</v>
      </c>
      <c r="J542" s="8" t="s">
        <v>593</v>
      </c>
      <c r="K542" s="9">
        <v>44172</v>
      </c>
      <c r="L542" s="9">
        <v>45200</v>
      </c>
      <c r="M542" s="8" t="s">
        <v>38</v>
      </c>
      <c r="P542" s="16" t="s">
        <v>551</v>
      </c>
      <c r="Q542" s="2" t="s">
        <v>16</v>
      </c>
      <c r="S542" s="8" t="s">
        <v>687</v>
      </c>
      <c r="T542" s="9">
        <v>46266</v>
      </c>
      <c r="U542" s="8">
        <v>0</v>
      </c>
      <c r="V542" s="20">
        <v>147</v>
      </c>
      <c r="W542" s="21" t="s">
        <v>16</v>
      </c>
    </row>
    <row r="543" spans="1:23" ht="60">
      <c r="A543" s="8" t="s">
        <v>2741</v>
      </c>
      <c r="B543" s="8" t="s">
        <v>594</v>
      </c>
      <c r="C543" s="8" t="s">
        <v>2221</v>
      </c>
      <c r="D543" s="8" t="s">
        <v>18</v>
      </c>
      <c r="E543" s="8" t="s">
        <v>101</v>
      </c>
      <c r="F543" s="8" t="s">
        <v>101</v>
      </c>
      <c r="G543" s="8" t="s">
        <v>2217</v>
      </c>
      <c r="H543" s="8">
        <v>1</v>
      </c>
      <c r="I543" s="8">
        <v>1</v>
      </c>
      <c r="J543" s="8">
        <v>0</v>
      </c>
      <c r="K543" s="9">
        <v>44132</v>
      </c>
      <c r="L543" s="8" t="s">
        <v>2222</v>
      </c>
      <c r="M543" s="8" t="s">
        <v>41</v>
      </c>
      <c r="P543" s="16" t="s">
        <v>551</v>
      </c>
      <c r="Q543" s="2" t="s">
        <v>16</v>
      </c>
      <c r="S543" s="8" t="s">
        <v>687</v>
      </c>
      <c r="T543" s="9">
        <v>46419</v>
      </c>
      <c r="U543" s="8">
        <v>0</v>
      </c>
      <c r="V543" s="20">
        <v>1250</v>
      </c>
      <c r="W543" s="21" t="s">
        <v>16</v>
      </c>
    </row>
    <row r="544" spans="1:23" ht="75">
      <c r="A544" s="8" t="s">
        <v>2742</v>
      </c>
      <c r="B544" s="8" t="s">
        <v>595</v>
      </c>
      <c r="C544" s="8" t="s">
        <v>2221</v>
      </c>
      <c r="D544" s="8" t="s">
        <v>18</v>
      </c>
      <c r="E544" s="8" t="s">
        <v>2217</v>
      </c>
      <c r="F544" s="8" t="s">
        <v>2217</v>
      </c>
      <c r="G544" s="8" t="s">
        <v>2217</v>
      </c>
      <c r="H544" s="8">
        <v>100</v>
      </c>
      <c r="I544" s="8">
        <v>100</v>
      </c>
      <c r="J544" s="8">
        <v>0</v>
      </c>
      <c r="K544" s="9">
        <v>45422</v>
      </c>
      <c r="L544" s="8" t="s">
        <v>2222</v>
      </c>
      <c r="M544" s="8" t="s">
        <v>41</v>
      </c>
      <c r="P544" s="16" t="s">
        <v>551</v>
      </c>
      <c r="Q544" s="2" t="s">
        <v>16</v>
      </c>
      <c r="S544" s="8" t="s">
        <v>688</v>
      </c>
      <c r="T544" s="9">
        <v>46296</v>
      </c>
      <c r="U544" s="8">
        <v>0</v>
      </c>
      <c r="V544" s="20">
        <v>2261</v>
      </c>
      <c r="W544" s="21" t="s">
        <v>16</v>
      </c>
    </row>
    <row r="545" spans="1:23" ht="60">
      <c r="A545" s="8" t="s">
        <v>2743</v>
      </c>
      <c r="B545" s="8" t="s">
        <v>596</v>
      </c>
      <c r="C545" s="8" t="s">
        <v>2221</v>
      </c>
      <c r="D545" s="8" t="s">
        <v>18</v>
      </c>
      <c r="E545" s="8" t="s">
        <v>101</v>
      </c>
      <c r="F545" s="8" t="s">
        <v>101</v>
      </c>
      <c r="G545" s="8" t="s">
        <v>2217</v>
      </c>
      <c r="H545" s="8">
        <v>4</v>
      </c>
      <c r="I545" s="8">
        <v>4</v>
      </c>
      <c r="J545" s="8">
        <v>0</v>
      </c>
      <c r="K545" s="9">
        <v>44132</v>
      </c>
      <c r="L545" s="8" t="s">
        <v>2222</v>
      </c>
      <c r="M545" s="8" t="s">
        <v>41</v>
      </c>
      <c r="P545" s="16" t="s">
        <v>554</v>
      </c>
      <c r="Q545" s="2" t="s">
        <v>16</v>
      </c>
      <c r="S545" s="8" t="s">
        <v>690</v>
      </c>
      <c r="T545" s="9">
        <v>46296</v>
      </c>
      <c r="U545" s="8">
        <v>0</v>
      </c>
      <c r="V545" s="20">
        <v>3</v>
      </c>
      <c r="W545" s="21" t="s">
        <v>16</v>
      </c>
    </row>
    <row r="546" spans="1:23" ht="60">
      <c r="A546" s="8" t="s">
        <v>2744</v>
      </c>
      <c r="B546" s="8" t="s">
        <v>597</v>
      </c>
      <c r="C546" s="8" t="s">
        <v>2221</v>
      </c>
      <c r="D546" s="8" t="s">
        <v>18</v>
      </c>
      <c r="E546" s="8" t="s">
        <v>101</v>
      </c>
      <c r="F546" s="8" t="s">
        <v>101</v>
      </c>
      <c r="G546" s="8" t="s">
        <v>2745</v>
      </c>
      <c r="H546" s="8">
        <v>12</v>
      </c>
      <c r="I546" s="8">
        <v>12</v>
      </c>
      <c r="J546" s="8">
        <v>0</v>
      </c>
      <c r="K546" s="9">
        <v>44146</v>
      </c>
      <c r="L546" s="8" t="s">
        <v>2222</v>
      </c>
      <c r="M546" s="8" t="s">
        <v>41</v>
      </c>
      <c r="P546" s="16" t="s">
        <v>554</v>
      </c>
      <c r="Q546" s="2" t="s">
        <v>16</v>
      </c>
      <c r="S546" s="8" t="s">
        <v>690</v>
      </c>
      <c r="T546" s="9">
        <v>46905</v>
      </c>
      <c r="U546" s="8">
        <v>0</v>
      </c>
      <c r="V546" s="20">
        <v>1167</v>
      </c>
      <c r="W546" s="21" t="s">
        <v>16</v>
      </c>
    </row>
    <row r="547" spans="1:23" ht="60">
      <c r="A547" s="8" t="s">
        <v>2746</v>
      </c>
      <c r="B547" s="8" t="s">
        <v>598</v>
      </c>
      <c r="C547" s="8" t="s">
        <v>2203</v>
      </c>
      <c r="D547" s="8" t="s">
        <v>18</v>
      </c>
      <c r="E547" s="8" t="s">
        <v>151</v>
      </c>
      <c r="F547" s="8" t="s">
        <v>151</v>
      </c>
      <c r="G547" s="8" t="s">
        <v>2747</v>
      </c>
      <c r="H547" s="8">
        <v>120</v>
      </c>
      <c r="I547" s="8">
        <v>120</v>
      </c>
      <c r="J547" s="8">
        <v>0</v>
      </c>
      <c r="K547" s="9">
        <v>45117</v>
      </c>
      <c r="L547" s="9">
        <v>46874</v>
      </c>
      <c r="M547" s="8" t="s">
        <v>16</v>
      </c>
      <c r="P547" s="16" t="s">
        <v>554</v>
      </c>
      <c r="Q547" s="2" t="s">
        <v>16</v>
      </c>
      <c r="S547" s="8" t="s">
        <v>693</v>
      </c>
      <c r="T547" s="9">
        <v>47027</v>
      </c>
      <c r="U547" s="8">
        <v>0</v>
      </c>
      <c r="V547" s="20">
        <v>2008</v>
      </c>
      <c r="W547" s="21" t="s">
        <v>16</v>
      </c>
    </row>
    <row r="548" spans="1:23" ht="48.75">
      <c r="A548" s="8" t="s">
        <v>2748</v>
      </c>
      <c r="B548" s="8" t="s">
        <v>599</v>
      </c>
      <c r="C548" s="8" t="s">
        <v>2221</v>
      </c>
      <c r="D548" s="8" t="s">
        <v>18</v>
      </c>
      <c r="E548" s="8" t="s">
        <v>2217</v>
      </c>
      <c r="F548" s="8" t="s">
        <v>2217</v>
      </c>
      <c r="G548" s="8" t="s">
        <v>2217</v>
      </c>
      <c r="H548" s="8">
        <v>1</v>
      </c>
      <c r="I548" s="8">
        <v>1</v>
      </c>
      <c r="J548" s="8">
        <v>0</v>
      </c>
      <c r="K548" s="9">
        <v>44853</v>
      </c>
      <c r="L548" s="8" t="s">
        <v>2222</v>
      </c>
      <c r="M548" s="8" t="s">
        <v>43</v>
      </c>
      <c r="P548" s="16" t="s">
        <v>558</v>
      </c>
      <c r="Q548" s="2" t="s">
        <v>16</v>
      </c>
      <c r="S548" s="8" t="s">
        <v>695</v>
      </c>
      <c r="T548" s="9">
        <v>46235</v>
      </c>
      <c r="U548" s="8">
        <v>0</v>
      </c>
      <c r="V548" s="20">
        <v>8</v>
      </c>
      <c r="W548" s="21" t="s">
        <v>151</v>
      </c>
    </row>
    <row r="549" spans="1:23" ht="60">
      <c r="A549" s="8" t="s">
        <v>2749</v>
      </c>
      <c r="B549" s="8" t="s">
        <v>600</v>
      </c>
      <c r="C549" s="8" t="s">
        <v>2197</v>
      </c>
      <c r="D549" s="8" t="s">
        <v>18</v>
      </c>
      <c r="E549" s="8" t="s">
        <v>16</v>
      </c>
      <c r="F549" s="8" t="s">
        <v>2204</v>
      </c>
      <c r="G549" s="8" t="s">
        <v>2750</v>
      </c>
      <c r="H549" s="8">
        <v>600</v>
      </c>
      <c r="I549" s="8">
        <v>200</v>
      </c>
      <c r="J549" s="8" t="s">
        <v>601</v>
      </c>
      <c r="K549" s="9">
        <v>44621</v>
      </c>
      <c r="L549" s="9">
        <v>45689</v>
      </c>
      <c r="M549" s="8" t="s">
        <v>16</v>
      </c>
      <c r="P549" s="16" t="s">
        <v>558</v>
      </c>
      <c r="Q549" s="2" t="s">
        <v>16</v>
      </c>
      <c r="S549" s="8" t="s">
        <v>695</v>
      </c>
      <c r="T549" s="9">
        <v>46388</v>
      </c>
      <c r="U549" s="8">
        <v>0</v>
      </c>
      <c r="V549" s="20">
        <v>36000</v>
      </c>
      <c r="W549" s="21" t="s">
        <v>151</v>
      </c>
    </row>
    <row r="550" spans="1:23" ht="60">
      <c r="A550" s="8" t="s">
        <v>2749</v>
      </c>
      <c r="B550" s="8" t="s">
        <v>600</v>
      </c>
      <c r="C550" s="8" t="s">
        <v>2197</v>
      </c>
      <c r="D550" s="8" t="s">
        <v>18</v>
      </c>
      <c r="E550" s="8" t="s">
        <v>16</v>
      </c>
      <c r="F550" s="8" t="s">
        <v>2204</v>
      </c>
      <c r="G550" s="8" t="s">
        <v>2750</v>
      </c>
      <c r="H550" s="8">
        <v>600</v>
      </c>
      <c r="I550" s="8">
        <v>400</v>
      </c>
      <c r="J550" s="8">
        <v>20230127</v>
      </c>
      <c r="K550" s="9">
        <v>44998</v>
      </c>
      <c r="L550" s="9">
        <v>46753</v>
      </c>
      <c r="M550" s="8" t="s">
        <v>16</v>
      </c>
      <c r="P550" s="16" t="s">
        <v>561</v>
      </c>
      <c r="Q550" s="2" t="s">
        <v>16</v>
      </c>
      <c r="S550" s="8" t="s">
        <v>695</v>
      </c>
      <c r="T550" s="9">
        <v>46296</v>
      </c>
      <c r="U550" s="8">
        <v>0</v>
      </c>
      <c r="V550" s="20">
        <v>99280</v>
      </c>
      <c r="W550" s="21" t="s">
        <v>151</v>
      </c>
    </row>
    <row r="551" spans="1:23" ht="48.75">
      <c r="A551" s="8" t="s">
        <v>2751</v>
      </c>
      <c r="B551" s="8" t="s">
        <v>602</v>
      </c>
      <c r="C551" s="8" t="s">
        <v>2197</v>
      </c>
      <c r="D551" s="8" t="s">
        <v>18</v>
      </c>
      <c r="E551" s="8" t="s">
        <v>16</v>
      </c>
      <c r="F551" s="8" t="s">
        <v>2198</v>
      </c>
      <c r="G551" s="8" t="s">
        <v>2752</v>
      </c>
      <c r="H551" s="8">
        <v>1131</v>
      </c>
      <c r="I551" s="8">
        <v>151</v>
      </c>
      <c r="J551" s="8">
        <v>20230920</v>
      </c>
      <c r="K551" s="9">
        <v>45244</v>
      </c>
      <c r="L551" s="9">
        <v>46997</v>
      </c>
      <c r="M551" s="8" t="s">
        <v>16</v>
      </c>
      <c r="P551" s="16" t="s">
        <v>563</v>
      </c>
      <c r="Q551" s="2" t="s">
        <v>16</v>
      </c>
      <c r="S551" s="8" t="s">
        <v>705</v>
      </c>
      <c r="T551" s="9">
        <v>46478</v>
      </c>
      <c r="U551" s="8">
        <v>0</v>
      </c>
      <c r="V551" s="20">
        <v>4318</v>
      </c>
      <c r="W551" s="21" t="s">
        <v>151</v>
      </c>
    </row>
    <row r="552" spans="1:23" ht="48.75">
      <c r="A552" s="8" t="s">
        <v>2751</v>
      </c>
      <c r="B552" s="8" t="s">
        <v>602</v>
      </c>
      <c r="C552" s="8" t="s">
        <v>2197</v>
      </c>
      <c r="D552" s="8" t="s">
        <v>18</v>
      </c>
      <c r="E552" s="8" t="s">
        <v>16</v>
      </c>
      <c r="F552" s="8" t="s">
        <v>2198</v>
      </c>
      <c r="G552" s="8" t="s">
        <v>2752</v>
      </c>
      <c r="H552" s="8">
        <v>1131</v>
      </c>
      <c r="I552" s="8">
        <v>980</v>
      </c>
      <c r="J552" s="8" t="s">
        <v>603</v>
      </c>
      <c r="K552" s="9">
        <v>45356</v>
      </c>
      <c r="L552" s="9">
        <v>47150</v>
      </c>
      <c r="M552" s="8" t="s">
        <v>16</v>
      </c>
      <c r="P552" s="16" t="s">
        <v>563</v>
      </c>
      <c r="Q552" s="2" t="s">
        <v>16</v>
      </c>
      <c r="S552" s="8" t="s">
        <v>709</v>
      </c>
      <c r="T552" s="9">
        <v>46327</v>
      </c>
      <c r="U552" s="8">
        <v>0</v>
      </c>
      <c r="V552" s="20">
        <v>87264</v>
      </c>
      <c r="W552" s="21" t="s">
        <v>151</v>
      </c>
    </row>
    <row r="553" spans="1:23" ht="48.75">
      <c r="A553" s="8" t="s">
        <v>2753</v>
      </c>
      <c r="B553" s="8" t="s">
        <v>604</v>
      </c>
      <c r="C553" s="8" t="s">
        <v>2197</v>
      </c>
      <c r="D553" s="8" t="s">
        <v>18</v>
      </c>
      <c r="E553" s="8" t="s">
        <v>16</v>
      </c>
      <c r="F553" s="8" t="s">
        <v>2198</v>
      </c>
      <c r="G553" s="8" t="s">
        <v>2752</v>
      </c>
      <c r="H553" s="8">
        <v>32</v>
      </c>
      <c r="I553" s="8">
        <v>32</v>
      </c>
      <c r="J553" s="8">
        <v>20231218</v>
      </c>
      <c r="K553" s="9">
        <v>45299</v>
      </c>
      <c r="L553" s="9">
        <v>47088</v>
      </c>
      <c r="M553" s="8" t="s">
        <v>16</v>
      </c>
      <c r="P553" s="16" t="s">
        <v>566</v>
      </c>
      <c r="Q553" s="2" t="s">
        <v>16</v>
      </c>
      <c r="S553" s="8" t="s">
        <v>709</v>
      </c>
      <c r="T553" s="9">
        <v>46266</v>
      </c>
      <c r="U553" s="8">
        <v>0</v>
      </c>
      <c r="V553" s="20">
        <v>2736</v>
      </c>
      <c r="W553" s="21" t="s">
        <v>151</v>
      </c>
    </row>
    <row r="554" spans="1:23" ht="45">
      <c r="A554" s="8" t="s">
        <v>2754</v>
      </c>
      <c r="B554" s="8" t="s">
        <v>605</v>
      </c>
      <c r="C554" s="8" t="s">
        <v>2197</v>
      </c>
      <c r="D554" s="8" t="s">
        <v>18</v>
      </c>
      <c r="E554" s="8" t="s">
        <v>16</v>
      </c>
      <c r="F554" s="8" t="s">
        <v>2198</v>
      </c>
      <c r="G554" s="8" t="s">
        <v>2752</v>
      </c>
      <c r="H554" s="8">
        <v>3172</v>
      </c>
      <c r="I554" s="8">
        <v>3172</v>
      </c>
      <c r="J554" s="8" t="s">
        <v>606</v>
      </c>
      <c r="K554" s="9">
        <v>45356</v>
      </c>
      <c r="L554" s="9">
        <v>47150</v>
      </c>
      <c r="M554" s="8" t="s">
        <v>16</v>
      </c>
      <c r="P554" s="16" t="s">
        <v>568</v>
      </c>
      <c r="Q554" s="2" t="s">
        <v>16</v>
      </c>
      <c r="S554" s="8" t="s">
        <v>709</v>
      </c>
      <c r="T554" s="9">
        <v>46296</v>
      </c>
      <c r="U554" s="8">
        <v>0</v>
      </c>
      <c r="V554" s="20">
        <v>4320</v>
      </c>
      <c r="W554" s="21" t="s">
        <v>151</v>
      </c>
    </row>
    <row r="555" spans="1:23" ht="60">
      <c r="A555" s="8" t="s">
        <v>2755</v>
      </c>
      <c r="B555" s="8" t="s">
        <v>607</v>
      </c>
      <c r="C555" s="8" t="s">
        <v>2197</v>
      </c>
      <c r="D555" s="8" t="s">
        <v>18</v>
      </c>
      <c r="E555" s="8" t="s">
        <v>16</v>
      </c>
      <c r="F555" s="8" t="s">
        <v>2198</v>
      </c>
      <c r="G555" s="8" t="s">
        <v>2756</v>
      </c>
      <c r="H555" s="8">
        <v>15</v>
      </c>
      <c r="I555" s="8">
        <v>15</v>
      </c>
      <c r="J555" s="8">
        <v>0</v>
      </c>
      <c r="K555" s="9">
        <v>44018</v>
      </c>
      <c r="L555" s="8" t="s">
        <v>2222</v>
      </c>
      <c r="M555" s="8" t="s">
        <v>38</v>
      </c>
      <c r="P555" s="16" t="s">
        <v>570</v>
      </c>
      <c r="Q555" s="2" t="s">
        <v>16</v>
      </c>
      <c r="S555" s="8" t="s">
        <v>709</v>
      </c>
      <c r="T555" s="9">
        <v>46174</v>
      </c>
      <c r="U555" s="8">
        <v>0</v>
      </c>
      <c r="V555" s="20">
        <v>6192</v>
      </c>
      <c r="W555" s="21" t="s">
        <v>151</v>
      </c>
    </row>
    <row r="556" spans="1:23" ht="75">
      <c r="A556" s="8" t="s">
        <v>2757</v>
      </c>
      <c r="B556" s="8" t="s">
        <v>608</v>
      </c>
      <c r="C556" s="8" t="s">
        <v>2203</v>
      </c>
      <c r="D556" s="8" t="s">
        <v>18</v>
      </c>
      <c r="E556" s="8" t="s">
        <v>16</v>
      </c>
      <c r="F556" s="8" t="s">
        <v>2198</v>
      </c>
      <c r="G556" s="8" t="s">
        <v>2758</v>
      </c>
      <c r="H556" s="8">
        <v>16</v>
      </c>
      <c r="I556" s="8">
        <v>16</v>
      </c>
      <c r="J556" s="8">
        <v>16257</v>
      </c>
      <c r="K556" s="9">
        <v>44011</v>
      </c>
      <c r="L556" s="9">
        <v>45474</v>
      </c>
      <c r="M556" s="8" t="s">
        <v>38</v>
      </c>
      <c r="P556" s="16" t="s">
        <v>570</v>
      </c>
      <c r="Q556" s="2" t="s">
        <v>16</v>
      </c>
      <c r="S556" s="8" t="s">
        <v>709</v>
      </c>
      <c r="T556" s="9">
        <v>46357</v>
      </c>
      <c r="U556" s="8">
        <v>0</v>
      </c>
      <c r="V556" s="20">
        <v>13680</v>
      </c>
      <c r="W556" s="21" t="s">
        <v>151</v>
      </c>
    </row>
    <row r="557" spans="1:23" ht="45">
      <c r="A557" s="8" t="s">
        <v>2759</v>
      </c>
      <c r="B557" s="8" t="s">
        <v>609</v>
      </c>
      <c r="C557" s="8" t="s">
        <v>2221</v>
      </c>
      <c r="D557" s="8" t="s">
        <v>18</v>
      </c>
      <c r="E557" s="8" t="s">
        <v>101</v>
      </c>
      <c r="F557" s="8" t="s">
        <v>101</v>
      </c>
      <c r="G557" s="8" t="s">
        <v>2217</v>
      </c>
      <c r="H557" s="8">
        <v>60</v>
      </c>
      <c r="I557" s="8">
        <v>60</v>
      </c>
      <c r="J557" s="8">
        <v>0</v>
      </c>
      <c r="K557" s="9">
        <v>44161</v>
      </c>
      <c r="L557" s="8" t="s">
        <v>2222</v>
      </c>
      <c r="M557" s="8" t="s">
        <v>41</v>
      </c>
      <c r="P557" s="16" t="s">
        <v>573</v>
      </c>
      <c r="Q557" s="2" t="s">
        <v>16</v>
      </c>
      <c r="S557" s="8" t="s">
        <v>709</v>
      </c>
      <c r="T557" s="9">
        <v>46113</v>
      </c>
      <c r="U557" s="8">
        <v>0</v>
      </c>
      <c r="V557" s="20">
        <v>11741</v>
      </c>
      <c r="W557" s="21" t="s">
        <v>151</v>
      </c>
    </row>
    <row r="558" spans="1:23" ht="45">
      <c r="A558" s="8" t="s">
        <v>2760</v>
      </c>
      <c r="B558" s="8" t="s">
        <v>610</v>
      </c>
      <c r="C558" s="8" t="s">
        <v>2197</v>
      </c>
      <c r="D558" s="8" t="s">
        <v>18</v>
      </c>
      <c r="E558" s="8" t="s">
        <v>16</v>
      </c>
      <c r="F558" s="8" t="s">
        <v>2198</v>
      </c>
      <c r="G558" s="8" t="s">
        <v>2761</v>
      </c>
      <c r="H558" s="8">
        <v>403</v>
      </c>
      <c r="I558" s="8">
        <v>403</v>
      </c>
      <c r="J558" s="8">
        <v>20230102</v>
      </c>
      <c r="K558" s="9">
        <v>44968</v>
      </c>
      <c r="L558" s="9">
        <v>46023</v>
      </c>
      <c r="M558" s="8" t="s">
        <v>16</v>
      </c>
      <c r="P558" s="16" t="s">
        <v>573</v>
      </c>
      <c r="Q558" s="2" t="s">
        <v>16</v>
      </c>
      <c r="S558" s="8" t="s">
        <v>726</v>
      </c>
      <c r="T558" s="9">
        <v>46419</v>
      </c>
      <c r="U558" s="8">
        <v>0</v>
      </c>
      <c r="V558" s="20">
        <v>8</v>
      </c>
      <c r="W558" s="21" t="s">
        <v>151</v>
      </c>
    </row>
    <row r="559" spans="1:23" ht="45">
      <c r="A559" s="8" t="s">
        <v>2762</v>
      </c>
      <c r="B559" s="8" t="s">
        <v>611</v>
      </c>
      <c r="C559" s="8" t="s">
        <v>2197</v>
      </c>
      <c r="D559" s="8" t="s">
        <v>18</v>
      </c>
      <c r="E559" s="8" t="s">
        <v>16</v>
      </c>
      <c r="F559" s="8" t="s">
        <v>2198</v>
      </c>
      <c r="G559" s="8" t="s">
        <v>2761</v>
      </c>
      <c r="H559" s="8">
        <v>89</v>
      </c>
      <c r="I559" s="8">
        <v>89</v>
      </c>
      <c r="J559" s="8">
        <v>20230102</v>
      </c>
      <c r="K559" s="9">
        <v>44968</v>
      </c>
      <c r="L559" s="9">
        <v>46023</v>
      </c>
      <c r="M559" s="8" t="s">
        <v>16</v>
      </c>
      <c r="P559" s="16" t="s">
        <v>576</v>
      </c>
      <c r="Q559" s="2" t="s">
        <v>16</v>
      </c>
      <c r="S559" s="8" t="s">
        <v>726</v>
      </c>
      <c r="T559" s="9">
        <v>46508</v>
      </c>
      <c r="U559" s="8">
        <v>0</v>
      </c>
      <c r="V559" s="20">
        <v>1728</v>
      </c>
      <c r="W559" s="21" t="s">
        <v>151</v>
      </c>
    </row>
    <row r="560" spans="1:23" ht="48.75">
      <c r="A560" s="8" t="s">
        <v>2763</v>
      </c>
      <c r="B560" s="8" t="s">
        <v>611</v>
      </c>
      <c r="C560" s="8" t="s">
        <v>2197</v>
      </c>
      <c r="D560" s="8" t="s">
        <v>18</v>
      </c>
      <c r="E560" s="8" t="s">
        <v>16</v>
      </c>
      <c r="F560" s="8" t="s">
        <v>2198</v>
      </c>
      <c r="G560" s="8" t="s">
        <v>2761</v>
      </c>
      <c r="H560" s="8">
        <v>2604</v>
      </c>
      <c r="I560" s="8">
        <v>2604</v>
      </c>
      <c r="J560" s="8">
        <v>20230102</v>
      </c>
      <c r="K560" s="9">
        <v>44968</v>
      </c>
      <c r="L560" s="9">
        <v>46023</v>
      </c>
      <c r="M560" s="8" t="s">
        <v>16</v>
      </c>
      <c r="P560" s="16" t="s">
        <v>577</v>
      </c>
      <c r="Q560" s="2" t="s">
        <v>16</v>
      </c>
      <c r="S560" s="8" t="s">
        <v>730</v>
      </c>
      <c r="T560" s="9">
        <v>45597</v>
      </c>
      <c r="U560" s="8">
        <v>0</v>
      </c>
      <c r="V560" s="20">
        <v>8</v>
      </c>
      <c r="W560" s="21" t="s">
        <v>16</v>
      </c>
    </row>
    <row r="561" spans="1:23" ht="48.75">
      <c r="A561" s="8" t="s">
        <v>2764</v>
      </c>
      <c r="B561" s="8" t="s">
        <v>612</v>
      </c>
      <c r="C561" s="8" t="s">
        <v>2203</v>
      </c>
      <c r="D561" s="8" t="s">
        <v>18</v>
      </c>
      <c r="E561" s="8" t="s">
        <v>16</v>
      </c>
      <c r="F561" s="8" t="s">
        <v>2198</v>
      </c>
      <c r="G561" s="8" t="s">
        <v>2765</v>
      </c>
      <c r="H561" s="8">
        <v>191</v>
      </c>
      <c r="I561" s="8">
        <v>191</v>
      </c>
      <c r="J561" s="8">
        <v>2306001</v>
      </c>
      <c r="K561" s="9">
        <v>45117</v>
      </c>
      <c r="L561" s="9">
        <v>46905</v>
      </c>
      <c r="M561" s="8" t="s">
        <v>16</v>
      </c>
      <c r="P561" s="16" t="s">
        <v>577</v>
      </c>
      <c r="Q561" s="2" t="s">
        <v>16</v>
      </c>
      <c r="S561" s="8" t="s">
        <v>731</v>
      </c>
      <c r="T561" s="9">
        <v>47088</v>
      </c>
      <c r="U561" s="8">
        <v>0</v>
      </c>
      <c r="V561" s="20">
        <v>1600</v>
      </c>
      <c r="W561" s="21" t="s">
        <v>16</v>
      </c>
    </row>
    <row r="562" spans="1:23" ht="60">
      <c r="A562" s="8" t="s">
        <v>2766</v>
      </c>
      <c r="B562" s="8" t="s">
        <v>613</v>
      </c>
      <c r="C562" s="8" t="s">
        <v>2203</v>
      </c>
      <c r="D562" s="8" t="s">
        <v>18</v>
      </c>
      <c r="E562" s="8" t="s">
        <v>16</v>
      </c>
      <c r="F562" s="8" t="s">
        <v>2198</v>
      </c>
      <c r="G562" s="8" t="s">
        <v>2767</v>
      </c>
      <c r="H562" s="8">
        <v>54804</v>
      </c>
      <c r="I562" s="8">
        <v>54804</v>
      </c>
      <c r="J562" s="8">
        <v>220805</v>
      </c>
      <c r="K562" s="9">
        <v>44855</v>
      </c>
      <c r="L562" s="9">
        <v>46661</v>
      </c>
      <c r="M562" s="8" t="s">
        <v>16</v>
      </c>
      <c r="P562" s="16" t="s">
        <v>578</v>
      </c>
      <c r="Q562" s="2" t="s">
        <v>16</v>
      </c>
      <c r="S562" s="8" t="s">
        <v>732</v>
      </c>
      <c r="T562" s="9">
        <v>46692</v>
      </c>
      <c r="U562" s="8">
        <v>0</v>
      </c>
      <c r="V562" s="20">
        <v>1080</v>
      </c>
      <c r="W562" s="21" t="s">
        <v>16</v>
      </c>
    </row>
    <row r="563" spans="1:23" ht="60">
      <c r="A563" s="8" t="s">
        <v>2768</v>
      </c>
      <c r="B563" s="8" t="s">
        <v>614</v>
      </c>
      <c r="C563" s="8" t="s">
        <v>2203</v>
      </c>
      <c r="D563" s="8" t="s">
        <v>18</v>
      </c>
      <c r="E563" s="8" t="s">
        <v>16</v>
      </c>
      <c r="F563" s="8" t="s">
        <v>2198</v>
      </c>
      <c r="G563" s="8" t="s">
        <v>2767</v>
      </c>
      <c r="H563" s="8">
        <v>60872</v>
      </c>
      <c r="I563" s="8">
        <v>13</v>
      </c>
      <c r="J563" s="8">
        <v>210110</v>
      </c>
      <c r="K563" s="9">
        <v>44903</v>
      </c>
      <c r="L563" s="9">
        <v>46692</v>
      </c>
      <c r="M563" s="8" t="s">
        <v>16</v>
      </c>
      <c r="P563" s="16" t="s">
        <v>579</v>
      </c>
      <c r="Q563" s="2" t="s">
        <v>43</v>
      </c>
      <c r="S563" s="8" t="s">
        <v>733</v>
      </c>
      <c r="T563" s="9">
        <v>46113</v>
      </c>
      <c r="U563" s="8">
        <v>0</v>
      </c>
      <c r="V563" s="20">
        <v>7010</v>
      </c>
      <c r="W563" s="21" t="s">
        <v>16</v>
      </c>
    </row>
    <row r="564" spans="1:23" ht="60">
      <c r="A564" s="8" t="s">
        <v>2768</v>
      </c>
      <c r="B564" s="8" t="s">
        <v>614</v>
      </c>
      <c r="C564" s="8" t="s">
        <v>2203</v>
      </c>
      <c r="D564" s="8" t="s">
        <v>100</v>
      </c>
      <c r="E564" s="8" t="s">
        <v>16</v>
      </c>
      <c r="F564" s="8" t="s">
        <v>2198</v>
      </c>
      <c r="G564" s="8" t="s">
        <v>2767</v>
      </c>
      <c r="H564" s="8">
        <v>260</v>
      </c>
      <c r="I564" s="8">
        <v>260</v>
      </c>
      <c r="J564" s="8">
        <v>220805</v>
      </c>
      <c r="K564" s="9">
        <v>44888</v>
      </c>
      <c r="L564" s="9">
        <v>46692</v>
      </c>
      <c r="M564" s="8" t="s">
        <v>16</v>
      </c>
      <c r="P564" s="16" t="s">
        <v>580</v>
      </c>
      <c r="Q564" s="2" t="s">
        <v>43</v>
      </c>
      <c r="S564" s="8" t="s">
        <v>734</v>
      </c>
      <c r="T564" s="9" t="s">
        <v>2222</v>
      </c>
      <c r="U564" s="8">
        <v>0</v>
      </c>
      <c r="V564" s="20">
        <v>3230</v>
      </c>
      <c r="W564" s="21" t="s">
        <v>43</v>
      </c>
    </row>
    <row r="565" spans="1:23" ht="60">
      <c r="A565" s="8" t="s">
        <v>2768</v>
      </c>
      <c r="B565" s="8" t="s">
        <v>614</v>
      </c>
      <c r="C565" s="8" t="s">
        <v>2203</v>
      </c>
      <c r="D565" s="8" t="s">
        <v>18</v>
      </c>
      <c r="E565" s="8" t="s">
        <v>16</v>
      </c>
      <c r="F565" s="8" t="s">
        <v>2198</v>
      </c>
      <c r="G565" s="8" t="s">
        <v>2767</v>
      </c>
      <c r="H565" s="8">
        <v>60872</v>
      </c>
      <c r="I565" s="8">
        <v>21259</v>
      </c>
      <c r="J565" s="8">
        <v>220805</v>
      </c>
      <c r="K565" s="9">
        <v>44888</v>
      </c>
      <c r="L565" s="9">
        <v>46692</v>
      </c>
      <c r="M565" s="8" t="s">
        <v>16</v>
      </c>
      <c r="P565" s="16" t="s">
        <v>581</v>
      </c>
      <c r="Q565" s="2" t="s">
        <v>43</v>
      </c>
      <c r="S565" s="8" t="s">
        <v>735</v>
      </c>
      <c r="T565" s="9" t="s">
        <v>2222</v>
      </c>
      <c r="U565" s="8">
        <v>0</v>
      </c>
      <c r="V565" s="20">
        <v>801</v>
      </c>
      <c r="W565" s="21" t="s">
        <v>43</v>
      </c>
    </row>
    <row r="566" spans="1:23" ht="60">
      <c r="A566" s="8" t="s">
        <v>2768</v>
      </c>
      <c r="B566" s="8" t="s">
        <v>614</v>
      </c>
      <c r="C566" s="8" t="s">
        <v>2203</v>
      </c>
      <c r="D566" s="8" t="s">
        <v>18</v>
      </c>
      <c r="E566" s="8" t="s">
        <v>16</v>
      </c>
      <c r="F566" s="8" t="s">
        <v>2198</v>
      </c>
      <c r="G566" s="8" t="s">
        <v>2767</v>
      </c>
      <c r="H566" s="8">
        <v>60872</v>
      </c>
      <c r="I566" s="8">
        <v>39600</v>
      </c>
      <c r="J566" s="8" t="s">
        <v>615</v>
      </c>
      <c r="K566" s="9">
        <v>45148</v>
      </c>
      <c r="L566" s="9">
        <v>46935</v>
      </c>
      <c r="M566" s="8" t="s">
        <v>16</v>
      </c>
      <c r="P566" s="16" t="s">
        <v>582</v>
      </c>
      <c r="Q566" s="2" t="s">
        <v>43</v>
      </c>
      <c r="S566" s="8" t="s">
        <v>736</v>
      </c>
      <c r="T566" s="9" t="s">
        <v>2222</v>
      </c>
      <c r="U566" s="8">
        <v>0</v>
      </c>
      <c r="V566" s="20">
        <v>228</v>
      </c>
      <c r="W566" s="21" t="s">
        <v>43</v>
      </c>
    </row>
    <row r="567" spans="1:23" ht="60">
      <c r="A567" s="8" t="s">
        <v>2769</v>
      </c>
      <c r="B567" s="8" t="s">
        <v>616</v>
      </c>
      <c r="C567" s="8" t="s">
        <v>2197</v>
      </c>
      <c r="D567" s="8" t="s">
        <v>18</v>
      </c>
      <c r="E567" s="8" t="s">
        <v>151</v>
      </c>
      <c r="F567" s="8" t="s">
        <v>151</v>
      </c>
      <c r="G567" s="8" t="s">
        <v>2770</v>
      </c>
      <c r="H567" s="8">
        <v>2</v>
      </c>
      <c r="I567" s="8">
        <v>2</v>
      </c>
      <c r="J567" s="8">
        <v>190324</v>
      </c>
      <c r="K567" s="9">
        <v>45447</v>
      </c>
      <c r="L567" s="9">
        <v>46082</v>
      </c>
      <c r="M567" s="8" t="s">
        <v>151</v>
      </c>
      <c r="P567" s="16" t="s">
        <v>583</v>
      </c>
      <c r="Q567" s="2" t="s">
        <v>43</v>
      </c>
      <c r="S567" s="8" t="s">
        <v>737</v>
      </c>
      <c r="T567" s="9" t="s">
        <v>2222</v>
      </c>
      <c r="U567" s="8">
        <v>0</v>
      </c>
      <c r="V567" s="20">
        <v>36</v>
      </c>
      <c r="W567" s="21" t="s">
        <v>43</v>
      </c>
    </row>
    <row r="568" spans="1:23" ht="60">
      <c r="A568" s="8" t="s">
        <v>2771</v>
      </c>
      <c r="B568" s="8" t="s">
        <v>616</v>
      </c>
      <c r="C568" s="8" t="s">
        <v>2197</v>
      </c>
      <c r="D568" s="8" t="s">
        <v>18</v>
      </c>
      <c r="E568" s="8" t="s">
        <v>151</v>
      </c>
      <c r="F568" s="8" t="s">
        <v>151</v>
      </c>
      <c r="G568" s="8" t="s">
        <v>2770</v>
      </c>
      <c r="H568" s="8">
        <v>2777</v>
      </c>
      <c r="I568" s="8">
        <v>2</v>
      </c>
      <c r="J568" s="8">
        <v>190324</v>
      </c>
      <c r="K568" s="9">
        <v>45436</v>
      </c>
      <c r="L568" s="9">
        <v>46082</v>
      </c>
      <c r="M568" s="8" t="s">
        <v>151</v>
      </c>
      <c r="P568" s="16" t="s">
        <v>584</v>
      </c>
      <c r="Q568" s="2" t="s">
        <v>43</v>
      </c>
      <c r="S568" s="8" t="s">
        <v>738</v>
      </c>
      <c r="T568" s="9">
        <v>46539</v>
      </c>
      <c r="U568" s="8">
        <v>0</v>
      </c>
      <c r="V568" s="20">
        <v>13</v>
      </c>
      <c r="W568" s="21" t="s">
        <v>16</v>
      </c>
    </row>
    <row r="569" spans="1:23" ht="60">
      <c r="A569" s="8" t="s">
        <v>2771</v>
      </c>
      <c r="B569" s="8" t="s">
        <v>616</v>
      </c>
      <c r="C569" s="8" t="s">
        <v>2197</v>
      </c>
      <c r="D569" s="8" t="s">
        <v>18</v>
      </c>
      <c r="E569" s="8" t="s">
        <v>151</v>
      </c>
      <c r="F569" s="8" t="s">
        <v>151</v>
      </c>
      <c r="G569" s="8" t="s">
        <v>2770</v>
      </c>
      <c r="H569" s="8">
        <v>2777</v>
      </c>
      <c r="I569" s="8">
        <v>2775</v>
      </c>
      <c r="J569" s="8">
        <v>210424</v>
      </c>
      <c r="K569" s="9">
        <v>45462</v>
      </c>
      <c r="L569" s="9">
        <v>46113</v>
      </c>
      <c r="M569" s="8" t="s">
        <v>151</v>
      </c>
      <c r="P569" s="16" t="s">
        <v>585</v>
      </c>
      <c r="Q569" s="2" t="s">
        <v>43</v>
      </c>
      <c r="S569" s="8" t="s">
        <v>738</v>
      </c>
      <c r="T569" s="9">
        <v>46966</v>
      </c>
      <c r="U569" s="8">
        <v>0</v>
      </c>
      <c r="V569" s="20">
        <v>224</v>
      </c>
      <c r="W569" s="21" t="s">
        <v>16</v>
      </c>
    </row>
    <row r="570" spans="1:23" ht="60">
      <c r="A570" s="8" t="s">
        <v>2772</v>
      </c>
      <c r="B570" s="8" t="s">
        <v>617</v>
      </c>
      <c r="C570" s="8" t="s">
        <v>2197</v>
      </c>
      <c r="D570" s="8" t="s">
        <v>18</v>
      </c>
      <c r="E570" s="8" t="s">
        <v>151</v>
      </c>
      <c r="F570" s="8" t="s">
        <v>151</v>
      </c>
      <c r="G570" s="8" t="s">
        <v>2773</v>
      </c>
      <c r="H570" s="8">
        <v>2130</v>
      </c>
      <c r="I570" s="8">
        <v>2130</v>
      </c>
      <c r="J570" s="8">
        <v>290324</v>
      </c>
      <c r="K570" s="9">
        <v>45462</v>
      </c>
      <c r="L570" s="9">
        <v>46082</v>
      </c>
      <c r="M570" s="8" t="s">
        <v>151</v>
      </c>
      <c r="P570" s="16" t="s">
        <v>586</v>
      </c>
      <c r="Q570" s="2" t="s">
        <v>16</v>
      </c>
      <c r="S570" s="8" t="s">
        <v>739</v>
      </c>
      <c r="T570" s="9">
        <v>46966</v>
      </c>
      <c r="U570" s="8">
        <v>0</v>
      </c>
      <c r="V570" s="20">
        <v>25</v>
      </c>
      <c r="W570" s="21" t="s">
        <v>16</v>
      </c>
    </row>
    <row r="571" spans="1:23" ht="60">
      <c r="A571" s="8" t="s">
        <v>2774</v>
      </c>
      <c r="B571" s="8" t="s">
        <v>618</v>
      </c>
      <c r="C571" s="8" t="s">
        <v>2197</v>
      </c>
      <c r="D571" s="8" t="s">
        <v>18</v>
      </c>
      <c r="E571" s="8" t="s">
        <v>151</v>
      </c>
      <c r="F571" s="8" t="s">
        <v>151</v>
      </c>
      <c r="G571" s="8" t="s">
        <v>2775</v>
      </c>
      <c r="H571" s="8">
        <v>1869</v>
      </c>
      <c r="I571" s="8">
        <v>9</v>
      </c>
      <c r="J571" s="8">
        <v>100324</v>
      </c>
      <c r="K571" s="9">
        <v>45415</v>
      </c>
      <c r="L571" s="9">
        <v>46082</v>
      </c>
      <c r="M571" s="8" t="s">
        <v>151</v>
      </c>
      <c r="P571" s="16" t="s">
        <v>586</v>
      </c>
      <c r="Q571" s="2" t="s">
        <v>16</v>
      </c>
      <c r="S571" s="8" t="s">
        <v>740</v>
      </c>
      <c r="T571" s="9">
        <v>46447</v>
      </c>
      <c r="U571" s="8">
        <v>0</v>
      </c>
      <c r="V571" s="20">
        <v>117</v>
      </c>
      <c r="W571" s="21" t="s">
        <v>16</v>
      </c>
    </row>
    <row r="572" spans="1:23" ht="60">
      <c r="A572" s="8" t="s">
        <v>2774</v>
      </c>
      <c r="B572" s="8" t="s">
        <v>618</v>
      </c>
      <c r="C572" s="8" t="s">
        <v>2197</v>
      </c>
      <c r="D572" s="8" t="s">
        <v>18</v>
      </c>
      <c r="E572" s="8" t="s">
        <v>151</v>
      </c>
      <c r="F572" s="8" t="s">
        <v>151</v>
      </c>
      <c r="G572" s="8" t="s">
        <v>2775</v>
      </c>
      <c r="H572" s="8">
        <v>1869</v>
      </c>
      <c r="I572" s="8">
        <v>30</v>
      </c>
      <c r="J572" s="8">
        <v>220424</v>
      </c>
      <c r="K572" s="9">
        <v>45449</v>
      </c>
      <c r="L572" s="9">
        <v>46113</v>
      </c>
      <c r="M572" s="8" t="s">
        <v>151</v>
      </c>
      <c r="P572" s="16" t="s">
        <v>586</v>
      </c>
      <c r="Q572" s="2" t="s">
        <v>16</v>
      </c>
      <c r="S572" s="8" t="s">
        <v>740</v>
      </c>
      <c r="T572" s="9">
        <v>46966</v>
      </c>
      <c r="U572" s="8">
        <v>0</v>
      </c>
      <c r="V572" s="20">
        <v>1600</v>
      </c>
      <c r="W572" s="21" t="s">
        <v>16</v>
      </c>
    </row>
    <row r="573" spans="1:23" ht="60">
      <c r="A573" s="8" t="s">
        <v>2774</v>
      </c>
      <c r="B573" s="8" t="s">
        <v>618</v>
      </c>
      <c r="C573" s="8" t="s">
        <v>2197</v>
      </c>
      <c r="D573" s="8" t="s">
        <v>18</v>
      </c>
      <c r="E573" s="8" t="s">
        <v>151</v>
      </c>
      <c r="F573" s="8" t="s">
        <v>151</v>
      </c>
      <c r="G573" s="8" t="s">
        <v>2775</v>
      </c>
      <c r="H573" s="8">
        <v>1869</v>
      </c>
      <c r="I573" s="8">
        <v>1830</v>
      </c>
      <c r="J573" s="8">
        <v>300424</v>
      </c>
      <c r="K573" s="9">
        <v>45449</v>
      </c>
      <c r="L573" s="9">
        <v>46113</v>
      </c>
      <c r="M573" s="8" t="s">
        <v>151</v>
      </c>
      <c r="P573" s="16" t="s">
        <v>586</v>
      </c>
      <c r="Q573" s="2" t="s">
        <v>16</v>
      </c>
      <c r="S573" s="8" t="s">
        <v>740</v>
      </c>
      <c r="T573" s="9">
        <v>46935</v>
      </c>
      <c r="U573" s="8">
        <v>0</v>
      </c>
      <c r="V573" s="20">
        <v>2360</v>
      </c>
      <c r="W573" s="21" t="s">
        <v>16</v>
      </c>
    </row>
    <row r="574" spans="1:23" ht="48.75">
      <c r="A574" s="8" t="s">
        <v>2776</v>
      </c>
      <c r="B574" s="8" t="s">
        <v>619</v>
      </c>
      <c r="C574" s="8" t="s">
        <v>2197</v>
      </c>
      <c r="D574" s="8" t="s">
        <v>18</v>
      </c>
      <c r="E574" s="8" t="s">
        <v>16</v>
      </c>
      <c r="F574" s="8" t="s">
        <v>2198</v>
      </c>
      <c r="G574" s="8" t="s">
        <v>2777</v>
      </c>
      <c r="H574" s="8">
        <v>859</v>
      </c>
      <c r="I574" s="8">
        <v>120</v>
      </c>
      <c r="J574" s="8">
        <v>15062022</v>
      </c>
      <c r="K574" s="9">
        <v>44949</v>
      </c>
      <c r="L574" s="9">
        <v>45809</v>
      </c>
      <c r="M574" s="8" t="s">
        <v>16</v>
      </c>
      <c r="P574" s="16" t="s">
        <v>586</v>
      </c>
      <c r="Q574" s="2" t="s">
        <v>16</v>
      </c>
      <c r="S574" s="8" t="s">
        <v>740</v>
      </c>
      <c r="T574" s="9">
        <v>46722</v>
      </c>
      <c r="U574" s="8">
        <v>0</v>
      </c>
      <c r="V574" s="20">
        <v>4540</v>
      </c>
      <c r="W574" s="21" t="s">
        <v>16</v>
      </c>
    </row>
    <row r="575" spans="1:23" ht="48.75">
      <c r="A575" s="8" t="s">
        <v>2776</v>
      </c>
      <c r="B575" s="8" t="s">
        <v>619</v>
      </c>
      <c r="C575" s="8" t="s">
        <v>2197</v>
      </c>
      <c r="D575" s="8" t="s">
        <v>18</v>
      </c>
      <c r="E575" s="8" t="s">
        <v>16</v>
      </c>
      <c r="F575" s="8" t="s">
        <v>2198</v>
      </c>
      <c r="G575" s="8" t="s">
        <v>2777</v>
      </c>
      <c r="H575" s="8">
        <v>859</v>
      </c>
      <c r="I575" s="8">
        <v>739</v>
      </c>
      <c r="J575" s="8">
        <v>10082023</v>
      </c>
      <c r="K575" s="9">
        <v>45367</v>
      </c>
      <c r="L575" s="9">
        <v>46235</v>
      </c>
      <c r="M575" s="8" t="s">
        <v>16</v>
      </c>
      <c r="P575" s="16" t="s">
        <v>586</v>
      </c>
      <c r="Q575" s="2" t="s">
        <v>16</v>
      </c>
      <c r="S575" s="8" t="s">
        <v>741</v>
      </c>
      <c r="T575" s="9">
        <v>46054</v>
      </c>
      <c r="U575" s="8">
        <v>0</v>
      </c>
      <c r="V575" s="20">
        <v>2</v>
      </c>
      <c r="W575" s="21" t="s">
        <v>16</v>
      </c>
    </row>
    <row r="576" spans="1:23" ht="48.75">
      <c r="A576" s="8" t="s">
        <v>2778</v>
      </c>
      <c r="B576" s="8" t="s">
        <v>620</v>
      </c>
      <c r="C576" s="8" t="s">
        <v>2197</v>
      </c>
      <c r="D576" s="8" t="s">
        <v>100</v>
      </c>
      <c r="E576" s="8" t="s">
        <v>16</v>
      </c>
      <c r="F576" s="8" t="s">
        <v>2198</v>
      </c>
      <c r="G576" s="8" t="s">
        <v>2777</v>
      </c>
      <c r="H576" s="8">
        <v>2</v>
      </c>
      <c r="I576" s="8">
        <v>2</v>
      </c>
      <c r="J576" s="8">
        <v>30052023</v>
      </c>
      <c r="K576" s="9">
        <v>45184</v>
      </c>
      <c r="L576" s="9">
        <v>46143</v>
      </c>
      <c r="M576" s="8" t="s">
        <v>16</v>
      </c>
      <c r="P576" s="16" t="s">
        <v>586</v>
      </c>
      <c r="Q576" s="2" t="s">
        <v>16</v>
      </c>
      <c r="S576" s="8" t="s">
        <v>741</v>
      </c>
      <c r="T576" s="9">
        <v>46661</v>
      </c>
      <c r="U576" s="8">
        <v>0</v>
      </c>
      <c r="V576" s="20">
        <v>20</v>
      </c>
      <c r="W576" s="21" t="s">
        <v>16</v>
      </c>
    </row>
    <row r="577" spans="1:23" ht="45">
      <c r="A577" s="8" t="s">
        <v>2779</v>
      </c>
      <c r="B577" s="8" t="s">
        <v>620</v>
      </c>
      <c r="C577" s="8" t="s">
        <v>2197</v>
      </c>
      <c r="D577" s="8" t="s">
        <v>18</v>
      </c>
      <c r="E577" s="8" t="s">
        <v>16</v>
      </c>
      <c r="F577" s="8" t="s">
        <v>2198</v>
      </c>
      <c r="G577" s="8" t="s">
        <v>2777</v>
      </c>
      <c r="H577" s="8">
        <v>3</v>
      </c>
      <c r="I577" s="8">
        <v>3</v>
      </c>
      <c r="J577" s="8">
        <v>30052023</v>
      </c>
      <c r="K577" s="9">
        <v>45171</v>
      </c>
      <c r="L577" s="9">
        <v>46143</v>
      </c>
      <c r="M577" s="8" t="s">
        <v>16</v>
      </c>
      <c r="P577" s="16" t="s">
        <v>588</v>
      </c>
      <c r="Q577" s="2" t="s">
        <v>16</v>
      </c>
      <c r="S577" s="8" t="s">
        <v>741</v>
      </c>
      <c r="T577" s="9">
        <v>46966</v>
      </c>
      <c r="U577" s="8">
        <v>0</v>
      </c>
      <c r="V577" s="20">
        <v>100</v>
      </c>
      <c r="W577" s="21" t="s">
        <v>16</v>
      </c>
    </row>
    <row r="578" spans="1:23" ht="60">
      <c r="A578" s="8" t="s">
        <v>2779</v>
      </c>
      <c r="B578" s="8" t="s">
        <v>620</v>
      </c>
      <c r="C578" s="8" t="s">
        <v>2197</v>
      </c>
      <c r="D578" s="8" t="s">
        <v>100</v>
      </c>
      <c r="E578" s="8" t="s">
        <v>16</v>
      </c>
      <c r="F578" s="8" t="s">
        <v>2198</v>
      </c>
      <c r="G578" s="8" t="s">
        <v>2777</v>
      </c>
      <c r="H578" s="8">
        <v>766</v>
      </c>
      <c r="I578" s="8">
        <v>766</v>
      </c>
      <c r="J578" s="8">
        <v>30052023</v>
      </c>
      <c r="K578" s="9">
        <v>45171</v>
      </c>
      <c r="L578" s="9">
        <v>46143</v>
      </c>
      <c r="M578" s="8" t="s">
        <v>16</v>
      </c>
      <c r="P578" s="16" t="s">
        <v>588</v>
      </c>
      <c r="Q578" s="2" t="s">
        <v>16</v>
      </c>
      <c r="S578" s="8" t="s">
        <v>742</v>
      </c>
      <c r="T578" s="9">
        <v>46023</v>
      </c>
      <c r="U578" s="8">
        <v>0</v>
      </c>
      <c r="V578" s="20">
        <v>22</v>
      </c>
      <c r="W578" s="21" t="s">
        <v>151</v>
      </c>
    </row>
    <row r="579" spans="1:23" ht="60">
      <c r="A579" s="8" t="s">
        <v>2780</v>
      </c>
      <c r="B579" s="8" t="s">
        <v>621</v>
      </c>
      <c r="C579" s="8" t="s">
        <v>2197</v>
      </c>
      <c r="D579" s="8" t="s">
        <v>18</v>
      </c>
      <c r="E579" s="8" t="s">
        <v>16</v>
      </c>
      <c r="F579" s="8" t="s">
        <v>2198</v>
      </c>
      <c r="G579" s="8" t="s">
        <v>2777</v>
      </c>
      <c r="H579" s="8">
        <v>1445</v>
      </c>
      <c r="I579" s="8">
        <v>1445</v>
      </c>
      <c r="J579" s="8">
        <v>20082023</v>
      </c>
      <c r="K579" s="9">
        <v>45356</v>
      </c>
      <c r="L579" s="9">
        <v>46235</v>
      </c>
      <c r="M579" s="8" t="s">
        <v>16</v>
      </c>
      <c r="P579" s="16" t="s">
        <v>588</v>
      </c>
      <c r="Q579" s="2" t="s">
        <v>16</v>
      </c>
      <c r="S579" s="8" t="s">
        <v>743</v>
      </c>
      <c r="T579" s="9">
        <v>46143</v>
      </c>
      <c r="U579" s="8">
        <v>0</v>
      </c>
      <c r="V579" s="20">
        <v>1170</v>
      </c>
      <c r="W579" s="21" t="s">
        <v>16</v>
      </c>
    </row>
    <row r="580" spans="1:23" ht="45">
      <c r="A580" s="8" t="s">
        <v>2781</v>
      </c>
      <c r="B580" s="8" t="s">
        <v>622</v>
      </c>
      <c r="C580" s="8" t="s">
        <v>2197</v>
      </c>
      <c r="D580" s="8" t="s">
        <v>18</v>
      </c>
      <c r="E580" s="8" t="s">
        <v>16</v>
      </c>
      <c r="F580" s="8" t="s">
        <v>2198</v>
      </c>
      <c r="G580" s="8" t="s">
        <v>2777</v>
      </c>
      <c r="H580" s="8">
        <v>2935</v>
      </c>
      <c r="I580" s="8">
        <v>2935</v>
      </c>
      <c r="J580" s="8">
        <v>15092023</v>
      </c>
      <c r="K580" s="9">
        <v>45266</v>
      </c>
      <c r="L580" s="9">
        <v>46266</v>
      </c>
      <c r="M580" s="8" t="s">
        <v>16</v>
      </c>
      <c r="P580" s="16" t="s">
        <v>588</v>
      </c>
      <c r="Q580" s="2" t="s">
        <v>16</v>
      </c>
      <c r="S580" s="8" t="s">
        <v>744</v>
      </c>
      <c r="T580" s="9">
        <v>46327</v>
      </c>
      <c r="U580" s="8">
        <v>0</v>
      </c>
      <c r="V580" s="20">
        <v>50</v>
      </c>
      <c r="W580" s="21" t="s">
        <v>151</v>
      </c>
    </row>
    <row r="581" spans="1:23" ht="45">
      <c r="A581" s="8" t="s">
        <v>2782</v>
      </c>
      <c r="B581" s="8" t="s">
        <v>623</v>
      </c>
      <c r="C581" s="8" t="s">
        <v>2197</v>
      </c>
      <c r="D581" s="8" t="s">
        <v>18</v>
      </c>
      <c r="E581" s="8" t="s">
        <v>16</v>
      </c>
      <c r="F581" s="8" t="s">
        <v>2198</v>
      </c>
      <c r="G581" s="8" t="s">
        <v>2783</v>
      </c>
      <c r="H581" s="8">
        <v>375</v>
      </c>
      <c r="I581" s="8">
        <v>375</v>
      </c>
      <c r="J581" s="8">
        <v>20210629</v>
      </c>
      <c r="K581" s="9">
        <v>44603</v>
      </c>
      <c r="L581" s="9">
        <v>45536</v>
      </c>
      <c r="M581" s="8" t="s">
        <v>16</v>
      </c>
      <c r="P581" s="16" t="s">
        <v>588</v>
      </c>
      <c r="Q581" s="2" t="s">
        <v>16</v>
      </c>
      <c r="S581" s="8" t="s">
        <v>744</v>
      </c>
      <c r="T581" s="9">
        <v>46235</v>
      </c>
      <c r="U581" s="8">
        <v>0</v>
      </c>
      <c r="V581" s="20">
        <v>50</v>
      </c>
      <c r="W581" s="21" t="s">
        <v>151</v>
      </c>
    </row>
    <row r="582" spans="1:23" ht="45">
      <c r="A582" s="8" t="s">
        <v>2784</v>
      </c>
      <c r="B582" s="8" t="s">
        <v>624</v>
      </c>
      <c r="C582" s="8" t="s">
        <v>2197</v>
      </c>
      <c r="D582" s="8" t="s">
        <v>18</v>
      </c>
      <c r="E582" s="8" t="s">
        <v>2217</v>
      </c>
      <c r="F582" s="8" t="s">
        <v>2217</v>
      </c>
      <c r="G582" s="8" t="s">
        <v>2217</v>
      </c>
      <c r="H582" s="8">
        <v>21</v>
      </c>
      <c r="I582" s="8">
        <v>21</v>
      </c>
      <c r="J582" s="8">
        <v>20200523</v>
      </c>
      <c r="K582" s="9">
        <v>45265</v>
      </c>
      <c r="L582" s="9">
        <v>45870</v>
      </c>
      <c r="M582" s="8" t="s">
        <v>16</v>
      </c>
      <c r="P582" s="16" t="s">
        <v>588</v>
      </c>
      <c r="Q582" s="2" t="s">
        <v>16</v>
      </c>
      <c r="S582" s="8" t="s">
        <v>744</v>
      </c>
      <c r="T582" s="9">
        <v>45962</v>
      </c>
      <c r="U582" s="8">
        <v>0</v>
      </c>
      <c r="V582" s="20">
        <v>934</v>
      </c>
      <c r="W582" s="21" t="s">
        <v>151</v>
      </c>
    </row>
    <row r="583" spans="1:23" ht="45">
      <c r="A583" s="8" t="s">
        <v>2785</v>
      </c>
      <c r="B583" s="8" t="s">
        <v>624</v>
      </c>
      <c r="C583" s="8" t="s">
        <v>2197</v>
      </c>
      <c r="D583" s="8" t="s">
        <v>18</v>
      </c>
      <c r="E583" s="8" t="s">
        <v>16</v>
      </c>
      <c r="F583" s="8" t="s">
        <v>2198</v>
      </c>
      <c r="G583" s="8" t="s">
        <v>2783</v>
      </c>
      <c r="H583" s="8">
        <v>499</v>
      </c>
      <c r="I583" s="8">
        <v>159</v>
      </c>
      <c r="J583" s="8">
        <v>20200523</v>
      </c>
      <c r="K583" s="9">
        <v>45316</v>
      </c>
      <c r="L583" s="9">
        <v>45870</v>
      </c>
      <c r="M583" s="8" t="s">
        <v>16</v>
      </c>
      <c r="P583" s="16" t="s">
        <v>588</v>
      </c>
      <c r="Q583" s="2" t="s">
        <v>16</v>
      </c>
      <c r="S583" s="8" t="s">
        <v>745</v>
      </c>
      <c r="T583" s="9">
        <v>46508</v>
      </c>
      <c r="U583" s="8">
        <v>0</v>
      </c>
      <c r="V583" s="20">
        <v>1400</v>
      </c>
      <c r="W583" s="21" t="s">
        <v>16</v>
      </c>
    </row>
    <row r="584" spans="1:23" ht="45">
      <c r="A584" s="8" t="s">
        <v>2785</v>
      </c>
      <c r="B584" s="8" t="s">
        <v>624</v>
      </c>
      <c r="C584" s="8" t="s">
        <v>2197</v>
      </c>
      <c r="D584" s="8" t="s">
        <v>18</v>
      </c>
      <c r="E584" s="8" t="s">
        <v>16</v>
      </c>
      <c r="F584" s="8" t="s">
        <v>2198</v>
      </c>
      <c r="G584" s="8" t="s">
        <v>2783</v>
      </c>
      <c r="H584" s="8">
        <v>499</v>
      </c>
      <c r="I584" s="8">
        <v>340</v>
      </c>
      <c r="J584" s="8">
        <v>20200523</v>
      </c>
      <c r="K584" s="9">
        <v>44610</v>
      </c>
      <c r="L584" s="9">
        <v>45901</v>
      </c>
      <c r="M584" s="8" t="s">
        <v>16</v>
      </c>
      <c r="P584" s="16" t="s">
        <v>590</v>
      </c>
      <c r="Q584" s="2" t="s">
        <v>151</v>
      </c>
      <c r="S584" s="8" t="s">
        <v>746</v>
      </c>
      <c r="T584" s="9">
        <v>46296</v>
      </c>
      <c r="U584" s="8">
        <v>0</v>
      </c>
      <c r="V584" s="20">
        <v>2854</v>
      </c>
      <c r="W584" s="21" t="s">
        <v>16</v>
      </c>
    </row>
    <row r="585" spans="1:23" ht="75">
      <c r="A585" s="8" t="s">
        <v>2786</v>
      </c>
      <c r="B585" s="8" t="s">
        <v>625</v>
      </c>
      <c r="C585" s="8" t="s">
        <v>2197</v>
      </c>
      <c r="D585" s="8" t="s">
        <v>18</v>
      </c>
      <c r="E585" s="8" t="s">
        <v>16</v>
      </c>
      <c r="F585" s="8" t="s">
        <v>2198</v>
      </c>
      <c r="G585" s="8" t="s">
        <v>2783</v>
      </c>
      <c r="H585" s="8">
        <v>9</v>
      </c>
      <c r="I585" s="8">
        <v>9</v>
      </c>
      <c r="J585" s="8">
        <v>20210629</v>
      </c>
      <c r="K585" s="9">
        <v>44830</v>
      </c>
      <c r="L585" s="9">
        <v>45717</v>
      </c>
      <c r="M585" s="8" t="s">
        <v>16</v>
      </c>
      <c r="P585" s="16" t="s">
        <v>590</v>
      </c>
      <c r="Q585" s="2" t="s">
        <v>151</v>
      </c>
      <c r="S585" s="8" t="s">
        <v>747</v>
      </c>
      <c r="T585" s="9">
        <v>46266</v>
      </c>
      <c r="U585" s="8">
        <v>0</v>
      </c>
      <c r="V585" s="20">
        <v>1649</v>
      </c>
      <c r="W585" s="21" t="s">
        <v>151</v>
      </c>
    </row>
    <row r="586" spans="1:23" ht="60">
      <c r="A586" s="8" t="s">
        <v>2787</v>
      </c>
      <c r="B586" s="8" t="s">
        <v>626</v>
      </c>
      <c r="C586" s="8" t="s">
        <v>2197</v>
      </c>
      <c r="D586" s="8" t="s">
        <v>18</v>
      </c>
      <c r="E586" s="8" t="s">
        <v>16</v>
      </c>
      <c r="F586" s="8" t="s">
        <v>2198</v>
      </c>
      <c r="G586" s="8" t="s">
        <v>2783</v>
      </c>
      <c r="H586" s="8">
        <v>1029</v>
      </c>
      <c r="I586" s="8">
        <v>1029</v>
      </c>
      <c r="J586" s="8">
        <v>20220319</v>
      </c>
      <c r="K586" s="9">
        <v>45244</v>
      </c>
      <c r="L586" s="9">
        <v>46327</v>
      </c>
      <c r="M586" s="8" t="s">
        <v>16</v>
      </c>
      <c r="P586" s="16" t="s">
        <v>591</v>
      </c>
      <c r="Q586" s="2" t="s">
        <v>151</v>
      </c>
      <c r="S586" s="8" t="s">
        <v>748</v>
      </c>
      <c r="T586" s="9">
        <v>46023</v>
      </c>
      <c r="U586" s="8">
        <v>0</v>
      </c>
      <c r="V586" s="20">
        <v>13</v>
      </c>
      <c r="W586" s="21" t="s">
        <v>151</v>
      </c>
    </row>
    <row r="587" spans="1:23" ht="60">
      <c r="A587" s="8" t="s">
        <v>2788</v>
      </c>
      <c r="B587" s="8" t="s">
        <v>627</v>
      </c>
      <c r="C587" s="8" t="s">
        <v>2197</v>
      </c>
      <c r="D587" s="8" t="s">
        <v>18</v>
      </c>
      <c r="E587" s="8" t="s">
        <v>16</v>
      </c>
      <c r="F587" s="8" t="s">
        <v>2198</v>
      </c>
      <c r="G587" s="8" t="s">
        <v>2783</v>
      </c>
      <c r="H587" s="8">
        <v>194</v>
      </c>
      <c r="I587" s="8">
        <v>194</v>
      </c>
      <c r="J587" s="8">
        <v>0</v>
      </c>
      <c r="K587" s="9">
        <v>44018</v>
      </c>
      <c r="L587" s="8" t="s">
        <v>2222</v>
      </c>
      <c r="M587" s="8" t="s">
        <v>38</v>
      </c>
      <c r="P587" s="16" t="s">
        <v>591</v>
      </c>
      <c r="Q587" s="2" t="s">
        <v>151</v>
      </c>
      <c r="S587" s="8" t="s">
        <v>748</v>
      </c>
      <c r="T587" s="9">
        <v>46113</v>
      </c>
      <c r="U587" s="8">
        <v>0</v>
      </c>
      <c r="V587" s="20">
        <v>807</v>
      </c>
      <c r="W587" s="21" t="s">
        <v>151</v>
      </c>
    </row>
    <row r="588" spans="1:23" ht="45">
      <c r="A588" s="8" t="s">
        <v>2789</v>
      </c>
      <c r="B588" s="8" t="s">
        <v>628</v>
      </c>
      <c r="C588" s="8" t="s">
        <v>2197</v>
      </c>
      <c r="D588" s="8" t="s">
        <v>18</v>
      </c>
      <c r="E588" s="8" t="s">
        <v>16</v>
      </c>
      <c r="F588" s="8" t="s">
        <v>2198</v>
      </c>
      <c r="G588" s="8" t="s">
        <v>2783</v>
      </c>
      <c r="H588" s="8">
        <v>1320</v>
      </c>
      <c r="I588" s="8">
        <v>1320</v>
      </c>
      <c r="J588" s="8">
        <v>20220319</v>
      </c>
      <c r="K588" s="9">
        <v>45324</v>
      </c>
      <c r="L588" s="9">
        <v>46388</v>
      </c>
      <c r="M588" s="8" t="s">
        <v>16</v>
      </c>
      <c r="P588" s="16" t="s">
        <v>592</v>
      </c>
      <c r="Q588" s="2" t="s">
        <v>38</v>
      </c>
      <c r="S588" s="8" t="s">
        <v>749</v>
      </c>
      <c r="T588" s="9">
        <v>46388</v>
      </c>
      <c r="U588" s="8">
        <v>0</v>
      </c>
      <c r="V588" s="20">
        <v>1070</v>
      </c>
      <c r="W588" s="21" t="s">
        <v>151</v>
      </c>
    </row>
    <row r="589" spans="1:23" ht="60">
      <c r="A589" s="8" t="s">
        <v>2790</v>
      </c>
      <c r="B589" s="8" t="s">
        <v>629</v>
      </c>
      <c r="C589" s="8" t="s">
        <v>2197</v>
      </c>
      <c r="D589" s="8" t="s">
        <v>18</v>
      </c>
      <c r="E589" s="8" t="s">
        <v>2217</v>
      </c>
      <c r="F589" s="8" t="s">
        <v>2217</v>
      </c>
      <c r="G589" s="8" t="s">
        <v>2217</v>
      </c>
      <c r="H589" s="8">
        <v>40</v>
      </c>
      <c r="I589" s="8">
        <v>40</v>
      </c>
      <c r="J589" s="8">
        <v>90822</v>
      </c>
      <c r="K589" s="9">
        <v>45318</v>
      </c>
      <c r="L589" s="9">
        <v>46235</v>
      </c>
      <c r="M589" s="8" t="s">
        <v>16</v>
      </c>
      <c r="P589" s="16" t="s">
        <v>594</v>
      </c>
      <c r="Q589" s="2" t="s">
        <v>41</v>
      </c>
      <c r="S589" s="8" t="s">
        <v>750</v>
      </c>
      <c r="T589" s="9">
        <v>45992</v>
      </c>
      <c r="U589" s="8">
        <v>0</v>
      </c>
      <c r="V589" s="20">
        <v>106</v>
      </c>
      <c r="W589" s="21" t="s">
        <v>151</v>
      </c>
    </row>
    <row r="590" spans="1:23" ht="60">
      <c r="A590" s="8" t="s">
        <v>2791</v>
      </c>
      <c r="B590" s="8" t="s">
        <v>629</v>
      </c>
      <c r="C590" s="8" t="s">
        <v>2197</v>
      </c>
      <c r="D590" s="8" t="s">
        <v>18</v>
      </c>
      <c r="E590" s="8" t="s">
        <v>16</v>
      </c>
      <c r="F590" s="8" t="s">
        <v>2198</v>
      </c>
      <c r="G590" s="8" t="s">
        <v>2792</v>
      </c>
      <c r="H590" s="8">
        <v>1437</v>
      </c>
      <c r="I590" s="8">
        <v>40</v>
      </c>
      <c r="J590" s="8">
        <v>310211205</v>
      </c>
      <c r="K590" s="9">
        <v>45178</v>
      </c>
      <c r="L590" s="9">
        <v>46357</v>
      </c>
      <c r="M590" s="8" t="s">
        <v>16</v>
      </c>
      <c r="P590" s="17" t="s">
        <v>595</v>
      </c>
      <c r="Q590" s="2" t="s">
        <v>41</v>
      </c>
      <c r="S590" s="8" t="s">
        <v>751</v>
      </c>
      <c r="T590" s="9">
        <v>46419</v>
      </c>
      <c r="U590" s="8">
        <v>0</v>
      </c>
      <c r="V590" s="20">
        <v>250</v>
      </c>
      <c r="W590" s="21" t="s">
        <v>151</v>
      </c>
    </row>
    <row r="591" spans="1:23" ht="60">
      <c r="A591" s="8" t="s">
        <v>2791</v>
      </c>
      <c r="B591" s="8" t="s">
        <v>629</v>
      </c>
      <c r="C591" s="8" t="s">
        <v>2197</v>
      </c>
      <c r="D591" s="8" t="s">
        <v>18</v>
      </c>
      <c r="E591" s="8" t="s">
        <v>16</v>
      </c>
      <c r="F591" s="8" t="s">
        <v>2198</v>
      </c>
      <c r="G591" s="8" t="s">
        <v>2792</v>
      </c>
      <c r="H591" s="8">
        <v>1437</v>
      </c>
      <c r="I591" s="8">
        <v>80</v>
      </c>
      <c r="J591" s="8">
        <v>60422</v>
      </c>
      <c r="K591" s="9">
        <v>45318</v>
      </c>
      <c r="L591" s="9">
        <v>46113</v>
      </c>
      <c r="M591" s="8" t="s">
        <v>16</v>
      </c>
      <c r="P591" s="16" t="s">
        <v>596</v>
      </c>
      <c r="Q591" s="2" t="s">
        <v>41</v>
      </c>
      <c r="S591" s="8" t="s">
        <v>752</v>
      </c>
      <c r="T591" s="9">
        <v>47119</v>
      </c>
      <c r="U591" s="8">
        <v>0</v>
      </c>
      <c r="V591" s="20">
        <v>18</v>
      </c>
      <c r="W591" s="21" t="s">
        <v>16</v>
      </c>
    </row>
    <row r="592" spans="1:23" ht="60">
      <c r="A592" s="8" t="s">
        <v>2791</v>
      </c>
      <c r="B592" s="8" t="s">
        <v>629</v>
      </c>
      <c r="C592" s="8" t="s">
        <v>2197</v>
      </c>
      <c r="D592" s="8" t="s">
        <v>18</v>
      </c>
      <c r="E592" s="8" t="s">
        <v>16</v>
      </c>
      <c r="F592" s="8" t="s">
        <v>2198</v>
      </c>
      <c r="G592" s="8" t="s">
        <v>2792</v>
      </c>
      <c r="H592" s="8">
        <v>1437</v>
      </c>
      <c r="I592" s="8">
        <v>120</v>
      </c>
      <c r="J592" s="8">
        <v>300622</v>
      </c>
      <c r="K592" s="9">
        <v>45318</v>
      </c>
      <c r="L592" s="9">
        <v>46174</v>
      </c>
      <c r="M592" s="8" t="s">
        <v>16</v>
      </c>
      <c r="P592" s="16" t="s">
        <v>597</v>
      </c>
      <c r="Q592" s="2" t="s">
        <v>41</v>
      </c>
      <c r="S592" s="8" t="s">
        <v>752</v>
      </c>
      <c r="T592" s="9">
        <v>47150</v>
      </c>
      <c r="U592" s="8">
        <v>0</v>
      </c>
      <c r="V592" s="20">
        <v>85</v>
      </c>
      <c r="W592" s="21" t="s">
        <v>16</v>
      </c>
    </row>
    <row r="593" spans="1:23" ht="60">
      <c r="A593" s="8" t="s">
        <v>2791</v>
      </c>
      <c r="B593" s="8" t="s">
        <v>629</v>
      </c>
      <c r="C593" s="8" t="s">
        <v>2197</v>
      </c>
      <c r="D593" s="8" t="s">
        <v>18</v>
      </c>
      <c r="E593" s="8" t="s">
        <v>16</v>
      </c>
      <c r="F593" s="8" t="s">
        <v>2198</v>
      </c>
      <c r="G593" s="8" t="s">
        <v>2792</v>
      </c>
      <c r="H593" s="8">
        <v>1437</v>
      </c>
      <c r="I593" s="8">
        <v>140</v>
      </c>
      <c r="J593" s="8">
        <v>100322</v>
      </c>
      <c r="K593" s="9">
        <v>45318</v>
      </c>
      <c r="L593" s="9">
        <v>46082</v>
      </c>
      <c r="M593" s="8" t="s">
        <v>16</v>
      </c>
      <c r="P593" s="16" t="s">
        <v>598</v>
      </c>
      <c r="Q593" s="2" t="s">
        <v>16</v>
      </c>
      <c r="S593" s="8" t="s">
        <v>753</v>
      </c>
      <c r="T593" s="9">
        <v>46722</v>
      </c>
      <c r="U593" s="8">
        <v>0</v>
      </c>
      <c r="V593" s="20">
        <v>206</v>
      </c>
      <c r="W593" s="21" t="s">
        <v>16</v>
      </c>
    </row>
    <row r="594" spans="1:23" ht="60">
      <c r="A594" s="8" t="s">
        <v>2791</v>
      </c>
      <c r="B594" s="8" t="s">
        <v>629</v>
      </c>
      <c r="C594" s="8" t="s">
        <v>2197</v>
      </c>
      <c r="D594" s="8" t="s">
        <v>18</v>
      </c>
      <c r="E594" s="8" t="s">
        <v>16</v>
      </c>
      <c r="F594" s="8" t="s">
        <v>2198</v>
      </c>
      <c r="G594" s="8" t="s">
        <v>2792</v>
      </c>
      <c r="H594" s="8">
        <v>1437</v>
      </c>
      <c r="I594" s="8">
        <v>297</v>
      </c>
      <c r="J594" s="8">
        <v>10722</v>
      </c>
      <c r="K594" s="9">
        <v>45318</v>
      </c>
      <c r="L594" s="9">
        <v>46204</v>
      </c>
      <c r="M594" s="8" t="s">
        <v>16</v>
      </c>
      <c r="P594" s="16" t="s">
        <v>599</v>
      </c>
      <c r="Q594" s="2" t="s">
        <v>43</v>
      </c>
      <c r="S594" s="8" t="s">
        <v>753</v>
      </c>
      <c r="T594" s="9">
        <v>46753</v>
      </c>
      <c r="U594" s="8">
        <v>0</v>
      </c>
      <c r="V594" s="20">
        <v>900</v>
      </c>
      <c r="W594" s="21" t="s">
        <v>16</v>
      </c>
    </row>
    <row r="595" spans="1:23" ht="60.75">
      <c r="A595" s="8" t="s">
        <v>2791</v>
      </c>
      <c r="B595" s="8" t="s">
        <v>629</v>
      </c>
      <c r="C595" s="8" t="s">
        <v>2197</v>
      </c>
      <c r="D595" s="8" t="s">
        <v>18</v>
      </c>
      <c r="E595" s="8" t="s">
        <v>16</v>
      </c>
      <c r="F595" s="8" t="s">
        <v>2198</v>
      </c>
      <c r="G595" s="8" t="s">
        <v>2792</v>
      </c>
      <c r="H595" s="8">
        <v>1437</v>
      </c>
      <c r="I595" s="8">
        <v>760</v>
      </c>
      <c r="J595" s="8">
        <v>90822</v>
      </c>
      <c r="K595" s="9">
        <v>45318</v>
      </c>
      <c r="L595" s="9">
        <v>46235</v>
      </c>
      <c r="M595" s="8" t="s">
        <v>16</v>
      </c>
      <c r="P595" s="16" t="s">
        <v>600</v>
      </c>
      <c r="Q595" s="2" t="s">
        <v>16</v>
      </c>
      <c r="S595" s="8" t="s">
        <v>753</v>
      </c>
      <c r="T595" s="9">
        <v>46997</v>
      </c>
      <c r="U595" s="8">
        <v>0</v>
      </c>
      <c r="V595" s="20">
        <v>1960</v>
      </c>
      <c r="W595" s="21" t="s">
        <v>16</v>
      </c>
    </row>
    <row r="596" spans="1:23" ht="60.75">
      <c r="A596" s="8" t="s">
        <v>2793</v>
      </c>
      <c r="B596" s="8" t="s">
        <v>630</v>
      </c>
      <c r="C596" s="8" t="s">
        <v>2221</v>
      </c>
      <c r="D596" s="8" t="s">
        <v>18</v>
      </c>
      <c r="E596" s="8" t="s">
        <v>101</v>
      </c>
      <c r="F596" s="8" t="s">
        <v>2217</v>
      </c>
      <c r="G596" s="8" t="s">
        <v>2217</v>
      </c>
      <c r="H596" s="8">
        <v>44</v>
      </c>
      <c r="I596" s="8">
        <v>44</v>
      </c>
      <c r="J596" s="8">
        <v>0</v>
      </c>
      <c r="K596" s="9">
        <v>44162</v>
      </c>
      <c r="L596" s="8" t="s">
        <v>2222</v>
      </c>
      <c r="M596" s="8" t="s">
        <v>43</v>
      </c>
      <c r="P596" s="16" t="s">
        <v>600</v>
      </c>
      <c r="Q596" s="2" t="s">
        <v>16</v>
      </c>
      <c r="S596" s="8" t="s">
        <v>754</v>
      </c>
      <c r="T596" s="9">
        <v>47088</v>
      </c>
      <c r="U596" s="8">
        <v>0</v>
      </c>
      <c r="V596" s="20">
        <v>80</v>
      </c>
      <c r="W596" s="21" t="s">
        <v>16</v>
      </c>
    </row>
    <row r="597" spans="1:23" ht="60">
      <c r="A597" s="8" t="s">
        <v>2794</v>
      </c>
      <c r="B597" s="8" t="s">
        <v>631</v>
      </c>
      <c r="C597" s="8" t="s">
        <v>2197</v>
      </c>
      <c r="D597" s="8" t="s">
        <v>18</v>
      </c>
      <c r="E597" s="8" t="s">
        <v>16</v>
      </c>
      <c r="F597" s="8" t="s">
        <v>2198</v>
      </c>
      <c r="G597" s="8" t="s">
        <v>2795</v>
      </c>
      <c r="H597" s="8">
        <v>527</v>
      </c>
      <c r="I597" s="8">
        <v>27</v>
      </c>
      <c r="J597" s="8">
        <v>27173101</v>
      </c>
      <c r="K597" s="9">
        <v>45089</v>
      </c>
      <c r="L597" s="9">
        <v>45870</v>
      </c>
      <c r="M597" s="8" t="s">
        <v>16</v>
      </c>
      <c r="P597" s="16" t="s">
        <v>602</v>
      </c>
      <c r="Q597" s="2" t="s">
        <v>16</v>
      </c>
      <c r="S597" s="8" t="s">
        <v>754</v>
      </c>
      <c r="T597" s="9">
        <v>47239</v>
      </c>
      <c r="U597" s="8">
        <v>0</v>
      </c>
      <c r="V597" s="20">
        <v>141000</v>
      </c>
      <c r="W597" s="21" t="s">
        <v>16</v>
      </c>
    </row>
    <row r="598" spans="1:23" ht="60">
      <c r="A598" s="8" t="s">
        <v>2794</v>
      </c>
      <c r="B598" s="8" t="s">
        <v>631</v>
      </c>
      <c r="C598" s="8" t="s">
        <v>2197</v>
      </c>
      <c r="D598" s="8" t="s">
        <v>18</v>
      </c>
      <c r="E598" s="8" t="s">
        <v>16</v>
      </c>
      <c r="F598" s="8" t="s">
        <v>2198</v>
      </c>
      <c r="G598" s="8" t="s">
        <v>2795</v>
      </c>
      <c r="H598" s="8">
        <v>527</v>
      </c>
      <c r="I598" s="8">
        <v>180</v>
      </c>
      <c r="J598" s="8">
        <v>26183101</v>
      </c>
      <c r="K598" s="9">
        <v>45436</v>
      </c>
      <c r="L598" s="9">
        <v>46204</v>
      </c>
      <c r="M598" s="8" t="s">
        <v>16</v>
      </c>
      <c r="P598" s="16" t="s">
        <v>602</v>
      </c>
      <c r="Q598" s="2" t="s">
        <v>16</v>
      </c>
      <c r="S598" s="8" t="s">
        <v>754</v>
      </c>
      <c r="T598" s="9">
        <v>47270</v>
      </c>
      <c r="U598" s="8">
        <v>0</v>
      </c>
      <c r="V598" s="20">
        <v>118600</v>
      </c>
      <c r="W598" s="21" t="s">
        <v>16</v>
      </c>
    </row>
    <row r="599" spans="1:23" ht="60">
      <c r="A599" s="8" t="s">
        <v>2794</v>
      </c>
      <c r="B599" s="8" t="s">
        <v>631</v>
      </c>
      <c r="C599" s="8" t="s">
        <v>2197</v>
      </c>
      <c r="D599" s="8" t="s">
        <v>18</v>
      </c>
      <c r="E599" s="8" t="s">
        <v>16</v>
      </c>
      <c r="F599" s="8" t="s">
        <v>2198</v>
      </c>
      <c r="G599" s="8" t="s">
        <v>2795</v>
      </c>
      <c r="H599" s="8">
        <v>527</v>
      </c>
      <c r="I599" s="8">
        <v>320</v>
      </c>
      <c r="J599" s="8">
        <v>27173101</v>
      </c>
      <c r="K599" s="9">
        <v>45436</v>
      </c>
      <c r="L599" s="9">
        <v>46204</v>
      </c>
      <c r="M599" s="8" t="s">
        <v>16</v>
      </c>
      <c r="P599" s="16" t="s">
        <v>604</v>
      </c>
      <c r="Q599" s="2" t="s">
        <v>16</v>
      </c>
      <c r="S599" s="8" t="s">
        <v>755</v>
      </c>
      <c r="T599" s="9">
        <v>47239</v>
      </c>
      <c r="U599" s="8">
        <v>0</v>
      </c>
      <c r="V599" s="20">
        <v>150</v>
      </c>
      <c r="W599" s="21" t="s">
        <v>16</v>
      </c>
    </row>
    <row r="600" spans="1:23" ht="60">
      <c r="A600" s="8" t="s">
        <v>2796</v>
      </c>
      <c r="B600" s="8" t="s">
        <v>632</v>
      </c>
      <c r="C600" s="8" t="s">
        <v>2197</v>
      </c>
      <c r="D600" s="8" t="s">
        <v>18</v>
      </c>
      <c r="E600" s="8" t="s">
        <v>16</v>
      </c>
      <c r="F600" s="8" t="s">
        <v>2198</v>
      </c>
      <c r="G600" s="8" t="s">
        <v>2795</v>
      </c>
      <c r="H600" s="8">
        <v>1833</v>
      </c>
      <c r="I600" s="8">
        <v>641</v>
      </c>
      <c r="J600" s="8">
        <v>32102901</v>
      </c>
      <c r="K600" s="9">
        <v>44911</v>
      </c>
      <c r="L600" s="9">
        <v>45962</v>
      </c>
      <c r="M600" s="8" t="s">
        <v>16</v>
      </c>
      <c r="P600" s="16" t="s">
        <v>605</v>
      </c>
      <c r="Q600" s="2" t="s">
        <v>16</v>
      </c>
      <c r="S600" s="8" t="s">
        <v>755</v>
      </c>
      <c r="T600" s="9">
        <v>47270</v>
      </c>
      <c r="U600" s="8">
        <v>0</v>
      </c>
      <c r="V600" s="20">
        <v>250</v>
      </c>
      <c r="W600" s="21" t="s">
        <v>16</v>
      </c>
    </row>
    <row r="601" spans="1:23" ht="60">
      <c r="A601" s="8" t="s">
        <v>2796</v>
      </c>
      <c r="B601" s="8" t="s">
        <v>632</v>
      </c>
      <c r="C601" s="8" t="s">
        <v>2197</v>
      </c>
      <c r="D601" s="8" t="s">
        <v>18</v>
      </c>
      <c r="E601" s="8" t="s">
        <v>16</v>
      </c>
      <c r="F601" s="8" t="s">
        <v>2198</v>
      </c>
      <c r="G601" s="8" t="s">
        <v>2795</v>
      </c>
      <c r="H601" s="8">
        <v>1833</v>
      </c>
      <c r="I601" s="8">
        <v>1192</v>
      </c>
      <c r="J601" s="8" t="s">
        <v>633</v>
      </c>
      <c r="K601" s="9">
        <v>44919</v>
      </c>
      <c r="L601" s="9">
        <v>45962</v>
      </c>
      <c r="M601" s="8" t="s">
        <v>16</v>
      </c>
      <c r="P601" s="16" t="s">
        <v>607</v>
      </c>
      <c r="Q601" s="2" t="s">
        <v>38</v>
      </c>
      <c r="S601" s="8" t="s">
        <v>756</v>
      </c>
      <c r="T601" s="9">
        <v>46997</v>
      </c>
      <c r="U601" s="8">
        <v>0</v>
      </c>
      <c r="V601" s="20">
        <v>4616</v>
      </c>
      <c r="W601" s="21" t="s">
        <v>16</v>
      </c>
    </row>
    <row r="602" spans="1:23" ht="60">
      <c r="A602" s="8" t="s">
        <v>2797</v>
      </c>
      <c r="B602" s="8" t="s">
        <v>634</v>
      </c>
      <c r="C602" s="8" t="s">
        <v>2197</v>
      </c>
      <c r="D602" s="8" t="s">
        <v>18</v>
      </c>
      <c r="E602" s="8" t="s">
        <v>151</v>
      </c>
      <c r="F602" s="8" t="s">
        <v>151</v>
      </c>
      <c r="G602" s="8" t="s">
        <v>2798</v>
      </c>
      <c r="H602" s="8">
        <v>1</v>
      </c>
      <c r="I602" s="8">
        <v>1</v>
      </c>
      <c r="J602" s="8">
        <v>20170824</v>
      </c>
      <c r="K602" s="9">
        <v>44018</v>
      </c>
      <c r="L602" s="9">
        <v>43678</v>
      </c>
      <c r="M602" s="8" t="s">
        <v>38</v>
      </c>
      <c r="P602" s="17" t="s">
        <v>608</v>
      </c>
      <c r="Q602" s="2" t="s">
        <v>38</v>
      </c>
      <c r="S602" s="8" t="s">
        <v>758</v>
      </c>
      <c r="T602" s="9">
        <v>46997</v>
      </c>
      <c r="U602" s="8">
        <v>0</v>
      </c>
      <c r="V602" s="20">
        <v>375</v>
      </c>
      <c r="W602" s="21" t="s">
        <v>16</v>
      </c>
    </row>
    <row r="603" spans="1:23" ht="60">
      <c r="A603" s="8" t="s">
        <v>2799</v>
      </c>
      <c r="B603" s="8" t="s">
        <v>635</v>
      </c>
      <c r="C603" s="8" t="s">
        <v>2221</v>
      </c>
      <c r="D603" s="8" t="s">
        <v>18</v>
      </c>
      <c r="E603" s="8" t="s">
        <v>16</v>
      </c>
      <c r="F603" s="8" t="s">
        <v>2258</v>
      </c>
      <c r="G603" s="8" t="s">
        <v>2800</v>
      </c>
      <c r="H603" s="8">
        <v>8819</v>
      </c>
      <c r="I603" s="8">
        <v>1160</v>
      </c>
      <c r="J603" s="8" t="s">
        <v>636</v>
      </c>
      <c r="K603" s="9">
        <v>44757</v>
      </c>
      <c r="L603" s="9">
        <v>46539</v>
      </c>
      <c r="M603" s="8" t="s">
        <v>16</v>
      </c>
      <c r="P603" s="16" t="s">
        <v>609</v>
      </c>
      <c r="Q603" s="2" t="s">
        <v>41</v>
      </c>
      <c r="S603" s="8" t="s">
        <v>759</v>
      </c>
      <c r="T603" s="9">
        <v>46997</v>
      </c>
      <c r="U603" s="8">
        <v>0</v>
      </c>
      <c r="V603" s="20">
        <v>830</v>
      </c>
      <c r="W603" s="21" t="s">
        <v>16</v>
      </c>
    </row>
    <row r="604" spans="1:23" ht="60">
      <c r="A604" s="8" t="s">
        <v>2799</v>
      </c>
      <c r="B604" s="8" t="s">
        <v>635</v>
      </c>
      <c r="C604" s="8" t="s">
        <v>2221</v>
      </c>
      <c r="D604" s="8" t="s">
        <v>18</v>
      </c>
      <c r="E604" s="8" t="s">
        <v>16</v>
      </c>
      <c r="F604" s="8" t="s">
        <v>2258</v>
      </c>
      <c r="G604" s="8" t="s">
        <v>2800</v>
      </c>
      <c r="H604" s="8">
        <v>8819</v>
      </c>
      <c r="I604" s="8">
        <v>1300</v>
      </c>
      <c r="J604" s="8" t="s">
        <v>637</v>
      </c>
      <c r="K604" s="9">
        <v>44769</v>
      </c>
      <c r="L604" s="9">
        <v>46569</v>
      </c>
      <c r="M604" s="8" t="s">
        <v>16</v>
      </c>
      <c r="P604" s="16" t="s">
        <v>610</v>
      </c>
      <c r="Q604" s="2" t="s">
        <v>16</v>
      </c>
      <c r="S604" s="8" t="s">
        <v>760</v>
      </c>
      <c r="T604" s="9">
        <v>47270</v>
      </c>
      <c r="U604" s="8">
        <v>0</v>
      </c>
      <c r="V604" s="20">
        <v>5000</v>
      </c>
      <c r="W604" s="21" t="s">
        <v>16</v>
      </c>
    </row>
    <row r="605" spans="1:23" ht="60">
      <c r="A605" s="8" t="s">
        <v>2799</v>
      </c>
      <c r="B605" s="8" t="s">
        <v>635</v>
      </c>
      <c r="C605" s="8" t="s">
        <v>2221</v>
      </c>
      <c r="D605" s="8" t="s">
        <v>18</v>
      </c>
      <c r="E605" s="8" t="s">
        <v>16</v>
      </c>
      <c r="F605" s="8" t="s">
        <v>2258</v>
      </c>
      <c r="G605" s="8" t="s">
        <v>2800</v>
      </c>
      <c r="H605" s="8">
        <v>8819</v>
      </c>
      <c r="I605" s="8">
        <v>6359</v>
      </c>
      <c r="J605" s="8" t="s">
        <v>638</v>
      </c>
      <c r="K605" s="9">
        <v>44757</v>
      </c>
      <c r="L605" s="9">
        <v>46539</v>
      </c>
      <c r="M605" s="8" t="s">
        <v>16</v>
      </c>
      <c r="P605" s="16" t="s">
        <v>611</v>
      </c>
      <c r="Q605" s="2" t="s">
        <v>16</v>
      </c>
      <c r="S605" s="8" t="s">
        <v>762</v>
      </c>
      <c r="T605" s="9">
        <v>46388</v>
      </c>
      <c r="U605" s="8">
        <v>0</v>
      </c>
      <c r="V605" s="20">
        <v>508</v>
      </c>
      <c r="W605" s="21" t="s">
        <v>16</v>
      </c>
    </row>
    <row r="606" spans="1:23" ht="60">
      <c r="A606" s="8" t="s">
        <v>2801</v>
      </c>
      <c r="B606" s="8" t="s">
        <v>639</v>
      </c>
      <c r="C606" s="8" t="s">
        <v>2197</v>
      </c>
      <c r="D606" s="8" t="s">
        <v>18</v>
      </c>
      <c r="E606" s="8" t="s">
        <v>2217</v>
      </c>
      <c r="F606" s="8" t="s">
        <v>2217</v>
      </c>
      <c r="G606" s="8" t="s">
        <v>2217</v>
      </c>
      <c r="H606" s="8">
        <v>50</v>
      </c>
      <c r="I606" s="8">
        <v>50</v>
      </c>
      <c r="J606" s="8">
        <v>23100210</v>
      </c>
      <c r="K606" s="9">
        <v>45328</v>
      </c>
      <c r="L606" s="9">
        <v>46997</v>
      </c>
      <c r="M606" s="8" t="s">
        <v>16</v>
      </c>
      <c r="P606" s="16" t="s">
        <v>611</v>
      </c>
      <c r="Q606" s="2" t="s">
        <v>16</v>
      </c>
      <c r="S606" s="8" t="s">
        <v>763</v>
      </c>
      <c r="T606" s="9">
        <v>46388</v>
      </c>
      <c r="U606" s="8">
        <v>0</v>
      </c>
      <c r="V606" s="20">
        <v>1180</v>
      </c>
      <c r="W606" s="21" t="s">
        <v>16</v>
      </c>
    </row>
    <row r="607" spans="1:23" ht="45">
      <c r="A607" s="8" t="s">
        <v>2802</v>
      </c>
      <c r="B607" s="8" t="s">
        <v>640</v>
      </c>
      <c r="C607" s="8" t="s">
        <v>2221</v>
      </c>
      <c r="D607" s="8" t="s">
        <v>18</v>
      </c>
      <c r="E607" s="8" t="s">
        <v>101</v>
      </c>
      <c r="F607" s="8" t="s">
        <v>101</v>
      </c>
      <c r="G607" s="8" t="s">
        <v>640</v>
      </c>
      <c r="H607" s="8">
        <v>25</v>
      </c>
      <c r="I607" s="8">
        <v>25</v>
      </c>
      <c r="J607" s="8">
        <v>0</v>
      </c>
      <c r="K607" s="9">
        <v>44132</v>
      </c>
      <c r="L607" s="8" t="s">
        <v>2222</v>
      </c>
      <c r="M607" s="8" t="s">
        <v>41</v>
      </c>
      <c r="P607" s="16" t="s">
        <v>612</v>
      </c>
      <c r="Q607" s="2" t="s">
        <v>16</v>
      </c>
      <c r="S607" s="8" t="s">
        <v>764</v>
      </c>
      <c r="T607" s="9">
        <v>46784</v>
      </c>
      <c r="U607" s="8">
        <v>0</v>
      </c>
      <c r="V607" s="20">
        <v>42</v>
      </c>
      <c r="W607" s="21" t="s">
        <v>16</v>
      </c>
    </row>
    <row r="608" spans="1:23" ht="48.75">
      <c r="A608" s="8" t="s">
        <v>2803</v>
      </c>
      <c r="B608" s="8" t="s">
        <v>641</v>
      </c>
      <c r="C608" s="8" t="s">
        <v>2197</v>
      </c>
      <c r="D608" s="8" t="s">
        <v>100</v>
      </c>
      <c r="E608" s="8" t="s">
        <v>16</v>
      </c>
      <c r="F608" s="8" t="s">
        <v>2255</v>
      </c>
      <c r="G608" s="8" t="s">
        <v>2804</v>
      </c>
      <c r="H608" s="8">
        <v>28</v>
      </c>
      <c r="I608" s="8">
        <v>2</v>
      </c>
      <c r="J608" s="8">
        <v>2208011</v>
      </c>
      <c r="K608" s="9">
        <v>44813</v>
      </c>
      <c r="L608" s="9">
        <v>46600</v>
      </c>
      <c r="M608" s="8" t="s">
        <v>16</v>
      </c>
      <c r="P608" s="16" t="s">
        <v>613</v>
      </c>
      <c r="Q608" s="2" t="s">
        <v>16</v>
      </c>
      <c r="S608" s="8" t="s">
        <v>764</v>
      </c>
      <c r="T608" s="9">
        <v>47027</v>
      </c>
      <c r="U608" s="8">
        <v>0</v>
      </c>
      <c r="V608" s="20">
        <v>4700</v>
      </c>
      <c r="W608" s="21" t="s">
        <v>16</v>
      </c>
    </row>
    <row r="609" spans="1:23" ht="48.75">
      <c r="A609" s="8" t="s">
        <v>2803</v>
      </c>
      <c r="B609" s="8" t="s">
        <v>641</v>
      </c>
      <c r="C609" s="8" t="s">
        <v>2197</v>
      </c>
      <c r="D609" s="8" t="s">
        <v>18</v>
      </c>
      <c r="E609" s="8" t="s">
        <v>16</v>
      </c>
      <c r="F609" s="8" t="s">
        <v>2255</v>
      </c>
      <c r="G609" s="8" t="s">
        <v>2804</v>
      </c>
      <c r="H609" s="8">
        <v>428</v>
      </c>
      <c r="I609" s="8">
        <v>2</v>
      </c>
      <c r="J609" s="8">
        <v>2304002</v>
      </c>
      <c r="K609" s="9">
        <v>45178</v>
      </c>
      <c r="L609" s="9">
        <v>46844</v>
      </c>
      <c r="M609" s="8" t="s">
        <v>16</v>
      </c>
      <c r="P609" s="16" t="s">
        <v>613</v>
      </c>
      <c r="Q609" s="2" t="s">
        <v>16</v>
      </c>
      <c r="S609" s="8" t="s">
        <v>765</v>
      </c>
      <c r="T609" s="9">
        <v>46722</v>
      </c>
      <c r="U609" s="8">
        <v>0</v>
      </c>
      <c r="V609" s="20">
        <v>1870</v>
      </c>
      <c r="W609" s="21" t="s">
        <v>16</v>
      </c>
    </row>
    <row r="610" spans="1:23" ht="48.75">
      <c r="A610" s="8" t="s">
        <v>2803</v>
      </c>
      <c r="B610" s="8" t="s">
        <v>641</v>
      </c>
      <c r="C610" s="8" t="s">
        <v>2197</v>
      </c>
      <c r="D610" s="8" t="s">
        <v>18</v>
      </c>
      <c r="E610" s="8" t="s">
        <v>16</v>
      </c>
      <c r="F610" s="8" t="s">
        <v>2255</v>
      </c>
      <c r="G610" s="8" t="s">
        <v>2804</v>
      </c>
      <c r="H610" s="8">
        <v>428</v>
      </c>
      <c r="I610" s="8">
        <v>8</v>
      </c>
      <c r="J610" s="8">
        <v>2208011</v>
      </c>
      <c r="K610" s="9">
        <v>44813</v>
      </c>
      <c r="L610" s="9">
        <v>46600</v>
      </c>
      <c r="M610" s="8" t="s">
        <v>16</v>
      </c>
      <c r="P610" s="16" t="s">
        <v>614</v>
      </c>
      <c r="Q610" s="2" t="s">
        <v>16</v>
      </c>
      <c r="S610" s="8" t="s">
        <v>766</v>
      </c>
      <c r="T610" s="9">
        <v>47150</v>
      </c>
      <c r="U610" s="8">
        <v>0</v>
      </c>
      <c r="V610" s="20">
        <v>625</v>
      </c>
      <c r="W610" s="21" t="s">
        <v>16</v>
      </c>
    </row>
    <row r="611" spans="1:23" ht="48.75">
      <c r="A611" s="8" t="s">
        <v>2803</v>
      </c>
      <c r="B611" s="8" t="s">
        <v>641</v>
      </c>
      <c r="C611" s="8" t="s">
        <v>2197</v>
      </c>
      <c r="D611" s="8" t="s">
        <v>100</v>
      </c>
      <c r="E611" s="8" t="s">
        <v>16</v>
      </c>
      <c r="F611" s="8" t="s">
        <v>2255</v>
      </c>
      <c r="G611" s="8" t="s">
        <v>2804</v>
      </c>
      <c r="H611" s="8">
        <v>28</v>
      </c>
      <c r="I611" s="8">
        <v>26</v>
      </c>
      <c r="J611" s="8">
        <v>2308003</v>
      </c>
      <c r="K611" s="9">
        <v>45178</v>
      </c>
      <c r="L611" s="9">
        <v>46966</v>
      </c>
      <c r="M611" s="8" t="s">
        <v>16</v>
      </c>
      <c r="P611" s="16" t="s">
        <v>614</v>
      </c>
      <c r="Q611" s="2" t="s">
        <v>16</v>
      </c>
      <c r="S611" s="8" t="s">
        <v>767</v>
      </c>
      <c r="T611" s="9">
        <v>47119</v>
      </c>
      <c r="U611" s="8">
        <v>0</v>
      </c>
      <c r="V611" s="20">
        <v>1240</v>
      </c>
      <c r="W611" s="21" t="s">
        <v>16</v>
      </c>
    </row>
    <row r="612" spans="1:23" ht="48.75">
      <c r="A612" s="8" t="s">
        <v>2803</v>
      </c>
      <c r="B612" s="8" t="s">
        <v>641</v>
      </c>
      <c r="C612" s="8" t="s">
        <v>2197</v>
      </c>
      <c r="D612" s="8" t="s">
        <v>18</v>
      </c>
      <c r="E612" s="8" t="s">
        <v>16</v>
      </c>
      <c r="F612" s="8" t="s">
        <v>2255</v>
      </c>
      <c r="G612" s="8" t="s">
        <v>2804</v>
      </c>
      <c r="H612" s="8">
        <v>428</v>
      </c>
      <c r="I612" s="8">
        <v>418</v>
      </c>
      <c r="J612" s="8">
        <v>2308003</v>
      </c>
      <c r="K612" s="9">
        <v>45178</v>
      </c>
      <c r="L612" s="9">
        <v>46966</v>
      </c>
      <c r="M612" s="8" t="s">
        <v>16</v>
      </c>
      <c r="P612" s="16" t="s">
        <v>614</v>
      </c>
      <c r="Q612" s="2" t="s">
        <v>16</v>
      </c>
      <c r="S612" s="8" t="s">
        <v>768</v>
      </c>
      <c r="T612" s="9">
        <v>46357</v>
      </c>
      <c r="U612" s="8">
        <v>0</v>
      </c>
      <c r="V612" s="20">
        <v>44</v>
      </c>
      <c r="W612" s="21" t="s">
        <v>16</v>
      </c>
    </row>
    <row r="613" spans="1:23" ht="48.75">
      <c r="A613" s="8" t="s">
        <v>2805</v>
      </c>
      <c r="B613" s="8" t="s">
        <v>642</v>
      </c>
      <c r="C613" s="8" t="s">
        <v>2197</v>
      </c>
      <c r="D613" s="8" t="s">
        <v>18</v>
      </c>
      <c r="E613" s="8" t="s">
        <v>16</v>
      </c>
      <c r="F613" s="8" t="s">
        <v>2228</v>
      </c>
      <c r="G613" s="8" t="s">
        <v>2806</v>
      </c>
      <c r="H613" s="8">
        <v>2995</v>
      </c>
      <c r="I613" s="8">
        <v>475</v>
      </c>
      <c r="J613" s="8">
        <v>200722</v>
      </c>
      <c r="K613" s="9">
        <v>45006</v>
      </c>
      <c r="L613" s="9">
        <v>45839</v>
      </c>
      <c r="M613" s="8" t="s">
        <v>16</v>
      </c>
      <c r="P613" s="16" t="s">
        <v>614</v>
      </c>
      <c r="Q613" s="2" t="s">
        <v>16</v>
      </c>
      <c r="S613" s="8" t="s">
        <v>769</v>
      </c>
      <c r="T613" s="9">
        <v>46357</v>
      </c>
      <c r="U613" s="8">
        <v>0</v>
      </c>
      <c r="V613" s="20">
        <v>1238</v>
      </c>
      <c r="W613" s="21" t="s">
        <v>16</v>
      </c>
    </row>
    <row r="614" spans="1:23" ht="75">
      <c r="A614" s="8" t="s">
        <v>2805</v>
      </c>
      <c r="B614" s="8" t="s">
        <v>642</v>
      </c>
      <c r="C614" s="8" t="s">
        <v>2197</v>
      </c>
      <c r="D614" s="8" t="s">
        <v>18</v>
      </c>
      <c r="E614" s="8" t="s">
        <v>16</v>
      </c>
      <c r="F614" s="8" t="s">
        <v>2228</v>
      </c>
      <c r="G614" s="8" t="s">
        <v>2806</v>
      </c>
      <c r="H614" s="8">
        <v>2995</v>
      </c>
      <c r="I614" s="8">
        <v>500</v>
      </c>
      <c r="J614" s="8">
        <v>250722</v>
      </c>
      <c r="K614" s="9">
        <v>45006</v>
      </c>
      <c r="L614" s="9">
        <v>45839</v>
      </c>
      <c r="M614" s="8" t="s">
        <v>16</v>
      </c>
      <c r="P614" s="16" t="s">
        <v>614</v>
      </c>
      <c r="Q614" s="2" t="s">
        <v>16</v>
      </c>
      <c r="S614" s="8" t="s">
        <v>770</v>
      </c>
      <c r="T614" s="9">
        <v>46722</v>
      </c>
      <c r="U614" s="8">
        <v>0</v>
      </c>
      <c r="V614" s="20">
        <v>1714</v>
      </c>
      <c r="W614" s="21" t="s">
        <v>16</v>
      </c>
    </row>
    <row r="615" spans="1:23" ht="48.75">
      <c r="A615" s="8" t="s">
        <v>2805</v>
      </c>
      <c r="B615" s="8" t="s">
        <v>642</v>
      </c>
      <c r="C615" s="8" t="s">
        <v>2197</v>
      </c>
      <c r="D615" s="8" t="s">
        <v>18</v>
      </c>
      <c r="E615" s="8" t="s">
        <v>16</v>
      </c>
      <c r="F615" s="8" t="s">
        <v>2228</v>
      </c>
      <c r="G615" s="8" t="s">
        <v>2806</v>
      </c>
      <c r="H615" s="8">
        <v>2995</v>
      </c>
      <c r="I615" s="8">
        <v>2020</v>
      </c>
      <c r="J615" s="8">
        <v>230722</v>
      </c>
      <c r="K615" s="9">
        <v>45006</v>
      </c>
      <c r="L615" s="9">
        <v>45839</v>
      </c>
      <c r="M615" s="8" t="s">
        <v>16</v>
      </c>
      <c r="P615" s="16" t="s">
        <v>616</v>
      </c>
      <c r="Q615" s="2" t="s">
        <v>151</v>
      </c>
      <c r="S615" s="8" t="s">
        <v>771</v>
      </c>
      <c r="T615" s="9" t="s">
        <v>2222</v>
      </c>
      <c r="U615" s="8">
        <v>0</v>
      </c>
      <c r="V615" s="20">
        <v>56</v>
      </c>
      <c r="W615" s="21" t="s">
        <v>43</v>
      </c>
    </row>
    <row r="616" spans="1:23" ht="60">
      <c r="A616" s="8" t="s">
        <v>2807</v>
      </c>
      <c r="B616" s="8" t="s">
        <v>643</v>
      </c>
      <c r="C616" s="8" t="s">
        <v>2197</v>
      </c>
      <c r="D616" s="8" t="s">
        <v>18</v>
      </c>
      <c r="E616" s="8" t="s">
        <v>16</v>
      </c>
      <c r="F616" s="8" t="s">
        <v>2204</v>
      </c>
      <c r="G616" s="8" t="s">
        <v>2808</v>
      </c>
      <c r="H616" s="8">
        <v>948</v>
      </c>
      <c r="I616" s="8">
        <v>948</v>
      </c>
      <c r="J616" s="8" t="s">
        <v>644</v>
      </c>
      <c r="K616" s="9">
        <v>45250</v>
      </c>
      <c r="L616" s="9">
        <v>46600</v>
      </c>
      <c r="M616" s="8" t="s">
        <v>16</v>
      </c>
      <c r="P616" s="16" t="s">
        <v>616</v>
      </c>
      <c r="Q616" s="2" t="s">
        <v>151</v>
      </c>
      <c r="S616" s="8" t="s">
        <v>772</v>
      </c>
      <c r="T616" s="9" t="s">
        <v>2222</v>
      </c>
      <c r="U616" s="8">
        <v>0</v>
      </c>
      <c r="V616" s="20">
        <v>22734</v>
      </c>
      <c r="W616" s="21" t="s">
        <v>16</v>
      </c>
    </row>
    <row r="617" spans="1:23" ht="60">
      <c r="A617" s="8" t="s">
        <v>2809</v>
      </c>
      <c r="B617" s="8" t="s">
        <v>645</v>
      </c>
      <c r="C617" s="8" t="s">
        <v>2197</v>
      </c>
      <c r="D617" s="8" t="s">
        <v>18</v>
      </c>
      <c r="E617" s="8" t="s">
        <v>16</v>
      </c>
      <c r="F617" s="8" t="s">
        <v>2198</v>
      </c>
      <c r="G617" s="8" t="s">
        <v>2810</v>
      </c>
      <c r="H617" s="8">
        <v>649</v>
      </c>
      <c r="I617" s="8">
        <v>649</v>
      </c>
      <c r="J617" s="8" t="s">
        <v>646</v>
      </c>
      <c r="K617" s="9">
        <v>44810</v>
      </c>
      <c r="L617" s="9">
        <v>46388</v>
      </c>
      <c r="M617" s="8" t="s">
        <v>16</v>
      </c>
      <c r="P617" s="16" t="s">
        <v>616</v>
      </c>
      <c r="Q617" s="2" t="s">
        <v>151</v>
      </c>
      <c r="S617" s="8" t="s">
        <v>773</v>
      </c>
      <c r="T617" s="9" t="s">
        <v>2222</v>
      </c>
      <c r="U617" s="8">
        <v>0</v>
      </c>
      <c r="V617" s="20">
        <v>35330</v>
      </c>
      <c r="W617" s="21" t="s">
        <v>16</v>
      </c>
    </row>
    <row r="618" spans="1:23" ht="48.75">
      <c r="A618" s="8" t="s">
        <v>2811</v>
      </c>
      <c r="B618" s="8" t="s">
        <v>647</v>
      </c>
      <c r="C618" s="8" t="s">
        <v>2197</v>
      </c>
      <c r="D618" s="8" t="s">
        <v>18</v>
      </c>
      <c r="E618" s="8" t="s">
        <v>16</v>
      </c>
      <c r="F618" s="8" t="s">
        <v>2198</v>
      </c>
      <c r="G618" s="8" t="s">
        <v>2812</v>
      </c>
      <c r="H618" s="8">
        <v>5</v>
      </c>
      <c r="I618" s="8">
        <v>5</v>
      </c>
      <c r="J618" s="8">
        <v>10920</v>
      </c>
      <c r="K618" s="9">
        <v>44643</v>
      </c>
      <c r="L618" s="9">
        <v>45901</v>
      </c>
      <c r="M618" s="8" t="s">
        <v>16</v>
      </c>
      <c r="P618" s="16" t="s">
        <v>617</v>
      </c>
      <c r="Q618" s="2" t="s">
        <v>151</v>
      </c>
      <c r="S618" s="8" t="s">
        <v>774</v>
      </c>
      <c r="T618" s="9">
        <v>46631</v>
      </c>
      <c r="U618" s="8">
        <v>0</v>
      </c>
      <c r="V618" s="20">
        <v>47</v>
      </c>
      <c r="W618" s="21" t="s">
        <v>16</v>
      </c>
    </row>
    <row r="619" spans="1:23" ht="48.75">
      <c r="A619" s="8" t="s">
        <v>2813</v>
      </c>
      <c r="B619" s="8" t="s">
        <v>648</v>
      </c>
      <c r="C619" s="8" t="s">
        <v>2197</v>
      </c>
      <c r="D619" s="8" t="s">
        <v>18</v>
      </c>
      <c r="E619" s="8" t="s">
        <v>16</v>
      </c>
      <c r="F619" s="8" t="s">
        <v>2198</v>
      </c>
      <c r="G619" s="8" t="s">
        <v>2812</v>
      </c>
      <c r="H619" s="8">
        <v>103</v>
      </c>
      <c r="I619" s="8">
        <v>103</v>
      </c>
      <c r="J619" s="10">
        <v>304000000000</v>
      </c>
      <c r="K619" s="9">
        <v>45079</v>
      </c>
      <c r="L619" s="9">
        <v>46874</v>
      </c>
      <c r="M619" s="8" t="s">
        <v>16</v>
      </c>
      <c r="P619" s="16" t="s">
        <v>618</v>
      </c>
      <c r="Q619" s="2" t="s">
        <v>151</v>
      </c>
      <c r="S619" s="8" t="s">
        <v>775</v>
      </c>
      <c r="T619" s="9">
        <v>46661</v>
      </c>
      <c r="U619" s="8">
        <v>0</v>
      </c>
      <c r="V619" s="20">
        <v>4462</v>
      </c>
      <c r="W619" s="21" t="s">
        <v>16</v>
      </c>
    </row>
    <row r="620" spans="1:23" ht="48.75">
      <c r="A620" s="8" t="s">
        <v>2814</v>
      </c>
      <c r="B620" s="8" t="s">
        <v>649</v>
      </c>
      <c r="C620" s="8" t="s">
        <v>2197</v>
      </c>
      <c r="D620" s="8" t="s">
        <v>18</v>
      </c>
      <c r="E620" s="8" t="s">
        <v>16</v>
      </c>
      <c r="F620" s="8" t="s">
        <v>2198</v>
      </c>
      <c r="G620" s="8" t="s">
        <v>2815</v>
      </c>
      <c r="H620" s="8">
        <v>1205</v>
      </c>
      <c r="I620" s="8">
        <v>5</v>
      </c>
      <c r="J620" s="8">
        <v>21107</v>
      </c>
      <c r="K620" s="9">
        <v>45187</v>
      </c>
      <c r="L620" s="9">
        <v>46874</v>
      </c>
      <c r="M620" s="8" t="s">
        <v>16</v>
      </c>
      <c r="P620" s="16" t="s">
        <v>618</v>
      </c>
      <c r="Q620" s="2" t="s">
        <v>151</v>
      </c>
      <c r="S620" s="8" t="s">
        <v>775</v>
      </c>
      <c r="T620" s="9">
        <v>46874</v>
      </c>
      <c r="U620" s="8">
        <v>0</v>
      </c>
      <c r="V620" s="20">
        <v>480</v>
      </c>
      <c r="W620" s="21" t="s">
        <v>16</v>
      </c>
    </row>
    <row r="621" spans="1:23" ht="48.75">
      <c r="A621" s="8" t="s">
        <v>2814</v>
      </c>
      <c r="B621" s="8" t="s">
        <v>649</v>
      </c>
      <c r="C621" s="8" t="s">
        <v>2197</v>
      </c>
      <c r="D621" s="8" t="s">
        <v>18</v>
      </c>
      <c r="E621" s="8" t="s">
        <v>16</v>
      </c>
      <c r="F621" s="8" t="s">
        <v>2198</v>
      </c>
      <c r="G621" s="8" t="s">
        <v>2815</v>
      </c>
      <c r="H621" s="8">
        <v>1205</v>
      </c>
      <c r="I621" s="8">
        <v>150</v>
      </c>
      <c r="J621" s="8">
        <v>21115</v>
      </c>
      <c r="K621" s="9">
        <v>45296</v>
      </c>
      <c r="L621" s="9">
        <v>46997</v>
      </c>
      <c r="M621" s="8" t="s">
        <v>16</v>
      </c>
      <c r="P621" s="16" t="s">
        <v>618</v>
      </c>
      <c r="Q621" s="2" t="s">
        <v>151</v>
      </c>
      <c r="S621" s="8" t="s">
        <v>775</v>
      </c>
      <c r="T621" s="9">
        <v>46997</v>
      </c>
      <c r="U621" s="8">
        <v>0</v>
      </c>
      <c r="V621" s="20">
        <v>7900</v>
      </c>
      <c r="W621" s="21" t="s">
        <v>16</v>
      </c>
    </row>
    <row r="622" spans="1:23" ht="45">
      <c r="A622" s="8" t="s">
        <v>2814</v>
      </c>
      <c r="B622" s="8" t="s">
        <v>649</v>
      </c>
      <c r="C622" s="8" t="s">
        <v>2197</v>
      </c>
      <c r="D622" s="8" t="s">
        <v>18</v>
      </c>
      <c r="E622" s="8" t="s">
        <v>16</v>
      </c>
      <c r="F622" s="8" t="s">
        <v>2198</v>
      </c>
      <c r="G622" s="8" t="s">
        <v>2815</v>
      </c>
      <c r="H622" s="8">
        <v>1205</v>
      </c>
      <c r="I622" s="8">
        <v>1050</v>
      </c>
      <c r="J622" s="8">
        <v>21118</v>
      </c>
      <c r="K622" s="9">
        <v>45317</v>
      </c>
      <c r="L622" s="9">
        <v>47088</v>
      </c>
      <c r="M622" s="8" t="s">
        <v>16</v>
      </c>
      <c r="P622" s="16" t="s">
        <v>619</v>
      </c>
      <c r="Q622" s="2" t="s">
        <v>16</v>
      </c>
      <c r="S622" s="8" t="s">
        <v>775</v>
      </c>
      <c r="T622" s="9">
        <v>46966</v>
      </c>
      <c r="U622" s="8">
        <v>0</v>
      </c>
      <c r="V622" s="20">
        <v>9960</v>
      </c>
      <c r="W622" s="21" t="s">
        <v>16</v>
      </c>
    </row>
    <row r="623" spans="1:23" ht="45">
      <c r="A623" s="8" t="s">
        <v>2816</v>
      </c>
      <c r="B623" s="8" t="s">
        <v>650</v>
      </c>
      <c r="C623" s="8" t="s">
        <v>2197</v>
      </c>
      <c r="D623" s="8" t="s">
        <v>18</v>
      </c>
      <c r="E623" s="8" t="s">
        <v>16</v>
      </c>
      <c r="F623" s="8" t="s">
        <v>2198</v>
      </c>
      <c r="G623" s="8" t="s">
        <v>2815</v>
      </c>
      <c r="H623" s="8">
        <v>1949</v>
      </c>
      <c r="I623" s="8">
        <v>9</v>
      </c>
      <c r="J623" s="8">
        <v>21068</v>
      </c>
      <c r="K623" s="9">
        <v>44755</v>
      </c>
      <c r="L623" s="9">
        <v>46174</v>
      </c>
      <c r="M623" s="8" t="s">
        <v>16</v>
      </c>
      <c r="P623" s="16" t="s">
        <v>619</v>
      </c>
      <c r="Q623" s="2" t="s">
        <v>16</v>
      </c>
      <c r="S623" s="8" t="s">
        <v>776</v>
      </c>
      <c r="T623" s="9">
        <v>46661</v>
      </c>
      <c r="U623" s="8">
        <v>0</v>
      </c>
      <c r="V623" s="20">
        <v>335</v>
      </c>
      <c r="W623" s="21" t="s">
        <v>16</v>
      </c>
    </row>
    <row r="624" spans="1:23" ht="45">
      <c r="A624" s="8" t="s">
        <v>2816</v>
      </c>
      <c r="B624" s="8" t="s">
        <v>650</v>
      </c>
      <c r="C624" s="8" t="s">
        <v>2197</v>
      </c>
      <c r="D624" s="8" t="s">
        <v>18</v>
      </c>
      <c r="E624" s="8" t="s">
        <v>16</v>
      </c>
      <c r="F624" s="8" t="s">
        <v>2198</v>
      </c>
      <c r="G624" s="8" t="s">
        <v>2815</v>
      </c>
      <c r="H624" s="8">
        <v>1949</v>
      </c>
      <c r="I624" s="8">
        <v>820</v>
      </c>
      <c r="J624" s="8">
        <v>21113</v>
      </c>
      <c r="K624" s="9">
        <v>45296</v>
      </c>
      <c r="L624" s="9">
        <v>46997</v>
      </c>
      <c r="M624" s="8" t="s">
        <v>16</v>
      </c>
      <c r="P624" s="16" t="s">
        <v>620</v>
      </c>
      <c r="Q624" s="2" t="s">
        <v>16</v>
      </c>
      <c r="S624" s="8" t="s">
        <v>777</v>
      </c>
      <c r="T624" s="9">
        <v>46874</v>
      </c>
      <c r="U624" s="8">
        <v>0</v>
      </c>
      <c r="V624" s="20">
        <v>80</v>
      </c>
      <c r="W624" s="21" t="s">
        <v>16</v>
      </c>
    </row>
    <row r="625" spans="1:23" ht="45">
      <c r="A625" s="8" t="s">
        <v>2816</v>
      </c>
      <c r="B625" s="8" t="s">
        <v>650</v>
      </c>
      <c r="C625" s="8" t="s">
        <v>2197</v>
      </c>
      <c r="D625" s="8" t="s">
        <v>18</v>
      </c>
      <c r="E625" s="8" t="s">
        <v>16</v>
      </c>
      <c r="F625" s="8" t="s">
        <v>2198</v>
      </c>
      <c r="G625" s="8" t="s">
        <v>2815</v>
      </c>
      <c r="H625" s="8">
        <v>1949</v>
      </c>
      <c r="I625" s="8">
        <v>1120</v>
      </c>
      <c r="J625" s="8">
        <v>21118</v>
      </c>
      <c r="K625" s="9">
        <v>45317</v>
      </c>
      <c r="L625" s="9">
        <v>47088</v>
      </c>
      <c r="M625" s="8" t="s">
        <v>16</v>
      </c>
      <c r="P625" s="16" t="s">
        <v>620</v>
      </c>
      <c r="Q625" s="2" t="s">
        <v>16</v>
      </c>
      <c r="S625" s="8" t="s">
        <v>777</v>
      </c>
      <c r="T625" s="9">
        <v>46935</v>
      </c>
      <c r="U625" s="8">
        <v>0</v>
      </c>
      <c r="V625" s="20">
        <v>200</v>
      </c>
      <c r="W625" s="21" t="s">
        <v>16</v>
      </c>
    </row>
    <row r="626" spans="1:23" ht="45">
      <c r="A626" s="8" t="s">
        <v>2817</v>
      </c>
      <c r="B626" s="8" t="s">
        <v>651</v>
      </c>
      <c r="C626" s="8" t="s">
        <v>2197</v>
      </c>
      <c r="D626" s="8" t="s">
        <v>18</v>
      </c>
      <c r="E626" s="8" t="s">
        <v>16</v>
      </c>
      <c r="F626" s="8" t="s">
        <v>2198</v>
      </c>
      <c r="G626" s="8" t="s">
        <v>2815</v>
      </c>
      <c r="H626" s="8">
        <v>759</v>
      </c>
      <c r="I626" s="8">
        <v>259</v>
      </c>
      <c r="J626" s="8">
        <v>21118</v>
      </c>
      <c r="K626" s="9">
        <v>45301</v>
      </c>
      <c r="L626" s="9">
        <v>47088</v>
      </c>
      <c r="M626" s="8" t="s">
        <v>16</v>
      </c>
      <c r="P626" s="16" t="s">
        <v>620</v>
      </c>
      <c r="Q626" s="2" t="s">
        <v>16</v>
      </c>
      <c r="S626" s="8" t="s">
        <v>778</v>
      </c>
      <c r="T626" s="9">
        <v>46905</v>
      </c>
      <c r="U626" s="8">
        <v>0</v>
      </c>
      <c r="V626" s="20">
        <v>240</v>
      </c>
      <c r="W626" s="21" t="s">
        <v>16</v>
      </c>
    </row>
    <row r="627" spans="1:23" ht="90">
      <c r="A627" s="8" t="s">
        <v>2817</v>
      </c>
      <c r="B627" s="8" t="s">
        <v>651</v>
      </c>
      <c r="C627" s="8" t="s">
        <v>2197</v>
      </c>
      <c r="D627" s="8" t="s">
        <v>18</v>
      </c>
      <c r="E627" s="8" t="s">
        <v>16</v>
      </c>
      <c r="F627" s="8" t="s">
        <v>2198</v>
      </c>
      <c r="G627" s="8" t="s">
        <v>2815</v>
      </c>
      <c r="H627" s="8">
        <v>759</v>
      </c>
      <c r="I627" s="8">
        <v>500</v>
      </c>
      <c r="J627" s="8">
        <v>21117</v>
      </c>
      <c r="K627" s="9">
        <v>45303</v>
      </c>
      <c r="L627" s="9">
        <v>47088</v>
      </c>
      <c r="M627" s="8" t="s">
        <v>16</v>
      </c>
      <c r="P627" s="16" t="s">
        <v>621</v>
      </c>
      <c r="Q627" s="2" t="s">
        <v>16</v>
      </c>
      <c r="S627" s="8" t="s">
        <v>779</v>
      </c>
      <c r="T627" s="9" t="s">
        <v>2222</v>
      </c>
      <c r="U627" s="8">
        <v>0</v>
      </c>
      <c r="V627" s="20">
        <v>51</v>
      </c>
      <c r="W627" s="21" t="s">
        <v>101</v>
      </c>
    </row>
    <row r="628" spans="1:23" ht="105">
      <c r="A628" s="8" t="s">
        <v>2818</v>
      </c>
      <c r="B628" s="8" t="s">
        <v>652</v>
      </c>
      <c r="C628" s="8" t="s">
        <v>2197</v>
      </c>
      <c r="D628" s="8" t="s">
        <v>18</v>
      </c>
      <c r="E628" s="8" t="s">
        <v>16</v>
      </c>
      <c r="F628" s="8" t="s">
        <v>2198</v>
      </c>
      <c r="G628" s="8" t="s">
        <v>2815</v>
      </c>
      <c r="H628" s="8">
        <v>4263</v>
      </c>
      <c r="I628" s="8">
        <v>13</v>
      </c>
      <c r="J628" s="8">
        <v>21090</v>
      </c>
      <c r="K628" s="9">
        <v>44858</v>
      </c>
      <c r="L628" s="9">
        <v>46539</v>
      </c>
      <c r="M628" s="8" t="s">
        <v>16</v>
      </c>
      <c r="P628" s="16" t="s">
        <v>622</v>
      </c>
      <c r="Q628" s="2" t="s">
        <v>16</v>
      </c>
      <c r="S628" s="8" t="s">
        <v>780</v>
      </c>
      <c r="T628" s="9" t="s">
        <v>2222</v>
      </c>
      <c r="U628" s="8">
        <v>0</v>
      </c>
      <c r="V628" s="20">
        <v>65</v>
      </c>
      <c r="W628" s="21" t="s">
        <v>101</v>
      </c>
    </row>
    <row r="629" spans="1:23" ht="60">
      <c r="A629" s="8" t="s">
        <v>2818</v>
      </c>
      <c r="B629" s="8" t="s">
        <v>652</v>
      </c>
      <c r="C629" s="8" t="s">
        <v>2197</v>
      </c>
      <c r="D629" s="8" t="s">
        <v>18</v>
      </c>
      <c r="E629" s="8" t="s">
        <v>16</v>
      </c>
      <c r="F629" s="8" t="s">
        <v>2198</v>
      </c>
      <c r="G629" s="8" t="s">
        <v>2815</v>
      </c>
      <c r="H629" s="8">
        <v>4263</v>
      </c>
      <c r="I629" s="8">
        <v>750</v>
      </c>
      <c r="J629" s="8">
        <v>21121</v>
      </c>
      <c r="K629" s="9">
        <v>45383</v>
      </c>
      <c r="L629" s="9">
        <v>47150</v>
      </c>
      <c r="M629" s="8" t="s">
        <v>16</v>
      </c>
      <c r="P629" s="16" t="s">
        <v>623</v>
      </c>
      <c r="Q629" s="2" t="s">
        <v>16</v>
      </c>
      <c r="S629" s="8" t="s">
        <v>781</v>
      </c>
      <c r="T629" s="9">
        <v>46722</v>
      </c>
      <c r="U629" s="8">
        <v>0</v>
      </c>
      <c r="V629" s="20">
        <v>452</v>
      </c>
      <c r="W629" s="21" t="s">
        <v>151</v>
      </c>
    </row>
    <row r="630" spans="1:23" ht="60">
      <c r="A630" s="8" t="s">
        <v>2818</v>
      </c>
      <c r="B630" s="8" t="s">
        <v>652</v>
      </c>
      <c r="C630" s="8" t="s">
        <v>2197</v>
      </c>
      <c r="D630" s="8" t="s">
        <v>18</v>
      </c>
      <c r="E630" s="8" t="s">
        <v>16</v>
      </c>
      <c r="F630" s="8" t="s">
        <v>2198</v>
      </c>
      <c r="G630" s="8" t="s">
        <v>2815</v>
      </c>
      <c r="H630" s="8">
        <v>4263</v>
      </c>
      <c r="I630" s="8">
        <v>3500</v>
      </c>
      <c r="J630" s="8">
        <v>21117</v>
      </c>
      <c r="K630" s="9">
        <v>45303</v>
      </c>
      <c r="L630" s="9">
        <v>47088</v>
      </c>
      <c r="M630" s="8" t="s">
        <v>16</v>
      </c>
      <c r="P630" s="16" t="s">
        <v>624</v>
      </c>
      <c r="Q630" s="2" t="s">
        <v>16</v>
      </c>
      <c r="S630" s="8" t="s">
        <v>783</v>
      </c>
      <c r="T630" s="9" t="s">
        <v>2222</v>
      </c>
      <c r="U630" s="8">
        <v>0</v>
      </c>
      <c r="V630" s="20">
        <v>1117</v>
      </c>
      <c r="W630" s="21" t="s">
        <v>151</v>
      </c>
    </row>
    <row r="631" spans="1:23" ht="60">
      <c r="A631" s="8" t="s">
        <v>2819</v>
      </c>
      <c r="B631" s="8" t="s">
        <v>653</v>
      </c>
      <c r="C631" s="8" t="s">
        <v>2197</v>
      </c>
      <c r="D631" s="8" t="s">
        <v>18</v>
      </c>
      <c r="E631" s="8" t="s">
        <v>16</v>
      </c>
      <c r="F631" s="8" t="s">
        <v>2228</v>
      </c>
      <c r="G631" s="8" t="s">
        <v>2820</v>
      </c>
      <c r="H631" s="8">
        <v>309</v>
      </c>
      <c r="I631" s="8">
        <v>309</v>
      </c>
      <c r="J631" s="8" t="s">
        <v>654</v>
      </c>
      <c r="K631" s="9">
        <v>44987</v>
      </c>
      <c r="L631" s="9">
        <v>46753</v>
      </c>
      <c r="M631" s="8" t="s">
        <v>16</v>
      </c>
      <c r="P631" s="16" t="s">
        <v>624</v>
      </c>
      <c r="Q631" s="2" t="s">
        <v>16</v>
      </c>
      <c r="S631" s="8" t="s">
        <v>784</v>
      </c>
      <c r="T631" s="9" t="s">
        <v>2222</v>
      </c>
      <c r="U631" s="8">
        <v>0</v>
      </c>
      <c r="V631" s="20">
        <v>21</v>
      </c>
      <c r="W631" s="21" t="s">
        <v>38</v>
      </c>
    </row>
    <row r="632" spans="1:23" ht="60">
      <c r="A632" s="8" t="s">
        <v>2821</v>
      </c>
      <c r="B632" s="8" t="s">
        <v>655</v>
      </c>
      <c r="C632" s="8" t="s">
        <v>2203</v>
      </c>
      <c r="D632" s="8" t="s">
        <v>18</v>
      </c>
      <c r="E632" s="8" t="s">
        <v>2217</v>
      </c>
      <c r="F632" s="8" t="s">
        <v>2217</v>
      </c>
      <c r="G632" s="8" t="s">
        <v>2217</v>
      </c>
      <c r="H632" s="8">
        <v>1400</v>
      </c>
      <c r="I632" s="8">
        <v>1400</v>
      </c>
      <c r="J632" s="8">
        <v>0</v>
      </c>
      <c r="K632" s="9">
        <v>45442</v>
      </c>
      <c r="L632" s="9">
        <v>46966</v>
      </c>
      <c r="M632" s="8" t="s">
        <v>16</v>
      </c>
      <c r="P632" s="16" t="s">
        <v>624</v>
      </c>
      <c r="Q632" s="2" t="s">
        <v>16</v>
      </c>
      <c r="S632" s="8" t="s">
        <v>785</v>
      </c>
      <c r="T632" s="9" t="s">
        <v>2222</v>
      </c>
      <c r="U632" s="8">
        <v>0</v>
      </c>
      <c r="V632" s="20">
        <v>90</v>
      </c>
      <c r="W632" s="21" t="s">
        <v>151</v>
      </c>
    </row>
    <row r="633" spans="1:23" ht="45">
      <c r="A633" s="8" t="s">
        <v>2822</v>
      </c>
      <c r="B633" s="8" t="s">
        <v>656</v>
      </c>
      <c r="C633" s="8" t="s">
        <v>2197</v>
      </c>
      <c r="D633" s="8" t="s">
        <v>18</v>
      </c>
      <c r="E633" s="8" t="s">
        <v>16</v>
      </c>
      <c r="F633" s="8" t="s">
        <v>2204</v>
      </c>
      <c r="G633" s="8" t="s">
        <v>2823</v>
      </c>
      <c r="H633" s="8">
        <v>4363</v>
      </c>
      <c r="I633" s="8">
        <v>16</v>
      </c>
      <c r="J633" s="8" t="s">
        <v>657</v>
      </c>
      <c r="K633" s="9">
        <v>45020</v>
      </c>
      <c r="L633" s="9">
        <v>45689</v>
      </c>
      <c r="M633" s="8" t="s">
        <v>16</v>
      </c>
      <c r="P633" s="17" t="s">
        <v>625</v>
      </c>
      <c r="Q633" s="2" t="s">
        <v>16</v>
      </c>
      <c r="S633" s="8" t="s">
        <v>786</v>
      </c>
      <c r="T633" s="9">
        <v>46997</v>
      </c>
      <c r="U633" s="8">
        <v>0</v>
      </c>
      <c r="V633" s="20">
        <v>8</v>
      </c>
      <c r="W633" s="21" t="s">
        <v>151</v>
      </c>
    </row>
    <row r="634" spans="1:23" ht="45">
      <c r="A634" s="8" t="s">
        <v>2824</v>
      </c>
      <c r="B634" s="8" t="s">
        <v>656</v>
      </c>
      <c r="C634" s="8" t="s">
        <v>2197</v>
      </c>
      <c r="D634" s="8" t="s">
        <v>18</v>
      </c>
      <c r="E634" s="8" t="s">
        <v>16</v>
      </c>
      <c r="F634" s="8" t="s">
        <v>2204</v>
      </c>
      <c r="G634" s="8" t="s">
        <v>2217</v>
      </c>
      <c r="H634" s="8">
        <v>21</v>
      </c>
      <c r="I634" s="8">
        <v>21</v>
      </c>
      <c r="J634" s="8" t="s">
        <v>657</v>
      </c>
      <c r="K634" s="9">
        <v>45100</v>
      </c>
      <c r="L634" s="9">
        <v>45689</v>
      </c>
      <c r="M634" s="8" t="s">
        <v>16</v>
      </c>
      <c r="P634" s="16" t="s">
        <v>626</v>
      </c>
      <c r="Q634" s="2" t="s">
        <v>16</v>
      </c>
      <c r="S634" s="8" t="s">
        <v>786</v>
      </c>
      <c r="T634" s="9">
        <v>47178</v>
      </c>
      <c r="U634" s="8">
        <v>0</v>
      </c>
      <c r="V634" s="20">
        <v>132</v>
      </c>
      <c r="W634" s="21" t="s">
        <v>151</v>
      </c>
    </row>
    <row r="635" spans="1:23" ht="45">
      <c r="A635" s="8" t="s">
        <v>2822</v>
      </c>
      <c r="B635" s="8" t="s">
        <v>656</v>
      </c>
      <c r="C635" s="8" t="s">
        <v>2197</v>
      </c>
      <c r="D635" s="8" t="s">
        <v>18</v>
      </c>
      <c r="E635" s="8" t="s">
        <v>16</v>
      </c>
      <c r="F635" s="8" t="s">
        <v>2204</v>
      </c>
      <c r="G635" s="8" t="s">
        <v>2823</v>
      </c>
      <c r="H635" s="8">
        <v>4363</v>
      </c>
      <c r="I635" s="8">
        <v>47</v>
      </c>
      <c r="J635" s="8" t="s">
        <v>658</v>
      </c>
      <c r="K635" s="9">
        <v>45020</v>
      </c>
      <c r="L635" s="9">
        <v>45689</v>
      </c>
      <c r="M635" s="8" t="s">
        <v>16</v>
      </c>
      <c r="P635" s="16" t="s">
        <v>627</v>
      </c>
      <c r="Q635" s="2" t="s">
        <v>38</v>
      </c>
      <c r="S635" s="8" t="s">
        <v>789</v>
      </c>
      <c r="T635" s="9">
        <v>46997</v>
      </c>
      <c r="U635" s="8">
        <v>0</v>
      </c>
      <c r="V635" s="20">
        <v>120</v>
      </c>
      <c r="W635" s="21" t="s">
        <v>151</v>
      </c>
    </row>
    <row r="636" spans="1:23" ht="45">
      <c r="A636" s="8" t="s">
        <v>2822</v>
      </c>
      <c r="B636" s="8" t="s">
        <v>656</v>
      </c>
      <c r="C636" s="8" t="s">
        <v>2197</v>
      </c>
      <c r="D636" s="8" t="s">
        <v>18</v>
      </c>
      <c r="E636" s="8" t="s">
        <v>16</v>
      </c>
      <c r="F636" s="8" t="s">
        <v>2204</v>
      </c>
      <c r="G636" s="8" t="s">
        <v>2823</v>
      </c>
      <c r="H636" s="8">
        <v>4363</v>
      </c>
      <c r="I636" s="8">
        <v>4300</v>
      </c>
      <c r="J636" s="8" t="s">
        <v>659</v>
      </c>
      <c r="K636" s="9">
        <v>45411</v>
      </c>
      <c r="L636" s="9">
        <v>46054</v>
      </c>
      <c r="M636" s="8" t="s">
        <v>16</v>
      </c>
      <c r="P636" s="16" t="s">
        <v>628</v>
      </c>
      <c r="Q636" s="2" t="s">
        <v>16</v>
      </c>
      <c r="S636" s="8" t="s">
        <v>789</v>
      </c>
      <c r="T636" s="9">
        <v>46813</v>
      </c>
      <c r="U636" s="8">
        <v>0</v>
      </c>
      <c r="V636" s="20">
        <v>793</v>
      </c>
      <c r="W636" s="21" t="s">
        <v>151</v>
      </c>
    </row>
    <row r="637" spans="1:23" ht="48.75">
      <c r="A637" s="8" t="s">
        <v>2822</v>
      </c>
      <c r="B637" s="8" t="s">
        <v>656</v>
      </c>
      <c r="C637" s="8" t="s">
        <v>2197</v>
      </c>
      <c r="D637" s="8" t="s">
        <v>15</v>
      </c>
      <c r="E637" s="8" t="s">
        <v>16</v>
      </c>
      <c r="F637" s="8" t="s">
        <v>2204</v>
      </c>
      <c r="G637" s="8" t="s">
        <v>2823</v>
      </c>
      <c r="H637" s="8">
        <v>10000</v>
      </c>
      <c r="I637" s="8">
        <v>10000</v>
      </c>
      <c r="J637" s="8" t="s">
        <v>659</v>
      </c>
      <c r="K637" s="9">
        <v>45411</v>
      </c>
      <c r="L637" s="9">
        <v>46054</v>
      </c>
      <c r="M637" s="8" t="s">
        <v>16</v>
      </c>
      <c r="P637" s="16" t="s">
        <v>629</v>
      </c>
      <c r="Q637" s="2" t="s">
        <v>16</v>
      </c>
      <c r="S637" s="8" t="s">
        <v>792</v>
      </c>
      <c r="T637" s="9">
        <v>47270</v>
      </c>
      <c r="U637" s="8">
        <v>0</v>
      </c>
      <c r="V637" s="20">
        <v>2505</v>
      </c>
      <c r="W637" s="21" t="s">
        <v>16</v>
      </c>
    </row>
    <row r="638" spans="1:23" ht="48.75">
      <c r="A638" s="8" t="s">
        <v>2825</v>
      </c>
      <c r="B638" s="8" t="s">
        <v>660</v>
      </c>
      <c r="C638" s="8" t="s">
        <v>2197</v>
      </c>
      <c r="D638" s="8" t="s">
        <v>18</v>
      </c>
      <c r="E638" s="8" t="s">
        <v>16</v>
      </c>
      <c r="F638" s="8" t="s">
        <v>2204</v>
      </c>
      <c r="G638" s="8" t="s">
        <v>2823</v>
      </c>
      <c r="H638" s="8">
        <v>12760</v>
      </c>
      <c r="I638" s="8">
        <v>20</v>
      </c>
      <c r="J638" s="8" t="s">
        <v>661</v>
      </c>
      <c r="K638" s="9">
        <v>45374</v>
      </c>
      <c r="L638" s="9">
        <v>46327</v>
      </c>
      <c r="M638" s="8" t="s">
        <v>16</v>
      </c>
      <c r="P638" s="16" t="s">
        <v>629</v>
      </c>
      <c r="Q638" s="2" t="s">
        <v>16</v>
      </c>
      <c r="S638" s="8" t="s">
        <v>794</v>
      </c>
      <c r="T638" s="9" t="s">
        <v>2222</v>
      </c>
      <c r="U638" s="8">
        <v>0</v>
      </c>
      <c r="V638" s="20">
        <v>11</v>
      </c>
      <c r="W638" s="21" t="s">
        <v>41</v>
      </c>
    </row>
    <row r="639" spans="1:23" ht="48.75">
      <c r="A639" s="8" t="s">
        <v>2825</v>
      </c>
      <c r="B639" s="8" t="s">
        <v>660</v>
      </c>
      <c r="C639" s="8" t="s">
        <v>2197</v>
      </c>
      <c r="D639" s="8" t="s">
        <v>18</v>
      </c>
      <c r="E639" s="8" t="s">
        <v>16</v>
      </c>
      <c r="F639" s="8" t="s">
        <v>2204</v>
      </c>
      <c r="G639" s="8" t="s">
        <v>2823</v>
      </c>
      <c r="H639" s="8">
        <v>12760</v>
      </c>
      <c r="I639" s="8">
        <v>20</v>
      </c>
      <c r="J639" s="8" t="s">
        <v>662</v>
      </c>
      <c r="K639" s="9">
        <v>45453</v>
      </c>
      <c r="L639" s="9">
        <v>46508</v>
      </c>
      <c r="M639" s="8" t="s">
        <v>16</v>
      </c>
      <c r="P639" s="16" t="s">
        <v>629</v>
      </c>
      <c r="Q639" s="2" t="s">
        <v>16</v>
      </c>
      <c r="S639" s="8" t="s">
        <v>795</v>
      </c>
      <c r="T639" s="9" t="s">
        <v>2222</v>
      </c>
      <c r="U639" s="8">
        <v>0</v>
      </c>
      <c r="V639" s="20">
        <v>95</v>
      </c>
      <c r="W639" s="21" t="s">
        <v>43</v>
      </c>
    </row>
    <row r="640" spans="1:23" ht="48.75">
      <c r="A640" s="8" t="s">
        <v>2825</v>
      </c>
      <c r="B640" s="8" t="s">
        <v>660</v>
      </c>
      <c r="C640" s="8" t="s">
        <v>2197</v>
      </c>
      <c r="D640" s="8" t="s">
        <v>18</v>
      </c>
      <c r="E640" s="8" t="s">
        <v>16</v>
      </c>
      <c r="F640" s="8" t="s">
        <v>2204</v>
      </c>
      <c r="G640" s="8" t="s">
        <v>2823</v>
      </c>
      <c r="H640" s="8">
        <v>12760</v>
      </c>
      <c r="I640" s="8">
        <v>780</v>
      </c>
      <c r="J640" s="8" t="s">
        <v>663</v>
      </c>
      <c r="K640" s="9">
        <v>45374</v>
      </c>
      <c r="L640" s="9">
        <v>46327</v>
      </c>
      <c r="M640" s="8" t="s">
        <v>16</v>
      </c>
      <c r="P640" s="16" t="s">
        <v>629</v>
      </c>
      <c r="Q640" s="2" t="s">
        <v>16</v>
      </c>
      <c r="S640" s="8" t="s">
        <v>796</v>
      </c>
      <c r="T640" s="9">
        <v>47239</v>
      </c>
      <c r="U640" s="8">
        <v>0</v>
      </c>
      <c r="V640" s="20">
        <v>1158</v>
      </c>
      <c r="W640" s="21" t="s">
        <v>151</v>
      </c>
    </row>
    <row r="641" spans="1:23" ht="48.75">
      <c r="A641" s="8" t="s">
        <v>2825</v>
      </c>
      <c r="B641" s="8" t="s">
        <v>660</v>
      </c>
      <c r="C641" s="8" t="s">
        <v>2197</v>
      </c>
      <c r="D641" s="8" t="s">
        <v>15</v>
      </c>
      <c r="E641" s="8" t="s">
        <v>16</v>
      </c>
      <c r="F641" s="8" t="s">
        <v>2204</v>
      </c>
      <c r="G641" s="8" t="s">
        <v>2823</v>
      </c>
      <c r="H641" s="8">
        <v>4500</v>
      </c>
      <c r="I641" s="8">
        <v>4500</v>
      </c>
      <c r="J641" s="8" t="s">
        <v>664</v>
      </c>
      <c r="K641" s="9">
        <v>45419</v>
      </c>
      <c r="L641" s="9">
        <v>46447</v>
      </c>
      <c r="M641" s="8" t="s">
        <v>16</v>
      </c>
      <c r="P641" s="16" t="s">
        <v>629</v>
      </c>
      <c r="Q641" s="2" t="s">
        <v>16</v>
      </c>
      <c r="S641" s="8" t="s">
        <v>797</v>
      </c>
      <c r="T641" s="9">
        <v>46569</v>
      </c>
      <c r="U641" s="8">
        <v>0</v>
      </c>
      <c r="V641" s="20">
        <v>258</v>
      </c>
      <c r="W641" s="21" t="s">
        <v>16</v>
      </c>
    </row>
    <row r="642" spans="1:23" ht="48.75">
      <c r="A642" s="8" t="s">
        <v>2825</v>
      </c>
      <c r="B642" s="8" t="s">
        <v>660</v>
      </c>
      <c r="C642" s="8" t="s">
        <v>2197</v>
      </c>
      <c r="D642" s="8" t="s">
        <v>18</v>
      </c>
      <c r="E642" s="8" t="s">
        <v>16</v>
      </c>
      <c r="F642" s="8" t="s">
        <v>2204</v>
      </c>
      <c r="G642" s="8" t="s">
        <v>2823</v>
      </c>
      <c r="H642" s="8">
        <v>12760</v>
      </c>
      <c r="I642" s="8">
        <v>11940</v>
      </c>
      <c r="J642" s="8" t="s">
        <v>664</v>
      </c>
      <c r="K642" s="9">
        <v>45419</v>
      </c>
      <c r="L642" s="9">
        <v>46447</v>
      </c>
      <c r="M642" s="8" t="s">
        <v>16</v>
      </c>
      <c r="P642" s="16" t="s">
        <v>629</v>
      </c>
      <c r="Q642" s="2" t="s">
        <v>16</v>
      </c>
      <c r="S642" s="8" t="s">
        <v>797</v>
      </c>
      <c r="T642" s="9">
        <v>46600</v>
      </c>
      <c r="U642" s="8">
        <v>0</v>
      </c>
      <c r="V642" s="20">
        <v>1344</v>
      </c>
      <c r="W642" s="21" t="s">
        <v>16</v>
      </c>
    </row>
    <row r="643" spans="1:23" ht="48.75">
      <c r="A643" s="8" t="s">
        <v>2826</v>
      </c>
      <c r="B643" s="8" t="s">
        <v>665</v>
      </c>
      <c r="C643" s="8" t="s">
        <v>2197</v>
      </c>
      <c r="D643" s="8" t="s">
        <v>18</v>
      </c>
      <c r="E643" s="8" t="s">
        <v>16</v>
      </c>
      <c r="F643" s="8" t="s">
        <v>2255</v>
      </c>
      <c r="G643" s="8" t="s">
        <v>2827</v>
      </c>
      <c r="H643" s="8">
        <v>840</v>
      </c>
      <c r="I643" s="8">
        <v>200</v>
      </c>
      <c r="J643" s="8">
        <v>0</v>
      </c>
      <c r="K643" s="9">
        <v>45434</v>
      </c>
      <c r="L643" s="9">
        <v>46054</v>
      </c>
      <c r="M643" s="8" t="s">
        <v>16</v>
      </c>
      <c r="P643" s="16" t="s">
        <v>629</v>
      </c>
      <c r="Q643" s="2" t="s">
        <v>16</v>
      </c>
      <c r="S643" s="8" t="s">
        <v>800</v>
      </c>
      <c r="T643" s="9">
        <v>45505</v>
      </c>
      <c r="U643" s="8">
        <v>0</v>
      </c>
      <c r="V643" s="20">
        <v>241</v>
      </c>
      <c r="W643" s="21" t="s">
        <v>16</v>
      </c>
    </row>
    <row r="644" spans="1:23" ht="60">
      <c r="A644" s="8" t="s">
        <v>2826</v>
      </c>
      <c r="B644" s="8" t="s">
        <v>665</v>
      </c>
      <c r="C644" s="8" t="s">
        <v>2197</v>
      </c>
      <c r="D644" s="8" t="s">
        <v>18</v>
      </c>
      <c r="E644" s="8" t="s">
        <v>16</v>
      </c>
      <c r="F644" s="8" t="s">
        <v>2255</v>
      </c>
      <c r="G644" s="8" t="s">
        <v>2827</v>
      </c>
      <c r="H644" s="8">
        <v>840</v>
      </c>
      <c r="I644" s="8">
        <v>640</v>
      </c>
      <c r="J644" s="8">
        <v>0</v>
      </c>
      <c r="K644" s="9">
        <v>45434</v>
      </c>
      <c r="L644" s="9">
        <v>46023</v>
      </c>
      <c r="M644" s="8" t="s">
        <v>16</v>
      </c>
      <c r="P644" s="16" t="s">
        <v>630</v>
      </c>
      <c r="Q644" s="2" t="s">
        <v>43</v>
      </c>
      <c r="S644" s="8" t="s">
        <v>802</v>
      </c>
      <c r="T644" s="9">
        <v>47150</v>
      </c>
      <c r="U644" s="8">
        <v>0</v>
      </c>
      <c r="V644" s="20">
        <v>300</v>
      </c>
      <c r="W644" s="21" t="s">
        <v>16</v>
      </c>
    </row>
    <row r="645" spans="1:23" ht="60">
      <c r="A645" s="8" t="s">
        <v>2828</v>
      </c>
      <c r="B645" s="8" t="s">
        <v>666</v>
      </c>
      <c r="C645" s="8" t="s">
        <v>2197</v>
      </c>
      <c r="D645" s="8" t="s">
        <v>18</v>
      </c>
      <c r="E645" s="8" t="s">
        <v>16</v>
      </c>
      <c r="F645" s="8" t="s">
        <v>2204</v>
      </c>
      <c r="G645" s="8" t="s">
        <v>2829</v>
      </c>
      <c r="H645" s="8">
        <v>2298</v>
      </c>
      <c r="I645" s="8">
        <v>2298</v>
      </c>
      <c r="J645" s="8">
        <v>22207</v>
      </c>
      <c r="K645" s="9">
        <v>45279</v>
      </c>
      <c r="L645" s="9">
        <v>47058</v>
      </c>
      <c r="M645" s="8" t="s">
        <v>16</v>
      </c>
      <c r="P645" s="16" t="s">
        <v>631</v>
      </c>
      <c r="Q645" s="2" t="s">
        <v>16</v>
      </c>
      <c r="S645" s="8" t="s">
        <v>802</v>
      </c>
      <c r="T645" s="9">
        <v>46327</v>
      </c>
      <c r="U645" s="8">
        <v>0</v>
      </c>
      <c r="V645" s="20">
        <v>1863</v>
      </c>
      <c r="W645" s="21" t="s">
        <v>16</v>
      </c>
    </row>
    <row r="646" spans="1:23" ht="48.75">
      <c r="A646" s="8" t="s">
        <v>2830</v>
      </c>
      <c r="B646" s="8" t="s">
        <v>667</v>
      </c>
      <c r="C646" s="8" t="s">
        <v>2197</v>
      </c>
      <c r="D646" s="8" t="s">
        <v>18</v>
      </c>
      <c r="E646" s="8" t="s">
        <v>16</v>
      </c>
      <c r="F646" s="8" t="s">
        <v>2204</v>
      </c>
      <c r="G646" s="8" t="s">
        <v>2829</v>
      </c>
      <c r="H646" s="8">
        <v>667</v>
      </c>
      <c r="I646" s="8">
        <v>327</v>
      </c>
      <c r="J646" s="8">
        <v>22203</v>
      </c>
      <c r="K646" s="9">
        <v>45113</v>
      </c>
      <c r="L646" s="9">
        <v>46844</v>
      </c>
      <c r="M646" s="8" t="s">
        <v>16</v>
      </c>
      <c r="P646" s="16" t="s">
        <v>631</v>
      </c>
      <c r="Q646" s="2" t="s">
        <v>16</v>
      </c>
      <c r="S646" s="8" t="s">
        <v>803</v>
      </c>
      <c r="T646" s="9">
        <v>46722</v>
      </c>
      <c r="U646" s="8">
        <v>0</v>
      </c>
      <c r="V646" s="20">
        <v>4</v>
      </c>
      <c r="W646" s="21" t="s">
        <v>16</v>
      </c>
    </row>
    <row r="647" spans="1:23" ht="48.75">
      <c r="A647" s="8" t="s">
        <v>2830</v>
      </c>
      <c r="B647" s="8" t="s">
        <v>667</v>
      </c>
      <c r="C647" s="8" t="s">
        <v>2197</v>
      </c>
      <c r="D647" s="8" t="s">
        <v>18</v>
      </c>
      <c r="E647" s="8" t="s">
        <v>16</v>
      </c>
      <c r="F647" s="8" t="s">
        <v>2204</v>
      </c>
      <c r="G647" s="8" t="s">
        <v>2829</v>
      </c>
      <c r="H647" s="8">
        <v>667</v>
      </c>
      <c r="I647" s="8">
        <v>340</v>
      </c>
      <c r="J647" s="8">
        <v>22204</v>
      </c>
      <c r="K647" s="9">
        <v>45141</v>
      </c>
      <c r="L647" s="9">
        <v>46935</v>
      </c>
      <c r="M647" s="8" t="s">
        <v>16</v>
      </c>
      <c r="P647" s="16" t="s">
        <v>631</v>
      </c>
      <c r="Q647" s="2" t="s">
        <v>16</v>
      </c>
      <c r="S647" s="8" t="s">
        <v>803</v>
      </c>
      <c r="T647" s="9">
        <v>46874</v>
      </c>
      <c r="U647" s="8">
        <v>0</v>
      </c>
      <c r="V647" s="20">
        <v>100</v>
      </c>
      <c r="W647" s="21" t="s">
        <v>16</v>
      </c>
    </row>
    <row r="648" spans="1:23" ht="48.75">
      <c r="A648" s="8" t="s">
        <v>2831</v>
      </c>
      <c r="B648" s="8" t="s">
        <v>668</v>
      </c>
      <c r="C648" s="8" t="s">
        <v>2307</v>
      </c>
      <c r="D648" s="8" t="s">
        <v>18</v>
      </c>
      <c r="E648" s="8" t="s">
        <v>16</v>
      </c>
      <c r="F648" s="8" t="s">
        <v>2204</v>
      </c>
      <c r="G648" s="8" t="s">
        <v>2829</v>
      </c>
      <c r="H648" s="8">
        <v>31</v>
      </c>
      <c r="I648" s="8">
        <v>31</v>
      </c>
      <c r="J648" s="8">
        <v>22151</v>
      </c>
      <c r="K648" s="9">
        <v>44293</v>
      </c>
      <c r="L648" s="9">
        <v>45870</v>
      </c>
      <c r="M648" s="8" t="s">
        <v>16</v>
      </c>
      <c r="P648" s="16" t="s">
        <v>632</v>
      </c>
      <c r="Q648" s="2" t="s">
        <v>16</v>
      </c>
      <c r="S648" s="8" t="s">
        <v>803</v>
      </c>
      <c r="T648" s="9">
        <v>47178</v>
      </c>
      <c r="U648" s="8">
        <v>0</v>
      </c>
      <c r="V648" s="20">
        <v>500</v>
      </c>
      <c r="W648" s="21" t="s">
        <v>16</v>
      </c>
    </row>
    <row r="649" spans="1:23" ht="60">
      <c r="A649" s="8" t="s">
        <v>2832</v>
      </c>
      <c r="B649" s="8" t="s">
        <v>669</v>
      </c>
      <c r="C649" s="8" t="s">
        <v>2197</v>
      </c>
      <c r="D649" s="8" t="s">
        <v>18</v>
      </c>
      <c r="E649" s="8" t="s">
        <v>16</v>
      </c>
      <c r="F649" s="8" t="s">
        <v>2228</v>
      </c>
      <c r="G649" s="8" t="s">
        <v>2833</v>
      </c>
      <c r="H649" s="8">
        <v>1980</v>
      </c>
      <c r="I649" s="8">
        <v>1980</v>
      </c>
      <c r="J649" s="8">
        <v>23121904</v>
      </c>
      <c r="K649" s="9">
        <v>45351</v>
      </c>
      <c r="L649" s="9">
        <v>47058</v>
      </c>
      <c r="M649" s="8" t="s">
        <v>16</v>
      </c>
      <c r="P649" s="16" t="s">
        <v>632</v>
      </c>
      <c r="Q649" s="2" t="s">
        <v>16</v>
      </c>
      <c r="S649" s="8" t="s">
        <v>804</v>
      </c>
      <c r="T649" s="9">
        <v>47058</v>
      </c>
      <c r="U649" s="8">
        <v>0</v>
      </c>
      <c r="V649" s="20">
        <v>750</v>
      </c>
      <c r="W649" s="21" t="s">
        <v>16</v>
      </c>
    </row>
    <row r="650" spans="1:23" ht="45">
      <c r="A650" s="8" t="s">
        <v>2834</v>
      </c>
      <c r="B650" s="8" t="s">
        <v>670</v>
      </c>
      <c r="C650" s="8" t="s">
        <v>2197</v>
      </c>
      <c r="D650" s="8" t="s">
        <v>18</v>
      </c>
      <c r="E650" s="8" t="s">
        <v>151</v>
      </c>
      <c r="F650" s="8" t="s">
        <v>2325</v>
      </c>
      <c r="G650" s="8" t="s">
        <v>2835</v>
      </c>
      <c r="H650" s="8">
        <v>4</v>
      </c>
      <c r="I650" s="8">
        <v>4</v>
      </c>
      <c r="J650" s="8">
        <v>139032</v>
      </c>
      <c r="K650" s="9">
        <v>45161</v>
      </c>
      <c r="L650" s="9">
        <v>46784</v>
      </c>
      <c r="M650" s="8" t="s">
        <v>151</v>
      </c>
      <c r="P650" s="16" t="s">
        <v>634</v>
      </c>
      <c r="Q650" s="2" t="s">
        <v>38</v>
      </c>
      <c r="S650" s="8" t="s">
        <v>805</v>
      </c>
      <c r="T650" s="9">
        <v>46844</v>
      </c>
      <c r="U650" s="8">
        <v>0</v>
      </c>
      <c r="V650" s="20">
        <v>2</v>
      </c>
      <c r="W650" s="21" t="s">
        <v>16</v>
      </c>
    </row>
    <row r="651" spans="1:23" ht="45">
      <c r="A651" s="8" t="s">
        <v>2836</v>
      </c>
      <c r="B651" s="8" t="s">
        <v>671</v>
      </c>
      <c r="C651" s="8" t="s">
        <v>2197</v>
      </c>
      <c r="D651" s="8" t="s">
        <v>18</v>
      </c>
      <c r="E651" s="8" t="s">
        <v>151</v>
      </c>
      <c r="F651" s="8" t="s">
        <v>2325</v>
      </c>
      <c r="G651" s="8" t="s">
        <v>2835</v>
      </c>
      <c r="H651" s="8">
        <v>99</v>
      </c>
      <c r="I651" s="8">
        <v>5</v>
      </c>
      <c r="J651" s="8">
        <v>139034</v>
      </c>
      <c r="K651" s="9">
        <v>45230</v>
      </c>
      <c r="L651" s="9">
        <v>46997</v>
      </c>
      <c r="M651" s="8" t="s">
        <v>151</v>
      </c>
      <c r="P651" s="16" t="s">
        <v>635</v>
      </c>
      <c r="Q651" s="2" t="s">
        <v>16</v>
      </c>
      <c r="S651" s="8" t="s">
        <v>805</v>
      </c>
      <c r="T651" s="9">
        <v>47178</v>
      </c>
      <c r="U651" s="8">
        <v>0</v>
      </c>
      <c r="V651" s="20">
        <v>240</v>
      </c>
      <c r="W651" s="21" t="s">
        <v>16</v>
      </c>
    </row>
    <row r="652" spans="1:23" ht="45">
      <c r="A652" s="8" t="s">
        <v>2836</v>
      </c>
      <c r="B652" s="8" t="s">
        <v>671</v>
      </c>
      <c r="C652" s="8" t="s">
        <v>2197</v>
      </c>
      <c r="D652" s="8" t="s">
        <v>18</v>
      </c>
      <c r="E652" s="8" t="s">
        <v>151</v>
      </c>
      <c r="F652" s="8" t="s">
        <v>2325</v>
      </c>
      <c r="G652" s="8" t="s">
        <v>2835</v>
      </c>
      <c r="H652" s="8">
        <v>99</v>
      </c>
      <c r="I652" s="8">
        <v>94</v>
      </c>
      <c r="J652" s="8">
        <v>139036</v>
      </c>
      <c r="K652" s="9">
        <v>45279</v>
      </c>
      <c r="L652" s="9">
        <v>47058</v>
      </c>
      <c r="M652" s="8" t="s">
        <v>151</v>
      </c>
      <c r="P652" s="16" t="s">
        <v>635</v>
      </c>
      <c r="Q652" s="2" t="s">
        <v>16</v>
      </c>
      <c r="S652" s="8" t="s">
        <v>805</v>
      </c>
      <c r="T652" s="9">
        <v>47027</v>
      </c>
      <c r="U652" s="8">
        <v>0</v>
      </c>
      <c r="V652" s="20">
        <v>640</v>
      </c>
      <c r="W652" s="21" t="s">
        <v>16</v>
      </c>
    </row>
    <row r="653" spans="1:23" ht="45">
      <c r="A653" s="8" t="s">
        <v>2837</v>
      </c>
      <c r="B653" s="8" t="s">
        <v>672</v>
      </c>
      <c r="C653" s="8" t="s">
        <v>2197</v>
      </c>
      <c r="D653" s="8" t="s">
        <v>18</v>
      </c>
      <c r="E653" s="8" t="s">
        <v>151</v>
      </c>
      <c r="F653" s="8" t="s">
        <v>151</v>
      </c>
      <c r="G653" s="8" t="s">
        <v>2217</v>
      </c>
      <c r="H653" s="8">
        <v>5</v>
      </c>
      <c r="I653" s="8">
        <v>5</v>
      </c>
      <c r="J653" s="8" t="s">
        <v>673</v>
      </c>
      <c r="K653" s="9">
        <v>44172</v>
      </c>
      <c r="L653" s="9">
        <v>45170</v>
      </c>
      <c r="M653" s="8" t="s">
        <v>38</v>
      </c>
      <c r="P653" s="16" t="s">
        <v>635</v>
      </c>
      <c r="Q653" s="2" t="s">
        <v>16</v>
      </c>
      <c r="S653" s="8" t="s">
        <v>805</v>
      </c>
      <c r="T653" s="9">
        <v>47150</v>
      </c>
      <c r="U653" s="8">
        <v>0</v>
      </c>
      <c r="V653" s="20">
        <v>1760</v>
      </c>
      <c r="W653" s="21" t="s">
        <v>16</v>
      </c>
    </row>
    <row r="654" spans="1:23" ht="60">
      <c r="A654" s="8" t="s">
        <v>2838</v>
      </c>
      <c r="B654" s="8" t="s">
        <v>674</v>
      </c>
      <c r="C654" s="8" t="s">
        <v>2203</v>
      </c>
      <c r="D654" s="8" t="s">
        <v>18</v>
      </c>
      <c r="E654" s="8" t="s">
        <v>16</v>
      </c>
      <c r="F654" s="8" t="s">
        <v>2204</v>
      </c>
      <c r="G654" s="8" t="s">
        <v>2839</v>
      </c>
      <c r="H654" s="8">
        <v>5883</v>
      </c>
      <c r="I654" s="8">
        <v>5883</v>
      </c>
      <c r="J654" s="8">
        <v>30302023</v>
      </c>
      <c r="K654" s="9">
        <v>45161</v>
      </c>
      <c r="L654" s="9">
        <v>46813</v>
      </c>
      <c r="M654" s="8" t="s">
        <v>16</v>
      </c>
      <c r="P654" s="16" t="s">
        <v>639</v>
      </c>
      <c r="Q654" s="2" t="s">
        <v>16</v>
      </c>
      <c r="S654" s="8" t="s">
        <v>806</v>
      </c>
      <c r="T654" s="9">
        <v>46722</v>
      </c>
      <c r="U654" s="8">
        <v>0</v>
      </c>
      <c r="V654" s="20">
        <v>18</v>
      </c>
      <c r="W654" s="21" t="s">
        <v>16</v>
      </c>
    </row>
    <row r="655" spans="1:23" ht="60">
      <c r="A655" s="8" t="s">
        <v>2840</v>
      </c>
      <c r="B655" s="8" t="s">
        <v>675</v>
      </c>
      <c r="C655" s="8" t="s">
        <v>2197</v>
      </c>
      <c r="D655" s="8" t="s">
        <v>18</v>
      </c>
      <c r="E655" s="8" t="s">
        <v>151</v>
      </c>
      <c r="F655" s="8" t="s">
        <v>151</v>
      </c>
      <c r="G655" s="8" t="s">
        <v>2841</v>
      </c>
      <c r="H655" s="8">
        <v>877</v>
      </c>
      <c r="I655" s="8">
        <v>877</v>
      </c>
      <c r="J655" s="8">
        <v>153427</v>
      </c>
      <c r="K655" s="9">
        <v>45259</v>
      </c>
      <c r="L655" s="9">
        <v>46235</v>
      </c>
      <c r="M655" s="8" t="s">
        <v>16</v>
      </c>
      <c r="P655" s="16" t="s">
        <v>640</v>
      </c>
      <c r="Q655" s="2" t="s">
        <v>41</v>
      </c>
      <c r="S655" s="8" t="s">
        <v>806</v>
      </c>
      <c r="T655" s="9">
        <v>46753</v>
      </c>
      <c r="U655" s="8">
        <v>0</v>
      </c>
      <c r="V655" s="20">
        <v>200</v>
      </c>
      <c r="W655" s="21" t="s">
        <v>16</v>
      </c>
    </row>
    <row r="656" spans="1:23" ht="60">
      <c r="A656" s="8" t="s">
        <v>2842</v>
      </c>
      <c r="B656" s="8" t="s">
        <v>676</v>
      </c>
      <c r="C656" s="8" t="s">
        <v>2203</v>
      </c>
      <c r="D656" s="8" t="s">
        <v>18</v>
      </c>
      <c r="E656" s="8" t="s">
        <v>151</v>
      </c>
      <c r="F656" s="8" t="s">
        <v>151</v>
      </c>
      <c r="G656" s="8" t="s">
        <v>2843</v>
      </c>
      <c r="H656" s="8">
        <v>245</v>
      </c>
      <c r="I656" s="8">
        <v>245</v>
      </c>
      <c r="J656" s="8">
        <v>163337</v>
      </c>
      <c r="K656" s="9">
        <v>45264</v>
      </c>
      <c r="L656" s="9">
        <v>45901</v>
      </c>
      <c r="M656" s="8" t="s">
        <v>16</v>
      </c>
      <c r="P656" s="16" t="s">
        <v>641</v>
      </c>
      <c r="Q656" s="2" t="s">
        <v>16</v>
      </c>
      <c r="S656" s="8" t="s">
        <v>807</v>
      </c>
      <c r="T656" s="9">
        <v>46692</v>
      </c>
      <c r="U656" s="8">
        <v>0</v>
      </c>
      <c r="V656" s="20">
        <v>285</v>
      </c>
      <c r="W656" s="21" t="s">
        <v>16</v>
      </c>
    </row>
    <row r="657" spans="1:23" ht="60">
      <c r="A657" s="8" t="s">
        <v>2844</v>
      </c>
      <c r="B657" s="8" t="s">
        <v>677</v>
      </c>
      <c r="C657" s="8" t="s">
        <v>2197</v>
      </c>
      <c r="D657" s="8" t="s">
        <v>18</v>
      </c>
      <c r="E657" s="8" t="s">
        <v>151</v>
      </c>
      <c r="F657" s="8" t="s">
        <v>151</v>
      </c>
      <c r="G657" s="8" t="s">
        <v>2845</v>
      </c>
      <c r="H657" s="8">
        <v>160</v>
      </c>
      <c r="I657" s="8">
        <v>160</v>
      </c>
      <c r="J657" s="8">
        <v>93459</v>
      </c>
      <c r="K657" s="9">
        <v>45283</v>
      </c>
      <c r="L657" s="9">
        <v>46054</v>
      </c>
      <c r="M657" s="8" t="s">
        <v>16</v>
      </c>
      <c r="P657" s="16" t="s">
        <v>641</v>
      </c>
      <c r="Q657" s="2" t="s">
        <v>16</v>
      </c>
      <c r="S657" s="8" t="s">
        <v>808</v>
      </c>
      <c r="T657" s="9">
        <v>46082</v>
      </c>
      <c r="U657" s="8">
        <v>0</v>
      </c>
      <c r="V657" s="20">
        <v>1</v>
      </c>
      <c r="W657" s="21" t="s">
        <v>16</v>
      </c>
    </row>
    <row r="658" spans="1:23" ht="75">
      <c r="A658" s="8" t="s">
        <v>2846</v>
      </c>
      <c r="B658" s="8" t="s">
        <v>678</v>
      </c>
      <c r="C658" s="8" t="s">
        <v>2197</v>
      </c>
      <c r="D658" s="8" t="s">
        <v>18</v>
      </c>
      <c r="E658" s="8" t="s">
        <v>2217</v>
      </c>
      <c r="F658" s="8" t="s">
        <v>2217</v>
      </c>
      <c r="G658" s="8" t="s">
        <v>2217</v>
      </c>
      <c r="H658" s="8">
        <v>40</v>
      </c>
      <c r="I658" s="8">
        <v>40</v>
      </c>
      <c r="J658" s="8">
        <v>143405</v>
      </c>
      <c r="K658" s="9">
        <v>45255</v>
      </c>
      <c r="L658" s="9">
        <v>46204</v>
      </c>
      <c r="M658" s="8" t="s">
        <v>38</v>
      </c>
      <c r="P658" s="16" t="s">
        <v>641</v>
      </c>
      <c r="Q658" s="2" t="s">
        <v>16</v>
      </c>
      <c r="S658" s="8" t="s">
        <v>808</v>
      </c>
      <c r="T658" s="9">
        <v>46813</v>
      </c>
      <c r="U658" s="8">
        <v>0</v>
      </c>
      <c r="V658" s="20">
        <v>510</v>
      </c>
      <c r="W658" s="21" t="s">
        <v>16</v>
      </c>
    </row>
    <row r="659" spans="1:23" ht="45">
      <c r="A659" s="8" t="s">
        <v>2847</v>
      </c>
      <c r="B659" s="8" t="s">
        <v>679</v>
      </c>
      <c r="C659" s="8" t="s">
        <v>2197</v>
      </c>
      <c r="D659" s="8" t="s">
        <v>18</v>
      </c>
      <c r="E659" s="8" t="s">
        <v>151</v>
      </c>
      <c r="F659" s="8" t="s">
        <v>151</v>
      </c>
      <c r="G659" s="8" t="s">
        <v>2848</v>
      </c>
      <c r="H659" s="8">
        <v>860</v>
      </c>
      <c r="I659" s="8">
        <v>100</v>
      </c>
      <c r="J659" s="8">
        <v>173442</v>
      </c>
      <c r="K659" s="9">
        <v>45259</v>
      </c>
      <c r="L659" s="9">
        <v>46296</v>
      </c>
      <c r="M659" s="8" t="s">
        <v>16</v>
      </c>
      <c r="P659" s="16" t="s">
        <v>641</v>
      </c>
      <c r="Q659" s="2" t="s">
        <v>16</v>
      </c>
      <c r="S659" s="8" t="s">
        <v>809</v>
      </c>
      <c r="T659" s="9">
        <v>45200</v>
      </c>
      <c r="U659" s="8">
        <v>0</v>
      </c>
      <c r="V659" s="20">
        <v>4</v>
      </c>
      <c r="W659" s="21" t="s">
        <v>38</v>
      </c>
    </row>
    <row r="660" spans="1:23" ht="90">
      <c r="A660" s="8" t="s">
        <v>2847</v>
      </c>
      <c r="B660" s="8" t="s">
        <v>679</v>
      </c>
      <c r="C660" s="8" t="s">
        <v>2197</v>
      </c>
      <c r="D660" s="8" t="s">
        <v>18</v>
      </c>
      <c r="E660" s="8" t="s">
        <v>151</v>
      </c>
      <c r="F660" s="8" t="s">
        <v>151</v>
      </c>
      <c r="G660" s="8" t="s">
        <v>2848</v>
      </c>
      <c r="H660" s="8">
        <v>860</v>
      </c>
      <c r="I660" s="8">
        <v>760</v>
      </c>
      <c r="J660" s="8">
        <v>123480</v>
      </c>
      <c r="K660" s="9">
        <v>45222</v>
      </c>
      <c r="L660" s="9">
        <v>46143</v>
      </c>
      <c r="M660" s="8" t="s">
        <v>16</v>
      </c>
      <c r="P660" s="16" t="s">
        <v>641</v>
      </c>
      <c r="Q660" s="2" t="s">
        <v>16</v>
      </c>
      <c r="S660" s="8" t="s">
        <v>810</v>
      </c>
      <c r="T660" s="9" t="s">
        <v>2222</v>
      </c>
      <c r="U660" s="8">
        <v>0</v>
      </c>
      <c r="V660" s="20">
        <v>8</v>
      </c>
      <c r="W660" s="21" t="s">
        <v>38</v>
      </c>
    </row>
    <row r="661" spans="1:23" ht="90">
      <c r="A661" s="8" t="s">
        <v>2849</v>
      </c>
      <c r="B661" s="8" t="s">
        <v>680</v>
      </c>
      <c r="C661" s="8" t="s">
        <v>2197</v>
      </c>
      <c r="D661" s="8" t="s">
        <v>18</v>
      </c>
      <c r="E661" s="8" t="s">
        <v>151</v>
      </c>
      <c r="F661" s="8" t="s">
        <v>151</v>
      </c>
      <c r="G661" s="8" t="s">
        <v>2850</v>
      </c>
      <c r="H661" s="8">
        <v>510</v>
      </c>
      <c r="I661" s="8">
        <v>120</v>
      </c>
      <c r="J661" s="8">
        <v>123463</v>
      </c>
      <c r="K661" s="9">
        <v>45261</v>
      </c>
      <c r="L661" s="9">
        <v>46143</v>
      </c>
      <c r="M661" s="8" t="s">
        <v>16</v>
      </c>
      <c r="P661" s="16" t="s">
        <v>642</v>
      </c>
      <c r="Q661" s="2" t="s">
        <v>16</v>
      </c>
      <c r="S661" s="8" t="s">
        <v>811</v>
      </c>
      <c r="T661" s="9">
        <v>46023</v>
      </c>
      <c r="U661" s="8">
        <v>0</v>
      </c>
      <c r="V661" s="20">
        <v>2800</v>
      </c>
      <c r="W661" s="21" t="s">
        <v>151</v>
      </c>
    </row>
    <row r="662" spans="1:23" ht="45">
      <c r="A662" s="8" t="s">
        <v>2849</v>
      </c>
      <c r="B662" s="8" t="s">
        <v>680</v>
      </c>
      <c r="C662" s="8" t="s">
        <v>2197</v>
      </c>
      <c r="D662" s="8" t="s">
        <v>18</v>
      </c>
      <c r="E662" s="8" t="s">
        <v>151</v>
      </c>
      <c r="F662" s="8" t="s">
        <v>151</v>
      </c>
      <c r="G662" s="8" t="s">
        <v>2850</v>
      </c>
      <c r="H662" s="8">
        <v>510</v>
      </c>
      <c r="I662" s="8">
        <v>390</v>
      </c>
      <c r="J662" s="8">
        <v>193350</v>
      </c>
      <c r="K662" s="9">
        <v>45227</v>
      </c>
      <c r="L662" s="9">
        <v>45992</v>
      </c>
      <c r="M662" s="8" t="s">
        <v>16</v>
      </c>
      <c r="P662" s="16" t="s">
        <v>642</v>
      </c>
      <c r="Q662" s="2" t="s">
        <v>16</v>
      </c>
      <c r="S662" s="8" t="s">
        <v>812</v>
      </c>
      <c r="T662" s="9">
        <v>47058</v>
      </c>
      <c r="U662" s="8">
        <v>0</v>
      </c>
      <c r="V662" s="20">
        <v>128</v>
      </c>
      <c r="W662" s="21" t="s">
        <v>16</v>
      </c>
    </row>
    <row r="663" spans="1:23" ht="45">
      <c r="A663" s="8" t="s">
        <v>2851</v>
      </c>
      <c r="B663" s="8" t="s">
        <v>681</v>
      </c>
      <c r="C663" s="8" t="s">
        <v>2203</v>
      </c>
      <c r="D663" s="8" t="s">
        <v>18</v>
      </c>
      <c r="E663" s="8" t="s">
        <v>151</v>
      </c>
      <c r="F663" s="8" t="s">
        <v>151</v>
      </c>
      <c r="G663" s="8" t="s">
        <v>2852</v>
      </c>
      <c r="H663" s="8">
        <v>3150</v>
      </c>
      <c r="I663" s="8">
        <v>3150</v>
      </c>
      <c r="J663" s="8" t="s">
        <v>682</v>
      </c>
      <c r="K663" s="9">
        <v>45287</v>
      </c>
      <c r="L663" s="9">
        <v>46813</v>
      </c>
      <c r="M663" s="8" t="s">
        <v>151</v>
      </c>
      <c r="P663" s="16" t="s">
        <v>642</v>
      </c>
      <c r="Q663" s="2" t="s">
        <v>16</v>
      </c>
      <c r="S663" s="8" t="s">
        <v>812</v>
      </c>
      <c r="T663" s="9">
        <v>47178</v>
      </c>
      <c r="U663" s="8">
        <v>0</v>
      </c>
      <c r="V663" s="20">
        <v>800</v>
      </c>
      <c r="W663" s="21" t="s">
        <v>16</v>
      </c>
    </row>
    <row r="664" spans="1:23" ht="60">
      <c r="A664" s="8" t="s">
        <v>2853</v>
      </c>
      <c r="B664" s="8" t="s">
        <v>683</v>
      </c>
      <c r="C664" s="8" t="s">
        <v>2197</v>
      </c>
      <c r="D664" s="8" t="s">
        <v>18</v>
      </c>
      <c r="E664" s="8" t="s">
        <v>151</v>
      </c>
      <c r="F664" s="8" t="s">
        <v>151</v>
      </c>
      <c r="G664" s="8" t="s">
        <v>2854</v>
      </c>
      <c r="H664" s="8">
        <v>119</v>
      </c>
      <c r="I664" s="8">
        <v>119</v>
      </c>
      <c r="J664" s="8">
        <v>83530</v>
      </c>
      <c r="K664" s="9">
        <v>45348</v>
      </c>
      <c r="L664" s="9">
        <v>46722</v>
      </c>
      <c r="M664" s="8" t="s">
        <v>16</v>
      </c>
      <c r="P664" s="16" t="s">
        <v>643</v>
      </c>
      <c r="Q664" s="2" t="s">
        <v>16</v>
      </c>
      <c r="S664" s="8" t="s">
        <v>813</v>
      </c>
      <c r="T664" s="9">
        <v>46874</v>
      </c>
      <c r="U664" s="8">
        <v>0</v>
      </c>
      <c r="V664" s="20">
        <v>430</v>
      </c>
      <c r="W664" s="21" t="s">
        <v>16</v>
      </c>
    </row>
    <row r="665" spans="1:23" ht="48.75">
      <c r="A665" s="8" t="s">
        <v>2855</v>
      </c>
      <c r="B665" s="8" t="s">
        <v>684</v>
      </c>
      <c r="C665" s="8" t="s">
        <v>2197</v>
      </c>
      <c r="D665" s="8" t="s">
        <v>18</v>
      </c>
      <c r="E665" s="8" t="s">
        <v>151</v>
      </c>
      <c r="F665" s="8" t="s">
        <v>151</v>
      </c>
      <c r="G665" s="8" t="s">
        <v>2856</v>
      </c>
      <c r="H665" s="8">
        <v>440</v>
      </c>
      <c r="I665" s="8">
        <v>140</v>
      </c>
      <c r="J665" s="8">
        <v>1833098</v>
      </c>
      <c r="K665" s="9">
        <v>45227</v>
      </c>
      <c r="L665" s="9">
        <v>45962</v>
      </c>
      <c r="M665" s="8" t="s">
        <v>16</v>
      </c>
      <c r="P665" s="16" t="s">
        <v>645</v>
      </c>
      <c r="Q665" s="2" t="s">
        <v>16</v>
      </c>
      <c r="S665" s="8" t="s">
        <v>813</v>
      </c>
      <c r="T665" s="9">
        <v>46966</v>
      </c>
      <c r="U665" s="8">
        <v>0</v>
      </c>
      <c r="V665" s="20">
        <v>1000</v>
      </c>
      <c r="W665" s="21" t="s">
        <v>16</v>
      </c>
    </row>
    <row r="666" spans="1:23" ht="48.75">
      <c r="A666" s="8" t="s">
        <v>2855</v>
      </c>
      <c r="B666" s="8" t="s">
        <v>684</v>
      </c>
      <c r="C666" s="8" t="s">
        <v>2197</v>
      </c>
      <c r="D666" s="8" t="s">
        <v>18</v>
      </c>
      <c r="E666" s="8" t="s">
        <v>151</v>
      </c>
      <c r="F666" s="8" t="s">
        <v>151</v>
      </c>
      <c r="G666" s="8" t="s">
        <v>2856</v>
      </c>
      <c r="H666" s="8">
        <v>440</v>
      </c>
      <c r="I666" s="8">
        <v>300</v>
      </c>
      <c r="J666" s="8">
        <v>153916</v>
      </c>
      <c r="K666" s="9">
        <v>45227</v>
      </c>
      <c r="L666" s="9">
        <v>46235</v>
      </c>
      <c r="M666" s="8" t="s">
        <v>16</v>
      </c>
      <c r="P666" s="16" t="s">
        <v>647</v>
      </c>
      <c r="Q666" s="2" t="s">
        <v>16</v>
      </c>
      <c r="S666" s="8" t="s">
        <v>814</v>
      </c>
      <c r="T666" s="9">
        <v>46661</v>
      </c>
      <c r="U666" s="8">
        <v>0</v>
      </c>
      <c r="V666" s="20">
        <v>340</v>
      </c>
      <c r="W666" s="21" t="s">
        <v>16</v>
      </c>
    </row>
    <row r="667" spans="1:23" ht="75">
      <c r="A667" s="8" t="s">
        <v>2857</v>
      </c>
      <c r="B667" s="8" t="s">
        <v>685</v>
      </c>
      <c r="C667" s="8" t="s">
        <v>2197</v>
      </c>
      <c r="D667" s="8" t="s">
        <v>18</v>
      </c>
      <c r="E667" s="8" t="s">
        <v>16</v>
      </c>
      <c r="F667" s="8" t="s">
        <v>2198</v>
      </c>
      <c r="G667" s="8" t="s">
        <v>2858</v>
      </c>
      <c r="H667" s="8">
        <v>739</v>
      </c>
      <c r="I667" s="8">
        <v>149</v>
      </c>
      <c r="J667" s="8">
        <v>24143201</v>
      </c>
      <c r="K667" s="9">
        <v>45206</v>
      </c>
      <c r="L667" s="9">
        <v>46143</v>
      </c>
      <c r="M667" s="8" t="s">
        <v>16</v>
      </c>
      <c r="P667" s="16" t="s">
        <v>648</v>
      </c>
      <c r="Q667" s="2" t="s">
        <v>16</v>
      </c>
      <c r="S667" s="8" t="s">
        <v>816</v>
      </c>
      <c r="T667" s="9">
        <v>45658</v>
      </c>
      <c r="U667" s="8">
        <v>0</v>
      </c>
      <c r="V667" s="20">
        <v>60</v>
      </c>
      <c r="W667" s="21" t="s">
        <v>16</v>
      </c>
    </row>
    <row r="668" spans="1:23" ht="75">
      <c r="A668" s="8" t="s">
        <v>2857</v>
      </c>
      <c r="B668" s="8" t="s">
        <v>685</v>
      </c>
      <c r="C668" s="8" t="s">
        <v>2197</v>
      </c>
      <c r="D668" s="8" t="s">
        <v>18</v>
      </c>
      <c r="E668" s="8" t="s">
        <v>16</v>
      </c>
      <c r="F668" s="8" t="s">
        <v>2198</v>
      </c>
      <c r="G668" s="8" t="s">
        <v>2858</v>
      </c>
      <c r="H668" s="8">
        <v>739</v>
      </c>
      <c r="I668" s="8">
        <v>590</v>
      </c>
      <c r="J668" s="8">
        <v>24173201</v>
      </c>
      <c r="K668" s="9">
        <v>45206</v>
      </c>
      <c r="L668" s="9">
        <v>46235</v>
      </c>
      <c r="M668" s="8" t="s">
        <v>16</v>
      </c>
      <c r="P668" s="16" t="s">
        <v>649</v>
      </c>
      <c r="Q668" s="2" t="s">
        <v>16</v>
      </c>
      <c r="S668" s="8" t="s">
        <v>816</v>
      </c>
      <c r="T668" s="9">
        <v>46388</v>
      </c>
      <c r="U668" s="8">
        <v>0</v>
      </c>
      <c r="V668" s="20">
        <v>400</v>
      </c>
      <c r="W668" s="21" t="s">
        <v>16</v>
      </c>
    </row>
    <row r="669" spans="1:23" ht="90">
      <c r="A669" s="8" t="s">
        <v>2859</v>
      </c>
      <c r="B669" s="8" t="s">
        <v>686</v>
      </c>
      <c r="C669" s="8" t="s">
        <v>2197</v>
      </c>
      <c r="D669" s="8" t="s">
        <v>18</v>
      </c>
      <c r="E669" s="8" t="s">
        <v>16</v>
      </c>
      <c r="F669" s="8" t="s">
        <v>2198</v>
      </c>
      <c r="G669" s="8" t="s">
        <v>2858</v>
      </c>
      <c r="H669" s="8">
        <v>419</v>
      </c>
      <c r="I669" s="8">
        <v>419</v>
      </c>
      <c r="J669" s="8">
        <v>12193201</v>
      </c>
      <c r="K669" s="9">
        <v>45222</v>
      </c>
      <c r="L669" s="9">
        <v>46296</v>
      </c>
      <c r="M669" s="8" t="s">
        <v>16</v>
      </c>
      <c r="P669" s="16" t="s">
        <v>649</v>
      </c>
      <c r="Q669" s="2" t="s">
        <v>16</v>
      </c>
      <c r="S669" s="8" t="s">
        <v>818</v>
      </c>
      <c r="T669" s="9" t="s">
        <v>2222</v>
      </c>
      <c r="U669" s="8">
        <v>0</v>
      </c>
      <c r="V669" s="20">
        <v>5</v>
      </c>
      <c r="W669" s="21" t="s">
        <v>43</v>
      </c>
    </row>
    <row r="670" spans="1:23" ht="60">
      <c r="A670" s="8" t="s">
        <v>2860</v>
      </c>
      <c r="B670" s="8" t="s">
        <v>687</v>
      </c>
      <c r="C670" s="8" t="s">
        <v>2197</v>
      </c>
      <c r="D670" s="8" t="s">
        <v>18</v>
      </c>
      <c r="E670" s="8" t="s">
        <v>16</v>
      </c>
      <c r="F670" s="8" t="s">
        <v>2198</v>
      </c>
      <c r="G670" s="8" t="s">
        <v>2858</v>
      </c>
      <c r="H670" s="8">
        <v>1397</v>
      </c>
      <c r="I670" s="8">
        <v>147</v>
      </c>
      <c r="J670" s="8">
        <v>14183201</v>
      </c>
      <c r="K670" s="9">
        <v>45334</v>
      </c>
      <c r="L670" s="9">
        <v>46266</v>
      </c>
      <c r="M670" s="8" t="s">
        <v>16</v>
      </c>
      <c r="P670" s="16" t="s">
        <v>649</v>
      </c>
      <c r="Q670" s="2" t="s">
        <v>16</v>
      </c>
      <c r="S670" s="8" t="s">
        <v>819</v>
      </c>
      <c r="T670" s="9">
        <v>46692</v>
      </c>
      <c r="U670" s="8">
        <v>0</v>
      </c>
      <c r="V670" s="20">
        <v>20973</v>
      </c>
      <c r="W670" s="21" t="s">
        <v>16</v>
      </c>
    </row>
    <row r="671" spans="1:23" ht="75">
      <c r="A671" s="8" t="s">
        <v>2860</v>
      </c>
      <c r="B671" s="8" t="s">
        <v>687</v>
      </c>
      <c r="C671" s="8" t="s">
        <v>2197</v>
      </c>
      <c r="D671" s="8" t="s">
        <v>18</v>
      </c>
      <c r="E671" s="8" t="s">
        <v>16</v>
      </c>
      <c r="F671" s="8" t="s">
        <v>2198</v>
      </c>
      <c r="G671" s="8" t="s">
        <v>2858</v>
      </c>
      <c r="H671" s="8">
        <v>1397</v>
      </c>
      <c r="I671" s="8">
        <v>500</v>
      </c>
      <c r="J671" s="8">
        <v>36113301</v>
      </c>
      <c r="K671" s="9">
        <v>45436</v>
      </c>
      <c r="L671" s="9">
        <v>46419</v>
      </c>
      <c r="M671" s="8" t="s">
        <v>16</v>
      </c>
      <c r="P671" s="16" t="s">
        <v>650</v>
      </c>
      <c r="Q671" s="2" t="s">
        <v>16</v>
      </c>
      <c r="S671" s="8" t="s">
        <v>821</v>
      </c>
      <c r="T671" s="9">
        <v>47119</v>
      </c>
      <c r="U671" s="8">
        <v>0</v>
      </c>
      <c r="V671" s="20">
        <v>219</v>
      </c>
      <c r="W671" s="21" t="s">
        <v>151</v>
      </c>
    </row>
    <row r="672" spans="1:23" ht="60">
      <c r="A672" s="8" t="s">
        <v>2860</v>
      </c>
      <c r="B672" s="8" t="s">
        <v>687</v>
      </c>
      <c r="C672" s="8" t="s">
        <v>2197</v>
      </c>
      <c r="D672" s="8" t="s">
        <v>18</v>
      </c>
      <c r="E672" s="8" t="s">
        <v>16</v>
      </c>
      <c r="F672" s="8" t="s">
        <v>2198</v>
      </c>
      <c r="G672" s="8" t="s">
        <v>2858</v>
      </c>
      <c r="H672" s="8">
        <v>1397</v>
      </c>
      <c r="I672" s="8">
        <v>750</v>
      </c>
      <c r="J672" s="8">
        <v>17143301</v>
      </c>
      <c r="K672" s="9">
        <v>45436</v>
      </c>
      <c r="L672" s="9">
        <v>46419</v>
      </c>
      <c r="M672" s="8" t="s">
        <v>16</v>
      </c>
      <c r="P672" s="16" t="s">
        <v>650</v>
      </c>
      <c r="Q672" s="2" t="s">
        <v>16</v>
      </c>
      <c r="S672" s="8" t="s">
        <v>822</v>
      </c>
      <c r="T672" s="9" t="s">
        <v>2222</v>
      </c>
      <c r="U672" s="8">
        <v>0</v>
      </c>
      <c r="V672" s="20">
        <v>13</v>
      </c>
      <c r="W672" s="21" t="s">
        <v>38</v>
      </c>
    </row>
    <row r="673" spans="1:23" ht="60">
      <c r="A673" s="8" t="s">
        <v>2861</v>
      </c>
      <c r="B673" s="8" t="s">
        <v>688</v>
      </c>
      <c r="C673" s="8" t="s">
        <v>2197</v>
      </c>
      <c r="D673" s="8" t="s">
        <v>18</v>
      </c>
      <c r="E673" s="8" t="s">
        <v>16</v>
      </c>
      <c r="F673" s="8" t="s">
        <v>2198</v>
      </c>
      <c r="G673" s="8" t="s">
        <v>2862</v>
      </c>
      <c r="H673" s="8">
        <v>2261</v>
      </c>
      <c r="I673" s="8">
        <v>2261</v>
      </c>
      <c r="J673" s="8" t="s">
        <v>689</v>
      </c>
      <c r="K673" s="9">
        <v>44834</v>
      </c>
      <c r="L673" s="9">
        <v>46296</v>
      </c>
      <c r="M673" s="8" t="s">
        <v>16</v>
      </c>
      <c r="P673" s="16" t="s">
        <v>650</v>
      </c>
      <c r="Q673" s="2" t="s">
        <v>16</v>
      </c>
      <c r="S673" s="8" t="s">
        <v>823</v>
      </c>
      <c r="T673" s="9">
        <v>46905</v>
      </c>
      <c r="U673" s="8">
        <v>0</v>
      </c>
      <c r="V673" s="20">
        <v>480</v>
      </c>
      <c r="W673" s="21" t="s">
        <v>16</v>
      </c>
    </row>
    <row r="674" spans="1:23" ht="60">
      <c r="A674" s="8" t="s">
        <v>2863</v>
      </c>
      <c r="B674" s="8" t="s">
        <v>690</v>
      </c>
      <c r="C674" s="8" t="s">
        <v>2197</v>
      </c>
      <c r="D674" s="8" t="s">
        <v>18</v>
      </c>
      <c r="E674" s="8" t="s">
        <v>16</v>
      </c>
      <c r="F674" s="8" t="s">
        <v>2198</v>
      </c>
      <c r="G674" s="8" t="s">
        <v>2862</v>
      </c>
      <c r="H674" s="8">
        <v>1170</v>
      </c>
      <c r="I674" s="8">
        <v>3</v>
      </c>
      <c r="J674" s="8" t="s">
        <v>689</v>
      </c>
      <c r="K674" s="9">
        <v>44551</v>
      </c>
      <c r="L674" s="9">
        <v>46296</v>
      </c>
      <c r="M674" s="8" t="s">
        <v>16</v>
      </c>
      <c r="P674" s="16" t="s">
        <v>651</v>
      </c>
      <c r="Q674" s="2" t="s">
        <v>16</v>
      </c>
      <c r="S674" s="8" t="s">
        <v>824</v>
      </c>
      <c r="T674" s="9">
        <v>46174</v>
      </c>
      <c r="U674" s="8">
        <v>0</v>
      </c>
      <c r="V674" s="20">
        <v>432</v>
      </c>
      <c r="W674" s="21" t="s">
        <v>16</v>
      </c>
    </row>
    <row r="675" spans="1:23" ht="60">
      <c r="A675" s="8" t="s">
        <v>2863</v>
      </c>
      <c r="B675" s="8" t="s">
        <v>690</v>
      </c>
      <c r="C675" s="8" t="s">
        <v>2197</v>
      </c>
      <c r="D675" s="8" t="s">
        <v>18</v>
      </c>
      <c r="E675" s="8" t="s">
        <v>16</v>
      </c>
      <c r="F675" s="8" t="s">
        <v>2198</v>
      </c>
      <c r="G675" s="8" t="s">
        <v>2862</v>
      </c>
      <c r="H675" s="8">
        <v>1170</v>
      </c>
      <c r="I675" s="8">
        <v>80</v>
      </c>
      <c r="J675" s="8" t="s">
        <v>691</v>
      </c>
      <c r="K675" s="9">
        <v>45146</v>
      </c>
      <c r="L675" s="9">
        <v>46905</v>
      </c>
      <c r="M675" s="8" t="s">
        <v>16</v>
      </c>
      <c r="P675" s="16" t="s">
        <v>651</v>
      </c>
      <c r="Q675" s="2" t="s">
        <v>16</v>
      </c>
      <c r="S675" s="8" t="s">
        <v>825</v>
      </c>
      <c r="T675" s="9">
        <v>46478</v>
      </c>
      <c r="U675" s="8">
        <v>0</v>
      </c>
      <c r="V675" s="20">
        <v>100</v>
      </c>
      <c r="W675" s="21" t="s">
        <v>16</v>
      </c>
    </row>
    <row r="676" spans="1:23" ht="60">
      <c r="A676" s="8" t="s">
        <v>2863</v>
      </c>
      <c r="B676" s="8" t="s">
        <v>690</v>
      </c>
      <c r="C676" s="8" t="s">
        <v>2197</v>
      </c>
      <c r="D676" s="8" t="s">
        <v>18</v>
      </c>
      <c r="E676" s="8" t="s">
        <v>16</v>
      </c>
      <c r="F676" s="8" t="s">
        <v>2198</v>
      </c>
      <c r="G676" s="8" t="s">
        <v>2862</v>
      </c>
      <c r="H676" s="8">
        <v>1170</v>
      </c>
      <c r="I676" s="8">
        <v>1087</v>
      </c>
      <c r="J676" s="8" t="s">
        <v>692</v>
      </c>
      <c r="K676" s="9">
        <v>45308</v>
      </c>
      <c r="L676" s="9">
        <v>46905</v>
      </c>
      <c r="M676" s="8" t="s">
        <v>16</v>
      </c>
      <c r="P676" s="16" t="s">
        <v>652</v>
      </c>
      <c r="Q676" s="2" t="s">
        <v>16</v>
      </c>
      <c r="S676" s="8" t="s">
        <v>825</v>
      </c>
      <c r="T676" s="9">
        <v>46447</v>
      </c>
      <c r="U676" s="8">
        <v>0</v>
      </c>
      <c r="V676" s="20">
        <v>47900</v>
      </c>
      <c r="W676" s="21" t="s">
        <v>16</v>
      </c>
    </row>
    <row r="677" spans="1:23" ht="60">
      <c r="A677" s="8" t="s">
        <v>2864</v>
      </c>
      <c r="B677" s="8" t="s">
        <v>693</v>
      </c>
      <c r="C677" s="8" t="s">
        <v>2197</v>
      </c>
      <c r="D677" s="8" t="s">
        <v>18</v>
      </c>
      <c r="E677" s="8" t="s">
        <v>16</v>
      </c>
      <c r="F677" s="8" t="s">
        <v>2198</v>
      </c>
      <c r="G677" s="8" t="s">
        <v>2862</v>
      </c>
      <c r="H677" s="8">
        <v>2008</v>
      </c>
      <c r="I677" s="8">
        <v>2008</v>
      </c>
      <c r="J677" s="8" t="s">
        <v>694</v>
      </c>
      <c r="K677" s="9">
        <v>45308</v>
      </c>
      <c r="L677" s="9">
        <v>47027</v>
      </c>
      <c r="M677" s="8" t="s">
        <v>16</v>
      </c>
      <c r="P677" s="16" t="s">
        <v>652</v>
      </c>
      <c r="Q677" s="2" t="s">
        <v>16</v>
      </c>
      <c r="S677" s="8" t="s">
        <v>825</v>
      </c>
      <c r="T677" s="9">
        <v>46419</v>
      </c>
      <c r="U677" s="8">
        <v>0</v>
      </c>
      <c r="V677" s="20">
        <v>78294</v>
      </c>
      <c r="W677" s="21" t="s">
        <v>16</v>
      </c>
    </row>
    <row r="678" spans="1:23" ht="60">
      <c r="A678" s="8" t="s">
        <v>2865</v>
      </c>
      <c r="B678" s="8" t="s">
        <v>695</v>
      </c>
      <c r="C678" s="8" t="s">
        <v>2203</v>
      </c>
      <c r="D678" s="8" t="s">
        <v>18</v>
      </c>
      <c r="E678" s="8" t="s">
        <v>151</v>
      </c>
      <c r="F678" s="8" t="s">
        <v>2866</v>
      </c>
      <c r="G678" s="8" t="s">
        <v>2867</v>
      </c>
      <c r="H678" s="8">
        <v>135288</v>
      </c>
      <c r="I678" s="8">
        <v>8</v>
      </c>
      <c r="J678" s="8" t="s">
        <v>696</v>
      </c>
      <c r="K678" s="9">
        <v>45278</v>
      </c>
      <c r="L678" s="9">
        <v>46235</v>
      </c>
      <c r="M678" s="8" t="s">
        <v>151</v>
      </c>
      <c r="P678" s="16" t="s">
        <v>652</v>
      </c>
      <c r="Q678" s="2" t="s">
        <v>16</v>
      </c>
      <c r="S678" s="8" t="s">
        <v>833</v>
      </c>
      <c r="T678" s="9" t="s">
        <v>2222</v>
      </c>
      <c r="U678" s="8">
        <v>0</v>
      </c>
      <c r="V678" s="20">
        <v>10098</v>
      </c>
      <c r="W678" s="21" t="s">
        <v>16</v>
      </c>
    </row>
    <row r="679" spans="1:23" ht="48.75">
      <c r="A679" s="8" t="s">
        <v>2865</v>
      </c>
      <c r="B679" s="8" t="s">
        <v>695</v>
      </c>
      <c r="C679" s="8" t="s">
        <v>2203</v>
      </c>
      <c r="D679" s="8" t="s">
        <v>18</v>
      </c>
      <c r="E679" s="8" t="s">
        <v>151</v>
      </c>
      <c r="F679" s="8" t="s">
        <v>2866</v>
      </c>
      <c r="G679" s="8" t="s">
        <v>2867</v>
      </c>
      <c r="H679" s="8">
        <v>135288</v>
      </c>
      <c r="I679" s="8">
        <v>7200</v>
      </c>
      <c r="J679" s="8" t="s">
        <v>697</v>
      </c>
      <c r="K679" s="9">
        <v>45463</v>
      </c>
      <c r="L679" s="9">
        <v>46388</v>
      </c>
      <c r="M679" s="8" t="s">
        <v>151</v>
      </c>
      <c r="P679" s="16" t="s">
        <v>653</v>
      </c>
      <c r="Q679" s="2" t="s">
        <v>16</v>
      </c>
      <c r="S679" s="8" t="s">
        <v>834</v>
      </c>
      <c r="T679" s="9">
        <v>46661</v>
      </c>
      <c r="U679" s="8">
        <v>0</v>
      </c>
      <c r="V679" s="20">
        <v>10</v>
      </c>
      <c r="W679" s="21" t="s">
        <v>16</v>
      </c>
    </row>
    <row r="680" spans="1:23" ht="48.75">
      <c r="A680" s="8" t="s">
        <v>2865</v>
      </c>
      <c r="B680" s="8" t="s">
        <v>695</v>
      </c>
      <c r="C680" s="8" t="s">
        <v>2203</v>
      </c>
      <c r="D680" s="8" t="s">
        <v>18</v>
      </c>
      <c r="E680" s="8" t="s">
        <v>151</v>
      </c>
      <c r="F680" s="8" t="s">
        <v>2866</v>
      </c>
      <c r="G680" s="8" t="s">
        <v>2867</v>
      </c>
      <c r="H680" s="8">
        <v>135288</v>
      </c>
      <c r="I680" s="8">
        <v>14400</v>
      </c>
      <c r="J680" s="8" t="s">
        <v>698</v>
      </c>
      <c r="K680" s="9">
        <v>45439</v>
      </c>
      <c r="L680" s="9">
        <v>46296</v>
      </c>
      <c r="M680" s="8" t="s">
        <v>151</v>
      </c>
      <c r="P680" s="16" t="s">
        <v>655</v>
      </c>
      <c r="Q680" s="2" t="s">
        <v>16</v>
      </c>
      <c r="S680" s="8" t="s">
        <v>834</v>
      </c>
      <c r="T680" s="9">
        <v>46478</v>
      </c>
      <c r="U680" s="8">
        <v>0</v>
      </c>
      <c r="V680" s="20">
        <v>250</v>
      </c>
      <c r="W680" s="21" t="s">
        <v>16</v>
      </c>
    </row>
    <row r="681" spans="1:23" ht="105">
      <c r="A681" s="8" t="s">
        <v>2865</v>
      </c>
      <c r="B681" s="8" t="s">
        <v>695</v>
      </c>
      <c r="C681" s="8" t="s">
        <v>2203</v>
      </c>
      <c r="D681" s="8" t="s">
        <v>18</v>
      </c>
      <c r="E681" s="8" t="s">
        <v>151</v>
      </c>
      <c r="F681" s="8" t="s">
        <v>2866</v>
      </c>
      <c r="G681" s="8" t="s">
        <v>2867</v>
      </c>
      <c r="H681" s="8">
        <v>135288</v>
      </c>
      <c r="I681" s="8">
        <v>14400</v>
      </c>
      <c r="J681" s="8" t="s">
        <v>699</v>
      </c>
      <c r="K681" s="9">
        <v>45463</v>
      </c>
      <c r="L681" s="9">
        <v>46388</v>
      </c>
      <c r="M681" s="8" t="s">
        <v>151</v>
      </c>
      <c r="P681" s="16" t="s">
        <v>656</v>
      </c>
      <c r="Q681" s="2" t="s">
        <v>16</v>
      </c>
      <c r="S681" s="8" t="s">
        <v>835</v>
      </c>
      <c r="T681" s="9" t="s">
        <v>2222</v>
      </c>
      <c r="U681" s="8">
        <v>0</v>
      </c>
      <c r="V681" s="20">
        <v>267</v>
      </c>
      <c r="W681" s="21" t="s">
        <v>101</v>
      </c>
    </row>
    <row r="682" spans="1:23" ht="45">
      <c r="A682" s="8" t="s">
        <v>2865</v>
      </c>
      <c r="B682" s="8" t="s">
        <v>695</v>
      </c>
      <c r="C682" s="8" t="s">
        <v>2203</v>
      </c>
      <c r="D682" s="8" t="s">
        <v>18</v>
      </c>
      <c r="E682" s="8" t="s">
        <v>151</v>
      </c>
      <c r="F682" s="8" t="s">
        <v>2866</v>
      </c>
      <c r="G682" s="8" t="s">
        <v>2867</v>
      </c>
      <c r="H682" s="8">
        <v>135288</v>
      </c>
      <c r="I682" s="8">
        <v>14400</v>
      </c>
      <c r="J682" s="8" t="s">
        <v>700</v>
      </c>
      <c r="K682" s="9">
        <v>45463</v>
      </c>
      <c r="L682" s="9">
        <v>46388</v>
      </c>
      <c r="M682" s="8" t="s">
        <v>151</v>
      </c>
      <c r="P682" s="16" t="s">
        <v>656</v>
      </c>
      <c r="Q682" s="2" t="s">
        <v>16</v>
      </c>
      <c r="S682" s="8" t="s">
        <v>1026</v>
      </c>
      <c r="T682" s="9" t="s">
        <v>2222</v>
      </c>
      <c r="U682" s="8">
        <v>0</v>
      </c>
      <c r="V682" s="20">
        <v>18</v>
      </c>
      <c r="W682" s="21" t="s">
        <v>43</v>
      </c>
    </row>
    <row r="683" spans="1:23" ht="45">
      <c r="A683" s="8" t="s">
        <v>2865</v>
      </c>
      <c r="B683" s="8" t="s">
        <v>695</v>
      </c>
      <c r="C683" s="8" t="s">
        <v>2203</v>
      </c>
      <c r="D683" s="8" t="s">
        <v>18</v>
      </c>
      <c r="E683" s="8" t="s">
        <v>151</v>
      </c>
      <c r="F683" s="8" t="s">
        <v>2866</v>
      </c>
      <c r="G683" s="8" t="s">
        <v>2867</v>
      </c>
      <c r="H683" s="8">
        <v>135288</v>
      </c>
      <c r="I683" s="8">
        <v>17630</v>
      </c>
      <c r="J683" s="8" t="s">
        <v>701</v>
      </c>
      <c r="K683" s="9">
        <v>45432</v>
      </c>
      <c r="L683" s="9">
        <v>46296</v>
      </c>
      <c r="M683" s="8" t="s">
        <v>151</v>
      </c>
      <c r="P683" s="16" t="s">
        <v>656</v>
      </c>
      <c r="Q683" s="2" t="s">
        <v>16</v>
      </c>
      <c r="S683" s="8" t="s">
        <v>1027</v>
      </c>
      <c r="T683" s="9" t="s">
        <v>2222</v>
      </c>
      <c r="U683" s="8">
        <v>0</v>
      </c>
      <c r="V683" s="20">
        <v>27</v>
      </c>
      <c r="W683" s="21" t="s">
        <v>43</v>
      </c>
    </row>
    <row r="684" spans="1:23" ht="45">
      <c r="A684" s="8" t="s">
        <v>2865</v>
      </c>
      <c r="B684" s="8" t="s">
        <v>695</v>
      </c>
      <c r="C684" s="8" t="s">
        <v>2203</v>
      </c>
      <c r="D684" s="8" t="s">
        <v>18</v>
      </c>
      <c r="E684" s="8" t="s">
        <v>151</v>
      </c>
      <c r="F684" s="8" t="s">
        <v>2866</v>
      </c>
      <c r="G684" s="8" t="s">
        <v>2867</v>
      </c>
      <c r="H684" s="8">
        <v>135288</v>
      </c>
      <c r="I684" s="8">
        <v>19298</v>
      </c>
      <c r="J684" s="8" t="s">
        <v>702</v>
      </c>
      <c r="K684" s="9">
        <v>45432</v>
      </c>
      <c r="L684" s="9">
        <v>46296</v>
      </c>
      <c r="M684" s="8" t="s">
        <v>151</v>
      </c>
      <c r="P684" s="16" t="s">
        <v>656</v>
      </c>
      <c r="Q684" s="2" t="s">
        <v>16</v>
      </c>
      <c r="S684" s="8" t="s">
        <v>1028</v>
      </c>
      <c r="T684" s="9" t="s">
        <v>2222</v>
      </c>
      <c r="U684" s="8">
        <v>0</v>
      </c>
      <c r="V684" s="20">
        <v>151</v>
      </c>
      <c r="W684" s="21" t="s">
        <v>43</v>
      </c>
    </row>
    <row r="685" spans="1:23" ht="45">
      <c r="A685" s="8" t="s">
        <v>2865</v>
      </c>
      <c r="B685" s="8" t="s">
        <v>695</v>
      </c>
      <c r="C685" s="8" t="s">
        <v>2203</v>
      </c>
      <c r="D685" s="8" t="s">
        <v>18</v>
      </c>
      <c r="E685" s="8" t="s">
        <v>151</v>
      </c>
      <c r="F685" s="8" t="s">
        <v>2866</v>
      </c>
      <c r="G685" s="8" t="s">
        <v>2867</v>
      </c>
      <c r="H685" s="8">
        <v>135288</v>
      </c>
      <c r="I685" s="8">
        <v>21600</v>
      </c>
      <c r="J685" s="8" t="s">
        <v>703</v>
      </c>
      <c r="K685" s="9">
        <v>45439</v>
      </c>
      <c r="L685" s="9">
        <v>46296</v>
      </c>
      <c r="M685" s="8" t="s">
        <v>151</v>
      </c>
      <c r="P685" s="16" t="s">
        <v>656</v>
      </c>
      <c r="Q685" s="2" t="s">
        <v>16</v>
      </c>
      <c r="S685" s="8" t="s">
        <v>1029</v>
      </c>
      <c r="T685" s="9" t="s">
        <v>2222</v>
      </c>
      <c r="U685" s="8">
        <v>0</v>
      </c>
      <c r="V685" s="20">
        <v>5</v>
      </c>
      <c r="W685" s="21" t="s">
        <v>43</v>
      </c>
    </row>
    <row r="686" spans="1:23" ht="60">
      <c r="A686" s="8" t="s">
        <v>2865</v>
      </c>
      <c r="B686" s="8" t="s">
        <v>695</v>
      </c>
      <c r="C686" s="8" t="s">
        <v>2203</v>
      </c>
      <c r="D686" s="8" t="s">
        <v>18</v>
      </c>
      <c r="E686" s="8" t="s">
        <v>151</v>
      </c>
      <c r="F686" s="8" t="s">
        <v>2866</v>
      </c>
      <c r="G686" s="8" t="s">
        <v>2867</v>
      </c>
      <c r="H686" s="8">
        <v>135288</v>
      </c>
      <c r="I686" s="8">
        <v>26352</v>
      </c>
      <c r="J686" s="8" t="s">
        <v>704</v>
      </c>
      <c r="K686" s="9">
        <v>45432</v>
      </c>
      <c r="L686" s="9">
        <v>46296</v>
      </c>
      <c r="M686" s="8" t="s">
        <v>151</v>
      </c>
      <c r="P686" s="16" t="s">
        <v>660</v>
      </c>
      <c r="Q686" s="2" t="s">
        <v>16</v>
      </c>
      <c r="S686" s="8" t="s">
        <v>1030</v>
      </c>
      <c r="T686" s="9" t="s">
        <v>2222</v>
      </c>
      <c r="U686" s="8">
        <v>0</v>
      </c>
      <c r="V686" s="20">
        <v>204</v>
      </c>
      <c r="W686" s="21" t="s">
        <v>43</v>
      </c>
    </row>
    <row r="687" spans="1:23" ht="45">
      <c r="A687" s="8" t="s">
        <v>2868</v>
      </c>
      <c r="B687" s="8" t="s">
        <v>705</v>
      </c>
      <c r="C687" s="8" t="s">
        <v>2203</v>
      </c>
      <c r="D687" s="8" t="s">
        <v>18</v>
      </c>
      <c r="E687" s="8" t="s">
        <v>151</v>
      </c>
      <c r="F687" s="8" t="s">
        <v>2866</v>
      </c>
      <c r="G687" s="8" t="s">
        <v>2867</v>
      </c>
      <c r="H687" s="8">
        <v>4318</v>
      </c>
      <c r="I687" s="8">
        <v>8</v>
      </c>
      <c r="J687" s="8" t="s">
        <v>706</v>
      </c>
      <c r="K687" s="9">
        <v>45439</v>
      </c>
      <c r="L687" s="9">
        <v>46478</v>
      </c>
      <c r="M687" s="8" t="s">
        <v>151</v>
      </c>
      <c r="P687" s="16" t="s">
        <v>660</v>
      </c>
      <c r="Q687" s="2" t="s">
        <v>16</v>
      </c>
      <c r="S687" s="8" t="s">
        <v>1031</v>
      </c>
      <c r="T687" s="9" t="s">
        <v>2222</v>
      </c>
      <c r="U687" s="8">
        <v>0</v>
      </c>
      <c r="V687" s="20">
        <v>538</v>
      </c>
      <c r="W687" s="21" t="s">
        <v>43</v>
      </c>
    </row>
    <row r="688" spans="1:23" ht="75">
      <c r="A688" s="8" t="s">
        <v>2868</v>
      </c>
      <c r="B688" s="8" t="s">
        <v>705</v>
      </c>
      <c r="C688" s="8" t="s">
        <v>2203</v>
      </c>
      <c r="D688" s="8" t="s">
        <v>18</v>
      </c>
      <c r="E688" s="8" t="s">
        <v>151</v>
      </c>
      <c r="F688" s="8" t="s">
        <v>2866</v>
      </c>
      <c r="G688" s="8" t="s">
        <v>2867</v>
      </c>
      <c r="H688" s="8">
        <v>4318</v>
      </c>
      <c r="I688" s="8">
        <v>14</v>
      </c>
      <c r="J688" s="8" t="s">
        <v>707</v>
      </c>
      <c r="K688" s="9">
        <v>45456</v>
      </c>
      <c r="L688" s="9">
        <v>46478</v>
      </c>
      <c r="M688" s="8" t="s">
        <v>151</v>
      </c>
      <c r="P688" s="16" t="s">
        <v>660</v>
      </c>
      <c r="Q688" s="2" t="s">
        <v>16</v>
      </c>
      <c r="S688" s="8" t="s">
        <v>1032</v>
      </c>
      <c r="T688" s="9" t="s">
        <v>2222</v>
      </c>
      <c r="U688" s="8">
        <v>0</v>
      </c>
      <c r="V688" s="20">
        <v>241</v>
      </c>
      <c r="W688" s="21" t="s">
        <v>43</v>
      </c>
    </row>
    <row r="689" spans="1:23" ht="75">
      <c r="A689" s="8" t="s">
        <v>2868</v>
      </c>
      <c r="B689" s="8" t="s">
        <v>705</v>
      </c>
      <c r="C689" s="8" t="s">
        <v>2203</v>
      </c>
      <c r="D689" s="8" t="s">
        <v>18</v>
      </c>
      <c r="E689" s="8" t="s">
        <v>151</v>
      </c>
      <c r="F689" s="8" t="s">
        <v>2866</v>
      </c>
      <c r="G689" s="8" t="s">
        <v>2867</v>
      </c>
      <c r="H689" s="8">
        <v>4318</v>
      </c>
      <c r="I689" s="8">
        <v>4296</v>
      </c>
      <c r="J689" s="8" t="s">
        <v>708</v>
      </c>
      <c r="K689" s="9">
        <v>45463</v>
      </c>
      <c r="L689" s="9">
        <v>46478</v>
      </c>
      <c r="M689" s="8" t="s">
        <v>151</v>
      </c>
      <c r="P689" s="16" t="s">
        <v>660</v>
      </c>
      <c r="Q689" s="2" t="s">
        <v>16</v>
      </c>
      <c r="S689" s="8" t="s">
        <v>1033</v>
      </c>
      <c r="T689" s="9" t="s">
        <v>2222</v>
      </c>
      <c r="U689" s="8">
        <v>0</v>
      </c>
      <c r="V689" s="20">
        <v>36</v>
      </c>
      <c r="W689" s="21" t="s">
        <v>43</v>
      </c>
    </row>
    <row r="690" spans="1:23" ht="75">
      <c r="A690" s="8" t="s">
        <v>2869</v>
      </c>
      <c r="B690" s="8" t="s">
        <v>709</v>
      </c>
      <c r="C690" s="8" t="s">
        <v>2203</v>
      </c>
      <c r="D690" s="8" t="s">
        <v>18</v>
      </c>
      <c r="E690" s="8" t="s">
        <v>151</v>
      </c>
      <c r="F690" s="8" t="s">
        <v>2866</v>
      </c>
      <c r="G690" s="8" t="s">
        <v>2870</v>
      </c>
      <c r="H690" s="8">
        <v>125933</v>
      </c>
      <c r="I690" s="8">
        <v>2160</v>
      </c>
      <c r="J690" s="8" t="s">
        <v>710</v>
      </c>
      <c r="K690" s="9">
        <v>45463</v>
      </c>
      <c r="L690" s="9">
        <v>46327</v>
      </c>
      <c r="M690" s="8" t="s">
        <v>151</v>
      </c>
      <c r="P690" s="16" t="s">
        <v>660</v>
      </c>
      <c r="Q690" s="2" t="s">
        <v>16</v>
      </c>
      <c r="S690" s="8" t="s">
        <v>1034</v>
      </c>
      <c r="T690" s="9" t="s">
        <v>2222</v>
      </c>
      <c r="U690" s="8">
        <v>0</v>
      </c>
      <c r="V690" s="20">
        <v>70</v>
      </c>
      <c r="W690" s="21" t="s">
        <v>43</v>
      </c>
    </row>
    <row r="691" spans="1:23" ht="45">
      <c r="A691" s="8" t="s">
        <v>2869</v>
      </c>
      <c r="B691" s="8" t="s">
        <v>709</v>
      </c>
      <c r="C691" s="8" t="s">
        <v>2203</v>
      </c>
      <c r="D691" s="8" t="s">
        <v>18</v>
      </c>
      <c r="E691" s="8" t="s">
        <v>151</v>
      </c>
      <c r="F691" s="8" t="s">
        <v>2866</v>
      </c>
      <c r="G691" s="8" t="s">
        <v>2870</v>
      </c>
      <c r="H691" s="8">
        <v>125933</v>
      </c>
      <c r="I691" s="8">
        <v>2160</v>
      </c>
      <c r="J691" s="8" t="s">
        <v>711</v>
      </c>
      <c r="K691" s="9">
        <v>45463</v>
      </c>
      <c r="L691" s="9">
        <v>46327</v>
      </c>
      <c r="M691" s="8" t="s">
        <v>151</v>
      </c>
      <c r="P691" s="16" t="s">
        <v>665</v>
      </c>
      <c r="Q691" s="2" t="s">
        <v>16</v>
      </c>
      <c r="S691" s="8" t="s">
        <v>1035</v>
      </c>
      <c r="T691" s="9" t="s">
        <v>2222</v>
      </c>
      <c r="U691" s="8">
        <v>0</v>
      </c>
      <c r="V691" s="20">
        <v>3</v>
      </c>
      <c r="W691" s="21" t="s">
        <v>43</v>
      </c>
    </row>
    <row r="692" spans="1:23" ht="75">
      <c r="A692" s="8" t="s">
        <v>2869</v>
      </c>
      <c r="B692" s="8" t="s">
        <v>709</v>
      </c>
      <c r="C692" s="8" t="s">
        <v>2203</v>
      </c>
      <c r="D692" s="8" t="s">
        <v>18</v>
      </c>
      <c r="E692" s="8" t="s">
        <v>151</v>
      </c>
      <c r="F692" s="8" t="s">
        <v>2866</v>
      </c>
      <c r="G692" s="8" t="s">
        <v>2870</v>
      </c>
      <c r="H692" s="8">
        <v>125933</v>
      </c>
      <c r="I692" s="8">
        <v>2736</v>
      </c>
      <c r="J692" s="8" t="s">
        <v>712</v>
      </c>
      <c r="K692" s="9">
        <v>45432</v>
      </c>
      <c r="L692" s="9">
        <v>46266</v>
      </c>
      <c r="M692" s="8" t="s">
        <v>151</v>
      </c>
      <c r="P692" s="16" t="s">
        <v>665</v>
      </c>
      <c r="Q692" s="2" t="s">
        <v>16</v>
      </c>
      <c r="S692" s="8" t="s">
        <v>1036</v>
      </c>
      <c r="T692" s="9">
        <v>46296</v>
      </c>
      <c r="U692" s="8">
        <v>0</v>
      </c>
      <c r="V692" s="20">
        <v>360</v>
      </c>
      <c r="W692" s="21" t="s">
        <v>16</v>
      </c>
    </row>
    <row r="693" spans="1:23" ht="75">
      <c r="A693" s="8" t="s">
        <v>2869</v>
      </c>
      <c r="B693" s="8" t="s">
        <v>709</v>
      </c>
      <c r="C693" s="8" t="s">
        <v>2203</v>
      </c>
      <c r="D693" s="8" t="s">
        <v>18</v>
      </c>
      <c r="E693" s="8" t="s">
        <v>151</v>
      </c>
      <c r="F693" s="8" t="s">
        <v>2866</v>
      </c>
      <c r="G693" s="8" t="s">
        <v>2870</v>
      </c>
      <c r="H693" s="8">
        <v>125933</v>
      </c>
      <c r="I693" s="8">
        <v>3600</v>
      </c>
      <c r="J693" s="8" t="s">
        <v>713</v>
      </c>
      <c r="K693" s="9">
        <v>45456</v>
      </c>
      <c r="L693" s="9">
        <v>46327</v>
      </c>
      <c r="M693" s="8" t="s">
        <v>151</v>
      </c>
      <c r="P693" s="16" t="s">
        <v>666</v>
      </c>
      <c r="Q693" s="2" t="s">
        <v>16</v>
      </c>
      <c r="S693" s="8" t="s">
        <v>1036</v>
      </c>
      <c r="T693" s="9">
        <v>46235</v>
      </c>
      <c r="U693" s="8">
        <v>0</v>
      </c>
      <c r="V693" s="20">
        <v>960</v>
      </c>
      <c r="W693" s="21" t="s">
        <v>16</v>
      </c>
    </row>
    <row r="694" spans="1:23" ht="75">
      <c r="A694" s="8" t="s">
        <v>2869</v>
      </c>
      <c r="B694" s="8" t="s">
        <v>709</v>
      </c>
      <c r="C694" s="8" t="s">
        <v>2203</v>
      </c>
      <c r="D694" s="8" t="s">
        <v>18</v>
      </c>
      <c r="E694" s="8" t="s">
        <v>151</v>
      </c>
      <c r="F694" s="8" t="s">
        <v>2866</v>
      </c>
      <c r="G694" s="8" t="s">
        <v>2870</v>
      </c>
      <c r="H694" s="8">
        <v>125933</v>
      </c>
      <c r="I694" s="8">
        <v>4320</v>
      </c>
      <c r="J694" s="8" t="s">
        <v>714</v>
      </c>
      <c r="K694" s="9">
        <v>45432</v>
      </c>
      <c r="L694" s="9">
        <v>46296</v>
      </c>
      <c r="M694" s="8" t="s">
        <v>151</v>
      </c>
      <c r="P694" s="16" t="s">
        <v>667</v>
      </c>
      <c r="Q694" s="2" t="s">
        <v>16</v>
      </c>
      <c r="S694" s="8" t="s">
        <v>1037</v>
      </c>
      <c r="T694" s="9">
        <v>46204</v>
      </c>
      <c r="U694" s="8">
        <v>0</v>
      </c>
      <c r="V694" s="20">
        <v>300</v>
      </c>
      <c r="W694" s="21" t="s">
        <v>16</v>
      </c>
    </row>
    <row r="695" spans="1:23" ht="75">
      <c r="A695" s="8" t="s">
        <v>2869</v>
      </c>
      <c r="B695" s="8" t="s">
        <v>709</v>
      </c>
      <c r="C695" s="8" t="s">
        <v>2203</v>
      </c>
      <c r="D695" s="8" t="s">
        <v>18</v>
      </c>
      <c r="E695" s="8" t="s">
        <v>151</v>
      </c>
      <c r="F695" s="8" t="s">
        <v>2866</v>
      </c>
      <c r="G695" s="8" t="s">
        <v>2870</v>
      </c>
      <c r="H695" s="8">
        <v>125933</v>
      </c>
      <c r="I695" s="8">
        <v>6192</v>
      </c>
      <c r="J695" s="8" t="s">
        <v>715</v>
      </c>
      <c r="K695" s="9">
        <v>45271</v>
      </c>
      <c r="L695" s="9">
        <v>46174</v>
      </c>
      <c r="M695" s="8" t="s">
        <v>151</v>
      </c>
      <c r="P695" s="16" t="s">
        <v>667</v>
      </c>
      <c r="Q695" s="2" t="s">
        <v>16</v>
      </c>
      <c r="S695" s="8" t="s">
        <v>1037</v>
      </c>
      <c r="T695" s="9">
        <v>46266</v>
      </c>
      <c r="U695" s="8">
        <v>0</v>
      </c>
      <c r="V695" s="20">
        <v>700</v>
      </c>
      <c r="W695" s="21" t="s">
        <v>16</v>
      </c>
    </row>
    <row r="696" spans="1:23" ht="45">
      <c r="A696" s="8" t="s">
        <v>2869</v>
      </c>
      <c r="B696" s="8" t="s">
        <v>709</v>
      </c>
      <c r="C696" s="8" t="s">
        <v>2203</v>
      </c>
      <c r="D696" s="8" t="s">
        <v>18</v>
      </c>
      <c r="E696" s="8" t="s">
        <v>151</v>
      </c>
      <c r="F696" s="8" t="s">
        <v>2866</v>
      </c>
      <c r="G696" s="8" t="s">
        <v>2870</v>
      </c>
      <c r="H696" s="8">
        <v>125933</v>
      </c>
      <c r="I696" s="8">
        <v>6480</v>
      </c>
      <c r="J696" s="8" t="s">
        <v>716</v>
      </c>
      <c r="K696" s="9">
        <v>45463</v>
      </c>
      <c r="L696" s="9">
        <v>46357</v>
      </c>
      <c r="M696" s="8" t="s">
        <v>151</v>
      </c>
      <c r="P696" s="16" t="s">
        <v>668</v>
      </c>
      <c r="Q696" s="2" t="s">
        <v>16</v>
      </c>
      <c r="S696" s="8" t="s">
        <v>1038</v>
      </c>
      <c r="T696" s="9" t="s">
        <v>2222</v>
      </c>
      <c r="U696" s="8">
        <v>0</v>
      </c>
      <c r="V696" s="20">
        <v>8</v>
      </c>
      <c r="W696" s="21" t="s">
        <v>41</v>
      </c>
    </row>
    <row r="697" spans="1:23" ht="60">
      <c r="A697" s="8" t="s">
        <v>2869</v>
      </c>
      <c r="B697" s="8" t="s">
        <v>709</v>
      </c>
      <c r="C697" s="8" t="s">
        <v>2203</v>
      </c>
      <c r="D697" s="8" t="s">
        <v>18</v>
      </c>
      <c r="E697" s="8" t="s">
        <v>151</v>
      </c>
      <c r="F697" s="8" t="s">
        <v>2866</v>
      </c>
      <c r="G697" s="8" t="s">
        <v>2870</v>
      </c>
      <c r="H697" s="8">
        <v>125933</v>
      </c>
      <c r="I697" s="8">
        <v>7200</v>
      </c>
      <c r="J697" s="8" t="s">
        <v>717</v>
      </c>
      <c r="K697" s="9">
        <v>45439</v>
      </c>
      <c r="L697" s="9">
        <v>46327</v>
      </c>
      <c r="M697" s="8" t="s">
        <v>151</v>
      </c>
      <c r="P697" s="16" t="s">
        <v>669</v>
      </c>
      <c r="Q697" s="2" t="s">
        <v>16</v>
      </c>
      <c r="S697" s="8" t="s">
        <v>1039</v>
      </c>
      <c r="T697" s="9">
        <v>46753</v>
      </c>
      <c r="U697" s="8">
        <v>0</v>
      </c>
      <c r="V697" s="20">
        <v>1</v>
      </c>
      <c r="W697" s="21" t="s">
        <v>16</v>
      </c>
    </row>
    <row r="698" spans="1:23" ht="60">
      <c r="A698" s="8" t="s">
        <v>2869</v>
      </c>
      <c r="B698" s="8" t="s">
        <v>709</v>
      </c>
      <c r="C698" s="8" t="s">
        <v>2203</v>
      </c>
      <c r="D698" s="8" t="s">
        <v>18</v>
      </c>
      <c r="E698" s="8" t="s">
        <v>151</v>
      </c>
      <c r="F698" s="8" t="s">
        <v>2866</v>
      </c>
      <c r="G698" s="8" t="s">
        <v>2870</v>
      </c>
      <c r="H698" s="8">
        <v>125933</v>
      </c>
      <c r="I698" s="8">
        <v>7200</v>
      </c>
      <c r="J698" s="8" t="s">
        <v>718</v>
      </c>
      <c r="K698" s="9">
        <v>45439</v>
      </c>
      <c r="L698" s="9">
        <v>46327</v>
      </c>
      <c r="M698" s="8" t="s">
        <v>151</v>
      </c>
      <c r="P698" s="16" t="s">
        <v>670</v>
      </c>
      <c r="Q698" s="2" t="s">
        <v>151</v>
      </c>
      <c r="S698" s="8" t="s">
        <v>1039</v>
      </c>
      <c r="T698" s="9">
        <v>47150</v>
      </c>
      <c r="U698" s="8">
        <v>0</v>
      </c>
      <c r="V698" s="20">
        <v>5</v>
      </c>
      <c r="W698" s="21" t="s">
        <v>16</v>
      </c>
    </row>
    <row r="699" spans="1:23" ht="60">
      <c r="A699" s="8" t="s">
        <v>2869</v>
      </c>
      <c r="B699" s="8" t="s">
        <v>709</v>
      </c>
      <c r="C699" s="8" t="s">
        <v>2203</v>
      </c>
      <c r="D699" s="8" t="s">
        <v>18</v>
      </c>
      <c r="E699" s="8" t="s">
        <v>151</v>
      </c>
      <c r="F699" s="8" t="s">
        <v>2866</v>
      </c>
      <c r="G699" s="8" t="s">
        <v>2870</v>
      </c>
      <c r="H699" s="8">
        <v>125933</v>
      </c>
      <c r="I699" s="8">
        <v>7200</v>
      </c>
      <c r="J699" s="8" t="s">
        <v>719</v>
      </c>
      <c r="K699" s="9">
        <v>45456</v>
      </c>
      <c r="L699" s="9">
        <v>46327</v>
      </c>
      <c r="M699" s="8" t="s">
        <v>151</v>
      </c>
      <c r="P699" s="16" t="s">
        <v>671</v>
      </c>
      <c r="Q699" s="2" t="s">
        <v>151</v>
      </c>
      <c r="S699" s="8" t="s">
        <v>1039</v>
      </c>
      <c r="T699" s="9">
        <v>47178</v>
      </c>
      <c r="U699" s="8">
        <v>0</v>
      </c>
      <c r="V699" s="20">
        <v>350</v>
      </c>
      <c r="W699" s="21" t="s">
        <v>16</v>
      </c>
    </row>
    <row r="700" spans="1:23" ht="75">
      <c r="A700" s="8" t="s">
        <v>2869</v>
      </c>
      <c r="B700" s="8" t="s">
        <v>709</v>
      </c>
      <c r="C700" s="8" t="s">
        <v>2203</v>
      </c>
      <c r="D700" s="8" t="s">
        <v>18</v>
      </c>
      <c r="E700" s="8" t="s">
        <v>151</v>
      </c>
      <c r="F700" s="8" t="s">
        <v>2866</v>
      </c>
      <c r="G700" s="8" t="s">
        <v>2870</v>
      </c>
      <c r="H700" s="8">
        <v>125933</v>
      </c>
      <c r="I700" s="8">
        <v>7200</v>
      </c>
      <c r="J700" s="8" t="s">
        <v>720</v>
      </c>
      <c r="K700" s="9">
        <v>45456</v>
      </c>
      <c r="L700" s="9">
        <v>46327</v>
      </c>
      <c r="M700" s="8" t="s">
        <v>151</v>
      </c>
      <c r="P700" s="16" t="s">
        <v>671</v>
      </c>
      <c r="Q700" s="2" t="s">
        <v>151</v>
      </c>
      <c r="S700" s="8" t="s">
        <v>1043</v>
      </c>
      <c r="T700" s="9">
        <v>47150</v>
      </c>
      <c r="U700" s="8">
        <v>0</v>
      </c>
      <c r="V700" s="20">
        <v>1</v>
      </c>
      <c r="W700" s="21" t="s">
        <v>16</v>
      </c>
    </row>
    <row r="701" spans="1:23" ht="75">
      <c r="A701" s="8" t="s">
        <v>2869</v>
      </c>
      <c r="B701" s="8" t="s">
        <v>709</v>
      </c>
      <c r="C701" s="8" t="s">
        <v>2203</v>
      </c>
      <c r="D701" s="8" t="s">
        <v>18</v>
      </c>
      <c r="E701" s="8" t="s">
        <v>151</v>
      </c>
      <c r="F701" s="8" t="s">
        <v>2866</v>
      </c>
      <c r="G701" s="8" t="s">
        <v>2870</v>
      </c>
      <c r="H701" s="8">
        <v>125933</v>
      </c>
      <c r="I701" s="8">
        <v>7200</v>
      </c>
      <c r="J701" s="8" t="s">
        <v>721</v>
      </c>
      <c r="K701" s="9">
        <v>45463</v>
      </c>
      <c r="L701" s="9">
        <v>46357</v>
      </c>
      <c r="M701" s="8" t="s">
        <v>151</v>
      </c>
      <c r="P701" s="16" t="s">
        <v>672</v>
      </c>
      <c r="Q701" s="2" t="s">
        <v>38</v>
      </c>
      <c r="S701" s="8" t="s">
        <v>1045</v>
      </c>
      <c r="T701" s="9">
        <v>46997</v>
      </c>
      <c r="U701" s="8">
        <v>0</v>
      </c>
      <c r="V701" s="20">
        <v>14</v>
      </c>
      <c r="W701" s="21" t="s">
        <v>16</v>
      </c>
    </row>
    <row r="702" spans="1:23" ht="75">
      <c r="A702" s="8" t="s">
        <v>2869</v>
      </c>
      <c r="B702" s="8" t="s">
        <v>709</v>
      </c>
      <c r="C702" s="8" t="s">
        <v>2203</v>
      </c>
      <c r="D702" s="8" t="s">
        <v>18</v>
      </c>
      <c r="E702" s="8" t="s">
        <v>151</v>
      </c>
      <c r="F702" s="8" t="s">
        <v>2866</v>
      </c>
      <c r="G702" s="8" t="s">
        <v>2870</v>
      </c>
      <c r="H702" s="8">
        <v>125933</v>
      </c>
      <c r="I702" s="8">
        <v>11741</v>
      </c>
      <c r="J702" s="8" t="s">
        <v>722</v>
      </c>
      <c r="K702" s="9">
        <v>45180</v>
      </c>
      <c r="L702" s="9">
        <v>46113</v>
      </c>
      <c r="M702" s="8" t="s">
        <v>151</v>
      </c>
      <c r="P702" s="16" t="s">
        <v>674</v>
      </c>
      <c r="Q702" s="2" t="s">
        <v>16</v>
      </c>
      <c r="S702" s="8" t="s">
        <v>1045</v>
      </c>
      <c r="T702" s="9">
        <v>47239</v>
      </c>
      <c r="U702" s="8">
        <v>0</v>
      </c>
      <c r="V702" s="20">
        <v>520</v>
      </c>
      <c r="W702" s="21" t="s">
        <v>16</v>
      </c>
    </row>
    <row r="703" spans="1:23" ht="75">
      <c r="A703" s="8" t="s">
        <v>2869</v>
      </c>
      <c r="B703" s="8" t="s">
        <v>709</v>
      </c>
      <c r="C703" s="8" t="s">
        <v>2203</v>
      </c>
      <c r="D703" s="8" t="s">
        <v>18</v>
      </c>
      <c r="E703" s="8" t="s">
        <v>151</v>
      </c>
      <c r="F703" s="8" t="s">
        <v>2866</v>
      </c>
      <c r="G703" s="8" t="s">
        <v>2870</v>
      </c>
      <c r="H703" s="8">
        <v>125933</v>
      </c>
      <c r="I703" s="8">
        <v>16848</v>
      </c>
      <c r="J703" s="8" t="s">
        <v>723</v>
      </c>
      <c r="K703" s="9">
        <v>45432</v>
      </c>
      <c r="L703" s="9">
        <v>46327</v>
      </c>
      <c r="M703" s="8" t="s">
        <v>151</v>
      </c>
      <c r="P703" s="16" t="s">
        <v>675</v>
      </c>
      <c r="Q703" s="2" t="s">
        <v>16</v>
      </c>
      <c r="S703" s="8" t="s">
        <v>1048</v>
      </c>
      <c r="T703" s="9">
        <v>47239</v>
      </c>
      <c r="U703" s="8">
        <v>0</v>
      </c>
      <c r="V703" s="20">
        <v>7569</v>
      </c>
      <c r="W703" s="21" t="s">
        <v>16</v>
      </c>
    </row>
    <row r="704" spans="1:23" ht="45">
      <c r="A704" s="8" t="s">
        <v>2869</v>
      </c>
      <c r="B704" s="8" t="s">
        <v>709</v>
      </c>
      <c r="C704" s="8" t="s">
        <v>2203</v>
      </c>
      <c r="D704" s="8" t="s">
        <v>18</v>
      </c>
      <c r="E704" s="8" t="s">
        <v>151</v>
      </c>
      <c r="F704" s="8" t="s">
        <v>2866</v>
      </c>
      <c r="G704" s="8" t="s">
        <v>2870</v>
      </c>
      <c r="H704" s="8">
        <v>125933</v>
      </c>
      <c r="I704" s="8">
        <v>16848</v>
      </c>
      <c r="J704" s="8" t="s">
        <v>724</v>
      </c>
      <c r="K704" s="9">
        <v>45432</v>
      </c>
      <c r="L704" s="9">
        <v>46327</v>
      </c>
      <c r="M704" s="8" t="s">
        <v>151</v>
      </c>
      <c r="P704" s="16" t="s">
        <v>676</v>
      </c>
      <c r="Q704" s="2" t="s">
        <v>16</v>
      </c>
      <c r="S704" s="8" t="s">
        <v>1050</v>
      </c>
      <c r="T704" s="9" t="s">
        <v>2222</v>
      </c>
      <c r="U704" s="8">
        <v>0</v>
      </c>
      <c r="V704" s="20">
        <v>4</v>
      </c>
      <c r="W704" s="21" t="s">
        <v>43</v>
      </c>
    </row>
    <row r="705" spans="1:23" ht="75">
      <c r="A705" s="8" t="s">
        <v>2869</v>
      </c>
      <c r="B705" s="8" t="s">
        <v>709</v>
      </c>
      <c r="C705" s="8" t="s">
        <v>2203</v>
      </c>
      <c r="D705" s="8" t="s">
        <v>18</v>
      </c>
      <c r="E705" s="8" t="s">
        <v>151</v>
      </c>
      <c r="F705" s="8" t="s">
        <v>2866</v>
      </c>
      <c r="G705" s="8" t="s">
        <v>2870</v>
      </c>
      <c r="H705" s="8">
        <v>125933</v>
      </c>
      <c r="I705" s="8">
        <v>16848</v>
      </c>
      <c r="J705" s="8" t="s">
        <v>725</v>
      </c>
      <c r="K705" s="9">
        <v>45432</v>
      </c>
      <c r="L705" s="9">
        <v>46327</v>
      </c>
      <c r="M705" s="8" t="s">
        <v>151</v>
      </c>
      <c r="P705" s="16" t="s">
        <v>677</v>
      </c>
      <c r="Q705" s="2" t="s">
        <v>16</v>
      </c>
      <c r="S705" s="8" t="s">
        <v>1055</v>
      </c>
      <c r="T705" s="9" t="s">
        <v>2222</v>
      </c>
      <c r="U705" s="8">
        <v>0</v>
      </c>
      <c r="V705" s="20">
        <v>1</v>
      </c>
      <c r="W705" s="21" t="s">
        <v>38</v>
      </c>
    </row>
    <row r="706" spans="1:23" ht="75">
      <c r="A706" s="8" t="s">
        <v>2871</v>
      </c>
      <c r="B706" s="8" t="s">
        <v>726</v>
      </c>
      <c r="C706" s="8" t="s">
        <v>2203</v>
      </c>
      <c r="D706" s="8" t="s">
        <v>18</v>
      </c>
      <c r="E706" s="8" t="s">
        <v>151</v>
      </c>
      <c r="F706" s="8" t="s">
        <v>2866</v>
      </c>
      <c r="G706" s="8" t="s">
        <v>2870</v>
      </c>
      <c r="H706" s="8">
        <v>1736</v>
      </c>
      <c r="I706" s="8">
        <v>8</v>
      </c>
      <c r="J706" s="8" t="s">
        <v>727</v>
      </c>
      <c r="K706" s="9">
        <v>45422</v>
      </c>
      <c r="L706" s="9">
        <v>46419</v>
      </c>
      <c r="M706" s="8" t="s">
        <v>151</v>
      </c>
      <c r="P706" s="16" t="s">
        <v>678</v>
      </c>
      <c r="Q706" s="2" t="s">
        <v>38</v>
      </c>
      <c r="S706" s="8" t="s">
        <v>1056</v>
      </c>
      <c r="T706" s="9" t="s">
        <v>2222</v>
      </c>
      <c r="U706" s="8">
        <v>0</v>
      </c>
      <c r="V706" s="20">
        <v>1</v>
      </c>
      <c r="W706" s="21" t="s">
        <v>38</v>
      </c>
    </row>
    <row r="707" spans="1:23" ht="75">
      <c r="A707" s="8" t="s">
        <v>2871</v>
      </c>
      <c r="B707" s="8" t="s">
        <v>726</v>
      </c>
      <c r="C707" s="8" t="s">
        <v>2203</v>
      </c>
      <c r="D707" s="8" t="s">
        <v>18</v>
      </c>
      <c r="E707" s="8" t="s">
        <v>151</v>
      </c>
      <c r="F707" s="8" t="s">
        <v>2866</v>
      </c>
      <c r="G707" s="8" t="s">
        <v>2870</v>
      </c>
      <c r="H707" s="8">
        <v>1736</v>
      </c>
      <c r="I707" s="8">
        <v>228</v>
      </c>
      <c r="J707" s="8" t="s">
        <v>728</v>
      </c>
      <c r="K707" s="9">
        <v>45463</v>
      </c>
      <c r="L707" s="9">
        <v>46508</v>
      </c>
      <c r="M707" s="8" t="s">
        <v>151</v>
      </c>
      <c r="P707" s="16" t="s">
        <v>679</v>
      </c>
      <c r="Q707" s="2" t="s">
        <v>16</v>
      </c>
      <c r="S707" s="8" t="s">
        <v>1057</v>
      </c>
      <c r="T707" s="9" t="s">
        <v>2222</v>
      </c>
      <c r="U707" s="8">
        <v>0</v>
      </c>
      <c r="V707" s="20">
        <v>1</v>
      </c>
      <c r="W707" s="21" t="s">
        <v>38</v>
      </c>
    </row>
    <row r="708" spans="1:23" ht="75">
      <c r="A708" s="8" t="s">
        <v>2871</v>
      </c>
      <c r="B708" s="8" t="s">
        <v>726</v>
      </c>
      <c r="C708" s="8" t="s">
        <v>2203</v>
      </c>
      <c r="D708" s="8" t="s">
        <v>18</v>
      </c>
      <c r="E708" s="8" t="s">
        <v>151</v>
      </c>
      <c r="F708" s="8" t="s">
        <v>2866</v>
      </c>
      <c r="G708" s="8" t="s">
        <v>2870</v>
      </c>
      <c r="H708" s="8">
        <v>1736</v>
      </c>
      <c r="I708" s="8">
        <v>1500</v>
      </c>
      <c r="J708" s="8" t="s">
        <v>729</v>
      </c>
      <c r="K708" s="9">
        <v>45463</v>
      </c>
      <c r="L708" s="9">
        <v>46508</v>
      </c>
      <c r="M708" s="8" t="s">
        <v>151</v>
      </c>
      <c r="P708" s="16" t="s">
        <v>679</v>
      </c>
      <c r="Q708" s="2" t="s">
        <v>16</v>
      </c>
      <c r="S708" s="8" t="s">
        <v>1058</v>
      </c>
      <c r="T708" s="9" t="s">
        <v>2222</v>
      </c>
      <c r="U708" s="8">
        <v>0</v>
      </c>
      <c r="V708" s="20">
        <v>1</v>
      </c>
      <c r="W708" s="21" t="s">
        <v>38</v>
      </c>
    </row>
    <row r="709" spans="1:23" ht="75">
      <c r="A709" s="8" t="s">
        <v>2872</v>
      </c>
      <c r="B709" s="8" t="s">
        <v>730</v>
      </c>
      <c r="C709" s="8" t="s">
        <v>2197</v>
      </c>
      <c r="D709" s="8" t="s">
        <v>18</v>
      </c>
      <c r="E709" s="8" t="s">
        <v>151</v>
      </c>
      <c r="F709" s="8" t="s">
        <v>2258</v>
      </c>
      <c r="G709" s="8" t="s">
        <v>2873</v>
      </c>
      <c r="H709" s="8">
        <v>8</v>
      </c>
      <c r="I709" s="8">
        <v>8</v>
      </c>
      <c r="J709" s="8">
        <v>20113501</v>
      </c>
      <c r="K709" s="9">
        <v>44888</v>
      </c>
      <c r="L709" s="9">
        <v>45597</v>
      </c>
      <c r="M709" s="8" t="s">
        <v>16</v>
      </c>
      <c r="P709" s="16" t="s">
        <v>680</v>
      </c>
      <c r="Q709" s="2" t="s">
        <v>16</v>
      </c>
      <c r="S709" s="8" t="s">
        <v>1059</v>
      </c>
      <c r="T709" s="9" t="s">
        <v>2222</v>
      </c>
      <c r="U709" s="8">
        <v>0</v>
      </c>
      <c r="V709" s="20">
        <v>1</v>
      </c>
      <c r="W709" s="21" t="s">
        <v>38</v>
      </c>
    </row>
    <row r="710" spans="1:23" ht="75">
      <c r="A710" s="8" t="s">
        <v>2874</v>
      </c>
      <c r="B710" s="8" t="s">
        <v>731</v>
      </c>
      <c r="C710" s="8" t="s">
        <v>2197</v>
      </c>
      <c r="D710" s="8" t="s">
        <v>18</v>
      </c>
      <c r="E710" s="8" t="s">
        <v>151</v>
      </c>
      <c r="F710" s="8" t="s">
        <v>2258</v>
      </c>
      <c r="G710" s="8" t="s">
        <v>2873</v>
      </c>
      <c r="H710" s="8">
        <v>1600</v>
      </c>
      <c r="I710" s="8">
        <v>1600</v>
      </c>
      <c r="J710" s="8">
        <v>723113502</v>
      </c>
      <c r="K710" s="9">
        <v>45302</v>
      </c>
      <c r="L710" s="9">
        <v>47088</v>
      </c>
      <c r="M710" s="8" t="s">
        <v>16</v>
      </c>
      <c r="P710" s="16" t="s">
        <v>680</v>
      </c>
      <c r="Q710" s="2" t="s">
        <v>16</v>
      </c>
      <c r="S710" s="8" t="s">
        <v>1060</v>
      </c>
      <c r="T710" s="9" t="s">
        <v>2222</v>
      </c>
      <c r="U710" s="8">
        <v>0</v>
      </c>
      <c r="V710" s="20">
        <v>2</v>
      </c>
      <c r="W710" s="21" t="s">
        <v>38</v>
      </c>
    </row>
    <row r="711" spans="1:23" ht="45">
      <c r="A711" s="8" t="s">
        <v>2875</v>
      </c>
      <c r="B711" s="8" t="s">
        <v>732</v>
      </c>
      <c r="C711" s="8" t="s">
        <v>2197</v>
      </c>
      <c r="D711" s="8" t="s">
        <v>18</v>
      </c>
      <c r="E711" s="8" t="s">
        <v>151</v>
      </c>
      <c r="F711" s="8" t="s">
        <v>2258</v>
      </c>
      <c r="G711" s="8" t="s">
        <v>2873</v>
      </c>
      <c r="H711" s="8">
        <v>1080</v>
      </c>
      <c r="I711" s="8">
        <v>1080</v>
      </c>
      <c r="J711" s="8">
        <v>22113502</v>
      </c>
      <c r="K711" s="9">
        <v>45258</v>
      </c>
      <c r="L711" s="9">
        <v>46692</v>
      </c>
      <c r="M711" s="8" t="s">
        <v>16</v>
      </c>
      <c r="P711" s="16" t="s">
        <v>681</v>
      </c>
      <c r="Q711" s="2" t="s">
        <v>151</v>
      </c>
      <c r="S711" s="8" t="s">
        <v>1061</v>
      </c>
      <c r="T711" s="9" t="s">
        <v>2222</v>
      </c>
      <c r="U711" s="8">
        <v>0</v>
      </c>
      <c r="V711" s="20">
        <v>2793</v>
      </c>
      <c r="W711" s="21" t="s">
        <v>43</v>
      </c>
    </row>
    <row r="712" spans="1:23" ht="48.75">
      <c r="A712" s="8" t="s">
        <v>2876</v>
      </c>
      <c r="B712" s="8" t="s">
        <v>733</v>
      </c>
      <c r="C712" s="8" t="s">
        <v>2203</v>
      </c>
      <c r="D712" s="8" t="s">
        <v>18</v>
      </c>
      <c r="E712" s="8" t="s">
        <v>16</v>
      </c>
      <c r="F712" s="8" t="s">
        <v>2198</v>
      </c>
      <c r="G712" s="8" t="s">
        <v>2877</v>
      </c>
      <c r="H712" s="8">
        <v>1191</v>
      </c>
      <c r="I712" s="8">
        <v>1191</v>
      </c>
      <c r="J712" s="8">
        <v>210120</v>
      </c>
      <c r="K712" s="9">
        <v>44733</v>
      </c>
      <c r="L712" s="9">
        <v>46113</v>
      </c>
      <c r="M712" s="8" t="s">
        <v>16</v>
      </c>
      <c r="P712" s="16" t="s">
        <v>683</v>
      </c>
      <c r="Q712" s="2" t="s">
        <v>16</v>
      </c>
      <c r="S712" s="8" t="s">
        <v>1062</v>
      </c>
      <c r="T712" s="9" t="s">
        <v>2222</v>
      </c>
      <c r="U712" s="8">
        <v>0</v>
      </c>
      <c r="V712" s="20">
        <v>740</v>
      </c>
      <c r="W712" s="21" t="s">
        <v>43</v>
      </c>
    </row>
    <row r="713" spans="1:23" ht="45">
      <c r="A713" s="8" t="s">
        <v>2878</v>
      </c>
      <c r="B713" s="8" t="s">
        <v>733</v>
      </c>
      <c r="C713" s="8" t="s">
        <v>2203</v>
      </c>
      <c r="D713" s="8" t="s">
        <v>18</v>
      </c>
      <c r="E713" s="8" t="s">
        <v>16</v>
      </c>
      <c r="F713" s="8" t="s">
        <v>2198</v>
      </c>
      <c r="G713" s="8" t="s">
        <v>2877</v>
      </c>
      <c r="H713" s="8">
        <v>5819</v>
      </c>
      <c r="I713" s="8">
        <v>5819</v>
      </c>
      <c r="J713" s="8">
        <v>210120</v>
      </c>
      <c r="K713" s="9">
        <v>44308</v>
      </c>
      <c r="L713" s="9">
        <v>46113</v>
      </c>
      <c r="M713" s="8" t="s">
        <v>16</v>
      </c>
      <c r="P713" s="16" t="s">
        <v>684</v>
      </c>
      <c r="Q713" s="2" t="s">
        <v>16</v>
      </c>
      <c r="S713" s="8" t="s">
        <v>1063</v>
      </c>
      <c r="T713" s="9" t="s">
        <v>2222</v>
      </c>
      <c r="U713" s="8">
        <v>0</v>
      </c>
      <c r="V713" s="20">
        <v>850</v>
      </c>
      <c r="W713" s="21" t="s">
        <v>43</v>
      </c>
    </row>
    <row r="714" spans="1:23" ht="36.75">
      <c r="A714" s="8" t="s">
        <v>2879</v>
      </c>
      <c r="B714" s="8" t="s">
        <v>734</v>
      </c>
      <c r="C714" s="8" t="s">
        <v>2221</v>
      </c>
      <c r="D714" s="8" t="s">
        <v>18</v>
      </c>
      <c r="E714" s="8" t="s">
        <v>43</v>
      </c>
      <c r="F714" s="8" t="s">
        <v>2217</v>
      </c>
      <c r="G714" s="8" t="s">
        <v>2217</v>
      </c>
      <c r="H714" s="8">
        <v>3230</v>
      </c>
      <c r="I714" s="8">
        <v>3230</v>
      </c>
      <c r="J714" s="8">
        <v>0</v>
      </c>
      <c r="K714" s="9">
        <v>44146</v>
      </c>
      <c r="L714" s="8" t="s">
        <v>2222</v>
      </c>
      <c r="M714" s="8" t="s">
        <v>43</v>
      </c>
      <c r="P714" s="16" t="s">
        <v>684</v>
      </c>
      <c r="Q714" s="2" t="s">
        <v>16</v>
      </c>
      <c r="S714" s="8" t="s">
        <v>1064</v>
      </c>
      <c r="T714" s="9" t="s">
        <v>2222</v>
      </c>
      <c r="U714" s="8">
        <v>0</v>
      </c>
      <c r="V714" s="20">
        <v>225</v>
      </c>
      <c r="W714" s="21" t="s">
        <v>43</v>
      </c>
    </row>
    <row r="715" spans="1:23" ht="60">
      <c r="A715" s="8" t="s">
        <v>2880</v>
      </c>
      <c r="B715" s="8" t="s">
        <v>735</v>
      </c>
      <c r="C715" s="8" t="s">
        <v>2221</v>
      </c>
      <c r="D715" s="8" t="s">
        <v>18</v>
      </c>
      <c r="E715" s="8" t="s">
        <v>43</v>
      </c>
      <c r="F715" s="8" t="s">
        <v>2217</v>
      </c>
      <c r="G715" s="8" t="s">
        <v>2217</v>
      </c>
      <c r="H715" s="8">
        <v>801</v>
      </c>
      <c r="I715" s="8">
        <v>801</v>
      </c>
      <c r="J715" s="8">
        <v>0</v>
      </c>
      <c r="K715" s="9">
        <v>44146</v>
      </c>
      <c r="L715" s="8" t="s">
        <v>2222</v>
      </c>
      <c r="M715" s="8" t="s">
        <v>43</v>
      </c>
      <c r="P715" s="17" t="s">
        <v>685</v>
      </c>
      <c r="Q715" s="2" t="s">
        <v>16</v>
      </c>
      <c r="S715" s="8" t="s">
        <v>1065</v>
      </c>
      <c r="T715" s="9" t="s">
        <v>2222</v>
      </c>
      <c r="U715" s="8">
        <v>0</v>
      </c>
      <c r="V715" s="20">
        <v>379</v>
      </c>
      <c r="W715" s="21" t="s">
        <v>43</v>
      </c>
    </row>
    <row r="716" spans="1:23" ht="45">
      <c r="A716" s="8" t="s">
        <v>2881</v>
      </c>
      <c r="B716" s="8" t="s">
        <v>736</v>
      </c>
      <c r="C716" s="8" t="s">
        <v>2221</v>
      </c>
      <c r="D716" s="8" t="s">
        <v>18</v>
      </c>
      <c r="E716" s="8" t="s">
        <v>43</v>
      </c>
      <c r="F716" s="8" t="s">
        <v>2217</v>
      </c>
      <c r="G716" s="8" t="s">
        <v>2217</v>
      </c>
      <c r="H716" s="8">
        <v>228</v>
      </c>
      <c r="I716" s="8">
        <v>228</v>
      </c>
      <c r="J716" s="8">
        <v>0</v>
      </c>
      <c r="K716" s="9">
        <v>44146</v>
      </c>
      <c r="L716" s="8" t="s">
        <v>2222</v>
      </c>
      <c r="M716" s="8" t="s">
        <v>43</v>
      </c>
      <c r="P716" s="17" t="s">
        <v>685</v>
      </c>
      <c r="Q716" s="2" t="s">
        <v>16</v>
      </c>
      <c r="S716" s="8" t="s">
        <v>1066</v>
      </c>
      <c r="T716" s="9" t="s">
        <v>2222</v>
      </c>
      <c r="U716" s="8">
        <v>0</v>
      </c>
      <c r="V716" s="20">
        <v>3699</v>
      </c>
      <c r="W716" s="21" t="s">
        <v>43</v>
      </c>
    </row>
    <row r="717" spans="1:23" ht="30">
      <c r="A717" s="8" t="s">
        <v>2882</v>
      </c>
      <c r="B717" s="8" t="s">
        <v>737</v>
      </c>
      <c r="C717" s="8" t="s">
        <v>2221</v>
      </c>
      <c r="D717" s="8" t="s">
        <v>18</v>
      </c>
      <c r="E717" s="8" t="s">
        <v>43</v>
      </c>
      <c r="F717" s="8" t="s">
        <v>2217</v>
      </c>
      <c r="G717" s="8" t="s">
        <v>2217</v>
      </c>
      <c r="H717" s="8">
        <v>36</v>
      </c>
      <c r="I717" s="8">
        <v>36</v>
      </c>
      <c r="J717" s="8">
        <v>0</v>
      </c>
      <c r="K717" s="9">
        <v>44146</v>
      </c>
      <c r="L717" s="8" t="s">
        <v>2222</v>
      </c>
      <c r="M717" s="8" t="s">
        <v>43</v>
      </c>
      <c r="P717" s="17" t="s">
        <v>686</v>
      </c>
      <c r="Q717" s="2" t="s">
        <v>16</v>
      </c>
      <c r="S717" s="8" t="s">
        <v>1067</v>
      </c>
      <c r="T717" s="9" t="s">
        <v>2222</v>
      </c>
      <c r="U717" s="8">
        <v>0</v>
      </c>
      <c r="V717" s="20">
        <v>1213</v>
      </c>
      <c r="W717" s="21" t="s">
        <v>43</v>
      </c>
    </row>
    <row r="718" spans="1:23" ht="48.75">
      <c r="A718" s="8" t="s">
        <v>2883</v>
      </c>
      <c r="B718" s="8" t="s">
        <v>738</v>
      </c>
      <c r="C718" s="8" t="s">
        <v>2197</v>
      </c>
      <c r="D718" s="8" t="s">
        <v>18</v>
      </c>
      <c r="E718" s="8" t="s">
        <v>16</v>
      </c>
      <c r="F718" s="8" t="s">
        <v>2198</v>
      </c>
      <c r="G718" s="8" t="s">
        <v>2884</v>
      </c>
      <c r="H718" s="8">
        <v>237</v>
      </c>
      <c r="I718" s="8">
        <v>13</v>
      </c>
      <c r="J718" s="8">
        <v>20614006</v>
      </c>
      <c r="K718" s="9">
        <v>44742</v>
      </c>
      <c r="L718" s="9">
        <v>46539</v>
      </c>
      <c r="M718" s="8" t="s">
        <v>16</v>
      </c>
      <c r="P718" s="16" t="s">
        <v>687</v>
      </c>
      <c r="Q718" s="2" t="s">
        <v>16</v>
      </c>
      <c r="S718" s="8" t="s">
        <v>1068</v>
      </c>
      <c r="T718" s="9">
        <v>44215</v>
      </c>
      <c r="U718" s="8">
        <v>0</v>
      </c>
      <c r="V718" s="20">
        <v>30</v>
      </c>
      <c r="W718" s="21" t="s">
        <v>43</v>
      </c>
    </row>
    <row r="719" spans="1:23" ht="48.75">
      <c r="A719" s="8" t="s">
        <v>2883</v>
      </c>
      <c r="B719" s="8" t="s">
        <v>738</v>
      </c>
      <c r="C719" s="8" t="s">
        <v>2197</v>
      </c>
      <c r="D719" s="8" t="s">
        <v>18</v>
      </c>
      <c r="E719" s="8" t="s">
        <v>16</v>
      </c>
      <c r="F719" s="8" t="s">
        <v>2198</v>
      </c>
      <c r="G719" s="8" t="s">
        <v>2884</v>
      </c>
      <c r="H719" s="8">
        <v>237</v>
      </c>
      <c r="I719" s="8">
        <v>224</v>
      </c>
      <c r="J719" s="8">
        <v>30731004</v>
      </c>
      <c r="K719" s="9">
        <v>45145</v>
      </c>
      <c r="L719" s="9">
        <v>46966</v>
      </c>
      <c r="M719" s="8" t="s">
        <v>16</v>
      </c>
      <c r="P719" s="16" t="s">
        <v>687</v>
      </c>
      <c r="Q719" s="2" t="s">
        <v>16</v>
      </c>
      <c r="S719" s="8" t="s">
        <v>1069</v>
      </c>
      <c r="T719" s="9" t="s">
        <v>2222</v>
      </c>
      <c r="U719" s="8">
        <v>0</v>
      </c>
      <c r="V719" s="20">
        <v>484</v>
      </c>
      <c r="W719" s="21" t="s">
        <v>43</v>
      </c>
    </row>
    <row r="720" spans="1:23" ht="48.75">
      <c r="A720" s="8" t="s">
        <v>2885</v>
      </c>
      <c r="B720" s="8" t="s">
        <v>739</v>
      </c>
      <c r="C720" s="8" t="s">
        <v>2303</v>
      </c>
      <c r="D720" s="8" t="s">
        <v>18</v>
      </c>
      <c r="E720" s="8" t="s">
        <v>16</v>
      </c>
      <c r="F720" s="8" t="s">
        <v>2228</v>
      </c>
      <c r="G720" s="8" t="s">
        <v>2886</v>
      </c>
      <c r="H720" s="8">
        <v>25</v>
      </c>
      <c r="I720" s="8">
        <v>25</v>
      </c>
      <c r="J720" s="8">
        <v>23091423</v>
      </c>
      <c r="K720" s="9">
        <v>45187</v>
      </c>
      <c r="L720" s="9">
        <v>46966</v>
      </c>
      <c r="M720" s="8" t="s">
        <v>16</v>
      </c>
      <c r="P720" s="16" t="s">
        <v>687</v>
      </c>
      <c r="Q720" s="2" t="s">
        <v>16</v>
      </c>
      <c r="S720" s="8" t="s">
        <v>1070</v>
      </c>
      <c r="T720" s="9" t="s">
        <v>2222</v>
      </c>
      <c r="U720" s="8">
        <v>0</v>
      </c>
      <c r="V720" s="20">
        <v>2152</v>
      </c>
      <c r="W720" s="21" t="s">
        <v>43</v>
      </c>
    </row>
    <row r="721" spans="1:23" ht="48.75">
      <c r="A721" s="8" t="s">
        <v>2887</v>
      </c>
      <c r="B721" s="8" t="s">
        <v>740</v>
      </c>
      <c r="C721" s="8" t="s">
        <v>2197</v>
      </c>
      <c r="D721" s="8" t="s">
        <v>18</v>
      </c>
      <c r="E721" s="8" t="s">
        <v>16</v>
      </c>
      <c r="F721" s="8" t="s">
        <v>2228</v>
      </c>
      <c r="G721" s="8" t="s">
        <v>2886</v>
      </c>
      <c r="H721" s="8">
        <v>8617</v>
      </c>
      <c r="I721" s="8">
        <v>117</v>
      </c>
      <c r="J721" s="8">
        <v>22032519</v>
      </c>
      <c r="K721" s="9">
        <v>45100</v>
      </c>
      <c r="L721" s="9">
        <v>46447</v>
      </c>
      <c r="M721" s="8" t="s">
        <v>16</v>
      </c>
      <c r="P721" s="16" t="s">
        <v>688</v>
      </c>
      <c r="Q721" s="2" t="s">
        <v>16</v>
      </c>
      <c r="S721" s="8" t="s">
        <v>1071</v>
      </c>
      <c r="T721" s="9" t="s">
        <v>2222</v>
      </c>
      <c r="U721" s="8">
        <v>0</v>
      </c>
      <c r="V721" s="20">
        <v>135</v>
      </c>
      <c r="W721" s="21" t="s">
        <v>43</v>
      </c>
    </row>
    <row r="722" spans="1:23" ht="45">
      <c r="A722" s="8" t="s">
        <v>2887</v>
      </c>
      <c r="B722" s="8" t="s">
        <v>740</v>
      </c>
      <c r="C722" s="8" t="s">
        <v>2197</v>
      </c>
      <c r="D722" s="8" t="s">
        <v>18</v>
      </c>
      <c r="E722" s="8" t="s">
        <v>16</v>
      </c>
      <c r="F722" s="8" t="s">
        <v>2228</v>
      </c>
      <c r="G722" s="8" t="s">
        <v>2886</v>
      </c>
      <c r="H722" s="8">
        <v>8617</v>
      </c>
      <c r="I722" s="8">
        <v>1600</v>
      </c>
      <c r="J722" s="8">
        <v>23091421</v>
      </c>
      <c r="K722" s="9">
        <v>45187</v>
      </c>
      <c r="L722" s="9">
        <v>46966</v>
      </c>
      <c r="M722" s="8" t="s">
        <v>16</v>
      </c>
      <c r="P722" s="16" t="s">
        <v>690</v>
      </c>
      <c r="Q722" s="2" t="s">
        <v>16</v>
      </c>
      <c r="S722" s="8" t="s">
        <v>1072</v>
      </c>
      <c r="T722" s="9" t="s">
        <v>2222</v>
      </c>
      <c r="U722" s="8">
        <v>0</v>
      </c>
      <c r="V722" s="20">
        <v>5</v>
      </c>
      <c r="W722" s="21" t="s">
        <v>43</v>
      </c>
    </row>
    <row r="723" spans="1:23" ht="75">
      <c r="A723" s="8" t="s">
        <v>2887</v>
      </c>
      <c r="B723" s="8" t="s">
        <v>740</v>
      </c>
      <c r="C723" s="8" t="s">
        <v>2197</v>
      </c>
      <c r="D723" s="8" t="s">
        <v>18</v>
      </c>
      <c r="E723" s="8" t="s">
        <v>16</v>
      </c>
      <c r="F723" s="8" t="s">
        <v>2228</v>
      </c>
      <c r="G723" s="8" t="s">
        <v>2886</v>
      </c>
      <c r="H723" s="8">
        <v>8617</v>
      </c>
      <c r="I723" s="8">
        <v>2360</v>
      </c>
      <c r="J723" s="8">
        <v>23080813</v>
      </c>
      <c r="K723" s="9">
        <v>45154</v>
      </c>
      <c r="L723" s="9">
        <v>46935</v>
      </c>
      <c r="M723" s="8" t="s">
        <v>16</v>
      </c>
      <c r="P723" s="16" t="s">
        <v>690</v>
      </c>
      <c r="Q723" s="2" t="s">
        <v>16</v>
      </c>
      <c r="S723" s="8" t="s">
        <v>1073</v>
      </c>
      <c r="T723" s="9" t="s">
        <v>2222</v>
      </c>
      <c r="U723" s="8">
        <v>0</v>
      </c>
      <c r="V723" s="20">
        <v>140</v>
      </c>
      <c r="W723" s="21" t="s">
        <v>43</v>
      </c>
    </row>
    <row r="724" spans="1:23" ht="60">
      <c r="A724" s="8" t="s">
        <v>2887</v>
      </c>
      <c r="B724" s="8" t="s">
        <v>740</v>
      </c>
      <c r="C724" s="8" t="s">
        <v>2197</v>
      </c>
      <c r="D724" s="8" t="s">
        <v>18</v>
      </c>
      <c r="E724" s="8" t="s">
        <v>16</v>
      </c>
      <c r="F724" s="8" t="s">
        <v>2228</v>
      </c>
      <c r="G724" s="8" t="s">
        <v>2886</v>
      </c>
      <c r="H724" s="8">
        <v>8617</v>
      </c>
      <c r="I724" s="8">
        <v>4540</v>
      </c>
      <c r="J724" s="8">
        <v>23012013</v>
      </c>
      <c r="K724" s="9">
        <v>45154</v>
      </c>
      <c r="L724" s="9">
        <v>46722</v>
      </c>
      <c r="M724" s="8" t="s">
        <v>16</v>
      </c>
      <c r="P724" s="16" t="s">
        <v>690</v>
      </c>
      <c r="Q724" s="2" t="s">
        <v>16</v>
      </c>
      <c r="S724" s="8" t="s">
        <v>1074</v>
      </c>
      <c r="T724" s="9" t="s">
        <v>2222</v>
      </c>
      <c r="U724" s="8">
        <v>0</v>
      </c>
      <c r="V724" s="20">
        <v>100</v>
      </c>
      <c r="W724" s="21" t="s">
        <v>43</v>
      </c>
    </row>
    <row r="725" spans="1:23" ht="45">
      <c r="A725" s="8" t="s">
        <v>2888</v>
      </c>
      <c r="B725" s="8" t="s">
        <v>741</v>
      </c>
      <c r="C725" s="8" t="s">
        <v>2307</v>
      </c>
      <c r="D725" s="8" t="s">
        <v>18</v>
      </c>
      <c r="E725" s="8" t="s">
        <v>16</v>
      </c>
      <c r="F725" s="8" t="s">
        <v>2228</v>
      </c>
      <c r="G725" s="8" t="s">
        <v>2886</v>
      </c>
      <c r="H725" s="8">
        <v>122</v>
      </c>
      <c r="I725" s="8">
        <v>2</v>
      </c>
      <c r="J725" s="8">
        <v>30216</v>
      </c>
      <c r="K725" s="9">
        <v>44263</v>
      </c>
      <c r="L725" s="9">
        <v>46054</v>
      </c>
      <c r="M725" s="8" t="s">
        <v>16</v>
      </c>
      <c r="P725" s="16" t="s">
        <v>693</v>
      </c>
      <c r="Q725" s="2" t="s">
        <v>16</v>
      </c>
      <c r="S725" s="8" t="s">
        <v>1075</v>
      </c>
      <c r="T725" s="9" t="s">
        <v>2222</v>
      </c>
      <c r="U725" s="8">
        <v>0</v>
      </c>
      <c r="V725" s="20">
        <v>82</v>
      </c>
      <c r="W725" s="21" t="s">
        <v>43</v>
      </c>
    </row>
    <row r="726" spans="1:23" ht="60">
      <c r="A726" s="8" t="s">
        <v>2888</v>
      </c>
      <c r="B726" s="8" t="s">
        <v>741</v>
      </c>
      <c r="C726" s="8" t="s">
        <v>2307</v>
      </c>
      <c r="D726" s="8" t="s">
        <v>18</v>
      </c>
      <c r="E726" s="8" t="s">
        <v>16</v>
      </c>
      <c r="F726" s="8" t="s">
        <v>2228</v>
      </c>
      <c r="G726" s="8" t="s">
        <v>2886</v>
      </c>
      <c r="H726" s="8">
        <v>122</v>
      </c>
      <c r="I726" s="8">
        <v>20</v>
      </c>
      <c r="J726" s="8">
        <v>22112315</v>
      </c>
      <c r="K726" s="9">
        <v>44897</v>
      </c>
      <c r="L726" s="9">
        <v>46661</v>
      </c>
      <c r="M726" s="8" t="s">
        <v>16</v>
      </c>
      <c r="P726" s="16" t="s">
        <v>695</v>
      </c>
      <c r="Q726" s="2" t="s">
        <v>151</v>
      </c>
      <c r="S726" s="8" t="s">
        <v>1076</v>
      </c>
      <c r="T726" s="9" t="s">
        <v>2222</v>
      </c>
      <c r="U726" s="8">
        <v>0</v>
      </c>
      <c r="V726" s="20">
        <v>86</v>
      </c>
      <c r="W726" s="21" t="s">
        <v>43</v>
      </c>
    </row>
    <row r="727" spans="1:23" ht="45">
      <c r="A727" s="8" t="s">
        <v>2888</v>
      </c>
      <c r="B727" s="8" t="s">
        <v>741</v>
      </c>
      <c r="C727" s="8" t="s">
        <v>2307</v>
      </c>
      <c r="D727" s="8" t="s">
        <v>18</v>
      </c>
      <c r="E727" s="8" t="s">
        <v>16</v>
      </c>
      <c r="F727" s="8" t="s">
        <v>2228</v>
      </c>
      <c r="G727" s="8" t="s">
        <v>2886</v>
      </c>
      <c r="H727" s="8">
        <v>122</v>
      </c>
      <c r="I727" s="8">
        <v>100</v>
      </c>
      <c r="J727" s="8">
        <v>23091422</v>
      </c>
      <c r="K727" s="9">
        <v>45187</v>
      </c>
      <c r="L727" s="9">
        <v>46966</v>
      </c>
      <c r="M727" s="8" t="s">
        <v>16</v>
      </c>
      <c r="P727" s="16" t="s">
        <v>695</v>
      </c>
      <c r="Q727" s="2" t="s">
        <v>151</v>
      </c>
      <c r="S727" s="8" t="s">
        <v>1077</v>
      </c>
      <c r="T727" s="9" t="s">
        <v>2222</v>
      </c>
      <c r="U727" s="8">
        <v>0</v>
      </c>
      <c r="V727" s="20">
        <v>242</v>
      </c>
      <c r="W727" s="21" t="s">
        <v>43</v>
      </c>
    </row>
    <row r="728" spans="1:23" ht="60">
      <c r="A728" s="8" t="s">
        <v>2889</v>
      </c>
      <c r="B728" s="8" t="s">
        <v>742</v>
      </c>
      <c r="C728" s="8" t="s">
        <v>2203</v>
      </c>
      <c r="D728" s="8" t="s">
        <v>18</v>
      </c>
      <c r="E728" s="8" t="s">
        <v>151</v>
      </c>
      <c r="F728" s="8" t="s">
        <v>151</v>
      </c>
      <c r="G728" s="8" t="s">
        <v>2890</v>
      </c>
      <c r="H728" s="8">
        <v>22</v>
      </c>
      <c r="I728" s="8">
        <v>22</v>
      </c>
      <c r="J728" s="8">
        <v>28102803</v>
      </c>
      <c r="K728" s="9">
        <v>45051</v>
      </c>
      <c r="L728" s="9">
        <v>46023</v>
      </c>
      <c r="M728" s="8" t="s">
        <v>151</v>
      </c>
      <c r="P728" s="16" t="s">
        <v>695</v>
      </c>
      <c r="Q728" s="2" t="s">
        <v>151</v>
      </c>
      <c r="S728" s="8" t="s">
        <v>1078</v>
      </c>
      <c r="T728" s="9" t="s">
        <v>2222</v>
      </c>
      <c r="U728" s="8">
        <v>0</v>
      </c>
      <c r="V728" s="20">
        <v>178</v>
      </c>
      <c r="W728" s="21" t="s">
        <v>43</v>
      </c>
    </row>
    <row r="729" spans="1:23" ht="60">
      <c r="A729" s="8" t="s">
        <v>2891</v>
      </c>
      <c r="B729" s="8" t="s">
        <v>743</v>
      </c>
      <c r="C729" s="8" t="s">
        <v>2203</v>
      </c>
      <c r="D729" s="8" t="s">
        <v>18</v>
      </c>
      <c r="E729" s="8" t="s">
        <v>151</v>
      </c>
      <c r="F729" s="8" t="s">
        <v>151</v>
      </c>
      <c r="G729" s="8" t="s">
        <v>2890</v>
      </c>
      <c r="H729" s="8">
        <v>1170</v>
      </c>
      <c r="I729" s="8">
        <v>1170</v>
      </c>
      <c r="J729" s="8">
        <v>28102803</v>
      </c>
      <c r="K729" s="9">
        <v>45068</v>
      </c>
      <c r="L729" s="9">
        <v>46143</v>
      </c>
      <c r="M729" s="8" t="s">
        <v>16</v>
      </c>
      <c r="P729" s="16" t="s">
        <v>695</v>
      </c>
      <c r="Q729" s="2" t="s">
        <v>151</v>
      </c>
      <c r="S729" s="8" t="s">
        <v>1079</v>
      </c>
      <c r="T729" s="9" t="s">
        <v>2222</v>
      </c>
      <c r="U729" s="8">
        <v>0</v>
      </c>
      <c r="V729" s="20">
        <v>300</v>
      </c>
      <c r="W729" s="21" t="s">
        <v>43</v>
      </c>
    </row>
    <row r="730" spans="1:23" ht="45">
      <c r="A730" s="8" t="s">
        <v>2892</v>
      </c>
      <c r="B730" s="8" t="s">
        <v>744</v>
      </c>
      <c r="C730" s="8" t="s">
        <v>2197</v>
      </c>
      <c r="D730" s="8" t="s">
        <v>18</v>
      </c>
      <c r="E730" s="8" t="s">
        <v>151</v>
      </c>
      <c r="F730" s="8" t="s">
        <v>151</v>
      </c>
      <c r="G730" s="8" t="s">
        <v>2890</v>
      </c>
      <c r="H730" s="8">
        <v>1034</v>
      </c>
      <c r="I730" s="8">
        <v>50</v>
      </c>
      <c r="J730" s="8">
        <v>28102803</v>
      </c>
      <c r="K730" s="9">
        <v>45356</v>
      </c>
      <c r="L730" s="9">
        <v>46327</v>
      </c>
      <c r="M730" s="8" t="s">
        <v>151</v>
      </c>
      <c r="P730" s="16" t="s">
        <v>695</v>
      </c>
      <c r="Q730" s="2" t="s">
        <v>151</v>
      </c>
      <c r="S730" s="8" t="s">
        <v>1080</v>
      </c>
      <c r="T730" s="9" t="s">
        <v>2222</v>
      </c>
      <c r="U730" s="8">
        <v>0</v>
      </c>
      <c r="V730" s="20">
        <v>2016</v>
      </c>
      <c r="W730" s="21" t="s">
        <v>43</v>
      </c>
    </row>
    <row r="731" spans="1:23" ht="45">
      <c r="A731" s="8" t="s">
        <v>2892</v>
      </c>
      <c r="B731" s="8" t="s">
        <v>744</v>
      </c>
      <c r="C731" s="8" t="s">
        <v>2197</v>
      </c>
      <c r="D731" s="8" t="s">
        <v>18</v>
      </c>
      <c r="E731" s="8" t="s">
        <v>151</v>
      </c>
      <c r="F731" s="8" t="s">
        <v>151</v>
      </c>
      <c r="G731" s="8" t="s">
        <v>2890</v>
      </c>
      <c r="H731" s="8">
        <v>1034</v>
      </c>
      <c r="I731" s="8">
        <v>50</v>
      </c>
      <c r="J731" s="8">
        <v>28102808</v>
      </c>
      <c r="K731" s="9">
        <v>45356</v>
      </c>
      <c r="L731" s="9">
        <v>46235</v>
      </c>
      <c r="M731" s="8" t="s">
        <v>151</v>
      </c>
      <c r="P731" s="16" t="s">
        <v>695</v>
      </c>
      <c r="Q731" s="2" t="s">
        <v>151</v>
      </c>
      <c r="S731" s="8" t="s">
        <v>1081</v>
      </c>
      <c r="T731" s="9" t="s">
        <v>2222</v>
      </c>
      <c r="U731" s="8">
        <v>0</v>
      </c>
      <c r="V731" s="20">
        <v>45</v>
      </c>
      <c r="W731" s="21" t="s">
        <v>43</v>
      </c>
    </row>
    <row r="732" spans="1:23" ht="45">
      <c r="A732" s="8" t="s">
        <v>2892</v>
      </c>
      <c r="B732" s="8" t="s">
        <v>744</v>
      </c>
      <c r="C732" s="8" t="s">
        <v>2197</v>
      </c>
      <c r="D732" s="8" t="s">
        <v>18</v>
      </c>
      <c r="E732" s="8" t="s">
        <v>151</v>
      </c>
      <c r="F732" s="8" t="s">
        <v>151</v>
      </c>
      <c r="G732" s="8" t="s">
        <v>2890</v>
      </c>
      <c r="H732" s="8">
        <v>1034</v>
      </c>
      <c r="I732" s="8">
        <v>934</v>
      </c>
      <c r="J732" s="8">
        <v>28102802</v>
      </c>
      <c r="K732" s="9">
        <v>45356</v>
      </c>
      <c r="L732" s="9">
        <v>45962</v>
      </c>
      <c r="M732" s="8" t="s">
        <v>151</v>
      </c>
      <c r="P732" s="16" t="s">
        <v>695</v>
      </c>
      <c r="Q732" s="2" t="s">
        <v>151</v>
      </c>
      <c r="S732" s="8" t="s">
        <v>1082</v>
      </c>
      <c r="T732" s="9" t="s">
        <v>2222</v>
      </c>
      <c r="U732" s="8">
        <v>0</v>
      </c>
      <c r="V732" s="20">
        <v>102</v>
      </c>
      <c r="W732" s="21" t="s">
        <v>43</v>
      </c>
    </row>
    <row r="733" spans="1:23" ht="45">
      <c r="A733" s="8" t="s">
        <v>2893</v>
      </c>
      <c r="B733" s="8" t="s">
        <v>745</v>
      </c>
      <c r="C733" s="8" t="s">
        <v>2203</v>
      </c>
      <c r="D733" s="8" t="s">
        <v>18</v>
      </c>
      <c r="E733" s="8" t="s">
        <v>2217</v>
      </c>
      <c r="F733" s="8" t="s">
        <v>2217</v>
      </c>
      <c r="G733" s="8" t="s">
        <v>2217</v>
      </c>
      <c r="H733" s="8">
        <v>1400</v>
      </c>
      <c r="I733" s="8">
        <v>1400</v>
      </c>
      <c r="J733" s="8">
        <v>28102809</v>
      </c>
      <c r="K733" s="9">
        <v>45436</v>
      </c>
      <c r="L733" s="9">
        <v>46508</v>
      </c>
      <c r="M733" s="8" t="s">
        <v>16</v>
      </c>
      <c r="P733" s="16" t="s">
        <v>695</v>
      </c>
      <c r="Q733" s="2" t="s">
        <v>151</v>
      </c>
      <c r="S733" s="8" t="s">
        <v>1083</v>
      </c>
      <c r="T733" s="9" t="s">
        <v>2222</v>
      </c>
      <c r="U733" s="8">
        <v>0</v>
      </c>
      <c r="V733" s="20">
        <v>70</v>
      </c>
      <c r="W733" s="21" t="s">
        <v>43</v>
      </c>
    </row>
    <row r="734" spans="1:23" ht="45">
      <c r="A734" s="8" t="s">
        <v>2894</v>
      </c>
      <c r="B734" s="8" t="s">
        <v>746</v>
      </c>
      <c r="C734" s="8" t="s">
        <v>2203</v>
      </c>
      <c r="D734" s="8" t="s">
        <v>18</v>
      </c>
      <c r="E734" s="8" t="s">
        <v>151</v>
      </c>
      <c r="F734" s="8" t="s">
        <v>151</v>
      </c>
      <c r="G734" s="8" t="s">
        <v>2890</v>
      </c>
      <c r="H734" s="8">
        <v>2854</v>
      </c>
      <c r="I734" s="8">
        <v>2854</v>
      </c>
      <c r="J734" s="8">
        <v>28102213</v>
      </c>
      <c r="K734" s="9">
        <v>45222</v>
      </c>
      <c r="L734" s="9">
        <v>46296</v>
      </c>
      <c r="M734" s="8" t="s">
        <v>16</v>
      </c>
      <c r="P734" s="16" t="s">
        <v>695</v>
      </c>
      <c r="Q734" s="2" t="s">
        <v>151</v>
      </c>
      <c r="S734" s="8" t="s">
        <v>1084</v>
      </c>
      <c r="T734" s="9" t="s">
        <v>2222</v>
      </c>
      <c r="U734" s="8">
        <v>0</v>
      </c>
      <c r="V734" s="20">
        <v>95</v>
      </c>
      <c r="W734" s="21" t="s">
        <v>43</v>
      </c>
    </row>
    <row r="735" spans="1:23" ht="60">
      <c r="A735" s="8" t="s">
        <v>2895</v>
      </c>
      <c r="B735" s="8" t="s">
        <v>747</v>
      </c>
      <c r="C735" s="8" t="s">
        <v>2197</v>
      </c>
      <c r="D735" s="8" t="s">
        <v>18</v>
      </c>
      <c r="E735" s="8" t="s">
        <v>151</v>
      </c>
      <c r="F735" s="8" t="s">
        <v>2325</v>
      </c>
      <c r="G735" s="8" t="s">
        <v>2896</v>
      </c>
      <c r="H735" s="8">
        <v>1649</v>
      </c>
      <c r="I735" s="8">
        <v>181</v>
      </c>
      <c r="J735" s="8">
        <v>39173201</v>
      </c>
      <c r="K735" s="9">
        <v>45206</v>
      </c>
      <c r="L735" s="9">
        <v>46266</v>
      </c>
      <c r="M735" s="8" t="s">
        <v>151</v>
      </c>
      <c r="P735" s="16" t="s">
        <v>705</v>
      </c>
      <c r="Q735" s="2" t="s">
        <v>151</v>
      </c>
      <c r="S735" s="8" t="s">
        <v>1085</v>
      </c>
      <c r="T735" s="9" t="s">
        <v>2222</v>
      </c>
      <c r="U735" s="8">
        <v>0</v>
      </c>
      <c r="V735" s="20">
        <v>1605</v>
      </c>
      <c r="W735" s="21" t="s">
        <v>43</v>
      </c>
    </row>
    <row r="736" spans="1:23" ht="60">
      <c r="A736" s="8" t="s">
        <v>2895</v>
      </c>
      <c r="B736" s="8" t="s">
        <v>747</v>
      </c>
      <c r="C736" s="8" t="s">
        <v>2197</v>
      </c>
      <c r="D736" s="8" t="s">
        <v>18</v>
      </c>
      <c r="E736" s="8" t="s">
        <v>151</v>
      </c>
      <c r="F736" s="8" t="s">
        <v>2325</v>
      </c>
      <c r="G736" s="8" t="s">
        <v>2896</v>
      </c>
      <c r="H736" s="8">
        <v>1649</v>
      </c>
      <c r="I736" s="8">
        <v>568</v>
      </c>
      <c r="J736" s="8">
        <v>29183201</v>
      </c>
      <c r="K736" s="9">
        <v>45206</v>
      </c>
      <c r="L736" s="9">
        <v>46266</v>
      </c>
      <c r="M736" s="8" t="s">
        <v>151</v>
      </c>
      <c r="P736" s="16" t="s">
        <v>705</v>
      </c>
      <c r="Q736" s="2" t="s">
        <v>151</v>
      </c>
      <c r="S736" s="8" t="s">
        <v>1086</v>
      </c>
      <c r="T736" s="9" t="s">
        <v>2222</v>
      </c>
      <c r="U736" s="8">
        <v>0</v>
      </c>
      <c r="V736" s="20">
        <v>850</v>
      </c>
      <c r="W736" s="21" t="s">
        <v>43</v>
      </c>
    </row>
    <row r="737" spans="1:23" ht="75">
      <c r="A737" s="8" t="s">
        <v>2895</v>
      </c>
      <c r="B737" s="8" t="s">
        <v>747</v>
      </c>
      <c r="C737" s="8" t="s">
        <v>2197</v>
      </c>
      <c r="D737" s="8" t="s">
        <v>18</v>
      </c>
      <c r="E737" s="8" t="s">
        <v>151</v>
      </c>
      <c r="F737" s="8" t="s">
        <v>2325</v>
      </c>
      <c r="G737" s="8" t="s">
        <v>2896</v>
      </c>
      <c r="H737" s="8">
        <v>1649</v>
      </c>
      <c r="I737" s="8">
        <v>900</v>
      </c>
      <c r="J737" s="8">
        <v>49173201</v>
      </c>
      <c r="K737" s="9">
        <v>45206</v>
      </c>
      <c r="L737" s="9">
        <v>46266</v>
      </c>
      <c r="M737" s="8" t="s">
        <v>151</v>
      </c>
      <c r="P737" s="16" t="s">
        <v>705</v>
      </c>
      <c r="Q737" s="2" t="s">
        <v>151</v>
      </c>
      <c r="S737" s="8" t="s">
        <v>1087</v>
      </c>
      <c r="T737" s="9" t="s">
        <v>2222</v>
      </c>
      <c r="U737" s="8">
        <v>0</v>
      </c>
      <c r="V737" s="20">
        <v>168</v>
      </c>
      <c r="W737" s="21" t="s">
        <v>43</v>
      </c>
    </row>
    <row r="738" spans="1:23" ht="60">
      <c r="A738" s="8" t="s">
        <v>2897</v>
      </c>
      <c r="B738" s="8" t="s">
        <v>748</v>
      </c>
      <c r="C738" s="8" t="s">
        <v>2203</v>
      </c>
      <c r="D738" s="8" t="s">
        <v>18</v>
      </c>
      <c r="E738" s="8" t="s">
        <v>151</v>
      </c>
      <c r="F738" s="8" t="s">
        <v>151</v>
      </c>
      <c r="G738" s="8" t="s">
        <v>2898</v>
      </c>
      <c r="H738" s="8">
        <v>820</v>
      </c>
      <c r="I738" s="8">
        <v>13</v>
      </c>
      <c r="J738" s="8">
        <v>28102801</v>
      </c>
      <c r="K738" s="9">
        <v>45051</v>
      </c>
      <c r="L738" s="9">
        <v>46023</v>
      </c>
      <c r="M738" s="8" t="s">
        <v>151</v>
      </c>
      <c r="P738" s="16" t="s">
        <v>709</v>
      </c>
      <c r="Q738" s="2" t="s">
        <v>151</v>
      </c>
      <c r="S738" s="8" t="s">
        <v>1088</v>
      </c>
      <c r="T738" s="9" t="s">
        <v>2222</v>
      </c>
      <c r="U738" s="8">
        <v>0</v>
      </c>
      <c r="V738" s="20">
        <v>160</v>
      </c>
      <c r="W738" s="21" t="s">
        <v>43</v>
      </c>
    </row>
    <row r="739" spans="1:23" ht="60">
      <c r="A739" s="8" t="s">
        <v>2897</v>
      </c>
      <c r="B739" s="8" t="s">
        <v>748</v>
      </c>
      <c r="C739" s="8" t="s">
        <v>2203</v>
      </c>
      <c r="D739" s="8" t="s">
        <v>18</v>
      </c>
      <c r="E739" s="8" t="s">
        <v>151</v>
      </c>
      <c r="F739" s="8" t="s">
        <v>151</v>
      </c>
      <c r="G739" s="8" t="s">
        <v>2898</v>
      </c>
      <c r="H739" s="8">
        <v>820</v>
      </c>
      <c r="I739" s="8">
        <v>807</v>
      </c>
      <c r="J739" s="8">
        <v>28102802</v>
      </c>
      <c r="K739" s="9">
        <v>45051</v>
      </c>
      <c r="L739" s="9">
        <v>46113</v>
      </c>
      <c r="M739" s="8" t="s">
        <v>151</v>
      </c>
      <c r="P739" s="16" t="s">
        <v>709</v>
      </c>
      <c r="Q739" s="2" t="s">
        <v>151</v>
      </c>
      <c r="S739" s="8" t="s">
        <v>1089</v>
      </c>
      <c r="T739" s="9" t="s">
        <v>2222</v>
      </c>
      <c r="U739" s="8">
        <v>0</v>
      </c>
      <c r="V739" s="20">
        <v>1895</v>
      </c>
      <c r="W739" s="21" t="s">
        <v>43</v>
      </c>
    </row>
    <row r="740" spans="1:23" ht="45">
      <c r="A740" s="8" t="s">
        <v>2899</v>
      </c>
      <c r="B740" s="8" t="s">
        <v>749</v>
      </c>
      <c r="C740" s="8" t="s">
        <v>2197</v>
      </c>
      <c r="D740" s="8" t="s">
        <v>18</v>
      </c>
      <c r="E740" s="8" t="s">
        <v>151</v>
      </c>
      <c r="F740" s="8" t="s">
        <v>151</v>
      </c>
      <c r="G740" s="8" t="s">
        <v>2898</v>
      </c>
      <c r="H740" s="8">
        <v>1070</v>
      </c>
      <c r="I740" s="8">
        <v>1070</v>
      </c>
      <c r="J740" s="8">
        <v>28102802</v>
      </c>
      <c r="K740" s="9">
        <v>45455</v>
      </c>
      <c r="L740" s="9">
        <v>46388</v>
      </c>
      <c r="M740" s="8" t="s">
        <v>151</v>
      </c>
      <c r="P740" s="16" t="s">
        <v>709</v>
      </c>
      <c r="Q740" s="2" t="s">
        <v>151</v>
      </c>
      <c r="S740" s="8" t="s">
        <v>1090</v>
      </c>
      <c r="T740" s="9" t="s">
        <v>2222</v>
      </c>
      <c r="U740" s="8">
        <v>0</v>
      </c>
      <c r="V740" s="20">
        <v>788</v>
      </c>
      <c r="W740" s="21" t="s">
        <v>43</v>
      </c>
    </row>
    <row r="741" spans="1:23" ht="75">
      <c r="A741" s="8" t="s">
        <v>2900</v>
      </c>
      <c r="B741" s="8" t="s">
        <v>750</v>
      </c>
      <c r="C741" s="8" t="s">
        <v>2197</v>
      </c>
      <c r="D741" s="8" t="s">
        <v>18</v>
      </c>
      <c r="E741" s="8" t="s">
        <v>151</v>
      </c>
      <c r="F741" s="8" t="s">
        <v>151</v>
      </c>
      <c r="G741" s="8" t="s">
        <v>2901</v>
      </c>
      <c r="H741" s="8">
        <v>106</v>
      </c>
      <c r="I741" s="8">
        <v>106</v>
      </c>
      <c r="J741" s="8">
        <v>24122601</v>
      </c>
      <c r="K741" s="9">
        <v>44919</v>
      </c>
      <c r="L741" s="9">
        <v>45992</v>
      </c>
      <c r="M741" s="8" t="s">
        <v>151</v>
      </c>
      <c r="P741" s="16" t="s">
        <v>709</v>
      </c>
      <c r="Q741" s="2" t="s">
        <v>151</v>
      </c>
      <c r="S741" s="8" t="s">
        <v>1091</v>
      </c>
      <c r="T741" s="9" t="s">
        <v>2222</v>
      </c>
      <c r="U741" s="8">
        <v>0</v>
      </c>
      <c r="V741" s="20">
        <v>17</v>
      </c>
      <c r="W741" s="21" t="s">
        <v>43</v>
      </c>
    </row>
    <row r="742" spans="1:23" ht="60">
      <c r="A742" s="8" t="s">
        <v>2902</v>
      </c>
      <c r="B742" s="8" t="s">
        <v>751</v>
      </c>
      <c r="C742" s="8" t="s">
        <v>2197</v>
      </c>
      <c r="D742" s="8" t="s">
        <v>18</v>
      </c>
      <c r="E742" s="8" t="s">
        <v>151</v>
      </c>
      <c r="F742" s="8" t="s">
        <v>151</v>
      </c>
      <c r="G742" s="8" t="s">
        <v>2903</v>
      </c>
      <c r="H742" s="8">
        <v>250</v>
      </c>
      <c r="I742" s="8">
        <v>250</v>
      </c>
      <c r="J742" s="8">
        <v>36113301</v>
      </c>
      <c r="K742" s="9">
        <v>45453</v>
      </c>
      <c r="L742" s="9">
        <v>46419</v>
      </c>
      <c r="M742" s="8" t="s">
        <v>151</v>
      </c>
      <c r="P742" s="16" t="s">
        <v>709</v>
      </c>
      <c r="Q742" s="2" t="s">
        <v>151</v>
      </c>
      <c r="S742" s="8" t="s">
        <v>1092</v>
      </c>
      <c r="T742" s="9" t="s">
        <v>2222</v>
      </c>
      <c r="U742" s="8">
        <v>0</v>
      </c>
      <c r="V742" s="20">
        <v>55</v>
      </c>
      <c r="W742" s="21" t="s">
        <v>43</v>
      </c>
    </row>
    <row r="743" spans="1:23" ht="45">
      <c r="A743" s="8" t="s">
        <v>2904</v>
      </c>
      <c r="B743" s="8" t="s">
        <v>752</v>
      </c>
      <c r="C743" s="8" t="s">
        <v>2303</v>
      </c>
      <c r="D743" s="8" t="s">
        <v>18</v>
      </c>
      <c r="E743" s="8" t="s">
        <v>16</v>
      </c>
      <c r="F743" s="8" t="s">
        <v>2228</v>
      </c>
      <c r="G743" s="8" t="s">
        <v>2905</v>
      </c>
      <c r="H743" s="8">
        <v>103</v>
      </c>
      <c r="I743" s="8">
        <v>18</v>
      </c>
      <c r="J743" s="8">
        <v>40131007</v>
      </c>
      <c r="K743" s="9">
        <v>45374</v>
      </c>
      <c r="L743" s="9">
        <v>47119</v>
      </c>
      <c r="M743" s="8" t="s">
        <v>16</v>
      </c>
      <c r="P743" s="16" t="s">
        <v>709</v>
      </c>
      <c r="Q743" s="2" t="s">
        <v>151</v>
      </c>
      <c r="S743" s="8" t="s">
        <v>1093</v>
      </c>
      <c r="T743" s="9" t="s">
        <v>2222</v>
      </c>
      <c r="U743" s="8">
        <v>0</v>
      </c>
      <c r="V743" s="20">
        <v>860</v>
      </c>
      <c r="W743" s="21" t="s">
        <v>43</v>
      </c>
    </row>
    <row r="744" spans="1:23" ht="45">
      <c r="A744" s="8" t="s">
        <v>2904</v>
      </c>
      <c r="B744" s="8" t="s">
        <v>752</v>
      </c>
      <c r="C744" s="8" t="s">
        <v>2303</v>
      </c>
      <c r="D744" s="8" t="s">
        <v>18</v>
      </c>
      <c r="E744" s="8" t="s">
        <v>16</v>
      </c>
      <c r="F744" s="8" t="s">
        <v>2228</v>
      </c>
      <c r="G744" s="8" t="s">
        <v>2905</v>
      </c>
      <c r="H744" s="8">
        <v>103</v>
      </c>
      <c r="I744" s="8">
        <v>85</v>
      </c>
      <c r="J744" s="8">
        <v>40131010</v>
      </c>
      <c r="K744" s="9">
        <v>45399</v>
      </c>
      <c r="L744" s="9">
        <v>47150</v>
      </c>
      <c r="M744" s="8" t="s">
        <v>16</v>
      </c>
      <c r="P744" s="16" t="s">
        <v>709</v>
      </c>
      <c r="Q744" s="2" t="s">
        <v>151</v>
      </c>
      <c r="S744" s="8" t="s">
        <v>1094</v>
      </c>
      <c r="T744" s="9" t="s">
        <v>2222</v>
      </c>
      <c r="U744" s="8">
        <v>0</v>
      </c>
      <c r="V744" s="20">
        <v>313</v>
      </c>
      <c r="W744" s="21" t="s">
        <v>43</v>
      </c>
    </row>
    <row r="745" spans="1:23" ht="45">
      <c r="A745" s="8" t="s">
        <v>2906</v>
      </c>
      <c r="B745" s="8" t="s">
        <v>753</v>
      </c>
      <c r="C745" s="8" t="s">
        <v>2197</v>
      </c>
      <c r="D745" s="8" t="s">
        <v>18</v>
      </c>
      <c r="E745" s="8" t="s">
        <v>16</v>
      </c>
      <c r="F745" s="8" t="s">
        <v>2228</v>
      </c>
      <c r="G745" s="8" t="s">
        <v>2905</v>
      </c>
      <c r="H745" s="8">
        <v>3066</v>
      </c>
      <c r="I745" s="8">
        <v>206</v>
      </c>
      <c r="J745" s="8">
        <v>21208139</v>
      </c>
      <c r="K745" s="9">
        <v>44907</v>
      </c>
      <c r="L745" s="9">
        <v>46722</v>
      </c>
      <c r="M745" s="8" t="s">
        <v>16</v>
      </c>
      <c r="P745" s="16" t="s">
        <v>709</v>
      </c>
      <c r="Q745" s="2" t="s">
        <v>151</v>
      </c>
      <c r="S745" s="8" t="s">
        <v>1095</v>
      </c>
      <c r="T745" s="9" t="s">
        <v>2222</v>
      </c>
      <c r="U745" s="8">
        <v>0</v>
      </c>
      <c r="V745" s="20">
        <v>784</v>
      </c>
      <c r="W745" s="21" t="s">
        <v>43</v>
      </c>
    </row>
    <row r="746" spans="1:23" ht="45">
      <c r="A746" s="8" t="s">
        <v>2906</v>
      </c>
      <c r="B746" s="8" t="s">
        <v>753</v>
      </c>
      <c r="C746" s="8" t="s">
        <v>2197</v>
      </c>
      <c r="D746" s="8" t="s">
        <v>18</v>
      </c>
      <c r="E746" s="8" t="s">
        <v>16</v>
      </c>
      <c r="F746" s="8" t="s">
        <v>2228</v>
      </c>
      <c r="G746" s="8" t="s">
        <v>2905</v>
      </c>
      <c r="H746" s="8">
        <v>3066</v>
      </c>
      <c r="I746" s="8">
        <v>900</v>
      </c>
      <c r="J746" s="8">
        <v>30125005</v>
      </c>
      <c r="K746" s="9">
        <v>44960</v>
      </c>
      <c r="L746" s="9">
        <v>46753</v>
      </c>
      <c r="M746" s="8" t="s">
        <v>16</v>
      </c>
      <c r="P746" s="16" t="s">
        <v>709</v>
      </c>
      <c r="Q746" s="2" t="s">
        <v>151</v>
      </c>
      <c r="S746" s="8" t="s">
        <v>1096</v>
      </c>
      <c r="T746" s="9" t="s">
        <v>2222</v>
      </c>
      <c r="U746" s="8">
        <v>0</v>
      </c>
      <c r="V746" s="20">
        <v>50</v>
      </c>
      <c r="W746" s="21" t="s">
        <v>43</v>
      </c>
    </row>
    <row r="747" spans="1:23" ht="45">
      <c r="A747" s="8" t="s">
        <v>2906</v>
      </c>
      <c r="B747" s="8" t="s">
        <v>753</v>
      </c>
      <c r="C747" s="8" t="s">
        <v>2197</v>
      </c>
      <c r="D747" s="8" t="s">
        <v>18</v>
      </c>
      <c r="E747" s="8" t="s">
        <v>16</v>
      </c>
      <c r="F747" s="8" t="s">
        <v>2228</v>
      </c>
      <c r="G747" s="8" t="s">
        <v>2905</v>
      </c>
      <c r="H747" s="8">
        <v>3066</v>
      </c>
      <c r="I747" s="8">
        <v>1960</v>
      </c>
      <c r="J747" s="8">
        <v>30925088</v>
      </c>
      <c r="K747" s="9">
        <v>45379</v>
      </c>
      <c r="L747" s="9">
        <v>46997</v>
      </c>
      <c r="M747" s="8" t="s">
        <v>16</v>
      </c>
      <c r="P747" s="16" t="s">
        <v>709</v>
      </c>
      <c r="Q747" s="2" t="s">
        <v>151</v>
      </c>
      <c r="S747" s="8" t="s">
        <v>1097</v>
      </c>
      <c r="T747" s="9" t="s">
        <v>2222</v>
      </c>
      <c r="U747" s="8">
        <v>0</v>
      </c>
      <c r="V747" s="20">
        <v>72</v>
      </c>
      <c r="W747" s="21" t="s">
        <v>43</v>
      </c>
    </row>
    <row r="748" spans="1:23" ht="60">
      <c r="A748" s="8" t="s">
        <v>2907</v>
      </c>
      <c r="B748" s="8" t="s">
        <v>754</v>
      </c>
      <c r="C748" s="8" t="s">
        <v>2203</v>
      </c>
      <c r="D748" s="8" t="s">
        <v>18</v>
      </c>
      <c r="E748" s="8" t="s">
        <v>16</v>
      </c>
      <c r="F748" s="8" t="s">
        <v>2258</v>
      </c>
      <c r="G748" s="8" t="s">
        <v>2908</v>
      </c>
      <c r="H748" s="8">
        <v>259680</v>
      </c>
      <c r="I748" s="8">
        <v>80</v>
      </c>
      <c r="J748" s="8">
        <v>2312019</v>
      </c>
      <c r="K748" s="9">
        <v>45406</v>
      </c>
      <c r="L748" s="9">
        <v>47088</v>
      </c>
      <c r="M748" s="8" t="s">
        <v>16</v>
      </c>
      <c r="P748" s="16" t="s">
        <v>709</v>
      </c>
      <c r="Q748" s="2" t="s">
        <v>151</v>
      </c>
      <c r="S748" s="8" t="s">
        <v>1098</v>
      </c>
      <c r="T748" s="9" t="s">
        <v>2222</v>
      </c>
      <c r="U748" s="8">
        <v>0</v>
      </c>
      <c r="V748" s="20">
        <v>58</v>
      </c>
      <c r="W748" s="21" t="s">
        <v>43</v>
      </c>
    </row>
    <row r="749" spans="1:23" ht="60">
      <c r="A749" s="8" t="s">
        <v>2907</v>
      </c>
      <c r="B749" s="8" t="s">
        <v>754</v>
      </c>
      <c r="C749" s="8" t="s">
        <v>2203</v>
      </c>
      <c r="D749" s="8" t="s">
        <v>18</v>
      </c>
      <c r="E749" s="8" t="s">
        <v>16</v>
      </c>
      <c r="F749" s="8" t="s">
        <v>2258</v>
      </c>
      <c r="G749" s="8" t="s">
        <v>2908</v>
      </c>
      <c r="H749" s="8">
        <v>259680</v>
      </c>
      <c r="I749" s="8">
        <v>11000</v>
      </c>
      <c r="J749" s="8">
        <v>2405004</v>
      </c>
      <c r="K749" s="9">
        <v>45461</v>
      </c>
      <c r="L749" s="9">
        <v>47239</v>
      </c>
      <c r="M749" s="8" t="s">
        <v>16</v>
      </c>
      <c r="P749" s="16" t="s">
        <v>709</v>
      </c>
      <c r="Q749" s="2" t="s">
        <v>151</v>
      </c>
      <c r="S749" s="8" t="s">
        <v>1099</v>
      </c>
      <c r="T749" s="9" t="s">
        <v>2222</v>
      </c>
      <c r="U749" s="8">
        <v>0</v>
      </c>
      <c r="V749" s="20">
        <v>25</v>
      </c>
      <c r="W749" s="21" t="s">
        <v>43</v>
      </c>
    </row>
    <row r="750" spans="1:23" ht="60">
      <c r="A750" s="8" t="s">
        <v>2907</v>
      </c>
      <c r="B750" s="8" t="s">
        <v>754</v>
      </c>
      <c r="C750" s="8" t="s">
        <v>2203</v>
      </c>
      <c r="D750" s="8" t="s">
        <v>18</v>
      </c>
      <c r="E750" s="8" t="s">
        <v>16</v>
      </c>
      <c r="F750" s="8" t="s">
        <v>2258</v>
      </c>
      <c r="G750" s="8" t="s">
        <v>2908</v>
      </c>
      <c r="H750" s="8">
        <v>259680</v>
      </c>
      <c r="I750" s="8">
        <v>118600</v>
      </c>
      <c r="J750" s="8">
        <v>2406005</v>
      </c>
      <c r="K750" s="9">
        <v>45461</v>
      </c>
      <c r="L750" s="9">
        <v>47270</v>
      </c>
      <c r="M750" s="8" t="s">
        <v>16</v>
      </c>
      <c r="P750" s="16" t="s">
        <v>709</v>
      </c>
      <c r="Q750" s="2" t="s">
        <v>151</v>
      </c>
      <c r="S750" s="8" t="s">
        <v>1100</v>
      </c>
      <c r="T750" s="9" t="s">
        <v>2222</v>
      </c>
      <c r="U750" s="8">
        <v>0</v>
      </c>
      <c r="V750" s="20">
        <v>148</v>
      </c>
      <c r="W750" s="21" t="s">
        <v>43</v>
      </c>
    </row>
    <row r="751" spans="1:23" ht="60">
      <c r="A751" s="8" t="s">
        <v>2907</v>
      </c>
      <c r="B751" s="8" t="s">
        <v>754</v>
      </c>
      <c r="C751" s="8" t="s">
        <v>2203</v>
      </c>
      <c r="D751" s="8" t="s">
        <v>18</v>
      </c>
      <c r="E751" s="8" t="s">
        <v>16</v>
      </c>
      <c r="F751" s="8" t="s">
        <v>2258</v>
      </c>
      <c r="G751" s="8" t="s">
        <v>2908</v>
      </c>
      <c r="H751" s="8">
        <v>259680</v>
      </c>
      <c r="I751" s="8">
        <v>130000</v>
      </c>
      <c r="J751" s="8">
        <v>2405003</v>
      </c>
      <c r="K751" s="9">
        <v>45461</v>
      </c>
      <c r="L751" s="9">
        <v>47239</v>
      </c>
      <c r="M751" s="8" t="s">
        <v>16</v>
      </c>
      <c r="P751" s="16" t="s">
        <v>709</v>
      </c>
      <c r="Q751" s="2" t="s">
        <v>151</v>
      </c>
      <c r="S751" s="8" t="s">
        <v>1101</v>
      </c>
      <c r="T751" s="9" t="s">
        <v>2222</v>
      </c>
      <c r="U751" s="8">
        <v>0</v>
      </c>
      <c r="V751" s="20">
        <v>1</v>
      </c>
      <c r="W751" s="21" t="s">
        <v>43</v>
      </c>
    </row>
    <row r="752" spans="1:23" ht="60">
      <c r="A752" s="8" t="s">
        <v>2909</v>
      </c>
      <c r="B752" s="8" t="s">
        <v>755</v>
      </c>
      <c r="C752" s="8" t="s">
        <v>2203</v>
      </c>
      <c r="D752" s="8" t="s">
        <v>18</v>
      </c>
      <c r="E752" s="8" t="s">
        <v>2217</v>
      </c>
      <c r="F752" s="8" t="s">
        <v>2217</v>
      </c>
      <c r="G752" s="8" t="s">
        <v>2217</v>
      </c>
      <c r="H752" s="8">
        <v>400</v>
      </c>
      <c r="I752" s="8">
        <v>150</v>
      </c>
      <c r="J752" s="8">
        <v>2405005</v>
      </c>
      <c r="K752" s="9">
        <v>45461</v>
      </c>
      <c r="L752" s="9">
        <v>47239</v>
      </c>
      <c r="M752" s="8" t="s">
        <v>16</v>
      </c>
      <c r="P752" s="16" t="s">
        <v>709</v>
      </c>
      <c r="Q752" s="2" t="s">
        <v>151</v>
      </c>
      <c r="S752" s="8" t="s">
        <v>1102</v>
      </c>
      <c r="T752" s="9" t="s">
        <v>2222</v>
      </c>
      <c r="U752" s="8">
        <v>0</v>
      </c>
      <c r="V752" s="20">
        <v>41</v>
      </c>
      <c r="W752" s="21" t="s">
        <v>43</v>
      </c>
    </row>
    <row r="753" spans="1:23" ht="60">
      <c r="A753" s="8" t="s">
        <v>2909</v>
      </c>
      <c r="B753" s="8" t="s">
        <v>755</v>
      </c>
      <c r="C753" s="8" t="s">
        <v>2203</v>
      </c>
      <c r="D753" s="8" t="s">
        <v>18</v>
      </c>
      <c r="E753" s="8" t="s">
        <v>2217</v>
      </c>
      <c r="F753" s="8" t="s">
        <v>2217</v>
      </c>
      <c r="G753" s="8" t="s">
        <v>2217</v>
      </c>
      <c r="H753" s="8">
        <v>400</v>
      </c>
      <c r="I753" s="8">
        <v>250</v>
      </c>
      <c r="J753" s="8">
        <v>2406006</v>
      </c>
      <c r="K753" s="9">
        <v>45461</v>
      </c>
      <c r="L753" s="9">
        <v>47270</v>
      </c>
      <c r="M753" s="8" t="s">
        <v>16</v>
      </c>
      <c r="P753" s="16" t="s">
        <v>709</v>
      </c>
      <c r="Q753" s="2" t="s">
        <v>151</v>
      </c>
      <c r="S753" s="8" t="s">
        <v>1103</v>
      </c>
      <c r="T753" s="9" t="s">
        <v>2222</v>
      </c>
      <c r="U753" s="8">
        <v>0</v>
      </c>
      <c r="V753" s="20">
        <v>3785</v>
      </c>
      <c r="W753" s="21" t="s">
        <v>43</v>
      </c>
    </row>
    <row r="754" spans="1:23" ht="60">
      <c r="A754" s="8" t="s">
        <v>2910</v>
      </c>
      <c r="B754" s="8" t="s">
        <v>756</v>
      </c>
      <c r="C754" s="8" t="s">
        <v>2197</v>
      </c>
      <c r="D754" s="8" t="s">
        <v>18</v>
      </c>
      <c r="E754" s="8" t="s">
        <v>16</v>
      </c>
      <c r="F754" s="8" t="s">
        <v>2198</v>
      </c>
      <c r="G754" s="8" t="s">
        <v>2911</v>
      </c>
      <c r="H754" s="8">
        <v>4616</v>
      </c>
      <c r="I754" s="8">
        <v>4616</v>
      </c>
      <c r="J754" s="8" t="s">
        <v>757</v>
      </c>
      <c r="K754" s="9">
        <v>45238</v>
      </c>
      <c r="L754" s="9">
        <v>46997</v>
      </c>
      <c r="M754" s="8" t="s">
        <v>16</v>
      </c>
      <c r="P754" s="16" t="s">
        <v>726</v>
      </c>
      <c r="Q754" s="2" t="s">
        <v>151</v>
      </c>
      <c r="S754" s="8" t="s">
        <v>1104</v>
      </c>
      <c r="T754" s="9" t="s">
        <v>2222</v>
      </c>
      <c r="U754" s="8">
        <v>0</v>
      </c>
      <c r="V754" s="20">
        <v>115</v>
      </c>
      <c r="W754" s="21" t="s">
        <v>43</v>
      </c>
    </row>
    <row r="755" spans="1:23" ht="60">
      <c r="A755" s="8" t="s">
        <v>2912</v>
      </c>
      <c r="B755" s="8" t="s">
        <v>758</v>
      </c>
      <c r="C755" s="8" t="s">
        <v>2197</v>
      </c>
      <c r="D755" s="8" t="s">
        <v>18</v>
      </c>
      <c r="E755" s="8" t="s">
        <v>16</v>
      </c>
      <c r="F755" s="8" t="s">
        <v>2198</v>
      </c>
      <c r="G755" s="8" t="s">
        <v>2911</v>
      </c>
      <c r="H755" s="8">
        <v>375</v>
      </c>
      <c r="I755" s="8">
        <v>375</v>
      </c>
      <c r="J755" s="8" t="s">
        <v>757</v>
      </c>
      <c r="K755" s="9">
        <v>45238</v>
      </c>
      <c r="L755" s="9">
        <v>46997</v>
      </c>
      <c r="M755" s="8" t="s">
        <v>16</v>
      </c>
      <c r="P755" s="16" t="s">
        <v>726</v>
      </c>
      <c r="Q755" s="2" t="s">
        <v>151</v>
      </c>
      <c r="S755" s="8" t="s">
        <v>1105</v>
      </c>
      <c r="T755" s="9" t="s">
        <v>2222</v>
      </c>
      <c r="U755" s="8">
        <v>0</v>
      </c>
      <c r="V755" s="20">
        <v>985</v>
      </c>
      <c r="W755" s="21" t="s">
        <v>43</v>
      </c>
    </row>
    <row r="756" spans="1:23" ht="60">
      <c r="A756" s="8" t="s">
        <v>2913</v>
      </c>
      <c r="B756" s="8" t="s">
        <v>759</v>
      </c>
      <c r="C756" s="8" t="s">
        <v>2197</v>
      </c>
      <c r="D756" s="8" t="s">
        <v>18</v>
      </c>
      <c r="E756" s="8" t="s">
        <v>16</v>
      </c>
      <c r="F756" s="8" t="s">
        <v>2198</v>
      </c>
      <c r="G756" s="8" t="s">
        <v>2911</v>
      </c>
      <c r="H756" s="8">
        <v>830</v>
      </c>
      <c r="I756" s="8">
        <v>830</v>
      </c>
      <c r="J756" s="8" t="s">
        <v>757</v>
      </c>
      <c r="K756" s="9">
        <v>45238</v>
      </c>
      <c r="L756" s="9">
        <v>46997</v>
      </c>
      <c r="M756" s="8" t="s">
        <v>16</v>
      </c>
      <c r="P756" s="16" t="s">
        <v>726</v>
      </c>
      <c r="Q756" s="2" t="s">
        <v>151</v>
      </c>
      <c r="S756" s="8" t="s">
        <v>1106</v>
      </c>
      <c r="T756" s="9" t="s">
        <v>2222</v>
      </c>
      <c r="U756" s="8">
        <v>0</v>
      </c>
      <c r="V756" s="20">
        <v>14566</v>
      </c>
      <c r="W756" s="21" t="s">
        <v>43</v>
      </c>
    </row>
    <row r="757" spans="1:23" ht="60">
      <c r="A757" s="8" t="s">
        <v>2914</v>
      </c>
      <c r="B757" s="8" t="s">
        <v>760</v>
      </c>
      <c r="C757" s="8" t="s">
        <v>2197</v>
      </c>
      <c r="D757" s="8" t="s">
        <v>18</v>
      </c>
      <c r="E757" s="8" t="s">
        <v>2217</v>
      </c>
      <c r="F757" s="8" t="s">
        <v>2217</v>
      </c>
      <c r="G757" s="8" t="s">
        <v>2217</v>
      </c>
      <c r="H757" s="8">
        <v>5000</v>
      </c>
      <c r="I757" s="8">
        <v>5000</v>
      </c>
      <c r="J757" s="8" t="s">
        <v>761</v>
      </c>
      <c r="K757" s="9">
        <v>45461</v>
      </c>
      <c r="L757" s="9">
        <v>47270</v>
      </c>
      <c r="M757" s="8" t="s">
        <v>16</v>
      </c>
      <c r="P757" s="16" t="s">
        <v>730</v>
      </c>
      <c r="Q757" s="2" t="s">
        <v>16</v>
      </c>
      <c r="S757" s="8" t="s">
        <v>1107</v>
      </c>
      <c r="T757" s="9" t="s">
        <v>2222</v>
      </c>
      <c r="U757" s="8">
        <v>0</v>
      </c>
      <c r="V757" s="20">
        <v>985</v>
      </c>
      <c r="W757" s="21" t="s">
        <v>43</v>
      </c>
    </row>
    <row r="758" spans="1:23" ht="60">
      <c r="A758" s="8" t="s">
        <v>2915</v>
      </c>
      <c r="B758" s="8" t="s">
        <v>762</v>
      </c>
      <c r="C758" s="8" t="s">
        <v>2197</v>
      </c>
      <c r="D758" s="8" t="s">
        <v>18</v>
      </c>
      <c r="E758" s="8" t="s">
        <v>16</v>
      </c>
      <c r="F758" s="8" t="s">
        <v>2228</v>
      </c>
      <c r="G758" s="8" t="s">
        <v>2916</v>
      </c>
      <c r="H758" s="8">
        <v>508</v>
      </c>
      <c r="I758" s="8">
        <v>508</v>
      </c>
      <c r="J758" s="8">
        <v>2201002</v>
      </c>
      <c r="K758" s="9">
        <v>44589</v>
      </c>
      <c r="L758" s="9">
        <v>46388</v>
      </c>
      <c r="M758" s="8" t="s">
        <v>16</v>
      </c>
      <c r="P758" s="16" t="s">
        <v>731</v>
      </c>
      <c r="Q758" s="2" t="s">
        <v>16</v>
      </c>
      <c r="S758" s="8" t="s">
        <v>1108</v>
      </c>
      <c r="T758" s="9" t="s">
        <v>2222</v>
      </c>
      <c r="U758" s="8">
        <v>0</v>
      </c>
      <c r="V758" s="20">
        <v>56</v>
      </c>
      <c r="W758" s="21" t="s">
        <v>43</v>
      </c>
    </row>
    <row r="759" spans="1:23" ht="48.75">
      <c r="A759" s="8" t="s">
        <v>2917</v>
      </c>
      <c r="B759" s="8" t="s">
        <v>763</v>
      </c>
      <c r="C759" s="8" t="s">
        <v>2197</v>
      </c>
      <c r="D759" s="8" t="s">
        <v>18</v>
      </c>
      <c r="E759" s="8" t="s">
        <v>16</v>
      </c>
      <c r="F759" s="8" t="s">
        <v>2228</v>
      </c>
      <c r="G759" s="8" t="s">
        <v>2916</v>
      </c>
      <c r="H759" s="8">
        <v>1180</v>
      </c>
      <c r="I759" s="8">
        <v>1180</v>
      </c>
      <c r="J759" s="8">
        <v>2201001</v>
      </c>
      <c r="K759" s="9">
        <v>44862</v>
      </c>
      <c r="L759" s="9">
        <v>46388</v>
      </c>
      <c r="M759" s="8" t="s">
        <v>16</v>
      </c>
      <c r="P759" s="16" t="s">
        <v>732</v>
      </c>
      <c r="Q759" s="2" t="s">
        <v>16</v>
      </c>
      <c r="S759" s="8" t="s">
        <v>1109</v>
      </c>
      <c r="T759" s="9" t="s">
        <v>2222</v>
      </c>
      <c r="U759" s="8">
        <v>0</v>
      </c>
      <c r="V759" s="20">
        <v>22</v>
      </c>
      <c r="W759" s="21" t="s">
        <v>43</v>
      </c>
    </row>
    <row r="760" spans="1:23" ht="45">
      <c r="A760" s="8" t="s">
        <v>2918</v>
      </c>
      <c r="B760" s="8" t="s">
        <v>764</v>
      </c>
      <c r="C760" s="8" t="s">
        <v>2197</v>
      </c>
      <c r="D760" s="8" t="s">
        <v>18</v>
      </c>
      <c r="E760" s="8" t="s">
        <v>16</v>
      </c>
      <c r="F760" s="8" t="s">
        <v>2228</v>
      </c>
      <c r="G760" s="8" t="s">
        <v>2916</v>
      </c>
      <c r="H760" s="8">
        <v>4742</v>
      </c>
      <c r="I760" s="8">
        <v>42</v>
      </c>
      <c r="J760" s="8">
        <v>2302001</v>
      </c>
      <c r="K760" s="9">
        <v>44977</v>
      </c>
      <c r="L760" s="9">
        <v>46784</v>
      </c>
      <c r="M760" s="8" t="s">
        <v>16</v>
      </c>
      <c r="P760" s="16" t="s">
        <v>733</v>
      </c>
      <c r="Q760" s="2" t="s">
        <v>16</v>
      </c>
      <c r="S760" s="8" t="s">
        <v>1110</v>
      </c>
      <c r="T760" s="9" t="s">
        <v>2222</v>
      </c>
      <c r="U760" s="8">
        <v>0</v>
      </c>
      <c r="V760" s="20">
        <v>50</v>
      </c>
      <c r="W760" s="21" t="s">
        <v>43</v>
      </c>
    </row>
    <row r="761" spans="1:23" ht="45">
      <c r="A761" s="8" t="s">
        <v>2918</v>
      </c>
      <c r="B761" s="8" t="s">
        <v>764</v>
      </c>
      <c r="C761" s="8" t="s">
        <v>2197</v>
      </c>
      <c r="D761" s="8" t="s">
        <v>18</v>
      </c>
      <c r="E761" s="8" t="s">
        <v>16</v>
      </c>
      <c r="F761" s="8" t="s">
        <v>2228</v>
      </c>
      <c r="G761" s="8" t="s">
        <v>2916</v>
      </c>
      <c r="H761" s="8">
        <v>4742</v>
      </c>
      <c r="I761" s="8">
        <v>4700</v>
      </c>
      <c r="J761" s="8">
        <v>2310002</v>
      </c>
      <c r="K761" s="9">
        <v>45226</v>
      </c>
      <c r="L761" s="9">
        <v>47027</v>
      </c>
      <c r="M761" s="8" t="s">
        <v>16</v>
      </c>
      <c r="P761" s="16" t="s">
        <v>733</v>
      </c>
      <c r="Q761" s="2" t="s">
        <v>16</v>
      </c>
      <c r="S761" s="8" t="s">
        <v>1111</v>
      </c>
      <c r="T761" s="9" t="s">
        <v>2222</v>
      </c>
      <c r="U761" s="8">
        <v>0</v>
      </c>
      <c r="V761" s="20">
        <v>21</v>
      </c>
      <c r="W761" s="21" t="s">
        <v>43</v>
      </c>
    </row>
    <row r="762" spans="1:23" ht="45">
      <c r="A762" s="8" t="s">
        <v>2919</v>
      </c>
      <c r="B762" s="8" t="s">
        <v>765</v>
      </c>
      <c r="C762" s="8" t="s">
        <v>2197</v>
      </c>
      <c r="D762" s="8" t="s">
        <v>18</v>
      </c>
      <c r="E762" s="8" t="s">
        <v>2217</v>
      </c>
      <c r="F762" s="8" t="s">
        <v>2217</v>
      </c>
      <c r="G762" s="8" t="s">
        <v>2217</v>
      </c>
      <c r="H762" s="8">
        <v>1870</v>
      </c>
      <c r="I762" s="8">
        <v>1870</v>
      </c>
      <c r="J762" s="8">
        <v>2312111200</v>
      </c>
      <c r="K762" s="9">
        <v>45377</v>
      </c>
      <c r="L762" s="9">
        <v>46722</v>
      </c>
      <c r="M762" s="8" t="s">
        <v>16</v>
      </c>
      <c r="P762" s="16" t="s">
        <v>734</v>
      </c>
      <c r="Q762" s="2" t="s">
        <v>43</v>
      </c>
      <c r="S762" s="8" t="s">
        <v>1112</v>
      </c>
      <c r="T762" s="9">
        <v>44359</v>
      </c>
      <c r="U762" s="8">
        <v>0</v>
      </c>
      <c r="V762" s="20">
        <v>32</v>
      </c>
      <c r="W762" s="21" t="s">
        <v>43</v>
      </c>
    </row>
    <row r="763" spans="1:23" ht="45">
      <c r="A763" s="8" t="s">
        <v>2920</v>
      </c>
      <c r="B763" s="8" t="s">
        <v>766</v>
      </c>
      <c r="C763" s="8" t="s">
        <v>2197</v>
      </c>
      <c r="D763" s="8" t="s">
        <v>18</v>
      </c>
      <c r="E763" s="8" t="s">
        <v>16</v>
      </c>
      <c r="F763" s="8" t="s">
        <v>2228</v>
      </c>
      <c r="G763" s="8" t="s">
        <v>2921</v>
      </c>
      <c r="H763" s="8">
        <v>625</v>
      </c>
      <c r="I763" s="8">
        <v>625</v>
      </c>
      <c r="J763" s="8">
        <v>413012024621</v>
      </c>
      <c r="K763" s="9">
        <v>45369</v>
      </c>
      <c r="L763" s="9">
        <v>47150</v>
      </c>
      <c r="M763" s="8" t="s">
        <v>16</v>
      </c>
      <c r="P763" s="16" t="s">
        <v>735</v>
      </c>
      <c r="Q763" s="2" t="s">
        <v>43</v>
      </c>
      <c r="S763" s="8" t="s">
        <v>1113</v>
      </c>
      <c r="T763" s="9" t="s">
        <v>2222</v>
      </c>
      <c r="U763" s="8">
        <v>0</v>
      </c>
      <c r="V763" s="20">
        <v>57</v>
      </c>
      <c r="W763" s="21" t="s">
        <v>43</v>
      </c>
    </row>
    <row r="764" spans="1:23" ht="45">
      <c r="A764" s="8" t="s">
        <v>2922</v>
      </c>
      <c r="B764" s="8" t="s">
        <v>767</v>
      </c>
      <c r="C764" s="8" t="s">
        <v>2197</v>
      </c>
      <c r="D764" s="8" t="s">
        <v>18</v>
      </c>
      <c r="E764" s="8" t="s">
        <v>16</v>
      </c>
      <c r="F764" s="8" t="s">
        <v>2258</v>
      </c>
      <c r="G764" s="8" t="s">
        <v>2923</v>
      </c>
      <c r="H764" s="8">
        <v>1240</v>
      </c>
      <c r="I764" s="8">
        <v>280</v>
      </c>
      <c r="J764" s="8">
        <v>2401004</v>
      </c>
      <c r="K764" s="9">
        <v>45337</v>
      </c>
      <c r="L764" s="9">
        <v>47119</v>
      </c>
      <c r="M764" s="8" t="s">
        <v>16</v>
      </c>
      <c r="P764" s="16" t="s">
        <v>736</v>
      </c>
      <c r="Q764" s="2" t="s">
        <v>43</v>
      </c>
      <c r="S764" s="8" t="s">
        <v>1114</v>
      </c>
      <c r="T764" s="9" t="s">
        <v>2222</v>
      </c>
      <c r="U764" s="8">
        <v>0</v>
      </c>
      <c r="V764" s="20">
        <v>1</v>
      </c>
      <c r="W764" s="21" t="s">
        <v>43</v>
      </c>
    </row>
    <row r="765" spans="1:23" ht="45">
      <c r="A765" s="8" t="s">
        <v>2922</v>
      </c>
      <c r="B765" s="8" t="s">
        <v>767</v>
      </c>
      <c r="C765" s="8" t="s">
        <v>2197</v>
      </c>
      <c r="D765" s="8" t="s">
        <v>18</v>
      </c>
      <c r="E765" s="8" t="s">
        <v>16</v>
      </c>
      <c r="F765" s="8" t="s">
        <v>2258</v>
      </c>
      <c r="G765" s="8" t="s">
        <v>2923</v>
      </c>
      <c r="H765" s="8">
        <v>1240</v>
      </c>
      <c r="I765" s="8">
        <v>960</v>
      </c>
      <c r="J765" s="8">
        <v>2401005</v>
      </c>
      <c r="K765" s="9">
        <v>45401</v>
      </c>
      <c r="L765" s="9">
        <v>47119</v>
      </c>
      <c r="M765" s="8" t="s">
        <v>16</v>
      </c>
      <c r="P765" s="16" t="s">
        <v>737</v>
      </c>
      <c r="Q765" s="2" t="s">
        <v>43</v>
      </c>
      <c r="S765" s="8" t="s">
        <v>1115</v>
      </c>
      <c r="T765" s="9" t="s">
        <v>2222</v>
      </c>
      <c r="U765" s="8">
        <v>0</v>
      </c>
      <c r="V765" s="20">
        <v>133</v>
      </c>
      <c r="W765" s="21" t="s">
        <v>43</v>
      </c>
    </row>
    <row r="766" spans="1:23" ht="45">
      <c r="A766" s="8" t="s">
        <v>2924</v>
      </c>
      <c r="B766" s="8" t="s">
        <v>768</v>
      </c>
      <c r="C766" s="8" t="s">
        <v>2197</v>
      </c>
      <c r="D766" s="8" t="s">
        <v>18</v>
      </c>
      <c r="E766" s="8" t="s">
        <v>16</v>
      </c>
      <c r="F766" s="8" t="s">
        <v>2925</v>
      </c>
      <c r="G766" s="8" t="s">
        <v>2926</v>
      </c>
      <c r="H766" s="8">
        <v>44</v>
      </c>
      <c r="I766" s="8">
        <v>44</v>
      </c>
      <c r="J766" s="8">
        <v>8</v>
      </c>
      <c r="K766" s="9">
        <v>45301</v>
      </c>
      <c r="L766" s="9">
        <v>46357</v>
      </c>
      <c r="M766" s="8" t="s">
        <v>16</v>
      </c>
      <c r="P766" s="16" t="s">
        <v>738</v>
      </c>
      <c r="Q766" s="2" t="s">
        <v>16</v>
      </c>
      <c r="S766" s="8" t="s">
        <v>1116</v>
      </c>
      <c r="T766" s="9" t="s">
        <v>2222</v>
      </c>
      <c r="U766" s="8">
        <v>0</v>
      </c>
      <c r="V766" s="20">
        <v>210</v>
      </c>
      <c r="W766" s="21" t="s">
        <v>43</v>
      </c>
    </row>
    <row r="767" spans="1:23" ht="45">
      <c r="A767" s="8" t="s">
        <v>2927</v>
      </c>
      <c r="B767" s="8" t="s">
        <v>769</v>
      </c>
      <c r="C767" s="8" t="s">
        <v>2197</v>
      </c>
      <c r="D767" s="8" t="s">
        <v>18</v>
      </c>
      <c r="E767" s="8" t="s">
        <v>16</v>
      </c>
      <c r="F767" s="8" t="s">
        <v>2925</v>
      </c>
      <c r="G767" s="8" t="s">
        <v>2926</v>
      </c>
      <c r="H767" s="8">
        <v>1238</v>
      </c>
      <c r="I767" s="8">
        <v>1238</v>
      </c>
      <c r="J767" s="8">
        <v>8</v>
      </c>
      <c r="K767" s="9">
        <v>45301</v>
      </c>
      <c r="L767" s="9">
        <v>46357</v>
      </c>
      <c r="M767" s="8" t="s">
        <v>16</v>
      </c>
      <c r="P767" s="16" t="s">
        <v>738</v>
      </c>
      <c r="Q767" s="2" t="s">
        <v>16</v>
      </c>
      <c r="S767" s="8" t="s">
        <v>1117</v>
      </c>
      <c r="T767" s="9" t="s">
        <v>2222</v>
      </c>
      <c r="U767" s="8">
        <v>0</v>
      </c>
      <c r="V767" s="20">
        <v>9</v>
      </c>
      <c r="W767" s="21" t="s">
        <v>43</v>
      </c>
    </row>
    <row r="768" spans="1:23" ht="75">
      <c r="A768" s="8" t="s">
        <v>2928</v>
      </c>
      <c r="B768" s="8" t="s">
        <v>770</v>
      </c>
      <c r="C768" s="8" t="s">
        <v>2197</v>
      </c>
      <c r="D768" s="8" t="s">
        <v>18</v>
      </c>
      <c r="E768" s="8" t="s">
        <v>16</v>
      </c>
      <c r="F768" s="8" t="s">
        <v>2228</v>
      </c>
      <c r="G768" s="8" t="s">
        <v>2929</v>
      </c>
      <c r="H768" s="8">
        <v>1714</v>
      </c>
      <c r="I768" s="8">
        <v>1714</v>
      </c>
      <c r="J768" s="10">
        <v>609000000000</v>
      </c>
      <c r="K768" s="9">
        <v>44900</v>
      </c>
      <c r="L768" s="9">
        <v>46722</v>
      </c>
      <c r="M768" s="8" t="s">
        <v>16</v>
      </c>
      <c r="P768" s="16" t="s">
        <v>739</v>
      </c>
      <c r="Q768" s="2" t="s">
        <v>16</v>
      </c>
      <c r="S768" s="8" t="s">
        <v>1118</v>
      </c>
      <c r="T768" s="9" t="s">
        <v>2222</v>
      </c>
      <c r="U768" s="8">
        <v>0</v>
      </c>
      <c r="V768" s="20">
        <v>53</v>
      </c>
      <c r="W768" s="21" t="s">
        <v>43</v>
      </c>
    </row>
    <row r="769" spans="1:23" ht="45">
      <c r="A769" s="8" t="s">
        <v>2930</v>
      </c>
      <c r="B769" s="8" t="s">
        <v>771</v>
      </c>
      <c r="C769" s="8" t="s">
        <v>2221</v>
      </c>
      <c r="D769" s="8" t="s">
        <v>18</v>
      </c>
      <c r="E769" s="8" t="s">
        <v>43</v>
      </c>
      <c r="F769" s="8" t="s">
        <v>2217</v>
      </c>
      <c r="G769" s="8" t="s">
        <v>2217</v>
      </c>
      <c r="H769" s="8">
        <v>56</v>
      </c>
      <c r="I769" s="8">
        <v>56</v>
      </c>
      <c r="J769" s="8">
        <v>0</v>
      </c>
      <c r="K769" s="9">
        <v>44146</v>
      </c>
      <c r="L769" s="8" t="s">
        <v>2222</v>
      </c>
      <c r="M769" s="8" t="s">
        <v>43</v>
      </c>
      <c r="P769" s="16" t="s">
        <v>740</v>
      </c>
      <c r="Q769" s="2" t="s">
        <v>16</v>
      </c>
      <c r="S769" s="8" t="s">
        <v>1119</v>
      </c>
      <c r="T769" s="9" t="s">
        <v>2222</v>
      </c>
      <c r="U769" s="8">
        <v>0</v>
      </c>
      <c r="V769" s="20">
        <v>138</v>
      </c>
      <c r="W769" s="21" t="s">
        <v>43</v>
      </c>
    </row>
    <row r="770" spans="1:23" ht="45">
      <c r="A770" s="8" t="s">
        <v>2931</v>
      </c>
      <c r="B770" s="8" t="s">
        <v>772</v>
      </c>
      <c r="C770" s="8" t="s">
        <v>2203</v>
      </c>
      <c r="D770" s="8" t="s">
        <v>18</v>
      </c>
      <c r="E770" s="8" t="s">
        <v>16</v>
      </c>
      <c r="F770" s="8" t="s">
        <v>2228</v>
      </c>
      <c r="G770" s="8" t="s">
        <v>2932</v>
      </c>
      <c r="H770" s="8">
        <v>733</v>
      </c>
      <c r="I770" s="8">
        <v>733</v>
      </c>
      <c r="J770" s="8">
        <v>0</v>
      </c>
      <c r="K770" s="9">
        <v>44009</v>
      </c>
      <c r="L770" s="8" t="s">
        <v>2222</v>
      </c>
      <c r="M770" s="8" t="s">
        <v>16</v>
      </c>
      <c r="P770" s="16" t="s">
        <v>740</v>
      </c>
      <c r="Q770" s="2" t="s">
        <v>16</v>
      </c>
      <c r="S770" s="8" t="s">
        <v>1120</v>
      </c>
      <c r="T770" s="9" t="s">
        <v>2222</v>
      </c>
      <c r="U770" s="8">
        <v>0</v>
      </c>
      <c r="V770" s="20">
        <v>7</v>
      </c>
      <c r="W770" s="21" t="s">
        <v>43</v>
      </c>
    </row>
    <row r="771" spans="1:23" ht="60">
      <c r="A771" s="8" t="s">
        <v>2933</v>
      </c>
      <c r="B771" s="8" t="s">
        <v>772</v>
      </c>
      <c r="C771" s="8" t="s">
        <v>2203</v>
      </c>
      <c r="D771" s="8" t="s">
        <v>18</v>
      </c>
      <c r="E771" s="8" t="s">
        <v>16</v>
      </c>
      <c r="F771" s="8" t="s">
        <v>2228</v>
      </c>
      <c r="G771" s="8" t="s">
        <v>2932</v>
      </c>
      <c r="H771" s="8">
        <v>22001</v>
      </c>
      <c r="I771" s="8">
        <v>22001</v>
      </c>
      <c r="J771" s="8">
        <v>0</v>
      </c>
      <c r="K771" s="9">
        <v>44009</v>
      </c>
      <c r="L771" s="8" t="s">
        <v>2222</v>
      </c>
      <c r="M771" s="8" t="s">
        <v>16</v>
      </c>
      <c r="P771" s="16" t="s">
        <v>740</v>
      </c>
      <c r="Q771" s="2" t="s">
        <v>16</v>
      </c>
      <c r="S771" s="8" t="s">
        <v>1121</v>
      </c>
      <c r="T771" s="9" t="s">
        <v>2222</v>
      </c>
      <c r="U771" s="8">
        <v>0</v>
      </c>
      <c r="V771" s="20">
        <v>13</v>
      </c>
      <c r="W771" s="21" t="s">
        <v>43</v>
      </c>
    </row>
    <row r="772" spans="1:23" ht="60">
      <c r="A772" s="8" t="s">
        <v>2934</v>
      </c>
      <c r="B772" s="8" t="s">
        <v>773</v>
      </c>
      <c r="C772" s="8" t="s">
        <v>2203</v>
      </c>
      <c r="D772" s="8" t="s">
        <v>18</v>
      </c>
      <c r="E772" s="8" t="s">
        <v>2217</v>
      </c>
      <c r="F772" s="8" t="s">
        <v>2217</v>
      </c>
      <c r="G772" s="8" t="s">
        <v>2217</v>
      </c>
      <c r="H772" s="8">
        <v>35330</v>
      </c>
      <c r="I772" s="8">
        <v>35330</v>
      </c>
      <c r="J772" s="8">
        <v>0</v>
      </c>
      <c r="K772" s="9">
        <v>45174</v>
      </c>
      <c r="L772" s="8" t="s">
        <v>2222</v>
      </c>
      <c r="M772" s="8" t="s">
        <v>16</v>
      </c>
      <c r="P772" s="16" t="s">
        <v>740</v>
      </c>
      <c r="Q772" s="2" t="s">
        <v>16</v>
      </c>
      <c r="S772" s="8" t="s">
        <v>1122</v>
      </c>
      <c r="T772" s="9" t="s">
        <v>2222</v>
      </c>
      <c r="U772" s="8">
        <v>0</v>
      </c>
      <c r="V772" s="20">
        <v>134</v>
      </c>
      <c r="W772" s="21" t="s">
        <v>43</v>
      </c>
    </row>
    <row r="773" spans="1:23" ht="45">
      <c r="A773" s="8" t="s">
        <v>2935</v>
      </c>
      <c r="B773" s="8" t="s">
        <v>774</v>
      </c>
      <c r="C773" s="8" t="s">
        <v>2307</v>
      </c>
      <c r="D773" s="8" t="s">
        <v>18</v>
      </c>
      <c r="E773" s="8" t="s">
        <v>16</v>
      </c>
      <c r="F773" s="8" t="s">
        <v>2228</v>
      </c>
      <c r="G773" s="8" t="s">
        <v>2936</v>
      </c>
      <c r="H773" s="8">
        <v>47</v>
      </c>
      <c r="I773" s="8">
        <v>47</v>
      </c>
      <c r="J773" s="8">
        <v>20916190</v>
      </c>
      <c r="K773" s="9">
        <v>44861</v>
      </c>
      <c r="L773" s="9">
        <v>46631</v>
      </c>
      <c r="M773" s="8" t="s">
        <v>16</v>
      </c>
      <c r="P773" s="16" t="s">
        <v>741</v>
      </c>
      <c r="Q773" s="2" t="s">
        <v>16</v>
      </c>
      <c r="S773" s="8" t="s">
        <v>1123</v>
      </c>
      <c r="T773" s="9" t="s">
        <v>2222</v>
      </c>
      <c r="U773" s="8">
        <v>0</v>
      </c>
      <c r="V773" s="20">
        <v>30</v>
      </c>
      <c r="W773" s="21" t="s">
        <v>43</v>
      </c>
    </row>
    <row r="774" spans="1:23" ht="45">
      <c r="A774" s="8" t="s">
        <v>2937</v>
      </c>
      <c r="B774" s="8" t="s">
        <v>775</v>
      </c>
      <c r="C774" s="8" t="s">
        <v>2197</v>
      </c>
      <c r="D774" s="8" t="s">
        <v>18</v>
      </c>
      <c r="E774" s="8" t="s">
        <v>16</v>
      </c>
      <c r="F774" s="8" t="s">
        <v>2228</v>
      </c>
      <c r="G774" s="8" t="s">
        <v>2936</v>
      </c>
      <c r="H774" s="8">
        <v>22782</v>
      </c>
      <c r="I774" s="8">
        <v>22</v>
      </c>
      <c r="J774" s="8">
        <v>21021196</v>
      </c>
      <c r="K774" s="9">
        <v>44861</v>
      </c>
      <c r="L774" s="9">
        <v>46661</v>
      </c>
      <c r="M774" s="8" t="s">
        <v>16</v>
      </c>
      <c r="P774" s="16" t="s">
        <v>741</v>
      </c>
      <c r="Q774" s="2" t="s">
        <v>16</v>
      </c>
      <c r="S774" s="8" t="s">
        <v>1124</v>
      </c>
      <c r="T774" s="9" t="s">
        <v>2222</v>
      </c>
      <c r="U774" s="8">
        <v>0</v>
      </c>
      <c r="V774" s="20">
        <v>14</v>
      </c>
      <c r="W774" s="21" t="s">
        <v>43</v>
      </c>
    </row>
    <row r="775" spans="1:23" ht="45">
      <c r="A775" s="8" t="s">
        <v>2937</v>
      </c>
      <c r="B775" s="8" t="s">
        <v>775</v>
      </c>
      <c r="C775" s="8" t="s">
        <v>2197</v>
      </c>
      <c r="D775" s="8" t="s">
        <v>18</v>
      </c>
      <c r="E775" s="8" t="s">
        <v>16</v>
      </c>
      <c r="F775" s="8" t="s">
        <v>2228</v>
      </c>
      <c r="G775" s="8" t="s">
        <v>2936</v>
      </c>
      <c r="H775" s="8">
        <v>22782</v>
      </c>
      <c r="I775" s="8">
        <v>480</v>
      </c>
      <c r="J775" s="8">
        <v>30522035</v>
      </c>
      <c r="K775" s="9">
        <v>45145</v>
      </c>
      <c r="L775" s="9">
        <v>46874</v>
      </c>
      <c r="M775" s="8" t="s">
        <v>16</v>
      </c>
      <c r="P775" s="16" t="s">
        <v>741</v>
      </c>
      <c r="Q775" s="2" t="s">
        <v>16</v>
      </c>
      <c r="S775" s="8" t="s">
        <v>1125</v>
      </c>
      <c r="T775" s="9" t="s">
        <v>2222</v>
      </c>
      <c r="U775" s="8">
        <v>0</v>
      </c>
      <c r="V775" s="20">
        <v>965</v>
      </c>
      <c r="W775" s="21" t="s">
        <v>43</v>
      </c>
    </row>
    <row r="776" spans="1:23" ht="48.75">
      <c r="A776" s="8" t="s">
        <v>2937</v>
      </c>
      <c r="B776" s="8" t="s">
        <v>775</v>
      </c>
      <c r="C776" s="8" t="s">
        <v>2197</v>
      </c>
      <c r="D776" s="8" t="s">
        <v>18</v>
      </c>
      <c r="E776" s="8" t="s">
        <v>16</v>
      </c>
      <c r="F776" s="8" t="s">
        <v>2228</v>
      </c>
      <c r="G776" s="8" t="s">
        <v>2936</v>
      </c>
      <c r="H776" s="8">
        <v>22782</v>
      </c>
      <c r="I776" s="8">
        <v>700</v>
      </c>
      <c r="J776" s="8">
        <v>30909123</v>
      </c>
      <c r="K776" s="9">
        <v>45182</v>
      </c>
      <c r="L776" s="9">
        <v>46997</v>
      </c>
      <c r="M776" s="8" t="s">
        <v>16</v>
      </c>
      <c r="P776" s="16" t="s">
        <v>742</v>
      </c>
      <c r="Q776" s="2" t="s">
        <v>151</v>
      </c>
      <c r="S776" s="8" t="s">
        <v>1126</v>
      </c>
      <c r="T776" s="9" t="s">
        <v>2222</v>
      </c>
      <c r="U776" s="8">
        <v>0</v>
      </c>
      <c r="V776" s="20">
        <v>125</v>
      </c>
      <c r="W776" s="21" t="s">
        <v>43</v>
      </c>
    </row>
    <row r="777" spans="1:23" ht="48.75">
      <c r="A777" s="8" t="s">
        <v>2937</v>
      </c>
      <c r="B777" s="8" t="s">
        <v>775</v>
      </c>
      <c r="C777" s="8" t="s">
        <v>2197</v>
      </c>
      <c r="D777" s="8" t="s">
        <v>18</v>
      </c>
      <c r="E777" s="8" t="s">
        <v>16</v>
      </c>
      <c r="F777" s="8" t="s">
        <v>2228</v>
      </c>
      <c r="G777" s="8" t="s">
        <v>2936</v>
      </c>
      <c r="H777" s="8">
        <v>22782</v>
      </c>
      <c r="I777" s="8">
        <v>3720</v>
      </c>
      <c r="J777" s="8">
        <v>30807092</v>
      </c>
      <c r="K777" s="9">
        <v>45149</v>
      </c>
      <c r="L777" s="9">
        <v>46966</v>
      </c>
      <c r="M777" s="8" t="s">
        <v>16</v>
      </c>
      <c r="P777" s="16" t="s">
        <v>743</v>
      </c>
      <c r="Q777" s="2" t="s">
        <v>16</v>
      </c>
      <c r="S777" s="8" t="s">
        <v>1127</v>
      </c>
      <c r="T777" s="9" t="s">
        <v>2222</v>
      </c>
      <c r="U777" s="8">
        <v>0</v>
      </c>
      <c r="V777" s="20">
        <v>264</v>
      </c>
      <c r="W777" s="21" t="s">
        <v>43</v>
      </c>
    </row>
    <row r="778" spans="1:23" ht="45">
      <c r="A778" s="8" t="s">
        <v>2937</v>
      </c>
      <c r="B778" s="8" t="s">
        <v>775</v>
      </c>
      <c r="C778" s="8" t="s">
        <v>2197</v>
      </c>
      <c r="D778" s="8" t="s">
        <v>18</v>
      </c>
      <c r="E778" s="8" t="s">
        <v>16</v>
      </c>
      <c r="F778" s="8" t="s">
        <v>2228</v>
      </c>
      <c r="G778" s="8" t="s">
        <v>2936</v>
      </c>
      <c r="H778" s="8">
        <v>22782</v>
      </c>
      <c r="I778" s="8">
        <v>4440</v>
      </c>
      <c r="J778" s="8">
        <v>21019195</v>
      </c>
      <c r="K778" s="9">
        <v>44861</v>
      </c>
      <c r="L778" s="9">
        <v>46661</v>
      </c>
      <c r="M778" s="8" t="s">
        <v>16</v>
      </c>
      <c r="P778" s="16" t="s">
        <v>744</v>
      </c>
      <c r="Q778" s="2" t="s">
        <v>151</v>
      </c>
      <c r="S778" s="8" t="s">
        <v>1128</v>
      </c>
      <c r="T778" s="9" t="s">
        <v>2222</v>
      </c>
      <c r="U778" s="8">
        <v>0</v>
      </c>
      <c r="V778" s="20">
        <v>20</v>
      </c>
      <c r="W778" s="21" t="s">
        <v>43</v>
      </c>
    </row>
    <row r="779" spans="1:23" ht="45">
      <c r="A779" s="8" t="s">
        <v>2937</v>
      </c>
      <c r="B779" s="8" t="s">
        <v>775</v>
      </c>
      <c r="C779" s="8" t="s">
        <v>2197</v>
      </c>
      <c r="D779" s="8" t="s">
        <v>18</v>
      </c>
      <c r="E779" s="8" t="s">
        <v>16</v>
      </c>
      <c r="F779" s="8" t="s">
        <v>2228</v>
      </c>
      <c r="G779" s="8" t="s">
        <v>2936</v>
      </c>
      <c r="H779" s="8">
        <v>22782</v>
      </c>
      <c r="I779" s="8">
        <v>6240</v>
      </c>
      <c r="J779" s="8">
        <v>30805091</v>
      </c>
      <c r="K779" s="9">
        <v>45148</v>
      </c>
      <c r="L779" s="9">
        <v>46966</v>
      </c>
      <c r="M779" s="8" t="s">
        <v>16</v>
      </c>
      <c r="P779" s="16" t="s">
        <v>744</v>
      </c>
      <c r="Q779" s="2" t="s">
        <v>151</v>
      </c>
      <c r="S779" s="8" t="s">
        <v>1129</v>
      </c>
      <c r="T779" s="9" t="s">
        <v>2222</v>
      </c>
      <c r="U779" s="8">
        <v>0</v>
      </c>
      <c r="V779" s="20">
        <v>314</v>
      </c>
      <c r="W779" s="21" t="s">
        <v>43</v>
      </c>
    </row>
    <row r="780" spans="1:23" ht="45">
      <c r="A780" s="8" t="s">
        <v>2937</v>
      </c>
      <c r="B780" s="8" t="s">
        <v>775</v>
      </c>
      <c r="C780" s="8" t="s">
        <v>2197</v>
      </c>
      <c r="D780" s="8" t="s">
        <v>18</v>
      </c>
      <c r="E780" s="8" t="s">
        <v>16</v>
      </c>
      <c r="F780" s="8" t="s">
        <v>2228</v>
      </c>
      <c r="G780" s="8" t="s">
        <v>2936</v>
      </c>
      <c r="H780" s="8">
        <v>22782</v>
      </c>
      <c r="I780" s="8">
        <v>7200</v>
      </c>
      <c r="J780" s="8">
        <v>30911124</v>
      </c>
      <c r="K780" s="9">
        <v>45182</v>
      </c>
      <c r="L780" s="9">
        <v>46997</v>
      </c>
      <c r="M780" s="8" t="s">
        <v>16</v>
      </c>
      <c r="P780" s="16" t="s">
        <v>744</v>
      </c>
      <c r="Q780" s="2" t="s">
        <v>151</v>
      </c>
      <c r="S780" s="8" t="s">
        <v>1130</v>
      </c>
      <c r="T780" s="9" t="s">
        <v>2222</v>
      </c>
      <c r="U780" s="8">
        <v>0</v>
      </c>
      <c r="V780" s="20">
        <v>21</v>
      </c>
      <c r="W780" s="21" t="s">
        <v>43</v>
      </c>
    </row>
    <row r="781" spans="1:23" ht="45">
      <c r="A781" s="8" t="s">
        <v>2938</v>
      </c>
      <c r="B781" s="8" t="s">
        <v>776</v>
      </c>
      <c r="C781" s="8" t="s">
        <v>2307</v>
      </c>
      <c r="D781" s="8" t="s">
        <v>18</v>
      </c>
      <c r="E781" s="8" t="s">
        <v>16</v>
      </c>
      <c r="F781" s="8" t="s">
        <v>2228</v>
      </c>
      <c r="G781" s="8" t="s">
        <v>2936</v>
      </c>
      <c r="H781" s="8">
        <v>335</v>
      </c>
      <c r="I781" s="8">
        <v>335</v>
      </c>
      <c r="J781" s="8">
        <v>21021198</v>
      </c>
      <c r="K781" s="9">
        <v>44861</v>
      </c>
      <c r="L781" s="9">
        <v>46661</v>
      </c>
      <c r="M781" s="8" t="s">
        <v>16</v>
      </c>
      <c r="P781" s="16" t="s">
        <v>745</v>
      </c>
      <c r="Q781" s="2" t="s">
        <v>16</v>
      </c>
      <c r="S781" s="8" t="s">
        <v>1131</v>
      </c>
      <c r="T781" s="9" t="s">
        <v>2222</v>
      </c>
      <c r="U781" s="8">
        <v>0</v>
      </c>
      <c r="V781" s="20">
        <v>254</v>
      </c>
      <c r="W781" s="21" t="s">
        <v>43</v>
      </c>
    </row>
    <row r="782" spans="1:23" ht="45">
      <c r="A782" s="8" t="s">
        <v>2939</v>
      </c>
      <c r="B782" s="8" t="s">
        <v>777</v>
      </c>
      <c r="C782" s="8" t="s">
        <v>2197</v>
      </c>
      <c r="D782" s="8" t="s">
        <v>18</v>
      </c>
      <c r="E782" s="8" t="s">
        <v>151</v>
      </c>
      <c r="F782" s="8" t="s">
        <v>151</v>
      </c>
      <c r="G782" s="8" t="s">
        <v>2940</v>
      </c>
      <c r="H782" s="8">
        <v>280</v>
      </c>
      <c r="I782" s="8">
        <v>80</v>
      </c>
      <c r="J782" s="8">
        <v>0</v>
      </c>
      <c r="K782" s="9">
        <v>45365</v>
      </c>
      <c r="L782" s="9">
        <v>46874</v>
      </c>
      <c r="M782" s="8" t="s">
        <v>16</v>
      </c>
      <c r="P782" s="16" t="s">
        <v>746</v>
      </c>
      <c r="Q782" s="2" t="s">
        <v>16</v>
      </c>
      <c r="S782" s="8" t="s">
        <v>1132</v>
      </c>
      <c r="T782" s="9" t="s">
        <v>2222</v>
      </c>
      <c r="U782" s="8">
        <v>0</v>
      </c>
      <c r="V782" s="20">
        <v>67</v>
      </c>
      <c r="W782" s="21" t="s">
        <v>43</v>
      </c>
    </row>
    <row r="783" spans="1:23" ht="45">
      <c r="A783" s="8" t="s">
        <v>2939</v>
      </c>
      <c r="B783" s="8" t="s">
        <v>777</v>
      </c>
      <c r="C783" s="8" t="s">
        <v>2197</v>
      </c>
      <c r="D783" s="8" t="s">
        <v>18</v>
      </c>
      <c r="E783" s="8" t="s">
        <v>151</v>
      </c>
      <c r="F783" s="8" t="s">
        <v>151</v>
      </c>
      <c r="G783" s="8" t="s">
        <v>2940</v>
      </c>
      <c r="H783" s="8">
        <v>280</v>
      </c>
      <c r="I783" s="8">
        <v>200</v>
      </c>
      <c r="J783" s="8">
        <v>0</v>
      </c>
      <c r="K783" s="9">
        <v>45136</v>
      </c>
      <c r="L783" s="9">
        <v>46935</v>
      </c>
      <c r="M783" s="8" t="s">
        <v>16</v>
      </c>
      <c r="P783" s="16" t="s">
        <v>747</v>
      </c>
      <c r="Q783" s="2" t="s">
        <v>151</v>
      </c>
      <c r="S783" s="8" t="s">
        <v>1133</v>
      </c>
      <c r="T783" s="9" t="s">
        <v>2222</v>
      </c>
      <c r="U783" s="8">
        <v>0</v>
      </c>
      <c r="V783" s="20">
        <v>4638</v>
      </c>
      <c r="W783" s="21" t="s">
        <v>43</v>
      </c>
    </row>
    <row r="784" spans="1:23" ht="45">
      <c r="A784" s="8" t="s">
        <v>2941</v>
      </c>
      <c r="B784" s="8" t="s">
        <v>778</v>
      </c>
      <c r="C784" s="8" t="s">
        <v>2307</v>
      </c>
      <c r="D784" s="8" t="s">
        <v>100</v>
      </c>
      <c r="E784" s="8" t="s">
        <v>151</v>
      </c>
      <c r="F784" s="8" t="s">
        <v>151</v>
      </c>
      <c r="G784" s="8" t="s">
        <v>2940</v>
      </c>
      <c r="H784" s="8">
        <v>1</v>
      </c>
      <c r="I784" s="8">
        <v>1</v>
      </c>
      <c r="J784" s="8">
        <v>0</v>
      </c>
      <c r="K784" s="9">
        <v>45098</v>
      </c>
      <c r="L784" s="9">
        <v>46905</v>
      </c>
      <c r="M784" s="8" t="s">
        <v>16</v>
      </c>
      <c r="P784" s="16" t="s">
        <v>747</v>
      </c>
      <c r="Q784" s="2" t="s">
        <v>151</v>
      </c>
      <c r="S784" s="8" t="s">
        <v>1134</v>
      </c>
      <c r="T784" s="9" t="s">
        <v>2222</v>
      </c>
      <c r="U784" s="8">
        <v>0</v>
      </c>
      <c r="V784" s="20">
        <v>6700</v>
      </c>
      <c r="W784" s="21" t="s">
        <v>43</v>
      </c>
    </row>
    <row r="785" spans="1:23" ht="36.75">
      <c r="A785" s="8" t="s">
        <v>2941</v>
      </c>
      <c r="B785" s="8" t="s">
        <v>778</v>
      </c>
      <c r="C785" s="8" t="s">
        <v>2307</v>
      </c>
      <c r="D785" s="8" t="s">
        <v>18</v>
      </c>
      <c r="E785" s="8" t="s">
        <v>151</v>
      </c>
      <c r="F785" s="8" t="s">
        <v>151</v>
      </c>
      <c r="G785" s="8" t="s">
        <v>2940</v>
      </c>
      <c r="H785" s="8">
        <v>239</v>
      </c>
      <c r="I785" s="8">
        <v>239</v>
      </c>
      <c r="J785" s="8">
        <v>0</v>
      </c>
      <c r="K785" s="9">
        <v>45098</v>
      </c>
      <c r="L785" s="9">
        <v>46905</v>
      </c>
      <c r="M785" s="8" t="s">
        <v>16</v>
      </c>
      <c r="P785" s="16" t="s">
        <v>747</v>
      </c>
      <c r="Q785" s="2" t="s">
        <v>151</v>
      </c>
      <c r="S785" s="8" t="s">
        <v>1135</v>
      </c>
      <c r="T785" s="9" t="s">
        <v>2222</v>
      </c>
      <c r="U785" s="8">
        <v>0</v>
      </c>
      <c r="V785" s="20">
        <v>1090</v>
      </c>
      <c r="W785" s="21" t="s">
        <v>43</v>
      </c>
    </row>
    <row r="786" spans="1:23" ht="90">
      <c r="A786" s="8" t="s">
        <v>2942</v>
      </c>
      <c r="B786" s="8" t="s">
        <v>779</v>
      </c>
      <c r="C786" s="8" t="s">
        <v>2221</v>
      </c>
      <c r="D786" s="8" t="s">
        <v>18</v>
      </c>
      <c r="E786" s="8" t="s">
        <v>101</v>
      </c>
      <c r="F786" s="8" t="s">
        <v>2943</v>
      </c>
      <c r="G786" s="8" t="s">
        <v>2944</v>
      </c>
      <c r="H786" s="8">
        <v>51</v>
      </c>
      <c r="I786" s="8">
        <v>51</v>
      </c>
      <c r="J786" s="8">
        <v>0</v>
      </c>
      <c r="K786" s="9">
        <v>44145</v>
      </c>
      <c r="L786" s="8" t="s">
        <v>2222</v>
      </c>
      <c r="M786" s="8" t="s">
        <v>101</v>
      </c>
      <c r="P786" s="16" t="s">
        <v>748</v>
      </c>
      <c r="Q786" s="2" t="s">
        <v>151</v>
      </c>
      <c r="S786" s="8" t="s">
        <v>1136</v>
      </c>
      <c r="T786" s="9" t="s">
        <v>2222</v>
      </c>
      <c r="U786" s="8">
        <v>0</v>
      </c>
      <c r="V786" s="20">
        <v>26</v>
      </c>
      <c r="W786" s="21" t="s">
        <v>43</v>
      </c>
    </row>
    <row r="787" spans="1:23" ht="105">
      <c r="A787" s="8" t="s">
        <v>2945</v>
      </c>
      <c r="B787" s="8" t="s">
        <v>780</v>
      </c>
      <c r="C787" s="8" t="s">
        <v>2221</v>
      </c>
      <c r="D787" s="8" t="s">
        <v>18</v>
      </c>
      <c r="E787" s="8" t="s">
        <v>101</v>
      </c>
      <c r="F787" s="8" t="s">
        <v>2943</v>
      </c>
      <c r="G787" s="8" t="s">
        <v>2946</v>
      </c>
      <c r="H787" s="8">
        <v>65</v>
      </c>
      <c r="I787" s="8">
        <v>65</v>
      </c>
      <c r="J787" s="8">
        <v>0</v>
      </c>
      <c r="K787" s="9">
        <v>44132</v>
      </c>
      <c r="L787" s="8" t="s">
        <v>2222</v>
      </c>
      <c r="M787" s="8" t="s">
        <v>101</v>
      </c>
      <c r="P787" s="16" t="s">
        <v>748</v>
      </c>
      <c r="Q787" s="2" t="s">
        <v>151</v>
      </c>
      <c r="S787" s="8" t="s">
        <v>1137</v>
      </c>
      <c r="T787" s="9" t="s">
        <v>2222</v>
      </c>
      <c r="U787" s="8">
        <v>0</v>
      </c>
      <c r="V787" s="20">
        <v>488</v>
      </c>
      <c r="W787" s="21" t="s">
        <v>43</v>
      </c>
    </row>
    <row r="788" spans="1:23" ht="60">
      <c r="A788" s="8" t="s">
        <v>2947</v>
      </c>
      <c r="B788" s="8" t="s">
        <v>781</v>
      </c>
      <c r="C788" s="8" t="s">
        <v>2197</v>
      </c>
      <c r="D788" s="8" t="s">
        <v>18</v>
      </c>
      <c r="E788" s="8" t="s">
        <v>151</v>
      </c>
      <c r="F788" s="8" t="s">
        <v>151</v>
      </c>
      <c r="G788" s="8" t="s">
        <v>2948</v>
      </c>
      <c r="H788" s="8">
        <v>452</v>
      </c>
      <c r="I788" s="8">
        <v>452</v>
      </c>
      <c r="J788" s="8" t="s">
        <v>782</v>
      </c>
      <c r="K788" s="9">
        <v>44729</v>
      </c>
      <c r="L788" s="9">
        <v>46722</v>
      </c>
      <c r="M788" s="8" t="s">
        <v>151</v>
      </c>
      <c r="P788" s="16" t="s">
        <v>749</v>
      </c>
      <c r="Q788" s="2" t="s">
        <v>151</v>
      </c>
      <c r="S788" s="8" t="s">
        <v>1138</v>
      </c>
      <c r="T788" s="9" t="s">
        <v>2222</v>
      </c>
      <c r="U788" s="8">
        <v>0</v>
      </c>
      <c r="V788" s="20">
        <v>33</v>
      </c>
      <c r="W788" s="21" t="s">
        <v>43</v>
      </c>
    </row>
    <row r="789" spans="1:23" ht="60">
      <c r="A789" s="8" t="s">
        <v>2949</v>
      </c>
      <c r="B789" s="8" t="s">
        <v>783</v>
      </c>
      <c r="C789" s="8" t="s">
        <v>2197</v>
      </c>
      <c r="D789" s="8" t="s">
        <v>209</v>
      </c>
      <c r="E789" s="8" t="s">
        <v>151</v>
      </c>
      <c r="F789" s="8" t="s">
        <v>151</v>
      </c>
      <c r="G789" s="8" t="s">
        <v>2948</v>
      </c>
      <c r="H789" s="8">
        <v>96</v>
      </c>
      <c r="I789" s="8">
        <v>96</v>
      </c>
      <c r="J789" s="8">
        <v>0</v>
      </c>
      <c r="K789" s="8" t="s">
        <v>2222</v>
      </c>
      <c r="L789" s="8" t="s">
        <v>2222</v>
      </c>
      <c r="M789" s="8" t="s">
        <v>151</v>
      </c>
      <c r="P789" s="16" t="s">
        <v>750</v>
      </c>
      <c r="Q789" s="2" t="s">
        <v>151</v>
      </c>
      <c r="S789" s="8" t="s">
        <v>1139</v>
      </c>
      <c r="T789" s="9" t="s">
        <v>2222</v>
      </c>
      <c r="U789" s="8">
        <v>0</v>
      </c>
      <c r="V789" s="20">
        <v>52</v>
      </c>
      <c r="W789" s="21" t="s">
        <v>43</v>
      </c>
    </row>
    <row r="790" spans="1:23" ht="60">
      <c r="A790" s="8" t="s">
        <v>2950</v>
      </c>
      <c r="B790" s="8" t="s">
        <v>783</v>
      </c>
      <c r="C790" s="8" t="s">
        <v>2197</v>
      </c>
      <c r="D790" s="8" t="s">
        <v>18</v>
      </c>
      <c r="E790" s="8" t="s">
        <v>151</v>
      </c>
      <c r="F790" s="8" t="s">
        <v>151</v>
      </c>
      <c r="G790" s="8" t="s">
        <v>2948</v>
      </c>
      <c r="H790" s="8">
        <v>1021</v>
      </c>
      <c r="I790" s="8">
        <v>1021</v>
      </c>
      <c r="J790" s="8">
        <v>0</v>
      </c>
      <c r="K790" s="8" t="s">
        <v>2222</v>
      </c>
      <c r="L790" s="8" t="s">
        <v>2222</v>
      </c>
      <c r="M790" s="8" t="s">
        <v>151</v>
      </c>
      <c r="P790" s="16" t="s">
        <v>751</v>
      </c>
      <c r="Q790" s="2" t="s">
        <v>151</v>
      </c>
      <c r="S790" s="8" t="s">
        <v>1140</v>
      </c>
      <c r="T790" s="9" t="s">
        <v>2222</v>
      </c>
      <c r="U790" s="8">
        <v>0</v>
      </c>
      <c r="V790" s="20">
        <v>85</v>
      </c>
      <c r="W790" s="21" t="s">
        <v>43</v>
      </c>
    </row>
    <row r="791" spans="1:23" ht="60">
      <c r="A791" s="8" t="s">
        <v>2951</v>
      </c>
      <c r="B791" s="8" t="s">
        <v>784</v>
      </c>
      <c r="C791" s="8" t="s">
        <v>2197</v>
      </c>
      <c r="D791" s="8" t="s">
        <v>209</v>
      </c>
      <c r="E791" s="8" t="s">
        <v>151</v>
      </c>
      <c r="F791" s="8" t="s">
        <v>151</v>
      </c>
      <c r="G791" s="8" t="s">
        <v>2952</v>
      </c>
      <c r="H791" s="8">
        <v>21</v>
      </c>
      <c r="I791" s="8">
        <v>21</v>
      </c>
      <c r="J791" s="8">
        <v>0</v>
      </c>
      <c r="K791" s="8" t="s">
        <v>2222</v>
      </c>
      <c r="L791" s="8" t="s">
        <v>2222</v>
      </c>
      <c r="M791" s="8" t="s">
        <v>38</v>
      </c>
      <c r="P791" s="16" t="s">
        <v>751</v>
      </c>
      <c r="Q791" s="2" t="s">
        <v>151</v>
      </c>
      <c r="S791" s="8" t="s">
        <v>1141</v>
      </c>
      <c r="T791" s="9" t="s">
        <v>2222</v>
      </c>
      <c r="U791" s="8">
        <v>0</v>
      </c>
      <c r="V791" s="20">
        <v>30</v>
      </c>
      <c r="W791" s="21" t="s">
        <v>43</v>
      </c>
    </row>
    <row r="792" spans="1:23" ht="60">
      <c r="A792" s="8" t="s">
        <v>2953</v>
      </c>
      <c r="B792" s="8" t="s">
        <v>785</v>
      </c>
      <c r="C792" s="8" t="s">
        <v>2197</v>
      </c>
      <c r="D792" s="8" t="s">
        <v>209</v>
      </c>
      <c r="E792" s="8" t="s">
        <v>151</v>
      </c>
      <c r="F792" s="8" t="s">
        <v>151</v>
      </c>
      <c r="G792" s="8" t="s">
        <v>2954</v>
      </c>
      <c r="H792" s="8">
        <v>90</v>
      </c>
      <c r="I792" s="8">
        <v>90</v>
      </c>
      <c r="J792" s="8">
        <v>0</v>
      </c>
      <c r="K792" s="8" t="s">
        <v>2222</v>
      </c>
      <c r="L792" s="8" t="s">
        <v>2222</v>
      </c>
      <c r="M792" s="8" t="s">
        <v>151</v>
      </c>
      <c r="P792" s="16" t="s">
        <v>752</v>
      </c>
      <c r="Q792" s="2" t="s">
        <v>16</v>
      </c>
      <c r="S792" s="8" t="s">
        <v>1142</v>
      </c>
      <c r="T792" s="9" t="s">
        <v>2222</v>
      </c>
      <c r="U792" s="8">
        <v>0</v>
      </c>
      <c r="V792" s="20">
        <v>3045</v>
      </c>
      <c r="W792" s="21" t="s">
        <v>43</v>
      </c>
    </row>
    <row r="793" spans="1:23" ht="45">
      <c r="A793" s="8" t="s">
        <v>2955</v>
      </c>
      <c r="B793" s="8" t="s">
        <v>786</v>
      </c>
      <c r="C793" s="8" t="s">
        <v>2197</v>
      </c>
      <c r="D793" s="8" t="s">
        <v>18</v>
      </c>
      <c r="E793" s="8" t="s">
        <v>151</v>
      </c>
      <c r="F793" s="8" t="s">
        <v>151</v>
      </c>
      <c r="G793" s="8" t="s">
        <v>2954</v>
      </c>
      <c r="H793" s="8">
        <v>140</v>
      </c>
      <c r="I793" s="8">
        <v>8</v>
      </c>
      <c r="J793" s="8" t="s">
        <v>787</v>
      </c>
      <c r="K793" s="9">
        <v>45033</v>
      </c>
      <c r="L793" s="9">
        <v>46997</v>
      </c>
      <c r="M793" s="8" t="s">
        <v>151</v>
      </c>
      <c r="P793" s="16" t="s">
        <v>752</v>
      </c>
      <c r="Q793" s="2" t="s">
        <v>16</v>
      </c>
      <c r="S793" s="8" t="s">
        <v>1143</v>
      </c>
      <c r="T793" s="9" t="s">
        <v>2222</v>
      </c>
      <c r="U793" s="8">
        <v>0</v>
      </c>
      <c r="V793" s="20">
        <v>8</v>
      </c>
      <c r="W793" s="21" t="s">
        <v>43</v>
      </c>
    </row>
    <row r="794" spans="1:23" ht="45">
      <c r="A794" s="8" t="s">
        <v>2955</v>
      </c>
      <c r="B794" s="8" t="s">
        <v>786</v>
      </c>
      <c r="C794" s="8" t="s">
        <v>2197</v>
      </c>
      <c r="D794" s="8" t="s">
        <v>18</v>
      </c>
      <c r="E794" s="8" t="s">
        <v>151</v>
      </c>
      <c r="F794" s="8" t="s">
        <v>151</v>
      </c>
      <c r="G794" s="8" t="s">
        <v>2954</v>
      </c>
      <c r="H794" s="8">
        <v>140</v>
      </c>
      <c r="I794" s="8">
        <v>132</v>
      </c>
      <c r="J794" s="8" t="s">
        <v>788</v>
      </c>
      <c r="K794" s="9">
        <v>45199</v>
      </c>
      <c r="L794" s="9">
        <v>47178</v>
      </c>
      <c r="M794" s="8" t="s">
        <v>151</v>
      </c>
      <c r="P794" s="16" t="s">
        <v>753</v>
      </c>
      <c r="Q794" s="2" t="s">
        <v>16</v>
      </c>
      <c r="S794" s="8" t="s">
        <v>1144</v>
      </c>
      <c r="T794" s="9" t="s">
        <v>2222</v>
      </c>
      <c r="U794" s="8">
        <v>0</v>
      </c>
      <c r="V794" s="20">
        <v>7583</v>
      </c>
      <c r="W794" s="21" t="s">
        <v>43</v>
      </c>
    </row>
    <row r="795" spans="1:23" ht="45">
      <c r="A795" s="8" t="s">
        <v>2956</v>
      </c>
      <c r="B795" s="8" t="s">
        <v>789</v>
      </c>
      <c r="C795" s="8" t="s">
        <v>2197</v>
      </c>
      <c r="D795" s="8" t="s">
        <v>18</v>
      </c>
      <c r="E795" s="8" t="s">
        <v>151</v>
      </c>
      <c r="F795" s="8" t="s">
        <v>151</v>
      </c>
      <c r="G795" s="8" t="s">
        <v>2954</v>
      </c>
      <c r="H795" s="8">
        <v>913</v>
      </c>
      <c r="I795" s="8">
        <v>120</v>
      </c>
      <c r="J795" s="8" t="s">
        <v>790</v>
      </c>
      <c r="K795" s="9">
        <v>45033</v>
      </c>
      <c r="L795" s="9">
        <v>46997</v>
      </c>
      <c r="M795" s="8" t="s">
        <v>151</v>
      </c>
      <c r="P795" s="16" t="s">
        <v>753</v>
      </c>
      <c r="Q795" s="2" t="s">
        <v>16</v>
      </c>
      <c r="S795" s="8" t="s">
        <v>1145</v>
      </c>
      <c r="T795" s="9" t="s">
        <v>2222</v>
      </c>
      <c r="U795" s="8">
        <v>0</v>
      </c>
      <c r="V795" s="20">
        <v>100</v>
      </c>
      <c r="W795" s="21" t="s">
        <v>43</v>
      </c>
    </row>
    <row r="796" spans="1:23" ht="45">
      <c r="A796" s="8" t="s">
        <v>2956</v>
      </c>
      <c r="B796" s="8" t="s">
        <v>789</v>
      </c>
      <c r="C796" s="8" t="s">
        <v>2197</v>
      </c>
      <c r="D796" s="8" t="s">
        <v>18</v>
      </c>
      <c r="E796" s="8" t="s">
        <v>151</v>
      </c>
      <c r="F796" s="8" t="s">
        <v>151</v>
      </c>
      <c r="G796" s="8" t="s">
        <v>2954</v>
      </c>
      <c r="H796" s="8">
        <v>913</v>
      </c>
      <c r="I796" s="8">
        <v>793</v>
      </c>
      <c r="J796" s="8" t="s">
        <v>791</v>
      </c>
      <c r="K796" s="9">
        <v>45199</v>
      </c>
      <c r="L796" s="9">
        <v>46813</v>
      </c>
      <c r="M796" s="8" t="s">
        <v>151</v>
      </c>
      <c r="P796" s="16" t="s">
        <v>753</v>
      </c>
      <c r="Q796" s="2" t="s">
        <v>16</v>
      </c>
      <c r="S796" s="8" t="s">
        <v>1146</v>
      </c>
      <c r="T796" s="9" t="s">
        <v>2222</v>
      </c>
      <c r="U796" s="8">
        <v>0</v>
      </c>
      <c r="V796" s="20">
        <v>47</v>
      </c>
      <c r="W796" s="21" t="s">
        <v>43</v>
      </c>
    </row>
    <row r="797" spans="1:23" ht="45">
      <c r="A797" s="8" t="s">
        <v>2957</v>
      </c>
      <c r="B797" s="8" t="s">
        <v>792</v>
      </c>
      <c r="C797" s="8" t="s">
        <v>2197</v>
      </c>
      <c r="D797" s="8" t="s">
        <v>18</v>
      </c>
      <c r="E797" s="8" t="s">
        <v>151</v>
      </c>
      <c r="F797" s="8" t="s">
        <v>151</v>
      </c>
      <c r="G797" s="8" t="s">
        <v>2954</v>
      </c>
      <c r="H797" s="8">
        <v>2505</v>
      </c>
      <c r="I797" s="8">
        <v>2505</v>
      </c>
      <c r="J797" s="8" t="s">
        <v>793</v>
      </c>
      <c r="K797" s="9">
        <v>45269</v>
      </c>
      <c r="L797" s="9">
        <v>47270</v>
      </c>
      <c r="M797" s="8" t="s">
        <v>16</v>
      </c>
      <c r="P797" s="16" t="s">
        <v>754</v>
      </c>
      <c r="Q797" s="2" t="s">
        <v>16</v>
      </c>
      <c r="S797" s="8" t="s">
        <v>1147</v>
      </c>
      <c r="T797" s="9" t="s">
        <v>2222</v>
      </c>
      <c r="U797" s="8">
        <v>0</v>
      </c>
      <c r="V797" s="20">
        <v>67</v>
      </c>
      <c r="W797" s="21" t="s">
        <v>43</v>
      </c>
    </row>
    <row r="798" spans="1:23" ht="45">
      <c r="A798" s="8" t="s">
        <v>2958</v>
      </c>
      <c r="B798" s="8" t="s">
        <v>794</v>
      </c>
      <c r="C798" s="8" t="s">
        <v>2221</v>
      </c>
      <c r="D798" s="8" t="s">
        <v>18</v>
      </c>
      <c r="E798" s="8" t="s">
        <v>101</v>
      </c>
      <c r="F798" s="8" t="s">
        <v>2498</v>
      </c>
      <c r="G798" s="8" t="s">
        <v>794</v>
      </c>
      <c r="H798" s="8">
        <v>2</v>
      </c>
      <c r="I798" s="8">
        <v>2</v>
      </c>
      <c r="J798" s="8">
        <v>0</v>
      </c>
      <c r="K798" s="9">
        <v>44495</v>
      </c>
      <c r="L798" s="8" t="s">
        <v>2222</v>
      </c>
      <c r="M798" s="8" t="s">
        <v>41</v>
      </c>
      <c r="P798" s="16" t="s">
        <v>754</v>
      </c>
      <c r="Q798" s="2" t="s">
        <v>16</v>
      </c>
      <c r="S798" s="8" t="s">
        <v>1148</v>
      </c>
      <c r="T798" s="9" t="s">
        <v>2222</v>
      </c>
      <c r="U798" s="8">
        <v>0</v>
      </c>
      <c r="V798" s="20">
        <v>74</v>
      </c>
      <c r="W798" s="21" t="s">
        <v>43</v>
      </c>
    </row>
    <row r="799" spans="1:23" ht="45">
      <c r="A799" s="8" t="s">
        <v>2959</v>
      </c>
      <c r="B799" s="8" t="s">
        <v>794</v>
      </c>
      <c r="C799" s="8" t="s">
        <v>2221</v>
      </c>
      <c r="D799" s="8" t="s">
        <v>18</v>
      </c>
      <c r="E799" s="8" t="s">
        <v>101</v>
      </c>
      <c r="F799" s="8" t="s">
        <v>2498</v>
      </c>
      <c r="G799" s="8" t="s">
        <v>2960</v>
      </c>
      <c r="H799" s="8">
        <v>9</v>
      </c>
      <c r="I799" s="8">
        <v>9</v>
      </c>
      <c r="J799" s="8">
        <v>0</v>
      </c>
      <c r="K799" s="9">
        <v>44146</v>
      </c>
      <c r="L799" s="8" t="s">
        <v>2222</v>
      </c>
      <c r="M799" s="8" t="s">
        <v>41</v>
      </c>
      <c r="P799" s="16" t="s">
        <v>754</v>
      </c>
      <c r="Q799" s="2" t="s">
        <v>16</v>
      </c>
      <c r="S799" s="8" t="s">
        <v>1149</v>
      </c>
      <c r="T799" s="9">
        <v>45870</v>
      </c>
      <c r="U799" s="8">
        <v>0</v>
      </c>
      <c r="V799" s="20">
        <v>940</v>
      </c>
      <c r="W799" s="21" t="s">
        <v>16</v>
      </c>
    </row>
    <row r="800" spans="1:23" ht="45">
      <c r="A800" s="8" t="s">
        <v>2961</v>
      </c>
      <c r="B800" s="8" t="s">
        <v>795</v>
      </c>
      <c r="C800" s="8" t="s">
        <v>2221</v>
      </c>
      <c r="D800" s="8" t="s">
        <v>18</v>
      </c>
      <c r="E800" s="8" t="s">
        <v>43</v>
      </c>
      <c r="F800" s="8" t="s">
        <v>2217</v>
      </c>
      <c r="G800" s="8" t="s">
        <v>2217</v>
      </c>
      <c r="H800" s="8">
        <v>95</v>
      </c>
      <c r="I800" s="8">
        <v>95</v>
      </c>
      <c r="J800" s="8">
        <v>0</v>
      </c>
      <c r="K800" s="9">
        <v>44162</v>
      </c>
      <c r="L800" s="8" t="s">
        <v>2222</v>
      </c>
      <c r="M800" s="8" t="s">
        <v>43</v>
      </c>
      <c r="P800" s="16" t="s">
        <v>754</v>
      </c>
      <c r="Q800" s="2" t="s">
        <v>16</v>
      </c>
      <c r="S800" s="8" t="s">
        <v>1151</v>
      </c>
      <c r="T800" s="9" t="s">
        <v>2222</v>
      </c>
      <c r="U800" s="8">
        <v>0</v>
      </c>
      <c r="V800" s="20">
        <v>5</v>
      </c>
      <c r="W800" s="21" t="s">
        <v>41</v>
      </c>
    </row>
    <row r="801" spans="1:23" ht="45">
      <c r="A801" s="8" t="s">
        <v>2962</v>
      </c>
      <c r="B801" s="8" t="s">
        <v>796</v>
      </c>
      <c r="C801" s="8" t="s">
        <v>2203</v>
      </c>
      <c r="D801" s="8" t="s">
        <v>18</v>
      </c>
      <c r="E801" s="8" t="s">
        <v>151</v>
      </c>
      <c r="F801" s="8" t="s">
        <v>151</v>
      </c>
      <c r="G801" s="8" t="s">
        <v>2963</v>
      </c>
      <c r="H801" s="8">
        <v>1158</v>
      </c>
      <c r="I801" s="8">
        <v>1158</v>
      </c>
      <c r="J801" s="8">
        <v>0</v>
      </c>
      <c r="K801" s="9">
        <v>45413</v>
      </c>
      <c r="L801" s="9">
        <v>47239</v>
      </c>
      <c r="M801" s="8" t="s">
        <v>151</v>
      </c>
      <c r="P801" s="16" t="s">
        <v>755</v>
      </c>
      <c r="Q801" s="2" t="s">
        <v>16</v>
      </c>
      <c r="S801" s="8" t="s">
        <v>1152</v>
      </c>
      <c r="T801" s="9" t="s">
        <v>2222</v>
      </c>
      <c r="U801" s="8">
        <v>0</v>
      </c>
      <c r="V801" s="20">
        <v>40</v>
      </c>
      <c r="W801" s="21" t="s">
        <v>41</v>
      </c>
    </row>
    <row r="802" spans="1:23" ht="75">
      <c r="A802" s="8" t="s">
        <v>2964</v>
      </c>
      <c r="B802" s="8" t="s">
        <v>797</v>
      </c>
      <c r="C802" s="8" t="s">
        <v>2197</v>
      </c>
      <c r="D802" s="8" t="s">
        <v>18</v>
      </c>
      <c r="E802" s="8" t="s">
        <v>16</v>
      </c>
      <c r="F802" s="8" t="s">
        <v>2198</v>
      </c>
      <c r="G802" s="8" t="s">
        <v>2965</v>
      </c>
      <c r="H802" s="8">
        <v>1602</v>
      </c>
      <c r="I802" s="8">
        <v>258</v>
      </c>
      <c r="J802" s="8" t="s">
        <v>798</v>
      </c>
      <c r="K802" s="9">
        <v>44856</v>
      </c>
      <c r="L802" s="9">
        <v>46569</v>
      </c>
      <c r="M802" s="8" t="s">
        <v>16</v>
      </c>
      <c r="P802" s="16" t="s">
        <v>755</v>
      </c>
      <c r="Q802" s="2" t="s">
        <v>16</v>
      </c>
      <c r="S802" s="8" t="s">
        <v>1153</v>
      </c>
      <c r="T802" s="9">
        <v>46966</v>
      </c>
      <c r="U802" s="8">
        <v>0</v>
      </c>
      <c r="V802" s="20">
        <v>479</v>
      </c>
      <c r="W802" s="21" t="s">
        <v>16</v>
      </c>
    </row>
    <row r="803" spans="1:23" ht="48.75">
      <c r="A803" s="8" t="s">
        <v>2964</v>
      </c>
      <c r="B803" s="8" t="s">
        <v>797</v>
      </c>
      <c r="C803" s="8" t="s">
        <v>2197</v>
      </c>
      <c r="D803" s="8" t="s">
        <v>18</v>
      </c>
      <c r="E803" s="8" t="s">
        <v>16</v>
      </c>
      <c r="F803" s="8" t="s">
        <v>2198</v>
      </c>
      <c r="G803" s="8" t="s">
        <v>2965</v>
      </c>
      <c r="H803" s="8">
        <v>1602</v>
      </c>
      <c r="I803" s="8">
        <v>1344</v>
      </c>
      <c r="J803" s="8" t="s">
        <v>799</v>
      </c>
      <c r="K803" s="9">
        <v>45203</v>
      </c>
      <c r="L803" s="9">
        <v>46600</v>
      </c>
      <c r="M803" s="8" t="s">
        <v>16</v>
      </c>
      <c r="P803" s="16" t="s">
        <v>756</v>
      </c>
      <c r="Q803" s="2" t="s">
        <v>16</v>
      </c>
      <c r="S803" s="8" t="s">
        <v>1155</v>
      </c>
      <c r="T803" s="9">
        <v>46935</v>
      </c>
      <c r="U803" s="8">
        <v>0</v>
      </c>
      <c r="V803" s="20">
        <v>1334</v>
      </c>
      <c r="W803" s="21" t="s">
        <v>16</v>
      </c>
    </row>
    <row r="804" spans="1:23" ht="48.75">
      <c r="A804" s="8" t="s">
        <v>2966</v>
      </c>
      <c r="B804" s="8" t="s">
        <v>800</v>
      </c>
      <c r="C804" s="8" t="s">
        <v>2203</v>
      </c>
      <c r="D804" s="8" t="s">
        <v>18</v>
      </c>
      <c r="E804" s="8" t="s">
        <v>16</v>
      </c>
      <c r="F804" s="8" t="s">
        <v>2204</v>
      </c>
      <c r="G804" s="8" t="s">
        <v>2967</v>
      </c>
      <c r="H804" s="8">
        <v>241</v>
      </c>
      <c r="I804" s="8">
        <v>241</v>
      </c>
      <c r="J804" s="8" t="s">
        <v>801</v>
      </c>
      <c r="K804" s="9">
        <v>45169</v>
      </c>
      <c r="L804" s="9">
        <v>45505</v>
      </c>
      <c r="M804" s="8" t="s">
        <v>16</v>
      </c>
      <c r="P804" s="16" t="s">
        <v>758</v>
      </c>
      <c r="Q804" s="2" t="s">
        <v>16</v>
      </c>
      <c r="S804" s="8" t="s">
        <v>1156</v>
      </c>
      <c r="T804" s="9">
        <v>46935</v>
      </c>
      <c r="U804" s="8">
        <v>0</v>
      </c>
      <c r="V804" s="20">
        <v>205</v>
      </c>
      <c r="W804" s="21" t="s">
        <v>16</v>
      </c>
    </row>
    <row r="805" spans="1:23" ht="75">
      <c r="A805" s="8" t="s">
        <v>2968</v>
      </c>
      <c r="B805" s="8" t="s">
        <v>802</v>
      </c>
      <c r="C805" s="8" t="s">
        <v>2197</v>
      </c>
      <c r="D805" s="8" t="s">
        <v>18</v>
      </c>
      <c r="E805" s="8" t="s">
        <v>16</v>
      </c>
      <c r="F805" s="8" t="s">
        <v>2204</v>
      </c>
      <c r="G805" s="8" t="s">
        <v>2969</v>
      </c>
      <c r="H805" s="8">
        <v>2163</v>
      </c>
      <c r="I805" s="8">
        <v>300</v>
      </c>
      <c r="J805" s="8">
        <v>24031201</v>
      </c>
      <c r="K805" s="9">
        <v>45370</v>
      </c>
      <c r="L805" s="9">
        <v>47150</v>
      </c>
      <c r="M805" s="8" t="s">
        <v>16</v>
      </c>
      <c r="P805" s="16" t="s">
        <v>759</v>
      </c>
      <c r="Q805" s="2" t="s">
        <v>16</v>
      </c>
      <c r="S805" s="8" t="s">
        <v>1158</v>
      </c>
      <c r="T805" s="9" t="s">
        <v>2222</v>
      </c>
      <c r="U805" s="8">
        <v>0</v>
      </c>
      <c r="V805" s="20">
        <v>22042</v>
      </c>
      <c r="W805" s="21" t="s">
        <v>43</v>
      </c>
    </row>
    <row r="806" spans="1:23" ht="60">
      <c r="A806" s="8" t="s">
        <v>2968</v>
      </c>
      <c r="B806" s="8" t="s">
        <v>802</v>
      </c>
      <c r="C806" s="8" t="s">
        <v>2197</v>
      </c>
      <c r="D806" s="8" t="s">
        <v>18</v>
      </c>
      <c r="E806" s="8" t="s">
        <v>16</v>
      </c>
      <c r="F806" s="8" t="s">
        <v>2204</v>
      </c>
      <c r="G806" s="8" t="s">
        <v>2969</v>
      </c>
      <c r="H806" s="8">
        <v>2163</v>
      </c>
      <c r="I806" s="8">
        <v>1863</v>
      </c>
      <c r="J806" s="8">
        <v>21120604</v>
      </c>
      <c r="K806" s="9">
        <v>45026</v>
      </c>
      <c r="L806" s="9">
        <v>46327</v>
      </c>
      <c r="M806" s="8" t="s">
        <v>16</v>
      </c>
      <c r="P806" s="16" t="s">
        <v>760</v>
      </c>
      <c r="Q806" s="2" t="s">
        <v>16</v>
      </c>
      <c r="S806" s="8" t="s">
        <v>1159</v>
      </c>
      <c r="T806" s="9" t="s">
        <v>2222</v>
      </c>
      <c r="U806" s="8">
        <v>0</v>
      </c>
      <c r="V806" s="20">
        <v>110</v>
      </c>
      <c r="W806" s="21" t="s">
        <v>41</v>
      </c>
    </row>
    <row r="807" spans="1:23" ht="60">
      <c r="A807" s="8" t="s">
        <v>2970</v>
      </c>
      <c r="B807" s="8" t="s">
        <v>803</v>
      </c>
      <c r="C807" s="8" t="s">
        <v>2197</v>
      </c>
      <c r="D807" s="8" t="s">
        <v>18</v>
      </c>
      <c r="E807" s="8" t="s">
        <v>16</v>
      </c>
      <c r="F807" s="8" t="s">
        <v>2204</v>
      </c>
      <c r="G807" s="8" t="s">
        <v>2969</v>
      </c>
      <c r="H807" s="8">
        <v>604</v>
      </c>
      <c r="I807" s="8">
        <v>4</v>
      </c>
      <c r="J807" s="8">
        <v>23011913</v>
      </c>
      <c r="K807" s="9">
        <v>44970</v>
      </c>
      <c r="L807" s="9">
        <v>46722</v>
      </c>
      <c r="M807" s="8" t="s">
        <v>16</v>
      </c>
      <c r="P807" s="16" t="s">
        <v>762</v>
      </c>
      <c r="Q807" s="2" t="s">
        <v>16</v>
      </c>
      <c r="S807" s="8" t="s">
        <v>1160</v>
      </c>
      <c r="T807" s="9">
        <v>46174</v>
      </c>
      <c r="U807" s="8">
        <v>0</v>
      </c>
      <c r="V807" s="20">
        <v>127</v>
      </c>
      <c r="W807" s="21" t="s">
        <v>16</v>
      </c>
    </row>
    <row r="808" spans="1:23" ht="60">
      <c r="A808" s="8" t="s">
        <v>2970</v>
      </c>
      <c r="B808" s="8" t="s">
        <v>803</v>
      </c>
      <c r="C808" s="8" t="s">
        <v>2197</v>
      </c>
      <c r="D808" s="8" t="s">
        <v>18</v>
      </c>
      <c r="E808" s="8" t="s">
        <v>16</v>
      </c>
      <c r="F808" s="8" t="s">
        <v>2204</v>
      </c>
      <c r="G808" s="8" t="s">
        <v>2969</v>
      </c>
      <c r="H808" s="8">
        <v>604</v>
      </c>
      <c r="I808" s="8">
        <v>100</v>
      </c>
      <c r="J808" s="8">
        <v>23062009</v>
      </c>
      <c r="K808" s="9">
        <v>45174</v>
      </c>
      <c r="L808" s="9">
        <v>46874</v>
      </c>
      <c r="M808" s="8" t="s">
        <v>16</v>
      </c>
      <c r="P808" s="16" t="s">
        <v>763</v>
      </c>
      <c r="Q808" s="2" t="s">
        <v>16</v>
      </c>
      <c r="S808" s="8" t="s">
        <v>1161</v>
      </c>
      <c r="T808" s="9">
        <v>46174</v>
      </c>
      <c r="U808" s="8">
        <v>0</v>
      </c>
      <c r="V808" s="20">
        <v>238</v>
      </c>
      <c r="W808" s="21" t="s">
        <v>16</v>
      </c>
    </row>
    <row r="809" spans="1:23" ht="60">
      <c r="A809" s="8" t="s">
        <v>2970</v>
      </c>
      <c r="B809" s="8" t="s">
        <v>803</v>
      </c>
      <c r="C809" s="8" t="s">
        <v>2197</v>
      </c>
      <c r="D809" s="8" t="s">
        <v>18</v>
      </c>
      <c r="E809" s="8" t="s">
        <v>16</v>
      </c>
      <c r="F809" s="8" t="s">
        <v>2204</v>
      </c>
      <c r="G809" s="8" t="s">
        <v>2969</v>
      </c>
      <c r="H809" s="8">
        <v>604</v>
      </c>
      <c r="I809" s="8">
        <v>500</v>
      </c>
      <c r="J809" s="8">
        <v>24042204</v>
      </c>
      <c r="K809" s="9">
        <v>45436</v>
      </c>
      <c r="L809" s="9">
        <v>47178</v>
      </c>
      <c r="M809" s="8" t="s">
        <v>16</v>
      </c>
      <c r="P809" s="16" t="s">
        <v>764</v>
      </c>
      <c r="Q809" s="2" t="s">
        <v>16</v>
      </c>
      <c r="S809" s="8" t="s">
        <v>1162</v>
      </c>
      <c r="T809" s="9">
        <v>46174</v>
      </c>
      <c r="U809" s="8">
        <v>0</v>
      </c>
      <c r="V809" s="20">
        <v>424</v>
      </c>
      <c r="W809" s="21" t="s">
        <v>16</v>
      </c>
    </row>
    <row r="810" spans="1:23" ht="45">
      <c r="A810" s="8" t="s">
        <v>2971</v>
      </c>
      <c r="B810" s="8" t="s">
        <v>804</v>
      </c>
      <c r="C810" s="8" t="s">
        <v>2197</v>
      </c>
      <c r="D810" s="8" t="s">
        <v>18</v>
      </c>
      <c r="E810" s="8" t="s">
        <v>16</v>
      </c>
      <c r="F810" s="8" t="s">
        <v>2204</v>
      </c>
      <c r="G810" s="8" t="s">
        <v>2969</v>
      </c>
      <c r="H810" s="8">
        <v>750</v>
      </c>
      <c r="I810" s="8">
        <v>750</v>
      </c>
      <c r="J810" s="8">
        <v>23122902</v>
      </c>
      <c r="K810" s="9">
        <v>45370</v>
      </c>
      <c r="L810" s="9">
        <v>47058</v>
      </c>
      <c r="M810" s="8" t="s">
        <v>16</v>
      </c>
      <c r="P810" s="16" t="s">
        <v>764</v>
      </c>
      <c r="Q810" s="2" t="s">
        <v>16</v>
      </c>
      <c r="S810" s="8" t="s">
        <v>1163</v>
      </c>
      <c r="T810" s="9" t="s">
        <v>2222</v>
      </c>
      <c r="U810" s="8">
        <v>0</v>
      </c>
      <c r="V810" s="20">
        <v>23</v>
      </c>
      <c r="W810" s="21" t="s">
        <v>43</v>
      </c>
    </row>
    <row r="811" spans="1:23" ht="45">
      <c r="A811" s="8" t="s">
        <v>2972</v>
      </c>
      <c r="B811" s="8" t="s">
        <v>805</v>
      </c>
      <c r="C811" s="8" t="s">
        <v>2197</v>
      </c>
      <c r="D811" s="8" t="s">
        <v>18</v>
      </c>
      <c r="E811" s="8" t="s">
        <v>16</v>
      </c>
      <c r="F811" s="8" t="s">
        <v>2204</v>
      </c>
      <c r="G811" s="8" t="s">
        <v>2969</v>
      </c>
      <c r="H811" s="8">
        <v>2642</v>
      </c>
      <c r="I811" s="8">
        <v>2</v>
      </c>
      <c r="J811" s="8">
        <v>23050201</v>
      </c>
      <c r="K811" s="9">
        <v>45118</v>
      </c>
      <c r="L811" s="9">
        <v>46844</v>
      </c>
      <c r="M811" s="8" t="s">
        <v>16</v>
      </c>
      <c r="P811" s="16" t="s">
        <v>765</v>
      </c>
      <c r="Q811" s="2" t="s">
        <v>16</v>
      </c>
      <c r="S811" s="8" t="s">
        <v>1164</v>
      </c>
      <c r="T811" s="9">
        <v>47178</v>
      </c>
      <c r="U811" s="8">
        <v>0</v>
      </c>
      <c r="V811" s="20">
        <v>171</v>
      </c>
      <c r="W811" s="21" t="s">
        <v>16</v>
      </c>
    </row>
    <row r="812" spans="1:23" ht="45">
      <c r="A812" s="8" t="s">
        <v>2972</v>
      </c>
      <c r="B812" s="8" t="s">
        <v>805</v>
      </c>
      <c r="C812" s="8" t="s">
        <v>2197</v>
      </c>
      <c r="D812" s="8" t="s">
        <v>18</v>
      </c>
      <c r="E812" s="8" t="s">
        <v>16</v>
      </c>
      <c r="F812" s="8" t="s">
        <v>2204</v>
      </c>
      <c r="G812" s="8" t="s">
        <v>2969</v>
      </c>
      <c r="H812" s="8">
        <v>2642</v>
      </c>
      <c r="I812" s="8">
        <v>240</v>
      </c>
      <c r="J812" s="8">
        <v>24042402</v>
      </c>
      <c r="K812" s="9">
        <v>45409</v>
      </c>
      <c r="L812" s="9">
        <v>47178</v>
      </c>
      <c r="M812" s="8" t="s">
        <v>16</v>
      </c>
      <c r="P812" s="16" t="s">
        <v>766</v>
      </c>
      <c r="Q812" s="2" t="s">
        <v>16</v>
      </c>
      <c r="S812" s="8" t="s">
        <v>1164</v>
      </c>
      <c r="T812" s="9">
        <v>47239</v>
      </c>
      <c r="U812" s="8">
        <v>0</v>
      </c>
      <c r="V812" s="20">
        <v>200</v>
      </c>
      <c r="W812" s="21" t="s">
        <v>16</v>
      </c>
    </row>
    <row r="813" spans="1:23" ht="48.75">
      <c r="A813" s="8" t="s">
        <v>2972</v>
      </c>
      <c r="B813" s="8" t="s">
        <v>805</v>
      </c>
      <c r="C813" s="8" t="s">
        <v>2197</v>
      </c>
      <c r="D813" s="8" t="s">
        <v>18</v>
      </c>
      <c r="E813" s="8" t="s">
        <v>16</v>
      </c>
      <c r="F813" s="8" t="s">
        <v>2204</v>
      </c>
      <c r="G813" s="8" t="s">
        <v>2969</v>
      </c>
      <c r="H813" s="8">
        <v>2642</v>
      </c>
      <c r="I813" s="8">
        <v>640</v>
      </c>
      <c r="J813" s="8">
        <v>23112703</v>
      </c>
      <c r="K813" s="9">
        <v>45370</v>
      </c>
      <c r="L813" s="9">
        <v>47027</v>
      </c>
      <c r="M813" s="8" t="s">
        <v>16</v>
      </c>
      <c r="P813" s="16" t="s">
        <v>767</v>
      </c>
      <c r="Q813" s="2" t="s">
        <v>16</v>
      </c>
      <c r="S813" s="8" t="s">
        <v>1165</v>
      </c>
      <c r="T813" s="9">
        <v>46631</v>
      </c>
      <c r="U813" s="8">
        <v>0</v>
      </c>
      <c r="V813" s="20">
        <v>480</v>
      </c>
      <c r="W813" s="21" t="s">
        <v>16</v>
      </c>
    </row>
    <row r="814" spans="1:23" ht="60">
      <c r="A814" s="8" t="s">
        <v>2972</v>
      </c>
      <c r="B814" s="8" t="s">
        <v>805</v>
      </c>
      <c r="C814" s="8" t="s">
        <v>2197</v>
      </c>
      <c r="D814" s="8" t="s">
        <v>18</v>
      </c>
      <c r="E814" s="8" t="s">
        <v>16</v>
      </c>
      <c r="F814" s="8" t="s">
        <v>2204</v>
      </c>
      <c r="G814" s="8" t="s">
        <v>2969</v>
      </c>
      <c r="H814" s="8">
        <v>2642</v>
      </c>
      <c r="I814" s="8">
        <v>1760</v>
      </c>
      <c r="J814" s="8">
        <v>24030508</v>
      </c>
      <c r="K814" s="9">
        <v>45409</v>
      </c>
      <c r="L814" s="9">
        <v>47150</v>
      </c>
      <c r="M814" s="8" t="s">
        <v>16</v>
      </c>
      <c r="P814" s="16" t="s">
        <v>767</v>
      </c>
      <c r="Q814" s="2" t="s">
        <v>16</v>
      </c>
      <c r="S814" s="8" t="s">
        <v>1166</v>
      </c>
      <c r="T814" s="9">
        <v>45717</v>
      </c>
      <c r="U814" s="8">
        <v>0</v>
      </c>
      <c r="V814" s="20">
        <v>129</v>
      </c>
      <c r="W814" s="21" t="s">
        <v>16</v>
      </c>
    </row>
    <row r="815" spans="1:23" ht="60">
      <c r="A815" s="8" t="s">
        <v>2973</v>
      </c>
      <c r="B815" s="8" t="s">
        <v>806</v>
      </c>
      <c r="C815" s="8" t="s">
        <v>2203</v>
      </c>
      <c r="D815" s="8" t="s">
        <v>18</v>
      </c>
      <c r="E815" s="8" t="s">
        <v>16</v>
      </c>
      <c r="F815" s="8" t="s">
        <v>2204</v>
      </c>
      <c r="G815" s="8" t="s">
        <v>2974</v>
      </c>
      <c r="H815" s="8">
        <v>218</v>
      </c>
      <c r="I815" s="8">
        <v>18</v>
      </c>
      <c r="J815" s="8">
        <v>20092002</v>
      </c>
      <c r="K815" s="9">
        <v>45056</v>
      </c>
      <c r="L815" s="9">
        <v>46722</v>
      </c>
      <c r="M815" s="8" t="s">
        <v>16</v>
      </c>
      <c r="P815" s="16" t="s">
        <v>768</v>
      </c>
      <c r="Q815" s="2" t="s">
        <v>16</v>
      </c>
      <c r="S815" s="8" t="s">
        <v>1166</v>
      </c>
      <c r="T815" s="9">
        <v>45901</v>
      </c>
      <c r="U815" s="8">
        <v>0</v>
      </c>
      <c r="V815" s="20">
        <v>816</v>
      </c>
      <c r="W815" s="21" t="s">
        <v>16</v>
      </c>
    </row>
    <row r="816" spans="1:23" ht="75">
      <c r="A816" s="8" t="s">
        <v>2973</v>
      </c>
      <c r="B816" s="8" t="s">
        <v>806</v>
      </c>
      <c r="C816" s="8" t="s">
        <v>2203</v>
      </c>
      <c r="D816" s="8" t="s">
        <v>18</v>
      </c>
      <c r="E816" s="8" t="s">
        <v>16</v>
      </c>
      <c r="F816" s="8" t="s">
        <v>2204</v>
      </c>
      <c r="G816" s="8" t="s">
        <v>2974</v>
      </c>
      <c r="H816" s="8">
        <v>218</v>
      </c>
      <c r="I816" s="8">
        <v>200</v>
      </c>
      <c r="J816" s="8">
        <v>20092022</v>
      </c>
      <c r="K816" s="9">
        <v>45056</v>
      </c>
      <c r="L816" s="9">
        <v>46753</v>
      </c>
      <c r="M816" s="8" t="s">
        <v>16</v>
      </c>
      <c r="P816" s="16" t="s">
        <v>769</v>
      </c>
      <c r="Q816" s="2" t="s">
        <v>16</v>
      </c>
      <c r="S816" s="8" t="s">
        <v>1167</v>
      </c>
      <c r="T816" s="9">
        <v>46327</v>
      </c>
      <c r="U816" s="8">
        <v>0</v>
      </c>
      <c r="V816" s="20">
        <v>940</v>
      </c>
      <c r="W816" s="21" t="s">
        <v>16</v>
      </c>
    </row>
    <row r="817" spans="1:23" ht="75">
      <c r="A817" s="8" t="s">
        <v>2975</v>
      </c>
      <c r="B817" s="8" t="s">
        <v>807</v>
      </c>
      <c r="C817" s="8" t="s">
        <v>2203</v>
      </c>
      <c r="D817" s="8" t="s">
        <v>18</v>
      </c>
      <c r="E817" s="8" t="s">
        <v>16</v>
      </c>
      <c r="F817" s="8" t="s">
        <v>2204</v>
      </c>
      <c r="G817" s="8" t="s">
        <v>2974</v>
      </c>
      <c r="H817" s="8">
        <v>285</v>
      </c>
      <c r="I817" s="8">
        <v>285</v>
      </c>
      <c r="J817" s="8">
        <v>20092022</v>
      </c>
      <c r="K817" s="9">
        <v>45056</v>
      </c>
      <c r="L817" s="9">
        <v>46692</v>
      </c>
      <c r="M817" s="8" t="s">
        <v>16</v>
      </c>
      <c r="P817" s="16" t="s">
        <v>770</v>
      </c>
      <c r="Q817" s="2" t="s">
        <v>16</v>
      </c>
      <c r="S817" s="8" t="s">
        <v>1167</v>
      </c>
      <c r="T817" s="9">
        <v>46569</v>
      </c>
      <c r="U817" s="8">
        <v>0</v>
      </c>
      <c r="V817" s="20">
        <v>1000</v>
      </c>
      <c r="W817" s="21" t="s">
        <v>16</v>
      </c>
    </row>
    <row r="818" spans="1:23" ht="90">
      <c r="A818" s="8" t="s">
        <v>2976</v>
      </c>
      <c r="B818" s="8" t="s">
        <v>808</v>
      </c>
      <c r="C818" s="8" t="s">
        <v>2203</v>
      </c>
      <c r="D818" s="8" t="s">
        <v>18</v>
      </c>
      <c r="E818" s="8" t="s">
        <v>16</v>
      </c>
      <c r="F818" s="8" t="s">
        <v>2977</v>
      </c>
      <c r="G818" s="8" t="s">
        <v>2978</v>
      </c>
      <c r="H818" s="8">
        <v>511</v>
      </c>
      <c r="I818" s="8">
        <v>1</v>
      </c>
      <c r="J818" s="8">
        <v>2203180100</v>
      </c>
      <c r="K818" s="9">
        <v>44646</v>
      </c>
      <c r="L818" s="9">
        <v>46082</v>
      </c>
      <c r="M818" s="8" t="s">
        <v>16</v>
      </c>
      <c r="P818" s="16" t="s">
        <v>771</v>
      </c>
      <c r="Q818" s="2" t="s">
        <v>43</v>
      </c>
      <c r="S818" s="8" t="s">
        <v>1168</v>
      </c>
      <c r="T818" s="9">
        <v>46204</v>
      </c>
      <c r="U818" s="8">
        <v>0</v>
      </c>
      <c r="V818" s="20">
        <v>480</v>
      </c>
      <c r="W818" s="21" t="s">
        <v>16</v>
      </c>
    </row>
    <row r="819" spans="1:23" ht="90">
      <c r="A819" s="8" t="s">
        <v>2976</v>
      </c>
      <c r="B819" s="8" t="s">
        <v>808</v>
      </c>
      <c r="C819" s="8" t="s">
        <v>2203</v>
      </c>
      <c r="D819" s="8" t="s">
        <v>18</v>
      </c>
      <c r="E819" s="8" t="s">
        <v>16</v>
      </c>
      <c r="F819" s="8" t="s">
        <v>2977</v>
      </c>
      <c r="G819" s="8" t="s">
        <v>2978</v>
      </c>
      <c r="H819" s="8">
        <v>511</v>
      </c>
      <c r="I819" s="8">
        <v>510</v>
      </c>
      <c r="J819" s="8">
        <v>2403190200</v>
      </c>
      <c r="K819" s="9">
        <v>45377</v>
      </c>
      <c r="L819" s="9">
        <v>46813</v>
      </c>
      <c r="M819" s="8" t="s">
        <v>16</v>
      </c>
      <c r="P819" s="16" t="s">
        <v>772</v>
      </c>
      <c r="Q819" s="2" t="s">
        <v>16</v>
      </c>
      <c r="S819" s="8" t="s">
        <v>1169</v>
      </c>
      <c r="T819" s="9">
        <v>46327</v>
      </c>
      <c r="U819" s="8">
        <v>0</v>
      </c>
      <c r="V819" s="20">
        <v>22</v>
      </c>
      <c r="W819" s="21" t="s">
        <v>16</v>
      </c>
    </row>
    <row r="820" spans="1:23" ht="75">
      <c r="A820" s="8" t="s">
        <v>2979</v>
      </c>
      <c r="B820" s="8" t="s">
        <v>809</v>
      </c>
      <c r="C820" s="8" t="s">
        <v>2197</v>
      </c>
      <c r="D820" s="8" t="s">
        <v>18</v>
      </c>
      <c r="E820" s="8" t="s">
        <v>16</v>
      </c>
      <c r="F820" s="8" t="s">
        <v>2925</v>
      </c>
      <c r="G820" s="8" t="s">
        <v>2980</v>
      </c>
      <c r="H820" s="8">
        <v>4</v>
      </c>
      <c r="I820" s="8">
        <v>4</v>
      </c>
      <c r="J820" s="8" t="s">
        <v>593</v>
      </c>
      <c r="K820" s="9">
        <v>44172</v>
      </c>
      <c r="L820" s="9">
        <v>45200</v>
      </c>
      <c r="M820" s="8" t="s">
        <v>38</v>
      </c>
      <c r="P820" s="16" t="s">
        <v>772</v>
      </c>
      <c r="Q820" s="2" t="s">
        <v>16</v>
      </c>
      <c r="S820" s="8" t="s">
        <v>1169</v>
      </c>
      <c r="T820" s="9">
        <v>46388</v>
      </c>
      <c r="U820" s="8">
        <v>0</v>
      </c>
      <c r="V820" s="20">
        <v>864</v>
      </c>
      <c r="W820" s="21" t="s">
        <v>16</v>
      </c>
    </row>
    <row r="821" spans="1:23" ht="90">
      <c r="A821" s="8" t="s">
        <v>2981</v>
      </c>
      <c r="B821" s="8" t="s">
        <v>810</v>
      </c>
      <c r="C821" s="8" t="s">
        <v>2221</v>
      </c>
      <c r="D821" s="8" t="s">
        <v>18</v>
      </c>
      <c r="E821" s="8" t="s">
        <v>2217</v>
      </c>
      <c r="F821" s="8" t="s">
        <v>2217</v>
      </c>
      <c r="G821" s="8" t="s">
        <v>2217</v>
      </c>
      <c r="H821" s="8">
        <v>8</v>
      </c>
      <c r="I821" s="8">
        <v>8</v>
      </c>
      <c r="J821" s="8">
        <v>0</v>
      </c>
      <c r="K821" s="9">
        <v>45316</v>
      </c>
      <c r="L821" s="8" t="s">
        <v>2222</v>
      </c>
      <c r="M821" s="8" t="s">
        <v>38</v>
      </c>
      <c r="P821" s="16" t="s">
        <v>773</v>
      </c>
      <c r="Q821" s="2" t="s">
        <v>16</v>
      </c>
      <c r="S821" s="8" t="s">
        <v>1170</v>
      </c>
      <c r="T821" s="9">
        <v>45627</v>
      </c>
      <c r="U821" s="8">
        <v>0</v>
      </c>
      <c r="V821" s="20">
        <v>153</v>
      </c>
      <c r="W821" s="21" t="s">
        <v>16</v>
      </c>
    </row>
    <row r="822" spans="1:23" ht="90">
      <c r="A822" s="8" t="s">
        <v>2982</v>
      </c>
      <c r="B822" s="8" t="s">
        <v>811</v>
      </c>
      <c r="C822" s="8" t="s">
        <v>2203</v>
      </c>
      <c r="D822" s="8" t="s">
        <v>18</v>
      </c>
      <c r="E822" s="8" t="s">
        <v>2217</v>
      </c>
      <c r="F822" s="8" t="s">
        <v>2217</v>
      </c>
      <c r="G822" s="8" t="s">
        <v>2217</v>
      </c>
      <c r="H822" s="8">
        <v>2800</v>
      </c>
      <c r="I822" s="8">
        <v>2800</v>
      </c>
      <c r="J822" s="8">
        <v>0</v>
      </c>
      <c r="K822" s="9">
        <v>45334</v>
      </c>
      <c r="L822" s="9">
        <v>46023</v>
      </c>
      <c r="M822" s="8" t="s">
        <v>151</v>
      </c>
      <c r="P822" s="16" t="s">
        <v>774</v>
      </c>
      <c r="Q822" s="2" t="s">
        <v>16</v>
      </c>
      <c r="S822" s="8" t="s">
        <v>1172</v>
      </c>
      <c r="T822" s="9">
        <v>45231</v>
      </c>
      <c r="U822" s="8">
        <v>0</v>
      </c>
      <c r="V822" s="20">
        <v>22</v>
      </c>
      <c r="W822" s="21" t="s">
        <v>16</v>
      </c>
    </row>
    <row r="823" spans="1:23" ht="45">
      <c r="A823" s="8" t="s">
        <v>2983</v>
      </c>
      <c r="B823" s="8" t="s">
        <v>812</v>
      </c>
      <c r="C823" s="8" t="s">
        <v>2197</v>
      </c>
      <c r="D823" s="8" t="s">
        <v>18</v>
      </c>
      <c r="E823" s="8" t="s">
        <v>16</v>
      </c>
      <c r="F823" s="8" t="s">
        <v>2198</v>
      </c>
      <c r="G823" s="8" t="s">
        <v>2984</v>
      </c>
      <c r="H823" s="8">
        <v>928</v>
      </c>
      <c r="I823" s="8">
        <v>128</v>
      </c>
      <c r="J823" s="8">
        <v>31107037</v>
      </c>
      <c r="K823" s="9">
        <v>45240</v>
      </c>
      <c r="L823" s="9">
        <v>47058</v>
      </c>
      <c r="M823" s="8" t="s">
        <v>16</v>
      </c>
      <c r="P823" s="16" t="s">
        <v>775</v>
      </c>
      <c r="Q823" s="2" t="s">
        <v>16</v>
      </c>
      <c r="S823" s="8" t="s">
        <v>1172</v>
      </c>
      <c r="T823" s="9">
        <v>45536</v>
      </c>
      <c r="U823" s="8">
        <v>0</v>
      </c>
      <c r="V823" s="20">
        <v>80</v>
      </c>
      <c r="W823" s="21" t="s">
        <v>16</v>
      </c>
    </row>
    <row r="824" spans="1:23" ht="45">
      <c r="A824" s="8" t="s">
        <v>2983</v>
      </c>
      <c r="B824" s="8" t="s">
        <v>812</v>
      </c>
      <c r="C824" s="8" t="s">
        <v>2197</v>
      </c>
      <c r="D824" s="8" t="s">
        <v>18</v>
      </c>
      <c r="E824" s="8" t="s">
        <v>16</v>
      </c>
      <c r="F824" s="8" t="s">
        <v>2198</v>
      </c>
      <c r="G824" s="8" t="s">
        <v>2984</v>
      </c>
      <c r="H824" s="8">
        <v>928</v>
      </c>
      <c r="I824" s="8">
        <v>400</v>
      </c>
      <c r="J824" s="8">
        <v>40320009</v>
      </c>
      <c r="K824" s="9">
        <v>45386</v>
      </c>
      <c r="L824" s="9">
        <v>47178</v>
      </c>
      <c r="M824" s="8" t="s">
        <v>16</v>
      </c>
      <c r="P824" s="16" t="s">
        <v>775</v>
      </c>
      <c r="Q824" s="2" t="s">
        <v>16</v>
      </c>
      <c r="S824" s="8" t="s">
        <v>1175</v>
      </c>
      <c r="T824" s="9">
        <v>45505</v>
      </c>
      <c r="U824" s="8">
        <v>0</v>
      </c>
      <c r="V824" s="20">
        <v>8641</v>
      </c>
      <c r="W824" s="21" t="s">
        <v>16</v>
      </c>
    </row>
    <row r="825" spans="1:23" ht="45">
      <c r="A825" s="8" t="s">
        <v>2983</v>
      </c>
      <c r="B825" s="8" t="s">
        <v>812</v>
      </c>
      <c r="C825" s="8" t="s">
        <v>2197</v>
      </c>
      <c r="D825" s="8" t="s">
        <v>18</v>
      </c>
      <c r="E825" s="8" t="s">
        <v>16</v>
      </c>
      <c r="F825" s="8" t="s">
        <v>2198</v>
      </c>
      <c r="G825" s="8" t="s">
        <v>2984</v>
      </c>
      <c r="H825" s="8">
        <v>928</v>
      </c>
      <c r="I825" s="8">
        <v>400</v>
      </c>
      <c r="J825" s="8">
        <v>40322010</v>
      </c>
      <c r="K825" s="9">
        <v>45386</v>
      </c>
      <c r="L825" s="9">
        <v>47178</v>
      </c>
      <c r="M825" s="8" t="s">
        <v>16</v>
      </c>
      <c r="P825" s="16" t="s">
        <v>775</v>
      </c>
      <c r="Q825" s="2" t="s">
        <v>16</v>
      </c>
      <c r="S825" s="8" t="s">
        <v>1176</v>
      </c>
      <c r="T825" s="9">
        <v>46997</v>
      </c>
      <c r="U825" s="8">
        <v>0</v>
      </c>
      <c r="V825" s="20">
        <v>49</v>
      </c>
      <c r="W825" s="21" t="s">
        <v>16</v>
      </c>
    </row>
    <row r="826" spans="1:23" ht="45">
      <c r="A826" s="8" t="s">
        <v>2985</v>
      </c>
      <c r="B826" s="8" t="s">
        <v>813</v>
      </c>
      <c r="C826" s="8" t="s">
        <v>2197</v>
      </c>
      <c r="D826" s="8" t="s">
        <v>18</v>
      </c>
      <c r="E826" s="8" t="s">
        <v>16</v>
      </c>
      <c r="F826" s="8" t="s">
        <v>2198</v>
      </c>
      <c r="G826" s="8" t="s">
        <v>2984</v>
      </c>
      <c r="H826" s="8">
        <v>1430</v>
      </c>
      <c r="I826" s="8">
        <v>430</v>
      </c>
      <c r="J826" s="8">
        <v>30504016</v>
      </c>
      <c r="K826" s="9">
        <v>45075</v>
      </c>
      <c r="L826" s="9">
        <v>46874</v>
      </c>
      <c r="M826" s="8" t="s">
        <v>16</v>
      </c>
      <c r="P826" s="16" t="s">
        <v>775</v>
      </c>
      <c r="Q826" s="2" t="s">
        <v>16</v>
      </c>
      <c r="S826" s="8" t="s">
        <v>1177</v>
      </c>
      <c r="T826" s="9">
        <v>46661</v>
      </c>
      <c r="U826" s="8">
        <v>0</v>
      </c>
      <c r="V826" s="20">
        <v>29</v>
      </c>
      <c r="W826" s="21" t="s">
        <v>16</v>
      </c>
    </row>
    <row r="827" spans="1:23" ht="45">
      <c r="A827" s="8" t="s">
        <v>2985</v>
      </c>
      <c r="B827" s="8" t="s">
        <v>813</v>
      </c>
      <c r="C827" s="8" t="s">
        <v>2197</v>
      </c>
      <c r="D827" s="8" t="s">
        <v>18</v>
      </c>
      <c r="E827" s="8" t="s">
        <v>16</v>
      </c>
      <c r="F827" s="8" t="s">
        <v>2198</v>
      </c>
      <c r="G827" s="8" t="s">
        <v>2984</v>
      </c>
      <c r="H827" s="8">
        <v>1430</v>
      </c>
      <c r="I827" s="8">
        <v>1000</v>
      </c>
      <c r="J827" s="8">
        <v>30808028</v>
      </c>
      <c r="K827" s="9">
        <v>45379</v>
      </c>
      <c r="L827" s="9">
        <v>46966</v>
      </c>
      <c r="M827" s="8" t="s">
        <v>16</v>
      </c>
      <c r="P827" s="16" t="s">
        <v>775</v>
      </c>
      <c r="Q827" s="2" t="s">
        <v>16</v>
      </c>
      <c r="S827" s="8" t="s">
        <v>1177</v>
      </c>
      <c r="T827" s="9">
        <v>46997</v>
      </c>
      <c r="U827" s="8">
        <v>0</v>
      </c>
      <c r="V827" s="20">
        <v>1000</v>
      </c>
      <c r="W827" s="21" t="s">
        <v>16</v>
      </c>
    </row>
    <row r="828" spans="1:23" ht="45">
      <c r="A828" s="8" t="s">
        <v>2986</v>
      </c>
      <c r="B828" s="8" t="s">
        <v>814</v>
      </c>
      <c r="C828" s="8" t="s">
        <v>2197</v>
      </c>
      <c r="D828" s="8" t="s">
        <v>18</v>
      </c>
      <c r="E828" s="8" t="s">
        <v>2217</v>
      </c>
      <c r="F828" s="8" t="s">
        <v>2217</v>
      </c>
      <c r="G828" s="8" t="s">
        <v>2217</v>
      </c>
      <c r="H828" s="8">
        <v>340</v>
      </c>
      <c r="I828" s="8">
        <v>340</v>
      </c>
      <c r="J828" s="8" t="s">
        <v>815</v>
      </c>
      <c r="K828" s="9">
        <v>45331</v>
      </c>
      <c r="L828" s="9">
        <v>46661</v>
      </c>
      <c r="M828" s="8" t="s">
        <v>16</v>
      </c>
      <c r="P828" s="16" t="s">
        <v>775</v>
      </c>
      <c r="Q828" s="2" t="s">
        <v>16</v>
      </c>
      <c r="S828" s="8" t="s">
        <v>1178</v>
      </c>
      <c r="T828" s="9">
        <v>46631</v>
      </c>
      <c r="U828" s="8">
        <v>0</v>
      </c>
      <c r="V828" s="20">
        <v>24</v>
      </c>
      <c r="W828" s="21" t="s">
        <v>16</v>
      </c>
    </row>
    <row r="829" spans="1:23" ht="45">
      <c r="A829" s="8" t="s">
        <v>2987</v>
      </c>
      <c r="B829" s="8" t="s">
        <v>816</v>
      </c>
      <c r="C829" s="8" t="s">
        <v>2197</v>
      </c>
      <c r="D829" s="8" t="s">
        <v>18</v>
      </c>
      <c r="E829" s="8" t="s">
        <v>16</v>
      </c>
      <c r="F829" s="8" t="s">
        <v>2198</v>
      </c>
      <c r="G829" s="8" t="s">
        <v>2988</v>
      </c>
      <c r="H829" s="8">
        <v>460</v>
      </c>
      <c r="I829" s="8">
        <v>60</v>
      </c>
      <c r="J829" s="8" t="s">
        <v>817</v>
      </c>
      <c r="K829" s="9">
        <v>45169</v>
      </c>
      <c r="L829" s="9">
        <v>45658</v>
      </c>
      <c r="M829" s="8" t="s">
        <v>16</v>
      </c>
      <c r="P829" s="16" t="s">
        <v>775</v>
      </c>
      <c r="Q829" s="2" t="s">
        <v>16</v>
      </c>
      <c r="S829" s="8" t="s">
        <v>1178</v>
      </c>
      <c r="T829" s="9">
        <v>46661</v>
      </c>
      <c r="U829" s="8">
        <v>0</v>
      </c>
      <c r="V829" s="20">
        <v>176</v>
      </c>
      <c r="W829" s="21" t="s">
        <v>16</v>
      </c>
    </row>
    <row r="830" spans="1:23" ht="60">
      <c r="A830" s="8" t="s">
        <v>2987</v>
      </c>
      <c r="B830" s="8" t="s">
        <v>816</v>
      </c>
      <c r="C830" s="8" t="s">
        <v>2197</v>
      </c>
      <c r="D830" s="8" t="s">
        <v>18</v>
      </c>
      <c r="E830" s="8" t="s">
        <v>16</v>
      </c>
      <c r="F830" s="8" t="s">
        <v>2198</v>
      </c>
      <c r="G830" s="8" t="s">
        <v>2988</v>
      </c>
      <c r="H830" s="8">
        <v>460</v>
      </c>
      <c r="I830" s="8">
        <v>400</v>
      </c>
      <c r="J830" s="8">
        <v>0</v>
      </c>
      <c r="K830" s="9">
        <v>45386</v>
      </c>
      <c r="L830" s="9">
        <v>46388</v>
      </c>
      <c r="M830" s="8" t="s">
        <v>16</v>
      </c>
      <c r="P830" s="16" t="s">
        <v>776</v>
      </c>
      <c r="Q830" s="2" t="s">
        <v>16</v>
      </c>
      <c r="S830" s="8" t="s">
        <v>1179</v>
      </c>
      <c r="T830" s="9" t="s">
        <v>2222</v>
      </c>
      <c r="U830" s="8">
        <v>0</v>
      </c>
      <c r="V830" s="20">
        <v>78</v>
      </c>
      <c r="W830" s="21" t="s">
        <v>41</v>
      </c>
    </row>
    <row r="831" spans="1:23" ht="60">
      <c r="A831" s="8" t="s">
        <v>2989</v>
      </c>
      <c r="B831" s="8" t="s">
        <v>818</v>
      </c>
      <c r="C831" s="8" t="s">
        <v>2221</v>
      </c>
      <c r="D831" s="8" t="s">
        <v>18</v>
      </c>
      <c r="E831" s="8" t="s">
        <v>43</v>
      </c>
      <c r="F831" s="8" t="s">
        <v>2990</v>
      </c>
      <c r="G831" s="8" t="s">
        <v>2217</v>
      </c>
      <c r="H831" s="8">
        <v>5</v>
      </c>
      <c r="I831" s="8">
        <v>5</v>
      </c>
      <c r="J831" s="8">
        <v>0</v>
      </c>
      <c r="K831" s="9">
        <v>44622</v>
      </c>
      <c r="L831" s="8" t="s">
        <v>2222</v>
      </c>
      <c r="M831" s="8" t="s">
        <v>43</v>
      </c>
      <c r="P831" s="16" t="s">
        <v>777</v>
      </c>
      <c r="Q831" s="2" t="s">
        <v>16</v>
      </c>
      <c r="S831" s="8" t="s">
        <v>1180</v>
      </c>
      <c r="T831" s="9" t="s">
        <v>2222</v>
      </c>
      <c r="U831" s="8">
        <v>0</v>
      </c>
      <c r="V831" s="20">
        <v>100</v>
      </c>
      <c r="W831" s="21" t="s">
        <v>41</v>
      </c>
    </row>
    <row r="832" spans="1:23" ht="45">
      <c r="A832" s="8" t="s">
        <v>2991</v>
      </c>
      <c r="B832" s="8" t="s">
        <v>819</v>
      </c>
      <c r="C832" s="8" t="s">
        <v>2197</v>
      </c>
      <c r="D832" s="8" t="s">
        <v>18</v>
      </c>
      <c r="E832" s="8" t="s">
        <v>151</v>
      </c>
      <c r="F832" s="8" t="s">
        <v>2325</v>
      </c>
      <c r="G832" s="8" t="s">
        <v>2992</v>
      </c>
      <c r="H832" s="8">
        <v>20973</v>
      </c>
      <c r="I832" s="8">
        <v>20973</v>
      </c>
      <c r="J832" s="8" t="s">
        <v>820</v>
      </c>
      <c r="K832" s="9">
        <v>44900</v>
      </c>
      <c r="L832" s="9">
        <v>46692</v>
      </c>
      <c r="M832" s="8" t="s">
        <v>16</v>
      </c>
      <c r="P832" s="16" t="s">
        <v>777</v>
      </c>
      <c r="Q832" s="2" t="s">
        <v>16</v>
      </c>
      <c r="S832" s="8" t="s">
        <v>1181</v>
      </c>
      <c r="T832" s="9">
        <v>46600</v>
      </c>
      <c r="U832" s="8">
        <v>0</v>
      </c>
      <c r="V832" s="20">
        <v>612</v>
      </c>
      <c r="W832" s="21" t="s">
        <v>16</v>
      </c>
    </row>
    <row r="833" spans="1:23" ht="75">
      <c r="A833" s="8" t="s">
        <v>2993</v>
      </c>
      <c r="B833" s="8" t="s">
        <v>821</v>
      </c>
      <c r="C833" s="8" t="s">
        <v>2994</v>
      </c>
      <c r="D833" s="8" t="s">
        <v>18</v>
      </c>
      <c r="E833" s="8" t="s">
        <v>151</v>
      </c>
      <c r="F833" s="8" t="s">
        <v>151</v>
      </c>
      <c r="G833" s="8" t="s">
        <v>2995</v>
      </c>
      <c r="H833" s="8">
        <v>219</v>
      </c>
      <c r="I833" s="8">
        <v>219</v>
      </c>
      <c r="J833" s="8">
        <v>0</v>
      </c>
      <c r="K833" s="9">
        <v>45346</v>
      </c>
      <c r="L833" s="9">
        <v>47119</v>
      </c>
      <c r="M833" s="8" t="s">
        <v>151</v>
      </c>
      <c r="P833" s="16" t="s">
        <v>778</v>
      </c>
      <c r="Q833" s="2" t="s">
        <v>16</v>
      </c>
      <c r="S833" s="8" t="s">
        <v>1184</v>
      </c>
      <c r="T833" s="9">
        <v>46692</v>
      </c>
      <c r="U833" s="8">
        <v>0</v>
      </c>
      <c r="V833" s="20">
        <v>480</v>
      </c>
      <c r="W833" s="21" t="s">
        <v>16</v>
      </c>
    </row>
    <row r="834" spans="1:23" ht="45">
      <c r="A834" s="8" t="s">
        <v>2996</v>
      </c>
      <c r="B834" s="8" t="s">
        <v>822</v>
      </c>
      <c r="C834" s="8" t="s">
        <v>2197</v>
      </c>
      <c r="D834" s="8" t="s">
        <v>18</v>
      </c>
      <c r="E834" s="8" t="s">
        <v>16</v>
      </c>
      <c r="F834" s="8" t="s">
        <v>2258</v>
      </c>
      <c r="G834" s="8" t="s">
        <v>2997</v>
      </c>
      <c r="H834" s="8">
        <v>13</v>
      </c>
      <c r="I834" s="8">
        <v>13</v>
      </c>
      <c r="J834" s="8">
        <v>0</v>
      </c>
      <c r="K834" s="9">
        <v>45121</v>
      </c>
      <c r="L834" s="8" t="s">
        <v>2222</v>
      </c>
      <c r="M834" s="8" t="s">
        <v>38</v>
      </c>
      <c r="P834" s="16" t="s">
        <v>778</v>
      </c>
      <c r="Q834" s="2" t="s">
        <v>16</v>
      </c>
      <c r="S834" s="8" t="s">
        <v>1185</v>
      </c>
      <c r="T834" s="9">
        <v>46813</v>
      </c>
      <c r="U834" s="8">
        <v>0</v>
      </c>
      <c r="V834" s="20">
        <v>400</v>
      </c>
      <c r="W834" s="21" t="s">
        <v>16</v>
      </c>
    </row>
    <row r="835" spans="1:23" ht="60">
      <c r="A835" s="8" t="s">
        <v>2998</v>
      </c>
      <c r="B835" s="8" t="s">
        <v>823</v>
      </c>
      <c r="C835" s="8" t="s">
        <v>2197</v>
      </c>
      <c r="D835" s="8" t="s">
        <v>18</v>
      </c>
      <c r="E835" s="8" t="s">
        <v>16</v>
      </c>
      <c r="F835" s="8" t="s">
        <v>2198</v>
      </c>
      <c r="G835" s="8" t="s">
        <v>2999</v>
      </c>
      <c r="H835" s="8">
        <v>480</v>
      </c>
      <c r="I835" s="8">
        <v>480</v>
      </c>
      <c r="J835" s="8">
        <v>235001</v>
      </c>
      <c r="K835" s="9">
        <v>45141</v>
      </c>
      <c r="L835" s="9">
        <v>46905</v>
      </c>
      <c r="M835" s="8" t="s">
        <v>16</v>
      </c>
      <c r="P835" s="17" t="s">
        <v>779</v>
      </c>
      <c r="Q835" s="2" t="s">
        <v>101</v>
      </c>
      <c r="S835" s="8" t="s">
        <v>1187</v>
      </c>
      <c r="T835" s="9">
        <v>46508</v>
      </c>
      <c r="U835" s="8">
        <v>0</v>
      </c>
      <c r="V835" s="20">
        <v>6616</v>
      </c>
      <c r="W835" s="21" t="s">
        <v>151</v>
      </c>
    </row>
    <row r="836" spans="1:23" ht="60">
      <c r="A836" s="8" t="s">
        <v>3000</v>
      </c>
      <c r="B836" s="8" t="s">
        <v>824</v>
      </c>
      <c r="C836" s="8" t="s">
        <v>2197</v>
      </c>
      <c r="D836" s="8" t="s">
        <v>18</v>
      </c>
      <c r="E836" s="8" t="s">
        <v>16</v>
      </c>
      <c r="F836" s="8" t="s">
        <v>2204</v>
      </c>
      <c r="G836" s="8" t="s">
        <v>3001</v>
      </c>
      <c r="H836" s="8">
        <v>432</v>
      </c>
      <c r="I836" s="8">
        <v>432</v>
      </c>
      <c r="J836" s="8">
        <v>107987</v>
      </c>
      <c r="K836" s="9">
        <v>45461</v>
      </c>
      <c r="L836" s="9">
        <v>46174</v>
      </c>
      <c r="M836" s="8" t="s">
        <v>16</v>
      </c>
      <c r="P836" s="17" t="s">
        <v>780</v>
      </c>
      <c r="Q836" s="2" t="s">
        <v>101</v>
      </c>
      <c r="S836" s="8" t="s">
        <v>1188</v>
      </c>
      <c r="T836" s="9">
        <v>46388</v>
      </c>
      <c r="U836" s="8">
        <v>0</v>
      </c>
      <c r="V836" s="20">
        <v>1055</v>
      </c>
      <c r="W836" s="21" t="s">
        <v>151</v>
      </c>
    </row>
    <row r="837" spans="1:23" ht="60">
      <c r="A837" s="8" t="s">
        <v>3002</v>
      </c>
      <c r="B837" s="8" t="s">
        <v>825</v>
      </c>
      <c r="C837" s="8" t="s">
        <v>2197</v>
      </c>
      <c r="D837" s="8" t="s">
        <v>18</v>
      </c>
      <c r="E837" s="8" t="s">
        <v>16</v>
      </c>
      <c r="F837" s="8" t="s">
        <v>2204</v>
      </c>
      <c r="G837" s="8" t="s">
        <v>3003</v>
      </c>
      <c r="H837" s="8">
        <v>126294</v>
      </c>
      <c r="I837" s="8">
        <v>100</v>
      </c>
      <c r="J837" s="8" t="s">
        <v>826</v>
      </c>
      <c r="K837" s="9">
        <v>45446</v>
      </c>
      <c r="L837" s="9">
        <v>46478</v>
      </c>
      <c r="M837" s="8" t="s">
        <v>16</v>
      </c>
      <c r="P837" s="16" t="s">
        <v>781</v>
      </c>
      <c r="Q837" s="2" t="s">
        <v>151</v>
      </c>
      <c r="S837" s="8" t="s">
        <v>1189</v>
      </c>
      <c r="T837" s="9">
        <v>45658</v>
      </c>
      <c r="U837" s="8">
        <v>0</v>
      </c>
      <c r="V837" s="20">
        <v>45</v>
      </c>
      <c r="W837" s="21" t="s">
        <v>16</v>
      </c>
    </row>
    <row r="838" spans="1:23" ht="60">
      <c r="A838" s="8" t="s">
        <v>3002</v>
      </c>
      <c r="B838" s="8" t="s">
        <v>825</v>
      </c>
      <c r="C838" s="8" t="s">
        <v>2197</v>
      </c>
      <c r="D838" s="8" t="s">
        <v>18</v>
      </c>
      <c r="E838" s="8" t="s">
        <v>16</v>
      </c>
      <c r="F838" s="8" t="s">
        <v>2204</v>
      </c>
      <c r="G838" s="8" t="s">
        <v>3003</v>
      </c>
      <c r="H838" s="8">
        <v>126294</v>
      </c>
      <c r="I838" s="8">
        <v>2100</v>
      </c>
      <c r="J838" s="8" t="s">
        <v>827</v>
      </c>
      <c r="K838" s="9">
        <v>45379</v>
      </c>
      <c r="L838" s="9">
        <v>46447</v>
      </c>
      <c r="M838" s="8" t="s">
        <v>16</v>
      </c>
      <c r="P838" s="16" t="s">
        <v>783</v>
      </c>
      <c r="Q838" s="2" t="s">
        <v>151</v>
      </c>
      <c r="S838" s="8" t="s">
        <v>1190</v>
      </c>
      <c r="T838" s="9">
        <v>46113</v>
      </c>
      <c r="U838" s="8">
        <v>0</v>
      </c>
      <c r="V838" s="20">
        <v>71</v>
      </c>
      <c r="W838" s="21" t="s">
        <v>16</v>
      </c>
    </row>
    <row r="839" spans="1:23" ht="60">
      <c r="A839" s="8" t="s">
        <v>3002</v>
      </c>
      <c r="B839" s="8" t="s">
        <v>825</v>
      </c>
      <c r="C839" s="8" t="s">
        <v>2197</v>
      </c>
      <c r="D839" s="8" t="s">
        <v>18</v>
      </c>
      <c r="E839" s="8" t="s">
        <v>16</v>
      </c>
      <c r="F839" s="8" t="s">
        <v>2204</v>
      </c>
      <c r="G839" s="8" t="s">
        <v>3003</v>
      </c>
      <c r="H839" s="8">
        <v>126294</v>
      </c>
      <c r="I839" s="8">
        <v>6295</v>
      </c>
      <c r="J839" s="8" t="s">
        <v>828</v>
      </c>
      <c r="K839" s="9">
        <v>45348</v>
      </c>
      <c r="L839" s="9">
        <v>46419</v>
      </c>
      <c r="M839" s="8" t="s">
        <v>16</v>
      </c>
      <c r="P839" s="16" t="s">
        <v>783</v>
      </c>
      <c r="Q839" s="2" t="s">
        <v>151</v>
      </c>
      <c r="S839" s="8" t="s">
        <v>1191</v>
      </c>
      <c r="T839" s="9">
        <v>46844</v>
      </c>
      <c r="U839" s="8">
        <v>0</v>
      </c>
      <c r="V839" s="20">
        <v>308</v>
      </c>
      <c r="W839" s="21" t="s">
        <v>16</v>
      </c>
    </row>
    <row r="840" spans="1:23" ht="60">
      <c r="A840" s="8" t="s">
        <v>3002</v>
      </c>
      <c r="B840" s="8" t="s">
        <v>825</v>
      </c>
      <c r="C840" s="8" t="s">
        <v>2197</v>
      </c>
      <c r="D840" s="8" t="s">
        <v>18</v>
      </c>
      <c r="E840" s="8" t="s">
        <v>16</v>
      </c>
      <c r="F840" s="8" t="s">
        <v>2204</v>
      </c>
      <c r="G840" s="8" t="s">
        <v>3003</v>
      </c>
      <c r="H840" s="8">
        <v>126294</v>
      </c>
      <c r="I840" s="8">
        <v>15000</v>
      </c>
      <c r="J840" s="8" t="s">
        <v>829</v>
      </c>
      <c r="K840" s="9">
        <v>45386</v>
      </c>
      <c r="L840" s="9">
        <v>46447</v>
      </c>
      <c r="M840" s="8" t="s">
        <v>16</v>
      </c>
      <c r="P840" s="16" t="s">
        <v>784</v>
      </c>
      <c r="Q840" s="2" t="s">
        <v>38</v>
      </c>
      <c r="S840" s="8" t="s">
        <v>1192</v>
      </c>
      <c r="T840" s="9">
        <v>45413</v>
      </c>
      <c r="U840" s="8">
        <v>0</v>
      </c>
      <c r="V840" s="20">
        <v>7</v>
      </c>
      <c r="W840" s="21" t="s">
        <v>16</v>
      </c>
    </row>
    <row r="841" spans="1:23" ht="60">
      <c r="A841" s="8" t="s">
        <v>3002</v>
      </c>
      <c r="B841" s="8" t="s">
        <v>825</v>
      </c>
      <c r="C841" s="8" t="s">
        <v>2197</v>
      </c>
      <c r="D841" s="8" t="s">
        <v>18</v>
      </c>
      <c r="E841" s="8" t="s">
        <v>16</v>
      </c>
      <c r="F841" s="8" t="s">
        <v>2204</v>
      </c>
      <c r="G841" s="8" t="s">
        <v>3003</v>
      </c>
      <c r="H841" s="8">
        <v>126294</v>
      </c>
      <c r="I841" s="8">
        <v>27200</v>
      </c>
      <c r="J841" s="8" t="s">
        <v>830</v>
      </c>
      <c r="K841" s="9">
        <v>45350</v>
      </c>
      <c r="L841" s="9">
        <v>46419</v>
      </c>
      <c r="M841" s="8" t="s">
        <v>16</v>
      </c>
      <c r="P841" s="16" t="s">
        <v>785</v>
      </c>
      <c r="Q841" s="2" t="s">
        <v>151</v>
      </c>
      <c r="S841" s="8" t="s">
        <v>1192</v>
      </c>
      <c r="T841" s="9">
        <v>46143</v>
      </c>
      <c r="U841" s="8">
        <v>0</v>
      </c>
      <c r="V841" s="20">
        <v>25</v>
      </c>
      <c r="W841" s="21" t="s">
        <v>16</v>
      </c>
    </row>
    <row r="842" spans="1:23" ht="60">
      <c r="A842" s="8" t="s">
        <v>3002</v>
      </c>
      <c r="B842" s="8" t="s">
        <v>825</v>
      </c>
      <c r="C842" s="8" t="s">
        <v>2197</v>
      </c>
      <c r="D842" s="8" t="s">
        <v>18</v>
      </c>
      <c r="E842" s="8" t="s">
        <v>16</v>
      </c>
      <c r="F842" s="8" t="s">
        <v>2204</v>
      </c>
      <c r="G842" s="8" t="s">
        <v>3003</v>
      </c>
      <c r="H842" s="8">
        <v>126294</v>
      </c>
      <c r="I842" s="8">
        <v>30800</v>
      </c>
      <c r="J842" s="8" t="s">
        <v>831</v>
      </c>
      <c r="K842" s="9">
        <v>45379</v>
      </c>
      <c r="L842" s="9">
        <v>46447</v>
      </c>
      <c r="M842" s="8" t="s">
        <v>16</v>
      </c>
      <c r="P842" s="16" t="s">
        <v>786</v>
      </c>
      <c r="Q842" s="2" t="s">
        <v>151</v>
      </c>
      <c r="S842" s="8" t="s">
        <v>1193</v>
      </c>
      <c r="T842" s="9" t="s">
        <v>2222</v>
      </c>
      <c r="U842" s="8">
        <v>0</v>
      </c>
      <c r="V842" s="20">
        <v>1</v>
      </c>
      <c r="W842" s="21" t="s">
        <v>43</v>
      </c>
    </row>
    <row r="843" spans="1:23" ht="60">
      <c r="A843" s="8" t="s">
        <v>3002</v>
      </c>
      <c r="B843" s="8" t="s">
        <v>825</v>
      </c>
      <c r="C843" s="8" t="s">
        <v>2197</v>
      </c>
      <c r="D843" s="8" t="s">
        <v>18</v>
      </c>
      <c r="E843" s="8" t="s">
        <v>16</v>
      </c>
      <c r="F843" s="8" t="s">
        <v>2204</v>
      </c>
      <c r="G843" s="8" t="s">
        <v>3003</v>
      </c>
      <c r="H843" s="8">
        <v>126294</v>
      </c>
      <c r="I843" s="8">
        <v>44799</v>
      </c>
      <c r="J843" s="8" t="s">
        <v>832</v>
      </c>
      <c r="K843" s="9">
        <v>45348</v>
      </c>
      <c r="L843" s="9">
        <v>46419</v>
      </c>
      <c r="M843" s="8" t="s">
        <v>16</v>
      </c>
      <c r="P843" s="16" t="s">
        <v>786</v>
      </c>
      <c r="Q843" s="2" t="s">
        <v>151</v>
      </c>
      <c r="S843" s="8" t="s">
        <v>1194</v>
      </c>
      <c r="T843" s="9" t="s">
        <v>2222</v>
      </c>
      <c r="U843" s="8">
        <v>0</v>
      </c>
      <c r="V843" s="20">
        <v>40</v>
      </c>
      <c r="W843" s="21" t="s">
        <v>41</v>
      </c>
    </row>
    <row r="844" spans="1:23" ht="60">
      <c r="A844" s="8" t="s">
        <v>3004</v>
      </c>
      <c r="B844" s="8" t="s">
        <v>833</v>
      </c>
      <c r="C844" s="8" t="s">
        <v>2203</v>
      </c>
      <c r="D844" s="8" t="s">
        <v>18</v>
      </c>
      <c r="E844" s="8" t="s">
        <v>16</v>
      </c>
      <c r="F844" s="8" t="s">
        <v>2250</v>
      </c>
      <c r="G844" s="8" t="s">
        <v>2217</v>
      </c>
      <c r="H844" s="8">
        <v>5049</v>
      </c>
      <c r="I844" s="8">
        <v>5049</v>
      </c>
      <c r="J844" s="8">
        <v>0</v>
      </c>
      <c r="K844" s="9">
        <v>43963</v>
      </c>
      <c r="L844" s="8" t="s">
        <v>2222</v>
      </c>
      <c r="M844" s="8" t="s">
        <v>16</v>
      </c>
      <c r="P844" s="16" t="s">
        <v>789</v>
      </c>
      <c r="Q844" s="2" t="s">
        <v>151</v>
      </c>
      <c r="S844" s="8" t="s">
        <v>1195</v>
      </c>
      <c r="T844" s="9">
        <v>46784</v>
      </c>
      <c r="U844" s="8">
        <v>0</v>
      </c>
      <c r="V844" s="20">
        <v>2900</v>
      </c>
      <c r="W844" s="21" t="s">
        <v>16</v>
      </c>
    </row>
    <row r="845" spans="1:23" ht="60">
      <c r="A845" s="8" t="s">
        <v>3005</v>
      </c>
      <c r="B845" s="8" t="s">
        <v>833</v>
      </c>
      <c r="C845" s="8" t="s">
        <v>2203</v>
      </c>
      <c r="D845" s="8" t="s">
        <v>18</v>
      </c>
      <c r="E845" s="8" t="s">
        <v>16</v>
      </c>
      <c r="F845" s="8" t="s">
        <v>2228</v>
      </c>
      <c r="G845" s="8" t="s">
        <v>2217</v>
      </c>
      <c r="H845" s="8">
        <v>5049</v>
      </c>
      <c r="I845" s="8">
        <v>5049</v>
      </c>
      <c r="J845" s="8">
        <v>0</v>
      </c>
      <c r="K845" s="9">
        <v>45134</v>
      </c>
      <c r="L845" s="8" t="s">
        <v>2222</v>
      </c>
      <c r="M845" s="8" t="s">
        <v>16</v>
      </c>
      <c r="P845" s="16" t="s">
        <v>789</v>
      </c>
      <c r="Q845" s="2" t="s">
        <v>151</v>
      </c>
      <c r="S845" s="8" t="s">
        <v>1196</v>
      </c>
      <c r="T845" s="9">
        <v>46204</v>
      </c>
      <c r="U845" s="8">
        <v>0</v>
      </c>
      <c r="V845" s="20">
        <v>4</v>
      </c>
      <c r="W845" s="21" t="s">
        <v>16</v>
      </c>
    </row>
    <row r="846" spans="1:23" ht="45">
      <c r="A846" s="8" t="s">
        <v>3006</v>
      </c>
      <c r="B846" s="8" t="s">
        <v>834</v>
      </c>
      <c r="C846" s="8" t="s">
        <v>2197</v>
      </c>
      <c r="D846" s="8" t="s">
        <v>18</v>
      </c>
      <c r="E846" s="8" t="s">
        <v>2217</v>
      </c>
      <c r="F846" s="8" t="s">
        <v>2217</v>
      </c>
      <c r="G846" s="8" t="s">
        <v>2217</v>
      </c>
      <c r="H846" s="8">
        <v>10</v>
      </c>
      <c r="I846" s="8">
        <v>10</v>
      </c>
      <c r="J846" s="10">
        <v>221000000000</v>
      </c>
      <c r="K846" s="9">
        <v>44915</v>
      </c>
      <c r="L846" s="9">
        <v>46661</v>
      </c>
      <c r="M846" s="8" t="s">
        <v>16</v>
      </c>
      <c r="P846" s="16" t="s">
        <v>792</v>
      </c>
      <c r="Q846" s="2" t="s">
        <v>16</v>
      </c>
      <c r="S846" s="8" t="s">
        <v>1196</v>
      </c>
      <c r="T846" s="9">
        <v>46935</v>
      </c>
      <c r="U846" s="8">
        <v>0</v>
      </c>
      <c r="V846" s="20">
        <v>360</v>
      </c>
      <c r="W846" s="21" t="s">
        <v>16</v>
      </c>
    </row>
    <row r="847" spans="1:23" ht="45">
      <c r="A847" s="8" t="s">
        <v>3007</v>
      </c>
      <c r="B847" s="8" t="s">
        <v>834</v>
      </c>
      <c r="C847" s="8" t="s">
        <v>2197</v>
      </c>
      <c r="D847" s="8" t="s">
        <v>18</v>
      </c>
      <c r="E847" s="8" t="s">
        <v>16</v>
      </c>
      <c r="F847" s="8" t="s">
        <v>2228</v>
      </c>
      <c r="G847" s="8" t="s">
        <v>3008</v>
      </c>
      <c r="H847" s="8">
        <v>250</v>
      </c>
      <c r="I847" s="8">
        <v>250</v>
      </c>
      <c r="J847" s="8">
        <v>22040900500</v>
      </c>
      <c r="K847" s="9">
        <v>44734</v>
      </c>
      <c r="L847" s="9">
        <v>46478</v>
      </c>
      <c r="M847" s="8" t="s">
        <v>16</v>
      </c>
      <c r="P847" s="16" t="s">
        <v>794</v>
      </c>
      <c r="Q847" s="2" t="s">
        <v>41</v>
      </c>
      <c r="S847" s="8" t="s">
        <v>1197</v>
      </c>
      <c r="T847" s="9">
        <v>46661</v>
      </c>
      <c r="U847" s="8">
        <v>0</v>
      </c>
      <c r="V847" s="20">
        <v>19</v>
      </c>
      <c r="W847" s="21" t="s">
        <v>16</v>
      </c>
    </row>
    <row r="848" spans="1:23" ht="105">
      <c r="A848" s="8" t="s">
        <v>3009</v>
      </c>
      <c r="B848" s="8" t="s">
        <v>835</v>
      </c>
      <c r="C848" s="8" t="s">
        <v>2203</v>
      </c>
      <c r="D848" s="8" t="s">
        <v>18</v>
      </c>
      <c r="E848" s="8" t="s">
        <v>101</v>
      </c>
      <c r="F848" s="8" t="s">
        <v>101</v>
      </c>
      <c r="G848" s="8" t="s">
        <v>3010</v>
      </c>
      <c r="H848" s="8">
        <v>267</v>
      </c>
      <c r="I848" s="8">
        <v>267</v>
      </c>
      <c r="J848" s="8">
        <v>0</v>
      </c>
      <c r="K848" s="8" t="s">
        <v>2222</v>
      </c>
      <c r="L848" s="8" t="s">
        <v>2222</v>
      </c>
      <c r="M848" s="8" t="s">
        <v>101</v>
      </c>
      <c r="P848" s="16" t="s">
        <v>794</v>
      </c>
      <c r="Q848" s="2" t="s">
        <v>41</v>
      </c>
      <c r="S848" s="8" t="s">
        <v>1197</v>
      </c>
      <c r="T848" s="9">
        <v>46874</v>
      </c>
      <c r="U848" s="8">
        <v>0</v>
      </c>
      <c r="V848" s="20">
        <v>500</v>
      </c>
      <c r="W848" s="21" t="s">
        <v>16</v>
      </c>
    </row>
    <row r="849" spans="1:23" ht="45">
      <c r="A849" s="8" t="s">
        <v>3058</v>
      </c>
      <c r="B849" s="8" t="s">
        <v>1026</v>
      </c>
      <c r="C849" s="8" t="s">
        <v>2221</v>
      </c>
      <c r="D849" s="8" t="s">
        <v>18</v>
      </c>
      <c r="E849" s="8" t="s">
        <v>43</v>
      </c>
      <c r="F849" s="8" t="s">
        <v>2217</v>
      </c>
      <c r="G849" s="8" t="s">
        <v>2217</v>
      </c>
      <c r="H849" s="8">
        <v>18</v>
      </c>
      <c r="I849" s="8">
        <v>18</v>
      </c>
      <c r="J849" s="8">
        <v>0</v>
      </c>
      <c r="K849" s="9">
        <v>44162</v>
      </c>
      <c r="L849" s="8" t="s">
        <v>2222</v>
      </c>
      <c r="M849" s="8" t="s">
        <v>43</v>
      </c>
      <c r="P849" s="16" t="s">
        <v>795</v>
      </c>
      <c r="Q849" s="2" t="s">
        <v>43</v>
      </c>
      <c r="S849" s="8" t="s">
        <v>1198</v>
      </c>
      <c r="T849" s="9">
        <v>46508</v>
      </c>
      <c r="U849" s="8">
        <v>0</v>
      </c>
      <c r="V849" s="20">
        <v>80</v>
      </c>
      <c r="W849" s="21" t="s">
        <v>16</v>
      </c>
    </row>
    <row r="850" spans="1:23" ht="45">
      <c r="A850" s="8" t="s">
        <v>3059</v>
      </c>
      <c r="B850" s="8" t="s">
        <v>1027</v>
      </c>
      <c r="C850" s="8" t="s">
        <v>2221</v>
      </c>
      <c r="D850" s="8" t="s">
        <v>18</v>
      </c>
      <c r="E850" s="8" t="s">
        <v>43</v>
      </c>
      <c r="F850" s="8" t="s">
        <v>3060</v>
      </c>
      <c r="G850" s="8" t="s">
        <v>2217</v>
      </c>
      <c r="H850" s="8">
        <v>27</v>
      </c>
      <c r="I850" s="8">
        <v>27</v>
      </c>
      <c r="J850" s="8">
        <v>0</v>
      </c>
      <c r="K850" s="8" t="s">
        <v>2222</v>
      </c>
      <c r="L850" s="8" t="s">
        <v>2222</v>
      </c>
      <c r="M850" s="8" t="s">
        <v>43</v>
      </c>
      <c r="P850" s="16" t="s">
        <v>796</v>
      </c>
      <c r="Q850" s="2" t="s">
        <v>151</v>
      </c>
      <c r="S850" s="8" t="s">
        <v>1198</v>
      </c>
      <c r="T850" s="9">
        <v>46661</v>
      </c>
      <c r="U850" s="8">
        <v>0</v>
      </c>
      <c r="V850" s="20">
        <v>1160</v>
      </c>
      <c r="W850" s="21" t="s">
        <v>16</v>
      </c>
    </row>
    <row r="851" spans="1:23" ht="60">
      <c r="A851" s="8" t="s">
        <v>3061</v>
      </c>
      <c r="B851" s="8" t="s">
        <v>1028</v>
      </c>
      <c r="C851" s="8" t="s">
        <v>2221</v>
      </c>
      <c r="D851" s="8" t="s">
        <v>18</v>
      </c>
      <c r="E851" s="8" t="s">
        <v>43</v>
      </c>
      <c r="F851" s="8" t="s">
        <v>3060</v>
      </c>
      <c r="G851" s="8" t="s">
        <v>2217</v>
      </c>
      <c r="H851" s="8">
        <v>151</v>
      </c>
      <c r="I851" s="8">
        <v>151</v>
      </c>
      <c r="J851" s="8">
        <v>0</v>
      </c>
      <c r="K851" s="9">
        <v>44162</v>
      </c>
      <c r="L851" s="8" t="s">
        <v>2222</v>
      </c>
      <c r="M851" s="8" t="s">
        <v>43</v>
      </c>
      <c r="P851" s="16" t="s">
        <v>797</v>
      </c>
      <c r="Q851" s="2" t="s">
        <v>16</v>
      </c>
      <c r="S851" s="8" t="s">
        <v>1199</v>
      </c>
      <c r="T851" s="9" t="s">
        <v>2222</v>
      </c>
      <c r="U851" s="8">
        <v>0</v>
      </c>
      <c r="V851" s="20">
        <v>270</v>
      </c>
      <c r="W851" s="21" t="s">
        <v>43</v>
      </c>
    </row>
    <row r="852" spans="1:23" ht="60">
      <c r="A852" s="8" t="s">
        <v>3062</v>
      </c>
      <c r="B852" s="8" t="s">
        <v>1029</v>
      </c>
      <c r="C852" s="8" t="s">
        <v>2221</v>
      </c>
      <c r="D852" s="8" t="s">
        <v>18</v>
      </c>
      <c r="E852" s="8" t="s">
        <v>43</v>
      </c>
      <c r="F852" s="8" t="s">
        <v>2217</v>
      </c>
      <c r="G852" s="8" t="s">
        <v>2217</v>
      </c>
      <c r="H852" s="8">
        <v>5</v>
      </c>
      <c r="I852" s="8">
        <v>5</v>
      </c>
      <c r="J852" s="8">
        <v>0</v>
      </c>
      <c r="K852" s="9">
        <v>44162</v>
      </c>
      <c r="L852" s="8" t="s">
        <v>2222</v>
      </c>
      <c r="M852" s="8" t="s">
        <v>43</v>
      </c>
      <c r="P852" s="16" t="s">
        <v>797</v>
      </c>
      <c r="Q852" s="2" t="s">
        <v>16</v>
      </c>
      <c r="S852" s="8" t="s">
        <v>1200</v>
      </c>
      <c r="T852" s="9" t="s">
        <v>2222</v>
      </c>
      <c r="U852" s="8">
        <v>0</v>
      </c>
      <c r="V852" s="20">
        <v>476</v>
      </c>
      <c r="W852" s="21" t="s">
        <v>41</v>
      </c>
    </row>
    <row r="853" spans="1:23" ht="60">
      <c r="A853" s="8" t="s">
        <v>3063</v>
      </c>
      <c r="B853" s="8" t="s">
        <v>1030</v>
      </c>
      <c r="C853" s="8" t="s">
        <v>2221</v>
      </c>
      <c r="D853" s="8" t="s">
        <v>18</v>
      </c>
      <c r="E853" s="8" t="s">
        <v>43</v>
      </c>
      <c r="F853" s="8" t="s">
        <v>3060</v>
      </c>
      <c r="G853" s="8" t="s">
        <v>2217</v>
      </c>
      <c r="H853" s="8">
        <v>204</v>
      </c>
      <c r="I853" s="8">
        <v>204</v>
      </c>
      <c r="J853" s="8">
        <v>0</v>
      </c>
      <c r="K853" s="9">
        <v>44162</v>
      </c>
      <c r="L853" s="8" t="s">
        <v>2222</v>
      </c>
      <c r="M853" s="8" t="s">
        <v>43</v>
      </c>
      <c r="P853" s="16" t="s">
        <v>800</v>
      </c>
      <c r="Q853" s="2" t="s">
        <v>16</v>
      </c>
      <c r="S853" s="8" t="s">
        <v>1201</v>
      </c>
      <c r="T853" s="9" t="s">
        <v>2222</v>
      </c>
      <c r="U853" s="8">
        <v>0</v>
      </c>
      <c r="V853" s="20">
        <v>850</v>
      </c>
      <c r="W853" s="21" t="s">
        <v>41</v>
      </c>
    </row>
    <row r="854" spans="1:23" ht="60">
      <c r="A854" s="8" t="s">
        <v>3064</v>
      </c>
      <c r="B854" s="8" t="s">
        <v>1031</v>
      </c>
      <c r="C854" s="8" t="s">
        <v>2221</v>
      </c>
      <c r="D854" s="8" t="s">
        <v>18</v>
      </c>
      <c r="E854" s="8" t="s">
        <v>43</v>
      </c>
      <c r="F854" s="8" t="s">
        <v>2217</v>
      </c>
      <c r="G854" s="8" t="s">
        <v>2217</v>
      </c>
      <c r="H854" s="8">
        <v>538</v>
      </c>
      <c r="I854" s="8">
        <v>538</v>
      </c>
      <c r="J854" s="8">
        <v>0</v>
      </c>
      <c r="K854" s="9">
        <v>44162</v>
      </c>
      <c r="L854" s="8" t="s">
        <v>2222</v>
      </c>
      <c r="M854" s="8" t="s">
        <v>43</v>
      </c>
      <c r="P854" s="16" t="s">
        <v>802</v>
      </c>
      <c r="Q854" s="2" t="s">
        <v>16</v>
      </c>
      <c r="S854" s="8" t="s">
        <v>1202</v>
      </c>
      <c r="T854" s="9" t="s">
        <v>2222</v>
      </c>
      <c r="U854" s="8">
        <v>0</v>
      </c>
      <c r="V854" s="20">
        <v>1</v>
      </c>
      <c r="W854" s="21" t="s">
        <v>38</v>
      </c>
    </row>
    <row r="855" spans="1:23" ht="75">
      <c r="A855" s="8" t="s">
        <v>3065</v>
      </c>
      <c r="B855" s="8" t="s">
        <v>1032</v>
      </c>
      <c r="C855" s="8" t="s">
        <v>2221</v>
      </c>
      <c r="D855" s="8" t="s">
        <v>18</v>
      </c>
      <c r="E855" s="8" t="s">
        <v>43</v>
      </c>
      <c r="F855" s="8" t="s">
        <v>2217</v>
      </c>
      <c r="G855" s="8" t="s">
        <v>2217</v>
      </c>
      <c r="H855" s="8">
        <v>241</v>
      </c>
      <c r="I855" s="8">
        <v>241</v>
      </c>
      <c r="J855" s="8">
        <v>0</v>
      </c>
      <c r="K855" s="9">
        <v>44161</v>
      </c>
      <c r="L855" s="8" t="s">
        <v>2222</v>
      </c>
      <c r="M855" s="8" t="s">
        <v>43</v>
      </c>
      <c r="P855" s="16" t="s">
        <v>802</v>
      </c>
      <c r="Q855" s="2" t="s">
        <v>16</v>
      </c>
      <c r="S855" s="8" t="s">
        <v>1203</v>
      </c>
      <c r="T855" s="9" t="s">
        <v>2222</v>
      </c>
      <c r="U855" s="8">
        <v>0</v>
      </c>
      <c r="V855" s="20">
        <v>1</v>
      </c>
      <c r="W855" s="21" t="s">
        <v>38</v>
      </c>
    </row>
    <row r="856" spans="1:23" ht="75">
      <c r="A856" s="8" t="s">
        <v>3066</v>
      </c>
      <c r="B856" s="8" t="s">
        <v>1033</v>
      </c>
      <c r="C856" s="8" t="s">
        <v>2221</v>
      </c>
      <c r="D856" s="8" t="s">
        <v>18</v>
      </c>
      <c r="E856" s="8" t="s">
        <v>43</v>
      </c>
      <c r="F856" s="8" t="s">
        <v>2217</v>
      </c>
      <c r="G856" s="8" t="s">
        <v>2217</v>
      </c>
      <c r="H856" s="8">
        <v>36</v>
      </c>
      <c r="I856" s="8">
        <v>36</v>
      </c>
      <c r="J856" s="8">
        <v>0</v>
      </c>
      <c r="K856" s="9">
        <v>44161</v>
      </c>
      <c r="L856" s="8" t="s">
        <v>2222</v>
      </c>
      <c r="M856" s="8" t="s">
        <v>43</v>
      </c>
      <c r="P856" s="16" t="s">
        <v>803</v>
      </c>
      <c r="Q856" s="2" t="s">
        <v>16</v>
      </c>
      <c r="S856" s="8" t="s">
        <v>1204</v>
      </c>
      <c r="T856" s="9">
        <v>46935</v>
      </c>
      <c r="U856" s="8">
        <v>0</v>
      </c>
      <c r="V856" s="20">
        <v>9</v>
      </c>
      <c r="W856" s="21" t="s">
        <v>16</v>
      </c>
    </row>
    <row r="857" spans="1:23" ht="75">
      <c r="A857" s="8" t="s">
        <v>3067</v>
      </c>
      <c r="B857" s="8" t="s">
        <v>1034</v>
      </c>
      <c r="C857" s="8" t="s">
        <v>2221</v>
      </c>
      <c r="D857" s="8" t="s">
        <v>18</v>
      </c>
      <c r="E857" s="8" t="s">
        <v>43</v>
      </c>
      <c r="F857" s="8" t="s">
        <v>2217</v>
      </c>
      <c r="G857" s="8" t="s">
        <v>2217</v>
      </c>
      <c r="H857" s="8">
        <v>70</v>
      </c>
      <c r="I857" s="8">
        <v>70</v>
      </c>
      <c r="J857" s="8">
        <v>0</v>
      </c>
      <c r="K857" s="9">
        <v>44161</v>
      </c>
      <c r="L857" s="8" t="s">
        <v>2222</v>
      </c>
      <c r="M857" s="8" t="s">
        <v>43</v>
      </c>
      <c r="P857" s="16" t="s">
        <v>803</v>
      </c>
      <c r="Q857" s="2" t="s">
        <v>16</v>
      </c>
      <c r="S857" s="8" t="s">
        <v>1204</v>
      </c>
      <c r="T857" s="9">
        <v>47150</v>
      </c>
      <c r="U857" s="8">
        <v>0</v>
      </c>
      <c r="V857" s="20">
        <v>340</v>
      </c>
      <c r="W857" s="21" t="s">
        <v>16</v>
      </c>
    </row>
    <row r="858" spans="1:23" ht="45">
      <c r="A858" s="8" t="s">
        <v>3068</v>
      </c>
      <c r="B858" s="8" t="s">
        <v>1035</v>
      </c>
      <c r="C858" s="8" t="s">
        <v>2221</v>
      </c>
      <c r="D858" s="8" t="s">
        <v>18</v>
      </c>
      <c r="E858" s="8" t="s">
        <v>43</v>
      </c>
      <c r="F858" s="8" t="s">
        <v>2217</v>
      </c>
      <c r="G858" s="8" t="s">
        <v>2217</v>
      </c>
      <c r="H858" s="8">
        <v>3</v>
      </c>
      <c r="I858" s="8">
        <v>3</v>
      </c>
      <c r="J858" s="8">
        <v>0</v>
      </c>
      <c r="K858" s="9">
        <v>44162</v>
      </c>
      <c r="L858" s="8" t="s">
        <v>2222</v>
      </c>
      <c r="M858" s="8" t="s">
        <v>43</v>
      </c>
      <c r="P858" s="16" t="s">
        <v>803</v>
      </c>
      <c r="Q858" s="2" t="s">
        <v>16</v>
      </c>
      <c r="S858" s="8" t="s">
        <v>1205</v>
      </c>
      <c r="T858" s="9">
        <v>46722</v>
      </c>
      <c r="U858" s="8">
        <v>0</v>
      </c>
      <c r="V858" s="20">
        <v>540</v>
      </c>
      <c r="W858" s="21" t="s">
        <v>16</v>
      </c>
    </row>
    <row r="859" spans="1:23" ht="75">
      <c r="A859" s="8" t="s">
        <v>3069</v>
      </c>
      <c r="B859" s="8" t="s">
        <v>1036</v>
      </c>
      <c r="C859" s="8" t="s">
        <v>2197</v>
      </c>
      <c r="D859" s="8" t="s">
        <v>18</v>
      </c>
      <c r="E859" s="8" t="s">
        <v>16</v>
      </c>
      <c r="F859" s="8" t="s">
        <v>2228</v>
      </c>
      <c r="G859" s="8" t="s">
        <v>3070</v>
      </c>
      <c r="H859" s="8">
        <v>1320</v>
      </c>
      <c r="I859" s="8">
        <v>360</v>
      </c>
      <c r="J859" s="8">
        <v>10183110</v>
      </c>
      <c r="K859" s="9">
        <v>45455</v>
      </c>
      <c r="L859" s="9">
        <v>46296</v>
      </c>
      <c r="M859" s="8" t="s">
        <v>16</v>
      </c>
      <c r="P859" s="16" t="s">
        <v>804</v>
      </c>
      <c r="Q859" s="2" t="s">
        <v>16</v>
      </c>
      <c r="S859" s="8" t="s">
        <v>1205</v>
      </c>
      <c r="T859" s="9">
        <v>46661</v>
      </c>
      <c r="U859" s="8">
        <v>0</v>
      </c>
      <c r="V859" s="20">
        <v>104</v>
      </c>
      <c r="W859" s="21" t="s">
        <v>16</v>
      </c>
    </row>
    <row r="860" spans="1:23" ht="75">
      <c r="A860" s="8" t="s">
        <v>3069</v>
      </c>
      <c r="B860" s="8" t="s">
        <v>1036</v>
      </c>
      <c r="C860" s="8" t="s">
        <v>2197</v>
      </c>
      <c r="D860" s="8" t="s">
        <v>18</v>
      </c>
      <c r="E860" s="8" t="s">
        <v>16</v>
      </c>
      <c r="F860" s="8" t="s">
        <v>2228</v>
      </c>
      <c r="G860" s="8" t="s">
        <v>3070</v>
      </c>
      <c r="H860" s="8">
        <v>1320</v>
      </c>
      <c r="I860" s="8">
        <v>960</v>
      </c>
      <c r="J860" s="8">
        <v>10183114</v>
      </c>
      <c r="K860" s="9">
        <v>45455</v>
      </c>
      <c r="L860" s="9">
        <v>46235</v>
      </c>
      <c r="M860" s="8" t="s">
        <v>16</v>
      </c>
      <c r="P860" s="16" t="s">
        <v>805</v>
      </c>
      <c r="Q860" s="2" t="s">
        <v>16</v>
      </c>
      <c r="S860" s="8" t="s">
        <v>1205</v>
      </c>
      <c r="T860" s="9">
        <v>46753</v>
      </c>
      <c r="U860" s="8">
        <v>0</v>
      </c>
      <c r="V860" s="20">
        <v>160</v>
      </c>
      <c r="W860" s="21" t="s">
        <v>16</v>
      </c>
    </row>
    <row r="861" spans="1:23" ht="75">
      <c r="A861" s="8" t="s">
        <v>3071</v>
      </c>
      <c r="B861" s="8" t="s">
        <v>1037</v>
      </c>
      <c r="C861" s="8" t="s">
        <v>2197</v>
      </c>
      <c r="D861" s="8" t="s">
        <v>18</v>
      </c>
      <c r="E861" s="8" t="s">
        <v>16</v>
      </c>
      <c r="F861" s="8" t="s">
        <v>2228</v>
      </c>
      <c r="G861" s="8" t="s">
        <v>3070</v>
      </c>
      <c r="H861" s="8">
        <v>1000</v>
      </c>
      <c r="I861" s="8">
        <v>300</v>
      </c>
      <c r="J861" s="8">
        <v>10183110</v>
      </c>
      <c r="K861" s="9">
        <v>45176</v>
      </c>
      <c r="L861" s="9">
        <v>46204</v>
      </c>
      <c r="M861" s="8" t="s">
        <v>16</v>
      </c>
      <c r="P861" s="16" t="s">
        <v>805</v>
      </c>
      <c r="Q861" s="2" t="s">
        <v>16</v>
      </c>
      <c r="S861" s="8" t="s">
        <v>1206</v>
      </c>
      <c r="T861" s="9">
        <v>47027</v>
      </c>
      <c r="U861" s="8">
        <v>0</v>
      </c>
      <c r="V861" s="20">
        <v>115</v>
      </c>
      <c r="W861" s="21" t="s">
        <v>16</v>
      </c>
    </row>
    <row r="862" spans="1:23" ht="75">
      <c r="A862" s="8" t="s">
        <v>3071</v>
      </c>
      <c r="B862" s="8" t="s">
        <v>1037</v>
      </c>
      <c r="C862" s="8" t="s">
        <v>2197</v>
      </c>
      <c r="D862" s="8" t="s">
        <v>18</v>
      </c>
      <c r="E862" s="8" t="s">
        <v>16</v>
      </c>
      <c r="F862" s="8" t="s">
        <v>2228</v>
      </c>
      <c r="G862" s="8" t="s">
        <v>3070</v>
      </c>
      <c r="H862" s="8">
        <v>1000</v>
      </c>
      <c r="I862" s="8">
        <v>700</v>
      </c>
      <c r="J862" s="8">
        <v>10183117</v>
      </c>
      <c r="K862" s="9">
        <v>45455</v>
      </c>
      <c r="L862" s="9">
        <v>46266</v>
      </c>
      <c r="M862" s="8" t="s">
        <v>16</v>
      </c>
      <c r="P862" s="16" t="s">
        <v>805</v>
      </c>
      <c r="Q862" s="2" t="s">
        <v>16</v>
      </c>
      <c r="S862" s="8" t="s">
        <v>1207</v>
      </c>
      <c r="T862" s="9">
        <v>47088</v>
      </c>
      <c r="U862" s="8">
        <v>0</v>
      </c>
      <c r="V862" s="20">
        <v>15</v>
      </c>
      <c r="W862" s="21" t="s">
        <v>16</v>
      </c>
    </row>
    <row r="863" spans="1:23" ht="48.75">
      <c r="A863" s="8" t="s">
        <v>3072</v>
      </c>
      <c r="B863" s="8" t="s">
        <v>1038</v>
      </c>
      <c r="C863" s="8" t="s">
        <v>2221</v>
      </c>
      <c r="D863" s="8" t="s">
        <v>18</v>
      </c>
      <c r="E863" s="8" t="s">
        <v>101</v>
      </c>
      <c r="F863" s="8" t="s">
        <v>101</v>
      </c>
      <c r="G863" s="8" t="s">
        <v>2217</v>
      </c>
      <c r="H863" s="8">
        <v>8</v>
      </c>
      <c r="I863" s="8">
        <v>8</v>
      </c>
      <c r="J863" s="8">
        <v>0</v>
      </c>
      <c r="K863" s="9">
        <v>44161</v>
      </c>
      <c r="L863" s="8" t="s">
        <v>2222</v>
      </c>
      <c r="M863" s="8" t="s">
        <v>41</v>
      </c>
      <c r="P863" s="16" t="s">
        <v>805</v>
      </c>
      <c r="Q863" s="2" t="s">
        <v>16</v>
      </c>
      <c r="S863" s="8" t="s">
        <v>1207</v>
      </c>
      <c r="T863" s="9">
        <v>47119</v>
      </c>
      <c r="U863" s="8">
        <v>0</v>
      </c>
      <c r="V863" s="20">
        <v>100</v>
      </c>
      <c r="W863" s="21" t="s">
        <v>16</v>
      </c>
    </row>
    <row r="864" spans="1:23" ht="60">
      <c r="A864" s="8" t="s">
        <v>3073</v>
      </c>
      <c r="B864" s="8" t="s">
        <v>1039</v>
      </c>
      <c r="C864" s="8" t="s">
        <v>2197</v>
      </c>
      <c r="D864" s="8" t="s">
        <v>100</v>
      </c>
      <c r="E864" s="8" t="s">
        <v>16</v>
      </c>
      <c r="F864" s="8" t="s">
        <v>2198</v>
      </c>
      <c r="G864" s="8" t="s">
        <v>3074</v>
      </c>
      <c r="H864" s="8">
        <v>1</v>
      </c>
      <c r="I864" s="8">
        <v>1</v>
      </c>
      <c r="J864" s="8" t="s">
        <v>1040</v>
      </c>
      <c r="K864" s="9">
        <v>45086</v>
      </c>
      <c r="L864" s="9">
        <v>46753</v>
      </c>
      <c r="M864" s="8" t="s">
        <v>16</v>
      </c>
      <c r="P864" s="16" t="s">
        <v>806</v>
      </c>
      <c r="Q864" s="2" t="s">
        <v>16</v>
      </c>
      <c r="S864" s="8" t="s">
        <v>1207</v>
      </c>
      <c r="T864" s="9">
        <v>47178</v>
      </c>
      <c r="U864" s="8">
        <v>0</v>
      </c>
      <c r="V864" s="20">
        <v>2400</v>
      </c>
      <c r="W864" s="21" t="s">
        <v>16</v>
      </c>
    </row>
    <row r="865" spans="1:23" ht="60">
      <c r="A865" s="8" t="s">
        <v>3073</v>
      </c>
      <c r="B865" s="8" t="s">
        <v>1039</v>
      </c>
      <c r="C865" s="8" t="s">
        <v>2197</v>
      </c>
      <c r="D865" s="8" t="s">
        <v>18</v>
      </c>
      <c r="E865" s="8" t="s">
        <v>16</v>
      </c>
      <c r="F865" s="8" t="s">
        <v>2198</v>
      </c>
      <c r="G865" s="8" t="s">
        <v>3074</v>
      </c>
      <c r="H865" s="8">
        <v>355</v>
      </c>
      <c r="I865" s="8">
        <v>5</v>
      </c>
      <c r="J865" s="8" t="s">
        <v>1041</v>
      </c>
      <c r="K865" s="9">
        <v>45359</v>
      </c>
      <c r="L865" s="9">
        <v>47150</v>
      </c>
      <c r="M865" s="8" t="s">
        <v>16</v>
      </c>
      <c r="P865" s="16" t="s">
        <v>806</v>
      </c>
      <c r="Q865" s="2" t="s">
        <v>16</v>
      </c>
      <c r="S865" s="8" t="s">
        <v>1207</v>
      </c>
      <c r="T865" s="9">
        <v>47209</v>
      </c>
      <c r="U865" s="8">
        <v>0</v>
      </c>
      <c r="V865" s="20">
        <v>1600</v>
      </c>
      <c r="W865" s="21" t="s">
        <v>16</v>
      </c>
    </row>
    <row r="866" spans="1:23" ht="60">
      <c r="A866" s="8" t="s">
        <v>3073</v>
      </c>
      <c r="B866" s="8" t="s">
        <v>1039</v>
      </c>
      <c r="C866" s="8" t="s">
        <v>2197</v>
      </c>
      <c r="D866" s="8" t="s">
        <v>18</v>
      </c>
      <c r="E866" s="8" t="s">
        <v>16</v>
      </c>
      <c r="F866" s="8" t="s">
        <v>2198</v>
      </c>
      <c r="G866" s="8" t="s">
        <v>3074</v>
      </c>
      <c r="H866" s="8">
        <v>355</v>
      </c>
      <c r="I866" s="8">
        <v>350</v>
      </c>
      <c r="J866" s="8" t="s">
        <v>1042</v>
      </c>
      <c r="K866" s="9">
        <v>45423</v>
      </c>
      <c r="L866" s="9">
        <v>47178</v>
      </c>
      <c r="M866" s="8" t="s">
        <v>16</v>
      </c>
      <c r="P866" s="16" t="s">
        <v>807</v>
      </c>
      <c r="Q866" s="2" t="s">
        <v>16</v>
      </c>
      <c r="S866" s="8" t="s">
        <v>1208</v>
      </c>
      <c r="T866" s="9">
        <v>47088</v>
      </c>
      <c r="U866" s="8">
        <v>0</v>
      </c>
      <c r="V866" s="20">
        <v>187</v>
      </c>
      <c r="W866" s="21" t="s">
        <v>16</v>
      </c>
    </row>
    <row r="867" spans="1:23" ht="75">
      <c r="A867" s="8" t="s">
        <v>3075</v>
      </c>
      <c r="B867" s="8" t="s">
        <v>1043</v>
      </c>
      <c r="C867" s="8" t="s">
        <v>2197</v>
      </c>
      <c r="D867" s="8" t="s">
        <v>100</v>
      </c>
      <c r="E867" s="8" t="s">
        <v>16</v>
      </c>
      <c r="F867" s="8" t="s">
        <v>2198</v>
      </c>
      <c r="G867" s="8" t="s">
        <v>3074</v>
      </c>
      <c r="H867" s="8">
        <v>1</v>
      </c>
      <c r="I867" s="8">
        <v>1</v>
      </c>
      <c r="J867" s="8" t="s">
        <v>1044</v>
      </c>
      <c r="K867" s="9">
        <v>45346</v>
      </c>
      <c r="L867" s="9">
        <v>47150</v>
      </c>
      <c r="M867" s="8" t="s">
        <v>16</v>
      </c>
      <c r="P867" s="16" t="s">
        <v>808</v>
      </c>
      <c r="Q867" s="2" t="s">
        <v>16</v>
      </c>
      <c r="S867" s="8" t="s">
        <v>1209</v>
      </c>
      <c r="T867" s="9" t="s">
        <v>2222</v>
      </c>
      <c r="U867" s="8">
        <v>0</v>
      </c>
      <c r="V867" s="20">
        <v>37</v>
      </c>
      <c r="W867" s="21" t="s">
        <v>151</v>
      </c>
    </row>
    <row r="868" spans="1:23" ht="75">
      <c r="A868" s="8" t="s">
        <v>3076</v>
      </c>
      <c r="B868" s="8" t="s">
        <v>1045</v>
      </c>
      <c r="C868" s="8" t="s">
        <v>2197</v>
      </c>
      <c r="D868" s="8" t="s">
        <v>18</v>
      </c>
      <c r="E868" s="8" t="s">
        <v>16</v>
      </c>
      <c r="F868" s="8" t="s">
        <v>2198</v>
      </c>
      <c r="G868" s="8" t="s">
        <v>3074</v>
      </c>
      <c r="H868" s="8">
        <v>534</v>
      </c>
      <c r="I868" s="8">
        <v>14</v>
      </c>
      <c r="J868" s="8" t="s">
        <v>1046</v>
      </c>
      <c r="K868" s="9">
        <v>45232</v>
      </c>
      <c r="L868" s="9">
        <v>46997</v>
      </c>
      <c r="M868" s="8" t="s">
        <v>16</v>
      </c>
      <c r="P868" s="16" t="s">
        <v>808</v>
      </c>
      <c r="Q868" s="2" t="s">
        <v>16</v>
      </c>
      <c r="S868" s="8" t="s">
        <v>1218</v>
      </c>
      <c r="T868" s="9" t="s">
        <v>2222</v>
      </c>
      <c r="U868" s="8">
        <v>0</v>
      </c>
      <c r="V868" s="20">
        <v>1</v>
      </c>
      <c r="W868" s="21" t="s">
        <v>43</v>
      </c>
    </row>
    <row r="869" spans="1:23" ht="75">
      <c r="A869" s="8" t="s">
        <v>3076</v>
      </c>
      <c r="B869" s="8" t="s">
        <v>1045</v>
      </c>
      <c r="C869" s="8" t="s">
        <v>2197</v>
      </c>
      <c r="D869" s="8" t="s">
        <v>18</v>
      </c>
      <c r="E869" s="8" t="s">
        <v>16</v>
      </c>
      <c r="F869" s="8" t="s">
        <v>2198</v>
      </c>
      <c r="G869" s="8" t="s">
        <v>3074</v>
      </c>
      <c r="H869" s="8">
        <v>534</v>
      </c>
      <c r="I869" s="8">
        <v>520</v>
      </c>
      <c r="J869" s="8" t="s">
        <v>1047</v>
      </c>
      <c r="K869" s="9">
        <v>45436</v>
      </c>
      <c r="L869" s="9">
        <v>47239</v>
      </c>
      <c r="M869" s="8" t="s">
        <v>16</v>
      </c>
      <c r="P869" s="16" t="s">
        <v>809</v>
      </c>
      <c r="Q869" s="2" t="s">
        <v>38</v>
      </c>
      <c r="S869" s="8" t="s">
        <v>1219</v>
      </c>
      <c r="T869" s="9" t="s">
        <v>2222</v>
      </c>
      <c r="U869" s="8">
        <v>0</v>
      </c>
      <c r="V869" s="20">
        <v>2</v>
      </c>
      <c r="W869" s="21" t="s">
        <v>43</v>
      </c>
    </row>
    <row r="870" spans="1:23" ht="75">
      <c r="A870" s="8" t="s">
        <v>3077</v>
      </c>
      <c r="B870" s="8" t="s">
        <v>1048</v>
      </c>
      <c r="C870" s="8" t="s">
        <v>2197</v>
      </c>
      <c r="D870" s="8" t="s">
        <v>18</v>
      </c>
      <c r="E870" s="8" t="s">
        <v>16</v>
      </c>
      <c r="F870" s="8" t="s">
        <v>2198</v>
      </c>
      <c r="G870" s="8" t="s">
        <v>3074</v>
      </c>
      <c r="H870" s="8">
        <v>7569</v>
      </c>
      <c r="I870" s="8">
        <v>7569</v>
      </c>
      <c r="J870" s="8" t="s">
        <v>1049</v>
      </c>
      <c r="K870" s="9">
        <v>45436</v>
      </c>
      <c r="L870" s="9">
        <v>47239</v>
      </c>
      <c r="M870" s="8" t="s">
        <v>16</v>
      </c>
      <c r="P870" s="17" t="s">
        <v>810</v>
      </c>
      <c r="Q870" s="2" t="s">
        <v>38</v>
      </c>
      <c r="S870" s="8" t="s">
        <v>1220</v>
      </c>
      <c r="T870" s="9">
        <v>46997</v>
      </c>
      <c r="U870" s="8">
        <v>0</v>
      </c>
      <c r="V870" s="20">
        <v>9</v>
      </c>
      <c r="W870" s="21" t="s">
        <v>16</v>
      </c>
    </row>
    <row r="871" spans="1:23" ht="45">
      <c r="A871" s="8" t="s">
        <v>3078</v>
      </c>
      <c r="B871" s="8" t="s">
        <v>1050</v>
      </c>
      <c r="C871" s="8" t="s">
        <v>2221</v>
      </c>
      <c r="D871" s="8" t="s">
        <v>18</v>
      </c>
      <c r="E871" s="8" t="s">
        <v>2217</v>
      </c>
      <c r="F871" s="8" t="s">
        <v>2217</v>
      </c>
      <c r="G871" s="8" t="s">
        <v>2217</v>
      </c>
      <c r="H871" s="8">
        <v>4</v>
      </c>
      <c r="I871" s="8">
        <v>4</v>
      </c>
      <c r="J871" s="8">
        <v>0</v>
      </c>
      <c r="K871" s="9">
        <v>45386</v>
      </c>
      <c r="L871" s="8" t="s">
        <v>2222</v>
      </c>
      <c r="M871" s="8" t="s">
        <v>43</v>
      </c>
      <c r="P871" s="17" t="s">
        <v>811</v>
      </c>
      <c r="Q871" s="2" t="s">
        <v>151</v>
      </c>
      <c r="S871" s="8" t="s">
        <v>1220</v>
      </c>
      <c r="T871" s="9">
        <v>47058</v>
      </c>
      <c r="U871" s="8">
        <v>0</v>
      </c>
      <c r="V871" s="20">
        <v>680</v>
      </c>
      <c r="W871" s="21" t="s">
        <v>16</v>
      </c>
    </row>
    <row r="872" spans="1:23" ht="75">
      <c r="A872" s="8" t="s">
        <v>3085</v>
      </c>
      <c r="B872" s="8" t="s">
        <v>1055</v>
      </c>
      <c r="C872" s="8" t="s">
        <v>2221</v>
      </c>
      <c r="D872" s="8" t="s">
        <v>18</v>
      </c>
      <c r="E872" s="8" t="s">
        <v>2217</v>
      </c>
      <c r="F872" s="8" t="s">
        <v>2217</v>
      </c>
      <c r="G872" s="8" t="s">
        <v>2217</v>
      </c>
      <c r="H872" s="8">
        <v>1</v>
      </c>
      <c r="I872" s="8">
        <v>1</v>
      </c>
      <c r="J872" s="8">
        <v>0</v>
      </c>
      <c r="K872" s="8" t="s">
        <v>2222</v>
      </c>
      <c r="L872" s="8" t="s">
        <v>2222</v>
      </c>
      <c r="M872" s="8" t="s">
        <v>38</v>
      </c>
      <c r="P872" s="16" t="s">
        <v>812</v>
      </c>
      <c r="Q872" s="2" t="s">
        <v>16</v>
      </c>
      <c r="S872" s="8" t="s">
        <v>1221</v>
      </c>
      <c r="T872" s="9">
        <v>46844</v>
      </c>
      <c r="U872" s="8">
        <v>0</v>
      </c>
      <c r="V872" s="20">
        <v>4</v>
      </c>
      <c r="W872" s="21" t="s">
        <v>16</v>
      </c>
    </row>
    <row r="873" spans="1:23" ht="75">
      <c r="A873" s="8" t="s">
        <v>3086</v>
      </c>
      <c r="B873" s="8" t="s">
        <v>1056</v>
      </c>
      <c r="C873" s="8" t="s">
        <v>2221</v>
      </c>
      <c r="D873" s="8" t="s">
        <v>18</v>
      </c>
      <c r="E873" s="8" t="s">
        <v>2217</v>
      </c>
      <c r="F873" s="8" t="s">
        <v>2217</v>
      </c>
      <c r="G873" s="8" t="s">
        <v>2217</v>
      </c>
      <c r="H873" s="8">
        <v>1</v>
      </c>
      <c r="I873" s="8">
        <v>1</v>
      </c>
      <c r="J873" s="8">
        <v>0</v>
      </c>
      <c r="K873" s="8" t="s">
        <v>2222</v>
      </c>
      <c r="L873" s="8" t="s">
        <v>2222</v>
      </c>
      <c r="M873" s="8" t="s">
        <v>38</v>
      </c>
      <c r="P873" s="16" t="s">
        <v>812</v>
      </c>
      <c r="Q873" s="2" t="s">
        <v>16</v>
      </c>
      <c r="S873" s="8" t="s">
        <v>1221</v>
      </c>
      <c r="T873" s="9">
        <v>46905</v>
      </c>
      <c r="U873" s="8">
        <v>0</v>
      </c>
      <c r="V873" s="20">
        <v>1960</v>
      </c>
      <c r="W873" s="21" t="s">
        <v>16</v>
      </c>
    </row>
    <row r="874" spans="1:23" ht="75">
      <c r="A874" s="8" t="s">
        <v>3087</v>
      </c>
      <c r="B874" s="8" t="s">
        <v>1057</v>
      </c>
      <c r="C874" s="8" t="s">
        <v>2221</v>
      </c>
      <c r="D874" s="8" t="s">
        <v>18</v>
      </c>
      <c r="E874" s="8" t="s">
        <v>2217</v>
      </c>
      <c r="F874" s="8" t="s">
        <v>2217</v>
      </c>
      <c r="G874" s="8" t="s">
        <v>2217</v>
      </c>
      <c r="H874" s="8">
        <v>1</v>
      </c>
      <c r="I874" s="8">
        <v>1</v>
      </c>
      <c r="J874" s="8">
        <v>0</v>
      </c>
      <c r="K874" s="8" t="s">
        <v>2222</v>
      </c>
      <c r="L874" s="8" t="s">
        <v>2222</v>
      </c>
      <c r="M874" s="8" t="s">
        <v>38</v>
      </c>
      <c r="P874" s="16" t="s">
        <v>812</v>
      </c>
      <c r="Q874" s="2" t="s">
        <v>16</v>
      </c>
      <c r="S874" s="8" t="s">
        <v>1221</v>
      </c>
      <c r="T874" s="9">
        <v>46874</v>
      </c>
      <c r="U874" s="8">
        <v>0</v>
      </c>
      <c r="V874" s="20">
        <v>5240</v>
      </c>
      <c r="W874" s="21" t="s">
        <v>16</v>
      </c>
    </row>
    <row r="875" spans="1:23" ht="75">
      <c r="A875" s="8" t="s">
        <v>3088</v>
      </c>
      <c r="B875" s="8" t="s">
        <v>1058</v>
      </c>
      <c r="C875" s="8" t="s">
        <v>2221</v>
      </c>
      <c r="D875" s="8" t="s">
        <v>18</v>
      </c>
      <c r="E875" s="8" t="s">
        <v>2217</v>
      </c>
      <c r="F875" s="8" t="s">
        <v>2217</v>
      </c>
      <c r="G875" s="8" t="s">
        <v>2217</v>
      </c>
      <c r="H875" s="8">
        <v>1</v>
      </c>
      <c r="I875" s="8">
        <v>1</v>
      </c>
      <c r="J875" s="8">
        <v>0</v>
      </c>
      <c r="K875" s="8" t="s">
        <v>2222</v>
      </c>
      <c r="L875" s="8" t="s">
        <v>2222</v>
      </c>
      <c r="M875" s="8" t="s">
        <v>38</v>
      </c>
      <c r="P875" s="16" t="s">
        <v>813</v>
      </c>
      <c r="Q875" s="2" t="s">
        <v>16</v>
      </c>
      <c r="S875" s="8" t="s">
        <v>1222</v>
      </c>
      <c r="T875" s="9" t="s">
        <v>2222</v>
      </c>
      <c r="U875" s="8">
        <v>0</v>
      </c>
      <c r="V875" s="20">
        <v>6</v>
      </c>
      <c r="W875" s="21" t="s">
        <v>38</v>
      </c>
    </row>
    <row r="876" spans="1:23" ht="75">
      <c r="A876" s="8" t="s">
        <v>3089</v>
      </c>
      <c r="B876" s="8" t="s">
        <v>1059</v>
      </c>
      <c r="C876" s="8" t="s">
        <v>2221</v>
      </c>
      <c r="D876" s="8" t="s">
        <v>18</v>
      </c>
      <c r="E876" s="8" t="s">
        <v>2217</v>
      </c>
      <c r="F876" s="8" t="s">
        <v>2217</v>
      </c>
      <c r="G876" s="8" t="s">
        <v>2217</v>
      </c>
      <c r="H876" s="8">
        <v>1</v>
      </c>
      <c r="I876" s="8">
        <v>1</v>
      </c>
      <c r="J876" s="8">
        <v>0</v>
      </c>
      <c r="K876" s="8" t="s">
        <v>2222</v>
      </c>
      <c r="L876" s="8" t="s">
        <v>2222</v>
      </c>
      <c r="M876" s="8" t="s">
        <v>38</v>
      </c>
      <c r="P876" s="16" t="s">
        <v>813</v>
      </c>
      <c r="Q876" s="2" t="s">
        <v>16</v>
      </c>
      <c r="S876" s="8" t="s">
        <v>1223</v>
      </c>
      <c r="T876" s="9" t="s">
        <v>2222</v>
      </c>
      <c r="U876" s="8">
        <v>0</v>
      </c>
      <c r="V876" s="20">
        <v>5</v>
      </c>
      <c r="W876" s="21" t="s">
        <v>38</v>
      </c>
    </row>
    <row r="877" spans="1:23" ht="75">
      <c r="A877" s="8" t="s">
        <v>3090</v>
      </c>
      <c r="B877" s="8" t="s">
        <v>1060</v>
      </c>
      <c r="C877" s="8" t="s">
        <v>2221</v>
      </c>
      <c r="D877" s="8" t="s">
        <v>18</v>
      </c>
      <c r="E877" s="8" t="s">
        <v>2217</v>
      </c>
      <c r="F877" s="8" t="s">
        <v>2217</v>
      </c>
      <c r="G877" s="8" t="s">
        <v>2217</v>
      </c>
      <c r="H877" s="8">
        <v>2</v>
      </c>
      <c r="I877" s="8">
        <v>2</v>
      </c>
      <c r="J877" s="8">
        <v>0</v>
      </c>
      <c r="K877" s="8" t="s">
        <v>2222</v>
      </c>
      <c r="L877" s="8" t="s">
        <v>2222</v>
      </c>
      <c r="M877" s="8" t="s">
        <v>38</v>
      </c>
      <c r="P877" s="16" t="s">
        <v>814</v>
      </c>
      <c r="Q877" s="2" t="s">
        <v>16</v>
      </c>
      <c r="S877" s="8" t="s">
        <v>1224</v>
      </c>
      <c r="T877" s="9">
        <v>45870</v>
      </c>
      <c r="U877" s="8">
        <v>0</v>
      </c>
      <c r="V877" s="20">
        <v>1140</v>
      </c>
      <c r="W877" s="21" t="s">
        <v>16</v>
      </c>
    </row>
    <row r="878" spans="1:23" ht="60">
      <c r="A878" s="8" t="s">
        <v>3091</v>
      </c>
      <c r="B878" s="8" t="s">
        <v>1061</v>
      </c>
      <c r="C878" s="8" t="s">
        <v>2221</v>
      </c>
      <c r="D878" s="8" t="s">
        <v>18</v>
      </c>
      <c r="E878" s="8" t="s">
        <v>2217</v>
      </c>
      <c r="F878" s="8" t="s">
        <v>2217</v>
      </c>
      <c r="G878" s="8" t="s">
        <v>2217</v>
      </c>
      <c r="H878" s="8">
        <v>2793</v>
      </c>
      <c r="I878" s="8">
        <v>2793</v>
      </c>
      <c r="J878" s="8">
        <v>0</v>
      </c>
      <c r="K878" s="9">
        <v>45176</v>
      </c>
      <c r="L878" s="8" t="s">
        <v>2222</v>
      </c>
      <c r="M878" s="8" t="s">
        <v>43</v>
      </c>
      <c r="P878" s="16" t="s">
        <v>816</v>
      </c>
      <c r="Q878" s="2" t="s">
        <v>16</v>
      </c>
      <c r="S878" s="8" t="s">
        <v>1226</v>
      </c>
      <c r="T878" s="9">
        <v>45870</v>
      </c>
      <c r="U878" s="8">
        <v>0</v>
      </c>
      <c r="V878" s="20">
        <v>210</v>
      </c>
      <c r="W878" s="21" t="s">
        <v>16</v>
      </c>
    </row>
    <row r="879" spans="1:23" ht="60">
      <c r="A879" s="8" t="s">
        <v>3092</v>
      </c>
      <c r="B879" s="8" t="s">
        <v>1062</v>
      </c>
      <c r="C879" s="8" t="s">
        <v>2221</v>
      </c>
      <c r="D879" s="8" t="s">
        <v>18</v>
      </c>
      <c r="E879" s="8" t="s">
        <v>2217</v>
      </c>
      <c r="F879" s="8" t="s">
        <v>2217</v>
      </c>
      <c r="G879" s="8" t="s">
        <v>2217</v>
      </c>
      <c r="H879" s="8">
        <v>740</v>
      </c>
      <c r="I879" s="8">
        <v>740</v>
      </c>
      <c r="J879" s="8">
        <v>0</v>
      </c>
      <c r="K879" s="9">
        <v>44834</v>
      </c>
      <c r="L879" s="8" t="s">
        <v>2222</v>
      </c>
      <c r="M879" s="8" t="s">
        <v>43</v>
      </c>
      <c r="P879" s="16" t="s">
        <v>816</v>
      </c>
      <c r="Q879" s="2" t="s">
        <v>16</v>
      </c>
      <c r="S879" s="8" t="s">
        <v>1228</v>
      </c>
      <c r="T879" s="9">
        <v>45839</v>
      </c>
      <c r="U879" s="8">
        <v>0</v>
      </c>
      <c r="V879" s="20">
        <v>200</v>
      </c>
      <c r="W879" s="21" t="s">
        <v>16</v>
      </c>
    </row>
    <row r="880" spans="1:23" ht="36.75">
      <c r="A880" s="8" t="s">
        <v>3093</v>
      </c>
      <c r="B880" s="8" t="s">
        <v>1063</v>
      </c>
      <c r="C880" s="8" t="s">
        <v>2221</v>
      </c>
      <c r="D880" s="8" t="s">
        <v>18</v>
      </c>
      <c r="E880" s="8" t="s">
        <v>2217</v>
      </c>
      <c r="F880" s="8" t="s">
        <v>2217</v>
      </c>
      <c r="G880" s="8" t="s">
        <v>2217</v>
      </c>
      <c r="H880" s="8">
        <v>850</v>
      </c>
      <c r="I880" s="8">
        <v>850</v>
      </c>
      <c r="J880" s="8">
        <v>0</v>
      </c>
      <c r="K880" s="9">
        <v>45379</v>
      </c>
      <c r="L880" s="8" t="s">
        <v>2222</v>
      </c>
      <c r="M880" s="8" t="s">
        <v>43</v>
      </c>
      <c r="P880" s="16" t="s">
        <v>818</v>
      </c>
      <c r="Q880" s="2" t="s">
        <v>43</v>
      </c>
      <c r="S880" s="8" t="s">
        <v>1230</v>
      </c>
      <c r="T880" s="9" t="s">
        <v>2222</v>
      </c>
      <c r="U880" s="8">
        <v>0</v>
      </c>
      <c r="V880" s="20">
        <v>1</v>
      </c>
      <c r="W880" s="21" t="s">
        <v>43</v>
      </c>
    </row>
    <row r="881" spans="1:23" ht="60">
      <c r="A881" s="8" t="s">
        <v>3094</v>
      </c>
      <c r="B881" s="8" t="s">
        <v>1064</v>
      </c>
      <c r="C881" s="8" t="s">
        <v>2221</v>
      </c>
      <c r="D881" s="8" t="s">
        <v>18</v>
      </c>
      <c r="E881" s="8" t="s">
        <v>43</v>
      </c>
      <c r="F881" s="8" t="s">
        <v>3095</v>
      </c>
      <c r="G881" s="8" t="s">
        <v>2217</v>
      </c>
      <c r="H881" s="8">
        <v>225</v>
      </c>
      <c r="I881" s="8">
        <v>225</v>
      </c>
      <c r="J881" s="8">
        <v>0</v>
      </c>
      <c r="K881" s="9">
        <v>44162</v>
      </c>
      <c r="L881" s="8" t="s">
        <v>2222</v>
      </c>
      <c r="M881" s="8" t="s">
        <v>43</v>
      </c>
      <c r="P881" s="16" t="s">
        <v>819</v>
      </c>
      <c r="Q881" s="2" t="s">
        <v>16</v>
      </c>
      <c r="S881" s="8" t="s">
        <v>1231</v>
      </c>
      <c r="T881" s="9">
        <v>45627</v>
      </c>
      <c r="U881" s="8">
        <v>0</v>
      </c>
      <c r="V881" s="20">
        <v>635</v>
      </c>
      <c r="W881" s="21" t="s">
        <v>16</v>
      </c>
    </row>
    <row r="882" spans="1:23" ht="60">
      <c r="A882" s="8" t="s">
        <v>3096</v>
      </c>
      <c r="B882" s="8" t="s">
        <v>1065</v>
      </c>
      <c r="C882" s="8" t="s">
        <v>2221</v>
      </c>
      <c r="D882" s="8" t="s">
        <v>18</v>
      </c>
      <c r="E882" s="8" t="s">
        <v>43</v>
      </c>
      <c r="F882" s="8" t="s">
        <v>2217</v>
      </c>
      <c r="G882" s="8" t="s">
        <v>2217</v>
      </c>
      <c r="H882" s="8">
        <v>379</v>
      </c>
      <c r="I882" s="8">
        <v>379</v>
      </c>
      <c r="J882" s="8">
        <v>0</v>
      </c>
      <c r="K882" s="9">
        <v>44162</v>
      </c>
      <c r="L882" s="8" t="s">
        <v>2222</v>
      </c>
      <c r="M882" s="8" t="s">
        <v>43</v>
      </c>
      <c r="P882" s="17" t="s">
        <v>821</v>
      </c>
      <c r="Q882" s="2" t="s">
        <v>151</v>
      </c>
      <c r="S882" s="8" t="s">
        <v>1233</v>
      </c>
      <c r="T882" s="9">
        <v>46054</v>
      </c>
      <c r="U882" s="8">
        <v>0</v>
      </c>
      <c r="V882" s="20">
        <v>320</v>
      </c>
      <c r="W882" s="21" t="s">
        <v>16</v>
      </c>
    </row>
    <row r="883" spans="1:23" ht="45">
      <c r="A883" s="8" t="s">
        <v>3097</v>
      </c>
      <c r="B883" s="8" t="s">
        <v>1066</v>
      </c>
      <c r="C883" s="8" t="s">
        <v>2221</v>
      </c>
      <c r="D883" s="8" t="s">
        <v>18</v>
      </c>
      <c r="E883" s="8" t="s">
        <v>43</v>
      </c>
      <c r="F883" s="8" t="s">
        <v>3095</v>
      </c>
      <c r="G883" s="8" t="s">
        <v>2217</v>
      </c>
      <c r="H883" s="8">
        <v>3699</v>
      </c>
      <c r="I883" s="8">
        <v>3699</v>
      </c>
      <c r="J883" s="8">
        <v>0</v>
      </c>
      <c r="K883" s="9">
        <v>44162</v>
      </c>
      <c r="L883" s="8" t="s">
        <v>2222</v>
      </c>
      <c r="M883" s="8" t="s">
        <v>43</v>
      </c>
      <c r="P883" s="16" t="s">
        <v>822</v>
      </c>
      <c r="Q883" s="2" t="s">
        <v>38</v>
      </c>
      <c r="S883" s="8" t="s">
        <v>1235</v>
      </c>
      <c r="T883" s="9">
        <v>46447</v>
      </c>
      <c r="U883" s="8">
        <v>0</v>
      </c>
      <c r="V883" s="20">
        <v>661</v>
      </c>
      <c r="W883" s="21" t="s">
        <v>16</v>
      </c>
    </row>
    <row r="884" spans="1:23" ht="48.75">
      <c r="A884" s="8" t="s">
        <v>3098</v>
      </c>
      <c r="B884" s="8" t="s">
        <v>1067</v>
      </c>
      <c r="C884" s="8" t="s">
        <v>2221</v>
      </c>
      <c r="D884" s="8" t="s">
        <v>18</v>
      </c>
      <c r="E884" s="8" t="s">
        <v>43</v>
      </c>
      <c r="F884" s="8" t="s">
        <v>3095</v>
      </c>
      <c r="G884" s="8" t="s">
        <v>2217</v>
      </c>
      <c r="H884" s="8">
        <v>1213</v>
      </c>
      <c r="I884" s="8">
        <v>1213</v>
      </c>
      <c r="J884" s="8">
        <v>0</v>
      </c>
      <c r="K884" s="9">
        <v>44162</v>
      </c>
      <c r="L884" s="8" t="s">
        <v>2222</v>
      </c>
      <c r="M884" s="8" t="s">
        <v>43</v>
      </c>
      <c r="P884" s="16" t="s">
        <v>823</v>
      </c>
      <c r="Q884" s="2" t="s">
        <v>16</v>
      </c>
      <c r="S884" s="8" t="s">
        <v>1235</v>
      </c>
      <c r="T884" s="9">
        <v>46478</v>
      </c>
      <c r="U884" s="8">
        <v>0</v>
      </c>
      <c r="V884" s="20">
        <v>1200</v>
      </c>
      <c r="W884" s="21" t="s">
        <v>16</v>
      </c>
    </row>
    <row r="885" spans="1:23" ht="48.75">
      <c r="A885" s="8" t="s">
        <v>3099</v>
      </c>
      <c r="B885" s="8" t="s">
        <v>1068</v>
      </c>
      <c r="C885" s="8" t="s">
        <v>2221</v>
      </c>
      <c r="D885" s="8" t="s">
        <v>18</v>
      </c>
      <c r="E885" s="8" t="s">
        <v>43</v>
      </c>
      <c r="F885" s="8" t="s">
        <v>3095</v>
      </c>
      <c r="G885" s="8" t="s">
        <v>2217</v>
      </c>
      <c r="H885" s="8">
        <v>30</v>
      </c>
      <c r="I885" s="8">
        <v>30</v>
      </c>
      <c r="J885" s="8">
        <v>0</v>
      </c>
      <c r="K885" s="9">
        <v>44215</v>
      </c>
      <c r="L885" s="9">
        <v>44215</v>
      </c>
      <c r="M885" s="8" t="s">
        <v>43</v>
      </c>
      <c r="P885" s="16" t="s">
        <v>824</v>
      </c>
      <c r="Q885" s="2" t="s">
        <v>16</v>
      </c>
      <c r="S885" s="8" t="s">
        <v>1235</v>
      </c>
      <c r="T885" s="9">
        <v>46508</v>
      </c>
      <c r="U885" s="8">
        <v>0</v>
      </c>
      <c r="V885" s="20">
        <v>2600</v>
      </c>
      <c r="W885" s="21" t="s">
        <v>16</v>
      </c>
    </row>
    <row r="886" spans="1:23" ht="48.75">
      <c r="A886" s="8" t="s">
        <v>3100</v>
      </c>
      <c r="B886" s="8" t="s">
        <v>1069</v>
      </c>
      <c r="C886" s="8" t="s">
        <v>2221</v>
      </c>
      <c r="D886" s="8" t="s">
        <v>18</v>
      </c>
      <c r="E886" s="8" t="s">
        <v>43</v>
      </c>
      <c r="F886" s="8" t="s">
        <v>3095</v>
      </c>
      <c r="G886" s="8" t="s">
        <v>2217</v>
      </c>
      <c r="H886" s="8">
        <v>484</v>
      </c>
      <c r="I886" s="8">
        <v>484</v>
      </c>
      <c r="J886" s="8">
        <v>0</v>
      </c>
      <c r="K886" s="9">
        <v>44993</v>
      </c>
      <c r="L886" s="8" t="s">
        <v>2222</v>
      </c>
      <c r="M886" s="8" t="s">
        <v>43</v>
      </c>
      <c r="P886" s="16" t="s">
        <v>825</v>
      </c>
      <c r="Q886" s="2" t="s">
        <v>16</v>
      </c>
      <c r="S886" s="8" t="s">
        <v>1236</v>
      </c>
      <c r="T886" s="9">
        <v>46266</v>
      </c>
      <c r="U886" s="8">
        <v>0</v>
      </c>
      <c r="V886" s="20">
        <v>35</v>
      </c>
      <c r="W886" s="21" t="s">
        <v>16</v>
      </c>
    </row>
    <row r="887" spans="1:23" ht="48.75">
      <c r="A887" s="8" t="s">
        <v>3101</v>
      </c>
      <c r="B887" s="8" t="s">
        <v>1070</v>
      </c>
      <c r="C887" s="8" t="s">
        <v>2221</v>
      </c>
      <c r="D887" s="8" t="s">
        <v>18</v>
      </c>
      <c r="E887" s="8" t="s">
        <v>43</v>
      </c>
      <c r="F887" s="8" t="s">
        <v>3095</v>
      </c>
      <c r="G887" s="8" t="s">
        <v>2217</v>
      </c>
      <c r="H887" s="8">
        <v>2152</v>
      </c>
      <c r="I887" s="8">
        <v>2152</v>
      </c>
      <c r="J887" s="8">
        <v>0</v>
      </c>
      <c r="K887" s="9">
        <v>44161</v>
      </c>
      <c r="L887" s="8" t="s">
        <v>2222</v>
      </c>
      <c r="M887" s="8" t="s">
        <v>43</v>
      </c>
      <c r="P887" s="16" t="s">
        <v>825</v>
      </c>
      <c r="Q887" s="2" t="s">
        <v>16</v>
      </c>
      <c r="S887" s="8" t="s">
        <v>1236</v>
      </c>
      <c r="T887" s="9">
        <v>46419</v>
      </c>
      <c r="U887" s="8">
        <v>0</v>
      </c>
      <c r="V887" s="20">
        <v>150</v>
      </c>
      <c r="W887" s="21" t="s">
        <v>16</v>
      </c>
    </row>
    <row r="888" spans="1:23" ht="48.75">
      <c r="A888" s="8" t="s">
        <v>3102</v>
      </c>
      <c r="B888" s="8" t="s">
        <v>1071</v>
      </c>
      <c r="C888" s="8" t="s">
        <v>2221</v>
      </c>
      <c r="D888" s="8" t="s">
        <v>18</v>
      </c>
      <c r="E888" s="8" t="s">
        <v>43</v>
      </c>
      <c r="F888" s="8" t="s">
        <v>3095</v>
      </c>
      <c r="G888" s="8" t="s">
        <v>2217</v>
      </c>
      <c r="H888" s="8">
        <v>135</v>
      </c>
      <c r="I888" s="8">
        <v>135</v>
      </c>
      <c r="J888" s="8">
        <v>0</v>
      </c>
      <c r="K888" s="9">
        <v>44993</v>
      </c>
      <c r="L888" s="8" t="s">
        <v>2222</v>
      </c>
      <c r="M888" s="8" t="s">
        <v>43</v>
      </c>
      <c r="P888" s="16" t="s">
        <v>825</v>
      </c>
      <c r="Q888" s="2" t="s">
        <v>16</v>
      </c>
      <c r="S888" s="8" t="s">
        <v>1236</v>
      </c>
      <c r="T888" s="9">
        <v>46539</v>
      </c>
      <c r="U888" s="8">
        <v>0</v>
      </c>
      <c r="V888" s="20">
        <v>600</v>
      </c>
      <c r="W888" s="21" t="s">
        <v>16</v>
      </c>
    </row>
    <row r="889" spans="1:23" ht="48.75">
      <c r="A889" s="8" t="s">
        <v>3103</v>
      </c>
      <c r="B889" s="8" t="s">
        <v>1072</v>
      </c>
      <c r="C889" s="8" t="s">
        <v>2221</v>
      </c>
      <c r="D889" s="8" t="s">
        <v>18</v>
      </c>
      <c r="E889" s="8" t="s">
        <v>43</v>
      </c>
      <c r="F889" s="8" t="s">
        <v>3095</v>
      </c>
      <c r="G889" s="8" t="s">
        <v>2217</v>
      </c>
      <c r="H889" s="8">
        <v>5</v>
      </c>
      <c r="I889" s="8">
        <v>5</v>
      </c>
      <c r="J889" s="8">
        <v>0</v>
      </c>
      <c r="K889" s="9">
        <v>44162</v>
      </c>
      <c r="L889" s="8" t="s">
        <v>2222</v>
      </c>
      <c r="M889" s="8" t="s">
        <v>43</v>
      </c>
      <c r="P889" s="16" t="s">
        <v>825</v>
      </c>
      <c r="Q889" s="2" t="s">
        <v>16</v>
      </c>
      <c r="S889" s="8" t="s">
        <v>1236</v>
      </c>
      <c r="T889" s="9">
        <v>46508</v>
      </c>
      <c r="U889" s="8">
        <v>0</v>
      </c>
      <c r="V889" s="20">
        <v>1550</v>
      </c>
      <c r="W889" s="21" t="s">
        <v>16</v>
      </c>
    </row>
    <row r="890" spans="1:23" ht="75">
      <c r="A890" s="8" t="s">
        <v>3104</v>
      </c>
      <c r="B890" s="8" t="s">
        <v>1073</v>
      </c>
      <c r="C890" s="8" t="s">
        <v>2221</v>
      </c>
      <c r="D890" s="8" t="s">
        <v>18</v>
      </c>
      <c r="E890" s="8" t="s">
        <v>43</v>
      </c>
      <c r="F890" s="8" t="s">
        <v>3095</v>
      </c>
      <c r="G890" s="8" t="s">
        <v>2217</v>
      </c>
      <c r="H890" s="8">
        <v>140</v>
      </c>
      <c r="I890" s="8">
        <v>140</v>
      </c>
      <c r="J890" s="8">
        <v>0</v>
      </c>
      <c r="K890" s="8" t="s">
        <v>2222</v>
      </c>
      <c r="L890" s="8" t="s">
        <v>2222</v>
      </c>
      <c r="M890" s="8" t="s">
        <v>43</v>
      </c>
      <c r="P890" s="16" t="s">
        <v>825</v>
      </c>
      <c r="Q890" s="2" t="s">
        <v>16</v>
      </c>
      <c r="S890" s="8" t="s">
        <v>1237</v>
      </c>
      <c r="T890" s="9">
        <v>46935</v>
      </c>
      <c r="U890" s="8">
        <v>0</v>
      </c>
      <c r="V890" s="20">
        <v>154</v>
      </c>
      <c r="W890" s="21" t="s">
        <v>16</v>
      </c>
    </row>
    <row r="891" spans="1:23" ht="60">
      <c r="A891" s="8" t="s">
        <v>3105</v>
      </c>
      <c r="B891" s="8" t="s">
        <v>1074</v>
      </c>
      <c r="C891" s="8" t="s">
        <v>2221</v>
      </c>
      <c r="D891" s="8" t="s">
        <v>18</v>
      </c>
      <c r="E891" s="8" t="s">
        <v>43</v>
      </c>
      <c r="F891" s="8" t="s">
        <v>3095</v>
      </c>
      <c r="G891" s="8" t="s">
        <v>2217</v>
      </c>
      <c r="H891" s="8">
        <v>100</v>
      </c>
      <c r="I891" s="8">
        <v>100</v>
      </c>
      <c r="J891" s="8">
        <v>0</v>
      </c>
      <c r="K891" s="9">
        <v>44160</v>
      </c>
      <c r="L891" s="8" t="s">
        <v>2222</v>
      </c>
      <c r="M891" s="8" t="s">
        <v>43</v>
      </c>
      <c r="P891" s="16" t="s">
        <v>825</v>
      </c>
      <c r="Q891" s="2" t="s">
        <v>16</v>
      </c>
      <c r="S891" s="8" t="s">
        <v>1238</v>
      </c>
      <c r="T891" s="9">
        <v>45870</v>
      </c>
      <c r="U891" s="8">
        <v>0</v>
      </c>
      <c r="V891" s="20">
        <v>1982</v>
      </c>
      <c r="W891" s="21" t="s">
        <v>16</v>
      </c>
    </row>
    <row r="892" spans="1:23" ht="48.75">
      <c r="A892" s="8" t="s">
        <v>3106</v>
      </c>
      <c r="B892" s="8" t="s">
        <v>1075</v>
      </c>
      <c r="C892" s="8" t="s">
        <v>2221</v>
      </c>
      <c r="D892" s="8" t="s">
        <v>18</v>
      </c>
      <c r="E892" s="8" t="s">
        <v>43</v>
      </c>
      <c r="F892" s="8" t="s">
        <v>3095</v>
      </c>
      <c r="G892" s="8" t="s">
        <v>2217</v>
      </c>
      <c r="H892" s="8">
        <v>82</v>
      </c>
      <c r="I892" s="8">
        <v>82</v>
      </c>
      <c r="J892" s="8">
        <v>0</v>
      </c>
      <c r="K892" s="9">
        <v>44161</v>
      </c>
      <c r="L892" s="8" t="s">
        <v>2222</v>
      </c>
      <c r="M892" s="8" t="s">
        <v>43</v>
      </c>
      <c r="P892" s="16" t="s">
        <v>825</v>
      </c>
      <c r="Q892" s="2" t="s">
        <v>16</v>
      </c>
      <c r="S892" s="8" t="s">
        <v>1238</v>
      </c>
      <c r="T892" s="9">
        <v>46600</v>
      </c>
      <c r="U892" s="8">
        <v>0</v>
      </c>
      <c r="V892" s="20">
        <v>3792</v>
      </c>
      <c r="W892" s="21" t="s">
        <v>16</v>
      </c>
    </row>
    <row r="893" spans="1:23" ht="60">
      <c r="A893" s="8" t="s">
        <v>3107</v>
      </c>
      <c r="B893" s="8" t="s">
        <v>1076</v>
      </c>
      <c r="C893" s="8" t="s">
        <v>2221</v>
      </c>
      <c r="D893" s="8" t="s">
        <v>18</v>
      </c>
      <c r="E893" s="8" t="s">
        <v>43</v>
      </c>
      <c r="F893" s="8" t="s">
        <v>2217</v>
      </c>
      <c r="G893" s="8" t="s">
        <v>2217</v>
      </c>
      <c r="H893" s="8">
        <v>86</v>
      </c>
      <c r="I893" s="8">
        <v>86</v>
      </c>
      <c r="J893" s="8">
        <v>0</v>
      </c>
      <c r="K893" s="9">
        <v>44161</v>
      </c>
      <c r="L893" s="8" t="s">
        <v>2222</v>
      </c>
      <c r="M893" s="8" t="s">
        <v>43</v>
      </c>
      <c r="P893" s="16" t="s">
        <v>833</v>
      </c>
      <c r="Q893" s="2" t="s">
        <v>16</v>
      </c>
      <c r="S893" s="8" t="s">
        <v>1241</v>
      </c>
      <c r="T893" s="9">
        <v>46722</v>
      </c>
      <c r="U893" s="8">
        <v>0</v>
      </c>
      <c r="V893" s="20">
        <v>3002</v>
      </c>
      <c r="W893" s="21" t="s">
        <v>16</v>
      </c>
    </row>
    <row r="894" spans="1:23" ht="60">
      <c r="A894" s="8" t="s">
        <v>3108</v>
      </c>
      <c r="B894" s="8" t="s">
        <v>1077</v>
      </c>
      <c r="C894" s="8" t="s">
        <v>2221</v>
      </c>
      <c r="D894" s="8" t="s">
        <v>18</v>
      </c>
      <c r="E894" s="8" t="s">
        <v>43</v>
      </c>
      <c r="F894" s="8" t="s">
        <v>2217</v>
      </c>
      <c r="G894" s="8" t="s">
        <v>2217</v>
      </c>
      <c r="H894" s="8">
        <v>242</v>
      </c>
      <c r="I894" s="8">
        <v>242</v>
      </c>
      <c r="J894" s="8">
        <v>0</v>
      </c>
      <c r="K894" s="9">
        <v>44162</v>
      </c>
      <c r="L894" s="8" t="s">
        <v>2222</v>
      </c>
      <c r="M894" s="8" t="s">
        <v>43</v>
      </c>
      <c r="P894" s="16" t="s">
        <v>833</v>
      </c>
      <c r="Q894" s="2" t="s">
        <v>16</v>
      </c>
      <c r="S894" s="8" t="s">
        <v>1243</v>
      </c>
      <c r="T894" s="9">
        <v>46813</v>
      </c>
      <c r="U894" s="8">
        <v>0</v>
      </c>
      <c r="V894" s="20">
        <v>10</v>
      </c>
      <c r="W894" s="21" t="s">
        <v>16</v>
      </c>
    </row>
    <row r="895" spans="1:23" ht="60">
      <c r="A895" s="8" t="s">
        <v>3109</v>
      </c>
      <c r="B895" s="8" t="s">
        <v>1078</v>
      </c>
      <c r="C895" s="8" t="s">
        <v>2221</v>
      </c>
      <c r="D895" s="8" t="s">
        <v>18</v>
      </c>
      <c r="E895" s="8" t="s">
        <v>43</v>
      </c>
      <c r="F895" s="8" t="s">
        <v>3095</v>
      </c>
      <c r="G895" s="8" t="s">
        <v>2217</v>
      </c>
      <c r="H895" s="8">
        <v>178</v>
      </c>
      <c r="I895" s="8">
        <v>178</v>
      </c>
      <c r="J895" s="8">
        <v>0</v>
      </c>
      <c r="K895" s="9">
        <v>44160</v>
      </c>
      <c r="L895" s="8" t="s">
        <v>2222</v>
      </c>
      <c r="M895" s="8" t="s">
        <v>43</v>
      </c>
      <c r="P895" s="16" t="s">
        <v>834</v>
      </c>
      <c r="Q895" s="2" t="s">
        <v>16</v>
      </c>
      <c r="S895" s="8" t="s">
        <v>1243</v>
      </c>
      <c r="T895" s="9">
        <v>47150</v>
      </c>
      <c r="U895" s="8">
        <v>0</v>
      </c>
      <c r="V895" s="20">
        <v>340</v>
      </c>
      <c r="W895" s="21" t="s">
        <v>16</v>
      </c>
    </row>
    <row r="896" spans="1:23" ht="60">
      <c r="A896" s="8" t="s">
        <v>3110</v>
      </c>
      <c r="B896" s="8" t="s">
        <v>1079</v>
      </c>
      <c r="C896" s="8" t="s">
        <v>2221</v>
      </c>
      <c r="D896" s="8" t="s">
        <v>18</v>
      </c>
      <c r="E896" s="8" t="s">
        <v>43</v>
      </c>
      <c r="F896" s="8" t="s">
        <v>3095</v>
      </c>
      <c r="G896" s="8" t="s">
        <v>2217</v>
      </c>
      <c r="H896" s="8">
        <v>300</v>
      </c>
      <c r="I896" s="8">
        <v>300</v>
      </c>
      <c r="J896" s="8">
        <v>0</v>
      </c>
      <c r="K896" s="9">
        <v>44161</v>
      </c>
      <c r="L896" s="8" t="s">
        <v>2222</v>
      </c>
      <c r="M896" s="8" t="s">
        <v>43</v>
      </c>
      <c r="P896" s="16" t="s">
        <v>834</v>
      </c>
      <c r="Q896" s="2" t="s">
        <v>16</v>
      </c>
      <c r="S896" s="8" t="s">
        <v>1243</v>
      </c>
      <c r="T896" s="9">
        <v>47088</v>
      </c>
      <c r="U896" s="8">
        <v>0</v>
      </c>
      <c r="V896" s="20">
        <v>780</v>
      </c>
      <c r="W896" s="21" t="s">
        <v>16</v>
      </c>
    </row>
    <row r="897" spans="1:23" ht="60">
      <c r="A897" s="8" t="s">
        <v>3111</v>
      </c>
      <c r="B897" s="8" t="s">
        <v>1080</v>
      </c>
      <c r="C897" s="8" t="s">
        <v>2221</v>
      </c>
      <c r="D897" s="8" t="s">
        <v>18</v>
      </c>
      <c r="E897" s="8" t="s">
        <v>43</v>
      </c>
      <c r="F897" s="8" t="s">
        <v>3095</v>
      </c>
      <c r="G897" s="8" t="s">
        <v>2217</v>
      </c>
      <c r="H897" s="8">
        <v>2016</v>
      </c>
      <c r="I897" s="8">
        <v>2016</v>
      </c>
      <c r="J897" s="8">
        <v>0</v>
      </c>
      <c r="K897" s="8"/>
      <c r="L897" s="8" t="s">
        <v>2222</v>
      </c>
      <c r="M897" s="8" t="s">
        <v>43</v>
      </c>
      <c r="P897" s="17" t="s">
        <v>835</v>
      </c>
      <c r="Q897" s="2" t="s">
        <v>101</v>
      </c>
      <c r="S897" s="8" t="s">
        <v>1244</v>
      </c>
      <c r="T897" s="9">
        <v>47088</v>
      </c>
      <c r="U897" s="8">
        <v>0</v>
      </c>
      <c r="V897" s="20">
        <v>15</v>
      </c>
      <c r="W897" s="21" t="s">
        <v>16</v>
      </c>
    </row>
    <row r="898" spans="1:23" ht="60">
      <c r="A898" s="8" t="s">
        <v>3112</v>
      </c>
      <c r="B898" s="8" t="s">
        <v>1081</v>
      </c>
      <c r="C898" s="8" t="s">
        <v>2221</v>
      </c>
      <c r="D898" s="8" t="s">
        <v>18</v>
      </c>
      <c r="E898" s="8" t="s">
        <v>43</v>
      </c>
      <c r="F898" s="8" t="s">
        <v>3095</v>
      </c>
      <c r="G898" s="8" t="s">
        <v>2217</v>
      </c>
      <c r="H898" s="8">
        <v>45</v>
      </c>
      <c r="I898" s="8">
        <v>45</v>
      </c>
      <c r="J898" s="8">
        <v>0</v>
      </c>
      <c r="K898" s="9">
        <v>44161</v>
      </c>
      <c r="L898" s="8" t="s">
        <v>2222</v>
      </c>
      <c r="M898" s="8" t="s">
        <v>43</v>
      </c>
      <c r="P898" s="16" t="s">
        <v>836</v>
      </c>
      <c r="Q898" s="2" t="s">
        <v>838</v>
      </c>
      <c r="S898" s="8" t="s">
        <v>1244</v>
      </c>
      <c r="T898" s="9">
        <v>47178</v>
      </c>
      <c r="U898" s="8">
        <v>0</v>
      </c>
      <c r="V898" s="20">
        <v>400</v>
      </c>
      <c r="W898" s="21" t="s">
        <v>16</v>
      </c>
    </row>
    <row r="899" spans="1:23" ht="60">
      <c r="A899" s="8" t="s">
        <v>3113</v>
      </c>
      <c r="B899" s="8" t="s">
        <v>1082</v>
      </c>
      <c r="C899" s="8" t="s">
        <v>2221</v>
      </c>
      <c r="D899" s="8" t="s">
        <v>18</v>
      </c>
      <c r="E899" s="8" t="s">
        <v>43</v>
      </c>
      <c r="F899" s="8" t="s">
        <v>2217</v>
      </c>
      <c r="G899" s="8" t="s">
        <v>2217</v>
      </c>
      <c r="H899" s="8">
        <v>102</v>
      </c>
      <c r="I899" s="8">
        <v>102</v>
      </c>
      <c r="J899" s="8">
        <v>0</v>
      </c>
      <c r="K899" s="9">
        <v>44161</v>
      </c>
      <c r="L899" s="8" t="s">
        <v>2222</v>
      </c>
      <c r="M899" s="8" t="s">
        <v>43</v>
      </c>
      <c r="P899" s="16" t="s">
        <v>836</v>
      </c>
      <c r="Q899" s="2" t="s">
        <v>838</v>
      </c>
      <c r="S899" s="8" t="s">
        <v>1245</v>
      </c>
      <c r="T899" s="9">
        <v>47119</v>
      </c>
      <c r="U899" s="8">
        <v>0</v>
      </c>
      <c r="V899" s="20">
        <v>620</v>
      </c>
      <c r="W899" s="21" t="s">
        <v>16</v>
      </c>
    </row>
    <row r="900" spans="1:23" ht="60">
      <c r="A900" s="8" t="s">
        <v>3114</v>
      </c>
      <c r="B900" s="8" t="s">
        <v>1083</v>
      </c>
      <c r="C900" s="8" t="s">
        <v>2221</v>
      </c>
      <c r="D900" s="8" t="s">
        <v>18</v>
      </c>
      <c r="E900" s="8" t="s">
        <v>43</v>
      </c>
      <c r="F900" s="8" t="s">
        <v>3095</v>
      </c>
      <c r="G900" s="8" t="s">
        <v>2217</v>
      </c>
      <c r="H900" s="8">
        <v>70</v>
      </c>
      <c r="I900" s="8">
        <v>70</v>
      </c>
      <c r="J900" s="8">
        <v>0</v>
      </c>
      <c r="K900" s="9">
        <v>44161</v>
      </c>
      <c r="L900" s="8" t="s">
        <v>2222</v>
      </c>
      <c r="M900" s="8" t="s">
        <v>43</v>
      </c>
      <c r="P900" s="16" t="s">
        <v>836</v>
      </c>
      <c r="Q900" s="2" t="s">
        <v>838</v>
      </c>
      <c r="S900" s="8" t="s">
        <v>1245</v>
      </c>
      <c r="T900" s="9">
        <v>47150</v>
      </c>
      <c r="U900" s="8">
        <v>0</v>
      </c>
      <c r="V900" s="20">
        <v>1050</v>
      </c>
      <c r="W900" s="21" t="s">
        <v>16</v>
      </c>
    </row>
    <row r="901" spans="1:23" ht="45">
      <c r="A901" s="8" t="s">
        <v>3115</v>
      </c>
      <c r="B901" s="8" t="s">
        <v>1084</v>
      </c>
      <c r="C901" s="8" t="s">
        <v>2221</v>
      </c>
      <c r="D901" s="8" t="s">
        <v>18</v>
      </c>
      <c r="E901" s="8" t="s">
        <v>43</v>
      </c>
      <c r="F901" s="8" t="s">
        <v>3095</v>
      </c>
      <c r="G901" s="8" t="s">
        <v>2217</v>
      </c>
      <c r="H901" s="8">
        <v>95</v>
      </c>
      <c r="I901" s="8">
        <v>95</v>
      </c>
      <c r="J901" s="8">
        <v>0</v>
      </c>
      <c r="K901" s="9">
        <v>44161</v>
      </c>
      <c r="L901" s="8" t="s">
        <v>2222</v>
      </c>
      <c r="M901" s="8" t="s">
        <v>43</v>
      </c>
      <c r="P901" s="16" t="s">
        <v>836</v>
      </c>
      <c r="Q901" s="2" t="s">
        <v>838</v>
      </c>
      <c r="S901" s="8" t="s">
        <v>1246</v>
      </c>
      <c r="T901" s="9">
        <v>45748</v>
      </c>
      <c r="U901" s="8">
        <v>0</v>
      </c>
      <c r="V901" s="20">
        <v>225</v>
      </c>
      <c r="W901" s="21" t="s">
        <v>16</v>
      </c>
    </row>
    <row r="902" spans="1:23" ht="45">
      <c r="A902" s="8" t="s">
        <v>3116</v>
      </c>
      <c r="B902" s="8" t="s">
        <v>1085</v>
      </c>
      <c r="C902" s="8" t="s">
        <v>2221</v>
      </c>
      <c r="D902" s="8" t="s">
        <v>18</v>
      </c>
      <c r="E902" s="8" t="s">
        <v>43</v>
      </c>
      <c r="F902" s="8" t="s">
        <v>3095</v>
      </c>
      <c r="G902" s="8" t="s">
        <v>1085</v>
      </c>
      <c r="H902" s="8">
        <v>1605</v>
      </c>
      <c r="I902" s="8">
        <v>1605</v>
      </c>
      <c r="J902" s="8">
        <v>0</v>
      </c>
      <c r="K902" s="9">
        <v>44308</v>
      </c>
      <c r="L902" s="8" t="s">
        <v>2222</v>
      </c>
      <c r="M902" s="8" t="s">
        <v>43</v>
      </c>
      <c r="P902" s="16" t="s">
        <v>836</v>
      </c>
      <c r="Q902" s="2" t="s">
        <v>838</v>
      </c>
      <c r="S902" s="8" t="s">
        <v>1247</v>
      </c>
      <c r="T902" s="9">
        <v>45748</v>
      </c>
      <c r="U902" s="8">
        <v>0</v>
      </c>
      <c r="V902" s="20">
        <v>218</v>
      </c>
      <c r="W902" s="21" t="s">
        <v>16</v>
      </c>
    </row>
    <row r="903" spans="1:23" ht="45">
      <c r="A903" s="8" t="s">
        <v>3117</v>
      </c>
      <c r="B903" s="8" t="s">
        <v>1086</v>
      </c>
      <c r="C903" s="8" t="s">
        <v>2221</v>
      </c>
      <c r="D903" s="8" t="s">
        <v>18</v>
      </c>
      <c r="E903" s="8" t="s">
        <v>43</v>
      </c>
      <c r="F903" s="8" t="s">
        <v>3095</v>
      </c>
      <c r="G903" s="8" t="s">
        <v>1086</v>
      </c>
      <c r="H903" s="8">
        <v>850</v>
      </c>
      <c r="I903" s="8">
        <v>850</v>
      </c>
      <c r="J903" s="8">
        <v>0</v>
      </c>
      <c r="K903" s="9">
        <v>45238</v>
      </c>
      <c r="L903" s="8" t="s">
        <v>2222</v>
      </c>
      <c r="M903" s="8" t="s">
        <v>43</v>
      </c>
      <c r="P903" s="16" t="s">
        <v>836</v>
      </c>
      <c r="Q903" s="2" t="s">
        <v>838</v>
      </c>
      <c r="S903" s="8" t="s">
        <v>1248</v>
      </c>
      <c r="T903" s="9">
        <v>46023</v>
      </c>
      <c r="U903" s="8">
        <v>0</v>
      </c>
      <c r="V903" s="20">
        <v>15</v>
      </c>
      <c r="W903" s="21" t="s">
        <v>16</v>
      </c>
    </row>
    <row r="904" spans="1:23" ht="75">
      <c r="A904" s="8" t="s">
        <v>3118</v>
      </c>
      <c r="B904" s="8" t="s">
        <v>1087</v>
      </c>
      <c r="C904" s="8" t="s">
        <v>2221</v>
      </c>
      <c r="D904" s="8" t="s">
        <v>18</v>
      </c>
      <c r="E904" s="8" t="s">
        <v>43</v>
      </c>
      <c r="F904" s="8" t="s">
        <v>3095</v>
      </c>
      <c r="G904" s="8" t="s">
        <v>2217</v>
      </c>
      <c r="H904" s="8">
        <v>168</v>
      </c>
      <c r="I904" s="8">
        <v>168</v>
      </c>
      <c r="J904" s="8">
        <v>0</v>
      </c>
      <c r="K904" s="8" t="s">
        <v>2222</v>
      </c>
      <c r="L904" s="8" t="s">
        <v>2222</v>
      </c>
      <c r="M904" s="8" t="s">
        <v>43</v>
      </c>
      <c r="P904" s="16" t="s">
        <v>844</v>
      </c>
      <c r="Q904" s="2" t="s">
        <v>838</v>
      </c>
      <c r="S904" s="8" t="s">
        <v>1248</v>
      </c>
      <c r="T904" s="9">
        <v>46296</v>
      </c>
      <c r="U904" s="8">
        <v>0</v>
      </c>
      <c r="V904" s="20">
        <v>40</v>
      </c>
      <c r="W904" s="21" t="s">
        <v>16</v>
      </c>
    </row>
    <row r="905" spans="1:23" ht="45">
      <c r="A905" s="8" t="s">
        <v>3119</v>
      </c>
      <c r="B905" s="8" t="s">
        <v>1088</v>
      </c>
      <c r="C905" s="8" t="s">
        <v>2221</v>
      </c>
      <c r="D905" s="8" t="s">
        <v>18</v>
      </c>
      <c r="E905" s="8" t="s">
        <v>2217</v>
      </c>
      <c r="F905" s="8" t="s">
        <v>2217</v>
      </c>
      <c r="G905" s="8" t="s">
        <v>2217</v>
      </c>
      <c r="H905" s="8">
        <v>160</v>
      </c>
      <c r="I905" s="8">
        <v>160</v>
      </c>
      <c r="J905" s="8">
        <v>0</v>
      </c>
      <c r="K905" s="9">
        <v>44735</v>
      </c>
      <c r="L905" s="8" t="s">
        <v>2222</v>
      </c>
      <c r="M905" s="8" t="s">
        <v>43</v>
      </c>
      <c r="P905" s="16" t="s">
        <v>845</v>
      </c>
      <c r="Q905" s="2" t="s">
        <v>838</v>
      </c>
      <c r="S905" s="8" t="s">
        <v>1251</v>
      </c>
      <c r="T905" s="9">
        <v>45962</v>
      </c>
      <c r="U905" s="8">
        <v>0</v>
      </c>
      <c r="V905" s="20">
        <v>307</v>
      </c>
      <c r="W905" s="21" t="s">
        <v>16</v>
      </c>
    </row>
    <row r="906" spans="1:23" ht="45">
      <c r="A906" s="8" t="s">
        <v>3120</v>
      </c>
      <c r="B906" s="8" t="s">
        <v>1089</v>
      </c>
      <c r="C906" s="8" t="s">
        <v>2221</v>
      </c>
      <c r="D906" s="8" t="s">
        <v>18</v>
      </c>
      <c r="E906" s="8" t="s">
        <v>2217</v>
      </c>
      <c r="F906" s="8" t="s">
        <v>2217</v>
      </c>
      <c r="G906" s="8" t="s">
        <v>2217</v>
      </c>
      <c r="H906" s="8">
        <v>1905</v>
      </c>
      <c r="I906" s="8">
        <v>1895</v>
      </c>
      <c r="J906" s="8">
        <v>0</v>
      </c>
      <c r="K906" s="8" t="s">
        <v>2222</v>
      </c>
      <c r="L906" s="8" t="s">
        <v>2222</v>
      </c>
      <c r="M906" s="8" t="s">
        <v>43</v>
      </c>
      <c r="P906" s="16" t="s">
        <v>845</v>
      </c>
      <c r="Q906" s="2" t="s">
        <v>838</v>
      </c>
      <c r="S906" s="8" t="s">
        <v>1251</v>
      </c>
      <c r="T906" s="9">
        <v>46296</v>
      </c>
      <c r="U906" s="8">
        <v>0</v>
      </c>
      <c r="V906" s="20">
        <v>1350</v>
      </c>
      <c r="W906" s="21" t="s">
        <v>16</v>
      </c>
    </row>
    <row r="907" spans="1:23" ht="45">
      <c r="A907" s="8" t="s">
        <v>3121</v>
      </c>
      <c r="B907" s="8" t="s">
        <v>1090</v>
      </c>
      <c r="C907" s="8" t="s">
        <v>2221</v>
      </c>
      <c r="D907" s="8" t="s">
        <v>18</v>
      </c>
      <c r="E907" s="8" t="s">
        <v>43</v>
      </c>
      <c r="F907" s="8" t="s">
        <v>3095</v>
      </c>
      <c r="G907" s="8" t="s">
        <v>2217</v>
      </c>
      <c r="H907" s="8">
        <v>788</v>
      </c>
      <c r="I907" s="8">
        <v>788</v>
      </c>
      <c r="J907" s="8">
        <v>0</v>
      </c>
      <c r="K907" s="9">
        <v>44646</v>
      </c>
      <c r="L907" s="8" t="s">
        <v>2222</v>
      </c>
      <c r="M907" s="8" t="s">
        <v>43</v>
      </c>
      <c r="P907" s="16" t="s">
        <v>845</v>
      </c>
      <c r="Q907" s="2" t="s">
        <v>838</v>
      </c>
      <c r="S907" s="8" t="s">
        <v>1252</v>
      </c>
      <c r="T907" s="9">
        <v>45870</v>
      </c>
      <c r="U907" s="8">
        <v>0</v>
      </c>
      <c r="V907" s="20">
        <v>43</v>
      </c>
      <c r="W907" s="21" t="s">
        <v>16</v>
      </c>
    </row>
    <row r="908" spans="1:23" ht="75">
      <c r="A908" s="8" t="s">
        <v>3122</v>
      </c>
      <c r="B908" s="8" t="s">
        <v>1091</v>
      </c>
      <c r="C908" s="8" t="s">
        <v>2221</v>
      </c>
      <c r="D908" s="8" t="s">
        <v>18</v>
      </c>
      <c r="E908" s="8" t="s">
        <v>2217</v>
      </c>
      <c r="F908" s="8" t="s">
        <v>2217</v>
      </c>
      <c r="G908" s="8" t="s">
        <v>2217</v>
      </c>
      <c r="H908" s="8">
        <v>17</v>
      </c>
      <c r="I908" s="8">
        <v>17</v>
      </c>
      <c r="J908" s="8">
        <v>0</v>
      </c>
      <c r="K908" s="9">
        <v>44730</v>
      </c>
      <c r="L908" s="8" t="s">
        <v>2222</v>
      </c>
      <c r="M908" s="8" t="s">
        <v>43</v>
      </c>
      <c r="P908" s="16" t="s">
        <v>845</v>
      </c>
      <c r="Q908" s="2" t="s">
        <v>838</v>
      </c>
      <c r="S908" s="8" t="s">
        <v>1252</v>
      </c>
      <c r="T908" s="9">
        <v>46296</v>
      </c>
      <c r="U908" s="8">
        <v>0</v>
      </c>
      <c r="V908" s="20">
        <v>2250</v>
      </c>
      <c r="W908" s="21" t="s">
        <v>16</v>
      </c>
    </row>
    <row r="909" spans="1:23" ht="60">
      <c r="A909" s="8" t="s">
        <v>3123</v>
      </c>
      <c r="B909" s="8" t="s">
        <v>1092</v>
      </c>
      <c r="C909" s="8" t="s">
        <v>2221</v>
      </c>
      <c r="D909" s="8" t="s">
        <v>18</v>
      </c>
      <c r="E909" s="8" t="s">
        <v>101</v>
      </c>
      <c r="F909" s="8" t="s">
        <v>3095</v>
      </c>
      <c r="G909" s="8" t="s">
        <v>2217</v>
      </c>
      <c r="H909" s="8">
        <v>55</v>
      </c>
      <c r="I909" s="8">
        <v>55</v>
      </c>
      <c r="J909" s="8">
        <v>0</v>
      </c>
      <c r="K909" s="9">
        <v>45152</v>
      </c>
      <c r="L909" s="8" t="s">
        <v>2222</v>
      </c>
      <c r="M909" s="8" t="s">
        <v>43</v>
      </c>
      <c r="P909" s="16" t="s">
        <v>845</v>
      </c>
      <c r="Q909" s="2" t="s">
        <v>838</v>
      </c>
      <c r="S909" s="8" t="s">
        <v>1252</v>
      </c>
      <c r="T909" s="9">
        <v>45901</v>
      </c>
      <c r="U909" s="8">
        <v>0</v>
      </c>
      <c r="V909" s="20">
        <v>1300</v>
      </c>
      <c r="W909" s="21" t="s">
        <v>16</v>
      </c>
    </row>
    <row r="910" spans="1:23" ht="45">
      <c r="A910" s="8" t="s">
        <v>3124</v>
      </c>
      <c r="B910" s="8" t="s">
        <v>1093</v>
      </c>
      <c r="C910" s="8" t="s">
        <v>2221</v>
      </c>
      <c r="D910" s="8" t="s">
        <v>18</v>
      </c>
      <c r="E910" s="8" t="s">
        <v>43</v>
      </c>
      <c r="F910" s="8" t="s">
        <v>3095</v>
      </c>
      <c r="G910" s="8" t="s">
        <v>2217</v>
      </c>
      <c r="H910" s="8">
        <v>860</v>
      </c>
      <c r="I910" s="8">
        <v>860</v>
      </c>
      <c r="J910" s="8">
        <v>0</v>
      </c>
      <c r="K910" s="8" t="s">
        <v>2222</v>
      </c>
      <c r="L910" s="8" t="s">
        <v>2222</v>
      </c>
      <c r="M910" s="8" t="s">
        <v>43</v>
      </c>
      <c r="P910" s="16" t="s">
        <v>845</v>
      </c>
      <c r="Q910" s="2" t="s">
        <v>838</v>
      </c>
      <c r="S910" s="8" t="s">
        <v>1252</v>
      </c>
      <c r="T910" s="9">
        <v>45962</v>
      </c>
      <c r="U910" s="8">
        <v>0</v>
      </c>
      <c r="V910" s="20">
        <v>1400</v>
      </c>
      <c r="W910" s="21" t="s">
        <v>16</v>
      </c>
    </row>
    <row r="911" spans="1:23" ht="45">
      <c r="A911" s="8" t="s">
        <v>3125</v>
      </c>
      <c r="B911" s="8" t="s">
        <v>1094</v>
      </c>
      <c r="C911" s="8" t="s">
        <v>2221</v>
      </c>
      <c r="D911" s="8" t="s">
        <v>18</v>
      </c>
      <c r="E911" s="8" t="s">
        <v>43</v>
      </c>
      <c r="F911" s="8" t="s">
        <v>3095</v>
      </c>
      <c r="G911" s="8" t="s">
        <v>2217</v>
      </c>
      <c r="H911" s="8">
        <v>35</v>
      </c>
      <c r="I911" s="8">
        <v>35</v>
      </c>
      <c r="J911" s="8">
        <v>0</v>
      </c>
      <c r="K911" s="9">
        <v>44161</v>
      </c>
      <c r="L911" s="8" t="s">
        <v>2222</v>
      </c>
      <c r="M911" s="8" t="s">
        <v>43</v>
      </c>
      <c r="P911" s="16" t="s">
        <v>845</v>
      </c>
      <c r="Q911" s="2" t="s">
        <v>838</v>
      </c>
      <c r="S911" s="8" t="s">
        <v>1253</v>
      </c>
      <c r="T911" s="9">
        <v>47088</v>
      </c>
      <c r="U911" s="8">
        <v>0</v>
      </c>
      <c r="V911" s="20">
        <v>645</v>
      </c>
      <c r="W911" s="21" t="s">
        <v>16</v>
      </c>
    </row>
    <row r="912" spans="1:23" ht="45">
      <c r="A912" s="8" t="s">
        <v>3126</v>
      </c>
      <c r="B912" s="8" t="s">
        <v>1094</v>
      </c>
      <c r="C912" s="8" t="s">
        <v>2221</v>
      </c>
      <c r="D912" s="8" t="s">
        <v>18</v>
      </c>
      <c r="E912" s="8" t="s">
        <v>43</v>
      </c>
      <c r="F912" s="8" t="s">
        <v>3095</v>
      </c>
      <c r="G912" s="8" t="s">
        <v>2217</v>
      </c>
      <c r="H912" s="8">
        <v>281</v>
      </c>
      <c r="I912" s="8">
        <v>278</v>
      </c>
      <c r="J912" s="8">
        <v>0</v>
      </c>
      <c r="K912" s="8" t="s">
        <v>2222</v>
      </c>
      <c r="L912" s="8" t="s">
        <v>2222</v>
      </c>
      <c r="M912" s="8" t="s">
        <v>43</v>
      </c>
      <c r="P912" s="16" t="s">
        <v>845</v>
      </c>
      <c r="Q912" s="2" t="s">
        <v>838</v>
      </c>
      <c r="S912" s="8" t="s">
        <v>1253</v>
      </c>
      <c r="T912" s="9">
        <v>47027</v>
      </c>
      <c r="U912" s="8">
        <v>0</v>
      </c>
      <c r="V912" s="20">
        <v>4320</v>
      </c>
      <c r="W912" s="21" t="s">
        <v>16</v>
      </c>
    </row>
    <row r="913" spans="1:23" ht="45">
      <c r="A913" s="8" t="s">
        <v>3127</v>
      </c>
      <c r="B913" s="8" t="s">
        <v>1095</v>
      </c>
      <c r="C913" s="8" t="s">
        <v>2221</v>
      </c>
      <c r="D913" s="8" t="s">
        <v>18</v>
      </c>
      <c r="E913" s="8" t="s">
        <v>43</v>
      </c>
      <c r="F913" s="8" t="s">
        <v>3095</v>
      </c>
      <c r="G913" s="8" t="s">
        <v>1095</v>
      </c>
      <c r="H913" s="8">
        <v>16</v>
      </c>
      <c r="I913" s="8">
        <v>16</v>
      </c>
      <c r="J913" s="8">
        <v>0</v>
      </c>
      <c r="K913" s="8" t="s">
        <v>2222</v>
      </c>
      <c r="L913" s="8" t="s">
        <v>2222</v>
      </c>
      <c r="M913" s="8" t="s">
        <v>43</v>
      </c>
      <c r="P913" s="16" t="s">
        <v>845</v>
      </c>
      <c r="Q913" s="2" t="s">
        <v>838</v>
      </c>
      <c r="S913" s="8" t="s">
        <v>1256</v>
      </c>
      <c r="T913" s="9">
        <v>47178</v>
      </c>
      <c r="U913" s="8">
        <v>0</v>
      </c>
      <c r="V913" s="20">
        <v>1840</v>
      </c>
      <c r="W913" s="21" t="s">
        <v>16</v>
      </c>
    </row>
    <row r="914" spans="1:23" ht="45">
      <c r="A914" s="8" t="s">
        <v>3128</v>
      </c>
      <c r="B914" s="8" t="s">
        <v>1095</v>
      </c>
      <c r="C914" s="8" t="s">
        <v>2221</v>
      </c>
      <c r="D914" s="8" t="s">
        <v>18</v>
      </c>
      <c r="E914" s="8" t="s">
        <v>43</v>
      </c>
      <c r="F914" s="8" t="s">
        <v>2217</v>
      </c>
      <c r="G914" s="8" t="s">
        <v>2217</v>
      </c>
      <c r="H914" s="8">
        <v>768</v>
      </c>
      <c r="I914" s="8">
        <v>768</v>
      </c>
      <c r="J914" s="8">
        <v>0</v>
      </c>
      <c r="K914" s="9">
        <v>44161</v>
      </c>
      <c r="L914" s="8" t="s">
        <v>2222</v>
      </c>
      <c r="M914" s="8" t="s">
        <v>43</v>
      </c>
      <c r="P914" s="16" t="s">
        <v>845</v>
      </c>
      <c r="Q914" s="2" t="s">
        <v>838</v>
      </c>
      <c r="S914" s="8" t="s">
        <v>1257</v>
      </c>
      <c r="T914" s="9">
        <v>47119</v>
      </c>
      <c r="U914" s="8">
        <v>0</v>
      </c>
      <c r="V914" s="20">
        <v>1613</v>
      </c>
      <c r="W914" s="21" t="s">
        <v>16</v>
      </c>
    </row>
    <row r="915" spans="1:23" ht="45">
      <c r="A915" s="8" t="s">
        <v>3129</v>
      </c>
      <c r="B915" s="8" t="s">
        <v>1096</v>
      </c>
      <c r="C915" s="8" t="s">
        <v>2221</v>
      </c>
      <c r="D915" s="8" t="s">
        <v>18</v>
      </c>
      <c r="E915" s="8" t="s">
        <v>43</v>
      </c>
      <c r="F915" s="8" t="s">
        <v>3095</v>
      </c>
      <c r="G915" s="8" t="s">
        <v>2217</v>
      </c>
      <c r="H915" s="8">
        <v>50</v>
      </c>
      <c r="I915" s="8">
        <v>50</v>
      </c>
      <c r="J915" s="8">
        <v>0</v>
      </c>
      <c r="K915" s="9">
        <v>44161</v>
      </c>
      <c r="L915" s="8" t="s">
        <v>2222</v>
      </c>
      <c r="M915" s="8" t="s">
        <v>43</v>
      </c>
      <c r="P915" s="16" t="s">
        <v>845</v>
      </c>
      <c r="Q915" s="2" t="s">
        <v>838</v>
      </c>
      <c r="S915" s="8" t="s">
        <v>1257</v>
      </c>
      <c r="T915" s="9">
        <v>47178</v>
      </c>
      <c r="U915" s="8">
        <v>0</v>
      </c>
      <c r="V915" s="20">
        <v>2000</v>
      </c>
      <c r="W915" s="21" t="s">
        <v>16</v>
      </c>
    </row>
    <row r="916" spans="1:23" ht="45">
      <c r="A916" s="8" t="s">
        <v>3130</v>
      </c>
      <c r="B916" s="8" t="s">
        <v>1097</v>
      </c>
      <c r="C916" s="8" t="s">
        <v>2221</v>
      </c>
      <c r="D916" s="8" t="s">
        <v>18</v>
      </c>
      <c r="E916" s="8" t="s">
        <v>43</v>
      </c>
      <c r="F916" s="8" t="s">
        <v>3095</v>
      </c>
      <c r="G916" s="8" t="s">
        <v>2217</v>
      </c>
      <c r="H916" s="8">
        <v>72</v>
      </c>
      <c r="I916" s="8">
        <v>72</v>
      </c>
      <c r="J916" s="8">
        <v>0</v>
      </c>
      <c r="K916" s="9">
        <v>44161</v>
      </c>
      <c r="L916" s="8" t="s">
        <v>2222</v>
      </c>
      <c r="M916" s="8" t="s">
        <v>43</v>
      </c>
      <c r="P916" s="16" t="s">
        <v>845</v>
      </c>
      <c r="Q916" s="2" t="s">
        <v>838</v>
      </c>
      <c r="S916" s="8" t="s">
        <v>1258</v>
      </c>
      <c r="T916" s="9">
        <v>47119</v>
      </c>
      <c r="U916" s="8">
        <v>0</v>
      </c>
      <c r="V916" s="20">
        <v>61</v>
      </c>
      <c r="W916" s="21" t="s">
        <v>16</v>
      </c>
    </row>
    <row r="917" spans="1:23" ht="45">
      <c r="A917" s="8" t="s">
        <v>3131</v>
      </c>
      <c r="B917" s="8" t="s">
        <v>1098</v>
      </c>
      <c r="C917" s="8" t="s">
        <v>2221</v>
      </c>
      <c r="D917" s="8" t="s">
        <v>18</v>
      </c>
      <c r="E917" s="8" t="s">
        <v>43</v>
      </c>
      <c r="F917" s="8" t="s">
        <v>3095</v>
      </c>
      <c r="G917" s="8" t="s">
        <v>2217</v>
      </c>
      <c r="H917" s="8">
        <v>58</v>
      </c>
      <c r="I917" s="8">
        <v>58</v>
      </c>
      <c r="J917" s="8">
        <v>0</v>
      </c>
      <c r="K917" s="9">
        <v>44161</v>
      </c>
      <c r="L917" s="8" t="s">
        <v>2222</v>
      </c>
      <c r="M917" s="8" t="s">
        <v>43</v>
      </c>
      <c r="P917" s="16" t="s">
        <v>845</v>
      </c>
      <c r="Q917" s="2" t="s">
        <v>838</v>
      </c>
      <c r="S917" s="8" t="s">
        <v>1258</v>
      </c>
      <c r="T917" s="9">
        <v>47239</v>
      </c>
      <c r="U917" s="8">
        <v>0</v>
      </c>
      <c r="V917" s="20">
        <v>185</v>
      </c>
      <c r="W917" s="21" t="s">
        <v>16</v>
      </c>
    </row>
    <row r="918" spans="1:23" ht="45">
      <c r="A918" s="8" t="s">
        <v>3132</v>
      </c>
      <c r="B918" s="8" t="s">
        <v>1099</v>
      </c>
      <c r="C918" s="8" t="s">
        <v>2221</v>
      </c>
      <c r="D918" s="8" t="s">
        <v>18</v>
      </c>
      <c r="E918" s="8" t="s">
        <v>43</v>
      </c>
      <c r="F918" s="8" t="s">
        <v>3095</v>
      </c>
      <c r="G918" s="8" t="s">
        <v>2217</v>
      </c>
      <c r="H918" s="8">
        <v>25</v>
      </c>
      <c r="I918" s="8">
        <v>25</v>
      </c>
      <c r="J918" s="8">
        <v>0</v>
      </c>
      <c r="K918" s="9">
        <v>44162</v>
      </c>
      <c r="L918" s="8" t="s">
        <v>2222</v>
      </c>
      <c r="M918" s="8" t="s">
        <v>43</v>
      </c>
      <c r="P918" s="16" t="s">
        <v>845</v>
      </c>
      <c r="Q918" s="2" t="s">
        <v>838</v>
      </c>
      <c r="S918" s="8" t="s">
        <v>1259</v>
      </c>
      <c r="T918" s="9">
        <v>47119</v>
      </c>
      <c r="U918" s="8">
        <v>0</v>
      </c>
      <c r="V918" s="20">
        <v>8</v>
      </c>
      <c r="W918" s="21" t="s">
        <v>16</v>
      </c>
    </row>
    <row r="919" spans="1:23" ht="60">
      <c r="A919" s="8" t="s">
        <v>3133</v>
      </c>
      <c r="B919" s="8" t="s">
        <v>1100</v>
      </c>
      <c r="C919" s="8" t="s">
        <v>2221</v>
      </c>
      <c r="D919" s="8" t="s">
        <v>18</v>
      </c>
      <c r="E919" s="8" t="s">
        <v>2217</v>
      </c>
      <c r="F919" s="8" t="s">
        <v>2217</v>
      </c>
      <c r="G919" s="8" t="s">
        <v>2217</v>
      </c>
      <c r="H919" s="8">
        <v>148</v>
      </c>
      <c r="I919" s="8">
        <v>148</v>
      </c>
      <c r="J919" s="8">
        <v>0</v>
      </c>
      <c r="K919" s="9">
        <v>44851</v>
      </c>
      <c r="L919" s="8" t="s">
        <v>2222</v>
      </c>
      <c r="M919" s="8" t="s">
        <v>43</v>
      </c>
      <c r="P919" s="16" t="s">
        <v>845</v>
      </c>
      <c r="Q919" s="2" t="s">
        <v>838</v>
      </c>
      <c r="S919" s="8" t="s">
        <v>1259</v>
      </c>
      <c r="T919" s="9">
        <v>47150</v>
      </c>
      <c r="U919" s="8">
        <v>0</v>
      </c>
      <c r="V919" s="20">
        <v>1100</v>
      </c>
      <c r="W919" s="21" t="s">
        <v>16</v>
      </c>
    </row>
    <row r="920" spans="1:23" ht="45">
      <c r="A920" s="8" t="s">
        <v>3134</v>
      </c>
      <c r="B920" s="8" t="s">
        <v>1101</v>
      </c>
      <c r="C920" s="8" t="s">
        <v>2221</v>
      </c>
      <c r="D920" s="8" t="s">
        <v>18</v>
      </c>
      <c r="E920" s="8" t="s">
        <v>43</v>
      </c>
      <c r="F920" s="8" t="s">
        <v>2217</v>
      </c>
      <c r="G920" s="8" t="s">
        <v>2217</v>
      </c>
      <c r="H920" s="8">
        <v>1</v>
      </c>
      <c r="I920" s="8">
        <v>1</v>
      </c>
      <c r="J920" s="8">
        <v>0</v>
      </c>
      <c r="K920" s="9">
        <v>44161</v>
      </c>
      <c r="L920" s="8" t="s">
        <v>2222</v>
      </c>
      <c r="M920" s="8" t="s">
        <v>43</v>
      </c>
      <c r="P920" s="16" t="s">
        <v>845</v>
      </c>
      <c r="Q920" s="2" t="s">
        <v>838</v>
      </c>
      <c r="S920" s="8" t="s">
        <v>1259</v>
      </c>
      <c r="T920" s="9">
        <v>47239</v>
      </c>
      <c r="U920" s="8">
        <v>0</v>
      </c>
      <c r="V920" s="20">
        <v>12500</v>
      </c>
      <c r="W920" s="21" t="s">
        <v>16</v>
      </c>
    </row>
    <row r="921" spans="1:23" ht="60">
      <c r="A921" s="8" t="s">
        <v>3135</v>
      </c>
      <c r="B921" s="8" t="s">
        <v>1102</v>
      </c>
      <c r="C921" s="8" t="s">
        <v>2221</v>
      </c>
      <c r="D921" s="8" t="s">
        <v>18</v>
      </c>
      <c r="E921" s="8" t="s">
        <v>2217</v>
      </c>
      <c r="F921" s="8" t="s">
        <v>2217</v>
      </c>
      <c r="G921" s="8" t="s">
        <v>2217</v>
      </c>
      <c r="H921" s="8">
        <v>41</v>
      </c>
      <c r="I921" s="8">
        <v>41</v>
      </c>
      <c r="J921" s="8">
        <v>0</v>
      </c>
      <c r="K921" s="9">
        <v>44641</v>
      </c>
      <c r="L921" s="8" t="s">
        <v>2222</v>
      </c>
      <c r="M921" s="8" t="s">
        <v>43</v>
      </c>
      <c r="P921" s="16" t="s">
        <v>845</v>
      </c>
      <c r="Q921" s="2" t="s">
        <v>838</v>
      </c>
      <c r="S921" s="8" t="s">
        <v>1260</v>
      </c>
      <c r="T921" s="9">
        <v>47027</v>
      </c>
      <c r="U921" s="8">
        <v>0</v>
      </c>
      <c r="V921" s="20">
        <v>4</v>
      </c>
      <c r="W921" s="21" t="s">
        <v>16</v>
      </c>
    </row>
    <row r="922" spans="1:23" ht="60">
      <c r="A922" s="8" t="s">
        <v>3136</v>
      </c>
      <c r="B922" s="8" t="s">
        <v>1103</v>
      </c>
      <c r="C922" s="8" t="s">
        <v>2221</v>
      </c>
      <c r="D922" s="8" t="s">
        <v>18</v>
      </c>
      <c r="E922" s="8" t="s">
        <v>2217</v>
      </c>
      <c r="F922" s="8" t="s">
        <v>2217</v>
      </c>
      <c r="G922" s="8" t="s">
        <v>2217</v>
      </c>
      <c r="H922" s="8">
        <v>3785</v>
      </c>
      <c r="I922" s="8">
        <v>3785</v>
      </c>
      <c r="J922" s="8">
        <v>0</v>
      </c>
      <c r="K922" s="9">
        <v>44641</v>
      </c>
      <c r="L922" s="8" t="s">
        <v>2222</v>
      </c>
      <c r="M922" s="8" t="s">
        <v>43</v>
      </c>
      <c r="P922" s="16" t="s">
        <v>845</v>
      </c>
      <c r="Q922" s="2" t="s">
        <v>838</v>
      </c>
      <c r="S922" s="8" t="s">
        <v>1260</v>
      </c>
      <c r="T922" s="9">
        <v>47088</v>
      </c>
      <c r="U922" s="8">
        <v>0</v>
      </c>
      <c r="V922" s="20">
        <v>32</v>
      </c>
      <c r="W922" s="21" t="s">
        <v>16</v>
      </c>
    </row>
    <row r="923" spans="1:23" ht="60">
      <c r="A923" s="8" t="s">
        <v>3137</v>
      </c>
      <c r="B923" s="8" t="s">
        <v>1104</v>
      </c>
      <c r="C923" s="8" t="s">
        <v>2221</v>
      </c>
      <c r="D923" s="8" t="s">
        <v>18</v>
      </c>
      <c r="E923" s="8" t="s">
        <v>43</v>
      </c>
      <c r="F923" s="8" t="s">
        <v>3095</v>
      </c>
      <c r="G923" s="8" t="s">
        <v>2217</v>
      </c>
      <c r="H923" s="8">
        <v>115</v>
      </c>
      <c r="I923" s="8">
        <v>115</v>
      </c>
      <c r="J923" s="8">
        <v>0</v>
      </c>
      <c r="K923" s="9">
        <v>44161</v>
      </c>
      <c r="L923" s="8" t="s">
        <v>2222</v>
      </c>
      <c r="M923" s="8" t="s">
        <v>43</v>
      </c>
      <c r="P923" s="16" t="s">
        <v>845</v>
      </c>
      <c r="Q923" s="2" t="s">
        <v>838</v>
      </c>
      <c r="S923" s="8" t="s">
        <v>1260</v>
      </c>
      <c r="T923" s="9">
        <v>47239</v>
      </c>
      <c r="U923" s="8">
        <v>0</v>
      </c>
      <c r="V923" s="20">
        <v>500</v>
      </c>
      <c r="W923" s="21" t="s">
        <v>16</v>
      </c>
    </row>
    <row r="924" spans="1:23" ht="60">
      <c r="A924" s="8" t="s">
        <v>3138</v>
      </c>
      <c r="B924" s="8" t="s">
        <v>1105</v>
      </c>
      <c r="C924" s="8" t="s">
        <v>2221</v>
      </c>
      <c r="D924" s="8" t="s">
        <v>18</v>
      </c>
      <c r="E924" s="8" t="s">
        <v>43</v>
      </c>
      <c r="F924" s="8" t="s">
        <v>3095</v>
      </c>
      <c r="G924" s="8" t="s">
        <v>2217</v>
      </c>
      <c r="H924" s="8">
        <v>985</v>
      </c>
      <c r="I924" s="8">
        <v>985</v>
      </c>
      <c r="J924" s="8">
        <v>0</v>
      </c>
      <c r="K924" s="9">
        <v>44160</v>
      </c>
      <c r="L924" s="8" t="s">
        <v>2222</v>
      </c>
      <c r="M924" s="8" t="s">
        <v>43</v>
      </c>
      <c r="P924" s="16" t="s">
        <v>845</v>
      </c>
      <c r="Q924" s="2" t="s">
        <v>838</v>
      </c>
      <c r="S924" s="8" t="s">
        <v>1261</v>
      </c>
      <c r="T924" s="9">
        <v>46905</v>
      </c>
      <c r="U924" s="8">
        <v>0</v>
      </c>
      <c r="V924" s="20">
        <v>80</v>
      </c>
      <c r="W924" s="21" t="s">
        <v>16</v>
      </c>
    </row>
    <row r="925" spans="1:23" ht="60">
      <c r="A925" s="8" t="s">
        <v>3139</v>
      </c>
      <c r="B925" s="8" t="s">
        <v>1106</v>
      </c>
      <c r="C925" s="8" t="s">
        <v>2221</v>
      </c>
      <c r="D925" s="8" t="s">
        <v>18</v>
      </c>
      <c r="E925" s="8" t="s">
        <v>2217</v>
      </c>
      <c r="F925" s="8" t="s">
        <v>2217</v>
      </c>
      <c r="G925" s="8" t="s">
        <v>2217</v>
      </c>
      <c r="H925" s="8">
        <v>14566</v>
      </c>
      <c r="I925" s="8">
        <v>14566</v>
      </c>
      <c r="J925" s="8">
        <v>0</v>
      </c>
      <c r="K925" s="9">
        <v>45134</v>
      </c>
      <c r="L925" s="8" t="s">
        <v>2222</v>
      </c>
      <c r="M925" s="8" t="s">
        <v>43</v>
      </c>
      <c r="P925" s="16" t="s">
        <v>845</v>
      </c>
      <c r="Q925" s="2" t="s">
        <v>838</v>
      </c>
      <c r="S925" s="8" t="s">
        <v>1262</v>
      </c>
      <c r="T925" s="9">
        <v>46966</v>
      </c>
      <c r="U925" s="8">
        <v>0</v>
      </c>
      <c r="V925" s="20">
        <v>480</v>
      </c>
      <c r="W925" s="21" t="s">
        <v>16</v>
      </c>
    </row>
    <row r="926" spans="1:23" ht="60">
      <c r="A926" s="8" t="s">
        <v>3140</v>
      </c>
      <c r="B926" s="8" t="s">
        <v>1107</v>
      </c>
      <c r="C926" s="8" t="s">
        <v>2221</v>
      </c>
      <c r="D926" s="8" t="s">
        <v>18</v>
      </c>
      <c r="E926" s="8" t="s">
        <v>2217</v>
      </c>
      <c r="F926" s="8" t="s">
        <v>2217</v>
      </c>
      <c r="G926" s="8" t="s">
        <v>2217</v>
      </c>
      <c r="H926" s="8">
        <v>985</v>
      </c>
      <c r="I926" s="8">
        <v>985</v>
      </c>
      <c r="J926" s="8">
        <v>0</v>
      </c>
      <c r="K926" s="9">
        <v>44909</v>
      </c>
      <c r="L926" s="8" t="s">
        <v>2222</v>
      </c>
      <c r="M926" s="8" t="s">
        <v>43</v>
      </c>
      <c r="P926" s="16" t="s">
        <v>845</v>
      </c>
      <c r="Q926" s="2" t="s">
        <v>838</v>
      </c>
      <c r="S926" s="8" t="s">
        <v>1263</v>
      </c>
      <c r="T926" s="9">
        <v>47027</v>
      </c>
      <c r="U926" s="8">
        <v>0</v>
      </c>
      <c r="V926" s="20">
        <v>111</v>
      </c>
      <c r="W926" s="21" t="s">
        <v>151</v>
      </c>
    </row>
    <row r="927" spans="1:23" ht="60">
      <c r="A927" s="8" t="s">
        <v>3141</v>
      </c>
      <c r="B927" s="8" t="s">
        <v>1108</v>
      </c>
      <c r="C927" s="8" t="s">
        <v>2221</v>
      </c>
      <c r="D927" s="8" t="s">
        <v>18</v>
      </c>
      <c r="E927" s="8" t="s">
        <v>43</v>
      </c>
      <c r="F927" s="8" t="s">
        <v>2217</v>
      </c>
      <c r="G927" s="8" t="s">
        <v>2217</v>
      </c>
      <c r="H927" s="8">
        <v>56</v>
      </c>
      <c r="I927" s="8">
        <v>56</v>
      </c>
      <c r="J927" s="8">
        <v>0</v>
      </c>
      <c r="K927" s="9">
        <v>44161</v>
      </c>
      <c r="L927" s="8" t="s">
        <v>2222</v>
      </c>
      <c r="M927" s="8" t="s">
        <v>43</v>
      </c>
      <c r="P927" s="16" t="s">
        <v>845</v>
      </c>
      <c r="Q927" s="2" t="s">
        <v>838</v>
      </c>
      <c r="S927" s="8" t="s">
        <v>1263</v>
      </c>
      <c r="T927" s="9">
        <v>47088</v>
      </c>
      <c r="U927" s="8">
        <v>0</v>
      </c>
      <c r="V927" s="20">
        <v>560</v>
      </c>
      <c r="W927" s="21" t="s">
        <v>151</v>
      </c>
    </row>
    <row r="928" spans="1:23" ht="45">
      <c r="A928" s="8" t="s">
        <v>3142</v>
      </c>
      <c r="B928" s="8" t="s">
        <v>1109</v>
      </c>
      <c r="C928" s="8" t="s">
        <v>2221</v>
      </c>
      <c r="D928" s="8" t="s">
        <v>18</v>
      </c>
      <c r="E928" s="8" t="s">
        <v>43</v>
      </c>
      <c r="F928" s="8" t="s">
        <v>3095</v>
      </c>
      <c r="G928" s="8" t="s">
        <v>2217</v>
      </c>
      <c r="H928" s="8">
        <v>22</v>
      </c>
      <c r="I928" s="8">
        <v>22</v>
      </c>
      <c r="J928" s="8">
        <v>0</v>
      </c>
      <c r="K928" s="9">
        <v>44162</v>
      </c>
      <c r="L928" s="8" t="s">
        <v>2222</v>
      </c>
      <c r="M928" s="8" t="s">
        <v>43</v>
      </c>
      <c r="P928" s="16" t="s">
        <v>845</v>
      </c>
      <c r="Q928" s="2" t="s">
        <v>838</v>
      </c>
      <c r="S928" s="8" t="s">
        <v>1267</v>
      </c>
      <c r="T928" s="9">
        <v>47088</v>
      </c>
      <c r="U928" s="8">
        <v>0</v>
      </c>
      <c r="V928" s="20">
        <v>60</v>
      </c>
      <c r="W928" s="21" t="s">
        <v>151</v>
      </c>
    </row>
    <row r="929" spans="1:23" ht="45">
      <c r="A929" s="8" t="s">
        <v>3143</v>
      </c>
      <c r="B929" s="8" t="s">
        <v>1110</v>
      </c>
      <c r="C929" s="8" t="s">
        <v>2221</v>
      </c>
      <c r="D929" s="8" t="s">
        <v>18</v>
      </c>
      <c r="E929" s="8" t="s">
        <v>43</v>
      </c>
      <c r="F929" s="8" t="s">
        <v>2217</v>
      </c>
      <c r="G929" s="8" t="s">
        <v>2217</v>
      </c>
      <c r="H929" s="8">
        <v>50</v>
      </c>
      <c r="I929" s="8">
        <v>50</v>
      </c>
      <c r="J929" s="8">
        <v>0</v>
      </c>
      <c r="K929" s="9">
        <v>44161</v>
      </c>
      <c r="L929" s="8" t="s">
        <v>2222</v>
      </c>
      <c r="M929" s="8" t="s">
        <v>43</v>
      </c>
      <c r="P929" s="16" t="s">
        <v>845</v>
      </c>
      <c r="Q929" s="2" t="s">
        <v>838</v>
      </c>
      <c r="S929" s="8" t="s">
        <v>1267</v>
      </c>
      <c r="T929" s="9">
        <v>47058</v>
      </c>
      <c r="U929" s="8">
        <v>0</v>
      </c>
      <c r="V929" s="20">
        <v>380</v>
      </c>
      <c r="W929" s="21" t="s">
        <v>151</v>
      </c>
    </row>
    <row r="930" spans="1:23" ht="45">
      <c r="A930" s="8" t="s">
        <v>3144</v>
      </c>
      <c r="B930" s="8" t="s">
        <v>1111</v>
      </c>
      <c r="C930" s="8" t="s">
        <v>2221</v>
      </c>
      <c r="D930" s="8" t="s">
        <v>18</v>
      </c>
      <c r="E930" s="8" t="s">
        <v>43</v>
      </c>
      <c r="F930" s="8" t="s">
        <v>3095</v>
      </c>
      <c r="G930" s="8" t="s">
        <v>2217</v>
      </c>
      <c r="H930" s="8">
        <v>21</v>
      </c>
      <c r="I930" s="8">
        <v>21</v>
      </c>
      <c r="J930" s="8">
        <v>0</v>
      </c>
      <c r="K930" s="9">
        <v>44162</v>
      </c>
      <c r="L930" s="8" t="s">
        <v>2222</v>
      </c>
      <c r="M930" s="8" t="s">
        <v>43</v>
      </c>
      <c r="P930" s="16" t="s">
        <v>845</v>
      </c>
      <c r="Q930" s="2" t="s">
        <v>838</v>
      </c>
      <c r="S930" s="8" t="s">
        <v>1267</v>
      </c>
      <c r="T930" s="9">
        <v>46753</v>
      </c>
      <c r="U930" s="8">
        <v>0</v>
      </c>
      <c r="V930" s="20">
        <v>465</v>
      </c>
      <c r="W930" s="21" t="s">
        <v>151</v>
      </c>
    </row>
    <row r="931" spans="1:23" ht="45">
      <c r="A931" s="8" t="s">
        <v>3145</v>
      </c>
      <c r="B931" s="8" t="s">
        <v>1112</v>
      </c>
      <c r="C931" s="8" t="s">
        <v>2221</v>
      </c>
      <c r="D931" s="8" t="s">
        <v>18</v>
      </c>
      <c r="E931" s="8" t="s">
        <v>43</v>
      </c>
      <c r="F931" s="8" t="s">
        <v>3095</v>
      </c>
      <c r="G931" s="8" t="s">
        <v>2217</v>
      </c>
      <c r="H931" s="8">
        <v>32</v>
      </c>
      <c r="I931" s="8">
        <v>32</v>
      </c>
      <c r="J931" s="8">
        <v>0</v>
      </c>
      <c r="K931" s="9">
        <v>44359</v>
      </c>
      <c r="L931" s="9">
        <v>44359</v>
      </c>
      <c r="M931" s="8" t="s">
        <v>43</v>
      </c>
      <c r="P931" s="16" t="s">
        <v>845</v>
      </c>
      <c r="Q931" s="2" t="s">
        <v>838</v>
      </c>
      <c r="S931" s="8" t="s">
        <v>1270</v>
      </c>
      <c r="T931" s="9">
        <v>47119</v>
      </c>
      <c r="U931" s="8">
        <v>0</v>
      </c>
      <c r="V931" s="20">
        <v>10</v>
      </c>
      <c r="W931" s="21" t="s">
        <v>16</v>
      </c>
    </row>
    <row r="932" spans="1:23" ht="45">
      <c r="A932" s="8" t="s">
        <v>3146</v>
      </c>
      <c r="B932" s="8" t="s">
        <v>1113</v>
      </c>
      <c r="C932" s="8" t="s">
        <v>2221</v>
      </c>
      <c r="D932" s="8" t="s">
        <v>18</v>
      </c>
      <c r="E932" s="8" t="s">
        <v>312</v>
      </c>
      <c r="F932" s="8" t="s">
        <v>1054</v>
      </c>
      <c r="G932" s="8" t="s">
        <v>2217</v>
      </c>
      <c r="H932" s="8">
        <v>57</v>
      </c>
      <c r="I932" s="8">
        <v>57</v>
      </c>
      <c r="J932" s="8">
        <v>0</v>
      </c>
      <c r="K932" s="9">
        <v>44161</v>
      </c>
      <c r="L932" s="8" t="s">
        <v>2222</v>
      </c>
      <c r="M932" s="8" t="s">
        <v>43</v>
      </c>
      <c r="P932" s="16" t="s">
        <v>845</v>
      </c>
      <c r="Q932" s="2" t="s">
        <v>838</v>
      </c>
      <c r="S932" s="8" t="s">
        <v>1270</v>
      </c>
      <c r="T932" s="9">
        <v>47453</v>
      </c>
      <c r="U932" s="8">
        <v>0</v>
      </c>
      <c r="V932" s="20">
        <v>40</v>
      </c>
      <c r="W932" s="21" t="s">
        <v>16</v>
      </c>
    </row>
    <row r="933" spans="1:23" ht="45">
      <c r="A933" s="8" t="s">
        <v>3147</v>
      </c>
      <c r="B933" s="8" t="s">
        <v>1114</v>
      </c>
      <c r="C933" s="8" t="s">
        <v>2221</v>
      </c>
      <c r="D933" s="8" t="s">
        <v>18</v>
      </c>
      <c r="E933" s="8" t="s">
        <v>43</v>
      </c>
      <c r="F933" s="8" t="s">
        <v>3095</v>
      </c>
      <c r="G933" s="8" t="s">
        <v>1114</v>
      </c>
      <c r="H933" s="8">
        <v>1</v>
      </c>
      <c r="I933" s="8">
        <v>1</v>
      </c>
      <c r="J933" s="8">
        <v>0</v>
      </c>
      <c r="K933" s="8" t="s">
        <v>2222</v>
      </c>
      <c r="L933" s="8" t="s">
        <v>2222</v>
      </c>
      <c r="M933" s="8" t="s">
        <v>43</v>
      </c>
      <c r="P933" s="16" t="s">
        <v>845</v>
      </c>
      <c r="Q933" s="2" t="s">
        <v>838</v>
      </c>
      <c r="S933" s="8" t="s">
        <v>1270</v>
      </c>
      <c r="T933" s="9">
        <v>46966</v>
      </c>
      <c r="U933" s="8">
        <v>0</v>
      </c>
      <c r="V933" s="20">
        <v>41</v>
      </c>
      <c r="W933" s="21" t="s">
        <v>16</v>
      </c>
    </row>
    <row r="934" spans="1:23" ht="60">
      <c r="A934" s="8" t="s">
        <v>3148</v>
      </c>
      <c r="B934" s="8" t="s">
        <v>1115</v>
      </c>
      <c r="C934" s="8" t="s">
        <v>2221</v>
      </c>
      <c r="D934" s="8" t="s">
        <v>18</v>
      </c>
      <c r="E934" s="8" t="s">
        <v>2217</v>
      </c>
      <c r="F934" s="8" t="s">
        <v>2217</v>
      </c>
      <c r="G934" s="8" t="s">
        <v>2217</v>
      </c>
      <c r="H934" s="8">
        <v>133</v>
      </c>
      <c r="I934" s="8">
        <v>133</v>
      </c>
      <c r="J934" s="8">
        <v>0</v>
      </c>
      <c r="K934" s="9">
        <v>44883</v>
      </c>
      <c r="L934" s="8" t="s">
        <v>2222</v>
      </c>
      <c r="M934" s="8" t="s">
        <v>43</v>
      </c>
      <c r="P934" s="16" t="s">
        <v>845</v>
      </c>
      <c r="Q934" s="2" t="s">
        <v>838</v>
      </c>
      <c r="S934" s="8" t="s">
        <v>1271</v>
      </c>
      <c r="T934" s="9">
        <v>46631</v>
      </c>
      <c r="U934" s="8">
        <v>0</v>
      </c>
      <c r="V934" s="20">
        <v>14</v>
      </c>
      <c r="W934" s="21" t="s">
        <v>16</v>
      </c>
    </row>
    <row r="935" spans="1:23" ht="60">
      <c r="A935" s="8" t="s">
        <v>3149</v>
      </c>
      <c r="B935" s="8" t="s">
        <v>1116</v>
      </c>
      <c r="C935" s="8" t="s">
        <v>2221</v>
      </c>
      <c r="D935" s="8" t="s">
        <v>18</v>
      </c>
      <c r="E935" s="8" t="s">
        <v>2217</v>
      </c>
      <c r="F935" s="8" t="s">
        <v>2217</v>
      </c>
      <c r="G935" s="8" t="s">
        <v>2217</v>
      </c>
      <c r="H935" s="8">
        <v>210</v>
      </c>
      <c r="I935" s="8">
        <v>210</v>
      </c>
      <c r="J935" s="8">
        <v>0</v>
      </c>
      <c r="K935" s="9">
        <v>45299</v>
      </c>
      <c r="L935" s="8" t="s">
        <v>2222</v>
      </c>
      <c r="M935" s="8" t="s">
        <v>43</v>
      </c>
      <c r="P935" s="16" t="s">
        <v>845</v>
      </c>
      <c r="Q935" s="2" t="s">
        <v>838</v>
      </c>
      <c r="S935" s="8" t="s">
        <v>1271</v>
      </c>
      <c r="T935" s="9">
        <v>46966</v>
      </c>
      <c r="U935" s="8">
        <v>0</v>
      </c>
      <c r="V935" s="20">
        <v>320</v>
      </c>
      <c r="W935" s="21" t="s">
        <v>16</v>
      </c>
    </row>
    <row r="936" spans="1:23" ht="60">
      <c r="A936" s="8" t="s">
        <v>3150</v>
      </c>
      <c r="B936" s="8" t="s">
        <v>1117</v>
      </c>
      <c r="C936" s="8" t="s">
        <v>2221</v>
      </c>
      <c r="D936" s="8" t="s">
        <v>18</v>
      </c>
      <c r="E936" s="8" t="s">
        <v>43</v>
      </c>
      <c r="F936" s="8" t="s">
        <v>3095</v>
      </c>
      <c r="G936" s="8" t="s">
        <v>2217</v>
      </c>
      <c r="H936" s="8">
        <v>9</v>
      </c>
      <c r="I936" s="8">
        <v>9</v>
      </c>
      <c r="J936" s="8">
        <v>0</v>
      </c>
      <c r="K936" s="9">
        <v>44162</v>
      </c>
      <c r="L936" s="8" t="s">
        <v>2222</v>
      </c>
      <c r="M936" s="8" t="s">
        <v>43</v>
      </c>
      <c r="P936" s="16" t="s">
        <v>845</v>
      </c>
      <c r="Q936" s="2" t="s">
        <v>838</v>
      </c>
      <c r="S936" s="8" t="s">
        <v>1271</v>
      </c>
      <c r="T936" s="9">
        <v>46997</v>
      </c>
      <c r="U936" s="8">
        <v>0</v>
      </c>
      <c r="V936" s="20">
        <v>400</v>
      </c>
      <c r="W936" s="21" t="s">
        <v>16</v>
      </c>
    </row>
    <row r="937" spans="1:23" ht="60">
      <c r="A937" s="8" t="s">
        <v>3151</v>
      </c>
      <c r="B937" s="8" t="s">
        <v>1118</v>
      </c>
      <c r="C937" s="8" t="s">
        <v>2221</v>
      </c>
      <c r="D937" s="8" t="s">
        <v>18</v>
      </c>
      <c r="E937" s="8" t="s">
        <v>43</v>
      </c>
      <c r="F937" s="8" t="s">
        <v>3095</v>
      </c>
      <c r="G937" s="8" t="s">
        <v>2217</v>
      </c>
      <c r="H937" s="8">
        <v>53</v>
      </c>
      <c r="I937" s="8">
        <v>53</v>
      </c>
      <c r="J937" s="8">
        <v>0</v>
      </c>
      <c r="K937" s="9">
        <v>44161</v>
      </c>
      <c r="L937" s="8" t="s">
        <v>2222</v>
      </c>
      <c r="M937" s="8" t="s">
        <v>43</v>
      </c>
      <c r="P937" s="16" t="s">
        <v>845</v>
      </c>
      <c r="Q937" s="2" t="s">
        <v>838</v>
      </c>
      <c r="S937" s="8" t="s">
        <v>1271</v>
      </c>
      <c r="T937" s="9">
        <v>47058</v>
      </c>
      <c r="U937" s="8">
        <v>0</v>
      </c>
      <c r="V937" s="20">
        <v>2320</v>
      </c>
      <c r="W937" s="21" t="s">
        <v>16</v>
      </c>
    </row>
    <row r="938" spans="1:23" ht="60">
      <c r="A938" s="8" t="s">
        <v>3152</v>
      </c>
      <c r="B938" s="8" t="s">
        <v>1119</v>
      </c>
      <c r="C938" s="8" t="s">
        <v>2221</v>
      </c>
      <c r="D938" s="8" t="s">
        <v>18</v>
      </c>
      <c r="E938" s="8" t="s">
        <v>43</v>
      </c>
      <c r="F938" s="8" t="s">
        <v>2217</v>
      </c>
      <c r="G938" s="8" t="s">
        <v>2217</v>
      </c>
      <c r="H938" s="8">
        <v>138</v>
      </c>
      <c r="I938" s="8">
        <v>138</v>
      </c>
      <c r="J938" s="8">
        <v>0</v>
      </c>
      <c r="K938" s="9">
        <v>44161</v>
      </c>
      <c r="L938" s="8" t="s">
        <v>2222</v>
      </c>
      <c r="M938" s="8" t="s">
        <v>43</v>
      </c>
      <c r="P938" s="16" t="s">
        <v>845</v>
      </c>
      <c r="Q938" s="2" t="s">
        <v>838</v>
      </c>
      <c r="S938" s="8" t="s">
        <v>1272</v>
      </c>
      <c r="T938" s="9">
        <v>46966</v>
      </c>
      <c r="U938" s="8">
        <v>0</v>
      </c>
      <c r="V938" s="20">
        <v>40</v>
      </c>
      <c r="W938" s="21" t="s">
        <v>16</v>
      </c>
    </row>
    <row r="939" spans="1:23" ht="60">
      <c r="A939" s="8" t="s">
        <v>3153</v>
      </c>
      <c r="B939" s="8" t="s">
        <v>1120</v>
      </c>
      <c r="C939" s="8" t="s">
        <v>2221</v>
      </c>
      <c r="D939" s="8" t="s">
        <v>18</v>
      </c>
      <c r="E939" s="8" t="s">
        <v>2217</v>
      </c>
      <c r="F939" s="8" t="s">
        <v>2217</v>
      </c>
      <c r="G939" s="8" t="s">
        <v>2217</v>
      </c>
      <c r="H939" s="8">
        <v>7</v>
      </c>
      <c r="I939" s="8">
        <v>7</v>
      </c>
      <c r="J939" s="8">
        <v>0</v>
      </c>
      <c r="K939" s="9">
        <v>44952</v>
      </c>
      <c r="L939" s="8" t="s">
        <v>2222</v>
      </c>
      <c r="M939" s="8" t="s">
        <v>43</v>
      </c>
      <c r="P939" s="16" t="s">
        <v>845</v>
      </c>
      <c r="Q939" s="2" t="s">
        <v>838</v>
      </c>
      <c r="S939" s="8" t="s">
        <v>1272</v>
      </c>
      <c r="T939" s="9">
        <v>47058</v>
      </c>
      <c r="U939" s="8">
        <v>0</v>
      </c>
      <c r="V939" s="20">
        <v>80</v>
      </c>
      <c r="W939" s="21" t="s">
        <v>16</v>
      </c>
    </row>
    <row r="940" spans="1:23" ht="60">
      <c r="A940" s="8" t="s">
        <v>3154</v>
      </c>
      <c r="B940" s="8" t="s">
        <v>1121</v>
      </c>
      <c r="C940" s="8" t="s">
        <v>2221</v>
      </c>
      <c r="D940" s="8" t="s">
        <v>18</v>
      </c>
      <c r="E940" s="8" t="s">
        <v>43</v>
      </c>
      <c r="F940" s="8" t="s">
        <v>3095</v>
      </c>
      <c r="G940" s="8" t="s">
        <v>2217</v>
      </c>
      <c r="H940" s="8">
        <v>13</v>
      </c>
      <c r="I940" s="8">
        <v>13</v>
      </c>
      <c r="J940" s="8">
        <v>0</v>
      </c>
      <c r="K940" s="9">
        <v>44161</v>
      </c>
      <c r="L940" s="8" t="s">
        <v>2222</v>
      </c>
      <c r="M940" s="8" t="s">
        <v>43</v>
      </c>
      <c r="P940" s="16" t="s">
        <v>845</v>
      </c>
      <c r="Q940" s="2" t="s">
        <v>838</v>
      </c>
      <c r="S940" s="8" t="s">
        <v>1273</v>
      </c>
      <c r="T940" s="9" t="s">
        <v>2222</v>
      </c>
      <c r="U940" s="8">
        <v>0</v>
      </c>
      <c r="V940" s="20">
        <v>6</v>
      </c>
      <c r="W940" s="21" t="s">
        <v>43</v>
      </c>
    </row>
    <row r="941" spans="1:23" ht="60">
      <c r="A941" s="8" t="s">
        <v>3155</v>
      </c>
      <c r="B941" s="8" t="s">
        <v>1122</v>
      </c>
      <c r="C941" s="8" t="s">
        <v>2221</v>
      </c>
      <c r="D941" s="8" t="s">
        <v>18</v>
      </c>
      <c r="E941" s="8" t="s">
        <v>43</v>
      </c>
      <c r="F941" s="8" t="s">
        <v>3095</v>
      </c>
      <c r="G941" s="8" t="s">
        <v>2217</v>
      </c>
      <c r="H941" s="8">
        <v>134</v>
      </c>
      <c r="I941" s="8">
        <v>134</v>
      </c>
      <c r="J941" s="8">
        <v>0</v>
      </c>
      <c r="K941" s="9">
        <v>44161</v>
      </c>
      <c r="L941" s="8" t="s">
        <v>2222</v>
      </c>
      <c r="M941" s="8" t="s">
        <v>43</v>
      </c>
      <c r="P941" s="16" t="s">
        <v>845</v>
      </c>
      <c r="Q941" s="2" t="s">
        <v>838</v>
      </c>
      <c r="S941" s="8" t="s">
        <v>1274</v>
      </c>
      <c r="T941" s="9">
        <v>47239</v>
      </c>
      <c r="U941" s="8">
        <v>0</v>
      </c>
      <c r="V941" s="20">
        <v>814</v>
      </c>
      <c r="W941" s="21" t="s">
        <v>151</v>
      </c>
    </row>
    <row r="942" spans="1:23" ht="45">
      <c r="A942" s="8" t="s">
        <v>3156</v>
      </c>
      <c r="B942" s="8" t="s">
        <v>1123</v>
      </c>
      <c r="C942" s="8" t="s">
        <v>2221</v>
      </c>
      <c r="D942" s="8" t="s">
        <v>18</v>
      </c>
      <c r="E942" s="8" t="s">
        <v>43</v>
      </c>
      <c r="F942" s="8" t="s">
        <v>3095</v>
      </c>
      <c r="G942" s="8" t="s">
        <v>2217</v>
      </c>
      <c r="H942" s="8">
        <v>30</v>
      </c>
      <c r="I942" s="8">
        <v>30</v>
      </c>
      <c r="J942" s="8">
        <v>0</v>
      </c>
      <c r="K942" s="9">
        <v>44162</v>
      </c>
      <c r="L942" s="8" t="s">
        <v>2222</v>
      </c>
      <c r="M942" s="8" t="s">
        <v>43</v>
      </c>
      <c r="P942" s="16" t="s">
        <v>845</v>
      </c>
      <c r="Q942" s="2" t="s">
        <v>838</v>
      </c>
      <c r="S942" s="8" t="s">
        <v>1274</v>
      </c>
      <c r="T942" s="9">
        <v>47270</v>
      </c>
      <c r="U942" s="8">
        <v>0</v>
      </c>
      <c r="V942" s="20">
        <v>12120</v>
      </c>
      <c r="W942" s="21" t="s">
        <v>151</v>
      </c>
    </row>
    <row r="943" spans="1:23" ht="36.75">
      <c r="A943" s="8" t="s">
        <v>3157</v>
      </c>
      <c r="B943" s="8" t="s">
        <v>1124</v>
      </c>
      <c r="C943" s="8" t="s">
        <v>2221</v>
      </c>
      <c r="D943" s="8" t="s">
        <v>18</v>
      </c>
      <c r="E943" s="8" t="s">
        <v>2217</v>
      </c>
      <c r="F943" s="8" t="s">
        <v>2217</v>
      </c>
      <c r="G943" s="8" t="s">
        <v>2217</v>
      </c>
      <c r="H943" s="8">
        <v>14</v>
      </c>
      <c r="I943" s="8">
        <v>14</v>
      </c>
      <c r="J943" s="8">
        <v>0</v>
      </c>
      <c r="K943" s="9">
        <v>44851</v>
      </c>
      <c r="L943" s="8" t="s">
        <v>2222</v>
      </c>
      <c r="M943" s="8" t="s">
        <v>43</v>
      </c>
      <c r="P943" s="16" t="s">
        <v>845</v>
      </c>
      <c r="Q943" s="2" t="s">
        <v>838</v>
      </c>
      <c r="S943" s="8" t="s">
        <v>1275</v>
      </c>
      <c r="T943" s="9" t="s">
        <v>2222</v>
      </c>
      <c r="U943" s="8">
        <v>0</v>
      </c>
      <c r="V943" s="20">
        <v>4</v>
      </c>
      <c r="W943" s="21" t="s">
        <v>38</v>
      </c>
    </row>
    <row r="944" spans="1:23" ht="45">
      <c r="A944" s="8" t="s">
        <v>3158</v>
      </c>
      <c r="B944" s="8" t="s">
        <v>1125</v>
      </c>
      <c r="C944" s="8" t="s">
        <v>2221</v>
      </c>
      <c r="D944" s="8" t="s">
        <v>18</v>
      </c>
      <c r="E944" s="8" t="s">
        <v>43</v>
      </c>
      <c r="F944" s="8" t="s">
        <v>3095</v>
      </c>
      <c r="G944" s="8" t="s">
        <v>2217</v>
      </c>
      <c r="H944" s="8">
        <v>965</v>
      </c>
      <c r="I944" s="8">
        <v>965</v>
      </c>
      <c r="J944" s="8">
        <v>0</v>
      </c>
      <c r="K944" s="9">
        <v>44160</v>
      </c>
      <c r="L944" s="8" t="s">
        <v>2222</v>
      </c>
      <c r="M944" s="8" t="s">
        <v>43</v>
      </c>
      <c r="P944" s="16" t="s">
        <v>845</v>
      </c>
      <c r="Q944" s="2" t="s">
        <v>838</v>
      </c>
      <c r="S944" s="8" t="s">
        <v>1276</v>
      </c>
      <c r="T944" s="9">
        <v>46722</v>
      </c>
      <c r="U944" s="8">
        <v>0</v>
      </c>
      <c r="V944" s="20">
        <v>7</v>
      </c>
      <c r="W944" s="21" t="s">
        <v>16</v>
      </c>
    </row>
    <row r="945" spans="1:23" ht="45">
      <c r="A945" s="8" t="s">
        <v>3159</v>
      </c>
      <c r="B945" s="8" t="s">
        <v>1126</v>
      </c>
      <c r="C945" s="8" t="s">
        <v>2221</v>
      </c>
      <c r="D945" s="8" t="s">
        <v>18</v>
      </c>
      <c r="E945" s="8" t="s">
        <v>43</v>
      </c>
      <c r="F945" s="8" t="s">
        <v>2217</v>
      </c>
      <c r="G945" s="8" t="s">
        <v>2217</v>
      </c>
      <c r="H945" s="8">
        <v>125</v>
      </c>
      <c r="I945" s="8">
        <v>125</v>
      </c>
      <c r="J945" s="8">
        <v>0</v>
      </c>
      <c r="K945" s="9">
        <v>44161</v>
      </c>
      <c r="L945" s="8" t="s">
        <v>2222</v>
      </c>
      <c r="M945" s="8" t="s">
        <v>43</v>
      </c>
      <c r="P945" s="16" t="s">
        <v>845</v>
      </c>
      <c r="Q945" s="2" t="s">
        <v>838</v>
      </c>
      <c r="S945" s="8" t="s">
        <v>1276</v>
      </c>
      <c r="T945" s="9">
        <v>47058</v>
      </c>
      <c r="U945" s="8">
        <v>0</v>
      </c>
      <c r="V945" s="20">
        <v>615</v>
      </c>
      <c r="W945" s="21" t="s">
        <v>16</v>
      </c>
    </row>
    <row r="946" spans="1:23" ht="45">
      <c r="A946" s="8" t="s">
        <v>3160</v>
      </c>
      <c r="B946" s="8" t="s">
        <v>1127</v>
      </c>
      <c r="C946" s="8" t="s">
        <v>2221</v>
      </c>
      <c r="D946" s="8" t="s">
        <v>18</v>
      </c>
      <c r="E946" s="8" t="s">
        <v>2217</v>
      </c>
      <c r="F946" s="8" t="s">
        <v>2217</v>
      </c>
      <c r="G946" s="8" t="s">
        <v>2217</v>
      </c>
      <c r="H946" s="8">
        <v>264</v>
      </c>
      <c r="I946" s="8">
        <v>264</v>
      </c>
      <c r="J946" s="8">
        <v>0</v>
      </c>
      <c r="K946" s="8" t="s">
        <v>2222</v>
      </c>
      <c r="L946" s="8" t="s">
        <v>2222</v>
      </c>
      <c r="M946" s="8" t="s">
        <v>43</v>
      </c>
      <c r="P946" s="16" t="s">
        <v>845</v>
      </c>
      <c r="Q946" s="2" t="s">
        <v>838</v>
      </c>
      <c r="S946" s="8" t="s">
        <v>1277</v>
      </c>
      <c r="T946" s="9">
        <v>46266</v>
      </c>
      <c r="U946" s="8">
        <v>0</v>
      </c>
      <c r="V946" s="20">
        <v>2016</v>
      </c>
      <c r="W946" s="21" t="s">
        <v>16</v>
      </c>
    </row>
    <row r="947" spans="1:23" ht="45">
      <c r="A947" s="8" t="s">
        <v>3161</v>
      </c>
      <c r="B947" s="8" t="s">
        <v>1128</v>
      </c>
      <c r="C947" s="8" t="s">
        <v>2221</v>
      </c>
      <c r="D947" s="8" t="s">
        <v>18</v>
      </c>
      <c r="E947" s="8" t="s">
        <v>43</v>
      </c>
      <c r="F947" s="8" t="s">
        <v>3095</v>
      </c>
      <c r="G947" s="8" t="s">
        <v>2217</v>
      </c>
      <c r="H947" s="8">
        <v>20</v>
      </c>
      <c r="I947" s="8">
        <v>20</v>
      </c>
      <c r="J947" s="8">
        <v>0</v>
      </c>
      <c r="K947" s="9">
        <v>44162</v>
      </c>
      <c r="L947" s="8" t="s">
        <v>2222</v>
      </c>
      <c r="M947" s="8" t="s">
        <v>43</v>
      </c>
      <c r="P947" s="16" t="s">
        <v>845</v>
      </c>
      <c r="Q947" s="2" t="s">
        <v>838</v>
      </c>
      <c r="S947" s="8" t="s">
        <v>1280</v>
      </c>
      <c r="T947" s="9">
        <v>46113</v>
      </c>
      <c r="U947" s="8">
        <v>0</v>
      </c>
      <c r="V947" s="20">
        <v>9</v>
      </c>
      <c r="W947" s="21" t="s">
        <v>16</v>
      </c>
    </row>
    <row r="948" spans="1:23" ht="60">
      <c r="A948" s="8" t="s">
        <v>3162</v>
      </c>
      <c r="B948" s="8" t="s">
        <v>1129</v>
      </c>
      <c r="C948" s="8" t="s">
        <v>2221</v>
      </c>
      <c r="D948" s="8" t="s">
        <v>18</v>
      </c>
      <c r="E948" s="8" t="s">
        <v>43</v>
      </c>
      <c r="F948" s="8" t="s">
        <v>3095</v>
      </c>
      <c r="G948" s="8" t="s">
        <v>2217</v>
      </c>
      <c r="H948" s="8">
        <v>314</v>
      </c>
      <c r="I948" s="8">
        <v>314</v>
      </c>
      <c r="J948" s="8">
        <v>0</v>
      </c>
      <c r="K948" s="9">
        <v>44646</v>
      </c>
      <c r="L948" s="8" t="s">
        <v>2222</v>
      </c>
      <c r="M948" s="8" t="s">
        <v>43</v>
      </c>
      <c r="P948" s="16" t="s">
        <v>845</v>
      </c>
      <c r="Q948" s="2" t="s">
        <v>838</v>
      </c>
      <c r="S948" s="8" t="s">
        <v>1282</v>
      </c>
      <c r="T948" s="9">
        <v>45597</v>
      </c>
      <c r="U948" s="8">
        <v>0</v>
      </c>
      <c r="V948" s="20">
        <v>3435</v>
      </c>
      <c r="W948" s="21" t="s">
        <v>16</v>
      </c>
    </row>
    <row r="949" spans="1:23" ht="45">
      <c r="A949" s="8" t="s">
        <v>3163</v>
      </c>
      <c r="B949" s="8" t="s">
        <v>1130</v>
      </c>
      <c r="C949" s="8" t="s">
        <v>2221</v>
      </c>
      <c r="D949" s="8" t="s">
        <v>18</v>
      </c>
      <c r="E949" s="8" t="s">
        <v>43</v>
      </c>
      <c r="F949" s="8" t="s">
        <v>3095</v>
      </c>
      <c r="G949" s="8" t="s">
        <v>2217</v>
      </c>
      <c r="H949" s="8">
        <v>21</v>
      </c>
      <c r="I949" s="8">
        <v>21</v>
      </c>
      <c r="J949" s="8">
        <v>0</v>
      </c>
      <c r="K949" s="9">
        <v>44162</v>
      </c>
      <c r="L949" s="8" t="s">
        <v>2222</v>
      </c>
      <c r="M949" s="8" t="s">
        <v>43</v>
      </c>
      <c r="P949" s="16" t="s">
        <v>845</v>
      </c>
      <c r="Q949" s="2" t="s">
        <v>838</v>
      </c>
      <c r="S949" s="8" t="s">
        <v>1283</v>
      </c>
      <c r="T949" s="9">
        <v>46143</v>
      </c>
      <c r="U949" s="8">
        <v>0</v>
      </c>
      <c r="V949" s="20">
        <v>998</v>
      </c>
      <c r="W949" s="21" t="s">
        <v>16</v>
      </c>
    </row>
    <row r="950" spans="1:23" ht="45">
      <c r="A950" s="8" t="s">
        <v>3164</v>
      </c>
      <c r="B950" s="8" t="s">
        <v>1131</v>
      </c>
      <c r="C950" s="8" t="s">
        <v>2221</v>
      </c>
      <c r="D950" s="8" t="s">
        <v>18</v>
      </c>
      <c r="E950" s="8" t="s">
        <v>43</v>
      </c>
      <c r="F950" s="8" t="s">
        <v>3095</v>
      </c>
      <c r="G950" s="8" t="s">
        <v>2217</v>
      </c>
      <c r="H950" s="8">
        <v>254</v>
      </c>
      <c r="I950" s="8">
        <v>254</v>
      </c>
      <c r="J950" s="8">
        <v>0</v>
      </c>
      <c r="K950" s="9">
        <v>44161</v>
      </c>
      <c r="L950" s="8" t="s">
        <v>2222</v>
      </c>
      <c r="M950" s="8" t="s">
        <v>43</v>
      </c>
      <c r="P950" s="16" t="s">
        <v>845</v>
      </c>
      <c r="Q950" s="2" t="s">
        <v>838</v>
      </c>
      <c r="S950" s="8" t="s">
        <v>1284</v>
      </c>
      <c r="T950" s="9">
        <v>46023</v>
      </c>
      <c r="U950" s="8">
        <v>0</v>
      </c>
      <c r="V950" s="20">
        <v>648</v>
      </c>
      <c r="W950" s="21" t="s">
        <v>16</v>
      </c>
    </row>
    <row r="951" spans="1:23" ht="45">
      <c r="A951" s="8" t="s">
        <v>3165</v>
      </c>
      <c r="B951" s="8" t="s">
        <v>1132</v>
      </c>
      <c r="C951" s="8" t="s">
        <v>2221</v>
      </c>
      <c r="D951" s="8" t="s">
        <v>18</v>
      </c>
      <c r="E951" s="8" t="s">
        <v>43</v>
      </c>
      <c r="F951" s="8" t="s">
        <v>3095</v>
      </c>
      <c r="G951" s="8" t="s">
        <v>2217</v>
      </c>
      <c r="H951" s="8">
        <v>67</v>
      </c>
      <c r="I951" s="8">
        <v>67</v>
      </c>
      <c r="J951" s="8">
        <v>0</v>
      </c>
      <c r="K951" s="9">
        <v>44162</v>
      </c>
      <c r="L951" s="8" t="s">
        <v>2222</v>
      </c>
      <c r="M951" s="8" t="s">
        <v>43</v>
      </c>
      <c r="P951" s="16" t="s">
        <v>845</v>
      </c>
      <c r="Q951" s="2" t="s">
        <v>838</v>
      </c>
      <c r="S951" s="8" t="s">
        <v>1284</v>
      </c>
      <c r="T951" s="9">
        <v>46054</v>
      </c>
      <c r="U951" s="8">
        <v>0</v>
      </c>
      <c r="V951" s="20">
        <v>2304</v>
      </c>
      <c r="W951" s="21" t="s">
        <v>16</v>
      </c>
    </row>
    <row r="952" spans="1:23" ht="45">
      <c r="A952" s="8" t="s">
        <v>3166</v>
      </c>
      <c r="B952" s="8" t="s">
        <v>1133</v>
      </c>
      <c r="C952" s="8" t="s">
        <v>2221</v>
      </c>
      <c r="D952" s="8" t="s">
        <v>18</v>
      </c>
      <c r="E952" s="8" t="s">
        <v>2217</v>
      </c>
      <c r="F952" s="8" t="s">
        <v>2217</v>
      </c>
      <c r="G952" s="8" t="s">
        <v>2217</v>
      </c>
      <c r="H952" s="8">
        <v>4638</v>
      </c>
      <c r="I952" s="8">
        <v>4638</v>
      </c>
      <c r="J952" s="8">
        <v>0</v>
      </c>
      <c r="K952" s="9">
        <v>45346</v>
      </c>
      <c r="L952" s="8" t="s">
        <v>2222</v>
      </c>
      <c r="M952" s="8" t="s">
        <v>43</v>
      </c>
      <c r="P952" s="16" t="s">
        <v>845</v>
      </c>
      <c r="Q952" s="2" t="s">
        <v>838</v>
      </c>
      <c r="S952" s="8" t="s">
        <v>1284</v>
      </c>
      <c r="T952" s="9">
        <v>46082</v>
      </c>
      <c r="U952" s="8">
        <v>0</v>
      </c>
      <c r="V952" s="20">
        <v>3864</v>
      </c>
      <c r="W952" s="21" t="s">
        <v>16</v>
      </c>
    </row>
    <row r="953" spans="1:23" ht="45">
      <c r="A953" s="8" t="s">
        <v>3167</v>
      </c>
      <c r="B953" s="8" t="s">
        <v>1134</v>
      </c>
      <c r="C953" s="8" t="s">
        <v>2221</v>
      </c>
      <c r="D953" s="8" t="s">
        <v>18</v>
      </c>
      <c r="E953" s="8" t="s">
        <v>2217</v>
      </c>
      <c r="F953" s="8" t="s">
        <v>2217</v>
      </c>
      <c r="G953" s="8" t="s">
        <v>2217</v>
      </c>
      <c r="H953" s="8">
        <v>6700</v>
      </c>
      <c r="I953" s="8">
        <v>6700</v>
      </c>
      <c r="J953" s="8">
        <v>0</v>
      </c>
      <c r="K953" s="9">
        <v>45374</v>
      </c>
      <c r="L953" s="8" t="s">
        <v>2222</v>
      </c>
      <c r="M953" s="8" t="s">
        <v>43</v>
      </c>
      <c r="P953" s="16" t="s">
        <v>845</v>
      </c>
      <c r="Q953" s="2" t="s">
        <v>838</v>
      </c>
      <c r="S953" s="8" t="s">
        <v>1285</v>
      </c>
      <c r="T953" s="9">
        <v>46113</v>
      </c>
      <c r="U953" s="8">
        <v>0</v>
      </c>
      <c r="V953" s="20">
        <v>1199</v>
      </c>
      <c r="W953" s="21" t="s">
        <v>16</v>
      </c>
    </row>
    <row r="954" spans="1:23" ht="45">
      <c r="A954" s="8" t="s">
        <v>3168</v>
      </c>
      <c r="B954" s="8" t="s">
        <v>1135</v>
      </c>
      <c r="C954" s="8" t="s">
        <v>2221</v>
      </c>
      <c r="D954" s="8" t="s">
        <v>18</v>
      </c>
      <c r="E954" s="8" t="s">
        <v>43</v>
      </c>
      <c r="F954" s="8" t="s">
        <v>3095</v>
      </c>
      <c r="G954" s="8" t="s">
        <v>2217</v>
      </c>
      <c r="H954" s="8">
        <v>1090</v>
      </c>
      <c r="I954" s="8">
        <v>1090</v>
      </c>
      <c r="J954" s="8">
        <v>0</v>
      </c>
      <c r="K954" s="9">
        <v>45103</v>
      </c>
      <c r="L954" s="8" t="s">
        <v>2222</v>
      </c>
      <c r="M954" s="8" t="s">
        <v>43</v>
      </c>
      <c r="P954" s="16" t="s">
        <v>845</v>
      </c>
      <c r="Q954" s="2" t="s">
        <v>838</v>
      </c>
      <c r="S954" s="8" t="s">
        <v>1286</v>
      </c>
      <c r="T954" s="9">
        <v>46113</v>
      </c>
      <c r="U954" s="8">
        <v>0</v>
      </c>
      <c r="V954" s="20">
        <v>4330</v>
      </c>
      <c r="W954" s="21" t="s">
        <v>16</v>
      </c>
    </row>
    <row r="955" spans="1:23" ht="45">
      <c r="A955" s="8" t="s">
        <v>3169</v>
      </c>
      <c r="B955" s="8" t="s">
        <v>1136</v>
      </c>
      <c r="C955" s="8" t="s">
        <v>2221</v>
      </c>
      <c r="D955" s="8" t="s">
        <v>18</v>
      </c>
      <c r="E955" s="8" t="s">
        <v>43</v>
      </c>
      <c r="F955" s="8" t="s">
        <v>2217</v>
      </c>
      <c r="G955" s="8" t="s">
        <v>2217</v>
      </c>
      <c r="H955" s="8">
        <v>26</v>
      </c>
      <c r="I955" s="8">
        <v>26</v>
      </c>
      <c r="J955" s="8">
        <v>0</v>
      </c>
      <c r="K955" s="9">
        <v>44161</v>
      </c>
      <c r="L955" s="8" t="s">
        <v>2222</v>
      </c>
      <c r="M955" s="8" t="s">
        <v>43</v>
      </c>
      <c r="P955" s="16" t="s">
        <v>845</v>
      </c>
      <c r="Q955" s="2" t="s">
        <v>838</v>
      </c>
      <c r="S955" s="8" t="s">
        <v>1286</v>
      </c>
      <c r="T955" s="9">
        <v>46143</v>
      </c>
      <c r="U955" s="8">
        <v>0</v>
      </c>
      <c r="V955" s="20">
        <v>5400</v>
      </c>
      <c r="W955" s="21" t="s">
        <v>16</v>
      </c>
    </row>
    <row r="956" spans="1:23" ht="45">
      <c r="A956" s="8" t="s">
        <v>3170</v>
      </c>
      <c r="B956" s="8" t="s">
        <v>1137</v>
      </c>
      <c r="C956" s="8" t="s">
        <v>2221</v>
      </c>
      <c r="D956" s="8" t="s">
        <v>18</v>
      </c>
      <c r="E956" s="8" t="s">
        <v>2217</v>
      </c>
      <c r="F956" s="8" t="s">
        <v>2217</v>
      </c>
      <c r="G956" s="8" t="s">
        <v>2217</v>
      </c>
      <c r="H956" s="8">
        <v>488</v>
      </c>
      <c r="I956" s="8">
        <v>488</v>
      </c>
      <c r="J956" s="8">
        <v>0</v>
      </c>
      <c r="K956" s="9">
        <v>45310</v>
      </c>
      <c r="L956" s="8" t="s">
        <v>2222</v>
      </c>
      <c r="M956" s="8" t="s">
        <v>43</v>
      </c>
      <c r="P956" s="16" t="s">
        <v>845</v>
      </c>
      <c r="Q956" s="2" t="s">
        <v>838</v>
      </c>
      <c r="S956" s="8" t="s">
        <v>1287</v>
      </c>
      <c r="T956" s="9">
        <v>45597</v>
      </c>
      <c r="U956" s="8">
        <v>0</v>
      </c>
      <c r="V956" s="20">
        <v>11900</v>
      </c>
      <c r="W956" s="21" t="s">
        <v>16</v>
      </c>
    </row>
    <row r="957" spans="1:23" ht="45">
      <c r="A957" s="8" t="s">
        <v>3171</v>
      </c>
      <c r="B957" s="8" t="s">
        <v>1138</v>
      </c>
      <c r="C957" s="8" t="s">
        <v>2221</v>
      </c>
      <c r="D957" s="8" t="s">
        <v>18</v>
      </c>
      <c r="E957" s="8" t="s">
        <v>43</v>
      </c>
      <c r="F957" s="8" t="s">
        <v>3095</v>
      </c>
      <c r="G957" s="8" t="s">
        <v>2217</v>
      </c>
      <c r="H957" s="8">
        <v>33</v>
      </c>
      <c r="I957" s="8">
        <v>33</v>
      </c>
      <c r="J957" s="8">
        <v>0</v>
      </c>
      <c r="K957" s="9">
        <v>44161</v>
      </c>
      <c r="L957" s="8" t="s">
        <v>2222</v>
      </c>
      <c r="M957" s="8" t="s">
        <v>43</v>
      </c>
      <c r="P957" s="16" t="s">
        <v>845</v>
      </c>
      <c r="Q957" s="2" t="s">
        <v>838</v>
      </c>
      <c r="S957" s="8" t="s">
        <v>1288</v>
      </c>
      <c r="T957" s="9">
        <v>46784</v>
      </c>
      <c r="U957" s="8">
        <v>0</v>
      </c>
      <c r="V957" s="20">
        <v>576</v>
      </c>
      <c r="W957" s="21" t="s">
        <v>16</v>
      </c>
    </row>
    <row r="958" spans="1:23" ht="45">
      <c r="A958" s="8" t="s">
        <v>3172</v>
      </c>
      <c r="B958" s="8" t="s">
        <v>1139</v>
      </c>
      <c r="C958" s="8" t="s">
        <v>2221</v>
      </c>
      <c r="D958" s="8" t="s">
        <v>18</v>
      </c>
      <c r="E958" s="8" t="s">
        <v>43</v>
      </c>
      <c r="F958" s="8" t="s">
        <v>3095</v>
      </c>
      <c r="G958" s="8" t="s">
        <v>2217</v>
      </c>
      <c r="H958" s="8">
        <v>52</v>
      </c>
      <c r="I958" s="8">
        <v>52</v>
      </c>
      <c r="J958" s="8">
        <v>0</v>
      </c>
      <c r="K958" s="9">
        <v>44162</v>
      </c>
      <c r="L958" s="8" t="s">
        <v>2222</v>
      </c>
      <c r="M958" s="8" t="s">
        <v>43</v>
      </c>
      <c r="P958" s="16" t="s">
        <v>845</v>
      </c>
      <c r="Q958" s="2" t="s">
        <v>838</v>
      </c>
      <c r="S958" s="8" t="s">
        <v>1288</v>
      </c>
      <c r="T958" s="9">
        <v>46813</v>
      </c>
      <c r="U958" s="8">
        <v>0</v>
      </c>
      <c r="V958" s="20">
        <v>732</v>
      </c>
      <c r="W958" s="21" t="s">
        <v>16</v>
      </c>
    </row>
    <row r="959" spans="1:23" ht="45">
      <c r="A959" s="8" t="s">
        <v>3173</v>
      </c>
      <c r="B959" s="8" t="s">
        <v>1140</v>
      </c>
      <c r="C959" s="8" t="s">
        <v>2221</v>
      </c>
      <c r="D959" s="8" t="s">
        <v>18</v>
      </c>
      <c r="E959" s="8" t="s">
        <v>43</v>
      </c>
      <c r="F959" s="8" t="s">
        <v>3095</v>
      </c>
      <c r="G959" s="8" t="s">
        <v>2217</v>
      </c>
      <c r="H959" s="8">
        <v>85</v>
      </c>
      <c r="I959" s="8">
        <v>85</v>
      </c>
      <c r="J959" s="8">
        <v>0</v>
      </c>
      <c r="K959" s="9">
        <v>44161</v>
      </c>
      <c r="L959" s="8" t="s">
        <v>2222</v>
      </c>
      <c r="M959" s="8" t="s">
        <v>43</v>
      </c>
      <c r="P959" s="16" t="s">
        <v>845</v>
      </c>
      <c r="Q959" s="2" t="s">
        <v>838</v>
      </c>
      <c r="S959" s="8" t="s">
        <v>1291</v>
      </c>
      <c r="T959" s="9">
        <v>46905</v>
      </c>
      <c r="U959" s="8">
        <v>0</v>
      </c>
      <c r="V959" s="20">
        <v>83</v>
      </c>
      <c r="W959" s="21" t="s">
        <v>16</v>
      </c>
    </row>
    <row r="960" spans="1:23" ht="45">
      <c r="A960" s="8" t="s">
        <v>3174</v>
      </c>
      <c r="B960" s="8" t="s">
        <v>1141</v>
      </c>
      <c r="C960" s="8" t="s">
        <v>2221</v>
      </c>
      <c r="D960" s="8" t="s">
        <v>18</v>
      </c>
      <c r="E960" s="8" t="s">
        <v>43</v>
      </c>
      <c r="F960" s="8" t="s">
        <v>3095</v>
      </c>
      <c r="G960" s="8" t="s">
        <v>2217</v>
      </c>
      <c r="H960" s="8">
        <v>30</v>
      </c>
      <c r="I960" s="8">
        <v>30</v>
      </c>
      <c r="J960" s="8">
        <v>0</v>
      </c>
      <c r="K960" s="9">
        <v>44136</v>
      </c>
      <c r="L960" s="8" t="s">
        <v>2222</v>
      </c>
      <c r="M960" s="8" t="s">
        <v>43</v>
      </c>
      <c r="P960" s="16" t="s">
        <v>845</v>
      </c>
      <c r="Q960" s="2" t="s">
        <v>838</v>
      </c>
      <c r="S960" s="8" t="s">
        <v>1292</v>
      </c>
      <c r="T960" s="9">
        <v>46023</v>
      </c>
      <c r="U960" s="8">
        <v>0</v>
      </c>
      <c r="V960" s="20">
        <v>23685</v>
      </c>
      <c r="W960" s="21" t="s">
        <v>16</v>
      </c>
    </row>
    <row r="961" spans="1:23" ht="45">
      <c r="A961" s="8" t="s">
        <v>3175</v>
      </c>
      <c r="B961" s="8" t="s">
        <v>1142</v>
      </c>
      <c r="C961" s="8" t="s">
        <v>2221</v>
      </c>
      <c r="D961" s="8" t="s">
        <v>18</v>
      </c>
      <c r="E961" s="8" t="s">
        <v>43</v>
      </c>
      <c r="F961" s="8" t="s">
        <v>3095</v>
      </c>
      <c r="G961" s="8" t="s">
        <v>2217</v>
      </c>
      <c r="H961" s="8">
        <v>3045</v>
      </c>
      <c r="I961" s="8">
        <v>3045</v>
      </c>
      <c r="J961" s="8">
        <v>0</v>
      </c>
      <c r="K961" s="9">
        <v>45152</v>
      </c>
      <c r="L961" s="8" t="s">
        <v>2222</v>
      </c>
      <c r="M961" s="8" t="s">
        <v>43</v>
      </c>
      <c r="P961" s="16" t="s">
        <v>845</v>
      </c>
      <c r="Q961" s="2" t="s">
        <v>838</v>
      </c>
      <c r="S961" s="8" t="s">
        <v>1296</v>
      </c>
      <c r="T961" s="9">
        <v>45992</v>
      </c>
      <c r="U961" s="8">
        <v>0</v>
      </c>
      <c r="V961" s="20">
        <v>36</v>
      </c>
      <c r="W961" s="21" t="s">
        <v>16</v>
      </c>
    </row>
    <row r="962" spans="1:23" ht="45">
      <c r="A962" s="8" t="s">
        <v>3176</v>
      </c>
      <c r="B962" s="8" t="s">
        <v>1143</v>
      </c>
      <c r="C962" s="8" t="s">
        <v>2221</v>
      </c>
      <c r="D962" s="8" t="s">
        <v>18</v>
      </c>
      <c r="E962" s="8" t="s">
        <v>2217</v>
      </c>
      <c r="F962" s="8" t="s">
        <v>2217</v>
      </c>
      <c r="G962" s="8" t="s">
        <v>2217</v>
      </c>
      <c r="H962" s="8">
        <v>8</v>
      </c>
      <c r="I962" s="8">
        <v>8</v>
      </c>
      <c r="J962" s="8">
        <v>0</v>
      </c>
      <c r="K962" s="9">
        <v>44557</v>
      </c>
      <c r="L962" s="8" t="s">
        <v>2222</v>
      </c>
      <c r="M962" s="8" t="s">
        <v>43</v>
      </c>
      <c r="P962" s="16" t="s">
        <v>845</v>
      </c>
      <c r="Q962" s="2" t="s">
        <v>838</v>
      </c>
      <c r="S962" s="8" t="s">
        <v>1296</v>
      </c>
      <c r="T962" s="9">
        <v>46023</v>
      </c>
      <c r="U962" s="8">
        <v>0</v>
      </c>
      <c r="V962" s="20">
        <v>20300</v>
      </c>
      <c r="W962" s="21" t="s">
        <v>16</v>
      </c>
    </row>
    <row r="963" spans="1:23" ht="45">
      <c r="A963" s="8" t="s">
        <v>3177</v>
      </c>
      <c r="B963" s="8" t="s">
        <v>1144</v>
      </c>
      <c r="C963" s="8" t="s">
        <v>2221</v>
      </c>
      <c r="D963" s="8" t="s">
        <v>18</v>
      </c>
      <c r="E963" s="8" t="s">
        <v>43</v>
      </c>
      <c r="F963" s="8" t="s">
        <v>3095</v>
      </c>
      <c r="G963" s="8" t="s">
        <v>2217</v>
      </c>
      <c r="H963" s="8">
        <v>7583</v>
      </c>
      <c r="I963" s="8">
        <v>7583</v>
      </c>
      <c r="J963" s="8">
        <v>0</v>
      </c>
      <c r="K963" s="9">
        <v>44161</v>
      </c>
      <c r="L963" s="8" t="s">
        <v>2222</v>
      </c>
      <c r="M963" s="8" t="s">
        <v>43</v>
      </c>
      <c r="P963" s="16" t="s">
        <v>845</v>
      </c>
      <c r="Q963" s="2" t="s">
        <v>838</v>
      </c>
      <c r="S963" s="8" t="s">
        <v>1299</v>
      </c>
      <c r="T963" s="9">
        <v>45992</v>
      </c>
      <c r="U963" s="8">
        <v>0</v>
      </c>
      <c r="V963" s="20">
        <v>4386</v>
      </c>
      <c r="W963" s="21" t="s">
        <v>16</v>
      </c>
    </row>
    <row r="964" spans="1:23" ht="45">
      <c r="A964" s="8" t="s">
        <v>3178</v>
      </c>
      <c r="B964" s="8" t="s">
        <v>1145</v>
      </c>
      <c r="C964" s="8" t="s">
        <v>2221</v>
      </c>
      <c r="D964" s="8" t="s">
        <v>18</v>
      </c>
      <c r="E964" s="8" t="s">
        <v>2217</v>
      </c>
      <c r="F964" s="8" t="s">
        <v>2217</v>
      </c>
      <c r="G964" s="8" t="s">
        <v>2217</v>
      </c>
      <c r="H964" s="8">
        <v>100</v>
      </c>
      <c r="I964" s="8">
        <v>100</v>
      </c>
      <c r="J964" s="8">
        <v>0</v>
      </c>
      <c r="K964" s="9">
        <v>45302</v>
      </c>
      <c r="L964" s="8" t="s">
        <v>2222</v>
      </c>
      <c r="M964" s="8" t="s">
        <v>43</v>
      </c>
      <c r="P964" s="16" t="s">
        <v>845</v>
      </c>
      <c r="Q964" s="2" t="s">
        <v>838</v>
      </c>
      <c r="S964" s="8" t="s">
        <v>1299</v>
      </c>
      <c r="T964" s="9">
        <v>46023</v>
      </c>
      <c r="U964" s="8">
        <v>0</v>
      </c>
      <c r="V964" s="20">
        <v>8000</v>
      </c>
      <c r="W964" s="21" t="s">
        <v>16</v>
      </c>
    </row>
    <row r="965" spans="1:23" ht="45">
      <c r="A965" s="8" t="s">
        <v>3179</v>
      </c>
      <c r="B965" s="8" t="s">
        <v>1146</v>
      </c>
      <c r="C965" s="8" t="s">
        <v>2221</v>
      </c>
      <c r="D965" s="8" t="s">
        <v>18</v>
      </c>
      <c r="E965" s="8" t="s">
        <v>43</v>
      </c>
      <c r="F965" s="8" t="s">
        <v>2217</v>
      </c>
      <c r="G965" s="8" t="s">
        <v>2217</v>
      </c>
      <c r="H965" s="8">
        <v>47</v>
      </c>
      <c r="I965" s="8">
        <v>47</v>
      </c>
      <c r="J965" s="8">
        <v>0</v>
      </c>
      <c r="K965" s="9">
        <v>44161</v>
      </c>
      <c r="L965" s="8" t="s">
        <v>2222</v>
      </c>
      <c r="M965" s="8" t="s">
        <v>43</v>
      </c>
      <c r="P965" s="16" t="s">
        <v>845</v>
      </c>
      <c r="Q965" s="2" t="s">
        <v>838</v>
      </c>
      <c r="S965" s="8" t="s">
        <v>1304</v>
      </c>
      <c r="T965" s="9">
        <v>46204</v>
      </c>
      <c r="U965" s="8">
        <v>0</v>
      </c>
      <c r="V965" s="20">
        <v>100</v>
      </c>
      <c r="W965" s="21" t="s">
        <v>16</v>
      </c>
    </row>
    <row r="966" spans="1:23" ht="45">
      <c r="A966" s="8" t="s">
        <v>3180</v>
      </c>
      <c r="B966" s="8" t="s">
        <v>1147</v>
      </c>
      <c r="C966" s="8" t="s">
        <v>2221</v>
      </c>
      <c r="D966" s="8" t="s">
        <v>18</v>
      </c>
      <c r="E966" s="8" t="s">
        <v>43</v>
      </c>
      <c r="F966" s="8" t="s">
        <v>3095</v>
      </c>
      <c r="G966" s="8" t="s">
        <v>2217</v>
      </c>
      <c r="H966" s="8">
        <v>67</v>
      </c>
      <c r="I966" s="8">
        <v>67</v>
      </c>
      <c r="J966" s="8">
        <v>0</v>
      </c>
      <c r="K966" s="9">
        <v>44162</v>
      </c>
      <c r="L966" s="8" t="s">
        <v>2222</v>
      </c>
      <c r="M966" s="8" t="s">
        <v>43</v>
      </c>
      <c r="P966" s="16" t="s">
        <v>845</v>
      </c>
      <c r="Q966" s="2" t="s">
        <v>838</v>
      </c>
      <c r="S966" s="8" t="s">
        <v>1304</v>
      </c>
      <c r="T966" s="9">
        <v>45901</v>
      </c>
      <c r="U966" s="8">
        <v>0</v>
      </c>
      <c r="V966" s="20">
        <v>2440</v>
      </c>
      <c r="W966" s="21" t="s">
        <v>16</v>
      </c>
    </row>
    <row r="967" spans="1:23" ht="45">
      <c r="A967" s="8" t="s">
        <v>3181</v>
      </c>
      <c r="B967" s="8" t="s">
        <v>1148</v>
      </c>
      <c r="C967" s="8" t="s">
        <v>2221</v>
      </c>
      <c r="D967" s="8" t="s">
        <v>18</v>
      </c>
      <c r="E967" s="8" t="s">
        <v>43</v>
      </c>
      <c r="F967" s="8" t="s">
        <v>2217</v>
      </c>
      <c r="G967" s="8" t="s">
        <v>2217</v>
      </c>
      <c r="H967" s="8">
        <v>74</v>
      </c>
      <c r="I967" s="8">
        <v>74</v>
      </c>
      <c r="J967" s="8">
        <v>0</v>
      </c>
      <c r="K967" s="9">
        <v>44161</v>
      </c>
      <c r="L967" s="8" t="s">
        <v>2222</v>
      </c>
      <c r="M967" s="8" t="s">
        <v>43</v>
      </c>
      <c r="P967" s="16" t="s">
        <v>845</v>
      </c>
      <c r="Q967" s="2" t="s">
        <v>838</v>
      </c>
      <c r="S967" s="8" t="s">
        <v>1307</v>
      </c>
      <c r="T967" s="9">
        <v>47119</v>
      </c>
      <c r="U967" s="8">
        <v>0</v>
      </c>
      <c r="V967" s="20">
        <v>122</v>
      </c>
      <c r="W967" s="21" t="s">
        <v>16</v>
      </c>
    </row>
    <row r="968" spans="1:23" ht="45">
      <c r="A968" s="8" t="s">
        <v>3182</v>
      </c>
      <c r="B968" s="8" t="s">
        <v>1149</v>
      </c>
      <c r="C968" s="8" t="s">
        <v>2197</v>
      </c>
      <c r="D968" s="8" t="s">
        <v>18</v>
      </c>
      <c r="E968" s="8" t="s">
        <v>16</v>
      </c>
      <c r="F968" s="8" t="s">
        <v>2198</v>
      </c>
      <c r="G968" s="8" t="s">
        <v>3183</v>
      </c>
      <c r="H968" s="8">
        <v>940</v>
      </c>
      <c r="I968" s="8">
        <v>940</v>
      </c>
      <c r="J968" s="8" t="s">
        <v>1150</v>
      </c>
      <c r="K968" s="9">
        <v>45269</v>
      </c>
      <c r="L968" s="9">
        <v>45870</v>
      </c>
      <c r="M968" s="8" t="s">
        <v>16</v>
      </c>
      <c r="P968" s="16" t="s">
        <v>845</v>
      </c>
      <c r="Q968" s="2" t="s">
        <v>838</v>
      </c>
      <c r="S968" s="8" t="s">
        <v>1308</v>
      </c>
      <c r="T968" s="9">
        <v>47270</v>
      </c>
      <c r="U968" s="8">
        <v>0</v>
      </c>
      <c r="V968" s="20">
        <v>9559</v>
      </c>
      <c r="W968" s="21" t="s">
        <v>16</v>
      </c>
    </row>
    <row r="969" spans="1:23" ht="45">
      <c r="A969" s="8" t="s">
        <v>3184</v>
      </c>
      <c r="B969" s="8" t="s">
        <v>1151</v>
      </c>
      <c r="C969" s="8" t="s">
        <v>2221</v>
      </c>
      <c r="D969" s="8" t="s">
        <v>18</v>
      </c>
      <c r="E969" s="8" t="s">
        <v>101</v>
      </c>
      <c r="F969" s="8" t="s">
        <v>2498</v>
      </c>
      <c r="G969" s="8" t="s">
        <v>1151</v>
      </c>
      <c r="H969" s="8">
        <v>5</v>
      </c>
      <c r="I969" s="8">
        <v>5</v>
      </c>
      <c r="J969" s="8">
        <v>0</v>
      </c>
      <c r="K969" s="9">
        <v>44146</v>
      </c>
      <c r="L969" s="8" t="s">
        <v>2222</v>
      </c>
      <c r="M969" s="8" t="s">
        <v>41</v>
      </c>
      <c r="P969" s="16" t="s">
        <v>845</v>
      </c>
      <c r="Q969" s="2" t="s">
        <v>838</v>
      </c>
      <c r="S969" s="8" t="s">
        <v>1309</v>
      </c>
      <c r="T969" s="9">
        <v>47119</v>
      </c>
      <c r="U969" s="8">
        <v>0</v>
      </c>
      <c r="V969" s="20">
        <v>9</v>
      </c>
      <c r="W969" s="21" t="s">
        <v>16</v>
      </c>
    </row>
    <row r="970" spans="1:23" ht="45">
      <c r="A970" s="8" t="s">
        <v>3185</v>
      </c>
      <c r="B970" s="8" t="s">
        <v>1152</v>
      </c>
      <c r="C970" s="8" t="s">
        <v>2221</v>
      </c>
      <c r="D970" s="8" t="s">
        <v>18</v>
      </c>
      <c r="E970" s="8" t="s">
        <v>101</v>
      </c>
      <c r="F970" s="8" t="s">
        <v>101</v>
      </c>
      <c r="G970" s="8" t="s">
        <v>3186</v>
      </c>
      <c r="H970" s="8">
        <v>40</v>
      </c>
      <c r="I970" s="8">
        <v>40</v>
      </c>
      <c r="J970" s="8">
        <v>0</v>
      </c>
      <c r="K970" s="8" t="s">
        <v>2222</v>
      </c>
      <c r="L970" s="8" t="s">
        <v>2222</v>
      </c>
      <c r="M970" s="8" t="s">
        <v>41</v>
      </c>
      <c r="P970" s="16" t="s">
        <v>845</v>
      </c>
      <c r="Q970" s="2" t="s">
        <v>838</v>
      </c>
      <c r="S970" s="8" t="s">
        <v>1309</v>
      </c>
      <c r="T970" s="9">
        <v>47239</v>
      </c>
      <c r="U970" s="8">
        <v>0</v>
      </c>
      <c r="V970" s="20">
        <v>400</v>
      </c>
      <c r="W970" s="21" t="s">
        <v>16</v>
      </c>
    </row>
    <row r="971" spans="1:23" ht="75">
      <c r="A971" s="8" t="s">
        <v>3187</v>
      </c>
      <c r="B971" s="8" t="s">
        <v>1153</v>
      </c>
      <c r="C971" s="8" t="s">
        <v>2197</v>
      </c>
      <c r="D971" s="8" t="s">
        <v>18</v>
      </c>
      <c r="E971" s="8" t="s">
        <v>16</v>
      </c>
      <c r="F971" s="8" t="s">
        <v>2198</v>
      </c>
      <c r="G971" s="8" t="s">
        <v>3188</v>
      </c>
      <c r="H971" s="8">
        <v>479</v>
      </c>
      <c r="I971" s="8">
        <v>479</v>
      </c>
      <c r="J971" s="8" t="s">
        <v>1154</v>
      </c>
      <c r="K971" s="9">
        <v>45147</v>
      </c>
      <c r="L971" s="9">
        <v>46966</v>
      </c>
      <c r="M971" s="8" t="s">
        <v>16</v>
      </c>
      <c r="P971" s="16" t="s">
        <v>845</v>
      </c>
      <c r="Q971" s="2" t="s">
        <v>838</v>
      </c>
      <c r="S971" s="8" t="s">
        <v>1310</v>
      </c>
      <c r="T971" s="9">
        <v>47178</v>
      </c>
      <c r="U971" s="8">
        <v>0</v>
      </c>
      <c r="V971" s="20">
        <v>200</v>
      </c>
      <c r="W971" s="21" t="s">
        <v>16</v>
      </c>
    </row>
    <row r="972" spans="1:23" ht="45">
      <c r="A972" s="8" t="s">
        <v>3189</v>
      </c>
      <c r="B972" s="8" t="s">
        <v>1155</v>
      </c>
      <c r="C972" s="8" t="s">
        <v>2197</v>
      </c>
      <c r="D972" s="8" t="s">
        <v>18</v>
      </c>
      <c r="E972" s="8" t="s">
        <v>16</v>
      </c>
      <c r="F972" s="8" t="s">
        <v>2198</v>
      </c>
      <c r="G972" s="8" t="s">
        <v>3188</v>
      </c>
      <c r="H972" s="8">
        <v>1334</v>
      </c>
      <c r="I972" s="8">
        <v>1334</v>
      </c>
      <c r="J972" s="8">
        <v>220723</v>
      </c>
      <c r="K972" s="9">
        <v>45141</v>
      </c>
      <c r="L972" s="9">
        <v>46935</v>
      </c>
      <c r="M972" s="8" t="s">
        <v>16</v>
      </c>
      <c r="P972" s="16" t="s">
        <v>845</v>
      </c>
      <c r="Q972" s="2" t="s">
        <v>838</v>
      </c>
      <c r="S972" s="8" t="s">
        <v>1310</v>
      </c>
      <c r="T972" s="9">
        <v>46997</v>
      </c>
      <c r="U972" s="8">
        <v>0</v>
      </c>
      <c r="V972" s="20">
        <v>370</v>
      </c>
      <c r="W972" s="21" t="s">
        <v>16</v>
      </c>
    </row>
    <row r="973" spans="1:23" ht="45">
      <c r="A973" s="8" t="s">
        <v>3190</v>
      </c>
      <c r="B973" s="8" t="s">
        <v>1156</v>
      </c>
      <c r="C973" s="8" t="s">
        <v>2197</v>
      </c>
      <c r="D973" s="8" t="s">
        <v>18</v>
      </c>
      <c r="E973" s="8" t="s">
        <v>16</v>
      </c>
      <c r="F973" s="8" t="s">
        <v>2198</v>
      </c>
      <c r="G973" s="8" t="s">
        <v>3188</v>
      </c>
      <c r="H973" s="8">
        <v>205</v>
      </c>
      <c r="I973" s="8">
        <v>205</v>
      </c>
      <c r="J973" s="8" t="s">
        <v>1157</v>
      </c>
      <c r="K973" s="9">
        <v>45139</v>
      </c>
      <c r="L973" s="9">
        <v>46935</v>
      </c>
      <c r="M973" s="8" t="s">
        <v>16</v>
      </c>
      <c r="P973" s="16" t="s">
        <v>845</v>
      </c>
      <c r="Q973" s="2" t="s">
        <v>838</v>
      </c>
      <c r="S973" s="8" t="s">
        <v>1310</v>
      </c>
      <c r="T973" s="9">
        <v>46966</v>
      </c>
      <c r="U973" s="8">
        <v>0</v>
      </c>
      <c r="V973" s="20">
        <v>1840</v>
      </c>
      <c r="W973" s="21" t="s">
        <v>16</v>
      </c>
    </row>
    <row r="974" spans="1:23" ht="75">
      <c r="A974" s="8" t="s">
        <v>3191</v>
      </c>
      <c r="B974" s="8" t="s">
        <v>1158</v>
      </c>
      <c r="C974" s="8" t="s">
        <v>2221</v>
      </c>
      <c r="D974" s="8" t="s">
        <v>18</v>
      </c>
      <c r="E974" s="8" t="s">
        <v>2217</v>
      </c>
      <c r="F974" s="8" t="s">
        <v>2217</v>
      </c>
      <c r="G974" s="8" t="s">
        <v>2217</v>
      </c>
      <c r="H974" s="8">
        <v>22042</v>
      </c>
      <c r="I974" s="8">
        <v>22042</v>
      </c>
      <c r="J974" s="8">
        <v>0</v>
      </c>
      <c r="K974" s="8" t="s">
        <v>2222</v>
      </c>
      <c r="L974" s="8" t="s">
        <v>2222</v>
      </c>
      <c r="M974" s="8" t="s">
        <v>43</v>
      </c>
      <c r="P974" s="16" t="s">
        <v>845</v>
      </c>
      <c r="Q974" s="2" t="s">
        <v>838</v>
      </c>
      <c r="S974" s="8" t="s">
        <v>1313</v>
      </c>
      <c r="T974" s="9">
        <v>45992</v>
      </c>
      <c r="U974" s="8">
        <v>0</v>
      </c>
      <c r="V974" s="20">
        <v>672</v>
      </c>
      <c r="W974" s="21" t="s">
        <v>16</v>
      </c>
    </row>
    <row r="975" spans="1:23" ht="60">
      <c r="A975" s="8" t="s">
        <v>3192</v>
      </c>
      <c r="B975" s="8" t="s">
        <v>1159</v>
      </c>
      <c r="C975" s="8" t="s">
        <v>2221</v>
      </c>
      <c r="D975" s="8" t="s">
        <v>18</v>
      </c>
      <c r="E975" s="8" t="s">
        <v>101</v>
      </c>
      <c r="F975" s="8" t="s">
        <v>2498</v>
      </c>
      <c r="G975" s="8" t="s">
        <v>1159</v>
      </c>
      <c r="H975" s="8">
        <v>110</v>
      </c>
      <c r="I975" s="8">
        <v>110</v>
      </c>
      <c r="J975" s="8">
        <v>0</v>
      </c>
      <c r="K975" s="8" t="s">
        <v>2222</v>
      </c>
      <c r="L975" s="8" t="s">
        <v>2222</v>
      </c>
      <c r="M975" s="8" t="s">
        <v>41</v>
      </c>
      <c r="P975" s="16" t="s">
        <v>845</v>
      </c>
      <c r="Q975" s="2" t="s">
        <v>838</v>
      </c>
      <c r="S975" s="8" t="s">
        <v>1315</v>
      </c>
      <c r="T975" s="9">
        <v>47150</v>
      </c>
      <c r="U975" s="8">
        <v>0</v>
      </c>
      <c r="V975" s="20">
        <v>1597</v>
      </c>
      <c r="W975" s="21" t="s">
        <v>16</v>
      </c>
    </row>
    <row r="976" spans="1:23" ht="60">
      <c r="A976" s="8" t="s">
        <v>3193</v>
      </c>
      <c r="B976" s="8" t="s">
        <v>1160</v>
      </c>
      <c r="C976" s="8" t="s">
        <v>2197</v>
      </c>
      <c r="D976" s="8" t="s">
        <v>18</v>
      </c>
      <c r="E976" s="8" t="s">
        <v>151</v>
      </c>
      <c r="F976" s="8" t="s">
        <v>2258</v>
      </c>
      <c r="G976" s="8" t="s">
        <v>3194</v>
      </c>
      <c r="H976" s="8">
        <v>127</v>
      </c>
      <c r="I976" s="8">
        <v>127</v>
      </c>
      <c r="J976" s="8">
        <v>7971</v>
      </c>
      <c r="K976" s="9">
        <v>44875</v>
      </c>
      <c r="L976" s="9">
        <v>46174</v>
      </c>
      <c r="M976" s="8" t="s">
        <v>16</v>
      </c>
      <c r="P976" s="16" t="s">
        <v>845</v>
      </c>
      <c r="Q976" s="2" t="s">
        <v>838</v>
      </c>
      <c r="S976" s="8" t="s">
        <v>1316</v>
      </c>
      <c r="T976" s="9">
        <v>46966</v>
      </c>
      <c r="U976" s="8">
        <v>0</v>
      </c>
      <c r="V976" s="20">
        <v>942</v>
      </c>
      <c r="W976" s="21" t="s">
        <v>16</v>
      </c>
    </row>
    <row r="977" spans="1:23" ht="60">
      <c r="A977" s="8" t="s">
        <v>3195</v>
      </c>
      <c r="B977" s="8" t="s">
        <v>1161</v>
      </c>
      <c r="C977" s="8" t="s">
        <v>2197</v>
      </c>
      <c r="D977" s="8" t="s">
        <v>18</v>
      </c>
      <c r="E977" s="8" t="s">
        <v>151</v>
      </c>
      <c r="F977" s="8" t="s">
        <v>2258</v>
      </c>
      <c r="G977" s="8" t="s">
        <v>3194</v>
      </c>
      <c r="H977" s="8">
        <v>238</v>
      </c>
      <c r="I977" s="8">
        <v>238</v>
      </c>
      <c r="J977" s="8">
        <v>7971</v>
      </c>
      <c r="K977" s="9">
        <v>45140</v>
      </c>
      <c r="L977" s="9">
        <v>46174</v>
      </c>
      <c r="M977" s="8" t="s">
        <v>16</v>
      </c>
      <c r="P977" s="16" t="s">
        <v>845</v>
      </c>
      <c r="Q977" s="2" t="s">
        <v>838</v>
      </c>
      <c r="S977" s="8" t="s">
        <v>1317</v>
      </c>
      <c r="T977" s="9">
        <v>47209</v>
      </c>
      <c r="U977" s="8">
        <v>0</v>
      </c>
      <c r="V977" s="20">
        <v>2165</v>
      </c>
      <c r="W977" s="21" t="s">
        <v>16</v>
      </c>
    </row>
    <row r="978" spans="1:23" ht="60">
      <c r="A978" s="8" t="s">
        <v>3196</v>
      </c>
      <c r="B978" s="8" t="s">
        <v>1162</v>
      </c>
      <c r="C978" s="8" t="s">
        <v>2197</v>
      </c>
      <c r="D978" s="8" t="s">
        <v>18</v>
      </c>
      <c r="E978" s="8" t="s">
        <v>151</v>
      </c>
      <c r="F978" s="8" t="s">
        <v>2258</v>
      </c>
      <c r="G978" s="8" t="s">
        <v>3194</v>
      </c>
      <c r="H978" s="8">
        <v>424</v>
      </c>
      <c r="I978" s="8">
        <v>424</v>
      </c>
      <c r="J978" s="8">
        <v>7971</v>
      </c>
      <c r="K978" s="9">
        <v>45140</v>
      </c>
      <c r="L978" s="9">
        <v>46174</v>
      </c>
      <c r="M978" s="8" t="s">
        <v>16</v>
      </c>
      <c r="P978" s="16" t="s">
        <v>845</v>
      </c>
      <c r="Q978" s="2" t="s">
        <v>838</v>
      </c>
      <c r="S978" s="8" t="s">
        <v>1318</v>
      </c>
      <c r="T978" s="9" t="s">
        <v>2222</v>
      </c>
      <c r="U978" s="8">
        <v>0</v>
      </c>
      <c r="V978" s="20">
        <v>49</v>
      </c>
      <c r="W978" s="21" t="s">
        <v>38</v>
      </c>
    </row>
    <row r="979" spans="1:23" ht="45">
      <c r="A979" s="8" t="s">
        <v>3197</v>
      </c>
      <c r="B979" s="8" t="s">
        <v>1163</v>
      </c>
      <c r="C979" s="8" t="s">
        <v>2221</v>
      </c>
      <c r="D979" s="8" t="s">
        <v>18</v>
      </c>
      <c r="E979" s="8" t="s">
        <v>43</v>
      </c>
      <c r="F979" s="8" t="s">
        <v>2217</v>
      </c>
      <c r="G979" s="8" t="s">
        <v>2217</v>
      </c>
      <c r="H979" s="8">
        <v>23</v>
      </c>
      <c r="I979" s="8">
        <v>23</v>
      </c>
      <c r="J979" s="8">
        <v>0</v>
      </c>
      <c r="K979" s="9">
        <v>44160</v>
      </c>
      <c r="L979" s="8" t="s">
        <v>2222</v>
      </c>
      <c r="M979" s="8" t="s">
        <v>43</v>
      </c>
      <c r="P979" s="16" t="s">
        <v>845</v>
      </c>
      <c r="Q979" s="2" t="s">
        <v>838</v>
      </c>
      <c r="S979" s="8" t="s">
        <v>1319</v>
      </c>
      <c r="T979" s="9">
        <v>47119</v>
      </c>
      <c r="U979" s="8">
        <v>0</v>
      </c>
      <c r="V979" s="20">
        <v>2</v>
      </c>
      <c r="W979" s="21" t="s">
        <v>151</v>
      </c>
    </row>
    <row r="980" spans="1:23" ht="45">
      <c r="A980" s="8" t="s">
        <v>3198</v>
      </c>
      <c r="B980" s="8" t="s">
        <v>1164</v>
      </c>
      <c r="C980" s="8" t="s">
        <v>2197</v>
      </c>
      <c r="D980" s="8" t="s">
        <v>18</v>
      </c>
      <c r="E980" s="8" t="s">
        <v>2217</v>
      </c>
      <c r="F980" s="8" t="s">
        <v>2217</v>
      </c>
      <c r="G980" s="8" t="s">
        <v>2217</v>
      </c>
      <c r="H980" s="8">
        <v>371</v>
      </c>
      <c r="I980" s="8">
        <v>10</v>
      </c>
      <c r="J980" s="8">
        <v>240315</v>
      </c>
      <c r="K980" s="9">
        <v>45418</v>
      </c>
      <c r="L980" s="9">
        <v>47178</v>
      </c>
      <c r="M980" s="8" t="s">
        <v>16</v>
      </c>
      <c r="P980" s="16" t="s">
        <v>845</v>
      </c>
      <c r="Q980" s="2" t="s">
        <v>838</v>
      </c>
      <c r="S980" s="8" t="s">
        <v>1319</v>
      </c>
      <c r="T980" s="9">
        <v>47178</v>
      </c>
      <c r="U980" s="8">
        <v>0</v>
      </c>
      <c r="V980" s="20">
        <v>1500</v>
      </c>
      <c r="W980" s="21" t="s">
        <v>151</v>
      </c>
    </row>
    <row r="981" spans="1:23" ht="45">
      <c r="A981" s="8" t="s">
        <v>3198</v>
      </c>
      <c r="B981" s="8" t="s">
        <v>1164</v>
      </c>
      <c r="C981" s="8" t="s">
        <v>2197</v>
      </c>
      <c r="D981" s="8" t="s">
        <v>18</v>
      </c>
      <c r="E981" s="8" t="s">
        <v>2217</v>
      </c>
      <c r="F981" s="8" t="s">
        <v>2217</v>
      </c>
      <c r="G981" s="8" t="s">
        <v>2217</v>
      </c>
      <c r="H981" s="8">
        <v>371</v>
      </c>
      <c r="I981" s="8">
        <v>161</v>
      </c>
      <c r="J981" s="8">
        <v>31023</v>
      </c>
      <c r="K981" s="9">
        <v>45402</v>
      </c>
      <c r="L981" s="9">
        <v>47178</v>
      </c>
      <c r="M981" s="8" t="s">
        <v>16</v>
      </c>
      <c r="P981" s="16" t="s">
        <v>845</v>
      </c>
      <c r="Q981" s="2" t="s">
        <v>838</v>
      </c>
      <c r="S981" s="8" t="s">
        <v>1320</v>
      </c>
      <c r="T981" s="9">
        <v>46235</v>
      </c>
      <c r="U981" s="8">
        <v>0</v>
      </c>
      <c r="V981" s="20">
        <v>1</v>
      </c>
      <c r="W981" s="21" t="s">
        <v>151</v>
      </c>
    </row>
    <row r="982" spans="1:23" ht="60">
      <c r="A982" s="8" t="s">
        <v>3198</v>
      </c>
      <c r="B982" s="8" t="s">
        <v>1164</v>
      </c>
      <c r="C982" s="8" t="s">
        <v>2197</v>
      </c>
      <c r="D982" s="8" t="s">
        <v>18</v>
      </c>
      <c r="E982" s="8" t="s">
        <v>2217</v>
      </c>
      <c r="F982" s="8" t="s">
        <v>2217</v>
      </c>
      <c r="G982" s="8" t="s">
        <v>2217</v>
      </c>
      <c r="H982" s="8">
        <v>371</v>
      </c>
      <c r="I982" s="8">
        <v>200</v>
      </c>
      <c r="J982" s="8">
        <v>190424</v>
      </c>
      <c r="K982" s="9">
        <v>45461</v>
      </c>
      <c r="L982" s="9">
        <v>47239</v>
      </c>
      <c r="M982" s="8" t="s">
        <v>16</v>
      </c>
      <c r="P982" s="16" t="s">
        <v>845</v>
      </c>
      <c r="Q982" s="2" t="s">
        <v>838</v>
      </c>
      <c r="S982" s="8" t="s">
        <v>1321</v>
      </c>
      <c r="T982" s="9">
        <v>47027</v>
      </c>
      <c r="U982" s="8">
        <v>0</v>
      </c>
      <c r="V982" s="20">
        <v>19</v>
      </c>
      <c r="W982" s="21" t="s">
        <v>16</v>
      </c>
    </row>
    <row r="983" spans="1:23" ht="60">
      <c r="A983" s="8" t="s">
        <v>3199</v>
      </c>
      <c r="B983" s="8" t="s">
        <v>1165</v>
      </c>
      <c r="C983" s="8" t="s">
        <v>2197</v>
      </c>
      <c r="D983" s="8" t="s">
        <v>18</v>
      </c>
      <c r="E983" s="8" t="s">
        <v>2217</v>
      </c>
      <c r="F983" s="8" t="s">
        <v>2217</v>
      </c>
      <c r="G983" s="8" t="s">
        <v>2217</v>
      </c>
      <c r="H983" s="8">
        <v>480</v>
      </c>
      <c r="I983" s="8">
        <v>480</v>
      </c>
      <c r="J983" s="8">
        <v>310322</v>
      </c>
      <c r="K983" s="9">
        <v>45379</v>
      </c>
      <c r="L983" s="9">
        <v>46631</v>
      </c>
      <c r="M983" s="8" t="s">
        <v>16</v>
      </c>
      <c r="P983" s="16" t="s">
        <v>845</v>
      </c>
      <c r="Q983" s="2" t="s">
        <v>838</v>
      </c>
      <c r="S983" s="8" t="s">
        <v>1321</v>
      </c>
      <c r="T983" s="9">
        <v>47088</v>
      </c>
      <c r="U983" s="8">
        <v>0</v>
      </c>
      <c r="V983" s="20">
        <v>800</v>
      </c>
      <c r="W983" s="21" t="s">
        <v>16</v>
      </c>
    </row>
    <row r="984" spans="1:23" ht="60">
      <c r="A984" s="8" t="s">
        <v>3200</v>
      </c>
      <c r="B984" s="8" t="s">
        <v>1166</v>
      </c>
      <c r="C984" s="8" t="s">
        <v>2197</v>
      </c>
      <c r="D984" s="8" t="s">
        <v>18</v>
      </c>
      <c r="E984" s="8" t="s">
        <v>2217</v>
      </c>
      <c r="F984" s="8" t="s">
        <v>2217</v>
      </c>
      <c r="G984" s="8" t="s">
        <v>2217</v>
      </c>
      <c r="H984" s="8">
        <v>945</v>
      </c>
      <c r="I984" s="8">
        <v>129</v>
      </c>
      <c r="J984" s="8">
        <v>10320</v>
      </c>
      <c r="K984" s="9">
        <v>45379</v>
      </c>
      <c r="L984" s="9">
        <v>45717</v>
      </c>
      <c r="M984" s="8" t="s">
        <v>16</v>
      </c>
      <c r="P984" s="16" t="s">
        <v>845</v>
      </c>
      <c r="Q984" s="2" t="s">
        <v>838</v>
      </c>
      <c r="S984" s="8" t="s">
        <v>1321</v>
      </c>
      <c r="T984" s="9">
        <v>47058</v>
      </c>
      <c r="U984" s="8">
        <v>0</v>
      </c>
      <c r="V984" s="20">
        <v>7750</v>
      </c>
      <c r="W984" s="21" t="s">
        <v>16</v>
      </c>
    </row>
    <row r="985" spans="1:23" ht="60">
      <c r="A985" s="8" t="s">
        <v>3200</v>
      </c>
      <c r="B985" s="8" t="s">
        <v>1166</v>
      </c>
      <c r="C985" s="8" t="s">
        <v>2197</v>
      </c>
      <c r="D985" s="8" t="s">
        <v>18</v>
      </c>
      <c r="E985" s="8" t="s">
        <v>2217</v>
      </c>
      <c r="F985" s="8" t="s">
        <v>2217</v>
      </c>
      <c r="G985" s="8" t="s">
        <v>2217</v>
      </c>
      <c r="H985" s="8">
        <v>945</v>
      </c>
      <c r="I985" s="8">
        <v>816</v>
      </c>
      <c r="J985" s="8">
        <v>10920</v>
      </c>
      <c r="K985" s="9">
        <v>45402</v>
      </c>
      <c r="L985" s="9">
        <v>45901</v>
      </c>
      <c r="M985" s="8" t="s">
        <v>16</v>
      </c>
      <c r="P985" s="16" t="s">
        <v>845</v>
      </c>
      <c r="Q985" s="2" t="s">
        <v>838</v>
      </c>
      <c r="S985" s="8" t="s">
        <v>1321</v>
      </c>
      <c r="T985" s="9">
        <v>47150</v>
      </c>
      <c r="U985" s="8">
        <v>0</v>
      </c>
      <c r="V985" s="20">
        <v>9100</v>
      </c>
      <c r="W985" s="21" t="s">
        <v>16</v>
      </c>
    </row>
    <row r="986" spans="1:23" ht="75">
      <c r="A986" s="8" t="s">
        <v>3201</v>
      </c>
      <c r="B986" s="8" t="s">
        <v>1167</v>
      </c>
      <c r="C986" s="8" t="s">
        <v>2197</v>
      </c>
      <c r="D986" s="8" t="s">
        <v>18</v>
      </c>
      <c r="E986" s="8" t="s">
        <v>2217</v>
      </c>
      <c r="F986" s="8" t="s">
        <v>2217</v>
      </c>
      <c r="G986" s="8" t="s">
        <v>2217</v>
      </c>
      <c r="H986" s="8">
        <v>1940</v>
      </c>
      <c r="I986" s="8">
        <v>400</v>
      </c>
      <c r="J986" s="8">
        <v>211119</v>
      </c>
      <c r="K986" s="9">
        <v>45353</v>
      </c>
      <c r="L986" s="9">
        <v>46327</v>
      </c>
      <c r="M986" s="8" t="s">
        <v>16</v>
      </c>
      <c r="P986" s="16" t="s">
        <v>845</v>
      </c>
      <c r="Q986" s="2" t="s">
        <v>838</v>
      </c>
      <c r="S986" s="8" t="s">
        <v>1322</v>
      </c>
      <c r="T986" s="9">
        <v>47088</v>
      </c>
      <c r="U986" s="8">
        <v>0</v>
      </c>
      <c r="V986" s="20">
        <v>2128</v>
      </c>
      <c r="W986" s="21" t="s">
        <v>16</v>
      </c>
    </row>
    <row r="987" spans="1:23" ht="75">
      <c r="A987" s="8" t="s">
        <v>3201</v>
      </c>
      <c r="B987" s="8" t="s">
        <v>1167</v>
      </c>
      <c r="C987" s="8" t="s">
        <v>2197</v>
      </c>
      <c r="D987" s="8" t="s">
        <v>18</v>
      </c>
      <c r="E987" s="8" t="s">
        <v>2217</v>
      </c>
      <c r="F987" s="8" t="s">
        <v>2217</v>
      </c>
      <c r="G987" s="8" t="s">
        <v>2217</v>
      </c>
      <c r="H987" s="8">
        <v>1940</v>
      </c>
      <c r="I987" s="8">
        <v>540</v>
      </c>
      <c r="J987" s="8">
        <v>211122</v>
      </c>
      <c r="K987" s="9">
        <v>45353</v>
      </c>
      <c r="L987" s="9">
        <v>46327</v>
      </c>
      <c r="M987" s="8" t="s">
        <v>16</v>
      </c>
      <c r="P987" s="16" t="s">
        <v>845</v>
      </c>
      <c r="Q987" s="2" t="s">
        <v>838</v>
      </c>
      <c r="S987" s="8" t="s">
        <v>1322</v>
      </c>
      <c r="T987" s="9">
        <v>47178</v>
      </c>
      <c r="U987" s="8">
        <v>0</v>
      </c>
      <c r="V987" s="20">
        <v>3680</v>
      </c>
      <c r="W987" s="21" t="s">
        <v>16</v>
      </c>
    </row>
    <row r="988" spans="1:23" ht="75">
      <c r="A988" s="8" t="s">
        <v>3201</v>
      </c>
      <c r="B988" s="8" t="s">
        <v>1167</v>
      </c>
      <c r="C988" s="8" t="s">
        <v>2197</v>
      </c>
      <c r="D988" s="8" t="s">
        <v>18</v>
      </c>
      <c r="E988" s="8" t="s">
        <v>2217</v>
      </c>
      <c r="F988" s="8" t="s">
        <v>2217</v>
      </c>
      <c r="G988" s="8" t="s">
        <v>2217</v>
      </c>
      <c r="H988" s="8">
        <v>1940</v>
      </c>
      <c r="I988" s="8">
        <v>1000</v>
      </c>
      <c r="J988" s="8">
        <v>220729</v>
      </c>
      <c r="K988" s="9">
        <v>45353</v>
      </c>
      <c r="L988" s="9">
        <v>46569</v>
      </c>
      <c r="M988" s="8" t="s">
        <v>16</v>
      </c>
      <c r="P988" s="16" t="s">
        <v>845</v>
      </c>
      <c r="Q988" s="2" t="s">
        <v>838</v>
      </c>
      <c r="S988" s="8" t="s">
        <v>1323</v>
      </c>
      <c r="T988" s="9">
        <v>47239</v>
      </c>
      <c r="U988" s="8">
        <v>0</v>
      </c>
      <c r="V988" s="20">
        <v>15200</v>
      </c>
      <c r="W988" s="21" t="s">
        <v>16</v>
      </c>
    </row>
    <row r="989" spans="1:23" ht="75">
      <c r="A989" s="8" t="s">
        <v>3202</v>
      </c>
      <c r="B989" s="8" t="s">
        <v>1168</v>
      </c>
      <c r="C989" s="8" t="s">
        <v>2197</v>
      </c>
      <c r="D989" s="8" t="s">
        <v>18</v>
      </c>
      <c r="E989" s="8" t="s">
        <v>2217</v>
      </c>
      <c r="F989" s="8" t="s">
        <v>2217</v>
      </c>
      <c r="G989" s="8" t="s">
        <v>2217</v>
      </c>
      <c r="H989" s="8">
        <v>480</v>
      </c>
      <c r="I989" s="8">
        <v>480</v>
      </c>
      <c r="J989" s="8">
        <v>210211</v>
      </c>
      <c r="K989" s="9">
        <v>45353</v>
      </c>
      <c r="L989" s="9">
        <v>46204</v>
      </c>
      <c r="M989" s="8" t="s">
        <v>16</v>
      </c>
      <c r="P989" s="16" t="s">
        <v>845</v>
      </c>
      <c r="Q989" s="2" t="s">
        <v>838</v>
      </c>
      <c r="S989" s="8" t="s">
        <v>1324</v>
      </c>
      <c r="T989" s="9">
        <v>47209</v>
      </c>
      <c r="U989" s="8">
        <v>0</v>
      </c>
      <c r="V989" s="20">
        <v>25</v>
      </c>
      <c r="W989" s="21" t="s">
        <v>16</v>
      </c>
    </row>
    <row r="990" spans="1:23" ht="75">
      <c r="A990" s="8" t="s">
        <v>3203</v>
      </c>
      <c r="B990" s="8" t="s">
        <v>1169</v>
      </c>
      <c r="C990" s="8" t="s">
        <v>2197</v>
      </c>
      <c r="D990" s="8" t="s">
        <v>18</v>
      </c>
      <c r="E990" s="8" t="s">
        <v>2217</v>
      </c>
      <c r="F990" s="8" t="s">
        <v>2217</v>
      </c>
      <c r="G990" s="8" t="s">
        <v>2217</v>
      </c>
      <c r="H990" s="8">
        <v>886</v>
      </c>
      <c r="I990" s="8">
        <v>22</v>
      </c>
      <c r="J990" s="8">
        <v>101121</v>
      </c>
      <c r="K990" s="9">
        <v>45402</v>
      </c>
      <c r="L990" s="9">
        <v>46327</v>
      </c>
      <c r="M990" s="8" t="s">
        <v>16</v>
      </c>
      <c r="P990" s="16" t="s">
        <v>845</v>
      </c>
      <c r="Q990" s="2" t="s">
        <v>838</v>
      </c>
      <c r="S990" s="8" t="s">
        <v>1325</v>
      </c>
      <c r="T990" s="9">
        <v>45901</v>
      </c>
      <c r="U990" s="8">
        <v>0</v>
      </c>
      <c r="V990" s="20">
        <v>7</v>
      </c>
      <c r="W990" s="21" t="s">
        <v>16</v>
      </c>
    </row>
    <row r="991" spans="1:23" ht="75">
      <c r="A991" s="8" t="s">
        <v>3203</v>
      </c>
      <c r="B991" s="8" t="s">
        <v>1169</v>
      </c>
      <c r="C991" s="8" t="s">
        <v>2197</v>
      </c>
      <c r="D991" s="8" t="s">
        <v>18</v>
      </c>
      <c r="E991" s="8" t="s">
        <v>2217</v>
      </c>
      <c r="F991" s="8" t="s">
        <v>2217</v>
      </c>
      <c r="G991" s="8" t="s">
        <v>2217</v>
      </c>
      <c r="H991" s="8">
        <v>886</v>
      </c>
      <c r="I991" s="8">
        <v>864</v>
      </c>
      <c r="J991" s="8">
        <v>220117</v>
      </c>
      <c r="K991" s="9">
        <v>45353</v>
      </c>
      <c r="L991" s="9">
        <v>46388</v>
      </c>
      <c r="M991" s="8" t="s">
        <v>16</v>
      </c>
      <c r="P991" s="16" t="s">
        <v>845</v>
      </c>
      <c r="Q991" s="2" t="s">
        <v>838</v>
      </c>
      <c r="S991" s="8" t="s">
        <v>1325</v>
      </c>
      <c r="T991" s="9">
        <v>45931</v>
      </c>
      <c r="U991" s="8">
        <v>0</v>
      </c>
      <c r="V991" s="20">
        <v>52575</v>
      </c>
      <c r="W991" s="21" t="s">
        <v>16</v>
      </c>
    </row>
    <row r="992" spans="1:23" ht="75">
      <c r="A992" s="8" t="s">
        <v>3204</v>
      </c>
      <c r="B992" s="8" t="s">
        <v>1170</v>
      </c>
      <c r="C992" s="8" t="s">
        <v>2197</v>
      </c>
      <c r="D992" s="8" t="s">
        <v>18</v>
      </c>
      <c r="E992" s="8" t="s">
        <v>16</v>
      </c>
      <c r="F992" s="8" t="s">
        <v>2198</v>
      </c>
      <c r="G992" s="8" t="s">
        <v>3205</v>
      </c>
      <c r="H992" s="8">
        <v>153</v>
      </c>
      <c r="I992" s="8">
        <v>153</v>
      </c>
      <c r="J992" s="8" t="s">
        <v>1171</v>
      </c>
      <c r="K992" s="9">
        <v>44246</v>
      </c>
      <c r="L992" s="9">
        <v>45627</v>
      </c>
      <c r="M992" s="8" t="s">
        <v>16</v>
      </c>
      <c r="P992" s="16" t="s">
        <v>845</v>
      </c>
      <c r="Q992" s="2" t="s">
        <v>838</v>
      </c>
      <c r="S992" s="8" t="s">
        <v>1325</v>
      </c>
      <c r="T992" s="9">
        <v>46082</v>
      </c>
      <c r="U992" s="8">
        <v>0</v>
      </c>
      <c r="V992" s="20">
        <v>249400</v>
      </c>
      <c r="W992" s="21" t="s">
        <v>16</v>
      </c>
    </row>
    <row r="993" spans="1:23" ht="75">
      <c r="A993" s="8" t="s">
        <v>3206</v>
      </c>
      <c r="B993" s="8" t="s">
        <v>1172</v>
      </c>
      <c r="C993" s="8" t="s">
        <v>2197</v>
      </c>
      <c r="D993" s="8" t="s">
        <v>192</v>
      </c>
      <c r="E993" s="8" t="s">
        <v>16</v>
      </c>
      <c r="F993" s="8" t="s">
        <v>2198</v>
      </c>
      <c r="G993" s="8" t="s">
        <v>3205</v>
      </c>
      <c r="H993" s="8">
        <v>22</v>
      </c>
      <c r="I993" s="8">
        <v>22</v>
      </c>
      <c r="J993" s="8" t="s">
        <v>1173</v>
      </c>
      <c r="K993" s="9">
        <v>43965</v>
      </c>
      <c r="L993" s="9">
        <v>45231</v>
      </c>
      <c r="M993" s="8" t="s">
        <v>16</v>
      </c>
      <c r="P993" s="16" t="s">
        <v>845</v>
      </c>
      <c r="Q993" s="2" t="s">
        <v>838</v>
      </c>
      <c r="S993" s="8" t="s">
        <v>1325</v>
      </c>
      <c r="T993" s="9">
        <v>46054</v>
      </c>
      <c r="U993" s="8">
        <v>0</v>
      </c>
      <c r="V993" s="20">
        <v>18000</v>
      </c>
      <c r="W993" s="21" t="s">
        <v>16</v>
      </c>
    </row>
    <row r="994" spans="1:23" ht="75">
      <c r="A994" s="8" t="s">
        <v>3206</v>
      </c>
      <c r="B994" s="8" t="s">
        <v>1172</v>
      </c>
      <c r="C994" s="8" t="s">
        <v>2197</v>
      </c>
      <c r="D994" s="8" t="s">
        <v>18</v>
      </c>
      <c r="E994" s="8" t="s">
        <v>16</v>
      </c>
      <c r="F994" s="8" t="s">
        <v>2198</v>
      </c>
      <c r="G994" s="8" t="s">
        <v>3205</v>
      </c>
      <c r="H994" s="8">
        <v>80</v>
      </c>
      <c r="I994" s="8">
        <v>80</v>
      </c>
      <c r="J994" s="8" t="s">
        <v>1174</v>
      </c>
      <c r="K994" s="9">
        <v>44246</v>
      </c>
      <c r="L994" s="9">
        <v>45536</v>
      </c>
      <c r="M994" s="8" t="s">
        <v>16</v>
      </c>
      <c r="P994" s="16" t="s">
        <v>845</v>
      </c>
      <c r="Q994" s="2" t="s">
        <v>838</v>
      </c>
      <c r="S994" s="8" t="s">
        <v>1325</v>
      </c>
      <c r="T994" s="9">
        <v>46023</v>
      </c>
      <c r="U994" s="8">
        <v>0</v>
      </c>
      <c r="V994" s="20">
        <v>23200</v>
      </c>
      <c r="W994" s="21" t="s">
        <v>16</v>
      </c>
    </row>
    <row r="995" spans="1:23" ht="75">
      <c r="A995" s="8" t="s">
        <v>3207</v>
      </c>
      <c r="B995" s="8" t="s">
        <v>1175</v>
      </c>
      <c r="C995" s="8" t="s">
        <v>2203</v>
      </c>
      <c r="D995" s="8" t="s">
        <v>18</v>
      </c>
      <c r="E995" s="8" t="s">
        <v>16</v>
      </c>
      <c r="F995" s="8" t="s">
        <v>2228</v>
      </c>
      <c r="G995" s="8" t="s">
        <v>3208</v>
      </c>
      <c r="H995" s="8">
        <v>8641</v>
      </c>
      <c r="I995" s="8">
        <v>8641</v>
      </c>
      <c r="J995" s="8">
        <v>20190815</v>
      </c>
      <c r="K995" s="9">
        <v>44733</v>
      </c>
      <c r="L995" s="9">
        <v>45505</v>
      </c>
      <c r="M995" s="8" t="s">
        <v>16</v>
      </c>
      <c r="P995" s="16" t="s">
        <v>845</v>
      </c>
      <c r="Q995" s="2" t="s">
        <v>838</v>
      </c>
      <c r="S995" s="8" t="s">
        <v>1325</v>
      </c>
      <c r="T995" s="9">
        <v>45992</v>
      </c>
      <c r="U995" s="8">
        <v>0</v>
      </c>
      <c r="V995" s="20">
        <v>149800</v>
      </c>
      <c r="W995" s="21" t="s">
        <v>16</v>
      </c>
    </row>
    <row r="996" spans="1:23" ht="75">
      <c r="A996" s="8" t="s">
        <v>3209</v>
      </c>
      <c r="B996" s="8" t="s">
        <v>1176</v>
      </c>
      <c r="C996" s="8" t="s">
        <v>2303</v>
      </c>
      <c r="D996" s="8" t="s">
        <v>18</v>
      </c>
      <c r="E996" s="8" t="s">
        <v>16</v>
      </c>
      <c r="F996" s="8" t="s">
        <v>2228</v>
      </c>
      <c r="G996" s="8" t="s">
        <v>3210</v>
      </c>
      <c r="H996" s="8">
        <v>49</v>
      </c>
      <c r="I996" s="8">
        <v>49</v>
      </c>
      <c r="J996" s="8">
        <v>23101905</v>
      </c>
      <c r="K996" s="9">
        <v>45226</v>
      </c>
      <c r="L996" s="9">
        <v>46997</v>
      </c>
      <c r="M996" s="8" t="s">
        <v>16</v>
      </c>
      <c r="P996" s="16" t="s">
        <v>845</v>
      </c>
      <c r="Q996" s="2" t="s">
        <v>838</v>
      </c>
      <c r="S996" s="8" t="s">
        <v>1325</v>
      </c>
      <c r="T996" s="9">
        <v>46113</v>
      </c>
      <c r="U996" s="8">
        <v>0</v>
      </c>
      <c r="V996" s="20">
        <v>193400</v>
      </c>
      <c r="W996" s="21" t="s">
        <v>16</v>
      </c>
    </row>
    <row r="997" spans="1:23" ht="60">
      <c r="A997" s="8" t="s">
        <v>3211</v>
      </c>
      <c r="B997" s="8" t="s">
        <v>1177</v>
      </c>
      <c r="C997" s="8" t="s">
        <v>2197</v>
      </c>
      <c r="D997" s="8" t="s">
        <v>18</v>
      </c>
      <c r="E997" s="8" t="s">
        <v>16</v>
      </c>
      <c r="F997" s="8" t="s">
        <v>2228</v>
      </c>
      <c r="G997" s="8" t="s">
        <v>3210</v>
      </c>
      <c r="H997" s="8">
        <v>1029</v>
      </c>
      <c r="I997" s="8">
        <v>29</v>
      </c>
      <c r="J997" s="8">
        <v>22110923</v>
      </c>
      <c r="K997" s="9">
        <v>44963</v>
      </c>
      <c r="L997" s="9">
        <v>46661</v>
      </c>
      <c r="M997" s="8" t="s">
        <v>16</v>
      </c>
      <c r="P997" s="16" t="s">
        <v>845</v>
      </c>
      <c r="Q997" s="2" t="s">
        <v>838</v>
      </c>
      <c r="S997" s="8" t="s">
        <v>1326</v>
      </c>
      <c r="T997" s="9">
        <v>45870</v>
      </c>
      <c r="U997" s="8">
        <v>0</v>
      </c>
      <c r="V997" s="20">
        <v>356</v>
      </c>
      <c r="W997" s="21" t="s">
        <v>16</v>
      </c>
    </row>
    <row r="998" spans="1:23" ht="60">
      <c r="A998" s="8" t="s">
        <v>3211</v>
      </c>
      <c r="B998" s="8" t="s">
        <v>1177</v>
      </c>
      <c r="C998" s="8" t="s">
        <v>2197</v>
      </c>
      <c r="D998" s="8" t="s">
        <v>18</v>
      </c>
      <c r="E998" s="8" t="s">
        <v>16</v>
      </c>
      <c r="F998" s="8" t="s">
        <v>2228</v>
      </c>
      <c r="G998" s="8" t="s">
        <v>3210</v>
      </c>
      <c r="H998" s="8">
        <v>1029</v>
      </c>
      <c r="I998" s="8">
        <v>360</v>
      </c>
      <c r="J998" s="8">
        <v>23100420</v>
      </c>
      <c r="K998" s="9">
        <v>45272</v>
      </c>
      <c r="L998" s="9">
        <v>46997</v>
      </c>
      <c r="M998" s="8" t="s">
        <v>16</v>
      </c>
      <c r="P998" s="16" t="s">
        <v>845</v>
      </c>
      <c r="Q998" s="2" t="s">
        <v>838</v>
      </c>
      <c r="S998" s="8" t="s">
        <v>1327</v>
      </c>
      <c r="T998" s="9">
        <v>46054</v>
      </c>
      <c r="U998" s="8">
        <v>0</v>
      </c>
      <c r="V998" s="20">
        <v>89</v>
      </c>
      <c r="W998" s="21" t="s">
        <v>16</v>
      </c>
    </row>
    <row r="999" spans="1:23" ht="60">
      <c r="A999" s="8" t="s">
        <v>3211</v>
      </c>
      <c r="B999" s="8" t="s">
        <v>1177</v>
      </c>
      <c r="C999" s="8" t="s">
        <v>2197</v>
      </c>
      <c r="D999" s="8" t="s">
        <v>18</v>
      </c>
      <c r="E999" s="8" t="s">
        <v>16</v>
      </c>
      <c r="F999" s="8" t="s">
        <v>2228</v>
      </c>
      <c r="G999" s="8" t="s">
        <v>3210</v>
      </c>
      <c r="H999" s="8">
        <v>1029</v>
      </c>
      <c r="I999" s="8">
        <v>640</v>
      </c>
      <c r="J999" s="8">
        <v>23101806</v>
      </c>
      <c r="K999" s="9">
        <v>45272</v>
      </c>
      <c r="L999" s="9">
        <v>46997</v>
      </c>
      <c r="M999" s="8" t="s">
        <v>16</v>
      </c>
      <c r="P999" s="16" t="s">
        <v>845</v>
      </c>
      <c r="Q999" s="2" t="s">
        <v>838</v>
      </c>
      <c r="S999" s="8" t="s">
        <v>1328</v>
      </c>
      <c r="T999" s="9">
        <v>46204</v>
      </c>
      <c r="U999" s="8">
        <v>0</v>
      </c>
      <c r="V999" s="20">
        <v>173</v>
      </c>
      <c r="W999" s="21" t="s">
        <v>16</v>
      </c>
    </row>
    <row r="1000" spans="1:23" ht="60">
      <c r="A1000" s="8" t="s">
        <v>3212</v>
      </c>
      <c r="B1000" s="8" t="s">
        <v>1178</v>
      </c>
      <c r="C1000" s="8" t="s">
        <v>2307</v>
      </c>
      <c r="D1000" s="8" t="s">
        <v>18</v>
      </c>
      <c r="E1000" s="8" t="s">
        <v>16</v>
      </c>
      <c r="F1000" s="8" t="s">
        <v>2228</v>
      </c>
      <c r="G1000" s="8" t="s">
        <v>3210</v>
      </c>
      <c r="H1000" s="8">
        <v>200</v>
      </c>
      <c r="I1000" s="8">
        <v>24</v>
      </c>
      <c r="J1000" s="8">
        <v>22102712</v>
      </c>
      <c r="K1000" s="9">
        <v>45226</v>
      </c>
      <c r="L1000" s="9">
        <v>46631</v>
      </c>
      <c r="M1000" s="8" t="s">
        <v>16</v>
      </c>
      <c r="P1000" s="16" t="s">
        <v>845</v>
      </c>
      <c r="Q1000" s="2" t="s">
        <v>838</v>
      </c>
      <c r="S1000" s="8" t="s">
        <v>1329</v>
      </c>
      <c r="T1000" s="9">
        <v>46174</v>
      </c>
      <c r="U1000" s="8">
        <v>0</v>
      </c>
      <c r="V1000" s="20">
        <v>199</v>
      </c>
      <c r="W1000" s="21" t="s">
        <v>16</v>
      </c>
    </row>
    <row r="1001" spans="1:23" ht="75">
      <c r="A1001" s="8" t="s">
        <v>3212</v>
      </c>
      <c r="B1001" s="8" t="s">
        <v>1178</v>
      </c>
      <c r="C1001" s="8" t="s">
        <v>2307</v>
      </c>
      <c r="D1001" s="8" t="s">
        <v>18</v>
      </c>
      <c r="E1001" s="8" t="s">
        <v>16</v>
      </c>
      <c r="F1001" s="8" t="s">
        <v>2228</v>
      </c>
      <c r="G1001" s="8" t="s">
        <v>3210</v>
      </c>
      <c r="H1001" s="8">
        <v>200</v>
      </c>
      <c r="I1001" s="8">
        <v>176</v>
      </c>
      <c r="J1001" s="8">
        <v>22112324</v>
      </c>
      <c r="K1001" s="9">
        <v>45272</v>
      </c>
      <c r="L1001" s="9">
        <v>46661</v>
      </c>
      <c r="M1001" s="8" t="s">
        <v>16</v>
      </c>
      <c r="P1001" s="16" t="s">
        <v>845</v>
      </c>
      <c r="Q1001" s="2" t="s">
        <v>838</v>
      </c>
      <c r="S1001" s="8" t="s">
        <v>1330</v>
      </c>
      <c r="T1001" s="9">
        <v>45931</v>
      </c>
      <c r="U1001" s="8">
        <v>0</v>
      </c>
      <c r="V1001" s="20">
        <v>1305</v>
      </c>
      <c r="W1001" s="21" t="s">
        <v>16</v>
      </c>
    </row>
    <row r="1002" spans="1:23" ht="75">
      <c r="A1002" s="8" t="s">
        <v>3213</v>
      </c>
      <c r="B1002" s="8" t="s">
        <v>1179</v>
      </c>
      <c r="C1002" s="8" t="s">
        <v>2221</v>
      </c>
      <c r="D1002" s="8" t="s">
        <v>18</v>
      </c>
      <c r="E1002" s="8" t="s">
        <v>101</v>
      </c>
      <c r="F1002" s="8" t="s">
        <v>3214</v>
      </c>
      <c r="G1002" s="8" t="s">
        <v>2217</v>
      </c>
      <c r="H1002" s="8">
        <v>78</v>
      </c>
      <c r="I1002" s="8">
        <v>78</v>
      </c>
      <c r="J1002" s="8">
        <v>0</v>
      </c>
      <c r="K1002" s="9">
        <v>44145</v>
      </c>
      <c r="L1002" s="8" t="s">
        <v>2222</v>
      </c>
      <c r="M1002" s="8" t="s">
        <v>41</v>
      </c>
      <c r="P1002" s="16" t="s">
        <v>845</v>
      </c>
      <c r="Q1002" s="2" t="s">
        <v>838</v>
      </c>
      <c r="S1002" s="8" t="s">
        <v>1332</v>
      </c>
      <c r="T1002" s="9">
        <v>45717</v>
      </c>
      <c r="U1002" s="8">
        <v>0</v>
      </c>
      <c r="V1002" s="20">
        <v>1</v>
      </c>
      <c r="W1002" s="21" t="s">
        <v>16</v>
      </c>
    </row>
    <row r="1003" spans="1:23" ht="75">
      <c r="A1003" s="8" t="s">
        <v>3215</v>
      </c>
      <c r="B1003" s="8" t="s">
        <v>1180</v>
      </c>
      <c r="C1003" s="8" t="s">
        <v>2221</v>
      </c>
      <c r="D1003" s="8" t="s">
        <v>18</v>
      </c>
      <c r="E1003" s="8" t="s">
        <v>101</v>
      </c>
      <c r="F1003" s="8" t="s">
        <v>3214</v>
      </c>
      <c r="G1003" s="8" t="s">
        <v>2217</v>
      </c>
      <c r="H1003" s="8">
        <v>100</v>
      </c>
      <c r="I1003" s="8">
        <v>100</v>
      </c>
      <c r="J1003" s="8">
        <v>0</v>
      </c>
      <c r="K1003" s="9">
        <v>44145</v>
      </c>
      <c r="L1003" s="8" t="s">
        <v>2222</v>
      </c>
      <c r="M1003" s="8" t="s">
        <v>41</v>
      </c>
      <c r="P1003" s="16" t="s">
        <v>845</v>
      </c>
      <c r="Q1003" s="2" t="s">
        <v>838</v>
      </c>
      <c r="S1003" s="8" t="s">
        <v>1332</v>
      </c>
      <c r="T1003" s="9">
        <v>45931</v>
      </c>
      <c r="U1003" s="8">
        <v>0</v>
      </c>
      <c r="V1003" s="20">
        <v>6459</v>
      </c>
      <c r="W1003" s="21" t="s">
        <v>16</v>
      </c>
    </row>
    <row r="1004" spans="1:23" ht="45">
      <c r="A1004" s="8" t="s">
        <v>3216</v>
      </c>
      <c r="B1004" s="8" t="s">
        <v>1181</v>
      </c>
      <c r="C1004" s="8" t="s">
        <v>2197</v>
      </c>
      <c r="D1004" s="8" t="s">
        <v>18</v>
      </c>
      <c r="E1004" s="8" t="s">
        <v>16</v>
      </c>
      <c r="F1004" s="8" t="s">
        <v>2198</v>
      </c>
      <c r="G1004" s="8" t="s">
        <v>3217</v>
      </c>
      <c r="H1004" s="8">
        <v>612</v>
      </c>
      <c r="I1004" s="8">
        <v>12</v>
      </c>
      <c r="J1004" s="8" t="s">
        <v>1182</v>
      </c>
      <c r="K1004" s="9">
        <v>44900</v>
      </c>
      <c r="L1004" s="9">
        <v>46600</v>
      </c>
      <c r="M1004" s="8" t="s">
        <v>16</v>
      </c>
      <c r="P1004" s="16" t="s">
        <v>845</v>
      </c>
      <c r="Q1004" s="2" t="s">
        <v>838</v>
      </c>
      <c r="S1004" s="8" t="s">
        <v>1336</v>
      </c>
      <c r="T1004" s="9" t="s">
        <v>2222</v>
      </c>
      <c r="U1004" s="8">
        <v>0</v>
      </c>
      <c r="V1004" s="20">
        <v>200</v>
      </c>
      <c r="W1004" s="21" t="s">
        <v>43</v>
      </c>
    </row>
    <row r="1005" spans="1:23" ht="60">
      <c r="A1005" s="8" t="s">
        <v>3216</v>
      </c>
      <c r="B1005" s="8" t="s">
        <v>1181</v>
      </c>
      <c r="C1005" s="8" t="s">
        <v>2197</v>
      </c>
      <c r="D1005" s="8" t="s">
        <v>18</v>
      </c>
      <c r="E1005" s="8" t="s">
        <v>16</v>
      </c>
      <c r="F1005" s="8" t="s">
        <v>2198</v>
      </c>
      <c r="G1005" s="8" t="s">
        <v>3217</v>
      </c>
      <c r="H1005" s="8">
        <v>612</v>
      </c>
      <c r="I1005" s="8">
        <v>600</v>
      </c>
      <c r="J1005" s="8" t="s">
        <v>1183</v>
      </c>
      <c r="K1005" s="9">
        <v>45286</v>
      </c>
      <c r="L1005" s="9">
        <v>46600</v>
      </c>
      <c r="M1005" s="8" t="s">
        <v>16</v>
      </c>
      <c r="P1005" s="16" t="s">
        <v>845</v>
      </c>
      <c r="Q1005" s="2" t="s">
        <v>838</v>
      </c>
      <c r="S1005" s="8" t="s">
        <v>1337</v>
      </c>
      <c r="T1005" s="9">
        <v>46116</v>
      </c>
      <c r="U1005" s="8">
        <v>0</v>
      </c>
      <c r="V1005" s="20">
        <v>1885</v>
      </c>
      <c r="W1005" s="21" t="s">
        <v>43</v>
      </c>
    </row>
    <row r="1006" spans="1:23" ht="60">
      <c r="A1006" s="8" t="s">
        <v>3218</v>
      </c>
      <c r="B1006" s="8" t="s">
        <v>1184</v>
      </c>
      <c r="C1006" s="8" t="s">
        <v>2197</v>
      </c>
      <c r="D1006" s="8" t="s">
        <v>18</v>
      </c>
      <c r="E1006" s="8" t="s">
        <v>16</v>
      </c>
      <c r="F1006" s="8" t="s">
        <v>2198</v>
      </c>
      <c r="G1006" s="8" t="s">
        <v>3217</v>
      </c>
      <c r="H1006" s="8">
        <v>480</v>
      </c>
      <c r="I1006" s="8">
        <v>220</v>
      </c>
      <c r="J1006" s="8">
        <v>423001</v>
      </c>
      <c r="K1006" s="9">
        <v>45286</v>
      </c>
      <c r="L1006" s="9">
        <v>46692</v>
      </c>
      <c r="M1006" s="8" t="s">
        <v>16</v>
      </c>
      <c r="P1006" s="16" t="s">
        <v>845</v>
      </c>
      <c r="Q1006" s="2" t="s">
        <v>838</v>
      </c>
      <c r="S1006" s="8" t="s">
        <v>1338</v>
      </c>
      <c r="T1006" s="9" t="s">
        <v>2222</v>
      </c>
      <c r="U1006" s="8">
        <v>0</v>
      </c>
      <c r="V1006" s="20">
        <v>10</v>
      </c>
      <c r="W1006" s="21" t="s">
        <v>43</v>
      </c>
    </row>
    <row r="1007" spans="1:23" ht="60">
      <c r="A1007" s="8" t="s">
        <v>3218</v>
      </c>
      <c r="B1007" s="8" t="s">
        <v>1184</v>
      </c>
      <c r="C1007" s="8" t="s">
        <v>2197</v>
      </c>
      <c r="D1007" s="8" t="s">
        <v>18</v>
      </c>
      <c r="E1007" s="8" t="s">
        <v>16</v>
      </c>
      <c r="F1007" s="8" t="s">
        <v>2198</v>
      </c>
      <c r="G1007" s="8" t="s">
        <v>3217</v>
      </c>
      <c r="H1007" s="8">
        <v>480</v>
      </c>
      <c r="I1007" s="8">
        <v>260</v>
      </c>
      <c r="J1007" s="8">
        <v>122008</v>
      </c>
      <c r="K1007" s="9">
        <v>44921</v>
      </c>
      <c r="L1007" s="9">
        <v>46692</v>
      </c>
      <c r="M1007" s="8" t="s">
        <v>16</v>
      </c>
      <c r="P1007" s="16" t="s">
        <v>938</v>
      </c>
      <c r="Q1007" s="2" t="s">
        <v>838</v>
      </c>
      <c r="S1007" s="8" t="s">
        <v>1339</v>
      </c>
      <c r="T1007" s="9">
        <v>47209</v>
      </c>
      <c r="U1007" s="8">
        <v>0</v>
      </c>
      <c r="V1007" s="20">
        <v>6</v>
      </c>
      <c r="W1007" s="21" t="s">
        <v>16</v>
      </c>
    </row>
    <row r="1008" spans="1:23" ht="60">
      <c r="A1008" s="8" t="s">
        <v>3219</v>
      </c>
      <c r="B1008" s="8" t="s">
        <v>1185</v>
      </c>
      <c r="C1008" s="8" t="s">
        <v>2197</v>
      </c>
      <c r="D1008" s="8" t="s">
        <v>18</v>
      </c>
      <c r="E1008" s="8" t="s">
        <v>2217</v>
      </c>
      <c r="F1008" s="8" t="s">
        <v>2217</v>
      </c>
      <c r="G1008" s="8" t="s">
        <v>2217</v>
      </c>
      <c r="H1008" s="8">
        <v>400</v>
      </c>
      <c r="I1008" s="8">
        <v>400</v>
      </c>
      <c r="J1008" s="8" t="s">
        <v>1186</v>
      </c>
      <c r="K1008" s="9">
        <v>45440</v>
      </c>
      <c r="L1008" s="9">
        <v>46813</v>
      </c>
      <c r="M1008" s="8" t="s">
        <v>16</v>
      </c>
      <c r="P1008" s="16" t="s">
        <v>938</v>
      </c>
      <c r="Q1008" s="2" t="s">
        <v>838</v>
      </c>
      <c r="S1008" s="8" t="s">
        <v>1339</v>
      </c>
      <c r="T1008" s="9">
        <v>47270</v>
      </c>
      <c r="U1008" s="8">
        <v>0</v>
      </c>
      <c r="V1008" s="20">
        <v>3100</v>
      </c>
      <c r="W1008" s="21" t="s">
        <v>16</v>
      </c>
    </row>
    <row r="1009" spans="1:23" ht="60">
      <c r="A1009" s="8" t="s">
        <v>3220</v>
      </c>
      <c r="B1009" s="8" t="s">
        <v>1187</v>
      </c>
      <c r="C1009" s="8" t="s">
        <v>2203</v>
      </c>
      <c r="D1009" s="8" t="s">
        <v>15</v>
      </c>
      <c r="E1009" s="8" t="s">
        <v>151</v>
      </c>
      <c r="F1009" s="8" t="s">
        <v>151</v>
      </c>
      <c r="G1009" s="8" t="s">
        <v>3221</v>
      </c>
      <c r="H1009" s="8">
        <v>105</v>
      </c>
      <c r="I1009" s="8">
        <v>105</v>
      </c>
      <c r="J1009" s="8">
        <v>0</v>
      </c>
      <c r="K1009" s="9">
        <v>45448</v>
      </c>
      <c r="L1009" s="9">
        <v>46508</v>
      </c>
      <c r="M1009" s="8" t="s">
        <v>151</v>
      </c>
      <c r="P1009" s="16" t="s">
        <v>938</v>
      </c>
      <c r="Q1009" s="2" t="s">
        <v>838</v>
      </c>
      <c r="S1009" s="8" t="s">
        <v>1340</v>
      </c>
      <c r="T1009" s="9">
        <v>47209</v>
      </c>
      <c r="U1009" s="8">
        <v>0</v>
      </c>
      <c r="V1009" s="20">
        <v>116</v>
      </c>
      <c r="W1009" s="21" t="s">
        <v>16</v>
      </c>
    </row>
    <row r="1010" spans="1:23" ht="60">
      <c r="A1010" s="8" t="s">
        <v>3220</v>
      </c>
      <c r="B1010" s="8" t="s">
        <v>1187</v>
      </c>
      <c r="C1010" s="8" t="s">
        <v>2203</v>
      </c>
      <c r="D1010" s="8" t="s">
        <v>18</v>
      </c>
      <c r="E1010" s="8" t="s">
        <v>151</v>
      </c>
      <c r="F1010" s="8" t="s">
        <v>151</v>
      </c>
      <c r="G1010" s="8" t="s">
        <v>3221</v>
      </c>
      <c r="H1010" s="8">
        <v>6511</v>
      </c>
      <c r="I1010" s="8">
        <v>6511</v>
      </c>
      <c r="J1010" s="8">
        <v>0</v>
      </c>
      <c r="K1010" s="9">
        <v>45448</v>
      </c>
      <c r="L1010" s="9">
        <v>46508</v>
      </c>
      <c r="M1010" s="8" t="s">
        <v>151</v>
      </c>
      <c r="P1010" s="16" t="s">
        <v>938</v>
      </c>
      <c r="Q1010" s="2" t="s">
        <v>838</v>
      </c>
      <c r="S1010" s="8" t="s">
        <v>1340</v>
      </c>
      <c r="T1010" s="9">
        <v>47239</v>
      </c>
      <c r="U1010" s="8">
        <v>0</v>
      </c>
      <c r="V1010" s="20">
        <v>5000</v>
      </c>
      <c r="W1010" s="21" t="s">
        <v>16</v>
      </c>
    </row>
    <row r="1011" spans="1:23" ht="60">
      <c r="A1011" s="8" t="s">
        <v>3222</v>
      </c>
      <c r="B1011" s="8" t="s">
        <v>1188</v>
      </c>
      <c r="C1011" s="8" t="s">
        <v>2203</v>
      </c>
      <c r="D1011" s="8" t="s">
        <v>18</v>
      </c>
      <c r="E1011" s="8" t="s">
        <v>151</v>
      </c>
      <c r="F1011" s="8" t="s">
        <v>151</v>
      </c>
      <c r="G1011" s="8" t="s">
        <v>3223</v>
      </c>
      <c r="H1011" s="8">
        <v>1055</v>
      </c>
      <c r="I1011" s="8">
        <v>1055</v>
      </c>
      <c r="J1011" s="8">
        <v>0</v>
      </c>
      <c r="K1011" s="9">
        <v>45366</v>
      </c>
      <c r="L1011" s="9">
        <v>46388</v>
      </c>
      <c r="M1011" s="8" t="s">
        <v>151</v>
      </c>
      <c r="P1011" s="16" t="s">
        <v>938</v>
      </c>
      <c r="Q1011" s="2" t="s">
        <v>838</v>
      </c>
      <c r="S1011" s="8" t="s">
        <v>1341</v>
      </c>
      <c r="T1011" s="9">
        <v>46478</v>
      </c>
      <c r="U1011" s="8">
        <v>0</v>
      </c>
      <c r="V1011" s="20">
        <v>2</v>
      </c>
      <c r="W1011" s="21" t="s">
        <v>151</v>
      </c>
    </row>
    <row r="1012" spans="1:23" ht="45">
      <c r="A1012" s="8" t="s">
        <v>3224</v>
      </c>
      <c r="B1012" s="8" t="s">
        <v>1189</v>
      </c>
      <c r="C1012" s="8" t="s">
        <v>2197</v>
      </c>
      <c r="D1012" s="8" t="s">
        <v>18</v>
      </c>
      <c r="E1012" s="8" t="s">
        <v>16</v>
      </c>
      <c r="F1012" s="8" t="s">
        <v>2198</v>
      </c>
      <c r="G1012" s="8" t="s">
        <v>3225</v>
      </c>
      <c r="H1012" s="8">
        <v>45</v>
      </c>
      <c r="I1012" s="8">
        <v>45</v>
      </c>
      <c r="J1012" s="8">
        <v>14806</v>
      </c>
      <c r="K1012" s="9">
        <v>45107</v>
      </c>
      <c r="L1012" s="9">
        <v>45658</v>
      </c>
      <c r="M1012" s="8" t="s">
        <v>16</v>
      </c>
      <c r="P1012" s="16" t="s">
        <v>938</v>
      </c>
      <c r="Q1012" s="2" t="s">
        <v>838</v>
      </c>
      <c r="S1012" s="8" t="s">
        <v>1341</v>
      </c>
      <c r="T1012" s="9">
        <v>46508</v>
      </c>
      <c r="U1012" s="8">
        <v>0</v>
      </c>
      <c r="V1012" s="20">
        <v>7855</v>
      </c>
      <c r="W1012" s="21" t="s">
        <v>151</v>
      </c>
    </row>
    <row r="1013" spans="1:23" ht="60">
      <c r="A1013" s="8" t="s">
        <v>3226</v>
      </c>
      <c r="B1013" s="8" t="s">
        <v>1190</v>
      </c>
      <c r="C1013" s="8" t="s">
        <v>2197</v>
      </c>
      <c r="D1013" s="8" t="s">
        <v>18</v>
      </c>
      <c r="E1013" s="8" t="s">
        <v>16</v>
      </c>
      <c r="F1013" s="8" t="s">
        <v>2198</v>
      </c>
      <c r="G1013" s="8" t="s">
        <v>3225</v>
      </c>
      <c r="H1013" s="8">
        <v>71</v>
      </c>
      <c r="I1013" s="8">
        <v>71</v>
      </c>
      <c r="J1013" s="8">
        <v>148004</v>
      </c>
      <c r="K1013" s="9">
        <v>44765</v>
      </c>
      <c r="L1013" s="9">
        <v>46113</v>
      </c>
      <c r="M1013" s="8" t="s">
        <v>16</v>
      </c>
      <c r="P1013" s="16" t="s">
        <v>945</v>
      </c>
      <c r="Q1013" s="2" t="s">
        <v>838</v>
      </c>
      <c r="S1013" s="8" t="s">
        <v>1342</v>
      </c>
      <c r="T1013" s="9">
        <v>46661</v>
      </c>
      <c r="U1013" s="8">
        <v>0</v>
      </c>
      <c r="V1013" s="20">
        <v>26</v>
      </c>
      <c r="W1013" s="21" t="s">
        <v>16</v>
      </c>
    </row>
    <row r="1014" spans="1:23" ht="45">
      <c r="A1014" s="8" t="s">
        <v>3227</v>
      </c>
      <c r="B1014" s="8" t="s">
        <v>1191</v>
      </c>
      <c r="C1014" s="8" t="s">
        <v>2197</v>
      </c>
      <c r="D1014" s="8" t="s">
        <v>18</v>
      </c>
      <c r="E1014" s="8" t="s">
        <v>16</v>
      </c>
      <c r="F1014" s="8" t="s">
        <v>2198</v>
      </c>
      <c r="G1014" s="8" t="s">
        <v>3225</v>
      </c>
      <c r="H1014" s="8">
        <v>308</v>
      </c>
      <c r="I1014" s="8">
        <v>308</v>
      </c>
      <c r="J1014" s="8">
        <v>20220316</v>
      </c>
      <c r="K1014" s="9">
        <v>45244</v>
      </c>
      <c r="L1014" s="9">
        <v>46844</v>
      </c>
      <c r="M1014" s="8" t="s">
        <v>16</v>
      </c>
      <c r="P1014" s="17" t="s">
        <v>947</v>
      </c>
      <c r="Q1014" s="2" t="s">
        <v>838</v>
      </c>
      <c r="S1014" s="8" t="s">
        <v>1343</v>
      </c>
      <c r="T1014" s="9">
        <v>46722</v>
      </c>
      <c r="U1014" s="8">
        <v>0</v>
      </c>
      <c r="V1014" s="20">
        <v>19</v>
      </c>
      <c r="W1014" s="21" t="s">
        <v>16</v>
      </c>
    </row>
    <row r="1015" spans="1:23" ht="45">
      <c r="A1015" s="8" t="s">
        <v>3228</v>
      </c>
      <c r="B1015" s="8" t="s">
        <v>1192</v>
      </c>
      <c r="C1015" s="8" t="s">
        <v>2197</v>
      </c>
      <c r="D1015" s="8" t="s">
        <v>192</v>
      </c>
      <c r="E1015" s="8" t="s">
        <v>16</v>
      </c>
      <c r="F1015" s="8" t="s">
        <v>2198</v>
      </c>
      <c r="G1015" s="8" t="s">
        <v>3225</v>
      </c>
      <c r="H1015" s="8">
        <v>7</v>
      </c>
      <c r="I1015" s="8">
        <v>7</v>
      </c>
      <c r="J1015" s="8">
        <v>148004</v>
      </c>
      <c r="K1015" s="9">
        <v>44460</v>
      </c>
      <c r="L1015" s="9">
        <v>45413</v>
      </c>
      <c r="M1015" s="8" t="s">
        <v>16</v>
      </c>
      <c r="P1015" s="16" t="s">
        <v>949</v>
      </c>
      <c r="Q1015" s="2" t="s">
        <v>838</v>
      </c>
      <c r="S1015" s="8" t="s">
        <v>1343</v>
      </c>
      <c r="T1015" s="9">
        <v>47178</v>
      </c>
      <c r="U1015" s="8">
        <v>0</v>
      </c>
      <c r="V1015" s="20">
        <v>480</v>
      </c>
      <c r="W1015" s="21" t="s">
        <v>16</v>
      </c>
    </row>
    <row r="1016" spans="1:23" ht="45">
      <c r="A1016" s="8" t="s">
        <v>3229</v>
      </c>
      <c r="B1016" s="8" t="s">
        <v>1192</v>
      </c>
      <c r="C1016" s="8" t="s">
        <v>2197</v>
      </c>
      <c r="D1016" s="8" t="s">
        <v>18</v>
      </c>
      <c r="E1016" s="8" t="s">
        <v>16</v>
      </c>
      <c r="F1016" s="8" t="s">
        <v>2198</v>
      </c>
      <c r="G1016" s="8" t="s">
        <v>3225</v>
      </c>
      <c r="H1016" s="8">
        <v>25</v>
      </c>
      <c r="I1016" s="8">
        <v>25</v>
      </c>
      <c r="J1016" s="8">
        <v>20210328</v>
      </c>
      <c r="K1016" s="9">
        <v>44460</v>
      </c>
      <c r="L1016" s="9">
        <v>46143</v>
      </c>
      <c r="M1016" s="8" t="s">
        <v>16</v>
      </c>
      <c r="P1016" s="16" t="s">
        <v>951</v>
      </c>
      <c r="Q1016" s="2" t="s">
        <v>838</v>
      </c>
      <c r="S1016" s="8" t="s">
        <v>1344</v>
      </c>
      <c r="T1016" s="9">
        <v>46784</v>
      </c>
      <c r="U1016" s="8">
        <v>0</v>
      </c>
      <c r="V1016" s="20">
        <v>202</v>
      </c>
      <c r="W1016" s="21" t="s">
        <v>16</v>
      </c>
    </row>
    <row r="1017" spans="1:23" ht="45">
      <c r="A1017" s="8" t="s">
        <v>3230</v>
      </c>
      <c r="B1017" s="8" t="s">
        <v>1193</v>
      </c>
      <c r="C1017" s="8" t="s">
        <v>2221</v>
      </c>
      <c r="D1017" s="8" t="s">
        <v>18</v>
      </c>
      <c r="E1017" s="8" t="s">
        <v>43</v>
      </c>
      <c r="F1017" s="8" t="s">
        <v>3231</v>
      </c>
      <c r="G1017" s="8" t="s">
        <v>2217</v>
      </c>
      <c r="H1017" s="8">
        <v>1</v>
      </c>
      <c r="I1017" s="8">
        <v>1</v>
      </c>
      <c r="J1017" s="8">
        <v>0</v>
      </c>
      <c r="K1017" s="9">
        <v>44646</v>
      </c>
      <c r="L1017" s="8" t="s">
        <v>2222</v>
      </c>
      <c r="M1017" s="8" t="s">
        <v>43</v>
      </c>
      <c r="P1017" s="16" t="s">
        <v>951</v>
      </c>
      <c r="Q1017" s="2" t="s">
        <v>838</v>
      </c>
      <c r="S1017" s="8" t="s">
        <v>1344</v>
      </c>
      <c r="T1017" s="9">
        <v>47088</v>
      </c>
      <c r="U1017" s="8">
        <v>0</v>
      </c>
      <c r="V1017" s="20">
        <v>500</v>
      </c>
      <c r="W1017" s="21" t="s">
        <v>16</v>
      </c>
    </row>
    <row r="1018" spans="1:23" ht="45">
      <c r="A1018" s="8" t="s">
        <v>3232</v>
      </c>
      <c r="B1018" s="8" t="s">
        <v>1194</v>
      </c>
      <c r="C1018" s="8" t="s">
        <v>2221</v>
      </c>
      <c r="D1018" s="8" t="s">
        <v>18</v>
      </c>
      <c r="E1018" s="8" t="s">
        <v>101</v>
      </c>
      <c r="F1018" s="8" t="s">
        <v>2498</v>
      </c>
      <c r="G1018" s="8" t="s">
        <v>1194</v>
      </c>
      <c r="H1018" s="8">
        <v>40</v>
      </c>
      <c r="I1018" s="8">
        <v>40</v>
      </c>
      <c r="J1018" s="8">
        <v>0</v>
      </c>
      <c r="K1018" s="8" t="s">
        <v>2222</v>
      </c>
      <c r="L1018" s="8" t="s">
        <v>2222</v>
      </c>
      <c r="M1018" s="8" t="s">
        <v>41</v>
      </c>
      <c r="P1018" s="16" t="s">
        <v>954</v>
      </c>
      <c r="Q1018" s="2" t="s">
        <v>838</v>
      </c>
      <c r="S1018" s="8" t="s">
        <v>1345</v>
      </c>
      <c r="T1018" s="9">
        <v>46692</v>
      </c>
      <c r="U1018" s="8">
        <v>0</v>
      </c>
      <c r="V1018" s="20">
        <v>8</v>
      </c>
      <c r="W1018" s="21" t="s">
        <v>16</v>
      </c>
    </row>
    <row r="1019" spans="1:23" ht="45">
      <c r="A1019" s="8" t="s">
        <v>3233</v>
      </c>
      <c r="B1019" s="8" t="s">
        <v>1195</v>
      </c>
      <c r="C1019" s="8" t="s">
        <v>2197</v>
      </c>
      <c r="D1019" s="8" t="s">
        <v>18</v>
      </c>
      <c r="E1019" s="8" t="s">
        <v>16</v>
      </c>
      <c r="F1019" s="8" t="s">
        <v>2198</v>
      </c>
      <c r="G1019" s="8" t="s">
        <v>3234</v>
      </c>
      <c r="H1019" s="8">
        <v>2900</v>
      </c>
      <c r="I1019" s="8">
        <v>2900</v>
      </c>
      <c r="J1019" s="8">
        <v>23033003</v>
      </c>
      <c r="K1019" s="9">
        <v>45344</v>
      </c>
      <c r="L1019" s="9">
        <v>46784</v>
      </c>
      <c r="M1019" s="8" t="s">
        <v>16</v>
      </c>
      <c r="P1019" s="16" t="s">
        <v>954</v>
      </c>
      <c r="Q1019" s="2" t="s">
        <v>838</v>
      </c>
      <c r="S1019" s="8" t="s">
        <v>1346</v>
      </c>
      <c r="T1019" s="9">
        <v>46722</v>
      </c>
      <c r="U1019" s="8">
        <v>0</v>
      </c>
      <c r="V1019" s="20">
        <v>301</v>
      </c>
      <c r="W1019" s="21" t="s">
        <v>16</v>
      </c>
    </row>
    <row r="1020" spans="1:23" ht="45">
      <c r="A1020" s="8" t="s">
        <v>3235</v>
      </c>
      <c r="B1020" s="8" t="s">
        <v>1196</v>
      </c>
      <c r="C1020" s="8" t="s">
        <v>2197</v>
      </c>
      <c r="D1020" s="8" t="s">
        <v>18</v>
      </c>
      <c r="E1020" s="8" t="s">
        <v>16</v>
      </c>
      <c r="F1020" s="8" t="s">
        <v>2198</v>
      </c>
      <c r="G1020" s="8" t="s">
        <v>3234</v>
      </c>
      <c r="H1020" s="8">
        <v>364</v>
      </c>
      <c r="I1020" s="8">
        <v>4</v>
      </c>
      <c r="J1020" s="8">
        <v>21082721</v>
      </c>
      <c r="K1020" s="9">
        <v>44467</v>
      </c>
      <c r="L1020" s="9">
        <v>46204</v>
      </c>
      <c r="M1020" s="8" t="s">
        <v>16</v>
      </c>
      <c r="P1020" s="16" t="s">
        <v>954</v>
      </c>
      <c r="Q1020" s="2" t="s">
        <v>838</v>
      </c>
      <c r="S1020" s="8" t="s">
        <v>1346</v>
      </c>
      <c r="T1020" s="9">
        <v>47058</v>
      </c>
      <c r="U1020" s="8">
        <v>0</v>
      </c>
      <c r="V1020" s="20">
        <v>2000</v>
      </c>
      <c r="W1020" s="21" t="s">
        <v>16</v>
      </c>
    </row>
    <row r="1021" spans="1:23" ht="60">
      <c r="A1021" s="8" t="s">
        <v>3235</v>
      </c>
      <c r="B1021" s="8" t="s">
        <v>1196</v>
      </c>
      <c r="C1021" s="8" t="s">
        <v>2197</v>
      </c>
      <c r="D1021" s="8" t="s">
        <v>18</v>
      </c>
      <c r="E1021" s="8" t="s">
        <v>16</v>
      </c>
      <c r="F1021" s="8" t="s">
        <v>2198</v>
      </c>
      <c r="G1021" s="8" t="s">
        <v>3234</v>
      </c>
      <c r="H1021" s="8">
        <v>364</v>
      </c>
      <c r="I1021" s="8">
        <v>360</v>
      </c>
      <c r="J1021" s="8">
        <v>23081406</v>
      </c>
      <c r="K1021" s="9">
        <v>45174</v>
      </c>
      <c r="L1021" s="9">
        <v>46935</v>
      </c>
      <c r="M1021" s="8" t="s">
        <v>16</v>
      </c>
      <c r="P1021" s="16" t="s">
        <v>954</v>
      </c>
      <c r="Q1021" s="2" t="s">
        <v>838</v>
      </c>
      <c r="S1021" s="8" t="s">
        <v>1347</v>
      </c>
      <c r="T1021" s="9">
        <v>45444</v>
      </c>
      <c r="U1021" s="8">
        <v>0</v>
      </c>
      <c r="V1021" s="20">
        <v>75</v>
      </c>
      <c r="W1021" s="21" t="s">
        <v>38</v>
      </c>
    </row>
    <row r="1022" spans="1:23" ht="45">
      <c r="A1022" s="8" t="s">
        <v>3236</v>
      </c>
      <c r="B1022" s="8" t="s">
        <v>1197</v>
      </c>
      <c r="C1022" s="8" t="s">
        <v>2197</v>
      </c>
      <c r="D1022" s="8" t="s">
        <v>18</v>
      </c>
      <c r="E1022" s="8" t="s">
        <v>16</v>
      </c>
      <c r="F1022" s="8" t="s">
        <v>2198</v>
      </c>
      <c r="G1022" s="8" t="s">
        <v>3234</v>
      </c>
      <c r="H1022" s="8">
        <v>519</v>
      </c>
      <c r="I1022" s="8">
        <v>19</v>
      </c>
      <c r="J1022" s="8">
        <v>22112417</v>
      </c>
      <c r="K1022" s="9">
        <v>45174</v>
      </c>
      <c r="L1022" s="9">
        <v>46661</v>
      </c>
      <c r="M1022" s="8" t="s">
        <v>16</v>
      </c>
      <c r="P1022" s="16" t="s">
        <v>954</v>
      </c>
      <c r="Q1022" s="2" t="s">
        <v>838</v>
      </c>
      <c r="S1022" s="8" t="s">
        <v>1348</v>
      </c>
      <c r="T1022" s="9">
        <v>46935</v>
      </c>
      <c r="U1022" s="8">
        <v>0</v>
      </c>
      <c r="V1022" s="20">
        <v>952</v>
      </c>
      <c r="W1022" s="21" t="s">
        <v>16</v>
      </c>
    </row>
    <row r="1023" spans="1:23" ht="60">
      <c r="A1023" s="8" t="s">
        <v>3236</v>
      </c>
      <c r="B1023" s="8" t="s">
        <v>1197</v>
      </c>
      <c r="C1023" s="8" t="s">
        <v>2197</v>
      </c>
      <c r="D1023" s="8" t="s">
        <v>18</v>
      </c>
      <c r="E1023" s="8" t="s">
        <v>16</v>
      </c>
      <c r="F1023" s="8" t="s">
        <v>2198</v>
      </c>
      <c r="G1023" s="8" t="s">
        <v>3234</v>
      </c>
      <c r="H1023" s="8">
        <v>519</v>
      </c>
      <c r="I1023" s="8">
        <v>500</v>
      </c>
      <c r="J1023" s="8">
        <v>23062709</v>
      </c>
      <c r="K1023" s="9">
        <v>45370</v>
      </c>
      <c r="L1023" s="9">
        <v>46874</v>
      </c>
      <c r="M1023" s="8" t="s">
        <v>16</v>
      </c>
      <c r="P1023" s="16" t="s">
        <v>954</v>
      </c>
      <c r="Q1023" s="2" t="s">
        <v>838</v>
      </c>
      <c r="S1023" s="8" t="s">
        <v>1349</v>
      </c>
      <c r="T1023" s="9" t="s">
        <v>2222</v>
      </c>
      <c r="U1023" s="8">
        <v>0</v>
      </c>
      <c r="V1023" s="20">
        <v>9</v>
      </c>
      <c r="W1023" s="21" t="s">
        <v>38</v>
      </c>
    </row>
    <row r="1024" spans="1:23" ht="45">
      <c r="A1024" s="8" t="s">
        <v>3237</v>
      </c>
      <c r="B1024" s="8" t="s">
        <v>1198</v>
      </c>
      <c r="C1024" s="8" t="s">
        <v>2197</v>
      </c>
      <c r="D1024" s="8" t="s">
        <v>18</v>
      </c>
      <c r="E1024" s="8" t="s">
        <v>16</v>
      </c>
      <c r="F1024" s="8" t="s">
        <v>2198</v>
      </c>
      <c r="G1024" s="8" t="s">
        <v>3234</v>
      </c>
      <c r="H1024" s="8">
        <v>1240</v>
      </c>
      <c r="I1024" s="8">
        <v>80</v>
      </c>
      <c r="J1024" s="8">
        <v>24061004</v>
      </c>
      <c r="K1024" s="9">
        <v>45457</v>
      </c>
      <c r="L1024" s="9">
        <v>46508</v>
      </c>
      <c r="M1024" s="8" t="s">
        <v>16</v>
      </c>
      <c r="P1024" s="16" t="s">
        <v>954</v>
      </c>
      <c r="Q1024" s="2" t="s">
        <v>838</v>
      </c>
      <c r="S1024" s="8" t="s">
        <v>1350</v>
      </c>
      <c r="T1024" s="9">
        <v>46874</v>
      </c>
      <c r="U1024" s="8">
        <v>0</v>
      </c>
      <c r="V1024" s="20">
        <v>1122</v>
      </c>
      <c r="W1024" s="21" t="s">
        <v>16</v>
      </c>
    </row>
    <row r="1025" spans="1:23" ht="45">
      <c r="A1025" s="8" t="s">
        <v>3237</v>
      </c>
      <c r="B1025" s="8" t="s">
        <v>1198</v>
      </c>
      <c r="C1025" s="8" t="s">
        <v>2197</v>
      </c>
      <c r="D1025" s="8" t="s">
        <v>18</v>
      </c>
      <c r="E1025" s="8" t="s">
        <v>16</v>
      </c>
      <c r="F1025" s="8" t="s">
        <v>2198</v>
      </c>
      <c r="G1025" s="8" t="s">
        <v>3234</v>
      </c>
      <c r="H1025" s="8">
        <v>1240</v>
      </c>
      <c r="I1025" s="8">
        <v>1160</v>
      </c>
      <c r="J1025" s="8">
        <v>22112416</v>
      </c>
      <c r="K1025" s="9">
        <v>45328</v>
      </c>
      <c r="L1025" s="9">
        <v>46661</v>
      </c>
      <c r="M1025" s="8" t="s">
        <v>16</v>
      </c>
      <c r="P1025" s="16" t="s">
        <v>954</v>
      </c>
      <c r="Q1025" s="2" t="s">
        <v>838</v>
      </c>
      <c r="S1025" s="8" t="s">
        <v>1352</v>
      </c>
      <c r="T1025" s="9">
        <v>46722</v>
      </c>
      <c r="U1025" s="8">
        <v>0</v>
      </c>
      <c r="V1025" s="20">
        <v>111</v>
      </c>
      <c r="W1025" s="21" t="s">
        <v>16</v>
      </c>
    </row>
    <row r="1026" spans="1:23" ht="60">
      <c r="A1026" s="8" t="s">
        <v>3238</v>
      </c>
      <c r="B1026" s="8" t="s">
        <v>1199</v>
      </c>
      <c r="C1026" s="8" t="s">
        <v>2221</v>
      </c>
      <c r="D1026" s="8" t="s">
        <v>18</v>
      </c>
      <c r="E1026" s="8" t="s">
        <v>43</v>
      </c>
      <c r="F1026" s="8" t="s">
        <v>2217</v>
      </c>
      <c r="G1026" s="8" t="s">
        <v>2217</v>
      </c>
      <c r="H1026" s="8">
        <v>270</v>
      </c>
      <c r="I1026" s="8">
        <v>270</v>
      </c>
      <c r="J1026" s="8">
        <v>0</v>
      </c>
      <c r="K1026" s="9">
        <v>44161</v>
      </c>
      <c r="L1026" s="8" t="s">
        <v>2222</v>
      </c>
      <c r="M1026" s="8" t="s">
        <v>43</v>
      </c>
      <c r="P1026" s="17" t="s">
        <v>963</v>
      </c>
      <c r="Q1026" s="2" t="s">
        <v>38</v>
      </c>
      <c r="S1026" s="8" t="s">
        <v>1354</v>
      </c>
      <c r="T1026" s="9">
        <v>46419</v>
      </c>
      <c r="U1026" s="8">
        <v>0</v>
      </c>
      <c r="V1026" s="20">
        <v>549</v>
      </c>
      <c r="W1026" s="21" t="s">
        <v>16</v>
      </c>
    </row>
    <row r="1027" spans="1:23" ht="60">
      <c r="A1027" s="8" t="s">
        <v>3239</v>
      </c>
      <c r="B1027" s="8" t="s">
        <v>1200</v>
      </c>
      <c r="C1027" s="8" t="s">
        <v>2221</v>
      </c>
      <c r="D1027" s="8" t="s">
        <v>18</v>
      </c>
      <c r="E1027" s="8" t="s">
        <v>101</v>
      </c>
      <c r="F1027" s="8" t="s">
        <v>3240</v>
      </c>
      <c r="G1027" s="8" t="s">
        <v>1200</v>
      </c>
      <c r="H1027" s="8">
        <v>110</v>
      </c>
      <c r="I1027" s="8">
        <v>110</v>
      </c>
      <c r="J1027" s="8">
        <v>0</v>
      </c>
      <c r="K1027" s="9">
        <v>44161</v>
      </c>
      <c r="L1027" s="8" t="s">
        <v>2222</v>
      </c>
      <c r="M1027" s="8" t="s">
        <v>41</v>
      </c>
      <c r="P1027" s="17" t="s">
        <v>963</v>
      </c>
      <c r="Q1027" s="2" t="s">
        <v>38</v>
      </c>
      <c r="S1027" s="8" t="s">
        <v>1356</v>
      </c>
      <c r="T1027" s="9">
        <v>46478</v>
      </c>
      <c r="U1027" s="8">
        <v>0</v>
      </c>
      <c r="V1027" s="20">
        <v>750</v>
      </c>
      <c r="W1027" s="21" t="s">
        <v>16</v>
      </c>
    </row>
    <row r="1028" spans="1:23" ht="60">
      <c r="A1028" s="8" t="s">
        <v>3241</v>
      </c>
      <c r="B1028" s="8" t="s">
        <v>1200</v>
      </c>
      <c r="C1028" s="8" t="s">
        <v>2221</v>
      </c>
      <c r="D1028" s="8" t="s">
        <v>18</v>
      </c>
      <c r="E1028" s="8" t="s">
        <v>101</v>
      </c>
      <c r="F1028" s="8" t="s">
        <v>3240</v>
      </c>
      <c r="G1028" s="8" t="s">
        <v>1200</v>
      </c>
      <c r="H1028" s="8">
        <v>366</v>
      </c>
      <c r="I1028" s="8">
        <v>366</v>
      </c>
      <c r="J1028" s="8">
        <v>0</v>
      </c>
      <c r="K1028" s="9">
        <v>44146</v>
      </c>
      <c r="L1028" s="8" t="s">
        <v>2222</v>
      </c>
      <c r="M1028" s="8" t="s">
        <v>41</v>
      </c>
      <c r="P1028" s="16" t="s">
        <v>966</v>
      </c>
      <c r="Q1028" s="2" t="s">
        <v>838</v>
      </c>
      <c r="S1028" s="8" t="s">
        <v>1357</v>
      </c>
      <c r="T1028" s="9" t="s">
        <v>2222</v>
      </c>
      <c r="U1028" s="8">
        <v>0</v>
      </c>
      <c r="V1028" s="20">
        <v>635</v>
      </c>
      <c r="W1028" s="21" t="s">
        <v>101</v>
      </c>
    </row>
    <row r="1029" spans="1:23" ht="75">
      <c r="A1029" s="8" t="s">
        <v>3242</v>
      </c>
      <c r="B1029" s="8" t="s">
        <v>1201</v>
      </c>
      <c r="C1029" s="8" t="s">
        <v>2221</v>
      </c>
      <c r="D1029" s="8" t="s">
        <v>18</v>
      </c>
      <c r="E1029" s="8" t="s">
        <v>101</v>
      </c>
      <c r="F1029" s="8" t="s">
        <v>3240</v>
      </c>
      <c r="G1029" s="8" t="s">
        <v>3243</v>
      </c>
      <c r="H1029" s="8">
        <v>850</v>
      </c>
      <c r="I1029" s="8">
        <v>850</v>
      </c>
      <c r="J1029" s="8">
        <v>0</v>
      </c>
      <c r="K1029" s="9">
        <v>45384</v>
      </c>
      <c r="L1029" s="8" t="s">
        <v>2222</v>
      </c>
      <c r="M1029" s="8" t="s">
        <v>41</v>
      </c>
      <c r="P1029" s="16" t="s">
        <v>966</v>
      </c>
      <c r="Q1029" s="2" t="s">
        <v>838</v>
      </c>
      <c r="S1029" s="8" t="s">
        <v>1358</v>
      </c>
      <c r="T1029" s="9" t="s">
        <v>2222</v>
      </c>
      <c r="U1029" s="8">
        <v>0</v>
      </c>
      <c r="V1029" s="20">
        <v>32</v>
      </c>
      <c r="W1029" s="21" t="s">
        <v>1359</v>
      </c>
    </row>
    <row r="1030" spans="1:23" ht="90">
      <c r="A1030" s="8" t="s">
        <v>3244</v>
      </c>
      <c r="B1030" s="8" t="s">
        <v>1202</v>
      </c>
      <c r="C1030" s="8" t="s">
        <v>2221</v>
      </c>
      <c r="D1030" s="8" t="s">
        <v>18</v>
      </c>
      <c r="E1030" s="8" t="s">
        <v>2217</v>
      </c>
      <c r="F1030" s="8" t="s">
        <v>2217</v>
      </c>
      <c r="G1030" s="8" t="s">
        <v>2217</v>
      </c>
      <c r="H1030" s="8">
        <v>1</v>
      </c>
      <c r="I1030" s="8">
        <v>1</v>
      </c>
      <c r="J1030" s="8">
        <v>0</v>
      </c>
      <c r="K1030" s="8" t="s">
        <v>2222</v>
      </c>
      <c r="L1030" s="8" t="s">
        <v>2222</v>
      </c>
      <c r="M1030" s="8" t="s">
        <v>38</v>
      </c>
      <c r="P1030" s="16" t="s">
        <v>966</v>
      </c>
      <c r="Q1030" s="2" t="s">
        <v>838</v>
      </c>
      <c r="S1030" s="8" t="s">
        <v>1360</v>
      </c>
      <c r="T1030" s="9" t="s">
        <v>2222</v>
      </c>
      <c r="U1030" s="8">
        <v>0</v>
      </c>
      <c r="V1030" s="20">
        <v>49</v>
      </c>
      <c r="W1030" s="21" t="s">
        <v>1359</v>
      </c>
    </row>
    <row r="1031" spans="1:23" ht="75">
      <c r="A1031" s="8" t="s">
        <v>3245</v>
      </c>
      <c r="B1031" s="8" t="s">
        <v>1203</v>
      </c>
      <c r="C1031" s="8" t="s">
        <v>2221</v>
      </c>
      <c r="D1031" s="8" t="s">
        <v>18</v>
      </c>
      <c r="E1031" s="8" t="s">
        <v>2217</v>
      </c>
      <c r="F1031" s="8" t="s">
        <v>2217</v>
      </c>
      <c r="G1031" s="8" t="s">
        <v>2217</v>
      </c>
      <c r="H1031" s="8">
        <v>1</v>
      </c>
      <c r="I1031" s="8">
        <v>1</v>
      </c>
      <c r="J1031" s="8">
        <v>0</v>
      </c>
      <c r="K1031" s="8" t="s">
        <v>2222</v>
      </c>
      <c r="L1031" s="8" t="s">
        <v>2222</v>
      </c>
      <c r="M1031" s="8" t="s">
        <v>38</v>
      </c>
      <c r="P1031" s="16" t="s">
        <v>966</v>
      </c>
      <c r="Q1031" s="2" t="s">
        <v>838</v>
      </c>
      <c r="S1031" s="8" t="s">
        <v>1361</v>
      </c>
      <c r="T1031" s="9" t="s">
        <v>2222</v>
      </c>
      <c r="U1031" s="8">
        <v>0</v>
      </c>
      <c r="V1031" s="20">
        <v>26</v>
      </c>
      <c r="W1031" s="21" t="s">
        <v>101</v>
      </c>
    </row>
    <row r="1032" spans="1:23" ht="75">
      <c r="A1032" s="8" t="s">
        <v>3246</v>
      </c>
      <c r="B1032" s="8" t="s">
        <v>1204</v>
      </c>
      <c r="C1032" s="8" t="s">
        <v>2203</v>
      </c>
      <c r="D1032" s="8" t="s">
        <v>18</v>
      </c>
      <c r="E1032" s="8" t="s">
        <v>16</v>
      </c>
      <c r="F1032" s="8" t="s">
        <v>2198</v>
      </c>
      <c r="G1032" s="8" t="s">
        <v>3247</v>
      </c>
      <c r="H1032" s="8">
        <v>349</v>
      </c>
      <c r="I1032" s="8">
        <v>9</v>
      </c>
      <c r="J1032" s="8">
        <v>30705056</v>
      </c>
      <c r="K1032" s="9">
        <v>45141</v>
      </c>
      <c r="L1032" s="9">
        <v>46935</v>
      </c>
      <c r="M1032" s="8" t="s">
        <v>16</v>
      </c>
      <c r="P1032" s="16" t="s">
        <v>966</v>
      </c>
      <c r="Q1032" s="2" t="s">
        <v>838</v>
      </c>
      <c r="S1032" s="8" t="s">
        <v>1362</v>
      </c>
      <c r="T1032" s="9" t="s">
        <v>2222</v>
      </c>
      <c r="U1032" s="8">
        <v>0</v>
      </c>
      <c r="V1032" s="20">
        <v>88</v>
      </c>
      <c r="W1032" s="21" t="s">
        <v>1359</v>
      </c>
    </row>
    <row r="1033" spans="1:23" ht="90">
      <c r="A1033" s="8" t="s">
        <v>3246</v>
      </c>
      <c r="B1033" s="8" t="s">
        <v>1204</v>
      </c>
      <c r="C1033" s="8" t="s">
        <v>2203</v>
      </c>
      <c r="D1033" s="8" t="s">
        <v>18</v>
      </c>
      <c r="E1033" s="8" t="s">
        <v>16</v>
      </c>
      <c r="F1033" s="8" t="s">
        <v>2198</v>
      </c>
      <c r="G1033" s="8" t="s">
        <v>3247</v>
      </c>
      <c r="H1033" s="8">
        <v>349</v>
      </c>
      <c r="I1033" s="8">
        <v>10</v>
      </c>
      <c r="J1033" s="8">
        <v>40216019</v>
      </c>
      <c r="K1033" s="9">
        <v>45351</v>
      </c>
      <c r="L1033" s="9">
        <v>47150</v>
      </c>
      <c r="M1033" s="8" t="s">
        <v>16</v>
      </c>
      <c r="P1033" s="16" t="s">
        <v>966</v>
      </c>
      <c r="Q1033" s="2" t="s">
        <v>838</v>
      </c>
      <c r="S1033" s="8" t="s">
        <v>1363</v>
      </c>
      <c r="T1033" s="9" t="s">
        <v>2222</v>
      </c>
      <c r="U1033" s="8">
        <v>0</v>
      </c>
      <c r="V1033" s="20">
        <v>186</v>
      </c>
      <c r="W1033" s="21" t="s">
        <v>101</v>
      </c>
    </row>
    <row r="1034" spans="1:23" ht="75">
      <c r="A1034" s="8" t="s">
        <v>3246</v>
      </c>
      <c r="B1034" s="8" t="s">
        <v>1204</v>
      </c>
      <c r="C1034" s="8" t="s">
        <v>2203</v>
      </c>
      <c r="D1034" s="8" t="s">
        <v>18</v>
      </c>
      <c r="E1034" s="8" t="s">
        <v>16</v>
      </c>
      <c r="F1034" s="8" t="s">
        <v>2198</v>
      </c>
      <c r="G1034" s="8" t="s">
        <v>3247</v>
      </c>
      <c r="H1034" s="8">
        <v>349</v>
      </c>
      <c r="I1034" s="8">
        <v>330</v>
      </c>
      <c r="J1034" s="8">
        <v>40219222</v>
      </c>
      <c r="K1034" s="9">
        <v>45351</v>
      </c>
      <c r="L1034" s="9">
        <v>47150</v>
      </c>
      <c r="M1034" s="8" t="s">
        <v>16</v>
      </c>
      <c r="P1034" s="16" t="s">
        <v>966</v>
      </c>
      <c r="Q1034" s="2" t="s">
        <v>838</v>
      </c>
      <c r="S1034" s="8" t="s">
        <v>1364</v>
      </c>
      <c r="T1034" s="9" t="s">
        <v>2222</v>
      </c>
      <c r="U1034" s="8">
        <v>0</v>
      </c>
      <c r="V1034" s="20">
        <v>98</v>
      </c>
      <c r="W1034" s="21" t="s">
        <v>101</v>
      </c>
    </row>
    <row r="1035" spans="1:23" ht="75">
      <c r="A1035" s="8" t="s">
        <v>3248</v>
      </c>
      <c r="B1035" s="8" t="s">
        <v>1205</v>
      </c>
      <c r="C1035" s="8" t="s">
        <v>2203</v>
      </c>
      <c r="D1035" s="8" t="s">
        <v>18</v>
      </c>
      <c r="E1035" s="8" t="s">
        <v>16</v>
      </c>
      <c r="F1035" s="8" t="s">
        <v>3249</v>
      </c>
      <c r="G1035" s="8" t="s">
        <v>3250</v>
      </c>
      <c r="H1035" s="8">
        <v>804</v>
      </c>
      <c r="I1035" s="8">
        <v>40</v>
      </c>
      <c r="J1035" s="8">
        <v>21226122</v>
      </c>
      <c r="K1035" s="9">
        <v>44933</v>
      </c>
      <c r="L1035" s="9">
        <v>46722</v>
      </c>
      <c r="M1035" s="8" t="s">
        <v>16</v>
      </c>
      <c r="P1035" s="16" t="s">
        <v>966</v>
      </c>
      <c r="Q1035" s="2" t="s">
        <v>838</v>
      </c>
      <c r="S1035" s="8" t="s">
        <v>1365</v>
      </c>
      <c r="T1035" s="9" t="s">
        <v>2222</v>
      </c>
      <c r="U1035" s="8">
        <v>0</v>
      </c>
      <c r="V1035" s="20">
        <v>94</v>
      </c>
      <c r="W1035" s="21" t="s">
        <v>101</v>
      </c>
    </row>
    <row r="1036" spans="1:23" ht="75">
      <c r="A1036" s="8" t="s">
        <v>3248</v>
      </c>
      <c r="B1036" s="8" t="s">
        <v>1205</v>
      </c>
      <c r="C1036" s="8" t="s">
        <v>2203</v>
      </c>
      <c r="D1036" s="8" t="s">
        <v>18</v>
      </c>
      <c r="E1036" s="8" t="s">
        <v>16</v>
      </c>
      <c r="F1036" s="8" t="s">
        <v>3249</v>
      </c>
      <c r="G1036" s="8" t="s">
        <v>3250</v>
      </c>
      <c r="H1036" s="8">
        <v>804</v>
      </c>
      <c r="I1036" s="8">
        <v>104</v>
      </c>
      <c r="J1036" s="8">
        <v>21025102</v>
      </c>
      <c r="K1036" s="9">
        <v>44933</v>
      </c>
      <c r="L1036" s="9">
        <v>46661</v>
      </c>
      <c r="M1036" s="8" t="s">
        <v>16</v>
      </c>
      <c r="P1036" s="16" t="s">
        <v>966</v>
      </c>
      <c r="Q1036" s="2" t="s">
        <v>838</v>
      </c>
      <c r="S1036" s="8" t="s">
        <v>1366</v>
      </c>
      <c r="T1036" s="9" t="s">
        <v>2222</v>
      </c>
      <c r="U1036" s="8">
        <v>0</v>
      </c>
      <c r="V1036" s="20">
        <v>73</v>
      </c>
      <c r="W1036" s="21" t="s">
        <v>101</v>
      </c>
    </row>
    <row r="1037" spans="1:23" ht="75">
      <c r="A1037" s="8" t="s">
        <v>3248</v>
      </c>
      <c r="B1037" s="8" t="s">
        <v>1205</v>
      </c>
      <c r="C1037" s="8" t="s">
        <v>2203</v>
      </c>
      <c r="D1037" s="8" t="s">
        <v>18</v>
      </c>
      <c r="E1037" s="8" t="s">
        <v>16</v>
      </c>
      <c r="F1037" s="8" t="s">
        <v>3249</v>
      </c>
      <c r="G1037" s="8" t="s">
        <v>3250</v>
      </c>
      <c r="H1037" s="8">
        <v>804</v>
      </c>
      <c r="I1037" s="8">
        <v>160</v>
      </c>
      <c r="J1037" s="8">
        <v>30124005</v>
      </c>
      <c r="K1037" s="9">
        <v>44956</v>
      </c>
      <c r="L1037" s="9">
        <v>46753</v>
      </c>
      <c r="M1037" s="8" t="s">
        <v>16</v>
      </c>
      <c r="P1037" s="17" t="s">
        <v>976</v>
      </c>
      <c r="Q1037" s="2" t="s">
        <v>838</v>
      </c>
      <c r="S1037" s="8" t="s">
        <v>1367</v>
      </c>
      <c r="T1037" s="9" t="s">
        <v>2222</v>
      </c>
      <c r="U1037" s="8">
        <v>0</v>
      </c>
      <c r="V1037" s="20">
        <v>85</v>
      </c>
      <c r="W1037" s="21" t="s">
        <v>101</v>
      </c>
    </row>
    <row r="1038" spans="1:23" ht="75">
      <c r="A1038" s="8" t="s">
        <v>3248</v>
      </c>
      <c r="B1038" s="8" t="s">
        <v>1205</v>
      </c>
      <c r="C1038" s="8" t="s">
        <v>2203</v>
      </c>
      <c r="D1038" s="8" t="s">
        <v>18</v>
      </c>
      <c r="E1038" s="8" t="s">
        <v>16</v>
      </c>
      <c r="F1038" s="8" t="s">
        <v>3249</v>
      </c>
      <c r="G1038" s="8" t="s">
        <v>3250</v>
      </c>
      <c r="H1038" s="8">
        <v>804</v>
      </c>
      <c r="I1038" s="8">
        <v>500</v>
      </c>
      <c r="J1038" s="8">
        <v>21215121</v>
      </c>
      <c r="K1038" s="9">
        <v>44933</v>
      </c>
      <c r="L1038" s="9">
        <v>46722</v>
      </c>
      <c r="M1038" s="8" t="s">
        <v>16</v>
      </c>
      <c r="P1038" s="17" t="s">
        <v>976</v>
      </c>
      <c r="Q1038" s="2" t="s">
        <v>838</v>
      </c>
      <c r="S1038" s="8" t="s">
        <v>1368</v>
      </c>
      <c r="T1038" s="9" t="s">
        <v>2222</v>
      </c>
      <c r="U1038" s="8">
        <v>0</v>
      </c>
      <c r="V1038" s="20">
        <v>13</v>
      </c>
      <c r="W1038" s="21" t="s">
        <v>101</v>
      </c>
    </row>
    <row r="1039" spans="1:23" ht="75">
      <c r="A1039" s="8" t="s">
        <v>3251</v>
      </c>
      <c r="B1039" s="8" t="s">
        <v>1206</v>
      </c>
      <c r="C1039" s="8" t="s">
        <v>2303</v>
      </c>
      <c r="D1039" s="8" t="s">
        <v>18</v>
      </c>
      <c r="E1039" s="8" t="s">
        <v>16</v>
      </c>
      <c r="F1039" s="8" t="s">
        <v>2228</v>
      </c>
      <c r="G1039" s="8" t="s">
        <v>3252</v>
      </c>
      <c r="H1039" s="8">
        <v>115</v>
      </c>
      <c r="I1039" s="8">
        <v>52</v>
      </c>
      <c r="J1039" s="8">
        <v>30905131</v>
      </c>
      <c r="K1039" s="9">
        <v>45295</v>
      </c>
      <c r="L1039" s="9">
        <v>47027</v>
      </c>
      <c r="M1039" s="8" t="s">
        <v>16</v>
      </c>
      <c r="P1039" s="17" t="s">
        <v>976</v>
      </c>
      <c r="Q1039" s="2" t="s">
        <v>838</v>
      </c>
      <c r="S1039" s="8" t="s">
        <v>1369</v>
      </c>
      <c r="T1039" s="9" t="s">
        <v>2222</v>
      </c>
      <c r="U1039" s="8">
        <v>0</v>
      </c>
      <c r="V1039" s="20">
        <v>50</v>
      </c>
      <c r="W1039" s="21" t="s">
        <v>101</v>
      </c>
    </row>
    <row r="1040" spans="1:23" ht="75">
      <c r="A1040" s="8" t="s">
        <v>3251</v>
      </c>
      <c r="B1040" s="8" t="s">
        <v>1206</v>
      </c>
      <c r="C1040" s="8" t="s">
        <v>2303</v>
      </c>
      <c r="D1040" s="8" t="s">
        <v>18</v>
      </c>
      <c r="E1040" s="8" t="s">
        <v>16</v>
      </c>
      <c r="F1040" s="8" t="s">
        <v>2228</v>
      </c>
      <c r="G1040" s="8" t="s">
        <v>3252</v>
      </c>
      <c r="H1040" s="8">
        <v>115</v>
      </c>
      <c r="I1040" s="8">
        <v>63</v>
      </c>
      <c r="J1040" s="8">
        <v>30907132</v>
      </c>
      <c r="K1040" s="9">
        <v>45295</v>
      </c>
      <c r="L1040" s="9">
        <v>47027</v>
      </c>
      <c r="M1040" s="8" t="s">
        <v>16</v>
      </c>
      <c r="P1040" s="17" t="s">
        <v>976</v>
      </c>
      <c r="Q1040" s="2" t="s">
        <v>838</v>
      </c>
      <c r="S1040" s="8" t="s">
        <v>1370</v>
      </c>
      <c r="T1040" s="9" t="s">
        <v>2222</v>
      </c>
      <c r="U1040" s="8">
        <v>0</v>
      </c>
      <c r="V1040" s="20">
        <v>14</v>
      </c>
      <c r="W1040" s="21" t="s">
        <v>101</v>
      </c>
    </row>
    <row r="1041" spans="1:23" ht="75">
      <c r="A1041" s="8" t="s">
        <v>3253</v>
      </c>
      <c r="B1041" s="8" t="s">
        <v>1207</v>
      </c>
      <c r="C1041" s="8" t="s">
        <v>2197</v>
      </c>
      <c r="D1041" s="8" t="s">
        <v>18</v>
      </c>
      <c r="E1041" s="8" t="s">
        <v>16</v>
      </c>
      <c r="F1041" s="8" t="s">
        <v>2228</v>
      </c>
      <c r="G1041" s="8" t="s">
        <v>3252</v>
      </c>
      <c r="H1041" s="8">
        <v>4115</v>
      </c>
      <c r="I1041" s="8">
        <v>15</v>
      </c>
      <c r="J1041" s="8">
        <v>31205179</v>
      </c>
      <c r="K1041" s="9">
        <v>45295</v>
      </c>
      <c r="L1041" s="9">
        <v>47088</v>
      </c>
      <c r="M1041" s="8" t="s">
        <v>16</v>
      </c>
      <c r="P1041" s="17" t="s">
        <v>976</v>
      </c>
      <c r="Q1041" s="2" t="s">
        <v>838</v>
      </c>
      <c r="S1041" s="8" t="s">
        <v>1371</v>
      </c>
      <c r="T1041" s="9" t="s">
        <v>2222</v>
      </c>
      <c r="U1041" s="8">
        <v>0</v>
      </c>
      <c r="V1041" s="20">
        <v>40</v>
      </c>
      <c r="W1041" s="21" t="s">
        <v>101</v>
      </c>
    </row>
    <row r="1042" spans="1:23" ht="75">
      <c r="A1042" s="8" t="s">
        <v>3253</v>
      </c>
      <c r="B1042" s="8" t="s">
        <v>1207</v>
      </c>
      <c r="C1042" s="8" t="s">
        <v>2197</v>
      </c>
      <c r="D1042" s="8" t="s">
        <v>18</v>
      </c>
      <c r="E1042" s="8" t="s">
        <v>16</v>
      </c>
      <c r="F1042" s="8" t="s">
        <v>2228</v>
      </c>
      <c r="G1042" s="8" t="s">
        <v>3252</v>
      </c>
      <c r="H1042" s="8">
        <v>4115</v>
      </c>
      <c r="I1042" s="8">
        <v>100</v>
      </c>
      <c r="J1042" s="8">
        <v>40111006</v>
      </c>
      <c r="K1042" s="9">
        <v>45318</v>
      </c>
      <c r="L1042" s="9">
        <v>47119</v>
      </c>
      <c r="M1042" s="8" t="s">
        <v>16</v>
      </c>
      <c r="P1042" s="17" t="s">
        <v>976</v>
      </c>
      <c r="Q1042" s="2" t="s">
        <v>838</v>
      </c>
      <c r="S1042" s="8" t="s">
        <v>1372</v>
      </c>
      <c r="T1042" s="9" t="s">
        <v>2222</v>
      </c>
      <c r="U1042" s="8">
        <v>0</v>
      </c>
      <c r="V1042" s="20">
        <v>26</v>
      </c>
      <c r="W1042" s="21" t="s">
        <v>101</v>
      </c>
    </row>
    <row r="1043" spans="1:23" ht="75">
      <c r="A1043" s="8" t="s">
        <v>3253</v>
      </c>
      <c r="B1043" s="8" t="s">
        <v>1207</v>
      </c>
      <c r="C1043" s="8" t="s">
        <v>2197</v>
      </c>
      <c r="D1043" s="8" t="s">
        <v>18</v>
      </c>
      <c r="E1043" s="8" t="s">
        <v>16</v>
      </c>
      <c r="F1043" s="8" t="s">
        <v>2228</v>
      </c>
      <c r="G1043" s="8" t="s">
        <v>3252</v>
      </c>
      <c r="H1043" s="8">
        <v>4115</v>
      </c>
      <c r="I1043" s="8">
        <v>400</v>
      </c>
      <c r="J1043" s="8">
        <v>40308032</v>
      </c>
      <c r="K1043" s="9">
        <v>45409</v>
      </c>
      <c r="L1043" s="9">
        <v>47178</v>
      </c>
      <c r="M1043" s="8" t="s">
        <v>16</v>
      </c>
      <c r="P1043" s="17" t="s">
        <v>976</v>
      </c>
      <c r="Q1043" s="2" t="s">
        <v>838</v>
      </c>
      <c r="S1043" s="8" t="s">
        <v>1373</v>
      </c>
      <c r="T1043" s="9" t="s">
        <v>2222</v>
      </c>
      <c r="U1043" s="8">
        <v>0</v>
      </c>
      <c r="V1043" s="20">
        <v>127</v>
      </c>
      <c r="W1043" s="21" t="s">
        <v>101</v>
      </c>
    </row>
    <row r="1044" spans="1:23" ht="75">
      <c r="A1044" s="8" t="s">
        <v>3253</v>
      </c>
      <c r="B1044" s="8" t="s">
        <v>1207</v>
      </c>
      <c r="C1044" s="8" t="s">
        <v>2197</v>
      </c>
      <c r="D1044" s="8" t="s">
        <v>18</v>
      </c>
      <c r="E1044" s="8" t="s">
        <v>16</v>
      </c>
      <c r="F1044" s="8" t="s">
        <v>2228</v>
      </c>
      <c r="G1044" s="8" t="s">
        <v>3252</v>
      </c>
      <c r="H1044" s="8">
        <v>4115</v>
      </c>
      <c r="I1044" s="8">
        <v>440</v>
      </c>
      <c r="J1044" s="8">
        <v>40222027</v>
      </c>
      <c r="K1044" s="9">
        <v>45374</v>
      </c>
      <c r="L1044" s="9">
        <v>47178</v>
      </c>
      <c r="M1044" s="8" t="s">
        <v>16</v>
      </c>
      <c r="P1044" s="17" t="s">
        <v>976</v>
      </c>
      <c r="Q1044" s="2" t="s">
        <v>838</v>
      </c>
      <c r="S1044" s="8" t="s">
        <v>1374</v>
      </c>
      <c r="T1044" s="9" t="s">
        <v>2222</v>
      </c>
      <c r="U1044" s="8">
        <v>0</v>
      </c>
      <c r="V1044" s="20">
        <v>94</v>
      </c>
      <c r="W1044" s="21" t="s">
        <v>101</v>
      </c>
    </row>
    <row r="1045" spans="1:23" ht="75">
      <c r="A1045" s="8" t="s">
        <v>3253</v>
      </c>
      <c r="B1045" s="8" t="s">
        <v>1207</v>
      </c>
      <c r="C1045" s="8" t="s">
        <v>2197</v>
      </c>
      <c r="D1045" s="8" t="s">
        <v>18</v>
      </c>
      <c r="E1045" s="8" t="s">
        <v>16</v>
      </c>
      <c r="F1045" s="8" t="s">
        <v>2228</v>
      </c>
      <c r="G1045" s="8" t="s">
        <v>3252</v>
      </c>
      <c r="H1045" s="8">
        <v>4115</v>
      </c>
      <c r="I1045" s="8">
        <v>600</v>
      </c>
      <c r="J1045" s="8">
        <v>40329044</v>
      </c>
      <c r="K1045" s="9">
        <v>45409</v>
      </c>
      <c r="L1045" s="9">
        <v>47209</v>
      </c>
      <c r="M1045" s="8" t="s">
        <v>16</v>
      </c>
      <c r="P1045" s="17" t="s">
        <v>976</v>
      </c>
      <c r="Q1045" s="2" t="s">
        <v>838</v>
      </c>
      <c r="S1045" s="8" t="s">
        <v>1375</v>
      </c>
      <c r="T1045" s="9" t="s">
        <v>2222</v>
      </c>
      <c r="U1045" s="8">
        <v>0</v>
      </c>
      <c r="V1045" s="20">
        <v>162</v>
      </c>
      <c r="W1045" s="21" t="s">
        <v>101</v>
      </c>
    </row>
    <row r="1046" spans="1:23" ht="75">
      <c r="A1046" s="8" t="s">
        <v>3253</v>
      </c>
      <c r="B1046" s="8" t="s">
        <v>1207</v>
      </c>
      <c r="C1046" s="8" t="s">
        <v>2197</v>
      </c>
      <c r="D1046" s="8" t="s">
        <v>18</v>
      </c>
      <c r="E1046" s="8" t="s">
        <v>16</v>
      </c>
      <c r="F1046" s="8" t="s">
        <v>2228</v>
      </c>
      <c r="G1046" s="8" t="s">
        <v>3252</v>
      </c>
      <c r="H1046" s="8">
        <v>4115</v>
      </c>
      <c r="I1046" s="8">
        <v>1000</v>
      </c>
      <c r="J1046" s="8">
        <v>40401047</v>
      </c>
      <c r="K1046" s="9">
        <v>45409</v>
      </c>
      <c r="L1046" s="9">
        <v>47209</v>
      </c>
      <c r="M1046" s="8" t="s">
        <v>16</v>
      </c>
      <c r="P1046" s="17" t="s">
        <v>976</v>
      </c>
      <c r="Q1046" s="2" t="s">
        <v>838</v>
      </c>
      <c r="S1046" s="8" t="s">
        <v>1376</v>
      </c>
      <c r="T1046" s="9" t="s">
        <v>2222</v>
      </c>
      <c r="U1046" s="8">
        <v>0</v>
      </c>
      <c r="V1046" s="20">
        <v>275</v>
      </c>
      <c r="W1046" s="21" t="s">
        <v>101</v>
      </c>
    </row>
    <row r="1047" spans="1:23" ht="75">
      <c r="A1047" s="8" t="s">
        <v>3253</v>
      </c>
      <c r="B1047" s="8" t="s">
        <v>1207</v>
      </c>
      <c r="C1047" s="8" t="s">
        <v>2197</v>
      </c>
      <c r="D1047" s="8" t="s">
        <v>18</v>
      </c>
      <c r="E1047" s="8" t="s">
        <v>16</v>
      </c>
      <c r="F1047" s="8" t="s">
        <v>2228</v>
      </c>
      <c r="G1047" s="8" t="s">
        <v>3252</v>
      </c>
      <c r="H1047" s="8">
        <v>4115</v>
      </c>
      <c r="I1047" s="8">
        <v>1560</v>
      </c>
      <c r="J1047" s="8">
        <v>40221026</v>
      </c>
      <c r="K1047" s="9">
        <v>45374</v>
      </c>
      <c r="L1047" s="9">
        <v>47178</v>
      </c>
      <c r="M1047" s="8" t="s">
        <v>16</v>
      </c>
      <c r="P1047" s="16" t="s">
        <v>987</v>
      </c>
      <c r="Q1047" s="2" t="s">
        <v>838</v>
      </c>
      <c r="S1047" s="8" t="s">
        <v>1377</v>
      </c>
      <c r="T1047" s="9" t="s">
        <v>2222</v>
      </c>
      <c r="U1047" s="8">
        <v>0</v>
      </c>
      <c r="V1047" s="20">
        <v>23</v>
      </c>
      <c r="W1047" s="21" t="s">
        <v>101</v>
      </c>
    </row>
    <row r="1048" spans="1:23" ht="75">
      <c r="A1048" s="8" t="s">
        <v>3254</v>
      </c>
      <c r="B1048" s="8" t="s">
        <v>1208</v>
      </c>
      <c r="C1048" s="8" t="s">
        <v>2307</v>
      </c>
      <c r="D1048" s="8" t="s">
        <v>18</v>
      </c>
      <c r="E1048" s="8" t="s">
        <v>16</v>
      </c>
      <c r="F1048" s="8" t="s">
        <v>2228</v>
      </c>
      <c r="G1048" s="8" t="s">
        <v>3252</v>
      </c>
      <c r="H1048" s="8">
        <v>187</v>
      </c>
      <c r="I1048" s="8">
        <v>13</v>
      </c>
      <c r="J1048" s="8">
        <v>31205179</v>
      </c>
      <c r="K1048" s="9">
        <v>45295</v>
      </c>
      <c r="L1048" s="9">
        <v>47088</v>
      </c>
      <c r="M1048" s="8" t="s">
        <v>16</v>
      </c>
      <c r="P1048" s="16" t="s">
        <v>988</v>
      </c>
      <c r="Q1048" s="2" t="s">
        <v>312</v>
      </c>
      <c r="S1048" s="8" t="s">
        <v>1378</v>
      </c>
      <c r="T1048" s="9" t="s">
        <v>2222</v>
      </c>
      <c r="U1048" s="8">
        <v>0</v>
      </c>
      <c r="V1048" s="20">
        <v>4</v>
      </c>
      <c r="W1048" s="21" t="s">
        <v>101</v>
      </c>
    </row>
    <row r="1049" spans="1:23" ht="75">
      <c r="A1049" s="8" t="s">
        <v>3254</v>
      </c>
      <c r="B1049" s="8" t="s">
        <v>1208</v>
      </c>
      <c r="C1049" s="8" t="s">
        <v>2307</v>
      </c>
      <c r="D1049" s="8" t="s">
        <v>18</v>
      </c>
      <c r="E1049" s="8" t="s">
        <v>16</v>
      </c>
      <c r="F1049" s="8" t="s">
        <v>2228</v>
      </c>
      <c r="G1049" s="8" t="s">
        <v>3252</v>
      </c>
      <c r="H1049" s="8">
        <v>187</v>
      </c>
      <c r="I1049" s="8">
        <v>174</v>
      </c>
      <c r="J1049" s="8">
        <v>31204178</v>
      </c>
      <c r="K1049" s="9">
        <v>45295</v>
      </c>
      <c r="L1049" s="9">
        <v>47088</v>
      </c>
      <c r="M1049" s="8" t="s">
        <v>16</v>
      </c>
      <c r="P1049" s="17" t="s">
        <v>989</v>
      </c>
      <c r="Q1049" s="2" t="s">
        <v>312</v>
      </c>
      <c r="S1049" s="8" t="s">
        <v>1379</v>
      </c>
      <c r="T1049" s="9" t="s">
        <v>2222</v>
      </c>
      <c r="U1049" s="8">
        <v>0</v>
      </c>
      <c r="V1049" s="20">
        <v>25</v>
      </c>
      <c r="W1049" s="21" t="s">
        <v>101</v>
      </c>
    </row>
    <row r="1050" spans="1:23" ht="75">
      <c r="A1050" s="8" t="s">
        <v>3255</v>
      </c>
      <c r="B1050" s="8" t="s">
        <v>1209</v>
      </c>
      <c r="C1050" s="8" t="s">
        <v>2994</v>
      </c>
      <c r="D1050" s="8" t="s">
        <v>18</v>
      </c>
      <c r="E1050" s="8" t="s">
        <v>151</v>
      </c>
      <c r="F1050" s="8" t="s">
        <v>151</v>
      </c>
      <c r="G1050" s="8" t="s">
        <v>3256</v>
      </c>
      <c r="H1050" s="8">
        <v>37</v>
      </c>
      <c r="I1050" s="8">
        <v>37</v>
      </c>
      <c r="J1050" s="8">
        <v>0</v>
      </c>
      <c r="K1050" s="9">
        <v>45085</v>
      </c>
      <c r="L1050" s="8" t="s">
        <v>2222</v>
      </c>
      <c r="M1050" s="8" t="s">
        <v>151</v>
      </c>
      <c r="P1050" s="17" t="s">
        <v>990</v>
      </c>
      <c r="Q1050" s="2" t="s">
        <v>312</v>
      </c>
      <c r="S1050" s="8" t="s">
        <v>1380</v>
      </c>
      <c r="T1050" s="9" t="s">
        <v>2222</v>
      </c>
      <c r="U1050" s="8">
        <v>0</v>
      </c>
      <c r="V1050" s="20">
        <v>95</v>
      </c>
      <c r="W1050" s="21" t="s">
        <v>101</v>
      </c>
    </row>
    <row r="1051" spans="1:23" ht="90">
      <c r="A1051" s="8" t="s">
        <v>3267</v>
      </c>
      <c r="B1051" s="8" t="s">
        <v>1218</v>
      </c>
      <c r="C1051" s="8" t="s">
        <v>2221</v>
      </c>
      <c r="D1051" s="8" t="s">
        <v>18</v>
      </c>
      <c r="E1051" s="8" t="s">
        <v>43</v>
      </c>
      <c r="F1051" s="8" t="s">
        <v>2217</v>
      </c>
      <c r="G1051" s="8" t="s">
        <v>2217</v>
      </c>
      <c r="H1051" s="8">
        <v>1</v>
      </c>
      <c r="I1051" s="8">
        <v>1</v>
      </c>
      <c r="J1051" s="8">
        <v>0</v>
      </c>
      <c r="K1051" s="9">
        <v>44161</v>
      </c>
      <c r="L1051" s="8" t="s">
        <v>2222</v>
      </c>
      <c r="M1051" s="8" t="s">
        <v>43</v>
      </c>
      <c r="P1051" s="17" t="s">
        <v>990</v>
      </c>
      <c r="Q1051" s="2" t="s">
        <v>312</v>
      </c>
      <c r="S1051" s="8" t="s">
        <v>1382</v>
      </c>
      <c r="T1051" s="9" t="s">
        <v>2222</v>
      </c>
      <c r="U1051" s="8">
        <v>0</v>
      </c>
      <c r="V1051" s="20">
        <v>41</v>
      </c>
      <c r="W1051" s="21" t="s">
        <v>101</v>
      </c>
    </row>
    <row r="1052" spans="1:23" ht="105">
      <c r="A1052" s="8" t="s">
        <v>3268</v>
      </c>
      <c r="B1052" s="8" t="s">
        <v>1219</v>
      </c>
      <c r="C1052" s="8" t="s">
        <v>2221</v>
      </c>
      <c r="D1052" s="8" t="s">
        <v>18</v>
      </c>
      <c r="E1052" s="8" t="s">
        <v>43</v>
      </c>
      <c r="F1052" s="8" t="s">
        <v>2217</v>
      </c>
      <c r="G1052" s="8" t="s">
        <v>2217</v>
      </c>
      <c r="H1052" s="8">
        <v>2</v>
      </c>
      <c r="I1052" s="8">
        <v>2</v>
      </c>
      <c r="J1052" s="8">
        <v>0</v>
      </c>
      <c r="K1052" s="9">
        <v>44161</v>
      </c>
      <c r="L1052" s="8" t="s">
        <v>2222</v>
      </c>
      <c r="M1052" s="8" t="s">
        <v>43</v>
      </c>
      <c r="P1052" s="17" t="s">
        <v>991</v>
      </c>
      <c r="Q1052" s="2" t="s">
        <v>312</v>
      </c>
      <c r="S1052" s="8" t="s">
        <v>1381</v>
      </c>
      <c r="T1052" s="9" t="s">
        <v>2222</v>
      </c>
      <c r="U1052" s="8">
        <v>0</v>
      </c>
      <c r="V1052" s="20">
        <v>70</v>
      </c>
      <c r="W1052" s="21" t="s">
        <v>101</v>
      </c>
    </row>
    <row r="1053" spans="1:23" ht="75">
      <c r="A1053" s="8" t="s">
        <v>3269</v>
      </c>
      <c r="B1053" s="8" t="s">
        <v>1220</v>
      </c>
      <c r="C1053" s="8" t="s">
        <v>2197</v>
      </c>
      <c r="D1053" s="8" t="s">
        <v>18</v>
      </c>
      <c r="E1053" s="8" t="s">
        <v>16</v>
      </c>
      <c r="F1053" s="8" t="s">
        <v>2204</v>
      </c>
      <c r="G1053" s="8" t="s">
        <v>3270</v>
      </c>
      <c r="H1053" s="8">
        <v>689</v>
      </c>
      <c r="I1053" s="8">
        <v>9</v>
      </c>
      <c r="J1053" s="8">
        <v>2309022</v>
      </c>
      <c r="K1053" s="9">
        <v>45206</v>
      </c>
      <c r="L1053" s="9">
        <v>46997</v>
      </c>
      <c r="M1053" s="8" t="s">
        <v>16</v>
      </c>
      <c r="P1053" s="17" t="s">
        <v>993</v>
      </c>
      <c r="Q1053" s="2" t="s">
        <v>312</v>
      </c>
      <c r="S1053" s="8" t="s">
        <v>1383</v>
      </c>
      <c r="T1053" s="9" t="s">
        <v>2222</v>
      </c>
      <c r="U1053" s="8">
        <v>0</v>
      </c>
      <c r="V1053" s="20">
        <v>52</v>
      </c>
      <c r="W1053" s="21" t="s">
        <v>101</v>
      </c>
    </row>
    <row r="1054" spans="1:23" ht="75">
      <c r="A1054" s="8" t="s">
        <v>3269</v>
      </c>
      <c r="B1054" s="8" t="s">
        <v>1220</v>
      </c>
      <c r="C1054" s="8" t="s">
        <v>2197</v>
      </c>
      <c r="D1054" s="8" t="s">
        <v>18</v>
      </c>
      <c r="E1054" s="8" t="s">
        <v>16</v>
      </c>
      <c r="F1054" s="8" t="s">
        <v>2204</v>
      </c>
      <c r="G1054" s="8" t="s">
        <v>3270</v>
      </c>
      <c r="H1054" s="8">
        <v>689</v>
      </c>
      <c r="I1054" s="8">
        <v>680</v>
      </c>
      <c r="J1054" s="8">
        <v>2311024</v>
      </c>
      <c r="K1054" s="9">
        <v>45237</v>
      </c>
      <c r="L1054" s="9">
        <v>47058</v>
      </c>
      <c r="M1054" s="8" t="s">
        <v>16</v>
      </c>
      <c r="P1054" s="17" t="s">
        <v>993</v>
      </c>
      <c r="Q1054" s="2" t="s">
        <v>312</v>
      </c>
      <c r="S1054" s="8" t="s">
        <v>1384</v>
      </c>
      <c r="T1054" s="9" t="s">
        <v>2222</v>
      </c>
      <c r="U1054" s="8">
        <v>0</v>
      </c>
      <c r="V1054" s="20">
        <v>214</v>
      </c>
      <c r="W1054" s="21" t="s">
        <v>101</v>
      </c>
    </row>
    <row r="1055" spans="1:23" ht="75">
      <c r="A1055" s="8" t="s">
        <v>3271</v>
      </c>
      <c r="B1055" s="8" t="s">
        <v>1221</v>
      </c>
      <c r="C1055" s="8" t="s">
        <v>2197</v>
      </c>
      <c r="D1055" s="8" t="s">
        <v>18</v>
      </c>
      <c r="E1055" s="8" t="s">
        <v>16</v>
      </c>
      <c r="F1055" s="8" t="s">
        <v>2204</v>
      </c>
      <c r="G1055" s="8" t="s">
        <v>3270</v>
      </c>
      <c r="H1055" s="8">
        <v>7204</v>
      </c>
      <c r="I1055" s="8">
        <v>4</v>
      </c>
      <c r="J1055" s="8">
        <v>2304008</v>
      </c>
      <c r="K1055" s="9">
        <v>45072</v>
      </c>
      <c r="L1055" s="9">
        <v>46844</v>
      </c>
      <c r="M1055" s="8" t="s">
        <v>16</v>
      </c>
      <c r="P1055" s="17" t="s">
        <v>993</v>
      </c>
      <c r="Q1055" s="2" t="s">
        <v>312</v>
      </c>
      <c r="S1055" s="8" t="s">
        <v>1385</v>
      </c>
      <c r="T1055" s="9" t="s">
        <v>2222</v>
      </c>
      <c r="U1055" s="8">
        <v>0</v>
      </c>
      <c r="V1055" s="20">
        <v>102</v>
      </c>
      <c r="W1055" s="21" t="s">
        <v>101</v>
      </c>
    </row>
    <row r="1056" spans="1:23" ht="90">
      <c r="A1056" s="8" t="s">
        <v>3271</v>
      </c>
      <c r="B1056" s="8" t="s">
        <v>1221</v>
      </c>
      <c r="C1056" s="8" t="s">
        <v>2197</v>
      </c>
      <c r="D1056" s="8" t="s">
        <v>18</v>
      </c>
      <c r="E1056" s="8" t="s">
        <v>16</v>
      </c>
      <c r="F1056" s="8" t="s">
        <v>2204</v>
      </c>
      <c r="G1056" s="8" t="s">
        <v>3270</v>
      </c>
      <c r="H1056" s="8">
        <v>7204</v>
      </c>
      <c r="I1056" s="8">
        <v>1960</v>
      </c>
      <c r="J1056" s="8">
        <v>2306013</v>
      </c>
      <c r="K1056" s="9">
        <v>45097</v>
      </c>
      <c r="L1056" s="9">
        <v>46905</v>
      </c>
      <c r="M1056" s="8" t="s">
        <v>16</v>
      </c>
      <c r="P1056" s="17" t="s">
        <v>996</v>
      </c>
      <c r="Q1056" s="2" t="s">
        <v>312</v>
      </c>
      <c r="S1056" s="8" t="s">
        <v>1386</v>
      </c>
      <c r="T1056" s="9" t="s">
        <v>2222</v>
      </c>
      <c r="U1056" s="8">
        <v>0</v>
      </c>
      <c r="V1056" s="20">
        <v>39</v>
      </c>
      <c r="W1056" s="21" t="s">
        <v>101</v>
      </c>
    </row>
    <row r="1057" spans="1:23" ht="90">
      <c r="A1057" s="8" t="s">
        <v>3271</v>
      </c>
      <c r="B1057" s="8" t="s">
        <v>1221</v>
      </c>
      <c r="C1057" s="8" t="s">
        <v>2197</v>
      </c>
      <c r="D1057" s="8" t="s">
        <v>18</v>
      </c>
      <c r="E1057" s="8" t="s">
        <v>16</v>
      </c>
      <c r="F1057" s="8" t="s">
        <v>2204</v>
      </c>
      <c r="G1057" s="8" t="s">
        <v>3270</v>
      </c>
      <c r="H1057" s="8">
        <v>7204</v>
      </c>
      <c r="I1057" s="8">
        <v>5240</v>
      </c>
      <c r="J1057" s="8">
        <v>2305011</v>
      </c>
      <c r="K1057" s="9">
        <v>45062</v>
      </c>
      <c r="L1057" s="9">
        <v>46874</v>
      </c>
      <c r="M1057" s="8" t="s">
        <v>16</v>
      </c>
      <c r="P1057" s="17" t="s">
        <v>997</v>
      </c>
      <c r="Q1057" s="2" t="s">
        <v>312</v>
      </c>
      <c r="S1057" s="8" t="s">
        <v>1387</v>
      </c>
      <c r="T1057" s="9" t="s">
        <v>2222</v>
      </c>
      <c r="U1057" s="8">
        <v>0</v>
      </c>
      <c r="V1057" s="20">
        <v>30</v>
      </c>
      <c r="W1057" s="21" t="s">
        <v>101</v>
      </c>
    </row>
    <row r="1058" spans="1:23" ht="75">
      <c r="A1058" s="8" t="s">
        <v>3272</v>
      </c>
      <c r="B1058" s="8" t="s">
        <v>1222</v>
      </c>
      <c r="C1058" s="8" t="s">
        <v>2203</v>
      </c>
      <c r="D1058" s="8" t="s">
        <v>18</v>
      </c>
      <c r="E1058" s="8" t="s">
        <v>151</v>
      </c>
      <c r="F1058" s="8" t="s">
        <v>151</v>
      </c>
      <c r="G1058" s="8" t="s">
        <v>3273</v>
      </c>
      <c r="H1058" s="8">
        <v>6</v>
      </c>
      <c r="I1058" s="8">
        <v>6</v>
      </c>
      <c r="J1058" s="8">
        <v>0</v>
      </c>
      <c r="K1058" s="8" t="s">
        <v>2222</v>
      </c>
      <c r="L1058" s="8" t="s">
        <v>2222</v>
      </c>
      <c r="M1058" s="8" t="s">
        <v>38</v>
      </c>
      <c r="P1058" s="16" t="s">
        <v>999</v>
      </c>
      <c r="Q1058" s="2" t="s">
        <v>838</v>
      </c>
      <c r="S1058" s="8" t="s">
        <v>1388</v>
      </c>
      <c r="T1058" s="9" t="s">
        <v>2222</v>
      </c>
      <c r="U1058" s="8">
        <v>0</v>
      </c>
      <c r="V1058" s="20">
        <v>2</v>
      </c>
      <c r="W1058" s="21" t="s">
        <v>38</v>
      </c>
    </row>
    <row r="1059" spans="1:23" ht="75">
      <c r="A1059" s="8" t="s">
        <v>3274</v>
      </c>
      <c r="B1059" s="8" t="s">
        <v>1223</v>
      </c>
      <c r="C1059" s="8" t="s">
        <v>2203</v>
      </c>
      <c r="D1059" s="8" t="s">
        <v>18</v>
      </c>
      <c r="E1059" s="8" t="s">
        <v>151</v>
      </c>
      <c r="F1059" s="8" t="s">
        <v>151</v>
      </c>
      <c r="G1059" s="8" t="s">
        <v>3273</v>
      </c>
      <c r="H1059" s="8">
        <v>5</v>
      </c>
      <c r="I1059" s="8">
        <v>5</v>
      </c>
      <c r="J1059" s="8">
        <v>0</v>
      </c>
      <c r="K1059" s="8" t="s">
        <v>2222</v>
      </c>
      <c r="L1059" s="8" t="s">
        <v>2222</v>
      </c>
      <c r="M1059" s="8" t="s">
        <v>38</v>
      </c>
      <c r="P1059" s="16" t="s">
        <v>999</v>
      </c>
      <c r="Q1059" s="2" t="s">
        <v>838</v>
      </c>
      <c r="S1059" s="8" t="s">
        <v>1389</v>
      </c>
      <c r="T1059" s="9" t="s">
        <v>2222</v>
      </c>
      <c r="U1059" s="8">
        <v>0</v>
      </c>
      <c r="V1059" s="20">
        <v>2</v>
      </c>
      <c r="W1059" s="21" t="s">
        <v>38</v>
      </c>
    </row>
    <row r="1060" spans="1:23" ht="75">
      <c r="A1060" s="8" t="s">
        <v>3275</v>
      </c>
      <c r="B1060" s="8" t="s">
        <v>1224</v>
      </c>
      <c r="C1060" s="8" t="s">
        <v>2203</v>
      </c>
      <c r="D1060" s="8" t="s">
        <v>18</v>
      </c>
      <c r="E1060" s="8" t="s">
        <v>16</v>
      </c>
      <c r="F1060" s="8" t="s">
        <v>2198</v>
      </c>
      <c r="G1060" s="8" t="s">
        <v>3276</v>
      </c>
      <c r="H1060" s="8">
        <v>1140</v>
      </c>
      <c r="I1060" s="8">
        <v>1140</v>
      </c>
      <c r="J1060" s="8" t="s">
        <v>1225</v>
      </c>
      <c r="K1060" s="9">
        <v>45248</v>
      </c>
      <c r="L1060" s="9">
        <v>45870</v>
      </c>
      <c r="M1060" s="8" t="s">
        <v>16</v>
      </c>
      <c r="P1060" s="16" t="s">
        <v>999</v>
      </c>
      <c r="Q1060" s="2" t="s">
        <v>838</v>
      </c>
      <c r="S1060" s="8" t="s">
        <v>1390</v>
      </c>
      <c r="T1060" s="9" t="s">
        <v>2222</v>
      </c>
      <c r="U1060" s="8">
        <v>0</v>
      </c>
      <c r="V1060" s="20">
        <v>65</v>
      </c>
      <c r="W1060" s="21" t="s">
        <v>101</v>
      </c>
    </row>
    <row r="1061" spans="1:23" ht="75">
      <c r="A1061" s="8" t="s">
        <v>3277</v>
      </c>
      <c r="B1061" s="8" t="s">
        <v>1226</v>
      </c>
      <c r="C1061" s="8" t="s">
        <v>2203</v>
      </c>
      <c r="D1061" s="8" t="s">
        <v>18</v>
      </c>
      <c r="E1061" s="8" t="s">
        <v>16</v>
      </c>
      <c r="F1061" s="8" t="s">
        <v>2198</v>
      </c>
      <c r="G1061" s="8" t="s">
        <v>3276</v>
      </c>
      <c r="H1061" s="8">
        <v>210</v>
      </c>
      <c r="I1061" s="8">
        <v>210</v>
      </c>
      <c r="J1061" s="8" t="s">
        <v>1227</v>
      </c>
      <c r="K1061" s="9">
        <v>45248</v>
      </c>
      <c r="L1061" s="9">
        <v>45870</v>
      </c>
      <c r="M1061" s="8" t="s">
        <v>16</v>
      </c>
      <c r="P1061" s="16" t="s">
        <v>999</v>
      </c>
      <c r="Q1061" s="2" t="s">
        <v>838</v>
      </c>
      <c r="S1061" s="8" t="s">
        <v>1391</v>
      </c>
      <c r="T1061" s="9" t="s">
        <v>2222</v>
      </c>
      <c r="U1061" s="8">
        <v>0</v>
      </c>
      <c r="V1061" s="20">
        <v>78</v>
      </c>
      <c r="W1061" s="21" t="s">
        <v>101</v>
      </c>
    </row>
    <row r="1062" spans="1:23" ht="75">
      <c r="A1062" s="8" t="s">
        <v>3278</v>
      </c>
      <c r="B1062" s="8" t="s">
        <v>1228</v>
      </c>
      <c r="C1062" s="8" t="s">
        <v>2203</v>
      </c>
      <c r="D1062" s="8" t="s">
        <v>18</v>
      </c>
      <c r="E1062" s="8" t="s">
        <v>16</v>
      </c>
      <c r="F1062" s="8" t="s">
        <v>2198</v>
      </c>
      <c r="G1062" s="8" t="s">
        <v>3276</v>
      </c>
      <c r="H1062" s="8">
        <v>200</v>
      </c>
      <c r="I1062" s="8">
        <v>200</v>
      </c>
      <c r="J1062" s="8" t="s">
        <v>1229</v>
      </c>
      <c r="K1062" s="9">
        <v>45248</v>
      </c>
      <c r="L1062" s="9">
        <v>45839</v>
      </c>
      <c r="M1062" s="8" t="s">
        <v>16</v>
      </c>
      <c r="P1062" s="16" t="s">
        <v>999</v>
      </c>
      <c r="Q1062" s="2" t="s">
        <v>838</v>
      </c>
      <c r="S1062" s="8" t="s">
        <v>1392</v>
      </c>
      <c r="T1062" s="9" t="s">
        <v>2222</v>
      </c>
      <c r="U1062" s="8">
        <v>0</v>
      </c>
      <c r="V1062" s="20">
        <v>37</v>
      </c>
      <c r="W1062" s="21" t="s">
        <v>101</v>
      </c>
    </row>
    <row r="1063" spans="1:23" ht="60">
      <c r="A1063" s="8" t="s">
        <v>3279</v>
      </c>
      <c r="B1063" s="8" t="s">
        <v>1230</v>
      </c>
      <c r="C1063" s="8" t="s">
        <v>2221</v>
      </c>
      <c r="D1063" s="8" t="s">
        <v>18</v>
      </c>
      <c r="E1063" s="8" t="s">
        <v>43</v>
      </c>
      <c r="F1063" s="8" t="s">
        <v>2217</v>
      </c>
      <c r="G1063" s="8" t="s">
        <v>2217</v>
      </c>
      <c r="H1063" s="8">
        <v>1</v>
      </c>
      <c r="I1063" s="8">
        <v>1</v>
      </c>
      <c r="J1063" s="8">
        <v>0</v>
      </c>
      <c r="K1063" s="8" t="s">
        <v>2222</v>
      </c>
      <c r="L1063" s="8" t="s">
        <v>2222</v>
      </c>
      <c r="M1063" s="8" t="s">
        <v>43</v>
      </c>
      <c r="P1063" s="16" t="s">
        <v>1000</v>
      </c>
      <c r="Q1063" s="2" t="s">
        <v>838</v>
      </c>
      <c r="S1063" s="8" t="s">
        <v>1393</v>
      </c>
      <c r="T1063" s="9" t="s">
        <v>2222</v>
      </c>
      <c r="U1063" s="8">
        <v>0</v>
      </c>
      <c r="V1063" s="20">
        <v>50</v>
      </c>
      <c r="W1063" s="21" t="s">
        <v>101</v>
      </c>
    </row>
    <row r="1064" spans="1:23" ht="75">
      <c r="A1064" s="8" t="s">
        <v>3280</v>
      </c>
      <c r="B1064" s="8" t="s">
        <v>1231</v>
      </c>
      <c r="C1064" s="8" t="s">
        <v>2197</v>
      </c>
      <c r="D1064" s="8" t="s">
        <v>18</v>
      </c>
      <c r="E1064" s="8" t="s">
        <v>16</v>
      </c>
      <c r="F1064" s="8" t="s">
        <v>2198</v>
      </c>
      <c r="G1064" s="8" t="s">
        <v>3281</v>
      </c>
      <c r="H1064" s="8">
        <v>635</v>
      </c>
      <c r="I1064" s="8">
        <v>635</v>
      </c>
      <c r="J1064" s="8" t="s">
        <v>1232</v>
      </c>
      <c r="K1064" s="9">
        <v>44649</v>
      </c>
      <c r="L1064" s="9">
        <v>45627</v>
      </c>
      <c r="M1064" s="8" t="s">
        <v>16</v>
      </c>
      <c r="P1064" s="16" t="s">
        <v>1001</v>
      </c>
      <c r="Q1064" s="2" t="s">
        <v>838</v>
      </c>
      <c r="S1064" s="8" t="s">
        <v>1394</v>
      </c>
      <c r="T1064" s="9" t="s">
        <v>2222</v>
      </c>
      <c r="U1064" s="8">
        <v>0</v>
      </c>
      <c r="V1064" s="20">
        <v>1</v>
      </c>
      <c r="W1064" s="21" t="s">
        <v>38</v>
      </c>
    </row>
    <row r="1065" spans="1:23" ht="75">
      <c r="A1065" s="8" t="s">
        <v>3282</v>
      </c>
      <c r="B1065" s="8" t="s">
        <v>1233</v>
      </c>
      <c r="C1065" s="8" t="s">
        <v>2197</v>
      </c>
      <c r="D1065" s="8" t="s">
        <v>18</v>
      </c>
      <c r="E1065" s="8" t="s">
        <v>16</v>
      </c>
      <c r="F1065" s="8" t="s">
        <v>2198</v>
      </c>
      <c r="G1065" s="8" t="s">
        <v>3281</v>
      </c>
      <c r="H1065" s="8">
        <v>320</v>
      </c>
      <c r="I1065" s="8">
        <v>320</v>
      </c>
      <c r="J1065" s="8" t="s">
        <v>1234</v>
      </c>
      <c r="K1065" s="9">
        <v>45239</v>
      </c>
      <c r="L1065" s="9">
        <v>46054</v>
      </c>
      <c r="M1065" s="8" t="s">
        <v>16</v>
      </c>
      <c r="P1065" s="16" t="s">
        <v>1001</v>
      </c>
      <c r="Q1065" s="2" t="s">
        <v>838</v>
      </c>
      <c r="S1065" s="8" t="s">
        <v>1395</v>
      </c>
      <c r="T1065" s="9" t="s">
        <v>2222</v>
      </c>
      <c r="U1065" s="8">
        <v>0</v>
      </c>
      <c r="V1065" s="20">
        <v>1</v>
      </c>
      <c r="W1065" s="21" t="s">
        <v>38</v>
      </c>
    </row>
    <row r="1066" spans="1:23" ht="75">
      <c r="A1066" s="8" t="s">
        <v>3283</v>
      </c>
      <c r="B1066" s="8" t="s">
        <v>1235</v>
      </c>
      <c r="C1066" s="8" t="s">
        <v>2197</v>
      </c>
      <c r="D1066" s="8" t="s">
        <v>18</v>
      </c>
      <c r="E1066" s="8" t="s">
        <v>16</v>
      </c>
      <c r="F1066" s="8" t="s">
        <v>2198</v>
      </c>
      <c r="G1066" s="8" t="s">
        <v>3284</v>
      </c>
      <c r="H1066" s="8">
        <v>4461</v>
      </c>
      <c r="I1066" s="8">
        <v>661</v>
      </c>
      <c r="J1066" s="8">
        <v>19213117</v>
      </c>
      <c r="K1066" s="9">
        <v>45378</v>
      </c>
      <c r="L1066" s="9">
        <v>46447</v>
      </c>
      <c r="M1066" s="8" t="s">
        <v>16</v>
      </c>
      <c r="P1066" s="16" t="s">
        <v>1001</v>
      </c>
      <c r="Q1066" s="2" t="s">
        <v>838</v>
      </c>
      <c r="S1066" s="8" t="s">
        <v>1396</v>
      </c>
      <c r="T1066" s="9" t="s">
        <v>2222</v>
      </c>
      <c r="U1066" s="8">
        <v>0</v>
      </c>
      <c r="V1066" s="20">
        <v>1</v>
      </c>
      <c r="W1066" s="21" t="s">
        <v>38</v>
      </c>
    </row>
    <row r="1067" spans="1:23" ht="75">
      <c r="A1067" s="8" t="s">
        <v>3283</v>
      </c>
      <c r="B1067" s="8" t="s">
        <v>1235</v>
      </c>
      <c r="C1067" s="8" t="s">
        <v>2197</v>
      </c>
      <c r="D1067" s="8" t="s">
        <v>18</v>
      </c>
      <c r="E1067" s="8" t="s">
        <v>16</v>
      </c>
      <c r="F1067" s="8" t="s">
        <v>2198</v>
      </c>
      <c r="G1067" s="8" t="s">
        <v>3284</v>
      </c>
      <c r="H1067" s="8">
        <v>4461</v>
      </c>
      <c r="I1067" s="8">
        <v>1200</v>
      </c>
      <c r="J1067" s="8">
        <v>19213119</v>
      </c>
      <c r="K1067" s="9">
        <v>45412</v>
      </c>
      <c r="L1067" s="9">
        <v>46478</v>
      </c>
      <c r="M1067" s="8" t="s">
        <v>16</v>
      </c>
      <c r="P1067" s="16" t="s">
        <v>1001</v>
      </c>
      <c r="Q1067" s="2" t="s">
        <v>838</v>
      </c>
      <c r="S1067" s="8" t="s">
        <v>1397</v>
      </c>
      <c r="T1067" s="9" t="s">
        <v>2222</v>
      </c>
      <c r="U1067" s="8">
        <v>0</v>
      </c>
      <c r="V1067" s="20">
        <v>1</v>
      </c>
      <c r="W1067" s="21" t="s">
        <v>38</v>
      </c>
    </row>
    <row r="1068" spans="1:23" ht="75">
      <c r="A1068" s="8" t="s">
        <v>3283</v>
      </c>
      <c r="B1068" s="8" t="s">
        <v>1235</v>
      </c>
      <c r="C1068" s="8" t="s">
        <v>2197</v>
      </c>
      <c r="D1068" s="8" t="s">
        <v>18</v>
      </c>
      <c r="E1068" s="8" t="s">
        <v>16</v>
      </c>
      <c r="F1068" s="8" t="s">
        <v>2198</v>
      </c>
      <c r="G1068" s="8" t="s">
        <v>3284</v>
      </c>
      <c r="H1068" s="8">
        <v>4461</v>
      </c>
      <c r="I1068" s="8">
        <v>2600</v>
      </c>
      <c r="J1068" s="8">
        <v>19213119</v>
      </c>
      <c r="K1068" s="9">
        <v>45455</v>
      </c>
      <c r="L1068" s="9">
        <v>46508</v>
      </c>
      <c r="M1068" s="8" t="s">
        <v>16</v>
      </c>
      <c r="P1068" s="16" t="s">
        <v>1001</v>
      </c>
      <c r="Q1068" s="2" t="s">
        <v>838</v>
      </c>
      <c r="S1068" s="8" t="s">
        <v>1398</v>
      </c>
      <c r="T1068" s="9" t="s">
        <v>2222</v>
      </c>
      <c r="U1068" s="8">
        <v>0</v>
      </c>
      <c r="V1068" s="20">
        <v>1</v>
      </c>
      <c r="W1068" s="21" t="s">
        <v>38</v>
      </c>
    </row>
    <row r="1069" spans="1:23" ht="75">
      <c r="A1069" s="8" t="s">
        <v>3285</v>
      </c>
      <c r="B1069" s="8" t="s">
        <v>1236</v>
      </c>
      <c r="C1069" s="8" t="s">
        <v>2197</v>
      </c>
      <c r="D1069" s="8" t="s">
        <v>18</v>
      </c>
      <c r="E1069" s="8" t="s">
        <v>16</v>
      </c>
      <c r="F1069" s="8" t="s">
        <v>2198</v>
      </c>
      <c r="G1069" s="8" t="s">
        <v>3284</v>
      </c>
      <c r="H1069" s="8">
        <v>2335</v>
      </c>
      <c r="I1069" s="8">
        <v>35</v>
      </c>
      <c r="J1069" s="8">
        <v>19213106</v>
      </c>
      <c r="K1069" s="9">
        <v>45334</v>
      </c>
      <c r="L1069" s="9">
        <v>46266</v>
      </c>
      <c r="M1069" s="8" t="s">
        <v>16</v>
      </c>
      <c r="P1069" s="16" t="s">
        <v>1001</v>
      </c>
      <c r="Q1069" s="2" t="s">
        <v>838</v>
      </c>
      <c r="S1069" s="8" t="s">
        <v>1399</v>
      </c>
      <c r="T1069" s="9" t="s">
        <v>2222</v>
      </c>
      <c r="U1069" s="8">
        <v>0</v>
      </c>
      <c r="V1069" s="20">
        <v>1</v>
      </c>
      <c r="W1069" s="21" t="s">
        <v>38</v>
      </c>
    </row>
    <row r="1070" spans="1:23" ht="75">
      <c r="A1070" s="8" t="s">
        <v>3285</v>
      </c>
      <c r="B1070" s="8" t="s">
        <v>1236</v>
      </c>
      <c r="C1070" s="8" t="s">
        <v>2197</v>
      </c>
      <c r="D1070" s="8" t="s">
        <v>18</v>
      </c>
      <c r="E1070" s="8" t="s">
        <v>16</v>
      </c>
      <c r="F1070" s="8" t="s">
        <v>2198</v>
      </c>
      <c r="G1070" s="8" t="s">
        <v>3284</v>
      </c>
      <c r="H1070" s="8">
        <v>2335</v>
      </c>
      <c r="I1070" s="8">
        <v>150</v>
      </c>
      <c r="J1070" s="8">
        <v>19213114</v>
      </c>
      <c r="K1070" s="9">
        <v>45455</v>
      </c>
      <c r="L1070" s="9">
        <v>46419</v>
      </c>
      <c r="M1070" s="8" t="s">
        <v>16</v>
      </c>
      <c r="P1070" s="16" t="s">
        <v>1001</v>
      </c>
      <c r="Q1070" s="2" t="s">
        <v>838</v>
      </c>
      <c r="S1070" s="8" t="s">
        <v>1400</v>
      </c>
      <c r="T1070" s="9" t="s">
        <v>2222</v>
      </c>
      <c r="U1070" s="8">
        <v>0</v>
      </c>
      <c r="V1070" s="20">
        <v>1</v>
      </c>
      <c r="W1070" s="21" t="s">
        <v>38</v>
      </c>
    </row>
    <row r="1071" spans="1:23" ht="75">
      <c r="A1071" s="8" t="s">
        <v>3285</v>
      </c>
      <c r="B1071" s="8" t="s">
        <v>1236</v>
      </c>
      <c r="C1071" s="8" t="s">
        <v>2197</v>
      </c>
      <c r="D1071" s="8" t="s">
        <v>18</v>
      </c>
      <c r="E1071" s="8" t="s">
        <v>16</v>
      </c>
      <c r="F1071" s="8" t="s">
        <v>2198</v>
      </c>
      <c r="G1071" s="8" t="s">
        <v>3284</v>
      </c>
      <c r="H1071" s="8">
        <v>2335</v>
      </c>
      <c r="I1071" s="8">
        <v>600</v>
      </c>
      <c r="J1071" s="8">
        <v>19213121</v>
      </c>
      <c r="K1071" s="9">
        <v>45455</v>
      </c>
      <c r="L1071" s="9">
        <v>46539</v>
      </c>
      <c r="M1071" s="8" t="s">
        <v>16</v>
      </c>
      <c r="P1071" s="16" t="s">
        <v>1001</v>
      </c>
      <c r="Q1071" s="2" t="s">
        <v>838</v>
      </c>
      <c r="S1071" s="8" t="s">
        <v>1401</v>
      </c>
      <c r="T1071" s="9" t="s">
        <v>2222</v>
      </c>
      <c r="U1071" s="8">
        <v>0</v>
      </c>
      <c r="V1071" s="20">
        <v>1</v>
      </c>
      <c r="W1071" s="21" t="s">
        <v>38</v>
      </c>
    </row>
    <row r="1072" spans="1:23" ht="75">
      <c r="A1072" s="8" t="s">
        <v>3285</v>
      </c>
      <c r="B1072" s="8" t="s">
        <v>1236</v>
      </c>
      <c r="C1072" s="8" t="s">
        <v>2197</v>
      </c>
      <c r="D1072" s="8" t="s">
        <v>18</v>
      </c>
      <c r="E1072" s="8" t="s">
        <v>16</v>
      </c>
      <c r="F1072" s="8" t="s">
        <v>2198</v>
      </c>
      <c r="G1072" s="8" t="s">
        <v>3284</v>
      </c>
      <c r="H1072" s="8">
        <v>2335</v>
      </c>
      <c r="I1072" s="8">
        <v>1550</v>
      </c>
      <c r="J1072" s="8">
        <v>19213119</v>
      </c>
      <c r="K1072" s="9">
        <v>45455</v>
      </c>
      <c r="L1072" s="9">
        <v>46508</v>
      </c>
      <c r="M1072" s="8" t="s">
        <v>16</v>
      </c>
      <c r="P1072" s="16" t="s">
        <v>1001</v>
      </c>
      <c r="Q1072" s="2" t="s">
        <v>838</v>
      </c>
      <c r="S1072" s="8" t="s">
        <v>1402</v>
      </c>
      <c r="T1072" s="9" t="s">
        <v>2222</v>
      </c>
      <c r="U1072" s="8">
        <v>0</v>
      </c>
      <c r="V1072" s="20">
        <v>1</v>
      </c>
      <c r="W1072" s="21" t="s">
        <v>38</v>
      </c>
    </row>
    <row r="1073" spans="1:23" ht="75">
      <c r="A1073" s="8" t="s">
        <v>3286</v>
      </c>
      <c r="B1073" s="8" t="s">
        <v>1237</v>
      </c>
      <c r="C1073" s="8" t="s">
        <v>2197</v>
      </c>
      <c r="D1073" s="8" t="s">
        <v>18</v>
      </c>
      <c r="E1073" s="8" t="s">
        <v>16</v>
      </c>
      <c r="F1073" s="8" t="s">
        <v>2198</v>
      </c>
      <c r="G1073" s="8" t="s">
        <v>3287</v>
      </c>
      <c r="H1073" s="8">
        <v>154</v>
      </c>
      <c r="I1073" s="8">
        <v>154</v>
      </c>
      <c r="J1073" s="10">
        <v>303000000000</v>
      </c>
      <c r="K1073" s="9">
        <v>45127</v>
      </c>
      <c r="L1073" s="9">
        <v>46935</v>
      </c>
      <c r="M1073" s="8" t="s">
        <v>16</v>
      </c>
      <c r="P1073" s="16" t="s">
        <v>1001</v>
      </c>
      <c r="Q1073" s="2" t="s">
        <v>838</v>
      </c>
      <c r="S1073" s="8" t="s">
        <v>1403</v>
      </c>
      <c r="T1073" s="9" t="s">
        <v>2222</v>
      </c>
      <c r="U1073" s="8">
        <v>0</v>
      </c>
      <c r="V1073" s="20">
        <v>148</v>
      </c>
      <c r="W1073" s="21" t="s">
        <v>101</v>
      </c>
    </row>
    <row r="1074" spans="1:23" ht="75">
      <c r="A1074" s="8" t="s">
        <v>3288</v>
      </c>
      <c r="B1074" s="8" t="s">
        <v>1238</v>
      </c>
      <c r="C1074" s="8" t="s">
        <v>2197</v>
      </c>
      <c r="D1074" s="8" t="s">
        <v>18</v>
      </c>
      <c r="E1074" s="8" t="s">
        <v>16</v>
      </c>
      <c r="F1074" s="8" t="s">
        <v>2228</v>
      </c>
      <c r="G1074" s="8" t="s">
        <v>3289</v>
      </c>
      <c r="H1074" s="8">
        <v>5774</v>
      </c>
      <c r="I1074" s="8">
        <v>1982</v>
      </c>
      <c r="J1074" s="8" t="s">
        <v>1239</v>
      </c>
      <c r="K1074" s="9">
        <v>45283</v>
      </c>
      <c r="L1074" s="9">
        <v>45870</v>
      </c>
      <c r="M1074" s="8" t="s">
        <v>16</v>
      </c>
      <c r="P1074" s="16" t="s">
        <v>1001</v>
      </c>
      <c r="Q1074" s="2" t="s">
        <v>838</v>
      </c>
      <c r="S1074" s="8" t="s">
        <v>1404</v>
      </c>
      <c r="T1074" s="9" t="s">
        <v>2222</v>
      </c>
      <c r="U1074" s="8">
        <v>0</v>
      </c>
      <c r="V1074" s="20">
        <v>85</v>
      </c>
      <c r="W1074" s="21" t="s">
        <v>101</v>
      </c>
    </row>
    <row r="1075" spans="1:23" ht="75">
      <c r="A1075" s="8" t="s">
        <v>3288</v>
      </c>
      <c r="B1075" s="8" t="s">
        <v>1238</v>
      </c>
      <c r="C1075" s="8" t="s">
        <v>2197</v>
      </c>
      <c r="D1075" s="8" t="s">
        <v>18</v>
      </c>
      <c r="E1075" s="8" t="s">
        <v>16</v>
      </c>
      <c r="F1075" s="8" t="s">
        <v>2228</v>
      </c>
      <c r="G1075" s="8" t="s">
        <v>3289</v>
      </c>
      <c r="H1075" s="8">
        <v>5774</v>
      </c>
      <c r="I1075" s="8">
        <v>3792</v>
      </c>
      <c r="J1075" s="8" t="s">
        <v>1240</v>
      </c>
      <c r="K1075" s="9">
        <v>44856</v>
      </c>
      <c r="L1075" s="9">
        <v>46600</v>
      </c>
      <c r="M1075" s="8" t="s">
        <v>16</v>
      </c>
      <c r="P1075" s="16" t="s">
        <v>1002</v>
      </c>
      <c r="Q1075" s="2" t="s">
        <v>838</v>
      </c>
      <c r="S1075" s="8" t="s">
        <v>1406</v>
      </c>
      <c r="T1075" s="9" t="s">
        <v>2222</v>
      </c>
      <c r="U1075" s="8">
        <v>0</v>
      </c>
      <c r="V1075" s="20">
        <v>136</v>
      </c>
      <c r="W1075" s="21" t="s">
        <v>101</v>
      </c>
    </row>
    <row r="1076" spans="1:23" ht="90">
      <c r="A1076" s="8" t="s">
        <v>3290</v>
      </c>
      <c r="B1076" s="8" t="s">
        <v>1241</v>
      </c>
      <c r="C1076" s="8" t="s">
        <v>2197</v>
      </c>
      <c r="D1076" s="8" t="s">
        <v>18</v>
      </c>
      <c r="E1076" s="8" t="s">
        <v>16</v>
      </c>
      <c r="F1076" s="8" t="s">
        <v>2198</v>
      </c>
      <c r="G1076" s="8" t="s">
        <v>3289</v>
      </c>
      <c r="H1076" s="8">
        <v>241</v>
      </c>
      <c r="I1076" s="8">
        <v>241</v>
      </c>
      <c r="J1076" s="8">
        <v>0</v>
      </c>
      <c r="K1076" s="9">
        <v>45161</v>
      </c>
      <c r="L1076" s="9">
        <v>46722</v>
      </c>
      <c r="M1076" s="8" t="s">
        <v>16</v>
      </c>
      <c r="P1076" s="16" t="s">
        <v>1002</v>
      </c>
      <c r="Q1076" s="2" t="s">
        <v>838</v>
      </c>
      <c r="S1076" s="8" t="s">
        <v>1405</v>
      </c>
      <c r="T1076" s="9" t="s">
        <v>2222</v>
      </c>
      <c r="U1076" s="8">
        <v>0</v>
      </c>
      <c r="V1076" s="20">
        <v>1</v>
      </c>
      <c r="W1076" s="21" t="s">
        <v>38</v>
      </c>
    </row>
    <row r="1077" spans="1:23" ht="75">
      <c r="A1077" s="8" t="s">
        <v>3291</v>
      </c>
      <c r="B1077" s="8" t="s">
        <v>1241</v>
      </c>
      <c r="C1077" s="8" t="s">
        <v>2197</v>
      </c>
      <c r="D1077" s="8" t="s">
        <v>18</v>
      </c>
      <c r="E1077" s="8" t="s">
        <v>16</v>
      </c>
      <c r="F1077" s="8" t="s">
        <v>2228</v>
      </c>
      <c r="G1077" s="8" t="s">
        <v>3289</v>
      </c>
      <c r="H1077" s="8">
        <v>2761</v>
      </c>
      <c r="I1077" s="8">
        <v>2761</v>
      </c>
      <c r="J1077" s="8" t="s">
        <v>1242</v>
      </c>
      <c r="K1077" s="9">
        <v>44973</v>
      </c>
      <c r="L1077" s="9">
        <v>46722</v>
      </c>
      <c r="M1077" s="8" t="s">
        <v>16</v>
      </c>
      <c r="P1077" s="16" t="s">
        <v>1002</v>
      </c>
      <c r="Q1077" s="2" t="s">
        <v>838</v>
      </c>
      <c r="S1077" s="8" t="s">
        <v>1408</v>
      </c>
      <c r="T1077" s="9" t="s">
        <v>2222</v>
      </c>
      <c r="U1077" s="8">
        <v>0</v>
      </c>
      <c r="V1077" s="20">
        <v>146</v>
      </c>
      <c r="W1077" s="21" t="s">
        <v>101</v>
      </c>
    </row>
    <row r="1078" spans="1:23" ht="90">
      <c r="A1078" s="8" t="s">
        <v>3292</v>
      </c>
      <c r="B1078" s="8" t="s">
        <v>1243</v>
      </c>
      <c r="C1078" s="8" t="s">
        <v>2197</v>
      </c>
      <c r="D1078" s="8" t="s">
        <v>18</v>
      </c>
      <c r="E1078" s="8" t="s">
        <v>16</v>
      </c>
      <c r="F1078" s="8" t="s">
        <v>2198</v>
      </c>
      <c r="G1078" s="8" t="s">
        <v>3293</v>
      </c>
      <c r="H1078" s="8">
        <v>1130</v>
      </c>
      <c r="I1078" s="8">
        <v>10</v>
      </c>
      <c r="J1078" s="8">
        <v>23040304</v>
      </c>
      <c r="K1078" s="9">
        <v>45300</v>
      </c>
      <c r="L1078" s="9">
        <v>46813</v>
      </c>
      <c r="M1078" s="8" t="s">
        <v>16</v>
      </c>
      <c r="P1078" s="16" t="s">
        <v>1002</v>
      </c>
      <c r="Q1078" s="2" t="s">
        <v>838</v>
      </c>
      <c r="S1078" s="8" t="s">
        <v>1407</v>
      </c>
      <c r="T1078" s="9" t="s">
        <v>2222</v>
      </c>
      <c r="U1078" s="8">
        <v>0</v>
      </c>
      <c r="V1078" s="20">
        <v>1</v>
      </c>
      <c r="W1078" s="21" t="s">
        <v>38</v>
      </c>
    </row>
    <row r="1079" spans="1:23" ht="75">
      <c r="A1079" s="8" t="s">
        <v>3292</v>
      </c>
      <c r="B1079" s="8" t="s">
        <v>1243</v>
      </c>
      <c r="C1079" s="8" t="s">
        <v>2197</v>
      </c>
      <c r="D1079" s="8" t="s">
        <v>18</v>
      </c>
      <c r="E1079" s="8" t="s">
        <v>16</v>
      </c>
      <c r="F1079" s="8" t="s">
        <v>2198</v>
      </c>
      <c r="G1079" s="8" t="s">
        <v>3293</v>
      </c>
      <c r="H1079" s="8">
        <v>1130</v>
      </c>
      <c r="I1079" s="8">
        <v>340</v>
      </c>
      <c r="J1079" s="8">
        <v>24031203</v>
      </c>
      <c r="K1079" s="9">
        <v>45370</v>
      </c>
      <c r="L1079" s="9">
        <v>47150</v>
      </c>
      <c r="M1079" s="8" t="s">
        <v>16</v>
      </c>
      <c r="P1079" s="16" t="s">
        <v>1002</v>
      </c>
      <c r="Q1079" s="2" t="s">
        <v>838</v>
      </c>
      <c r="S1079" s="8" t="s">
        <v>1409</v>
      </c>
      <c r="T1079" s="9" t="s">
        <v>2222</v>
      </c>
      <c r="U1079" s="8">
        <v>0</v>
      </c>
      <c r="V1079" s="20">
        <v>44</v>
      </c>
      <c r="W1079" s="21" t="s">
        <v>101</v>
      </c>
    </row>
    <row r="1080" spans="1:23" ht="75">
      <c r="A1080" s="8" t="s">
        <v>3292</v>
      </c>
      <c r="B1080" s="8" t="s">
        <v>1243</v>
      </c>
      <c r="C1080" s="8" t="s">
        <v>2197</v>
      </c>
      <c r="D1080" s="8" t="s">
        <v>18</v>
      </c>
      <c r="E1080" s="8" t="s">
        <v>16</v>
      </c>
      <c r="F1080" s="8" t="s">
        <v>2198</v>
      </c>
      <c r="G1080" s="8" t="s">
        <v>3293</v>
      </c>
      <c r="H1080" s="8">
        <v>1130</v>
      </c>
      <c r="I1080" s="8">
        <v>780</v>
      </c>
      <c r="J1080" s="8">
        <v>24012510</v>
      </c>
      <c r="K1080" s="9">
        <v>45370</v>
      </c>
      <c r="L1080" s="9">
        <v>47088</v>
      </c>
      <c r="M1080" s="8" t="s">
        <v>16</v>
      </c>
      <c r="P1080" s="16" t="s">
        <v>1002</v>
      </c>
      <c r="Q1080" s="2" t="s">
        <v>838</v>
      </c>
      <c r="S1080" s="8" t="s">
        <v>1410</v>
      </c>
      <c r="T1080" s="9" t="s">
        <v>2222</v>
      </c>
      <c r="U1080" s="8">
        <v>0</v>
      </c>
      <c r="V1080" s="20">
        <v>17</v>
      </c>
      <c r="W1080" s="21" t="s">
        <v>101</v>
      </c>
    </row>
    <row r="1081" spans="1:23" ht="90">
      <c r="A1081" s="8" t="s">
        <v>3294</v>
      </c>
      <c r="B1081" s="8" t="s">
        <v>1244</v>
      </c>
      <c r="C1081" s="8" t="s">
        <v>2197</v>
      </c>
      <c r="D1081" s="8" t="s">
        <v>18</v>
      </c>
      <c r="E1081" s="8" t="s">
        <v>16</v>
      </c>
      <c r="F1081" s="8" t="s">
        <v>2198</v>
      </c>
      <c r="G1081" s="8" t="s">
        <v>3293</v>
      </c>
      <c r="H1081" s="8">
        <v>415</v>
      </c>
      <c r="I1081" s="8">
        <v>15</v>
      </c>
      <c r="J1081" s="8">
        <v>24012509</v>
      </c>
      <c r="K1081" s="9">
        <v>45328</v>
      </c>
      <c r="L1081" s="9">
        <v>47088</v>
      </c>
      <c r="M1081" s="8" t="s">
        <v>16</v>
      </c>
      <c r="P1081" s="16" t="s">
        <v>1009</v>
      </c>
      <c r="Q1081" s="2" t="s">
        <v>838</v>
      </c>
      <c r="S1081" s="8" t="s">
        <v>1411</v>
      </c>
      <c r="T1081" s="9" t="s">
        <v>2222</v>
      </c>
      <c r="U1081" s="8">
        <v>0</v>
      </c>
      <c r="V1081" s="20">
        <v>159</v>
      </c>
      <c r="W1081" s="21" t="s">
        <v>101</v>
      </c>
    </row>
    <row r="1082" spans="1:23" ht="90">
      <c r="A1082" s="8" t="s">
        <v>3294</v>
      </c>
      <c r="B1082" s="8" t="s">
        <v>1244</v>
      </c>
      <c r="C1082" s="8" t="s">
        <v>2197</v>
      </c>
      <c r="D1082" s="8" t="s">
        <v>18</v>
      </c>
      <c r="E1082" s="8" t="s">
        <v>16</v>
      </c>
      <c r="F1082" s="8" t="s">
        <v>2198</v>
      </c>
      <c r="G1082" s="8" t="s">
        <v>3293</v>
      </c>
      <c r="H1082" s="8">
        <v>415</v>
      </c>
      <c r="I1082" s="8">
        <v>400</v>
      </c>
      <c r="J1082" s="8">
        <v>24042401</v>
      </c>
      <c r="K1082" s="9">
        <v>45409</v>
      </c>
      <c r="L1082" s="9">
        <v>47178</v>
      </c>
      <c r="M1082" s="8" t="s">
        <v>16</v>
      </c>
      <c r="P1082" s="16" t="s">
        <v>1009</v>
      </c>
      <c r="Q1082" s="2" t="s">
        <v>838</v>
      </c>
      <c r="S1082" s="8" t="s">
        <v>1412</v>
      </c>
      <c r="T1082" s="9" t="s">
        <v>2222</v>
      </c>
      <c r="U1082" s="8">
        <v>0</v>
      </c>
      <c r="V1082" s="20">
        <v>148</v>
      </c>
      <c r="W1082" s="21" t="s">
        <v>101</v>
      </c>
    </row>
    <row r="1083" spans="1:23" ht="90">
      <c r="A1083" s="8" t="s">
        <v>3295</v>
      </c>
      <c r="B1083" s="8" t="s">
        <v>1245</v>
      </c>
      <c r="C1083" s="8" t="s">
        <v>2197</v>
      </c>
      <c r="D1083" s="8" t="s">
        <v>18</v>
      </c>
      <c r="E1083" s="8" t="s">
        <v>16</v>
      </c>
      <c r="F1083" s="8" t="s">
        <v>2198</v>
      </c>
      <c r="G1083" s="8" t="s">
        <v>3293</v>
      </c>
      <c r="H1083" s="8">
        <v>1670</v>
      </c>
      <c r="I1083" s="8">
        <v>620</v>
      </c>
      <c r="J1083" s="8">
        <v>24022903</v>
      </c>
      <c r="K1083" s="9">
        <v>45370</v>
      </c>
      <c r="L1083" s="9">
        <v>47119</v>
      </c>
      <c r="M1083" s="8" t="s">
        <v>16</v>
      </c>
      <c r="P1083" s="16" t="s">
        <v>1009</v>
      </c>
      <c r="Q1083" s="2" t="s">
        <v>838</v>
      </c>
      <c r="S1083" s="8" t="s">
        <v>1414</v>
      </c>
      <c r="T1083" s="9" t="s">
        <v>2222</v>
      </c>
      <c r="U1083" s="8">
        <v>0</v>
      </c>
      <c r="V1083" s="20">
        <v>135</v>
      </c>
      <c r="W1083" s="21" t="s">
        <v>101</v>
      </c>
    </row>
    <row r="1084" spans="1:23" ht="105">
      <c r="A1084" s="8" t="s">
        <v>3295</v>
      </c>
      <c r="B1084" s="8" t="s">
        <v>1245</v>
      </c>
      <c r="C1084" s="8" t="s">
        <v>2197</v>
      </c>
      <c r="D1084" s="8" t="s">
        <v>18</v>
      </c>
      <c r="E1084" s="8" t="s">
        <v>16</v>
      </c>
      <c r="F1084" s="8" t="s">
        <v>2198</v>
      </c>
      <c r="G1084" s="8" t="s">
        <v>3293</v>
      </c>
      <c r="H1084" s="8">
        <v>1670</v>
      </c>
      <c r="I1084" s="8">
        <v>1050</v>
      </c>
      <c r="J1084" s="8">
        <v>24030408</v>
      </c>
      <c r="K1084" s="9">
        <v>45370</v>
      </c>
      <c r="L1084" s="9">
        <v>47150</v>
      </c>
      <c r="M1084" s="8" t="s">
        <v>16</v>
      </c>
      <c r="P1084" s="16" t="s">
        <v>1010</v>
      </c>
      <c r="Q1084" s="2" t="s">
        <v>838</v>
      </c>
      <c r="S1084" s="8" t="s">
        <v>1413</v>
      </c>
      <c r="T1084" s="9" t="s">
        <v>2222</v>
      </c>
      <c r="U1084" s="8">
        <v>0</v>
      </c>
      <c r="V1084" s="20">
        <v>1</v>
      </c>
      <c r="W1084" s="21" t="s">
        <v>38</v>
      </c>
    </row>
    <row r="1085" spans="1:23" ht="90">
      <c r="A1085" s="8" t="s">
        <v>3296</v>
      </c>
      <c r="B1085" s="8" t="s">
        <v>1246</v>
      </c>
      <c r="C1085" s="8" t="s">
        <v>2197</v>
      </c>
      <c r="D1085" s="8" t="s">
        <v>18</v>
      </c>
      <c r="E1085" s="8" t="s">
        <v>16</v>
      </c>
      <c r="F1085" s="8" t="s">
        <v>2198</v>
      </c>
      <c r="G1085" s="8" t="s">
        <v>3297</v>
      </c>
      <c r="H1085" s="8">
        <v>225</v>
      </c>
      <c r="I1085" s="8">
        <v>225</v>
      </c>
      <c r="J1085" s="8">
        <v>5042022</v>
      </c>
      <c r="K1085" s="9">
        <v>44743</v>
      </c>
      <c r="L1085" s="9">
        <v>45748</v>
      </c>
      <c r="M1085" s="8" t="s">
        <v>16</v>
      </c>
      <c r="P1085" s="16" t="s">
        <v>1010</v>
      </c>
      <c r="Q1085" s="2" t="s">
        <v>838</v>
      </c>
      <c r="S1085" s="8" t="s">
        <v>1416</v>
      </c>
      <c r="T1085" s="9" t="s">
        <v>2222</v>
      </c>
      <c r="U1085" s="8">
        <v>0</v>
      </c>
      <c r="V1085" s="20">
        <v>182</v>
      </c>
      <c r="W1085" s="21" t="s">
        <v>101</v>
      </c>
    </row>
    <row r="1086" spans="1:23" ht="105">
      <c r="A1086" s="8" t="s">
        <v>3298</v>
      </c>
      <c r="B1086" s="8" t="s">
        <v>1247</v>
      </c>
      <c r="C1086" s="8" t="s">
        <v>2197</v>
      </c>
      <c r="D1086" s="8" t="s">
        <v>18</v>
      </c>
      <c r="E1086" s="8" t="s">
        <v>16</v>
      </c>
      <c r="F1086" s="8" t="s">
        <v>2198</v>
      </c>
      <c r="G1086" s="8" t="s">
        <v>3297</v>
      </c>
      <c r="H1086" s="8">
        <v>218</v>
      </c>
      <c r="I1086" s="8">
        <v>218</v>
      </c>
      <c r="J1086" s="8">
        <v>5042022</v>
      </c>
      <c r="K1086" s="9">
        <v>44743</v>
      </c>
      <c r="L1086" s="9">
        <v>45748</v>
      </c>
      <c r="M1086" s="8" t="s">
        <v>16</v>
      </c>
      <c r="P1086" s="16" t="s">
        <v>1010</v>
      </c>
      <c r="Q1086" s="2" t="s">
        <v>838</v>
      </c>
      <c r="S1086" s="8" t="s">
        <v>1415</v>
      </c>
      <c r="T1086" s="9" t="s">
        <v>2222</v>
      </c>
      <c r="U1086" s="8">
        <v>0</v>
      </c>
      <c r="V1086" s="20">
        <v>1</v>
      </c>
      <c r="W1086" s="21" t="s">
        <v>38</v>
      </c>
    </row>
    <row r="1087" spans="1:23" ht="90">
      <c r="A1087" s="8" t="s">
        <v>3299</v>
      </c>
      <c r="B1087" s="8" t="s">
        <v>1248</v>
      </c>
      <c r="C1087" s="8" t="s">
        <v>2197</v>
      </c>
      <c r="D1087" s="8" t="s">
        <v>18</v>
      </c>
      <c r="E1087" s="8" t="s">
        <v>16</v>
      </c>
      <c r="F1087" s="8" t="s">
        <v>2228</v>
      </c>
      <c r="G1087" s="8" t="s">
        <v>3300</v>
      </c>
      <c r="H1087" s="8">
        <v>55</v>
      </c>
      <c r="I1087" s="8">
        <v>15</v>
      </c>
      <c r="J1087" s="8" t="s">
        <v>1249</v>
      </c>
      <c r="K1087" s="9">
        <v>45070</v>
      </c>
      <c r="L1087" s="9">
        <v>46023</v>
      </c>
      <c r="M1087" s="8" t="s">
        <v>16</v>
      </c>
      <c r="P1087" s="16" t="s">
        <v>1010</v>
      </c>
      <c r="Q1087" s="2" t="s">
        <v>838</v>
      </c>
      <c r="S1087" s="8" t="s">
        <v>1417</v>
      </c>
      <c r="T1087" s="9" t="s">
        <v>2222</v>
      </c>
      <c r="U1087" s="8">
        <v>0</v>
      </c>
      <c r="V1087" s="20">
        <v>41</v>
      </c>
      <c r="W1087" s="21" t="s">
        <v>101</v>
      </c>
    </row>
    <row r="1088" spans="1:23" ht="90">
      <c r="A1088" s="8" t="s">
        <v>3299</v>
      </c>
      <c r="B1088" s="8" t="s">
        <v>1248</v>
      </c>
      <c r="C1088" s="8" t="s">
        <v>2197</v>
      </c>
      <c r="D1088" s="8" t="s">
        <v>18</v>
      </c>
      <c r="E1088" s="8" t="s">
        <v>16</v>
      </c>
      <c r="F1088" s="8" t="s">
        <v>2228</v>
      </c>
      <c r="G1088" s="8" t="s">
        <v>3300</v>
      </c>
      <c r="H1088" s="8">
        <v>55</v>
      </c>
      <c r="I1088" s="8">
        <v>40</v>
      </c>
      <c r="J1088" s="8" t="s">
        <v>1250</v>
      </c>
      <c r="K1088" s="9">
        <v>45379</v>
      </c>
      <c r="L1088" s="9">
        <v>46296</v>
      </c>
      <c r="M1088" s="8" t="s">
        <v>16</v>
      </c>
      <c r="P1088" s="16" t="s">
        <v>1010</v>
      </c>
      <c r="Q1088" s="2" t="s">
        <v>838</v>
      </c>
      <c r="S1088" s="8" t="s">
        <v>1418</v>
      </c>
      <c r="T1088" s="9" t="s">
        <v>2222</v>
      </c>
      <c r="U1088" s="8">
        <v>0</v>
      </c>
      <c r="V1088" s="20">
        <v>22</v>
      </c>
      <c r="W1088" s="21" t="s">
        <v>101</v>
      </c>
    </row>
    <row r="1089" spans="1:23" ht="75">
      <c r="A1089" s="8" t="s">
        <v>3301</v>
      </c>
      <c r="B1089" s="8" t="s">
        <v>1251</v>
      </c>
      <c r="C1089" s="8" t="s">
        <v>2197</v>
      </c>
      <c r="D1089" s="8" t="s">
        <v>18</v>
      </c>
      <c r="E1089" s="8" t="s">
        <v>16</v>
      </c>
      <c r="F1089" s="8" t="s">
        <v>2198</v>
      </c>
      <c r="G1089" s="8" t="s">
        <v>3302</v>
      </c>
      <c r="H1089" s="8">
        <v>1657</v>
      </c>
      <c r="I1089" s="8">
        <v>307</v>
      </c>
      <c r="J1089" s="8">
        <v>25203103</v>
      </c>
      <c r="K1089" s="9">
        <v>45366</v>
      </c>
      <c r="L1089" s="9">
        <v>45962</v>
      </c>
      <c r="M1089" s="8" t="s">
        <v>16</v>
      </c>
      <c r="P1089" s="16" t="s">
        <v>1010</v>
      </c>
      <c r="Q1089" s="2" t="s">
        <v>838</v>
      </c>
      <c r="S1089" s="8" t="s">
        <v>1419</v>
      </c>
      <c r="T1089" s="9" t="s">
        <v>2222</v>
      </c>
      <c r="U1089" s="8">
        <v>0</v>
      </c>
      <c r="V1089" s="20">
        <v>25</v>
      </c>
      <c r="W1089" s="21" t="s">
        <v>101</v>
      </c>
    </row>
    <row r="1090" spans="1:23" ht="75">
      <c r="A1090" s="8" t="s">
        <v>3301</v>
      </c>
      <c r="B1090" s="8" t="s">
        <v>1251</v>
      </c>
      <c r="C1090" s="8" t="s">
        <v>2197</v>
      </c>
      <c r="D1090" s="8" t="s">
        <v>18</v>
      </c>
      <c r="E1090" s="8" t="s">
        <v>16</v>
      </c>
      <c r="F1090" s="8" t="s">
        <v>2198</v>
      </c>
      <c r="G1090" s="8" t="s">
        <v>3302</v>
      </c>
      <c r="H1090" s="8">
        <v>1657</v>
      </c>
      <c r="I1090" s="8">
        <v>1350</v>
      </c>
      <c r="J1090" s="8">
        <v>26193201</v>
      </c>
      <c r="K1090" s="9">
        <v>45222</v>
      </c>
      <c r="L1090" s="9">
        <v>46296</v>
      </c>
      <c r="M1090" s="8" t="s">
        <v>16</v>
      </c>
      <c r="P1090" s="16" t="s">
        <v>1010</v>
      </c>
      <c r="Q1090" s="2" t="s">
        <v>838</v>
      </c>
      <c r="S1090" s="8" t="s">
        <v>1420</v>
      </c>
      <c r="T1090" s="9" t="s">
        <v>2222</v>
      </c>
      <c r="U1090" s="8">
        <v>0</v>
      </c>
      <c r="V1090" s="20">
        <v>10</v>
      </c>
      <c r="W1090" s="21" t="s">
        <v>101</v>
      </c>
    </row>
    <row r="1091" spans="1:23" ht="90">
      <c r="A1091" s="8" t="s">
        <v>3303</v>
      </c>
      <c r="B1091" s="8" t="s">
        <v>1252</v>
      </c>
      <c r="C1091" s="8" t="s">
        <v>2197</v>
      </c>
      <c r="D1091" s="8" t="s">
        <v>18</v>
      </c>
      <c r="E1091" s="8" t="s">
        <v>16</v>
      </c>
      <c r="F1091" s="8" t="s">
        <v>2198</v>
      </c>
      <c r="G1091" s="8" t="s">
        <v>3302</v>
      </c>
      <c r="H1091" s="8">
        <v>4993</v>
      </c>
      <c r="I1091" s="8">
        <v>43</v>
      </c>
      <c r="J1091" s="8">
        <v>29163101</v>
      </c>
      <c r="K1091" s="9">
        <v>44795</v>
      </c>
      <c r="L1091" s="9">
        <v>45870</v>
      </c>
      <c r="M1091" s="8" t="s">
        <v>16</v>
      </c>
      <c r="P1091" s="16" t="s">
        <v>1010</v>
      </c>
      <c r="Q1091" s="2" t="s">
        <v>838</v>
      </c>
      <c r="S1091" s="8" t="s">
        <v>1421</v>
      </c>
      <c r="T1091" s="9" t="s">
        <v>2222</v>
      </c>
      <c r="U1091" s="8">
        <v>0</v>
      </c>
      <c r="V1091" s="20">
        <v>6</v>
      </c>
      <c r="W1091" s="21" t="s">
        <v>101</v>
      </c>
    </row>
    <row r="1092" spans="1:23" ht="75">
      <c r="A1092" s="8" t="s">
        <v>3303</v>
      </c>
      <c r="B1092" s="8" t="s">
        <v>1252</v>
      </c>
      <c r="C1092" s="8" t="s">
        <v>2197</v>
      </c>
      <c r="D1092" s="8" t="s">
        <v>18</v>
      </c>
      <c r="E1092" s="8" t="s">
        <v>16</v>
      </c>
      <c r="F1092" s="8" t="s">
        <v>2198</v>
      </c>
      <c r="G1092" s="8" t="s">
        <v>3302</v>
      </c>
      <c r="H1092" s="8">
        <v>4993</v>
      </c>
      <c r="I1092" s="8">
        <v>750</v>
      </c>
      <c r="J1092" s="8">
        <v>15193201</v>
      </c>
      <c r="K1092" s="9">
        <v>45222</v>
      </c>
      <c r="L1092" s="9">
        <v>46296</v>
      </c>
      <c r="M1092" s="8" t="s">
        <v>16</v>
      </c>
      <c r="P1092" s="16" t="s">
        <v>1010</v>
      </c>
      <c r="Q1092" s="2" t="s">
        <v>838</v>
      </c>
      <c r="S1092" s="8" t="s">
        <v>1422</v>
      </c>
      <c r="T1092" s="9" t="s">
        <v>2222</v>
      </c>
      <c r="U1092" s="8">
        <v>0</v>
      </c>
      <c r="V1092" s="20">
        <v>1</v>
      </c>
      <c r="W1092" s="21" t="s">
        <v>101</v>
      </c>
    </row>
    <row r="1093" spans="1:23" ht="90">
      <c r="A1093" s="8" t="s">
        <v>3303</v>
      </c>
      <c r="B1093" s="8" t="s">
        <v>1252</v>
      </c>
      <c r="C1093" s="8" t="s">
        <v>2197</v>
      </c>
      <c r="D1093" s="8" t="s">
        <v>18</v>
      </c>
      <c r="E1093" s="8" t="s">
        <v>16</v>
      </c>
      <c r="F1093" s="8" t="s">
        <v>2198</v>
      </c>
      <c r="G1093" s="8" t="s">
        <v>3302</v>
      </c>
      <c r="H1093" s="8">
        <v>4993</v>
      </c>
      <c r="I1093" s="8">
        <v>1300</v>
      </c>
      <c r="J1093" s="8">
        <v>28183101</v>
      </c>
      <c r="K1093" s="9">
        <v>45206</v>
      </c>
      <c r="L1093" s="9">
        <v>45901</v>
      </c>
      <c r="M1093" s="8" t="s">
        <v>16</v>
      </c>
      <c r="P1093" s="16" t="s">
        <v>1010</v>
      </c>
      <c r="Q1093" s="2" t="s">
        <v>838</v>
      </c>
      <c r="S1093" s="8" t="s">
        <v>1423</v>
      </c>
      <c r="T1093" s="9" t="s">
        <v>2222</v>
      </c>
      <c r="U1093" s="8">
        <v>0</v>
      </c>
      <c r="V1093" s="20">
        <v>30</v>
      </c>
      <c r="W1093" s="21" t="s">
        <v>101</v>
      </c>
    </row>
    <row r="1094" spans="1:23" ht="75">
      <c r="A1094" s="8" t="s">
        <v>3303</v>
      </c>
      <c r="B1094" s="8" t="s">
        <v>1252</v>
      </c>
      <c r="C1094" s="8" t="s">
        <v>2197</v>
      </c>
      <c r="D1094" s="8" t="s">
        <v>18</v>
      </c>
      <c r="E1094" s="8" t="s">
        <v>16</v>
      </c>
      <c r="F1094" s="8" t="s">
        <v>2198</v>
      </c>
      <c r="G1094" s="8" t="s">
        <v>3302</v>
      </c>
      <c r="H1094" s="8">
        <v>4993</v>
      </c>
      <c r="I1094" s="8">
        <v>1400</v>
      </c>
      <c r="J1094" s="8">
        <v>21203101</v>
      </c>
      <c r="K1094" s="9">
        <v>45206</v>
      </c>
      <c r="L1094" s="9">
        <v>45962</v>
      </c>
      <c r="M1094" s="8" t="s">
        <v>16</v>
      </c>
      <c r="P1094" s="16" t="s">
        <v>1010</v>
      </c>
      <c r="Q1094" s="2" t="s">
        <v>838</v>
      </c>
      <c r="S1094" s="8" t="s">
        <v>1424</v>
      </c>
      <c r="T1094" s="9" t="s">
        <v>2222</v>
      </c>
      <c r="U1094" s="8">
        <v>0</v>
      </c>
      <c r="V1094" s="20">
        <v>5</v>
      </c>
      <c r="W1094" s="21" t="s">
        <v>101</v>
      </c>
    </row>
    <row r="1095" spans="1:23" ht="45">
      <c r="A1095" s="8" t="s">
        <v>3303</v>
      </c>
      <c r="B1095" s="8" t="s">
        <v>1252</v>
      </c>
      <c r="C1095" s="8" t="s">
        <v>2197</v>
      </c>
      <c r="D1095" s="8" t="s">
        <v>18</v>
      </c>
      <c r="E1095" s="8" t="s">
        <v>16</v>
      </c>
      <c r="F1095" s="8" t="s">
        <v>2198</v>
      </c>
      <c r="G1095" s="8" t="s">
        <v>3302</v>
      </c>
      <c r="H1095" s="8">
        <v>4993</v>
      </c>
      <c r="I1095" s="8">
        <v>1500</v>
      </c>
      <c r="J1095" s="8">
        <v>29193201</v>
      </c>
      <c r="K1095" s="9">
        <v>45222</v>
      </c>
      <c r="L1095" s="9">
        <v>46296</v>
      </c>
      <c r="M1095" s="8" t="s">
        <v>16</v>
      </c>
      <c r="P1095" s="16" t="s">
        <v>1010</v>
      </c>
      <c r="Q1095" s="2" t="s">
        <v>838</v>
      </c>
      <c r="S1095" s="8" t="s">
        <v>1425</v>
      </c>
      <c r="T1095" s="9" t="s">
        <v>2222</v>
      </c>
      <c r="U1095" s="8">
        <v>0</v>
      </c>
      <c r="V1095" s="20">
        <v>40</v>
      </c>
      <c r="W1095" s="21" t="s">
        <v>41</v>
      </c>
    </row>
    <row r="1096" spans="1:23" ht="60">
      <c r="A1096" s="8" t="s">
        <v>3304</v>
      </c>
      <c r="B1096" s="8" t="s">
        <v>1253</v>
      </c>
      <c r="C1096" s="8" t="s">
        <v>2203</v>
      </c>
      <c r="D1096" s="8" t="s">
        <v>18</v>
      </c>
      <c r="E1096" s="8" t="s">
        <v>16</v>
      </c>
      <c r="F1096" s="8" t="s">
        <v>2228</v>
      </c>
      <c r="G1096" s="8" t="s">
        <v>3305</v>
      </c>
      <c r="H1096" s="8">
        <v>4965</v>
      </c>
      <c r="I1096" s="8">
        <v>645</v>
      </c>
      <c r="J1096" s="8" t="s">
        <v>1254</v>
      </c>
      <c r="K1096" s="9">
        <v>45328</v>
      </c>
      <c r="L1096" s="9">
        <v>47088</v>
      </c>
      <c r="M1096" s="8" t="s">
        <v>16</v>
      </c>
      <c r="P1096" s="16" t="s">
        <v>1010</v>
      </c>
      <c r="Q1096" s="2" t="s">
        <v>838</v>
      </c>
      <c r="S1096" s="8" t="s">
        <v>1426</v>
      </c>
      <c r="T1096" s="9">
        <v>46813</v>
      </c>
      <c r="U1096" s="8">
        <v>0</v>
      </c>
      <c r="V1096" s="20">
        <v>1536</v>
      </c>
      <c r="W1096" s="21" t="s">
        <v>16</v>
      </c>
    </row>
    <row r="1097" spans="1:23" ht="60">
      <c r="A1097" s="8" t="s">
        <v>3304</v>
      </c>
      <c r="B1097" s="8" t="s">
        <v>1253</v>
      </c>
      <c r="C1097" s="8" t="s">
        <v>2203</v>
      </c>
      <c r="D1097" s="8" t="s">
        <v>18</v>
      </c>
      <c r="E1097" s="8" t="s">
        <v>16</v>
      </c>
      <c r="F1097" s="8" t="s">
        <v>2228</v>
      </c>
      <c r="G1097" s="8" t="s">
        <v>3305</v>
      </c>
      <c r="H1097" s="8">
        <v>4965</v>
      </c>
      <c r="I1097" s="8">
        <v>4320</v>
      </c>
      <c r="J1097" s="8" t="s">
        <v>1255</v>
      </c>
      <c r="K1097" s="9">
        <v>45268</v>
      </c>
      <c r="L1097" s="9">
        <v>47027</v>
      </c>
      <c r="M1097" s="8" t="s">
        <v>16</v>
      </c>
      <c r="P1097" s="16" t="s">
        <v>1010</v>
      </c>
      <c r="Q1097" s="2" t="s">
        <v>838</v>
      </c>
      <c r="S1097" s="8" t="s">
        <v>1428</v>
      </c>
      <c r="T1097" s="9">
        <v>45901</v>
      </c>
      <c r="U1097" s="8">
        <v>0</v>
      </c>
      <c r="V1097" s="20">
        <v>160</v>
      </c>
      <c r="W1097" s="21" t="s">
        <v>16</v>
      </c>
    </row>
    <row r="1098" spans="1:23" ht="60">
      <c r="A1098" s="8" t="s">
        <v>3306</v>
      </c>
      <c r="B1098" s="8" t="s">
        <v>1256</v>
      </c>
      <c r="C1098" s="8" t="s">
        <v>2197</v>
      </c>
      <c r="D1098" s="8" t="s">
        <v>18</v>
      </c>
      <c r="E1098" s="8" t="s">
        <v>16</v>
      </c>
      <c r="F1098" s="8" t="s">
        <v>2198</v>
      </c>
      <c r="G1098" s="8" t="s">
        <v>3307</v>
      </c>
      <c r="H1098" s="8">
        <v>1840</v>
      </c>
      <c r="I1098" s="8">
        <v>1840</v>
      </c>
      <c r="J1098" s="8">
        <v>20240329</v>
      </c>
      <c r="K1098" s="9">
        <v>45437</v>
      </c>
      <c r="L1098" s="9">
        <v>47178</v>
      </c>
      <c r="M1098" s="8" t="s">
        <v>16</v>
      </c>
      <c r="P1098" s="16" t="s">
        <v>1010</v>
      </c>
      <c r="Q1098" s="2" t="s">
        <v>838</v>
      </c>
      <c r="S1098" s="8" t="s">
        <v>1428</v>
      </c>
      <c r="T1098" s="9">
        <v>45962</v>
      </c>
      <c r="U1098" s="8">
        <v>0</v>
      </c>
      <c r="V1098" s="20">
        <v>23040</v>
      </c>
      <c r="W1098" s="21" t="s">
        <v>16</v>
      </c>
    </row>
    <row r="1099" spans="1:23" ht="60">
      <c r="A1099" s="8" t="s">
        <v>3308</v>
      </c>
      <c r="B1099" s="8" t="s">
        <v>1257</v>
      </c>
      <c r="C1099" s="8" t="s">
        <v>2197</v>
      </c>
      <c r="D1099" s="8" t="s">
        <v>18</v>
      </c>
      <c r="E1099" s="8" t="s">
        <v>16</v>
      </c>
      <c r="F1099" s="8" t="s">
        <v>2198</v>
      </c>
      <c r="G1099" s="8" t="s">
        <v>3307</v>
      </c>
      <c r="H1099" s="8">
        <v>3613</v>
      </c>
      <c r="I1099" s="8">
        <v>1613</v>
      </c>
      <c r="J1099" s="8">
        <v>20240113</v>
      </c>
      <c r="K1099" s="9">
        <v>45377</v>
      </c>
      <c r="L1099" s="9">
        <v>47119</v>
      </c>
      <c r="M1099" s="8" t="s">
        <v>16</v>
      </c>
      <c r="P1099" s="16" t="s">
        <v>1010</v>
      </c>
      <c r="Q1099" s="2" t="s">
        <v>838</v>
      </c>
      <c r="S1099" s="8" t="s">
        <v>1431</v>
      </c>
      <c r="T1099" s="9">
        <v>46082</v>
      </c>
      <c r="U1099" s="8">
        <v>0</v>
      </c>
      <c r="V1099" s="20">
        <v>73</v>
      </c>
      <c r="W1099" s="21" t="s">
        <v>16</v>
      </c>
    </row>
    <row r="1100" spans="1:23" ht="45">
      <c r="A1100" s="8" t="s">
        <v>3308</v>
      </c>
      <c r="B1100" s="8" t="s">
        <v>1257</v>
      </c>
      <c r="C1100" s="8" t="s">
        <v>2197</v>
      </c>
      <c r="D1100" s="8" t="s">
        <v>18</v>
      </c>
      <c r="E1100" s="8" t="s">
        <v>16</v>
      </c>
      <c r="F1100" s="8" t="s">
        <v>2198</v>
      </c>
      <c r="G1100" s="8" t="s">
        <v>3307</v>
      </c>
      <c r="H1100" s="8">
        <v>3613</v>
      </c>
      <c r="I1100" s="8">
        <v>2000</v>
      </c>
      <c r="J1100" s="8">
        <v>20240303</v>
      </c>
      <c r="K1100" s="9">
        <v>45437</v>
      </c>
      <c r="L1100" s="9">
        <v>47178</v>
      </c>
      <c r="M1100" s="8" t="s">
        <v>16</v>
      </c>
      <c r="P1100" s="16" t="s">
        <v>1010</v>
      </c>
      <c r="Q1100" s="2" t="s">
        <v>838</v>
      </c>
      <c r="S1100" s="8" t="s">
        <v>1433</v>
      </c>
      <c r="T1100" s="9">
        <v>46844</v>
      </c>
      <c r="U1100" s="8">
        <v>0</v>
      </c>
      <c r="V1100" s="20">
        <v>7</v>
      </c>
      <c r="W1100" s="21" t="s">
        <v>16</v>
      </c>
    </row>
    <row r="1101" spans="1:23" ht="45">
      <c r="A1101" s="8" t="s">
        <v>3309</v>
      </c>
      <c r="B1101" s="8" t="s">
        <v>1258</v>
      </c>
      <c r="C1101" s="8" t="s">
        <v>2303</v>
      </c>
      <c r="D1101" s="8" t="s">
        <v>18</v>
      </c>
      <c r="E1101" s="8" t="s">
        <v>16</v>
      </c>
      <c r="F1101" s="8" t="s">
        <v>2228</v>
      </c>
      <c r="G1101" s="8" t="s">
        <v>3310</v>
      </c>
      <c r="H1101" s="8">
        <v>246</v>
      </c>
      <c r="I1101" s="8">
        <v>19</v>
      </c>
      <c r="J1101" s="8">
        <v>24011120022</v>
      </c>
      <c r="K1101" s="9">
        <v>45320</v>
      </c>
      <c r="L1101" s="9">
        <v>47119</v>
      </c>
      <c r="M1101" s="8" t="s">
        <v>16</v>
      </c>
      <c r="P1101" s="16" t="s">
        <v>1010</v>
      </c>
      <c r="Q1101" s="2" t="s">
        <v>838</v>
      </c>
      <c r="S1101" s="8" t="s">
        <v>1433</v>
      </c>
      <c r="T1101" s="9">
        <v>46905</v>
      </c>
      <c r="U1101" s="8">
        <v>0</v>
      </c>
      <c r="V1101" s="20">
        <v>390</v>
      </c>
      <c r="W1101" s="21" t="s">
        <v>16</v>
      </c>
    </row>
    <row r="1102" spans="1:23" ht="60">
      <c r="A1102" s="8" t="s">
        <v>3309</v>
      </c>
      <c r="B1102" s="8" t="s">
        <v>1258</v>
      </c>
      <c r="C1102" s="8" t="s">
        <v>2303</v>
      </c>
      <c r="D1102" s="8" t="s">
        <v>18</v>
      </c>
      <c r="E1102" s="8" t="s">
        <v>16</v>
      </c>
      <c r="F1102" s="8" t="s">
        <v>2228</v>
      </c>
      <c r="G1102" s="8" t="s">
        <v>3310</v>
      </c>
      <c r="H1102" s="8">
        <v>246</v>
      </c>
      <c r="I1102" s="8">
        <v>21</v>
      </c>
      <c r="J1102" s="8">
        <v>24052920008</v>
      </c>
      <c r="K1102" s="9">
        <v>45446</v>
      </c>
      <c r="L1102" s="9">
        <v>47239</v>
      </c>
      <c r="M1102" s="8" t="s">
        <v>16</v>
      </c>
      <c r="P1102" s="16" t="s">
        <v>1010</v>
      </c>
      <c r="Q1102" s="2" t="s">
        <v>838</v>
      </c>
      <c r="S1102" s="8" t="s">
        <v>1434</v>
      </c>
      <c r="T1102" s="9">
        <v>46753</v>
      </c>
      <c r="U1102" s="8">
        <v>0</v>
      </c>
      <c r="V1102" s="20">
        <v>15</v>
      </c>
      <c r="W1102" s="21" t="s">
        <v>16</v>
      </c>
    </row>
    <row r="1103" spans="1:23" ht="60">
      <c r="A1103" s="8" t="s">
        <v>3309</v>
      </c>
      <c r="B1103" s="8" t="s">
        <v>1258</v>
      </c>
      <c r="C1103" s="8" t="s">
        <v>2303</v>
      </c>
      <c r="D1103" s="8" t="s">
        <v>18</v>
      </c>
      <c r="E1103" s="8" t="s">
        <v>16</v>
      </c>
      <c r="F1103" s="8" t="s">
        <v>2228</v>
      </c>
      <c r="G1103" s="8" t="s">
        <v>3310</v>
      </c>
      <c r="H1103" s="8">
        <v>246</v>
      </c>
      <c r="I1103" s="8">
        <v>42</v>
      </c>
      <c r="J1103" s="8">
        <v>24010420001</v>
      </c>
      <c r="K1103" s="9">
        <v>45303</v>
      </c>
      <c r="L1103" s="9">
        <v>47119</v>
      </c>
      <c r="M1103" s="8" t="s">
        <v>16</v>
      </c>
      <c r="P1103" s="16" t="s">
        <v>1026</v>
      </c>
      <c r="Q1103" s="2" t="s">
        <v>43</v>
      </c>
      <c r="S1103" s="8" t="s">
        <v>1434</v>
      </c>
      <c r="T1103" s="9">
        <v>46844</v>
      </c>
      <c r="U1103" s="8">
        <v>0</v>
      </c>
      <c r="V1103" s="20">
        <v>760</v>
      </c>
      <c r="W1103" s="21" t="s">
        <v>16</v>
      </c>
    </row>
    <row r="1104" spans="1:23" ht="45">
      <c r="A1104" s="8" t="s">
        <v>3309</v>
      </c>
      <c r="B1104" s="8" t="s">
        <v>1258</v>
      </c>
      <c r="C1104" s="8" t="s">
        <v>2303</v>
      </c>
      <c r="D1104" s="8" t="s">
        <v>18</v>
      </c>
      <c r="E1104" s="8" t="s">
        <v>16</v>
      </c>
      <c r="F1104" s="8" t="s">
        <v>2228</v>
      </c>
      <c r="G1104" s="8" t="s">
        <v>3310</v>
      </c>
      <c r="H1104" s="8">
        <v>246</v>
      </c>
      <c r="I1104" s="8">
        <v>164</v>
      </c>
      <c r="J1104" s="8">
        <v>24050820007</v>
      </c>
      <c r="K1104" s="9">
        <v>45426</v>
      </c>
      <c r="L1104" s="9">
        <v>47239</v>
      </c>
      <c r="M1104" s="8" t="s">
        <v>16</v>
      </c>
      <c r="P1104" s="16" t="s">
        <v>1027</v>
      </c>
      <c r="Q1104" s="2" t="s">
        <v>43</v>
      </c>
      <c r="S1104" s="8" t="s">
        <v>1435</v>
      </c>
      <c r="T1104" s="9">
        <v>46447</v>
      </c>
      <c r="U1104" s="8">
        <v>0</v>
      </c>
      <c r="V1104" s="20">
        <v>120</v>
      </c>
      <c r="W1104" s="21" t="s">
        <v>16</v>
      </c>
    </row>
    <row r="1105" spans="1:23" ht="45">
      <c r="A1105" s="8" t="s">
        <v>3311</v>
      </c>
      <c r="B1105" s="8" t="s">
        <v>1259</v>
      </c>
      <c r="C1105" s="8" t="s">
        <v>2197</v>
      </c>
      <c r="D1105" s="8" t="s">
        <v>18</v>
      </c>
      <c r="E1105" s="8" t="s">
        <v>16</v>
      </c>
      <c r="F1105" s="8" t="s">
        <v>2228</v>
      </c>
      <c r="G1105" s="8" t="s">
        <v>3310</v>
      </c>
      <c r="H1105" s="8">
        <v>13608</v>
      </c>
      <c r="I1105" s="8">
        <v>8</v>
      </c>
      <c r="J1105" s="8">
        <v>2401141002</v>
      </c>
      <c r="K1105" s="9">
        <v>45447</v>
      </c>
      <c r="L1105" s="9">
        <v>47119</v>
      </c>
      <c r="M1105" s="8" t="s">
        <v>16</v>
      </c>
      <c r="P1105" s="16" t="s">
        <v>1028</v>
      </c>
      <c r="Q1105" s="2" t="s">
        <v>43</v>
      </c>
      <c r="S1105" s="8" t="s">
        <v>1436</v>
      </c>
      <c r="T1105" s="9">
        <v>47027</v>
      </c>
      <c r="U1105" s="8">
        <v>0</v>
      </c>
      <c r="V1105" s="20">
        <v>693</v>
      </c>
      <c r="W1105" s="21" t="s">
        <v>16</v>
      </c>
    </row>
    <row r="1106" spans="1:23" ht="45">
      <c r="A1106" s="8" t="s">
        <v>3311</v>
      </c>
      <c r="B1106" s="8" t="s">
        <v>1259</v>
      </c>
      <c r="C1106" s="8" t="s">
        <v>2197</v>
      </c>
      <c r="D1106" s="8" t="s">
        <v>18</v>
      </c>
      <c r="E1106" s="8" t="s">
        <v>16</v>
      </c>
      <c r="F1106" s="8" t="s">
        <v>2228</v>
      </c>
      <c r="G1106" s="8" t="s">
        <v>3310</v>
      </c>
      <c r="H1106" s="8">
        <v>13608</v>
      </c>
      <c r="I1106" s="8">
        <v>1100</v>
      </c>
      <c r="J1106" s="8">
        <v>2402151002</v>
      </c>
      <c r="K1106" s="9">
        <v>45345</v>
      </c>
      <c r="L1106" s="9">
        <v>47150</v>
      </c>
      <c r="M1106" s="8" t="s">
        <v>16</v>
      </c>
      <c r="P1106" s="16" t="s">
        <v>1029</v>
      </c>
      <c r="Q1106" s="2" t="s">
        <v>43</v>
      </c>
      <c r="S1106" s="8" t="s">
        <v>1436</v>
      </c>
      <c r="T1106" s="9">
        <v>47058</v>
      </c>
      <c r="U1106" s="8">
        <v>0</v>
      </c>
      <c r="V1106" s="20">
        <v>5250</v>
      </c>
      <c r="W1106" s="21" t="s">
        <v>16</v>
      </c>
    </row>
    <row r="1107" spans="1:23" ht="45">
      <c r="A1107" s="8" t="s">
        <v>3311</v>
      </c>
      <c r="B1107" s="8" t="s">
        <v>1259</v>
      </c>
      <c r="C1107" s="8" t="s">
        <v>2197</v>
      </c>
      <c r="D1107" s="8" t="s">
        <v>18</v>
      </c>
      <c r="E1107" s="8" t="s">
        <v>16</v>
      </c>
      <c r="F1107" s="8" t="s">
        <v>2228</v>
      </c>
      <c r="G1107" s="8" t="s">
        <v>3310</v>
      </c>
      <c r="H1107" s="8">
        <v>13608</v>
      </c>
      <c r="I1107" s="8">
        <v>3940</v>
      </c>
      <c r="J1107" s="8">
        <v>2405291005</v>
      </c>
      <c r="K1107" s="9">
        <v>45446</v>
      </c>
      <c r="L1107" s="9">
        <v>47239</v>
      </c>
      <c r="M1107" s="8" t="s">
        <v>16</v>
      </c>
      <c r="P1107" s="16" t="s">
        <v>1030</v>
      </c>
      <c r="Q1107" s="2" t="s">
        <v>43</v>
      </c>
      <c r="S1107" s="8" t="s">
        <v>1437</v>
      </c>
      <c r="T1107" s="9">
        <v>46966</v>
      </c>
      <c r="U1107" s="8">
        <v>0</v>
      </c>
      <c r="V1107" s="20">
        <v>2</v>
      </c>
      <c r="W1107" s="21" t="s">
        <v>16</v>
      </c>
    </row>
    <row r="1108" spans="1:23" ht="45">
      <c r="A1108" s="8" t="s">
        <v>3311</v>
      </c>
      <c r="B1108" s="8" t="s">
        <v>1259</v>
      </c>
      <c r="C1108" s="8" t="s">
        <v>2197</v>
      </c>
      <c r="D1108" s="8" t="s">
        <v>18</v>
      </c>
      <c r="E1108" s="8" t="s">
        <v>16</v>
      </c>
      <c r="F1108" s="8" t="s">
        <v>2228</v>
      </c>
      <c r="G1108" s="8" t="s">
        <v>3310</v>
      </c>
      <c r="H1108" s="8">
        <v>13608</v>
      </c>
      <c r="I1108" s="8">
        <v>8560</v>
      </c>
      <c r="J1108" s="8">
        <v>2405081004</v>
      </c>
      <c r="K1108" s="9">
        <v>45422</v>
      </c>
      <c r="L1108" s="9">
        <v>47239</v>
      </c>
      <c r="M1108" s="8" t="s">
        <v>16</v>
      </c>
      <c r="P1108" s="16" t="s">
        <v>1031</v>
      </c>
      <c r="Q1108" s="2" t="s">
        <v>43</v>
      </c>
      <c r="S1108" s="8" t="s">
        <v>1437</v>
      </c>
      <c r="T1108" s="9">
        <v>47239</v>
      </c>
      <c r="U1108" s="8">
        <v>0</v>
      </c>
      <c r="V1108" s="20">
        <v>1126</v>
      </c>
      <c r="W1108" s="21" t="s">
        <v>16</v>
      </c>
    </row>
    <row r="1109" spans="1:23" ht="60.75">
      <c r="A1109" s="8" t="s">
        <v>3312</v>
      </c>
      <c r="B1109" s="8" t="s">
        <v>1260</v>
      </c>
      <c r="C1109" s="8" t="s">
        <v>2197</v>
      </c>
      <c r="D1109" s="8" t="s">
        <v>18</v>
      </c>
      <c r="E1109" s="8" t="s">
        <v>16</v>
      </c>
      <c r="F1109" s="8" t="s">
        <v>2228</v>
      </c>
      <c r="G1109" s="8" t="s">
        <v>3310</v>
      </c>
      <c r="H1109" s="8">
        <v>536</v>
      </c>
      <c r="I1109" s="8">
        <v>4</v>
      </c>
      <c r="J1109" s="8">
        <v>2310235012</v>
      </c>
      <c r="K1109" s="9">
        <v>45246</v>
      </c>
      <c r="L1109" s="9">
        <v>47027</v>
      </c>
      <c r="M1109" s="8" t="s">
        <v>16</v>
      </c>
      <c r="P1109" s="16" t="s">
        <v>1032</v>
      </c>
      <c r="Q1109" s="2" t="s">
        <v>43</v>
      </c>
      <c r="S1109" s="8" t="s">
        <v>1438</v>
      </c>
      <c r="T1109" s="9">
        <v>46874</v>
      </c>
      <c r="U1109" s="8">
        <v>0</v>
      </c>
      <c r="V1109" s="20">
        <v>1</v>
      </c>
      <c r="W1109" s="21" t="s">
        <v>16</v>
      </c>
    </row>
    <row r="1110" spans="1:23" ht="60.75">
      <c r="A1110" s="8" t="s">
        <v>3312</v>
      </c>
      <c r="B1110" s="8" t="s">
        <v>1260</v>
      </c>
      <c r="C1110" s="8" t="s">
        <v>2197</v>
      </c>
      <c r="D1110" s="8" t="s">
        <v>18</v>
      </c>
      <c r="E1110" s="8" t="s">
        <v>16</v>
      </c>
      <c r="F1110" s="8" t="s">
        <v>2228</v>
      </c>
      <c r="G1110" s="8" t="s">
        <v>3310</v>
      </c>
      <c r="H1110" s="8">
        <v>536</v>
      </c>
      <c r="I1110" s="8">
        <v>32</v>
      </c>
      <c r="J1110" s="8">
        <v>2312015013</v>
      </c>
      <c r="K1110" s="9">
        <v>45276</v>
      </c>
      <c r="L1110" s="9">
        <v>47088</v>
      </c>
      <c r="M1110" s="8" t="s">
        <v>16</v>
      </c>
      <c r="P1110" s="16" t="s">
        <v>1033</v>
      </c>
      <c r="Q1110" s="2" t="s">
        <v>43</v>
      </c>
      <c r="S1110" s="8" t="s">
        <v>1438</v>
      </c>
      <c r="T1110" s="9">
        <v>46813</v>
      </c>
      <c r="U1110" s="8">
        <v>0</v>
      </c>
      <c r="V1110" s="20">
        <v>56</v>
      </c>
      <c r="W1110" s="21" t="s">
        <v>16</v>
      </c>
    </row>
    <row r="1111" spans="1:23" ht="60.75">
      <c r="A1111" s="8" t="s">
        <v>3312</v>
      </c>
      <c r="B1111" s="8" t="s">
        <v>1260</v>
      </c>
      <c r="C1111" s="8" t="s">
        <v>2197</v>
      </c>
      <c r="D1111" s="8" t="s">
        <v>18</v>
      </c>
      <c r="E1111" s="8" t="s">
        <v>16</v>
      </c>
      <c r="F1111" s="8" t="s">
        <v>2228</v>
      </c>
      <c r="G1111" s="8" t="s">
        <v>3310</v>
      </c>
      <c r="H1111" s="8">
        <v>536</v>
      </c>
      <c r="I1111" s="8">
        <v>500</v>
      </c>
      <c r="J1111" s="8">
        <v>2405085002</v>
      </c>
      <c r="K1111" s="9">
        <v>45426</v>
      </c>
      <c r="L1111" s="9">
        <v>47239</v>
      </c>
      <c r="M1111" s="8" t="s">
        <v>16</v>
      </c>
      <c r="P1111" s="16" t="s">
        <v>1034</v>
      </c>
      <c r="Q1111" s="2" t="s">
        <v>43</v>
      </c>
      <c r="S1111" s="8" t="s">
        <v>1438</v>
      </c>
      <c r="T1111" s="9">
        <v>47239</v>
      </c>
      <c r="U1111" s="8">
        <v>0</v>
      </c>
      <c r="V1111" s="20">
        <v>9800</v>
      </c>
      <c r="W1111" s="21" t="s">
        <v>16</v>
      </c>
    </row>
    <row r="1112" spans="1:23" ht="45">
      <c r="A1112" s="8" t="s">
        <v>3313</v>
      </c>
      <c r="B1112" s="8" t="s">
        <v>1261</v>
      </c>
      <c r="C1112" s="8" t="s">
        <v>2203</v>
      </c>
      <c r="D1112" s="8" t="s">
        <v>18</v>
      </c>
      <c r="E1112" s="8" t="s">
        <v>151</v>
      </c>
      <c r="F1112" s="8" t="s">
        <v>151</v>
      </c>
      <c r="G1112" s="8" t="s">
        <v>3314</v>
      </c>
      <c r="H1112" s="8">
        <v>80</v>
      </c>
      <c r="I1112" s="8">
        <v>80</v>
      </c>
      <c r="J1112" s="8">
        <v>0</v>
      </c>
      <c r="K1112" s="9">
        <v>45083</v>
      </c>
      <c r="L1112" s="9">
        <v>46905</v>
      </c>
      <c r="M1112" s="8" t="s">
        <v>16</v>
      </c>
      <c r="P1112" s="16" t="s">
        <v>1035</v>
      </c>
      <c r="Q1112" s="2" t="s">
        <v>43</v>
      </c>
      <c r="S1112" s="8" t="s">
        <v>1438</v>
      </c>
      <c r="T1112" s="9">
        <v>47209</v>
      </c>
      <c r="U1112" s="8">
        <v>0</v>
      </c>
      <c r="V1112" s="20">
        <v>2460</v>
      </c>
      <c r="W1112" s="21" t="s">
        <v>16</v>
      </c>
    </row>
    <row r="1113" spans="1:23" ht="45">
      <c r="A1113" s="8" t="s">
        <v>3315</v>
      </c>
      <c r="B1113" s="8" t="s">
        <v>1262</v>
      </c>
      <c r="C1113" s="8" t="s">
        <v>2303</v>
      </c>
      <c r="D1113" s="8" t="s">
        <v>18</v>
      </c>
      <c r="E1113" s="8" t="s">
        <v>16</v>
      </c>
      <c r="F1113" s="8" t="s">
        <v>2228</v>
      </c>
      <c r="G1113" s="8" t="s">
        <v>3316</v>
      </c>
      <c r="H1113" s="8">
        <v>480</v>
      </c>
      <c r="I1113" s="8">
        <v>480</v>
      </c>
      <c r="J1113" s="8">
        <v>0</v>
      </c>
      <c r="K1113" s="9">
        <v>45150</v>
      </c>
      <c r="L1113" s="9">
        <v>46966</v>
      </c>
      <c r="M1113" s="8" t="s">
        <v>16</v>
      </c>
      <c r="P1113" s="17" t="s">
        <v>1036</v>
      </c>
      <c r="Q1113" s="2" t="s">
        <v>16</v>
      </c>
      <c r="S1113" s="8" t="s">
        <v>1439</v>
      </c>
      <c r="T1113" s="9">
        <v>45870</v>
      </c>
      <c r="U1113" s="8">
        <v>0</v>
      </c>
      <c r="V1113" s="20">
        <v>1004</v>
      </c>
      <c r="W1113" s="21" t="s">
        <v>16</v>
      </c>
    </row>
    <row r="1114" spans="1:23" ht="60">
      <c r="A1114" s="8" t="s">
        <v>3317</v>
      </c>
      <c r="B1114" s="8" t="s">
        <v>1263</v>
      </c>
      <c r="C1114" s="8" t="s">
        <v>2197</v>
      </c>
      <c r="D1114" s="8" t="s">
        <v>18</v>
      </c>
      <c r="E1114" s="8" t="s">
        <v>151</v>
      </c>
      <c r="F1114" s="8" t="s">
        <v>2866</v>
      </c>
      <c r="G1114" s="8" t="s">
        <v>3318</v>
      </c>
      <c r="H1114" s="8">
        <v>671</v>
      </c>
      <c r="I1114" s="8">
        <v>11</v>
      </c>
      <c r="J1114" s="8" t="s">
        <v>1264</v>
      </c>
      <c r="K1114" s="9">
        <v>45210</v>
      </c>
      <c r="L1114" s="9">
        <v>47027</v>
      </c>
      <c r="M1114" s="8" t="s">
        <v>151</v>
      </c>
      <c r="P1114" s="17" t="s">
        <v>1036</v>
      </c>
      <c r="Q1114" s="2" t="s">
        <v>16</v>
      </c>
      <c r="S1114" s="8" t="s">
        <v>1441</v>
      </c>
      <c r="T1114" s="9">
        <v>45870</v>
      </c>
      <c r="U1114" s="8">
        <v>0</v>
      </c>
      <c r="V1114" s="20">
        <v>2</v>
      </c>
      <c r="W1114" s="21" t="s">
        <v>38</v>
      </c>
    </row>
    <row r="1115" spans="1:23" ht="45">
      <c r="A1115" s="8" t="s">
        <v>3317</v>
      </c>
      <c r="B1115" s="8" t="s">
        <v>1263</v>
      </c>
      <c r="C1115" s="8" t="s">
        <v>2197</v>
      </c>
      <c r="D1115" s="8" t="s">
        <v>18</v>
      </c>
      <c r="E1115" s="8" t="s">
        <v>151</v>
      </c>
      <c r="F1115" s="8" t="s">
        <v>2866</v>
      </c>
      <c r="G1115" s="8" t="s">
        <v>3318</v>
      </c>
      <c r="H1115" s="8">
        <v>671</v>
      </c>
      <c r="I1115" s="8">
        <v>100</v>
      </c>
      <c r="J1115" s="8" t="s">
        <v>1265</v>
      </c>
      <c r="K1115" s="9">
        <v>45276</v>
      </c>
      <c r="L1115" s="9">
        <v>47027</v>
      </c>
      <c r="M1115" s="8" t="s">
        <v>151</v>
      </c>
      <c r="P1115" s="17" t="s">
        <v>1037</v>
      </c>
      <c r="Q1115" s="2" t="s">
        <v>16</v>
      </c>
      <c r="S1115" s="8" t="s">
        <v>1443</v>
      </c>
      <c r="T1115" s="9">
        <v>45717</v>
      </c>
      <c r="U1115" s="8">
        <v>0</v>
      </c>
      <c r="V1115" s="20">
        <v>200</v>
      </c>
      <c r="W1115" s="21" t="s">
        <v>151</v>
      </c>
    </row>
    <row r="1116" spans="1:23" ht="45">
      <c r="A1116" s="8" t="s">
        <v>3317</v>
      </c>
      <c r="B1116" s="8" t="s">
        <v>1263</v>
      </c>
      <c r="C1116" s="8" t="s">
        <v>2197</v>
      </c>
      <c r="D1116" s="8" t="s">
        <v>18</v>
      </c>
      <c r="E1116" s="8" t="s">
        <v>151</v>
      </c>
      <c r="F1116" s="8" t="s">
        <v>2866</v>
      </c>
      <c r="G1116" s="8" t="s">
        <v>3318</v>
      </c>
      <c r="H1116" s="8">
        <v>671</v>
      </c>
      <c r="I1116" s="8">
        <v>560</v>
      </c>
      <c r="J1116" s="8" t="s">
        <v>1266</v>
      </c>
      <c r="K1116" s="9">
        <v>45288</v>
      </c>
      <c r="L1116" s="9">
        <v>47088</v>
      </c>
      <c r="M1116" s="8" t="s">
        <v>151</v>
      </c>
      <c r="P1116" s="17" t="s">
        <v>1037</v>
      </c>
      <c r="Q1116" s="2" t="s">
        <v>16</v>
      </c>
      <c r="S1116" s="8" t="s">
        <v>1443</v>
      </c>
      <c r="T1116" s="9">
        <v>47453</v>
      </c>
      <c r="U1116" s="8">
        <v>0</v>
      </c>
      <c r="V1116" s="20">
        <v>3271</v>
      </c>
      <c r="W1116" s="21" t="s">
        <v>151</v>
      </c>
    </row>
    <row r="1117" spans="1:23" ht="45">
      <c r="A1117" s="8" t="s">
        <v>3319</v>
      </c>
      <c r="B1117" s="8" t="s">
        <v>1267</v>
      </c>
      <c r="C1117" s="8" t="s">
        <v>2197</v>
      </c>
      <c r="D1117" s="8" t="s">
        <v>18</v>
      </c>
      <c r="E1117" s="8" t="s">
        <v>151</v>
      </c>
      <c r="F1117" s="8" t="s">
        <v>2866</v>
      </c>
      <c r="G1117" s="8" t="s">
        <v>3318</v>
      </c>
      <c r="H1117" s="8">
        <v>905</v>
      </c>
      <c r="I1117" s="8">
        <v>60</v>
      </c>
      <c r="J1117" s="8" t="s">
        <v>1266</v>
      </c>
      <c r="K1117" s="9">
        <v>45288</v>
      </c>
      <c r="L1117" s="9">
        <v>47088</v>
      </c>
      <c r="M1117" s="8" t="s">
        <v>151</v>
      </c>
      <c r="P1117" s="16" t="s">
        <v>1038</v>
      </c>
      <c r="Q1117" s="2" t="s">
        <v>41</v>
      </c>
      <c r="S1117" s="8" t="s">
        <v>1444</v>
      </c>
      <c r="T1117" s="9" t="s">
        <v>2222</v>
      </c>
      <c r="U1117" s="8">
        <v>0</v>
      </c>
      <c r="V1117" s="20">
        <v>1</v>
      </c>
      <c r="W1117" s="21" t="s">
        <v>38</v>
      </c>
    </row>
    <row r="1118" spans="1:23" ht="60">
      <c r="A1118" s="8" t="s">
        <v>3319</v>
      </c>
      <c r="B1118" s="8" t="s">
        <v>1267</v>
      </c>
      <c r="C1118" s="8" t="s">
        <v>2197</v>
      </c>
      <c r="D1118" s="8" t="s">
        <v>18</v>
      </c>
      <c r="E1118" s="8" t="s">
        <v>151</v>
      </c>
      <c r="F1118" s="8" t="s">
        <v>2866</v>
      </c>
      <c r="G1118" s="8" t="s">
        <v>3318</v>
      </c>
      <c r="H1118" s="8">
        <v>905</v>
      </c>
      <c r="I1118" s="8">
        <v>380</v>
      </c>
      <c r="J1118" s="8" t="s">
        <v>1268</v>
      </c>
      <c r="K1118" s="9">
        <v>45276</v>
      </c>
      <c r="L1118" s="9">
        <v>47058</v>
      </c>
      <c r="M1118" s="8" t="s">
        <v>151</v>
      </c>
      <c r="P1118" s="16" t="s">
        <v>1039</v>
      </c>
      <c r="Q1118" s="2" t="s">
        <v>16</v>
      </c>
      <c r="S1118" s="8" t="s">
        <v>1445</v>
      </c>
      <c r="T1118" s="9" t="s">
        <v>2222</v>
      </c>
      <c r="U1118" s="8">
        <v>0</v>
      </c>
      <c r="V1118" s="20">
        <v>15</v>
      </c>
      <c r="W1118" s="21" t="s">
        <v>43</v>
      </c>
    </row>
    <row r="1119" spans="1:23" ht="48.75">
      <c r="A1119" s="8" t="s">
        <v>3319</v>
      </c>
      <c r="B1119" s="8" t="s">
        <v>1267</v>
      </c>
      <c r="C1119" s="8" t="s">
        <v>2197</v>
      </c>
      <c r="D1119" s="8" t="s">
        <v>18</v>
      </c>
      <c r="E1119" s="8" t="s">
        <v>151</v>
      </c>
      <c r="F1119" s="8" t="s">
        <v>2866</v>
      </c>
      <c r="G1119" s="8" t="s">
        <v>3318</v>
      </c>
      <c r="H1119" s="8">
        <v>905</v>
      </c>
      <c r="I1119" s="8">
        <v>465</v>
      </c>
      <c r="J1119" s="8" t="s">
        <v>1269</v>
      </c>
      <c r="K1119" s="9">
        <v>45016</v>
      </c>
      <c r="L1119" s="9">
        <v>46753</v>
      </c>
      <c r="M1119" s="8" t="s">
        <v>151</v>
      </c>
      <c r="P1119" s="16" t="s">
        <v>1039</v>
      </c>
      <c r="Q1119" s="2" t="s">
        <v>16</v>
      </c>
      <c r="S1119" s="8" t="s">
        <v>1446</v>
      </c>
      <c r="T1119" s="9" t="s">
        <v>2222</v>
      </c>
      <c r="U1119" s="8">
        <v>0</v>
      </c>
      <c r="V1119" s="20">
        <v>15</v>
      </c>
      <c r="W1119" s="21" t="s">
        <v>43</v>
      </c>
    </row>
    <row r="1120" spans="1:23" ht="48.75">
      <c r="A1120" s="8" t="s">
        <v>3320</v>
      </c>
      <c r="B1120" s="8" t="s">
        <v>1270</v>
      </c>
      <c r="C1120" s="8" t="s">
        <v>2303</v>
      </c>
      <c r="D1120" s="8" t="s">
        <v>18</v>
      </c>
      <c r="E1120" s="8" t="s">
        <v>16</v>
      </c>
      <c r="F1120" s="8" t="s">
        <v>2228</v>
      </c>
      <c r="G1120" s="8" t="s">
        <v>3321</v>
      </c>
      <c r="H1120" s="8">
        <v>91</v>
      </c>
      <c r="I1120" s="8">
        <v>10</v>
      </c>
      <c r="J1120" s="8">
        <v>24022322</v>
      </c>
      <c r="K1120" s="9">
        <v>45351</v>
      </c>
      <c r="L1120" s="9">
        <v>47119</v>
      </c>
      <c r="M1120" s="8" t="s">
        <v>16</v>
      </c>
      <c r="P1120" s="16" t="s">
        <v>1039</v>
      </c>
      <c r="Q1120" s="2" t="s">
        <v>16</v>
      </c>
      <c r="S1120" s="8" t="s">
        <v>1447</v>
      </c>
      <c r="T1120" s="9" t="s">
        <v>2222</v>
      </c>
      <c r="U1120" s="8">
        <v>0</v>
      </c>
      <c r="V1120" s="20">
        <v>15</v>
      </c>
      <c r="W1120" s="21" t="s">
        <v>43</v>
      </c>
    </row>
    <row r="1121" spans="1:23" ht="45">
      <c r="A1121" s="8" t="s">
        <v>3320</v>
      </c>
      <c r="B1121" s="8" t="s">
        <v>1270</v>
      </c>
      <c r="C1121" s="8" t="s">
        <v>2303</v>
      </c>
      <c r="D1121" s="8" t="s">
        <v>18</v>
      </c>
      <c r="E1121" s="8" t="s">
        <v>16</v>
      </c>
      <c r="F1121" s="8" t="s">
        <v>2228</v>
      </c>
      <c r="G1121" s="8" t="s">
        <v>3321</v>
      </c>
      <c r="H1121" s="8">
        <v>91</v>
      </c>
      <c r="I1121" s="8">
        <v>40</v>
      </c>
      <c r="J1121" s="8">
        <v>24022321</v>
      </c>
      <c r="K1121" s="9">
        <v>45364</v>
      </c>
      <c r="L1121" s="9">
        <v>47453</v>
      </c>
      <c r="M1121" s="8" t="s">
        <v>16</v>
      </c>
      <c r="P1121" s="17" t="s">
        <v>1043</v>
      </c>
      <c r="Q1121" s="2" t="s">
        <v>16</v>
      </c>
      <c r="S1121" s="8" t="s">
        <v>1448</v>
      </c>
      <c r="T1121" s="9" t="s">
        <v>2222</v>
      </c>
      <c r="U1121" s="8">
        <v>0</v>
      </c>
      <c r="V1121" s="20">
        <v>10</v>
      </c>
      <c r="W1121" s="21" t="s">
        <v>41</v>
      </c>
    </row>
    <row r="1122" spans="1:23" ht="45">
      <c r="A1122" s="8" t="s">
        <v>3320</v>
      </c>
      <c r="B1122" s="8" t="s">
        <v>1270</v>
      </c>
      <c r="C1122" s="8" t="s">
        <v>2303</v>
      </c>
      <c r="D1122" s="8" t="s">
        <v>18</v>
      </c>
      <c r="E1122" s="8" t="s">
        <v>16</v>
      </c>
      <c r="F1122" s="8" t="s">
        <v>2228</v>
      </c>
      <c r="G1122" s="8" t="s">
        <v>3321</v>
      </c>
      <c r="H1122" s="8">
        <v>91</v>
      </c>
      <c r="I1122" s="8">
        <v>41</v>
      </c>
      <c r="J1122" s="8">
        <v>23091429</v>
      </c>
      <c r="K1122" s="9">
        <v>45187</v>
      </c>
      <c r="L1122" s="9">
        <v>46966</v>
      </c>
      <c r="M1122" s="8" t="s">
        <v>16</v>
      </c>
      <c r="P1122" s="17" t="s">
        <v>1045</v>
      </c>
      <c r="Q1122" s="2" t="s">
        <v>16</v>
      </c>
      <c r="S1122" s="8" t="s">
        <v>1449</v>
      </c>
      <c r="T1122" s="9" t="s">
        <v>2222</v>
      </c>
      <c r="U1122" s="8">
        <v>0</v>
      </c>
      <c r="V1122" s="20">
        <v>10</v>
      </c>
      <c r="W1122" s="21" t="s">
        <v>41</v>
      </c>
    </row>
    <row r="1123" spans="1:23" ht="60">
      <c r="A1123" s="8" t="s">
        <v>3322</v>
      </c>
      <c r="B1123" s="8" t="s">
        <v>1271</v>
      </c>
      <c r="C1123" s="8" t="s">
        <v>2197</v>
      </c>
      <c r="D1123" s="8" t="s">
        <v>18</v>
      </c>
      <c r="E1123" s="8" t="s">
        <v>16</v>
      </c>
      <c r="F1123" s="8" t="s">
        <v>2228</v>
      </c>
      <c r="G1123" s="8" t="s">
        <v>3321</v>
      </c>
      <c r="H1123" s="8">
        <v>3054</v>
      </c>
      <c r="I1123" s="8">
        <v>14</v>
      </c>
      <c r="J1123" s="8">
        <v>22102826</v>
      </c>
      <c r="K1123" s="9">
        <v>44949</v>
      </c>
      <c r="L1123" s="9">
        <v>46631</v>
      </c>
      <c r="M1123" s="8" t="s">
        <v>16</v>
      </c>
      <c r="P1123" s="17" t="s">
        <v>1045</v>
      </c>
      <c r="Q1123" s="2" t="s">
        <v>16</v>
      </c>
      <c r="S1123" s="8" t="s">
        <v>1450</v>
      </c>
      <c r="T1123" s="9" t="s">
        <v>2222</v>
      </c>
      <c r="U1123" s="8">
        <v>0</v>
      </c>
      <c r="V1123" s="20">
        <v>10</v>
      </c>
      <c r="W1123" s="21" t="s">
        <v>41</v>
      </c>
    </row>
    <row r="1124" spans="1:23" ht="60">
      <c r="A1124" s="8" t="s">
        <v>3322</v>
      </c>
      <c r="B1124" s="8" t="s">
        <v>1271</v>
      </c>
      <c r="C1124" s="8" t="s">
        <v>2197</v>
      </c>
      <c r="D1124" s="8" t="s">
        <v>18</v>
      </c>
      <c r="E1124" s="8" t="s">
        <v>16</v>
      </c>
      <c r="F1124" s="8" t="s">
        <v>2228</v>
      </c>
      <c r="G1124" s="8" t="s">
        <v>3321</v>
      </c>
      <c r="H1124" s="8">
        <v>3054</v>
      </c>
      <c r="I1124" s="8">
        <v>320</v>
      </c>
      <c r="J1124" s="8">
        <v>23091427</v>
      </c>
      <c r="K1124" s="9">
        <v>45187</v>
      </c>
      <c r="L1124" s="9">
        <v>46966</v>
      </c>
      <c r="M1124" s="8" t="s">
        <v>16</v>
      </c>
      <c r="P1124" s="17" t="s">
        <v>1048</v>
      </c>
      <c r="Q1124" s="2" t="s">
        <v>16</v>
      </c>
      <c r="S1124" s="8" t="s">
        <v>1451</v>
      </c>
      <c r="T1124" s="9" t="s">
        <v>2222</v>
      </c>
      <c r="U1124" s="8">
        <v>0</v>
      </c>
      <c r="V1124" s="20">
        <v>1405</v>
      </c>
      <c r="W1124" s="21" t="s">
        <v>41</v>
      </c>
    </row>
    <row r="1125" spans="1:23" ht="60">
      <c r="A1125" s="8" t="s">
        <v>3322</v>
      </c>
      <c r="B1125" s="8" t="s">
        <v>1271</v>
      </c>
      <c r="C1125" s="8" t="s">
        <v>2197</v>
      </c>
      <c r="D1125" s="8" t="s">
        <v>18</v>
      </c>
      <c r="E1125" s="8" t="s">
        <v>16</v>
      </c>
      <c r="F1125" s="8" t="s">
        <v>2228</v>
      </c>
      <c r="G1125" s="8" t="s">
        <v>3321</v>
      </c>
      <c r="H1125" s="8">
        <v>3054</v>
      </c>
      <c r="I1125" s="8">
        <v>400</v>
      </c>
      <c r="J1125" s="8">
        <v>23100518</v>
      </c>
      <c r="K1125" s="9">
        <v>45351</v>
      </c>
      <c r="L1125" s="9">
        <v>46997</v>
      </c>
      <c r="M1125" s="8" t="s">
        <v>16</v>
      </c>
      <c r="P1125" s="16" t="s">
        <v>1050</v>
      </c>
      <c r="Q1125" s="2" t="s">
        <v>43</v>
      </c>
      <c r="S1125" s="8" t="s">
        <v>1452</v>
      </c>
      <c r="T1125" s="9" t="s">
        <v>2222</v>
      </c>
      <c r="U1125" s="8">
        <v>0</v>
      </c>
      <c r="V1125" s="20">
        <v>1881</v>
      </c>
      <c r="W1125" s="21" t="s">
        <v>41</v>
      </c>
    </row>
    <row r="1126" spans="1:23" ht="60">
      <c r="A1126" s="8" t="s">
        <v>3322</v>
      </c>
      <c r="B1126" s="8" t="s">
        <v>1271</v>
      </c>
      <c r="C1126" s="8" t="s">
        <v>2197</v>
      </c>
      <c r="D1126" s="8" t="s">
        <v>18</v>
      </c>
      <c r="E1126" s="8" t="s">
        <v>16</v>
      </c>
      <c r="F1126" s="8" t="s">
        <v>2228</v>
      </c>
      <c r="G1126" s="8" t="s">
        <v>3321</v>
      </c>
      <c r="H1126" s="8">
        <v>3054</v>
      </c>
      <c r="I1126" s="8">
        <v>2320</v>
      </c>
      <c r="J1126" s="8">
        <v>23121509</v>
      </c>
      <c r="K1126" s="9">
        <v>45351</v>
      </c>
      <c r="L1126" s="9">
        <v>47058</v>
      </c>
      <c r="M1126" s="8" t="s">
        <v>16</v>
      </c>
      <c r="P1126" s="16" t="s">
        <v>1051</v>
      </c>
      <c r="Q1126" s="2" t="s">
        <v>312</v>
      </c>
      <c r="S1126" s="8" t="s">
        <v>1453</v>
      </c>
      <c r="T1126" s="9">
        <v>46935</v>
      </c>
      <c r="U1126" s="8">
        <v>0</v>
      </c>
      <c r="V1126" s="20">
        <v>162</v>
      </c>
      <c r="W1126" s="21" t="s">
        <v>16</v>
      </c>
    </row>
    <row r="1127" spans="1:23" ht="75">
      <c r="A1127" s="8" t="s">
        <v>3323</v>
      </c>
      <c r="B1127" s="8" t="s">
        <v>1272</v>
      </c>
      <c r="C1127" s="8" t="s">
        <v>2307</v>
      </c>
      <c r="D1127" s="8" t="s">
        <v>18</v>
      </c>
      <c r="E1127" s="8" t="s">
        <v>16</v>
      </c>
      <c r="F1127" s="8" t="s">
        <v>2228</v>
      </c>
      <c r="G1127" s="8" t="s">
        <v>3321</v>
      </c>
      <c r="H1127" s="8">
        <v>120</v>
      </c>
      <c r="I1127" s="8">
        <v>40</v>
      </c>
      <c r="J1127" s="8">
        <v>23122510</v>
      </c>
      <c r="K1127" s="9">
        <v>45453</v>
      </c>
      <c r="L1127" s="9">
        <v>46966</v>
      </c>
      <c r="M1127" s="8" t="s">
        <v>16</v>
      </c>
      <c r="P1127" s="16" t="s">
        <v>1051</v>
      </c>
      <c r="Q1127" s="2" t="s">
        <v>312</v>
      </c>
      <c r="S1127" s="8" t="s">
        <v>1455</v>
      </c>
      <c r="T1127" s="9">
        <v>47270</v>
      </c>
      <c r="U1127" s="8">
        <v>0</v>
      </c>
      <c r="V1127" s="20">
        <v>90</v>
      </c>
      <c r="W1127" s="21" t="s">
        <v>16</v>
      </c>
    </row>
    <row r="1128" spans="1:23" ht="60">
      <c r="A1128" s="8" t="s">
        <v>3323</v>
      </c>
      <c r="B1128" s="8" t="s">
        <v>1272</v>
      </c>
      <c r="C1128" s="8" t="s">
        <v>2307</v>
      </c>
      <c r="D1128" s="8" t="s">
        <v>18</v>
      </c>
      <c r="E1128" s="8" t="s">
        <v>16</v>
      </c>
      <c r="F1128" s="8" t="s">
        <v>2228</v>
      </c>
      <c r="G1128" s="8" t="s">
        <v>3321</v>
      </c>
      <c r="H1128" s="8">
        <v>120</v>
      </c>
      <c r="I1128" s="8">
        <v>80</v>
      </c>
      <c r="J1128" s="8">
        <v>23121510</v>
      </c>
      <c r="K1128" s="9">
        <v>45351</v>
      </c>
      <c r="L1128" s="9">
        <v>47058</v>
      </c>
      <c r="M1128" s="8" t="s">
        <v>16</v>
      </c>
      <c r="P1128" s="16" t="s">
        <v>1052</v>
      </c>
      <c r="Q1128" s="2" t="s">
        <v>426</v>
      </c>
      <c r="S1128" s="8" t="s">
        <v>1457</v>
      </c>
      <c r="T1128" s="9">
        <v>46935</v>
      </c>
      <c r="U1128" s="8">
        <v>0</v>
      </c>
      <c r="V1128" s="20">
        <v>1185</v>
      </c>
      <c r="W1128" s="21" t="s">
        <v>16</v>
      </c>
    </row>
    <row r="1129" spans="1:23" ht="75">
      <c r="A1129" s="8" t="s">
        <v>3324</v>
      </c>
      <c r="B1129" s="8" t="s">
        <v>1273</v>
      </c>
      <c r="C1129" s="8" t="s">
        <v>2221</v>
      </c>
      <c r="D1129" s="8" t="s">
        <v>18</v>
      </c>
      <c r="E1129" s="8" t="s">
        <v>43</v>
      </c>
      <c r="F1129" s="8" t="s">
        <v>2217</v>
      </c>
      <c r="G1129" s="8" t="s">
        <v>2217</v>
      </c>
      <c r="H1129" s="8">
        <v>6</v>
      </c>
      <c r="I1129" s="8">
        <v>6</v>
      </c>
      <c r="J1129" s="8">
        <v>0</v>
      </c>
      <c r="K1129" s="9">
        <v>44161</v>
      </c>
      <c r="L1129" s="8" t="s">
        <v>2222</v>
      </c>
      <c r="M1129" s="8" t="s">
        <v>43</v>
      </c>
      <c r="P1129" s="16" t="s">
        <v>1052</v>
      </c>
      <c r="Q1129" s="2" t="s">
        <v>426</v>
      </c>
      <c r="S1129" s="8" t="s">
        <v>1458</v>
      </c>
      <c r="T1129" s="9">
        <v>47270</v>
      </c>
      <c r="U1129" s="8">
        <v>0</v>
      </c>
      <c r="V1129" s="20">
        <v>310</v>
      </c>
      <c r="W1129" s="21" t="s">
        <v>16</v>
      </c>
    </row>
    <row r="1130" spans="1:23" ht="45">
      <c r="A1130" s="8" t="s">
        <v>3325</v>
      </c>
      <c r="B1130" s="8" t="s">
        <v>1274</v>
      </c>
      <c r="C1130" s="8" t="s">
        <v>2203</v>
      </c>
      <c r="D1130" s="8" t="s">
        <v>18</v>
      </c>
      <c r="E1130" s="8" t="s">
        <v>151</v>
      </c>
      <c r="F1130" s="8" t="s">
        <v>151</v>
      </c>
      <c r="G1130" s="8" t="s">
        <v>3326</v>
      </c>
      <c r="H1130" s="8">
        <v>12934</v>
      </c>
      <c r="I1130" s="8">
        <v>814</v>
      </c>
      <c r="J1130" s="8">
        <v>0</v>
      </c>
      <c r="K1130" s="9">
        <v>45420</v>
      </c>
      <c r="L1130" s="9">
        <v>47239</v>
      </c>
      <c r="M1130" s="8" t="s">
        <v>151</v>
      </c>
      <c r="P1130" s="16" t="s">
        <v>1053</v>
      </c>
      <c r="Q1130" s="2" t="s">
        <v>1054</v>
      </c>
      <c r="S1130" s="8" t="s">
        <v>1459</v>
      </c>
      <c r="T1130" s="9" t="s">
        <v>2222</v>
      </c>
      <c r="U1130" s="8">
        <v>0</v>
      </c>
      <c r="V1130" s="20">
        <v>1460</v>
      </c>
      <c r="W1130" s="21" t="s">
        <v>41</v>
      </c>
    </row>
    <row r="1131" spans="1:23" ht="60">
      <c r="A1131" s="8" t="s">
        <v>3325</v>
      </c>
      <c r="B1131" s="8" t="s">
        <v>1274</v>
      </c>
      <c r="C1131" s="8" t="s">
        <v>2203</v>
      </c>
      <c r="D1131" s="8" t="s">
        <v>18</v>
      </c>
      <c r="E1131" s="8" t="s">
        <v>151</v>
      </c>
      <c r="F1131" s="8" t="s">
        <v>151</v>
      </c>
      <c r="G1131" s="8" t="s">
        <v>3326</v>
      </c>
      <c r="H1131" s="8">
        <v>12934</v>
      </c>
      <c r="I1131" s="8">
        <v>12120</v>
      </c>
      <c r="J1131" s="8">
        <v>0</v>
      </c>
      <c r="K1131" s="9">
        <v>45447</v>
      </c>
      <c r="L1131" s="9">
        <v>47270</v>
      </c>
      <c r="M1131" s="8" t="s">
        <v>151</v>
      </c>
      <c r="P1131" s="17" t="s">
        <v>1055</v>
      </c>
      <c r="Q1131" s="2" t="s">
        <v>38</v>
      </c>
      <c r="S1131" s="8" t="s">
        <v>1460</v>
      </c>
      <c r="T1131" s="9">
        <v>46023</v>
      </c>
      <c r="U1131" s="8">
        <v>0</v>
      </c>
      <c r="V1131" s="20">
        <v>220</v>
      </c>
      <c r="W1131" s="21" t="s">
        <v>151</v>
      </c>
    </row>
    <row r="1132" spans="1:23" ht="60">
      <c r="A1132" s="8" t="s">
        <v>3327</v>
      </c>
      <c r="B1132" s="8" t="s">
        <v>1275</v>
      </c>
      <c r="C1132" s="8" t="s">
        <v>2203</v>
      </c>
      <c r="D1132" s="8" t="s">
        <v>18</v>
      </c>
      <c r="E1132" s="8" t="s">
        <v>151</v>
      </c>
      <c r="F1132" s="8" t="s">
        <v>151</v>
      </c>
      <c r="G1132" s="8" t="s">
        <v>3326</v>
      </c>
      <c r="H1132" s="8">
        <v>4</v>
      </c>
      <c r="I1132" s="8">
        <v>4</v>
      </c>
      <c r="J1132" s="8" t="s">
        <v>593</v>
      </c>
      <c r="K1132" s="9">
        <v>44172</v>
      </c>
      <c r="L1132" s="8" t="s">
        <v>2222</v>
      </c>
      <c r="M1132" s="8" t="s">
        <v>38</v>
      </c>
      <c r="P1132" s="17" t="s">
        <v>1056</v>
      </c>
      <c r="Q1132" s="2" t="s">
        <v>38</v>
      </c>
      <c r="S1132" s="8" t="s">
        <v>1461</v>
      </c>
      <c r="T1132" s="9">
        <v>46388</v>
      </c>
      <c r="U1132" s="8">
        <v>0</v>
      </c>
      <c r="V1132" s="20">
        <v>10</v>
      </c>
      <c r="W1132" s="21" t="s">
        <v>1462</v>
      </c>
    </row>
    <row r="1133" spans="1:23" ht="60">
      <c r="A1133" s="8" t="s">
        <v>3328</v>
      </c>
      <c r="B1133" s="8" t="s">
        <v>1276</v>
      </c>
      <c r="C1133" s="8" t="s">
        <v>2197</v>
      </c>
      <c r="D1133" s="8" t="s">
        <v>18</v>
      </c>
      <c r="E1133" s="8" t="s">
        <v>16</v>
      </c>
      <c r="F1133" s="8" t="s">
        <v>2925</v>
      </c>
      <c r="G1133" s="8" t="s">
        <v>3329</v>
      </c>
      <c r="H1133" s="8">
        <v>622</v>
      </c>
      <c r="I1133" s="8">
        <v>7</v>
      </c>
      <c r="J1133" s="8">
        <v>0</v>
      </c>
      <c r="K1133" s="9">
        <v>44904</v>
      </c>
      <c r="L1133" s="9">
        <v>46722</v>
      </c>
      <c r="M1133" s="8" t="s">
        <v>16</v>
      </c>
      <c r="P1133" s="17" t="s">
        <v>1057</v>
      </c>
      <c r="Q1133" s="2" t="s">
        <v>38</v>
      </c>
      <c r="S1133" s="8" t="s">
        <v>1461</v>
      </c>
      <c r="T1133" s="9">
        <v>46447</v>
      </c>
      <c r="U1133" s="8">
        <v>0</v>
      </c>
      <c r="V1133" s="20">
        <v>30</v>
      </c>
      <c r="W1133" s="21" t="s">
        <v>1462</v>
      </c>
    </row>
    <row r="1134" spans="1:23" ht="60">
      <c r="A1134" s="8" t="s">
        <v>3328</v>
      </c>
      <c r="B1134" s="8" t="s">
        <v>1276</v>
      </c>
      <c r="C1134" s="8" t="s">
        <v>2197</v>
      </c>
      <c r="D1134" s="8" t="s">
        <v>18</v>
      </c>
      <c r="E1134" s="8" t="s">
        <v>16</v>
      </c>
      <c r="F1134" s="8" t="s">
        <v>2925</v>
      </c>
      <c r="G1134" s="8" t="s">
        <v>3329</v>
      </c>
      <c r="H1134" s="8">
        <v>622</v>
      </c>
      <c r="I1134" s="8">
        <v>615</v>
      </c>
      <c r="J1134" s="8">
        <v>0</v>
      </c>
      <c r="K1134" s="9">
        <v>45295</v>
      </c>
      <c r="L1134" s="9">
        <v>47058</v>
      </c>
      <c r="M1134" s="8" t="s">
        <v>16</v>
      </c>
      <c r="P1134" s="17" t="s">
        <v>1058</v>
      </c>
      <c r="Q1134" s="2" t="s">
        <v>38</v>
      </c>
      <c r="S1134" s="8" t="s">
        <v>1463</v>
      </c>
      <c r="T1134" s="9">
        <v>45658</v>
      </c>
      <c r="U1134" s="8">
        <v>0</v>
      </c>
      <c r="V1134" s="20">
        <v>84</v>
      </c>
      <c r="W1134" s="21" t="s">
        <v>151</v>
      </c>
    </row>
    <row r="1135" spans="1:23" ht="60">
      <c r="A1135" s="8" t="s">
        <v>3330</v>
      </c>
      <c r="B1135" s="8" t="s">
        <v>1277</v>
      </c>
      <c r="C1135" s="8" t="s">
        <v>2203</v>
      </c>
      <c r="D1135" s="8" t="s">
        <v>18</v>
      </c>
      <c r="E1135" s="8" t="s">
        <v>16</v>
      </c>
      <c r="F1135" s="8" t="s">
        <v>2204</v>
      </c>
      <c r="G1135" s="8" t="s">
        <v>3331</v>
      </c>
      <c r="H1135" s="8">
        <v>2016</v>
      </c>
      <c r="I1135" s="8">
        <v>16</v>
      </c>
      <c r="J1135" s="8" t="s">
        <v>1278</v>
      </c>
      <c r="K1135" s="9">
        <v>45379</v>
      </c>
      <c r="L1135" s="9">
        <v>46266</v>
      </c>
      <c r="M1135" s="8" t="s">
        <v>16</v>
      </c>
      <c r="P1135" s="17" t="s">
        <v>1059</v>
      </c>
      <c r="Q1135" s="2" t="s">
        <v>38</v>
      </c>
      <c r="S1135" s="8" t="s">
        <v>1464</v>
      </c>
      <c r="T1135" s="9">
        <v>46054</v>
      </c>
      <c r="U1135" s="8">
        <v>0</v>
      </c>
      <c r="V1135" s="20">
        <v>91</v>
      </c>
      <c r="W1135" s="21" t="s">
        <v>151</v>
      </c>
    </row>
    <row r="1136" spans="1:23" ht="60">
      <c r="A1136" s="8" t="s">
        <v>3330</v>
      </c>
      <c r="B1136" s="8" t="s">
        <v>1277</v>
      </c>
      <c r="C1136" s="8" t="s">
        <v>2203</v>
      </c>
      <c r="D1136" s="8" t="s">
        <v>18</v>
      </c>
      <c r="E1136" s="8" t="s">
        <v>16</v>
      </c>
      <c r="F1136" s="8" t="s">
        <v>2204</v>
      </c>
      <c r="G1136" s="8" t="s">
        <v>3331</v>
      </c>
      <c r="H1136" s="8">
        <v>2016</v>
      </c>
      <c r="I1136" s="8">
        <v>2000</v>
      </c>
      <c r="J1136" s="8" t="s">
        <v>1279</v>
      </c>
      <c r="K1136" s="9">
        <v>45379</v>
      </c>
      <c r="L1136" s="9">
        <v>46266</v>
      </c>
      <c r="M1136" s="8" t="s">
        <v>16</v>
      </c>
      <c r="P1136" s="17" t="s">
        <v>1060</v>
      </c>
      <c r="Q1136" s="2" t="s">
        <v>38</v>
      </c>
      <c r="S1136" s="8" t="s">
        <v>1465</v>
      </c>
      <c r="T1136" s="9" t="s">
        <v>2222</v>
      </c>
      <c r="U1136" s="8">
        <v>0</v>
      </c>
      <c r="V1136" s="20">
        <v>1</v>
      </c>
      <c r="W1136" s="21" t="s">
        <v>151</v>
      </c>
    </row>
    <row r="1137" spans="1:23" ht="60">
      <c r="A1137" s="8" t="s">
        <v>3332</v>
      </c>
      <c r="B1137" s="8" t="s">
        <v>1280</v>
      </c>
      <c r="C1137" s="8" t="s">
        <v>2203</v>
      </c>
      <c r="D1137" s="8" t="s">
        <v>18</v>
      </c>
      <c r="E1137" s="8" t="s">
        <v>16</v>
      </c>
      <c r="F1137" s="8" t="s">
        <v>2204</v>
      </c>
      <c r="G1137" s="8" t="s">
        <v>3331</v>
      </c>
      <c r="H1137" s="8">
        <v>9</v>
      </c>
      <c r="I1137" s="8">
        <v>9</v>
      </c>
      <c r="J1137" s="8" t="s">
        <v>1281</v>
      </c>
      <c r="K1137" s="9">
        <v>45369</v>
      </c>
      <c r="L1137" s="9">
        <v>46113</v>
      </c>
      <c r="M1137" s="8" t="s">
        <v>16</v>
      </c>
      <c r="P1137" s="16" t="s">
        <v>1061</v>
      </c>
      <c r="Q1137" s="2" t="s">
        <v>43</v>
      </c>
      <c r="S1137" s="8" t="s">
        <v>1466</v>
      </c>
      <c r="T1137" s="9">
        <v>45292</v>
      </c>
      <c r="U1137" s="8">
        <v>0</v>
      </c>
      <c r="V1137" s="20">
        <v>165</v>
      </c>
      <c r="W1137" s="21" t="s">
        <v>151</v>
      </c>
    </row>
    <row r="1138" spans="1:23" ht="60">
      <c r="A1138" s="8" t="s">
        <v>3333</v>
      </c>
      <c r="B1138" s="8" t="s">
        <v>1282</v>
      </c>
      <c r="C1138" s="8" t="s">
        <v>2197</v>
      </c>
      <c r="D1138" s="8" t="s">
        <v>18</v>
      </c>
      <c r="E1138" s="8" t="s">
        <v>16</v>
      </c>
      <c r="F1138" s="8" t="s">
        <v>2198</v>
      </c>
      <c r="G1138" s="8" t="s">
        <v>3334</v>
      </c>
      <c r="H1138" s="8">
        <v>3435</v>
      </c>
      <c r="I1138" s="8">
        <v>3435</v>
      </c>
      <c r="J1138" s="8">
        <v>126848</v>
      </c>
      <c r="K1138" s="9">
        <v>44907</v>
      </c>
      <c r="L1138" s="9">
        <v>45597</v>
      </c>
      <c r="M1138" s="8" t="s">
        <v>16</v>
      </c>
      <c r="P1138" s="16" t="s">
        <v>1062</v>
      </c>
      <c r="Q1138" s="2" t="s">
        <v>43</v>
      </c>
      <c r="S1138" s="8" t="s">
        <v>1467</v>
      </c>
      <c r="T1138" s="9">
        <v>47058</v>
      </c>
      <c r="U1138" s="8">
        <v>0</v>
      </c>
      <c r="V1138" s="20">
        <v>230</v>
      </c>
      <c r="W1138" s="21" t="s">
        <v>151</v>
      </c>
    </row>
    <row r="1139" spans="1:23" ht="75">
      <c r="A1139" s="8" t="s">
        <v>3335</v>
      </c>
      <c r="B1139" s="8" t="s">
        <v>1283</v>
      </c>
      <c r="C1139" s="8" t="s">
        <v>2197</v>
      </c>
      <c r="D1139" s="8" t="s">
        <v>18</v>
      </c>
      <c r="E1139" s="8" t="s">
        <v>16</v>
      </c>
      <c r="F1139" s="8" t="s">
        <v>2198</v>
      </c>
      <c r="G1139" s="8" t="s">
        <v>3334</v>
      </c>
      <c r="H1139" s="8">
        <v>998</v>
      </c>
      <c r="I1139" s="8">
        <v>998</v>
      </c>
      <c r="J1139" s="8">
        <v>192820</v>
      </c>
      <c r="K1139" s="9">
        <v>45443</v>
      </c>
      <c r="L1139" s="9">
        <v>46143</v>
      </c>
      <c r="M1139" s="8" t="s">
        <v>16</v>
      </c>
      <c r="P1139" s="16" t="s">
        <v>1063</v>
      </c>
      <c r="Q1139" s="2" t="s">
        <v>43</v>
      </c>
      <c r="S1139" s="8" t="s">
        <v>1468</v>
      </c>
      <c r="T1139" s="9">
        <v>46508</v>
      </c>
      <c r="U1139" s="8">
        <v>0</v>
      </c>
      <c r="V1139" s="20">
        <v>190</v>
      </c>
      <c r="W1139" s="21" t="s">
        <v>151</v>
      </c>
    </row>
    <row r="1140" spans="1:23" ht="120">
      <c r="A1140" s="8" t="s">
        <v>3336</v>
      </c>
      <c r="B1140" s="8" t="s">
        <v>1284</v>
      </c>
      <c r="C1140" s="8" t="s">
        <v>2197</v>
      </c>
      <c r="D1140" s="8" t="s">
        <v>18</v>
      </c>
      <c r="E1140" s="8" t="s">
        <v>16</v>
      </c>
      <c r="F1140" s="8" t="s">
        <v>2198</v>
      </c>
      <c r="G1140" s="8" t="s">
        <v>3334</v>
      </c>
      <c r="H1140" s="8">
        <v>6816</v>
      </c>
      <c r="I1140" s="8">
        <v>648</v>
      </c>
      <c r="J1140" s="8">
        <v>181740</v>
      </c>
      <c r="K1140" s="9">
        <v>45443</v>
      </c>
      <c r="L1140" s="9">
        <v>46023</v>
      </c>
      <c r="M1140" s="8" t="s">
        <v>16</v>
      </c>
      <c r="P1140" s="16" t="s">
        <v>1064</v>
      </c>
      <c r="Q1140" s="2" t="s">
        <v>43</v>
      </c>
      <c r="S1140" s="8" t="s">
        <v>1471</v>
      </c>
      <c r="T1140" s="9" t="s">
        <v>2222</v>
      </c>
      <c r="U1140" s="8">
        <v>0</v>
      </c>
      <c r="V1140" s="20">
        <v>40</v>
      </c>
      <c r="W1140" s="21" t="s">
        <v>151</v>
      </c>
    </row>
    <row r="1141" spans="1:23" ht="120">
      <c r="A1141" s="8" t="s">
        <v>3336</v>
      </c>
      <c r="B1141" s="8" t="s">
        <v>1284</v>
      </c>
      <c r="C1141" s="8" t="s">
        <v>2197</v>
      </c>
      <c r="D1141" s="8" t="s">
        <v>18</v>
      </c>
      <c r="E1141" s="8" t="s">
        <v>16</v>
      </c>
      <c r="F1141" s="8" t="s">
        <v>2198</v>
      </c>
      <c r="G1141" s="8" t="s">
        <v>3334</v>
      </c>
      <c r="H1141" s="8">
        <v>6816</v>
      </c>
      <c r="I1141" s="8">
        <v>2304</v>
      </c>
      <c r="J1141" s="8">
        <v>1814100</v>
      </c>
      <c r="K1141" s="9">
        <v>45443</v>
      </c>
      <c r="L1141" s="9">
        <v>46054</v>
      </c>
      <c r="M1141" s="8" t="s">
        <v>16</v>
      </c>
      <c r="P1141" s="16" t="s">
        <v>1065</v>
      </c>
      <c r="Q1141" s="2" t="s">
        <v>43</v>
      </c>
      <c r="S1141" s="8" t="s">
        <v>1472</v>
      </c>
      <c r="T1141" s="9">
        <v>46082</v>
      </c>
      <c r="U1141" s="8">
        <v>0</v>
      </c>
      <c r="V1141" s="20">
        <v>67</v>
      </c>
      <c r="W1141" s="21" t="s">
        <v>151</v>
      </c>
    </row>
    <row r="1142" spans="1:23" ht="135">
      <c r="A1142" s="8" t="s">
        <v>3336</v>
      </c>
      <c r="B1142" s="8" t="s">
        <v>1284</v>
      </c>
      <c r="C1142" s="8" t="s">
        <v>2197</v>
      </c>
      <c r="D1142" s="8" t="s">
        <v>18</v>
      </c>
      <c r="E1142" s="8" t="s">
        <v>16</v>
      </c>
      <c r="F1142" s="8" t="s">
        <v>2198</v>
      </c>
      <c r="G1142" s="8" t="s">
        <v>3334</v>
      </c>
      <c r="H1142" s="8">
        <v>6816</v>
      </c>
      <c r="I1142" s="8">
        <v>3864</v>
      </c>
      <c r="J1142" s="8">
        <v>186637</v>
      </c>
      <c r="K1142" s="9">
        <v>45443</v>
      </c>
      <c r="L1142" s="9">
        <v>46082</v>
      </c>
      <c r="M1142" s="8" t="s">
        <v>16</v>
      </c>
      <c r="P1142" s="16" t="s">
        <v>1066</v>
      </c>
      <c r="Q1142" s="2" t="s">
        <v>43</v>
      </c>
      <c r="S1142" s="8" t="s">
        <v>1473</v>
      </c>
      <c r="T1142" s="9" t="s">
        <v>2222</v>
      </c>
      <c r="U1142" s="8">
        <v>0</v>
      </c>
      <c r="V1142" s="20">
        <v>50</v>
      </c>
      <c r="W1142" s="21" t="s">
        <v>151</v>
      </c>
    </row>
    <row r="1143" spans="1:23" ht="120">
      <c r="A1143" s="8" t="s">
        <v>3337</v>
      </c>
      <c r="B1143" s="8" t="s">
        <v>1285</v>
      </c>
      <c r="C1143" s="8" t="s">
        <v>2197</v>
      </c>
      <c r="D1143" s="8" t="s">
        <v>18</v>
      </c>
      <c r="E1143" s="8" t="s">
        <v>16</v>
      </c>
      <c r="F1143" s="8" t="s">
        <v>2198</v>
      </c>
      <c r="G1143" s="8" t="s">
        <v>3338</v>
      </c>
      <c r="H1143" s="8">
        <v>1199</v>
      </c>
      <c r="I1143" s="8">
        <v>1199</v>
      </c>
      <c r="J1143" s="8">
        <v>190239</v>
      </c>
      <c r="K1143" s="9">
        <v>45443</v>
      </c>
      <c r="L1143" s="9">
        <v>46113</v>
      </c>
      <c r="M1143" s="8" t="s">
        <v>16</v>
      </c>
      <c r="P1143" s="16" t="s">
        <v>1067</v>
      </c>
      <c r="Q1143" s="2" t="s">
        <v>43</v>
      </c>
      <c r="S1143" s="8" t="s">
        <v>1474</v>
      </c>
      <c r="T1143" s="9">
        <v>45870</v>
      </c>
      <c r="U1143" s="8">
        <v>0</v>
      </c>
      <c r="V1143" s="20">
        <v>806</v>
      </c>
      <c r="W1143" s="21" t="s">
        <v>151</v>
      </c>
    </row>
    <row r="1144" spans="1:23" ht="105">
      <c r="A1144" s="8" t="s">
        <v>3339</v>
      </c>
      <c r="B1144" s="8" t="s">
        <v>1286</v>
      </c>
      <c r="C1144" s="8" t="s">
        <v>2203</v>
      </c>
      <c r="D1144" s="8" t="s">
        <v>18</v>
      </c>
      <c r="E1144" s="8" t="s">
        <v>16</v>
      </c>
      <c r="F1144" s="8" t="s">
        <v>2198</v>
      </c>
      <c r="G1144" s="8" t="s">
        <v>3340</v>
      </c>
      <c r="H1144" s="8">
        <v>9730</v>
      </c>
      <c r="I1144" s="8">
        <v>4330</v>
      </c>
      <c r="J1144" s="8">
        <v>191979</v>
      </c>
      <c r="K1144" s="9">
        <v>45443</v>
      </c>
      <c r="L1144" s="9">
        <v>46113</v>
      </c>
      <c r="M1144" s="8" t="s">
        <v>16</v>
      </c>
      <c r="P1144" s="16" t="s">
        <v>1068</v>
      </c>
      <c r="Q1144" s="2" t="s">
        <v>43</v>
      </c>
      <c r="S1144" s="8" t="s">
        <v>1475</v>
      </c>
      <c r="T1144" s="9" t="s">
        <v>2222</v>
      </c>
      <c r="U1144" s="8">
        <v>0</v>
      </c>
      <c r="V1144" s="20">
        <v>50</v>
      </c>
      <c r="W1144" s="21" t="s">
        <v>151</v>
      </c>
    </row>
    <row r="1145" spans="1:23" ht="105">
      <c r="A1145" s="8" t="s">
        <v>3339</v>
      </c>
      <c r="B1145" s="8" t="s">
        <v>1286</v>
      </c>
      <c r="C1145" s="8" t="s">
        <v>2203</v>
      </c>
      <c r="D1145" s="8" t="s">
        <v>18</v>
      </c>
      <c r="E1145" s="8" t="s">
        <v>16</v>
      </c>
      <c r="F1145" s="8" t="s">
        <v>2198</v>
      </c>
      <c r="G1145" s="8" t="s">
        <v>3340</v>
      </c>
      <c r="H1145" s="8">
        <v>9730</v>
      </c>
      <c r="I1145" s="8">
        <v>5400</v>
      </c>
      <c r="J1145" s="8">
        <v>192446</v>
      </c>
      <c r="K1145" s="9">
        <v>45443</v>
      </c>
      <c r="L1145" s="9">
        <v>46143</v>
      </c>
      <c r="M1145" s="8" t="s">
        <v>16</v>
      </c>
      <c r="P1145" s="16" t="s">
        <v>1069</v>
      </c>
      <c r="Q1145" s="2" t="s">
        <v>43</v>
      </c>
      <c r="S1145" s="8" t="s">
        <v>1475</v>
      </c>
      <c r="T1145" s="9">
        <v>46082</v>
      </c>
      <c r="U1145" s="8">
        <v>0</v>
      </c>
      <c r="V1145" s="20">
        <v>40</v>
      </c>
      <c r="W1145" s="21" t="s">
        <v>151</v>
      </c>
    </row>
    <row r="1146" spans="1:23" ht="105">
      <c r="A1146" s="8" t="s">
        <v>3341</v>
      </c>
      <c r="B1146" s="8" t="s">
        <v>1287</v>
      </c>
      <c r="C1146" s="8" t="s">
        <v>2203</v>
      </c>
      <c r="D1146" s="8" t="s">
        <v>18</v>
      </c>
      <c r="E1146" s="8" t="s">
        <v>16</v>
      </c>
      <c r="F1146" s="8" t="s">
        <v>2198</v>
      </c>
      <c r="G1146" s="8" t="s">
        <v>3340</v>
      </c>
      <c r="H1146" s="8">
        <v>11900</v>
      </c>
      <c r="I1146" s="8">
        <v>2000</v>
      </c>
      <c r="J1146" s="8">
        <v>128048</v>
      </c>
      <c r="K1146" s="9">
        <v>44907</v>
      </c>
      <c r="L1146" s="9">
        <v>45597</v>
      </c>
      <c r="M1146" s="8" t="s">
        <v>16</v>
      </c>
      <c r="P1146" s="16" t="s">
        <v>1070</v>
      </c>
      <c r="Q1146" s="2" t="s">
        <v>43</v>
      </c>
      <c r="S1146" s="8" t="s">
        <v>1476</v>
      </c>
      <c r="T1146" s="9">
        <v>46082</v>
      </c>
      <c r="U1146" s="8">
        <v>0</v>
      </c>
      <c r="V1146" s="20">
        <v>43</v>
      </c>
      <c r="W1146" s="21" t="s">
        <v>151</v>
      </c>
    </row>
    <row r="1147" spans="1:23" ht="120">
      <c r="A1147" s="8" t="s">
        <v>3341</v>
      </c>
      <c r="B1147" s="8" t="s">
        <v>1287</v>
      </c>
      <c r="C1147" s="8" t="s">
        <v>2203</v>
      </c>
      <c r="D1147" s="8" t="s">
        <v>18</v>
      </c>
      <c r="E1147" s="8" t="s">
        <v>16</v>
      </c>
      <c r="F1147" s="8" t="s">
        <v>2198</v>
      </c>
      <c r="G1147" s="8" t="s">
        <v>3340</v>
      </c>
      <c r="H1147" s="8">
        <v>11900</v>
      </c>
      <c r="I1147" s="8">
        <v>3000</v>
      </c>
      <c r="J1147" s="8">
        <v>128051</v>
      </c>
      <c r="K1147" s="9">
        <v>44907</v>
      </c>
      <c r="L1147" s="9">
        <v>45597</v>
      </c>
      <c r="M1147" s="8" t="s">
        <v>16</v>
      </c>
      <c r="P1147" s="16" t="s">
        <v>1071</v>
      </c>
      <c r="Q1147" s="2" t="s">
        <v>43</v>
      </c>
      <c r="S1147" s="8" t="s">
        <v>1477</v>
      </c>
      <c r="T1147" s="9" t="s">
        <v>2222</v>
      </c>
      <c r="U1147" s="8">
        <v>0</v>
      </c>
      <c r="V1147" s="20">
        <v>30</v>
      </c>
      <c r="W1147" s="21" t="s">
        <v>151</v>
      </c>
    </row>
    <row r="1148" spans="1:23" ht="105">
      <c r="A1148" s="8" t="s">
        <v>3341</v>
      </c>
      <c r="B1148" s="8" t="s">
        <v>1287</v>
      </c>
      <c r="C1148" s="8" t="s">
        <v>2203</v>
      </c>
      <c r="D1148" s="8" t="s">
        <v>18</v>
      </c>
      <c r="E1148" s="8" t="s">
        <v>16</v>
      </c>
      <c r="F1148" s="8" t="s">
        <v>2198</v>
      </c>
      <c r="G1148" s="8" t="s">
        <v>3340</v>
      </c>
      <c r="H1148" s="8">
        <v>11900</v>
      </c>
      <c r="I1148" s="8">
        <v>3300</v>
      </c>
      <c r="J1148" s="8">
        <v>128275</v>
      </c>
      <c r="K1148" s="9">
        <v>44907</v>
      </c>
      <c r="L1148" s="9">
        <v>45597</v>
      </c>
      <c r="M1148" s="8" t="s">
        <v>16</v>
      </c>
      <c r="P1148" s="16" t="s">
        <v>1072</v>
      </c>
      <c r="Q1148" s="2" t="s">
        <v>43</v>
      </c>
      <c r="S1148" s="8" t="s">
        <v>1478</v>
      </c>
      <c r="T1148" s="9">
        <v>46082</v>
      </c>
      <c r="U1148" s="8">
        <v>0</v>
      </c>
      <c r="V1148" s="20">
        <v>1200</v>
      </c>
      <c r="W1148" s="21" t="s">
        <v>151</v>
      </c>
    </row>
    <row r="1149" spans="1:23" ht="60.75">
      <c r="A1149" s="8" t="s">
        <v>3341</v>
      </c>
      <c r="B1149" s="8" t="s">
        <v>1287</v>
      </c>
      <c r="C1149" s="8" t="s">
        <v>2203</v>
      </c>
      <c r="D1149" s="8" t="s">
        <v>18</v>
      </c>
      <c r="E1149" s="8" t="s">
        <v>16</v>
      </c>
      <c r="F1149" s="8" t="s">
        <v>2198</v>
      </c>
      <c r="G1149" s="8" t="s">
        <v>3340</v>
      </c>
      <c r="H1149" s="8">
        <v>11900</v>
      </c>
      <c r="I1149" s="8">
        <v>3600</v>
      </c>
      <c r="J1149" s="8">
        <v>128274</v>
      </c>
      <c r="K1149" s="9">
        <v>44907</v>
      </c>
      <c r="L1149" s="9">
        <v>45597</v>
      </c>
      <c r="M1149" s="8" t="s">
        <v>16</v>
      </c>
      <c r="P1149" s="16" t="s">
        <v>1073</v>
      </c>
      <c r="Q1149" s="2" t="s">
        <v>43</v>
      </c>
      <c r="S1149" s="8" t="s">
        <v>1479</v>
      </c>
      <c r="T1149" s="9">
        <v>47027</v>
      </c>
      <c r="U1149" s="8">
        <v>0</v>
      </c>
      <c r="V1149" s="20">
        <v>96</v>
      </c>
      <c r="W1149" s="21" t="s">
        <v>16</v>
      </c>
    </row>
    <row r="1150" spans="1:23" ht="60">
      <c r="A1150" s="8" t="s">
        <v>3342</v>
      </c>
      <c r="B1150" s="8" t="s">
        <v>1288</v>
      </c>
      <c r="C1150" s="8" t="s">
        <v>2197</v>
      </c>
      <c r="D1150" s="8" t="s">
        <v>18</v>
      </c>
      <c r="E1150" s="8" t="s">
        <v>16</v>
      </c>
      <c r="F1150" s="8" t="s">
        <v>2228</v>
      </c>
      <c r="G1150" s="8" t="s">
        <v>3343</v>
      </c>
      <c r="H1150" s="8">
        <v>1308</v>
      </c>
      <c r="I1150" s="8">
        <v>576</v>
      </c>
      <c r="J1150" s="8" t="s">
        <v>1289</v>
      </c>
      <c r="K1150" s="9">
        <v>45077</v>
      </c>
      <c r="L1150" s="9">
        <v>46784</v>
      </c>
      <c r="M1150" s="8" t="s">
        <v>16</v>
      </c>
      <c r="P1150" s="16" t="s">
        <v>1074</v>
      </c>
      <c r="Q1150" s="2" t="s">
        <v>43</v>
      </c>
      <c r="S1150" s="8" t="s">
        <v>1481</v>
      </c>
      <c r="T1150" s="9">
        <v>46204</v>
      </c>
      <c r="U1150" s="8">
        <v>0</v>
      </c>
      <c r="V1150" s="20">
        <v>76</v>
      </c>
      <c r="W1150" s="21" t="s">
        <v>16</v>
      </c>
    </row>
    <row r="1151" spans="1:23" ht="60">
      <c r="A1151" s="8" t="s">
        <v>3342</v>
      </c>
      <c r="B1151" s="8" t="s">
        <v>1288</v>
      </c>
      <c r="C1151" s="8" t="s">
        <v>2197</v>
      </c>
      <c r="D1151" s="8" t="s">
        <v>18</v>
      </c>
      <c r="E1151" s="8" t="s">
        <v>16</v>
      </c>
      <c r="F1151" s="8" t="s">
        <v>2228</v>
      </c>
      <c r="G1151" s="8" t="s">
        <v>3343</v>
      </c>
      <c r="H1151" s="8">
        <v>1308</v>
      </c>
      <c r="I1151" s="8">
        <v>732</v>
      </c>
      <c r="J1151" s="8" t="s">
        <v>1290</v>
      </c>
      <c r="K1151" s="9">
        <v>45077</v>
      </c>
      <c r="L1151" s="9">
        <v>46813</v>
      </c>
      <c r="M1151" s="8" t="s">
        <v>16</v>
      </c>
      <c r="P1151" s="16" t="s">
        <v>1075</v>
      </c>
      <c r="Q1151" s="2" t="s">
        <v>43</v>
      </c>
      <c r="S1151" s="8" t="s">
        <v>1482</v>
      </c>
      <c r="T1151" s="9">
        <v>46143</v>
      </c>
      <c r="U1151" s="8">
        <v>0</v>
      </c>
      <c r="V1151" s="20">
        <v>6</v>
      </c>
      <c r="W1151" s="21" t="s">
        <v>16</v>
      </c>
    </row>
    <row r="1152" spans="1:23" ht="60">
      <c r="A1152" s="8" t="s">
        <v>3344</v>
      </c>
      <c r="B1152" s="8" t="s">
        <v>1291</v>
      </c>
      <c r="C1152" s="8" t="s">
        <v>2203</v>
      </c>
      <c r="D1152" s="8" t="s">
        <v>100</v>
      </c>
      <c r="E1152" s="8" t="s">
        <v>151</v>
      </c>
      <c r="F1152" s="8" t="s">
        <v>151</v>
      </c>
      <c r="G1152" s="8" t="s">
        <v>3345</v>
      </c>
      <c r="H1152" s="8">
        <v>1</v>
      </c>
      <c r="I1152" s="8">
        <v>1</v>
      </c>
      <c r="J1152" s="8">
        <v>0</v>
      </c>
      <c r="K1152" s="9">
        <v>45092</v>
      </c>
      <c r="L1152" s="9">
        <v>46905</v>
      </c>
      <c r="M1152" s="8" t="s">
        <v>16</v>
      </c>
      <c r="P1152" s="16" t="s">
        <v>1076</v>
      </c>
      <c r="Q1152" s="2" t="s">
        <v>43</v>
      </c>
      <c r="S1152" s="8" t="s">
        <v>1482</v>
      </c>
      <c r="T1152" s="9">
        <v>46204</v>
      </c>
      <c r="U1152" s="8">
        <v>0</v>
      </c>
      <c r="V1152" s="20">
        <v>2040</v>
      </c>
      <c r="W1152" s="21" t="s">
        <v>16</v>
      </c>
    </row>
    <row r="1153" spans="1:23" ht="60">
      <c r="A1153" s="8" t="s">
        <v>3344</v>
      </c>
      <c r="B1153" s="8" t="s">
        <v>1291</v>
      </c>
      <c r="C1153" s="8" t="s">
        <v>2203</v>
      </c>
      <c r="D1153" s="8" t="s">
        <v>18</v>
      </c>
      <c r="E1153" s="8" t="s">
        <v>151</v>
      </c>
      <c r="F1153" s="8" t="s">
        <v>151</v>
      </c>
      <c r="G1153" s="8" t="s">
        <v>3345</v>
      </c>
      <c r="H1153" s="8">
        <v>82</v>
      </c>
      <c r="I1153" s="8">
        <v>82</v>
      </c>
      <c r="J1153" s="8">
        <v>0</v>
      </c>
      <c r="K1153" s="9">
        <v>45092</v>
      </c>
      <c r="L1153" s="9">
        <v>46905</v>
      </c>
      <c r="M1153" s="8" t="s">
        <v>16</v>
      </c>
      <c r="P1153" s="16" t="s">
        <v>1077</v>
      </c>
      <c r="Q1153" s="2" t="s">
        <v>43</v>
      </c>
      <c r="S1153" s="8" t="s">
        <v>1482</v>
      </c>
      <c r="T1153" s="9">
        <v>46296</v>
      </c>
      <c r="U1153" s="8">
        <v>0</v>
      </c>
      <c r="V1153" s="20">
        <v>1000</v>
      </c>
      <c r="W1153" s="21" t="s">
        <v>16</v>
      </c>
    </row>
    <row r="1154" spans="1:23" ht="60">
      <c r="A1154" s="8" t="s">
        <v>3346</v>
      </c>
      <c r="B1154" s="8" t="s">
        <v>1292</v>
      </c>
      <c r="C1154" s="8" t="s">
        <v>2197</v>
      </c>
      <c r="D1154" s="8" t="s">
        <v>18</v>
      </c>
      <c r="E1154" s="8" t="s">
        <v>16</v>
      </c>
      <c r="F1154" s="8" t="s">
        <v>2198</v>
      </c>
      <c r="G1154" s="8" t="s">
        <v>3347</v>
      </c>
      <c r="H1154" s="8">
        <v>23685</v>
      </c>
      <c r="I1154" s="8">
        <v>3685</v>
      </c>
      <c r="J1154" s="8" t="s">
        <v>1293</v>
      </c>
      <c r="K1154" s="9">
        <v>45329</v>
      </c>
      <c r="L1154" s="9">
        <v>46023</v>
      </c>
      <c r="M1154" s="8" t="s">
        <v>16</v>
      </c>
      <c r="P1154" s="16" t="s">
        <v>1078</v>
      </c>
      <c r="Q1154" s="2" t="s">
        <v>43</v>
      </c>
      <c r="S1154" s="8" t="s">
        <v>1483</v>
      </c>
      <c r="T1154" s="9">
        <v>46419</v>
      </c>
      <c r="U1154" s="8">
        <v>0</v>
      </c>
      <c r="V1154" s="20">
        <v>385</v>
      </c>
      <c r="W1154" s="21" t="s">
        <v>16</v>
      </c>
    </row>
    <row r="1155" spans="1:23" ht="60">
      <c r="A1155" s="8" t="s">
        <v>3346</v>
      </c>
      <c r="B1155" s="8" t="s">
        <v>1292</v>
      </c>
      <c r="C1155" s="8" t="s">
        <v>2197</v>
      </c>
      <c r="D1155" s="8" t="s">
        <v>18</v>
      </c>
      <c r="E1155" s="8" t="s">
        <v>16</v>
      </c>
      <c r="F1155" s="8" t="s">
        <v>2198</v>
      </c>
      <c r="G1155" s="8" t="s">
        <v>3347</v>
      </c>
      <c r="H1155" s="8">
        <v>23685</v>
      </c>
      <c r="I1155" s="8">
        <v>10000</v>
      </c>
      <c r="J1155" s="8" t="s">
        <v>1294</v>
      </c>
      <c r="K1155" s="9">
        <v>45422</v>
      </c>
      <c r="L1155" s="9">
        <v>46023</v>
      </c>
      <c r="M1155" s="8" t="s">
        <v>16</v>
      </c>
      <c r="P1155" s="16" t="s">
        <v>1079</v>
      </c>
      <c r="Q1155" s="2" t="s">
        <v>43</v>
      </c>
      <c r="S1155" s="8" t="s">
        <v>1484</v>
      </c>
      <c r="T1155" s="9">
        <v>46447</v>
      </c>
      <c r="U1155" s="8">
        <v>0</v>
      </c>
      <c r="V1155" s="20">
        <v>300</v>
      </c>
      <c r="W1155" s="21" t="s">
        <v>16</v>
      </c>
    </row>
    <row r="1156" spans="1:23" ht="60">
      <c r="A1156" s="8" t="s">
        <v>3346</v>
      </c>
      <c r="B1156" s="8" t="s">
        <v>1292</v>
      </c>
      <c r="C1156" s="8" t="s">
        <v>2197</v>
      </c>
      <c r="D1156" s="8" t="s">
        <v>18</v>
      </c>
      <c r="E1156" s="8" t="s">
        <v>16</v>
      </c>
      <c r="F1156" s="8" t="s">
        <v>2198</v>
      </c>
      <c r="G1156" s="8" t="s">
        <v>3347</v>
      </c>
      <c r="H1156" s="8">
        <v>23685</v>
      </c>
      <c r="I1156" s="8">
        <v>10000</v>
      </c>
      <c r="J1156" s="8" t="s">
        <v>1295</v>
      </c>
      <c r="K1156" s="9">
        <v>45384</v>
      </c>
      <c r="L1156" s="9">
        <v>46023</v>
      </c>
      <c r="M1156" s="8" t="s">
        <v>16</v>
      </c>
      <c r="P1156" s="16" t="s">
        <v>1080</v>
      </c>
      <c r="Q1156" s="2" t="s">
        <v>43</v>
      </c>
      <c r="S1156" s="8" t="s">
        <v>1484</v>
      </c>
      <c r="T1156" s="9">
        <v>46478</v>
      </c>
      <c r="U1156" s="8">
        <v>0</v>
      </c>
      <c r="V1156" s="20">
        <v>950</v>
      </c>
      <c r="W1156" s="21" t="s">
        <v>16</v>
      </c>
    </row>
    <row r="1157" spans="1:23" ht="45">
      <c r="A1157" s="8" t="s">
        <v>3348</v>
      </c>
      <c r="B1157" s="8" t="s">
        <v>1296</v>
      </c>
      <c r="C1157" s="8" t="s">
        <v>2197</v>
      </c>
      <c r="D1157" s="8" t="s">
        <v>18</v>
      </c>
      <c r="E1157" s="8" t="s">
        <v>16</v>
      </c>
      <c r="F1157" s="8" t="s">
        <v>2198</v>
      </c>
      <c r="G1157" s="8" t="s">
        <v>3347</v>
      </c>
      <c r="H1157" s="8">
        <v>20336</v>
      </c>
      <c r="I1157" s="8">
        <v>36</v>
      </c>
      <c r="J1157" s="8" t="s">
        <v>1297</v>
      </c>
      <c r="K1157" s="9">
        <v>44992</v>
      </c>
      <c r="L1157" s="9">
        <v>45992</v>
      </c>
      <c r="M1157" s="8" t="s">
        <v>16</v>
      </c>
      <c r="P1157" s="16" t="s">
        <v>1081</v>
      </c>
      <c r="Q1157" s="2" t="s">
        <v>43</v>
      </c>
      <c r="S1157" s="8" t="s">
        <v>1485</v>
      </c>
      <c r="T1157" s="9">
        <v>47150</v>
      </c>
      <c r="U1157" s="8">
        <v>0</v>
      </c>
      <c r="V1157" s="20">
        <v>53</v>
      </c>
      <c r="W1157" s="21" t="s">
        <v>16</v>
      </c>
    </row>
    <row r="1158" spans="1:23" ht="45">
      <c r="A1158" s="8" t="s">
        <v>3348</v>
      </c>
      <c r="B1158" s="8" t="s">
        <v>1296</v>
      </c>
      <c r="C1158" s="8" t="s">
        <v>2197</v>
      </c>
      <c r="D1158" s="8" t="s">
        <v>18</v>
      </c>
      <c r="E1158" s="8" t="s">
        <v>16</v>
      </c>
      <c r="F1158" s="8" t="s">
        <v>2198</v>
      </c>
      <c r="G1158" s="8" t="s">
        <v>3347</v>
      </c>
      <c r="H1158" s="8">
        <v>20336</v>
      </c>
      <c r="I1158" s="8">
        <v>3700</v>
      </c>
      <c r="J1158" s="8" t="s">
        <v>1293</v>
      </c>
      <c r="K1158" s="9">
        <v>45384</v>
      </c>
      <c r="L1158" s="9">
        <v>46023</v>
      </c>
      <c r="M1158" s="8" t="s">
        <v>16</v>
      </c>
      <c r="P1158" s="16" t="s">
        <v>1082</v>
      </c>
      <c r="Q1158" s="2" t="s">
        <v>43</v>
      </c>
      <c r="S1158" s="8" t="s">
        <v>1486</v>
      </c>
      <c r="T1158" s="9">
        <v>47119</v>
      </c>
      <c r="U1158" s="8">
        <v>0</v>
      </c>
      <c r="V1158" s="20">
        <v>1455</v>
      </c>
      <c r="W1158" s="21" t="s">
        <v>16</v>
      </c>
    </row>
    <row r="1159" spans="1:23" ht="75">
      <c r="A1159" s="8" t="s">
        <v>3348</v>
      </c>
      <c r="B1159" s="8" t="s">
        <v>1296</v>
      </c>
      <c r="C1159" s="8" t="s">
        <v>2197</v>
      </c>
      <c r="D1159" s="8" t="s">
        <v>18</v>
      </c>
      <c r="E1159" s="8" t="s">
        <v>16</v>
      </c>
      <c r="F1159" s="8" t="s">
        <v>2198</v>
      </c>
      <c r="G1159" s="8" t="s">
        <v>3347</v>
      </c>
      <c r="H1159" s="8">
        <v>20336</v>
      </c>
      <c r="I1159" s="8">
        <v>16600</v>
      </c>
      <c r="J1159" s="8" t="s">
        <v>1298</v>
      </c>
      <c r="K1159" s="9">
        <v>45422</v>
      </c>
      <c r="L1159" s="9">
        <v>46023</v>
      </c>
      <c r="M1159" s="8" t="s">
        <v>16</v>
      </c>
      <c r="P1159" s="16" t="s">
        <v>1083</v>
      </c>
      <c r="Q1159" s="2" t="s">
        <v>43</v>
      </c>
      <c r="S1159" s="8" t="s">
        <v>1487</v>
      </c>
      <c r="T1159" s="9">
        <v>45778</v>
      </c>
      <c r="U1159" s="8">
        <v>0</v>
      </c>
      <c r="V1159" s="20">
        <v>10</v>
      </c>
      <c r="W1159" s="21" t="s">
        <v>16</v>
      </c>
    </row>
    <row r="1160" spans="1:23" ht="75">
      <c r="A1160" s="8" t="s">
        <v>3349</v>
      </c>
      <c r="B1160" s="8" t="s">
        <v>1299</v>
      </c>
      <c r="C1160" s="8" t="s">
        <v>2197</v>
      </c>
      <c r="D1160" s="8" t="s">
        <v>18</v>
      </c>
      <c r="E1160" s="8" t="s">
        <v>16</v>
      </c>
      <c r="F1160" s="8" t="s">
        <v>2198</v>
      </c>
      <c r="G1160" s="8" t="s">
        <v>3347</v>
      </c>
      <c r="H1160" s="8">
        <v>12386</v>
      </c>
      <c r="I1160" s="8">
        <v>26</v>
      </c>
      <c r="J1160" s="8" t="s">
        <v>1300</v>
      </c>
      <c r="K1160" s="9">
        <v>44992</v>
      </c>
      <c r="L1160" s="9">
        <v>45992</v>
      </c>
      <c r="M1160" s="8" t="s">
        <v>16</v>
      </c>
      <c r="P1160" s="16" t="s">
        <v>1084</v>
      </c>
      <c r="Q1160" s="2" t="s">
        <v>43</v>
      </c>
      <c r="S1160" s="8" t="s">
        <v>1487</v>
      </c>
      <c r="T1160" s="9">
        <v>46874</v>
      </c>
      <c r="U1160" s="8">
        <v>0</v>
      </c>
      <c r="V1160" s="20">
        <v>1520</v>
      </c>
      <c r="W1160" s="21" t="s">
        <v>16</v>
      </c>
    </row>
    <row r="1161" spans="1:23" ht="90">
      <c r="A1161" s="8" t="s">
        <v>3349</v>
      </c>
      <c r="B1161" s="8" t="s">
        <v>1299</v>
      </c>
      <c r="C1161" s="8" t="s">
        <v>2197</v>
      </c>
      <c r="D1161" s="8" t="s">
        <v>18</v>
      </c>
      <c r="E1161" s="8" t="s">
        <v>16</v>
      </c>
      <c r="F1161" s="8" t="s">
        <v>2198</v>
      </c>
      <c r="G1161" s="8" t="s">
        <v>3347</v>
      </c>
      <c r="H1161" s="8">
        <v>12386</v>
      </c>
      <c r="I1161" s="8">
        <v>4000</v>
      </c>
      <c r="J1161" s="8" t="s">
        <v>1301</v>
      </c>
      <c r="K1161" s="9">
        <v>45411</v>
      </c>
      <c r="L1161" s="9">
        <v>46023</v>
      </c>
      <c r="M1161" s="8" t="s">
        <v>16</v>
      </c>
      <c r="P1161" s="16" t="s">
        <v>1085</v>
      </c>
      <c r="Q1161" s="2" t="s">
        <v>43</v>
      </c>
      <c r="S1161" s="8" t="s">
        <v>1490</v>
      </c>
      <c r="T1161" s="9">
        <v>45809</v>
      </c>
      <c r="U1161" s="8">
        <v>0</v>
      </c>
      <c r="V1161" s="20">
        <v>504</v>
      </c>
      <c r="W1161" s="21" t="s">
        <v>151</v>
      </c>
    </row>
    <row r="1162" spans="1:23" ht="90">
      <c r="A1162" s="8" t="s">
        <v>3349</v>
      </c>
      <c r="B1162" s="8" t="s">
        <v>1299</v>
      </c>
      <c r="C1162" s="8" t="s">
        <v>2197</v>
      </c>
      <c r="D1162" s="8" t="s">
        <v>18</v>
      </c>
      <c r="E1162" s="8" t="s">
        <v>16</v>
      </c>
      <c r="F1162" s="8" t="s">
        <v>2198</v>
      </c>
      <c r="G1162" s="8" t="s">
        <v>3347</v>
      </c>
      <c r="H1162" s="8">
        <v>12386</v>
      </c>
      <c r="I1162" s="8">
        <v>4000</v>
      </c>
      <c r="J1162" s="8" t="s">
        <v>1302</v>
      </c>
      <c r="K1162" s="9">
        <v>45386</v>
      </c>
      <c r="L1162" s="9">
        <v>46023</v>
      </c>
      <c r="M1162" s="8" t="s">
        <v>16</v>
      </c>
      <c r="P1162" s="16" t="s">
        <v>1086</v>
      </c>
      <c r="Q1162" s="2" t="s">
        <v>43</v>
      </c>
      <c r="S1162" s="8" t="s">
        <v>1490</v>
      </c>
      <c r="T1162" s="9">
        <v>45748</v>
      </c>
      <c r="U1162" s="8">
        <v>0</v>
      </c>
      <c r="V1162" s="20">
        <v>1337</v>
      </c>
      <c r="W1162" s="21" t="s">
        <v>151</v>
      </c>
    </row>
    <row r="1163" spans="1:23" ht="90">
      <c r="A1163" s="8" t="s">
        <v>3349</v>
      </c>
      <c r="B1163" s="8" t="s">
        <v>1299</v>
      </c>
      <c r="C1163" s="8" t="s">
        <v>2197</v>
      </c>
      <c r="D1163" s="8" t="s">
        <v>18</v>
      </c>
      <c r="E1163" s="8" t="s">
        <v>16</v>
      </c>
      <c r="F1163" s="8" t="s">
        <v>2198</v>
      </c>
      <c r="G1163" s="8" t="s">
        <v>3347</v>
      </c>
      <c r="H1163" s="8">
        <v>12386</v>
      </c>
      <c r="I1163" s="8">
        <v>4360</v>
      </c>
      <c r="J1163" s="8" t="s">
        <v>1303</v>
      </c>
      <c r="K1163" s="9">
        <v>44992</v>
      </c>
      <c r="L1163" s="9">
        <v>45992</v>
      </c>
      <c r="M1163" s="8" t="s">
        <v>16</v>
      </c>
      <c r="P1163" s="16" t="s">
        <v>1087</v>
      </c>
      <c r="Q1163" s="2" t="s">
        <v>43</v>
      </c>
      <c r="S1163" s="8" t="s">
        <v>1496</v>
      </c>
      <c r="T1163" s="9">
        <v>45809</v>
      </c>
      <c r="U1163" s="8">
        <v>0</v>
      </c>
      <c r="V1163" s="20">
        <v>1600</v>
      </c>
      <c r="W1163" s="21" t="s">
        <v>151</v>
      </c>
    </row>
    <row r="1164" spans="1:23" ht="105">
      <c r="A1164" s="8" t="s">
        <v>3350</v>
      </c>
      <c r="B1164" s="8" t="s">
        <v>1304</v>
      </c>
      <c r="C1164" s="8" t="s">
        <v>2197</v>
      </c>
      <c r="D1164" s="8" t="s">
        <v>18</v>
      </c>
      <c r="E1164" s="8" t="s">
        <v>16</v>
      </c>
      <c r="F1164" s="8" t="s">
        <v>2198</v>
      </c>
      <c r="G1164" s="8" t="s">
        <v>3351</v>
      </c>
      <c r="H1164" s="8">
        <v>2540</v>
      </c>
      <c r="I1164" s="8">
        <v>100</v>
      </c>
      <c r="J1164" s="8" t="s">
        <v>1305</v>
      </c>
      <c r="K1164" s="9">
        <v>45266</v>
      </c>
      <c r="L1164" s="9">
        <v>46204</v>
      </c>
      <c r="M1164" s="8" t="s">
        <v>16</v>
      </c>
      <c r="P1164" s="16" t="s">
        <v>1088</v>
      </c>
      <c r="Q1164" s="2" t="s">
        <v>43</v>
      </c>
      <c r="S1164" s="8" t="s">
        <v>1499</v>
      </c>
      <c r="T1164" s="9">
        <v>45748</v>
      </c>
      <c r="U1164" s="8">
        <v>0</v>
      </c>
      <c r="V1164" s="20">
        <v>882</v>
      </c>
      <c r="W1164" s="21" t="s">
        <v>151</v>
      </c>
    </row>
    <row r="1165" spans="1:23" ht="105">
      <c r="A1165" s="8" t="s">
        <v>3350</v>
      </c>
      <c r="B1165" s="8" t="s">
        <v>1304</v>
      </c>
      <c r="C1165" s="8" t="s">
        <v>2197</v>
      </c>
      <c r="D1165" s="8" t="s">
        <v>18</v>
      </c>
      <c r="E1165" s="8" t="s">
        <v>16</v>
      </c>
      <c r="F1165" s="8" t="s">
        <v>2198</v>
      </c>
      <c r="G1165" s="8" t="s">
        <v>3351</v>
      </c>
      <c r="H1165" s="8">
        <v>2540</v>
      </c>
      <c r="I1165" s="8">
        <v>2440</v>
      </c>
      <c r="J1165" s="8" t="s">
        <v>1306</v>
      </c>
      <c r="K1165" s="9">
        <v>45386</v>
      </c>
      <c r="L1165" s="9">
        <v>45901</v>
      </c>
      <c r="M1165" s="8" t="s">
        <v>16</v>
      </c>
      <c r="P1165" s="16" t="s">
        <v>1089</v>
      </c>
      <c r="Q1165" s="2" t="s">
        <v>43</v>
      </c>
      <c r="S1165" s="8" t="s">
        <v>1500</v>
      </c>
      <c r="T1165" s="9">
        <v>45748</v>
      </c>
      <c r="U1165" s="8">
        <v>0</v>
      </c>
      <c r="V1165" s="20">
        <v>1549</v>
      </c>
      <c r="W1165" s="21" t="s">
        <v>151</v>
      </c>
    </row>
    <row r="1166" spans="1:23" ht="45">
      <c r="A1166" s="8" t="s">
        <v>3352</v>
      </c>
      <c r="B1166" s="8" t="s">
        <v>1307</v>
      </c>
      <c r="C1166" s="8" t="s">
        <v>2303</v>
      </c>
      <c r="D1166" s="8" t="s">
        <v>18</v>
      </c>
      <c r="E1166" s="8" t="s">
        <v>16</v>
      </c>
      <c r="F1166" s="8" t="s">
        <v>2228</v>
      </c>
      <c r="G1166" s="8" t="s">
        <v>3353</v>
      </c>
      <c r="H1166" s="8">
        <v>122</v>
      </c>
      <c r="I1166" s="8">
        <v>122</v>
      </c>
      <c r="J1166" s="8">
        <v>205240135027</v>
      </c>
      <c r="K1166" s="9">
        <v>45322</v>
      </c>
      <c r="L1166" s="9">
        <v>47119</v>
      </c>
      <c r="M1166" s="8" t="s">
        <v>16</v>
      </c>
      <c r="P1166" s="16" t="s">
        <v>1090</v>
      </c>
      <c r="Q1166" s="2" t="s">
        <v>43</v>
      </c>
      <c r="S1166" s="8" t="s">
        <v>1503</v>
      </c>
      <c r="T1166" s="9">
        <v>47209</v>
      </c>
      <c r="U1166" s="8">
        <v>0</v>
      </c>
      <c r="V1166" s="20">
        <v>2838</v>
      </c>
      <c r="W1166" s="21" t="s">
        <v>16</v>
      </c>
    </row>
    <row r="1167" spans="1:23" ht="60.75">
      <c r="A1167" s="8" t="s">
        <v>3354</v>
      </c>
      <c r="B1167" s="8" t="s">
        <v>1308</v>
      </c>
      <c r="C1167" s="8" t="s">
        <v>2197</v>
      </c>
      <c r="D1167" s="8" t="s">
        <v>18</v>
      </c>
      <c r="E1167" s="8" t="s">
        <v>16</v>
      </c>
      <c r="F1167" s="8" t="s">
        <v>2228</v>
      </c>
      <c r="G1167" s="8" t="s">
        <v>3353</v>
      </c>
      <c r="H1167" s="8">
        <v>9559</v>
      </c>
      <c r="I1167" s="8">
        <v>4000</v>
      </c>
      <c r="J1167" s="8">
        <v>205240635141</v>
      </c>
      <c r="K1167" s="9">
        <v>45456</v>
      </c>
      <c r="L1167" s="9">
        <v>47270</v>
      </c>
      <c r="M1167" s="8" t="s">
        <v>16</v>
      </c>
      <c r="P1167" s="16" t="s">
        <v>1091</v>
      </c>
      <c r="Q1167" s="2" t="s">
        <v>43</v>
      </c>
      <c r="S1167" s="8" t="s">
        <v>1507</v>
      </c>
      <c r="T1167" s="9">
        <v>47150</v>
      </c>
      <c r="U1167" s="8">
        <v>0</v>
      </c>
      <c r="V1167" s="20">
        <v>70</v>
      </c>
      <c r="W1167" s="21" t="s">
        <v>16</v>
      </c>
    </row>
    <row r="1168" spans="1:23" ht="60">
      <c r="A1168" s="8" t="s">
        <v>3354</v>
      </c>
      <c r="B1168" s="8" t="s">
        <v>1308</v>
      </c>
      <c r="C1168" s="8" t="s">
        <v>2197</v>
      </c>
      <c r="D1168" s="8" t="s">
        <v>18</v>
      </c>
      <c r="E1168" s="8" t="s">
        <v>16</v>
      </c>
      <c r="F1168" s="8" t="s">
        <v>2228</v>
      </c>
      <c r="G1168" s="8" t="s">
        <v>3353</v>
      </c>
      <c r="H1168" s="8">
        <v>9559</v>
      </c>
      <c r="I1168" s="8">
        <v>5559</v>
      </c>
      <c r="J1168" s="8">
        <v>205240635138</v>
      </c>
      <c r="K1168" s="9">
        <v>45450</v>
      </c>
      <c r="L1168" s="9">
        <v>47270</v>
      </c>
      <c r="M1168" s="8" t="s">
        <v>16</v>
      </c>
      <c r="P1168" s="16" t="s">
        <v>1092</v>
      </c>
      <c r="Q1168" s="2" t="s">
        <v>43</v>
      </c>
      <c r="S1168" s="8" t="s">
        <v>1507</v>
      </c>
      <c r="T1168" s="9">
        <v>47178</v>
      </c>
      <c r="U1168" s="8">
        <v>0</v>
      </c>
      <c r="V1168" s="20">
        <v>160</v>
      </c>
      <c r="W1168" s="21" t="s">
        <v>16</v>
      </c>
    </row>
    <row r="1169" spans="1:23" ht="60">
      <c r="A1169" s="8" t="s">
        <v>3355</v>
      </c>
      <c r="B1169" s="8" t="s">
        <v>1309</v>
      </c>
      <c r="C1169" s="8" t="s">
        <v>2197</v>
      </c>
      <c r="D1169" s="8" t="s">
        <v>18</v>
      </c>
      <c r="E1169" s="8" t="s">
        <v>16</v>
      </c>
      <c r="F1169" s="8" t="s">
        <v>2228</v>
      </c>
      <c r="G1169" s="8" t="s">
        <v>3353</v>
      </c>
      <c r="H1169" s="8">
        <v>409</v>
      </c>
      <c r="I1169" s="8">
        <v>1</v>
      </c>
      <c r="J1169" s="8">
        <v>205240135007</v>
      </c>
      <c r="K1169" s="9">
        <v>45304</v>
      </c>
      <c r="L1169" s="9">
        <v>47119</v>
      </c>
      <c r="M1169" s="8" t="s">
        <v>16</v>
      </c>
      <c r="P1169" s="16" t="s">
        <v>1093</v>
      </c>
      <c r="Q1169" s="2" t="s">
        <v>43</v>
      </c>
      <c r="S1169" s="8" t="s">
        <v>1508</v>
      </c>
      <c r="T1169" s="9">
        <v>47239</v>
      </c>
      <c r="U1169" s="8">
        <v>0</v>
      </c>
      <c r="V1169" s="20">
        <v>2095</v>
      </c>
      <c r="W1169" s="21" t="s">
        <v>16</v>
      </c>
    </row>
    <row r="1170" spans="1:23" ht="105">
      <c r="A1170" s="8" t="s">
        <v>3355</v>
      </c>
      <c r="B1170" s="8" t="s">
        <v>1309</v>
      </c>
      <c r="C1170" s="8" t="s">
        <v>2197</v>
      </c>
      <c r="D1170" s="8" t="s">
        <v>18</v>
      </c>
      <c r="E1170" s="8" t="s">
        <v>16</v>
      </c>
      <c r="F1170" s="8" t="s">
        <v>2228</v>
      </c>
      <c r="G1170" s="8" t="s">
        <v>3353</v>
      </c>
      <c r="H1170" s="8">
        <v>409</v>
      </c>
      <c r="I1170" s="8">
        <v>8</v>
      </c>
      <c r="J1170" s="8">
        <v>205240135027</v>
      </c>
      <c r="K1170" s="9">
        <v>45322</v>
      </c>
      <c r="L1170" s="9">
        <v>47119</v>
      </c>
      <c r="M1170" s="8" t="s">
        <v>16</v>
      </c>
      <c r="P1170" s="16" t="s">
        <v>1094</v>
      </c>
      <c r="Q1170" s="2" t="s">
        <v>43</v>
      </c>
      <c r="S1170" s="8" t="s">
        <v>1509</v>
      </c>
      <c r="T1170" s="9">
        <v>46054</v>
      </c>
      <c r="U1170" s="8">
        <v>0</v>
      </c>
      <c r="V1170" s="20">
        <v>24</v>
      </c>
      <c r="W1170" s="21" t="s">
        <v>16</v>
      </c>
    </row>
    <row r="1171" spans="1:23" ht="105">
      <c r="A1171" s="8" t="s">
        <v>3355</v>
      </c>
      <c r="B1171" s="8" t="s">
        <v>1309</v>
      </c>
      <c r="C1171" s="8" t="s">
        <v>2197</v>
      </c>
      <c r="D1171" s="8" t="s">
        <v>18</v>
      </c>
      <c r="E1171" s="8" t="s">
        <v>16</v>
      </c>
      <c r="F1171" s="8" t="s">
        <v>2228</v>
      </c>
      <c r="G1171" s="8" t="s">
        <v>3353</v>
      </c>
      <c r="H1171" s="8">
        <v>409</v>
      </c>
      <c r="I1171" s="8">
        <v>400</v>
      </c>
      <c r="J1171" s="8">
        <v>2052405353134</v>
      </c>
      <c r="K1171" s="9">
        <v>45450</v>
      </c>
      <c r="L1171" s="9">
        <v>47239</v>
      </c>
      <c r="M1171" s="8" t="s">
        <v>16</v>
      </c>
      <c r="P1171" s="16" t="s">
        <v>1094</v>
      </c>
      <c r="Q1171" s="2" t="s">
        <v>43</v>
      </c>
      <c r="S1171" s="8" t="s">
        <v>1509</v>
      </c>
      <c r="T1171" s="9">
        <v>47239</v>
      </c>
      <c r="U1171" s="8">
        <v>0</v>
      </c>
      <c r="V1171" s="20">
        <v>480</v>
      </c>
      <c r="W1171" s="21" t="s">
        <v>16</v>
      </c>
    </row>
    <row r="1172" spans="1:23" ht="60">
      <c r="A1172" s="8" t="s">
        <v>3356</v>
      </c>
      <c r="B1172" s="8" t="s">
        <v>1310</v>
      </c>
      <c r="C1172" s="8" t="s">
        <v>2203</v>
      </c>
      <c r="D1172" s="8" t="s">
        <v>18</v>
      </c>
      <c r="E1172" s="8" t="s">
        <v>16</v>
      </c>
      <c r="F1172" s="8" t="s">
        <v>2204</v>
      </c>
      <c r="G1172" s="8" t="s">
        <v>3357</v>
      </c>
      <c r="H1172" s="8">
        <v>2410</v>
      </c>
      <c r="I1172" s="8">
        <v>200</v>
      </c>
      <c r="J1172" s="8">
        <v>40322026</v>
      </c>
      <c r="K1172" s="9">
        <v>45386</v>
      </c>
      <c r="L1172" s="9">
        <v>47178</v>
      </c>
      <c r="M1172" s="8" t="s">
        <v>16</v>
      </c>
      <c r="P1172" s="16" t="s">
        <v>1095</v>
      </c>
      <c r="Q1172" s="2" t="s">
        <v>43</v>
      </c>
      <c r="S1172" s="8" t="s">
        <v>1510</v>
      </c>
      <c r="T1172" s="9">
        <v>45839</v>
      </c>
      <c r="U1172" s="8">
        <v>0</v>
      </c>
      <c r="V1172" s="20">
        <v>618</v>
      </c>
      <c r="W1172" s="21" t="s">
        <v>16</v>
      </c>
    </row>
    <row r="1173" spans="1:23" ht="60">
      <c r="A1173" s="8" t="s">
        <v>3356</v>
      </c>
      <c r="B1173" s="8" t="s">
        <v>1310</v>
      </c>
      <c r="C1173" s="8" t="s">
        <v>2203</v>
      </c>
      <c r="D1173" s="8" t="s">
        <v>18</v>
      </c>
      <c r="E1173" s="8" t="s">
        <v>16</v>
      </c>
      <c r="F1173" s="8" t="s">
        <v>2204</v>
      </c>
      <c r="G1173" s="8" t="s">
        <v>3357</v>
      </c>
      <c r="H1173" s="8">
        <v>2410</v>
      </c>
      <c r="I1173" s="8">
        <v>370</v>
      </c>
      <c r="J1173" s="8">
        <v>30927107</v>
      </c>
      <c r="K1173" s="9">
        <v>45257</v>
      </c>
      <c r="L1173" s="9">
        <v>46997</v>
      </c>
      <c r="M1173" s="8" t="s">
        <v>16</v>
      </c>
      <c r="P1173" s="16" t="s">
        <v>1095</v>
      </c>
      <c r="Q1173" s="2" t="s">
        <v>43</v>
      </c>
      <c r="S1173" s="8" t="s">
        <v>1510</v>
      </c>
      <c r="T1173" s="9">
        <v>45992</v>
      </c>
      <c r="U1173" s="8">
        <v>0</v>
      </c>
      <c r="V1173" s="20">
        <v>8990</v>
      </c>
      <c r="W1173" s="21" t="s">
        <v>16</v>
      </c>
    </row>
    <row r="1174" spans="1:23" ht="60">
      <c r="A1174" s="8" t="s">
        <v>3356</v>
      </c>
      <c r="B1174" s="8" t="s">
        <v>1310</v>
      </c>
      <c r="C1174" s="8" t="s">
        <v>2203</v>
      </c>
      <c r="D1174" s="8" t="s">
        <v>18</v>
      </c>
      <c r="E1174" s="8" t="s">
        <v>16</v>
      </c>
      <c r="F1174" s="8" t="s">
        <v>2204</v>
      </c>
      <c r="G1174" s="8" t="s">
        <v>3357</v>
      </c>
      <c r="H1174" s="8">
        <v>2410</v>
      </c>
      <c r="I1174" s="8">
        <v>1840</v>
      </c>
      <c r="J1174" s="8">
        <v>30811092</v>
      </c>
      <c r="K1174" s="9">
        <v>45374</v>
      </c>
      <c r="L1174" s="9">
        <v>46966</v>
      </c>
      <c r="M1174" s="8" t="s">
        <v>16</v>
      </c>
      <c r="P1174" s="16" t="s">
        <v>1096</v>
      </c>
      <c r="Q1174" s="2" t="s">
        <v>43</v>
      </c>
      <c r="S1174" s="8" t="s">
        <v>1520</v>
      </c>
      <c r="T1174" s="9">
        <v>45839</v>
      </c>
      <c r="U1174" s="8">
        <v>0</v>
      </c>
      <c r="V1174" s="20">
        <v>2195</v>
      </c>
      <c r="W1174" s="21" t="s">
        <v>16</v>
      </c>
    </row>
    <row r="1175" spans="1:23" ht="60">
      <c r="A1175" s="8" t="s">
        <v>3362</v>
      </c>
      <c r="B1175" s="8" t="s">
        <v>1313</v>
      </c>
      <c r="C1175" s="8" t="s">
        <v>2197</v>
      </c>
      <c r="D1175" s="8" t="s">
        <v>18</v>
      </c>
      <c r="E1175" s="8" t="s">
        <v>2217</v>
      </c>
      <c r="F1175" s="8" t="s">
        <v>2217</v>
      </c>
      <c r="G1175" s="8" t="s">
        <v>2217</v>
      </c>
      <c r="H1175" s="8">
        <v>672</v>
      </c>
      <c r="I1175" s="8">
        <v>672</v>
      </c>
      <c r="J1175" s="8" t="s">
        <v>1314</v>
      </c>
      <c r="K1175" s="9">
        <v>45442</v>
      </c>
      <c r="L1175" s="9">
        <v>45992</v>
      </c>
      <c r="M1175" s="8" t="s">
        <v>16</v>
      </c>
      <c r="P1175" s="16" t="s">
        <v>1097</v>
      </c>
      <c r="Q1175" s="2" t="s">
        <v>43</v>
      </c>
      <c r="S1175" s="8" t="s">
        <v>1522</v>
      </c>
      <c r="T1175" s="9">
        <v>46266</v>
      </c>
      <c r="U1175" s="8">
        <v>0</v>
      </c>
      <c r="V1175" s="20">
        <v>1722</v>
      </c>
      <c r="W1175" s="21" t="s">
        <v>16</v>
      </c>
    </row>
    <row r="1176" spans="1:23" ht="60">
      <c r="A1176" s="8" t="s">
        <v>3363</v>
      </c>
      <c r="B1176" s="8" t="s">
        <v>1315</v>
      </c>
      <c r="C1176" s="8" t="s">
        <v>2197</v>
      </c>
      <c r="D1176" s="8" t="s">
        <v>18</v>
      </c>
      <c r="E1176" s="8" t="s">
        <v>16</v>
      </c>
      <c r="F1176" s="8" t="s">
        <v>2198</v>
      </c>
      <c r="G1176" s="8" t="s">
        <v>3364</v>
      </c>
      <c r="H1176" s="8">
        <v>1597</v>
      </c>
      <c r="I1176" s="8">
        <v>1597</v>
      </c>
      <c r="J1176" s="8">
        <v>24032004</v>
      </c>
      <c r="K1176" s="9">
        <v>45409</v>
      </c>
      <c r="L1176" s="9">
        <v>47150</v>
      </c>
      <c r="M1176" s="8" t="s">
        <v>16</v>
      </c>
      <c r="P1176" s="16" t="s">
        <v>1098</v>
      </c>
      <c r="Q1176" s="2" t="s">
        <v>43</v>
      </c>
      <c r="S1176" s="8" t="s">
        <v>1522</v>
      </c>
      <c r="T1176" s="9">
        <v>46388</v>
      </c>
      <c r="U1176" s="8">
        <v>0</v>
      </c>
      <c r="V1176" s="20">
        <v>1920</v>
      </c>
      <c r="W1176" s="21" t="s">
        <v>16</v>
      </c>
    </row>
    <row r="1177" spans="1:23" ht="90">
      <c r="A1177" s="8" t="s">
        <v>3365</v>
      </c>
      <c r="B1177" s="8" t="s">
        <v>1316</v>
      </c>
      <c r="C1177" s="8" t="s">
        <v>2197</v>
      </c>
      <c r="D1177" s="8" t="s">
        <v>18</v>
      </c>
      <c r="E1177" s="8" t="s">
        <v>16</v>
      </c>
      <c r="F1177" s="8" t="s">
        <v>2198</v>
      </c>
      <c r="G1177" s="8" t="s">
        <v>3364</v>
      </c>
      <c r="H1177" s="8">
        <v>942</v>
      </c>
      <c r="I1177" s="8">
        <v>942</v>
      </c>
      <c r="J1177" s="8">
        <v>23092828</v>
      </c>
      <c r="K1177" s="9">
        <v>45208</v>
      </c>
      <c r="L1177" s="9">
        <v>46966</v>
      </c>
      <c r="M1177" s="8" t="s">
        <v>16</v>
      </c>
      <c r="P1177" s="16" t="s">
        <v>1099</v>
      </c>
      <c r="Q1177" s="2" t="s">
        <v>43</v>
      </c>
      <c r="S1177" s="8" t="s">
        <v>1523</v>
      </c>
      <c r="T1177" s="9">
        <v>46296</v>
      </c>
      <c r="U1177" s="8">
        <v>0</v>
      </c>
      <c r="V1177" s="20">
        <v>9970</v>
      </c>
      <c r="W1177" s="21" t="s">
        <v>16</v>
      </c>
    </row>
    <row r="1178" spans="1:23" ht="60">
      <c r="A1178" s="8" t="s">
        <v>3366</v>
      </c>
      <c r="B1178" s="8" t="s">
        <v>1317</v>
      </c>
      <c r="C1178" s="8" t="s">
        <v>2197</v>
      </c>
      <c r="D1178" s="8" t="s">
        <v>18</v>
      </c>
      <c r="E1178" s="8" t="s">
        <v>16</v>
      </c>
      <c r="F1178" s="8" t="s">
        <v>2198</v>
      </c>
      <c r="G1178" s="8" t="s">
        <v>3364</v>
      </c>
      <c r="H1178" s="8">
        <v>2165</v>
      </c>
      <c r="I1178" s="8">
        <v>2165</v>
      </c>
      <c r="J1178" s="8">
        <v>24051301</v>
      </c>
      <c r="K1178" s="9">
        <v>45446</v>
      </c>
      <c r="L1178" s="9">
        <v>47209</v>
      </c>
      <c r="M1178" s="8" t="s">
        <v>16</v>
      </c>
      <c r="P1178" s="16" t="s">
        <v>1100</v>
      </c>
      <c r="Q1178" s="2" t="s">
        <v>43</v>
      </c>
      <c r="S1178" s="8" t="s">
        <v>1524</v>
      </c>
      <c r="T1178" s="9" t="s">
        <v>2222</v>
      </c>
      <c r="U1178" s="8">
        <v>0</v>
      </c>
      <c r="V1178" s="20">
        <v>7</v>
      </c>
      <c r="W1178" s="21" t="s">
        <v>43</v>
      </c>
    </row>
    <row r="1179" spans="1:23" ht="60">
      <c r="A1179" s="8" t="s">
        <v>3367</v>
      </c>
      <c r="B1179" s="8" t="s">
        <v>1318</v>
      </c>
      <c r="C1179" s="8" t="s">
        <v>2197</v>
      </c>
      <c r="D1179" s="8" t="s">
        <v>18</v>
      </c>
      <c r="E1179" s="8" t="s">
        <v>16</v>
      </c>
      <c r="F1179" s="8" t="s">
        <v>2198</v>
      </c>
      <c r="G1179" s="8" t="s">
        <v>3364</v>
      </c>
      <c r="H1179" s="8">
        <v>49</v>
      </c>
      <c r="I1179" s="8">
        <v>49</v>
      </c>
      <c r="J1179" s="8">
        <v>0</v>
      </c>
      <c r="K1179" s="9">
        <v>44015</v>
      </c>
      <c r="L1179" s="8" t="s">
        <v>2222</v>
      </c>
      <c r="M1179" s="8" t="s">
        <v>38</v>
      </c>
      <c r="P1179" s="16" t="s">
        <v>1101</v>
      </c>
      <c r="Q1179" s="2" t="s">
        <v>43</v>
      </c>
      <c r="S1179" s="8" t="s">
        <v>1525</v>
      </c>
      <c r="T1179" s="9">
        <v>47453</v>
      </c>
      <c r="U1179" s="8">
        <v>0</v>
      </c>
      <c r="V1179" s="20">
        <v>4470</v>
      </c>
      <c r="W1179" s="21" t="s">
        <v>151</v>
      </c>
    </row>
    <row r="1180" spans="1:23" ht="90">
      <c r="A1180" s="8" t="s">
        <v>3368</v>
      </c>
      <c r="B1180" s="8" t="s">
        <v>1319</v>
      </c>
      <c r="C1180" s="8" t="s">
        <v>2197</v>
      </c>
      <c r="D1180" s="8" t="s">
        <v>209</v>
      </c>
      <c r="E1180" s="8" t="s">
        <v>151</v>
      </c>
      <c r="F1180" s="8" t="s">
        <v>2258</v>
      </c>
      <c r="G1180" s="8" t="s">
        <v>2217</v>
      </c>
      <c r="H1180" s="8">
        <v>2</v>
      </c>
      <c r="I1180" s="8">
        <v>2</v>
      </c>
      <c r="J1180" s="8">
        <v>2011020124</v>
      </c>
      <c r="K1180" s="9">
        <v>45399</v>
      </c>
      <c r="L1180" s="9">
        <v>47119</v>
      </c>
      <c r="M1180" s="8" t="s">
        <v>151</v>
      </c>
      <c r="P1180" s="16" t="s">
        <v>1102</v>
      </c>
      <c r="Q1180" s="2" t="s">
        <v>43</v>
      </c>
      <c r="S1180" s="8" t="s">
        <v>1526</v>
      </c>
      <c r="T1180" s="9">
        <v>47088</v>
      </c>
      <c r="U1180" s="8">
        <v>0</v>
      </c>
      <c r="V1180" s="20">
        <v>1830</v>
      </c>
      <c r="W1180" s="21" t="s">
        <v>16</v>
      </c>
    </row>
    <row r="1181" spans="1:23" ht="60">
      <c r="A1181" s="8" t="s">
        <v>3369</v>
      </c>
      <c r="B1181" s="8" t="s">
        <v>1319</v>
      </c>
      <c r="C1181" s="8" t="s">
        <v>2197</v>
      </c>
      <c r="D1181" s="8" t="s">
        <v>18</v>
      </c>
      <c r="E1181" s="8" t="s">
        <v>151</v>
      </c>
      <c r="F1181" s="8" t="s">
        <v>2258</v>
      </c>
      <c r="G1181" s="8" t="s">
        <v>3370</v>
      </c>
      <c r="H1181" s="8">
        <v>1500</v>
      </c>
      <c r="I1181" s="8">
        <v>1500</v>
      </c>
      <c r="J1181" s="8">
        <v>311022024</v>
      </c>
      <c r="K1181" s="9">
        <v>45414</v>
      </c>
      <c r="L1181" s="9">
        <v>47178</v>
      </c>
      <c r="M1181" s="8" t="s">
        <v>151</v>
      </c>
      <c r="P1181" s="16" t="s">
        <v>1103</v>
      </c>
      <c r="Q1181" s="2" t="s">
        <v>43</v>
      </c>
      <c r="S1181" s="8" t="s">
        <v>1528</v>
      </c>
      <c r="T1181" s="9">
        <v>45901</v>
      </c>
      <c r="U1181" s="8">
        <v>0</v>
      </c>
      <c r="V1181" s="20">
        <v>13</v>
      </c>
      <c r="W1181" s="21" t="s">
        <v>16</v>
      </c>
    </row>
    <row r="1182" spans="1:23" ht="60">
      <c r="A1182" s="8" t="s">
        <v>3371</v>
      </c>
      <c r="B1182" s="8" t="s">
        <v>1320</v>
      </c>
      <c r="C1182" s="8" t="s">
        <v>2197</v>
      </c>
      <c r="D1182" s="8" t="s">
        <v>209</v>
      </c>
      <c r="E1182" s="8" t="s">
        <v>151</v>
      </c>
      <c r="F1182" s="8" t="s">
        <v>2258</v>
      </c>
      <c r="G1182" s="8" t="s">
        <v>3370</v>
      </c>
      <c r="H1182" s="8">
        <v>1</v>
      </c>
      <c r="I1182" s="8">
        <v>1</v>
      </c>
      <c r="J1182" s="8">
        <v>811022321</v>
      </c>
      <c r="K1182" s="9">
        <v>44602</v>
      </c>
      <c r="L1182" s="9">
        <v>46235</v>
      </c>
      <c r="M1182" s="8" t="s">
        <v>151</v>
      </c>
      <c r="P1182" s="16" t="s">
        <v>1104</v>
      </c>
      <c r="Q1182" s="2" t="s">
        <v>43</v>
      </c>
      <c r="S1182" s="8" t="s">
        <v>1528</v>
      </c>
      <c r="T1182" s="9">
        <v>46296</v>
      </c>
      <c r="U1182" s="8">
        <v>0</v>
      </c>
      <c r="V1182" s="20">
        <v>200</v>
      </c>
      <c r="W1182" s="21" t="s">
        <v>16</v>
      </c>
    </row>
    <row r="1183" spans="1:23" ht="60">
      <c r="A1183" s="8" t="s">
        <v>3372</v>
      </c>
      <c r="B1183" s="8" t="s">
        <v>1321</v>
      </c>
      <c r="C1183" s="8" t="s">
        <v>2203</v>
      </c>
      <c r="D1183" s="8" t="s">
        <v>18</v>
      </c>
      <c r="E1183" s="8" t="s">
        <v>16</v>
      </c>
      <c r="F1183" s="8" t="s">
        <v>2198</v>
      </c>
      <c r="G1183" s="8" t="s">
        <v>3373</v>
      </c>
      <c r="H1183" s="8">
        <v>17669</v>
      </c>
      <c r="I1183" s="8">
        <v>19</v>
      </c>
      <c r="J1183" s="8">
        <v>55792</v>
      </c>
      <c r="K1183" s="9">
        <v>45252</v>
      </c>
      <c r="L1183" s="9">
        <v>47027</v>
      </c>
      <c r="M1183" s="8" t="s">
        <v>16</v>
      </c>
      <c r="P1183" s="16" t="s">
        <v>1105</v>
      </c>
      <c r="Q1183" s="2" t="s">
        <v>43</v>
      </c>
      <c r="S1183" s="8" t="s">
        <v>1528</v>
      </c>
      <c r="T1183" s="9">
        <v>46388</v>
      </c>
      <c r="U1183" s="8">
        <v>0</v>
      </c>
      <c r="V1183" s="20">
        <v>1100</v>
      </c>
      <c r="W1183" s="21" t="s">
        <v>16</v>
      </c>
    </row>
    <row r="1184" spans="1:23" ht="60">
      <c r="A1184" s="8" t="s">
        <v>3372</v>
      </c>
      <c r="B1184" s="8" t="s">
        <v>1321</v>
      </c>
      <c r="C1184" s="8" t="s">
        <v>2203</v>
      </c>
      <c r="D1184" s="8" t="s">
        <v>18</v>
      </c>
      <c r="E1184" s="8" t="s">
        <v>16</v>
      </c>
      <c r="F1184" s="8" t="s">
        <v>2198</v>
      </c>
      <c r="G1184" s="8" t="s">
        <v>3373</v>
      </c>
      <c r="H1184" s="8">
        <v>17669</v>
      </c>
      <c r="I1184" s="8">
        <v>800</v>
      </c>
      <c r="J1184" s="8">
        <v>55813</v>
      </c>
      <c r="K1184" s="9">
        <v>45402</v>
      </c>
      <c r="L1184" s="9">
        <v>47088</v>
      </c>
      <c r="M1184" s="8" t="s">
        <v>16</v>
      </c>
      <c r="P1184" s="16" t="s">
        <v>1106</v>
      </c>
      <c r="Q1184" s="2" t="s">
        <v>43</v>
      </c>
      <c r="S1184" s="8" t="s">
        <v>1529</v>
      </c>
      <c r="T1184" s="9">
        <v>47119</v>
      </c>
      <c r="U1184" s="8">
        <v>0</v>
      </c>
      <c r="V1184" s="20">
        <v>15</v>
      </c>
      <c r="W1184" s="21" t="s">
        <v>16</v>
      </c>
    </row>
    <row r="1185" spans="1:23" ht="60">
      <c r="A1185" s="8" t="s">
        <v>3372</v>
      </c>
      <c r="B1185" s="8" t="s">
        <v>1321</v>
      </c>
      <c r="C1185" s="8" t="s">
        <v>2203</v>
      </c>
      <c r="D1185" s="8" t="s">
        <v>18</v>
      </c>
      <c r="E1185" s="8" t="s">
        <v>16</v>
      </c>
      <c r="F1185" s="8" t="s">
        <v>2198</v>
      </c>
      <c r="G1185" s="8" t="s">
        <v>3373</v>
      </c>
      <c r="H1185" s="8">
        <v>17669</v>
      </c>
      <c r="I1185" s="8">
        <v>7750</v>
      </c>
      <c r="J1185" s="8">
        <v>55803</v>
      </c>
      <c r="K1185" s="9">
        <v>45264</v>
      </c>
      <c r="L1185" s="9">
        <v>47058</v>
      </c>
      <c r="M1185" s="8" t="s">
        <v>16</v>
      </c>
      <c r="P1185" s="16" t="s">
        <v>1106</v>
      </c>
      <c r="Q1185" s="2" t="s">
        <v>43</v>
      </c>
      <c r="S1185" s="8" t="s">
        <v>1529</v>
      </c>
      <c r="T1185" s="9">
        <v>47178</v>
      </c>
      <c r="U1185" s="8">
        <v>0</v>
      </c>
      <c r="V1185" s="20">
        <v>85</v>
      </c>
      <c r="W1185" s="21" t="s">
        <v>16</v>
      </c>
    </row>
    <row r="1186" spans="1:23" ht="60">
      <c r="A1186" s="8" t="s">
        <v>3372</v>
      </c>
      <c r="B1186" s="8" t="s">
        <v>1321</v>
      </c>
      <c r="C1186" s="8" t="s">
        <v>2203</v>
      </c>
      <c r="D1186" s="8" t="s">
        <v>18</v>
      </c>
      <c r="E1186" s="8" t="s">
        <v>16</v>
      </c>
      <c r="F1186" s="8" t="s">
        <v>2198</v>
      </c>
      <c r="G1186" s="8" t="s">
        <v>3373</v>
      </c>
      <c r="H1186" s="8">
        <v>17669</v>
      </c>
      <c r="I1186" s="8">
        <v>9100</v>
      </c>
      <c r="J1186" s="8">
        <v>55829</v>
      </c>
      <c r="K1186" s="9">
        <v>45402</v>
      </c>
      <c r="L1186" s="9">
        <v>47150</v>
      </c>
      <c r="M1186" s="8" t="s">
        <v>16</v>
      </c>
      <c r="P1186" s="16" t="s">
        <v>1107</v>
      </c>
      <c r="Q1186" s="2" t="s">
        <v>43</v>
      </c>
      <c r="S1186" s="8" t="s">
        <v>1529</v>
      </c>
      <c r="T1186" s="9">
        <v>47150</v>
      </c>
      <c r="U1186" s="8">
        <v>0</v>
      </c>
      <c r="V1186" s="20">
        <v>56</v>
      </c>
      <c r="W1186" s="21" t="s">
        <v>16</v>
      </c>
    </row>
    <row r="1187" spans="1:23" ht="60">
      <c r="A1187" s="8" t="s">
        <v>3374</v>
      </c>
      <c r="B1187" s="8" t="s">
        <v>1322</v>
      </c>
      <c r="C1187" s="8" t="s">
        <v>2203</v>
      </c>
      <c r="D1187" s="8" t="s">
        <v>18</v>
      </c>
      <c r="E1187" s="8" t="s">
        <v>16</v>
      </c>
      <c r="F1187" s="8" t="s">
        <v>2198</v>
      </c>
      <c r="G1187" s="8" t="s">
        <v>3373</v>
      </c>
      <c r="H1187" s="8">
        <v>5808</v>
      </c>
      <c r="I1187" s="8">
        <v>8</v>
      </c>
      <c r="J1187" s="8">
        <v>55805</v>
      </c>
      <c r="K1187" s="9">
        <v>45279</v>
      </c>
      <c r="L1187" s="9">
        <v>47088</v>
      </c>
      <c r="M1187" s="8" t="s">
        <v>16</v>
      </c>
      <c r="P1187" s="16" t="s">
        <v>1108</v>
      </c>
      <c r="Q1187" s="2" t="s">
        <v>43</v>
      </c>
      <c r="S1187" s="8" t="s">
        <v>1530</v>
      </c>
      <c r="T1187" s="9">
        <v>47119</v>
      </c>
      <c r="U1187" s="8">
        <v>0</v>
      </c>
      <c r="V1187" s="20">
        <v>19</v>
      </c>
      <c r="W1187" s="21" t="s">
        <v>16</v>
      </c>
    </row>
    <row r="1188" spans="1:23" ht="60">
      <c r="A1188" s="8" t="s">
        <v>3374</v>
      </c>
      <c r="B1188" s="8" t="s">
        <v>1322</v>
      </c>
      <c r="C1188" s="8" t="s">
        <v>2203</v>
      </c>
      <c r="D1188" s="8" t="s">
        <v>18</v>
      </c>
      <c r="E1188" s="8" t="s">
        <v>16</v>
      </c>
      <c r="F1188" s="8" t="s">
        <v>2198</v>
      </c>
      <c r="G1188" s="8" t="s">
        <v>3373</v>
      </c>
      <c r="H1188" s="8">
        <v>5808</v>
      </c>
      <c r="I1188" s="8">
        <v>2120</v>
      </c>
      <c r="J1188" s="8">
        <v>55816</v>
      </c>
      <c r="K1188" s="9">
        <v>45313</v>
      </c>
      <c r="L1188" s="9">
        <v>47088</v>
      </c>
      <c r="M1188" s="8" t="s">
        <v>16</v>
      </c>
      <c r="P1188" s="16" t="s">
        <v>1109</v>
      </c>
      <c r="Q1188" s="2" t="s">
        <v>43</v>
      </c>
      <c r="S1188" s="8" t="s">
        <v>1530</v>
      </c>
      <c r="T1188" s="9">
        <v>47178</v>
      </c>
      <c r="U1188" s="8">
        <v>0</v>
      </c>
      <c r="V1188" s="20">
        <v>6960</v>
      </c>
      <c r="W1188" s="21" t="s">
        <v>16</v>
      </c>
    </row>
    <row r="1189" spans="1:23" ht="60">
      <c r="A1189" s="8" t="s">
        <v>3374</v>
      </c>
      <c r="B1189" s="8" t="s">
        <v>1322</v>
      </c>
      <c r="C1189" s="8" t="s">
        <v>2203</v>
      </c>
      <c r="D1189" s="8" t="s">
        <v>18</v>
      </c>
      <c r="E1189" s="8" t="s">
        <v>16</v>
      </c>
      <c r="F1189" s="8" t="s">
        <v>2198</v>
      </c>
      <c r="G1189" s="8" t="s">
        <v>3373</v>
      </c>
      <c r="H1189" s="8">
        <v>5808</v>
      </c>
      <c r="I1189" s="8">
        <v>3680</v>
      </c>
      <c r="J1189" s="8">
        <v>55833</v>
      </c>
      <c r="K1189" s="9">
        <v>45402</v>
      </c>
      <c r="L1189" s="9">
        <v>47178</v>
      </c>
      <c r="M1189" s="8" t="s">
        <v>16</v>
      </c>
      <c r="P1189" s="16" t="s">
        <v>1110</v>
      </c>
      <c r="Q1189" s="2" t="s">
        <v>43</v>
      </c>
      <c r="S1189" s="8" t="s">
        <v>1530</v>
      </c>
      <c r="T1189" s="9">
        <v>47150</v>
      </c>
      <c r="U1189" s="8">
        <v>0</v>
      </c>
      <c r="V1189" s="20">
        <v>2040</v>
      </c>
      <c r="W1189" s="21" t="s">
        <v>16</v>
      </c>
    </row>
    <row r="1190" spans="1:23" ht="60">
      <c r="A1190" s="8" t="s">
        <v>3375</v>
      </c>
      <c r="B1190" s="8" t="s">
        <v>1323</v>
      </c>
      <c r="C1190" s="8" t="s">
        <v>2203</v>
      </c>
      <c r="D1190" s="8" t="s">
        <v>18</v>
      </c>
      <c r="E1190" s="8" t="s">
        <v>16</v>
      </c>
      <c r="F1190" s="8" t="s">
        <v>2198</v>
      </c>
      <c r="G1190" s="8" t="s">
        <v>3376</v>
      </c>
      <c r="H1190" s="8">
        <v>15200</v>
      </c>
      <c r="I1190" s="8">
        <v>15200</v>
      </c>
      <c r="J1190" s="8">
        <v>56819</v>
      </c>
      <c r="K1190" s="9">
        <v>45446</v>
      </c>
      <c r="L1190" s="9">
        <v>47239</v>
      </c>
      <c r="M1190" s="8" t="s">
        <v>16</v>
      </c>
      <c r="P1190" s="16" t="s">
        <v>1111</v>
      </c>
      <c r="Q1190" s="2" t="s">
        <v>43</v>
      </c>
      <c r="S1190" s="8" t="s">
        <v>1531</v>
      </c>
      <c r="T1190" s="9">
        <v>47058</v>
      </c>
      <c r="U1190" s="8">
        <v>0</v>
      </c>
      <c r="V1190" s="20">
        <v>70</v>
      </c>
      <c r="W1190" s="21" t="s">
        <v>16</v>
      </c>
    </row>
    <row r="1191" spans="1:23" ht="60">
      <c r="A1191" s="8" t="s">
        <v>3377</v>
      </c>
      <c r="B1191" s="8" t="s">
        <v>1324</v>
      </c>
      <c r="C1191" s="8" t="s">
        <v>2203</v>
      </c>
      <c r="D1191" s="8" t="s">
        <v>18</v>
      </c>
      <c r="E1191" s="8" t="s">
        <v>16</v>
      </c>
      <c r="F1191" s="8" t="s">
        <v>2198</v>
      </c>
      <c r="G1191" s="8" t="s">
        <v>3376</v>
      </c>
      <c r="H1191" s="8">
        <v>25</v>
      </c>
      <c r="I1191" s="8">
        <v>25</v>
      </c>
      <c r="J1191" s="8">
        <v>56809</v>
      </c>
      <c r="K1191" s="9">
        <v>45418</v>
      </c>
      <c r="L1191" s="9">
        <v>47209</v>
      </c>
      <c r="M1191" s="8" t="s">
        <v>16</v>
      </c>
      <c r="P1191" s="16" t="s">
        <v>1112</v>
      </c>
      <c r="Q1191" s="2" t="s">
        <v>43</v>
      </c>
      <c r="S1191" s="8" t="s">
        <v>1531</v>
      </c>
      <c r="T1191" s="9">
        <v>47178</v>
      </c>
      <c r="U1191" s="8">
        <v>0</v>
      </c>
      <c r="V1191" s="20">
        <v>200</v>
      </c>
      <c r="W1191" s="21" t="s">
        <v>16</v>
      </c>
    </row>
    <row r="1192" spans="1:23" ht="75">
      <c r="A1192" s="8" t="s">
        <v>3378</v>
      </c>
      <c r="B1192" s="8" t="s">
        <v>1325</v>
      </c>
      <c r="C1192" s="8" t="s">
        <v>2203</v>
      </c>
      <c r="D1192" s="8" t="s">
        <v>18</v>
      </c>
      <c r="E1192" s="8" t="s">
        <v>16</v>
      </c>
      <c r="F1192" s="8" t="s">
        <v>2228</v>
      </c>
      <c r="G1192" s="8" t="s">
        <v>3379</v>
      </c>
      <c r="H1192" s="8">
        <v>686378</v>
      </c>
      <c r="I1192" s="8">
        <v>3</v>
      </c>
      <c r="J1192" s="8">
        <v>60030</v>
      </c>
      <c r="K1192" s="9">
        <v>45238</v>
      </c>
      <c r="L1192" s="9">
        <v>45901</v>
      </c>
      <c r="M1192" s="8" t="s">
        <v>16</v>
      </c>
      <c r="P1192" s="16" t="s">
        <v>1113</v>
      </c>
      <c r="Q1192" s="2" t="s">
        <v>43</v>
      </c>
      <c r="S1192" s="8" t="s">
        <v>1532</v>
      </c>
      <c r="T1192" s="9">
        <v>46905</v>
      </c>
      <c r="U1192" s="8">
        <v>0</v>
      </c>
      <c r="V1192" s="20">
        <v>2045</v>
      </c>
      <c r="W1192" s="21" t="s">
        <v>16</v>
      </c>
    </row>
    <row r="1193" spans="1:23" ht="75">
      <c r="A1193" s="8" t="s">
        <v>3380</v>
      </c>
      <c r="B1193" s="8" t="s">
        <v>1325</v>
      </c>
      <c r="C1193" s="8" t="s">
        <v>2203</v>
      </c>
      <c r="D1193" s="8" t="s">
        <v>18</v>
      </c>
      <c r="E1193" s="8" t="s">
        <v>16</v>
      </c>
      <c r="F1193" s="8" t="s">
        <v>2228</v>
      </c>
      <c r="G1193" s="8" t="s">
        <v>3379</v>
      </c>
      <c r="H1193" s="8">
        <v>4</v>
      </c>
      <c r="I1193" s="8">
        <v>4</v>
      </c>
      <c r="J1193" s="8">
        <v>60030</v>
      </c>
      <c r="K1193" s="9">
        <v>45367</v>
      </c>
      <c r="L1193" s="9">
        <v>45901</v>
      </c>
      <c r="M1193" s="8" t="s">
        <v>16</v>
      </c>
      <c r="P1193" s="16" t="s">
        <v>1114</v>
      </c>
      <c r="Q1193" s="2" t="s">
        <v>43</v>
      </c>
      <c r="S1193" s="8" t="s">
        <v>1532</v>
      </c>
      <c r="T1193" s="9">
        <v>47027</v>
      </c>
      <c r="U1193" s="8">
        <v>0</v>
      </c>
      <c r="V1193" s="20">
        <v>9460</v>
      </c>
      <c r="W1193" s="21" t="s">
        <v>16</v>
      </c>
    </row>
    <row r="1194" spans="1:23" ht="75">
      <c r="A1194" s="8" t="s">
        <v>3378</v>
      </c>
      <c r="B1194" s="8" t="s">
        <v>1325</v>
      </c>
      <c r="C1194" s="8" t="s">
        <v>2203</v>
      </c>
      <c r="D1194" s="8" t="s">
        <v>18</v>
      </c>
      <c r="E1194" s="8" t="s">
        <v>16</v>
      </c>
      <c r="F1194" s="8" t="s">
        <v>2228</v>
      </c>
      <c r="G1194" s="8" t="s">
        <v>3379</v>
      </c>
      <c r="H1194" s="8">
        <v>686378</v>
      </c>
      <c r="I1194" s="8">
        <v>200</v>
      </c>
      <c r="J1194" s="8">
        <v>60041</v>
      </c>
      <c r="K1194" s="9">
        <v>45247</v>
      </c>
      <c r="L1194" s="9">
        <v>45931</v>
      </c>
      <c r="M1194" s="8" t="s">
        <v>16</v>
      </c>
      <c r="P1194" s="16" t="s">
        <v>1115</v>
      </c>
      <c r="Q1194" s="2" t="s">
        <v>43</v>
      </c>
      <c r="S1194" s="8" t="s">
        <v>1532</v>
      </c>
      <c r="T1194" s="9">
        <v>46966</v>
      </c>
      <c r="U1194" s="8">
        <v>0</v>
      </c>
      <c r="V1194" s="20">
        <v>3500</v>
      </c>
      <c r="W1194" s="21" t="s">
        <v>16</v>
      </c>
    </row>
    <row r="1195" spans="1:23" ht="75">
      <c r="A1195" s="8" t="s">
        <v>3378</v>
      </c>
      <c r="B1195" s="8" t="s">
        <v>1325</v>
      </c>
      <c r="C1195" s="8" t="s">
        <v>2203</v>
      </c>
      <c r="D1195" s="8" t="s">
        <v>18</v>
      </c>
      <c r="E1195" s="8" t="s">
        <v>16</v>
      </c>
      <c r="F1195" s="8" t="s">
        <v>2228</v>
      </c>
      <c r="G1195" s="8" t="s">
        <v>3379</v>
      </c>
      <c r="H1195" s="8">
        <v>686378</v>
      </c>
      <c r="I1195" s="8">
        <v>400</v>
      </c>
      <c r="J1195" s="8">
        <v>60040</v>
      </c>
      <c r="K1195" s="9">
        <v>45250</v>
      </c>
      <c r="L1195" s="9">
        <v>45931</v>
      </c>
      <c r="M1195" s="8" t="s">
        <v>16</v>
      </c>
      <c r="P1195" s="16" t="s">
        <v>1116</v>
      </c>
      <c r="Q1195" s="2" t="s">
        <v>43</v>
      </c>
      <c r="S1195" s="8" t="s">
        <v>1533</v>
      </c>
      <c r="T1195" s="9">
        <v>46419</v>
      </c>
      <c r="U1195" s="8">
        <v>0</v>
      </c>
      <c r="V1195" s="20">
        <v>664</v>
      </c>
      <c r="W1195" s="21" t="s">
        <v>16</v>
      </c>
    </row>
    <row r="1196" spans="1:23" ht="75">
      <c r="A1196" s="8" t="s">
        <v>3378</v>
      </c>
      <c r="B1196" s="8" t="s">
        <v>1325</v>
      </c>
      <c r="C1196" s="8" t="s">
        <v>2203</v>
      </c>
      <c r="D1196" s="8" t="s">
        <v>18</v>
      </c>
      <c r="E1196" s="8" t="s">
        <v>16</v>
      </c>
      <c r="F1196" s="8" t="s">
        <v>2228</v>
      </c>
      <c r="G1196" s="8" t="s">
        <v>3379</v>
      </c>
      <c r="H1196" s="8">
        <v>686378</v>
      </c>
      <c r="I1196" s="8">
        <v>400</v>
      </c>
      <c r="J1196" s="8">
        <v>60109</v>
      </c>
      <c r="K1196" s="9">
        <v>45408</v>
      </c>
      <c r="L1196" s="9">
        <v>46082</v>
      </c>
      <c r="M1196" s="8" t="s">
        <v>16</v>
      </c>
      <c r="P1196" s="16" t="s">
        <v>1117</v>
      </c>
      <c r="Q1196" s="2" t="s">
        <v>43</v>
      </c>
      <c r="S1196" s="8" t="s">
        <v>1533</v>
      </c>
      <c r="T1196" s="9">
        <v>46478</v>
      </c>
      <c r="U1196" s="8">
        <v>0</v>
      </c>
      <c r="V1196" s="20">
        <v>2000</v>
      </c>
      <c r="W1196" s="21" t="s">
        <v>16</v>
      </c>
    </row>
    <row r="1197" spans="1:23" ht="75">
      <c r="A1197" s="8" t="s">
        <v>3378</v>
      </c>
      <c r="B1197" s="8" t="s">
        <v>1325</v>
      </c>
      <c r="C1197" s="8" t="s">
        <v>2203</v>
      </c>
      <c r="D1197" s="8" t="s">
        <v>18</v>
      </c>
      <c r="E1197" s="8" t="s">
        <v>16</v>
      </c>
      <c r="F1197" s="8" t="s">
        <v>2228</v>
      </c>
      <c r="G1197" s="8" t="s">
        <v>3379</v>
      </c>
      <c r="H1197" s="8">
        <v>686378</v>
      </c>
      <c r="I1197" s="8">
        <v>575</v>
      </c>
      <c r="J1197" s="8">
        <v>60042</v>
      </c>
      <c r="K1197" s="9">
        <v>45230</v>
      </c>
      <c r="L1197" s="9">
        <v>45931</v>
      </c>
      <c r="M1197" s="8" t="s">
        <v>16</v>
      </c>
      <c r="P1197" s="16" t="s">
        <v>1118</v>
      </c>
      <c r="Q1197" s="2" t="s">
        <v>43</v>
      </c>
      <c r="S1197" s="8" t="s">
        <v>1534</v>
      </c>
      <c r="T1197" s="9" t="s">
        <v>2222</v>
      </c>
      <c r="U1197" s="8">
        <v>0</v>
      </c>
      <c r="V1197" s="20">
        <v>106</v>
      </c>
      <c r="W1197" s="21" t="s">
        <v>43</v>
      </c>
    </row>
    <row r="1198" spans="1:23" ht="75">
      <c r="A1198" s="8" t="s">
        <v>3378</v>
      </c>
      <c r="B1198" s="8" t="s">
        <v>1325</v>
      </c>
      <c r="C1198" s="8" t="s">
        <v>2203</v>
      </c>
      <c r="D1198" s="8" t="s">
        <v>18</v>
      </c>
      <c r="E1198" s="8" t="s">
        <v>16</v>
      </c>
      <c r="F1198" s="8" t="s">
        <v>2228</v>
      </c>
      <c r="G1198" s="8" t="s">
        <v>3379</v>
      </c>
      <c r="H1198" s="8">
        <v>686378</v>
      </c>
      <c r="I1198" s="8">
        <v>600</v>
      </c>
      <c r="J1198" s="8">
        <v>60037</v>
      </c>
      <c r="K1198" s="9">
        <v>45247</v>
      </c>
      <c r="L1198" s="9">
        <v>45931</v>
      </c>
      <c r="M1198" s="8" t="s">
        <v>16</v>
      </c>
      <c r="P1198" s="16" t="s">
        <v>1119</v>
      </c>
      <c r="Q1198" s="2" t="s">
        <v>43</v>
      </c>
      <c r="S1198" s="8" t="s">
        <v>1535</v>
      </c>
      <c r="T1198" s="9" t="s">
        <v>2222</v>
      </c>
      <c r="U1198" s="8">
        <v>0</v>
      </c>
      <c r="V1198" s="20">
        <v>46</v>
      </c>
      <c r="W1198" s="21" t="s">
        <v>43</v>
      </c>
    </row>
    <row r="1199" spans="1:23" ht="75">
      <c r="A1199" s="8" t="s">
        <v>3378</v>
      </c>
      <c r="B1199" s="8" t="s">
        <v>1325</v>
      </c>
      <c r="C1199" s="8" t="s">
        <v>2203</v>
      </c>
      <c r="D1199" s="8" t="s">
        <v>18</v>
      </c>
      <c r="E1199" s="8" t="s">
        <v>16</v>
      </c>
      <c r="F1199" s="8" t="s">
        <v>2228</v>
      </c>
      <c r="G1199" s="8" t="s">
        <v>3379</v>
      </c>
      <c r="H1199" s="8">
        <v>686378</v>
      </c>
      <c r="I1199" s="8">
        <v>1000</v>
      </c>
      <c r="J1199" s="8">
        <v>60112</v>
      </c>
      <c r="K1199" s="9">
        <v>45383</v>
      </c>
      <c r="L1199" s="9">
        <v>46054</v>
      </c>
      <c r="M1199" s="8" t="s">
        <v>16</v>
      </c>
      <c r="P1199" s="16" t="s">
        <v>1120</v>
      </c>
      <c r="Q1199" s="2" t="s">
        <v>43</v>
      </c>
      <c r="S1199" s="8" t="s">
        <v>1536</v>
      </c>
      <c r="T1199" s="9" t="s">
        <v>2222</v>
      </c>
      <c r="U1199" s="8">
        <v>0</v>
      </c>
      <c r="V1199" s="20">
        <v>74</v>
      </c>
      <c r="W1199" s="21" t="s">
        <v>43</v>
      </c>
    </row>
    <row r="1200" spans="1:23" ht="75">
      <c r="A1200" s="8" t="s">
        <v>3378</v>
      </c>
      <c r="B1200" s="8" t="s">
        <v>1325</v>
      </c>
      <c r="C1200" s="8" t="s">
        <v>2203</v>
      </c>
      <c r="D1200" s="8" t="s">
        <v>18</v>
      </c>
      <c r="E1200" s="8" t="s">
        <v>16</v>
      </c>
      <c r="F1200" s="8" t="s">
        <v>2228</v>
      </c>
      <c r="G1200" s="8" t="s">
        <v>3379</v>
      </c>
      <c r="H1200" s="8">
        <v>686378</v>
      </c>
      <c r="I1200" s="8">
        <v>2600</v>
      </c>
      <c r="J1200" s="8">
        <v>60038</v>
      </c>
      <c r="K1200" s="9">
        <v>45250</v>
      </c>
      <c r="L1200" s="9">
        <v>45931</v>
      </c>
      <c r="M1200" s="8" t="s">
        <v>16</v>
      </c>
      <c r="P1200" s="16" t="s">
        <v>1121</v>
      </c>
      <c r="Q1200" s="2" t="s">
        <v>43</v>
      </c>
      <c r="S1200" s="8" t="s">
        <v>1537</v>
      </c>
      <c r="T1200" s="9" t="s">
        <v>2222</v>
      </c>
      <c r="U1200" s="8">
        <v>0</v>
      </c>
      <c r="V1200" s="20">
        <v>299</v>
      </c>
      <c r="W1200" s="21" t="s">
        <v>43</v>
      </c>
    </row>
    <row r="1201" spans="1:23" ht="75">
      <c r="A1201" s="8" t="s">
        <v>3378</v>
      </c>
      <c r="B1201" s="8" t="s">
        <v>1325</v>
      </c>
      <c r="C1201" s="8" t="s">
        <v>2203</v>
      </c>
      <c r="D1201" s="8" t="s">
        <v>18</v>
      </c>
      <c r="E1201" s="8" t="s">
        <v>16</v>
      </c>
      <c r="F1201" s="8" t="s">
        <v>2228</v>
      </c>
      <c r="G1201" s="8" t="s">
        <v>3379</v>
      </c>
      <c r="H1201" s="8">
        <v>686378</v>
      </c>
      <c r="I1201" s="8">
        <v>4000</v>
      </c>
      <c r="J1201" s="8">
        <v>60119</v>
      </c>
      <c r="K1201" s="9">
        <v>45408</v>
      </c>
      <c r="L1201" s="9">
        <v>46082</v>
      </c>
      <c r="M1201" s="8" t="s">
        <v>16</v>
      </c>
      <c r="P1201" s="16" t="s">
        <v>1122</v>
      </c>
      <c r="Q1201" s="2" t="s">
        <v>43</v>
      </c>
      <c r="S1201" s="8" t="s">
        <v>1538</v>
      </c>
      <c r="T1201" s="9" t="s">
        <v>2222</v>
      </c>
      <c r="U1201" s="8">
        <v>0</v>
      </c>
      <c r="V1201" s="20">
        <v>214</v>
      </c>
      <c r="W1201" s="21" t="s">
        <v>43</v>
      </c>
    </row>
    <row r="1202" spans="1:23" ht="75">
      <c r="A1202" s="8" t="s">
        <v>3378</v>
      </c>
      <c r="B1202" s="8" t="s">
        <v>1325</v>
      </c>
      <c r="C1202" s="8" t="s">
        <v>2203</v>
      </c>
      <c r="D1202" s="8" t="s">
        <v>18</v>
      </c>
      <c r="E1202" s="8" t="s">
        <v>16</v>
      </c>
      <c r="F1202" s="8" t="s">
        <v>2228</v>
      </c>
      <c r="G1202" s="8" t="s">
        <v>3379</v>
      </c>
      <c r="H1202" s="8">
        <v>686378</v>
      </c>
      <c r="I1202" s="8">
        <v>4200</v>
      </c>
      <c r="J1202" s="8">
        <v>60043</v>
      </c>
      <c r="K1202" s="9">
        <v>45247</v>
      </c>
      <c r="L1202" s="9">
        <v>45931</v>
      </c>
      <c r="M1202" s="8" t="s">
        <v>16</v>
      </c>
      <c r="P1202" s="16" t="s">
        <v>1123</v>
      </c>
      <c r="Q1202" s="2" t="s">
        <v>43</v>
      </c>
      <c r="S1202" s="8" t="s">
        <v>1539</v>
      </c>
      <c r="T1202" s="9" t="s">
        <v>2222</v>
      </c>
      <c r="U1202" s="8">
        <v>0</v>
      </c>
      <c r="V1202" s="20">
        <v>80</v>
      </c>
      <c r="W1202" s="21" t="s">
        <v>1540</v>
      </c>
    </row>
    <row r="1203" spans="1:23" ht="75">
      <c r="A1203" s="8" t="s">
        <v>3378</v>
      </c>
      <c r="B1203" s="8" t="s">
        <v>1325</v>
      </c>
      <c r="C1203" s="8" t="s">
        <v>2203</v>
      </c>
      <c r="D1203" s="8" t="s">
        <v>18</v>
      </c>
      <c r="E1203" s="8" t="s">
        <v>16</v>
      </c>
      <c r="F1203" s="8" t="s">
        <v>2228</v>
      </c>
      <c r="G1203" s="8" t="s">
        <v>3379</v>
      </c>
      <c r="H1203" s="8">
        <v>686378</v>
      </c>
      <c r="I1203" s="8">
        <v>4200</v>
      </c>
      <c r="J1203" s="8">
        <v>60111</v>
      </c>
      <c r="K1203" s="9">
        <v>45404</v>
      </c>
      <c r="L1203" s="9">
        <v>46082</v>
      </c>
      <c r="M1203" s="8" t="s">
        <v>16</v>
      </c>
      <c r="P1203" s="16" t="s">
        <v>1124</v>
      </c>
      <c r="Q1203" s="2" t="s">
        <v>43</v>
      </c>
      <c r="S1203" s="8" t="s">
        <v>1542</v>
      </c>
      <c r="T1203" s="9">
        <v>46235</v>
      </c>
      <c r="U1203" s="8">
        <v>0</v>
      </c>
      <c r="V1203" s="20">
        <v>100</v>
      </c>
      <c r="W1203" s="21" t="s">
        <v>16</v>
      </c>
    </row>
    <row r="1204" spans="1:23" ht="75">
      <c r="A1204" s="8" t="s">
        <v>3378</v>
      </c>
      <c r="B1204" s="8" t="s">
        <v>1325</v>
      </c>
      <c r="C1204" s="8" t="s">
        <v>2203</v>
      </c>
      <c r="D1204" s="8" t="s">
        <v>18</v>
      </c>
      <c r="E1204" s="8" t="s">
        <v>16</v>
      </c>
      <c r="F1204" s="8" t="s">
        <v>2228</v>
      </c>
      <c r="G1204" s="8" t="s">
        <v>3379</v>
      </c>
      <c r="H1204" s="8">
        <v>686378</v>
      </c>
      <c r="I1204" s="8">
        <v>4200</v>
      </c>
      <c r="J1204" s="8">
        <v>60115</v>
      </c>
      <c r="K1204" s="9">
        <v>45404</v>
      </c>
      <c r="L1204" s="9">
        <v>46082</v>
      </c>
      <c r="M1204" s="8" t="s">
        <v>16</v>
      </c>
      <c r="P1204" s="16" t="s">
        <v>1125</v>
      </c>
      <c r="Q1204" s="2" t="s">
        <v>43</v>
      </c>
      <c r="S1204" s="8" t="s">
        <v>1542</v>
      </c>
      <c r="T1204" s="9">
        <v>46692</v>
      </c>
      <c r="U1204" s="8">
        <v>0</v>
      </c>
      <c r="V1204" s="20">
        <v>480</v>
      </c>
      <c r="W1204" s="21" t="s">
        <v>16</v>
      </c>
    </row>
    <row r="1205" spans="1:23" ht="75">
      <c r="A1205" s="8" t="s">
        <v>3378</v>
      </c>
      <c r="B1205" s="8" t="s">
        <v>1325</v>
      </c>
      <c r="C1205" s="8" t="s">
        <v>2203</v>
      </c>
      <c r="D1205" s="8" t="s">
        <v>18</v>
      </c>
      <c r="E1205" s="8" t="s">
        <v>16</v>
      </c>
      <c r="F1205" s="8" t="s">
        <v>2228</v>
      </c>
      <c r="G1205" s="8" t="s">
        <v>3379</v>
      </c>
      <c r="H1205" s="8">
        <v>686378</v>
      </c>
      <c r="I1205" s="8">
        <v>4800</v>
      </c>
      <c r="J1205" s="8">
        <v>60109</v>
      </c>
      <c r="K1205" s="9">
        <v>45383</v>
      </c>
      <c r="L1205" s="9">
        <v>46054</v>
      </c>
      <c r="M1205" s="8" t="s">
        <v>16</v>
      </c>
      <c r="P1205" s="16" t="s">
        <v>1126</v>
      </c>
      <c r="Q1205" s="2" t="s">
        <v>43</v>
      </c>
      <c r="S1205" s="8" t="s">
        <v>1546</v>
      </c>
      <c r="T1205" s="9">
        <v>46692</v>
      </c>
      <c r="U1205" s="8">
        <v>0</v>
      </c>
      <c r="V1205" s="20">
        <v>441</v>
      </c>
      <c r="W1205" s="21" t="s">
        <v>16</v>
      </c>
    </row>
    <row r="1206" spans="1:23" ht="75">
      <c r="A1206" s="8" t="s">
        <v>3378</v>
      </c>
      <c r="B1206" s="8" t="s">
        <v>1325</v>
      </c>
      <c r="C1206" s="8" t="s">
        <v>2203</v>
      </c>
      <c r="D1206" s="8" t="s">
        <v>18</v>
      </c>
      <c r="E1206" s="8" t="s">
        <v>16</v>
      </c>
      <c r="F1206" s="8" t="s">
        <v>2228</v>
      </c>
      <c r="G1206" s="8" t="s">
        <v>3379</v>
      </c>
      <c r="H1206" s="8">
        <v>686378</v>
      </c>
      <c r="I1206" s="8">
        <v>5000</v>
      </c>
      <c r="J1206" s="8">
        <v>60108</v>
      </c>
      <c r="K1206" s="9">
        <v>45383</v>
      </c>
      <c r="L1206" s="9">
        <v>46023</v>
      </c>
      <c r="M1206" s="8" t="s">
        <v>16</v>
      </c>
      <c r="P1206" s="16" t="s">
        <v>1127</v>
      </c>
      <c r="Q1206" s="2" t="s">
        <v>43</v>
      </c>
      <c r="S1206" s="8" t="s">
        <v>1546</v>
      </c>
      <c r="T1206" s="9">
        <v>46235</v>
      </c>
      <c r="U1206" s="8">
        <v>0</v>
      </c>
      <c r="V1206" s="20">
        <v>532</v>
      </c>
      <c r="W1206" s="21" t="s">
        <v>16</v>
      </c>
    </row>
    <row r="1207" spans="1:23" ht="75">
      <c r="A1207" s="8" t="s">
        <v>3378</v>
      </c>
      <c r="B1207" s="8" t="s">
        <v>1325</v>
      </c>
      <c r="C1207" s="8" t="s">
        <v>2203</v>
      </c>
      <c r="D1207" s="8" t="s">
        <v>18</v>
      </c>
      <c r="E1207" s="8" t="s">
        <v>16</v>
      </c>
      <c r="F1207" s="8" t="s">
        <v>2228</v>
      </c>
      <c r="G1207" s="8" t="s">
        <v>3379</v>
      </c>
      <c r="H1207" s="8">
        <v>686378</v>
      </c>
      <c r="I1207" s="8">
        <v>5200</v>
      </c>
      <c r="J1207" s="8">
        <v>60103</v>
      </c>
      <c r="K1207" s="9">
        <v>45404</v>
      </c>
      <c r="L1207" s="9">
        <v>46023</v>
      </c>
      <c r="M1207" s="8" t="s">
        <v>16</v>
      </c>
      <c r="P1207" s="16" t="s">
        <v>1128</v>
      </c>
      <c r="Q1207" s="2" t="s">
        <v>43</v>
      </c>
      <c r="S1207" s="8" t="s">
        <v>1548</v>
      </c>
      <c r="T1207" s="9">
        <v>46692</v>
      </c>
      <c r="U1207" s="8">
        <v>0</v>
      </c>
      <c r="V1207" s="20">
        <v>160</v>
      </c>
      <c r="W1207" s="21" t="s">
        <v>16</v>
      </c>
    </row>
    <row r="1208" spans="1:23" ht="75">
      <c r="A1208" s="8" t="s">
        <v>3378</v>
      </c>
      <c r="B1208" s="8" t="s">
        <v>1325</v>
      </c>
      <c r="C1208" s="8" t="s">
        <v>2203</v>
      </c>
      <c r="D1208" s="8" t="s">
        <v>18</v>
      </c>
      <c r="E1208" s="8" t="s">
        <v>16</v>
      </c>
      <c r="F1208" s="8" t="s">
        <v>2228</v>
      </c>
      <c r="G1208" s="8" t="s">
        <v>3379</v>
      </c>
      <c r="H1208" s="8">
        <v>686378</v>
      </c>
      <c r="I1208" s="8">
        <v>5800</v>
      </c>
      <c r="J1208" s="8">
        <v>60102</v>
      </c>
      <c r="K1208" s="9">
        <v>45383</v>
      </c>
      <c r="L1208" s="9">
        <v>46023</v>
      </c>
      <c r="M1208" s="8" t="s">
        <v>16</v>
      </c>
      <c r="P1208" s="16" t="s">
        <v>1129</v>
      </c>
      <c r="Q1208" s="2" t="s">
        <v>43</v>
      </c>
      <c r="S1208" s="8" t="s">
        <v>1550</v>
      </c>
      <c r="T1208" s="9">
        <v>46692</v>
      </c>
      <c r="U1208" s="8">
        <v>0</v>
      </c>
      <c r="V1208" s="20">
        <v>3068</v>
      </c>
      <c r="W1208" s="21" t="s">
        <v>16</v>
      </c>
    </row>
    <row r="1209" spans="1:23" ht="75">
      <c r="A1209" s="8" t="s">
        <v>3378</v>
      </c>
      <c r="B1209" s="8" t="s">
        <v>1325</v>
      </c>
      <c r="C1209" s="8" t="s">
        <v>2203</v>
      </c>
      <c r="D1209" s="8" t="s">
        <v>18</v>
      </c>
      <c r="E1209" s="8" t="s">
        <v>16</v>
      </c>
      <c r="F1209" s="8" t="s">
        <v>2228</v>
      </c>
      <c r="G1209" s="8" t="s">
        <v>3379</v>
      </c>
      <c r="H1209" s="8">
        <v>686378</v>
      </c>
      <c r="I1209" s="8">
        <v>7000</v>
      </c>
      <c r="J1209" s="8">
        <v>60079</v>
      </c>
      <c r="K1209" s="9">
        <v>45310</v>
      </c>
      <c r="L1209" s="9">
        <v>45992</v>
      </c>
      <c r="M1209" s="8" t="s">
        <v>16</v>
      </c>
      <c r="P1209" s="16" t="s">
        <v>1130</v>
      </c>
      <c r="Q1209" s="2" t="s">
        <v>43</v>
      </c>
      <c r="S1209" s="8" t="s">
        <v>1554</v>
      </c>
      <c r="T1209" s="9">
        <v>46508</v>
      </c>
      <c r="U1209" s="8">
        <v>0</v>
      </c>
      <c r="V1209" s="20">
        <v>45</v>
      </c>
      <c r="W1209" s="21" t="s">
        <v>16</v>
      </c>
    </row>
    <row r="1210" spans="1:23" ht="75">
      <c r="A1210" s="8" t="s">
        <v>3378</v>
      </c>
      <c r="B1210" s="8" t="s">
        <v>1325</v>
      </c>
      <c r="C1210" s="8" t="s">
        <v>2203</v>
      </c>
      <c r="D1210" s="8" t="s">
        <v>18</v>
      </c>
      <c r="E1210" s="8" t="s">
        <v>16</v>
      </c>
      <c r="F1210" s="8" t="s">
        <v>2228</v>
      </c>
      <c r="G1210" s="8" t="s">
        <v>3379</v>
      </c>
      <c r="H1210" s="8">
        <v>686378</v>
      </c>
      <c r="I1210" s="8">
        <v>7200</v>
      </c>
      <c r="J1210" s="8">
        <v>60098</v>
      </c>
      <c r="K1210" s="9">
        <v>45383</v>
      </c>
      <c r="L1210" s="9">
        <v>46023</v>
      </c>
      <c r="M1210" s="8" t="s">
        <v>16</v>
      </c>
      <c r="P1210" s="16" t="s">
        <v>1131</v>
      </c>
      <c r="Q1210" s="2" t="s">
        <v>43</v>
      </c>
      <c r="S1210" s="8" t="s">
        <v>1554</v>
      </c>
      <c r="T1210" s="9">
        <v>46478</v>
      </c>
      <c r="U1210" s="8">
        <v>0</v>
      </c>
      <c r="V1210" s="20">
        <v>148</v>
      </c>
      <c r="W1210" s="21" t="s">
        <v>16</v>
      </c>
    </row>
    <row r="1211" spans="1:23" ht="75">
      <c r="A1211" s="8" t="s">
        <v>3378</v>
      </c>
      <c r="B1211" s="8" t="s">
        <v>1325</v>
      </c>
      <c r="C1211" s="8" t="s">
        <v>2203</v>
      </c>
      <c r="D1211" s="8" t="s">
        <v>18</v>
      </c>
      <c r="E1211" s="8" t="s">
        <v>16</v>
      </c>
      <c r="F1211" s="8" t="s">
        <v>2228</v>
      </c>
      <c r="G1211" s="8" t="s">
        <v>3379</v>
      </c>
      <c r="H1211" s="8">
        <v>686378</v>
      </c>
      <c r="I1211" s="8">
        <v>8600</v>
      </c>
      <c r="J1211" s="8">
        <v>60131</v>
      </c>
      <c r="K1211" s="9">
        <v>45419</v>
      </c>
      <c r="L1211" s="9">
        <v>46113</v>
      </c>
      <c r="M1211" s="8" t="s">
        <v>16</v>
      </c>
      <c r="P1211" s="16" t="s">
        <v>1132</v>
      </c>
      <c r="Q1211" s="2" t="s">
        <v>43</v>
      </c>
      <c r="S1211" s="8" t="s">
        <v>1554</v>
      </c>
      <c r="T1211" s="9">
        <v>46997</v>
      </c>
      <c r="U1211" s="8">
        <v>0</v>
      </c>
      <c r="V1211" s="20">
        <v>50</v>
      </c>
      <c r="W1211" s="21" t="s">
        <v>16</v>
      </c>
    </row>
    <row r="1212" spans="1:23" ht="75">
      <c r="A1212" s="8" t="s">
        <v>3378</v>
      </c>
      <c r="B1212" s="8" t="s">
        <v>1325</v>
      </c>
      <c r="C1212" s="8" t="s">
        <v>2203</v>
      </c>
      <c r="D1212" s="8" t="s">
        <v>18</v>
      </c>
      <c r="E1212" s="8" t="s">
        <v>16</v>
      </c>
      <c r="F1212" s="8" t="s">
        <v>2228</v>
      </c>
      <c r="G1212" s="8" t="s">
        <v>3379</v>
      </c>
      <c r="H1212" s="8">
        <v>686378</v>
      </c>
      <c r="I1212" s="8">
        <v>12000</v>
      </c>
      <c r="J1212" s="8">
        <v>60123</v>
      </c>
      <c r="K1212" s="9">
        <v>45412</v>
      </c>
      <c r="L1212" s="9">
        <v>46113</v>
      </c>
      <c r="M1212" s="8" t="s">
        <v>16</v>
      </c>
      <c r="P1212" s="16" t="s">
        <v>1133</v>
      </c>
      <c r="Q1212" s="2" t="s">
        <v>43</v>
      </c>
      <c r="S1212" s="8" t="s">
        <v>1555</v>
      </c>
      <c r="T1212" s="9">
        <v>46478</v>
      </c>
      <c r="U1212" s="8">
        <v>0</v>
      </c>
      <c r="V1212" s="20">
        <v>14665</v>
      </c>
      <c r="W1212" s="21" t="s">
        <v>16</v>
      </c>
    </row>
    <row r="1213" spans="1:23" ht="75">
      <c r="A1213" s="8" t="s">
        <v>3378</v>
      </c>
      <c r="B1213" s="8" t="s">
        <v>1325</v>
      </c>
      <c r="C1213" s="8" t="s">
        <v>2203</v>
      </c>
      <c r="D1213" s="8" t="s">
        <v>18</v>
      </c>
      <c r="E1213" s="8" t="s">
        <v>16</v>
      </c>
      <c r="F1213" s="8" t="s">
        <v>2228</v>
      </c>
      <c r="G1213" s="8" t="s">
        <v>3379</v>
      </c>
      <c r="H1213" s="8">
        <v>686378</v>
      </c>
      <c r="I1213" s="8">
        <v>12200</v>
      </c>
      <c r="J1213" s="8">
        <v>60111</v>
      </c>
      <c r="K1213" s="9">
        <v>45383</v>
      </c>
      <c r="L1213" s="9">
        <v>46054</v>
      </c>
      <c r="M1213" s="8" t="s">
        <v>16</v>
      </c>
      <c r="P1213" s="16" t="s">
        <v>1134</v>
      </c>
      <c r="Q1213" s="2" t="s">
        <v>43</v>
      </c>
      <c r="S1213" s="8" t="s">
        <v>1556</v>
      </c>
      <c r="T1213" s="9">
        <v>46478</v>
      </c>
      <c r="U1213" s="8">
        <v>0</v>
      </c>
      <c r="V1213" s="20">
        <v>300</v>
      </c>
      <c r="W1213" s="21" t="s">
        <v>16</v>
      </c>
    </row>
    <row r="1214" spans="1:23" ht="75">
      <c r="A1214" s="8" t="s">
        <v>3378</v>
      </c>
      <c r="B1214" s="8" t="s">
        <v>1325</v>
      </c>
      <c r="C1214" s="8" t="s">
        <v>2203</v>
      </c>
      <c r="D1214" s="8" t="s">
        <v>18</v>
      </c>
      <c r="E1214" s="8" t="s">
        <v>16</v>
      </c>
      <c r="F1214" s="8" t="s">
        <v>2228</v>
      </c>
      <c r="G1214" s="8" t="s">
        <v>3379</v>
      </c>
      <c r="H1214" s="8">
        <v>686378</v>
      </c>
      <c r="I1214" s="8">
        <v>13800</v>
      </c>
      <c r="J1214" s="8">
        <v>60128</v>
      </c>
      <c r="K1214" s="9">
        <v>45414</v>
      </c>
      <c r="L1214" s="9">
        <v>46113</v>
      </c>
      <c r="M1214" s="8" t="s">
        <v>16</v>
      </c>
      <c r="P1214" s="16" t="s">
        <v>1135</v>
      </c>
      <c r="Q1214" s="2" t="s">
        <v>43</v>
      </c>
      <c r="S1214" s="8" t="s">
        <v>1557</v>
      </c>
      <c r="T1214" s="9" t="s">
        <v>2222</v>
      </c>
      <c r="U1214" s="8">
        <v>0</v>
      </c>
      <c r="V1214" s="20">
        <v>53</v>
      </c>
      <c r="W1214" s="21" t="s">
        <v>43</v>
      </c>
    </row>
    <row r="1215" spans="1:23" ht="75">
      <c r="A1215" s="8" t="s">
        <v>3378</v>
      </c>
      <c r="B1215" s="8" t="s">
        <v>1325</v>
      </c>
      <c r="C1215" s="8" t="s">
        <v>2203</v>
      </c>
      <c r="D1215" s="8" t="s">
        <v>18</v>
      </c>
      <c r="E1215" s="8" t="s">
        <v>16</v>
      </c>
      <c r="F1215" s="8" t="s">
        <v>2228</v>
      </c>
      <c r="G1215" s="8" t="s">
        <v>3379</v>
      </c>
      <c r="H1215" s="8">
        <v>686378</v>
      </c>
      <c r="I1215" s="8">
        <v>15000</v>
      </c>
      <c r="J1215" s="8">
        <v>60123</v>
      </c>
      <c r="K1215" s="9">
        <v>45408</v>
      </c>
      <c r="L1215" s="9">
        <v>46082</v>
      </c>
      <c r="M1215" s="8" t="s">
        <v>16</v>
      </c>
      <c r="P1215" s="16" t="s">
        <v>1136</v>
      </c>
      <c r="Q1215" s="2" t="s">
        <v>43</v>
      </c>
      <c r="S1215" s="8" t="s">
        <v>1558</v>
      </c>
      <c r="T1215" s="9" t="s">
        <v>2222</v>
      </c>
      <c r="U1215" s="8">
        <v>0</v>
      </c>
      <c r="V1215" s="20">
        <v>4</v>
      </c>
      <c r="W1215" s="21" t="s">
        <v>43</v>
      </c>
    </row>
    <row r="1216" spans="1:23" ht="75">
      <c r="A1216" s="8" t="s">
        <v>3378</v>
      </c>
      <c r="B1216" s="8" t="s">
        <v>1325</v>
      </c>
      <c r="C1216" s="8" t="s">
        <v>2203</v>
      </c>
      <c r="D1216" s="8" t="s">
        <v>18</v>
      </c>
      <c r="E1216" s="8" t="s">
        <v>16</v>
      </c>
      <c r="F1216" s="8" t="s">
        <v>2228</v>
      </c>
      <c r="G1216" s="8" t="s">
        <v>3379</v>
      </c>
      <c r="H1216" s="8">
        <v>686378</v>
      </c>
      <c r="I1216" s="8">
        <v>15600</v>
      </c>
      <c r="J1216" s="8">
        <v>60076</v>
      </c>
      <c r="K1216" s="9">
        <v>45310</v>
      </c>
      <c r="L1216" s="9">
        <v>45992</v>
      </c>
      <c r="M1216" s="8" t="s">
        <v>16</v>
      </c>
      <c r="P1216" s="16" t="s">
        <v>1137</v>
      </c>
      <c r="Q1216" s="2" t="s">
        <v>43</v>
      </c>
      <c r="S1216" s="8" t="s">
        <v>1559</v>
      </c>
      <c r="T1216" s="9">
        <v>46388</v>
      </c>
      <c r="U1216" s="8">
        <v>0</v>
      </c>
      <c r="V1216" s="20">
        <v>4575</v>
      </c>
      <c r="W1216" s="21" t="s">
        <v>16</v>
      </c>
    </row>
    <row r="1217" spans="1:23" ht="75">
      <c r="A1217" s="8" t="s">
        <v>3378</v>
      </c>
      <c r="B1217" s="8" t="s">
        <v>1325</v>
      </c>
      <c r="C1217" s="8" t="s">
        <v>2203</v>
      </c>
      <c r="D1217" s="8" t="s">
        <v>18</v>
      </c>
      <c r="E1217" s="8" t="s">
        <v>16</v>
      </c>
      <c r="F1217" s="8" t="s">
        <v>2228</v>
      </c>
      <c r="G1217" s="8" t="s">
        <v>3379</v>
      </c>
      <c r="H1217" s="8">
        <v>686378</v>
      </c>
      <c r="I1217" s="8">
        <v>16600</v>
      </c>
      <c r="J1217" s="8">
        <v>60125</v>
      </c>
      <c r="K1217" s="9">
        <v>45412</v>
      </c>
      <c r="L1217" s="9">
        <v>46113</v>
      </c>
      <c r="M1217" s="8" t="s">
        <v>16</v>
      </c>
      <c r="P1217" s="16" t="s">
        <v>1138</v>
      </c>
      <c r="Q1217" s="2" t="s">
        <v>43</v>
      </c>
      <c r="S1217" s="8" t="s">
        <v>1559</v>
      </c>
      <c r="T1217" s="9">
        <v>46600</v>
      </c>
      <c r="U1217" s="8">
        <v>0</v>
      </c>
      <c r="V1217" s="20">
        <v>30000</v>
      </c>
      <c r="W1217" s="21" t="s">
        <v>16</v>
      </c>
    </row>
    <row r="1218" spans="1:23" ht="75">
      <c r="A1218" s="8" t="s">
        <v>3378</v>
      </c>
      <c r="B1218" s="8" t="s">
        <v>1325</v>
      </c>
      <c r="C1218" s="8" t="s">
        <v>2203</v>
      </c>
      <c r="D1218" s="8" t="s">
        <v>18</v>
      </c>
      <c r="E1218" s="8" t="s">
        <v>16</v>
      </c>
      <c r="F1218" s="8" t="s">
        <v>2228</v>
      </c>
      <c r="G1218" s="8" t="s">
        <v>3379</v>
      </c>
      <c r="H1218" s="8">
        <v>686378</v>
      </c>
      <c r="I1218" s="8">
        <v>18800</v>
      </c>
      <c r="J1218" s="8">
        <v>60126</v>
      </c>
      <c r="K1218" s="9">
        <v>45414</v>
      </c>
      <c r="L1218" s="9">
        <v>46113</v>
      </c>
      <c r="M1218" s="8" t="s">
        <v>16</v>
      </c>
      <c r="P1218" s="16" t="s">
        <v>1139</v>
      </c>
      <c r="Q1218" s="2" t="s">
        <v>43</v>
      </c>
      <c r="S1218" s="8" t="s">
        <v>1559</v>
      </c>
      <c r="T1218" s="9">
        <v>46539</v>
      </c>
      <c r="U1218" s="8">
        <v>0</v>
      </c>
      <c r="V1218" s="20">
        <v>9350</v>
      </c>
      <c r="W1218" s="21" t="s">
        <v>16</v>
      </c>
    </row>
    <row r="1219" spans="1:23" ht="75">
      <c r="A1219" s="8" t="s">
        <v>3378</v>
      </c>
      <c r="B1219" s="8" t="s">
        <v>1325</v>
      </c>
      <c r="C1219" s="8" t="s">
        <v>2203</v>
      </c>
      <c r="D1219" s="8" t="s">
        <v>18</v>
      </c>
      <c r="E1219" s="8" t="s">
        <v>16</v>
      </c>
      <c r="F1219" s="8" t="s">
        <v>2228</v>
      </c>
      <c r="G1219" s="8" t="s">
        <v>3379</v>
      </c>
      <c r="H1219" s="8">
        <v>686378</v>
      </c>
      <c r="I1219" s="8">
        <v>19400</v>
      </c>
      <c r="J1219" s="8">
        <v>60044</v>
      </c>
      <c r="K1219" s="9">
        <v>45250</v>
      </c>
      <c r="L1219" s="9">
        <v>45931</v>
      </c>
      <c r="M1219" s="8" t="s">
        <v>16</v>
      </c>
      <c r="P1219" s="16" t="s">
        <v>1140</v>
      </c>
      <c r="Q1219" s="2" t="s">
        <v>43</v>
      </c>
      <c r="S1219" s="8" t="s">
        <v>1566</v>
      </c>
      <c r="T1219" s="9" t="s">
        <v>2222</v>
      </c>
      <c r="U1219" s="8">
        <v>0</v>
      </c>
      <c r="V1219" s="20">
        <v>9</v>
      </c>
      <c r="W1219" s="21" t="s">
        <v>41</v>
      </c>
    </row>
    <row r="1220" spans="1:23" ht="75">
      <c r="A1220" s="8" t="s">
        <v>3378</v>
      </c>
      <c r="B1220" s="8" t="s">
        <v>1325</v>
      </c>
      <c r="C1220" s="8" t="s">
        <v>2203</v>
      </c>
      <c r="D1220" s="8" t="s">
        <v>18</v>
      </c>
      <c r="E1220" s="8" t="s">
        <v>16</v>
      </c>
      <c r="F1220" s="8" t="s">
        <v>2228</v>
      </c>
      <c r="G1220" s="8" t="s">
        <v>3379</v>
      </c>
      <c r="H1220" s="8">
        <v>686378</v>
      </c>
      <c r="I1220" s="8">
        <v>19600</v>
      </c>
      <c r="J1220" s="8">
        <v>60113</v>
      </c>
      <c r="K1220" s="9">
        <v>45400</v>
      </c>
      <c r="L1220" s="9">
        <v>46082</v>
      </c>
      <c r="M1220" s="8" t="s">
        <v>16</v>
      </c>
      <c r="P1220" s="16" t="s">
        <v>1141</v>
      </c>
      <c r="Q1220" s="2" t="s">
        <v>43</v>
      </c>
      <c r="S1220" s="8" t="s">
        <v>1567</v>
      </c>
      <c r="T1220" s="9" t="s">
        <v>2222</v>
      </c>
      <c r="U1220" s="8">
        <v>0</v>
      </c>
      <c r="V1220" s="20">
        <v>15</v>
      </c>
      <c r="W1220" s="21" t="s">
        <v>43</v>
      </c>
    </row>
    <row r="1221" spans="1:23" ht="75">
      <c r="A1221" s="8" t="s">
        <v>3378</v>
      </c>
      <c r="B1221" s="8" t="s">
        <v>1325</v>
      </c>
      <c r="C1221" s="8" t="s">
        <v>2203</v>
      </c>
      <c r="D1221" s="8" t="s">
        <v>18</v>
      </c>
      <c r="E1221" s="8" t="s">
        <v>16</v>
      </c>
      <c r="F1221" s="8" t="s">
        <v>2228</v>
      </c>
      <c r="G1221" s="8" t="s">
        <v>3379</v>
      </c>
      <c r="H1221" s="8">
        <v>686378</v>
      </c>
      <c r="I1221" s="8">
        <v>20000</v>
      </c>
      <c r="J1221" s="8">
        <v>60072</v>
      </c>
      <c r="K1221" s="9">
        <v>45269</v>
      </c>
      <c r="L1221" s="9">
        <v>45992</v>
      </c>
      <c r="M1221" s="8" t="s">
        <v>16</v>
      </c>
      <c r="P1221" s="16" t="s">
        <v>1142</v>
      </c>
      <c r="Q1221" s="2" t="s">
        <v>43</v>
      </c>
      <c r="S1221" s="8" t="s">
        <v>1568</v>
      </c>
      <c r="T1221" s="9">
        <v>45748</v>
      </c>
      <c r="U1221" s="8">
        <v>0</v>
      </c>
      <c r="V1221" s="20">
        <v>330</v>
      </c>
      <c r="W1221" s="21" t="s">
        <v>16</v>
      </c>
    </row>
    <row r="1222" spans="1:23" ht="75">
      <c r="A1222" s="8" t="s">
        <v>3378</v>
      </c>
      <c r="B1222" s="8" t="s">
        <v>1325</v>
      </c>
      <c r="C1222" s="8" t="s">
        <v>2203</v>
      </c>
      <c r="D1222" s="8" t="s">
        <v>18</v>
      </c>
      <c r="E1222" s="8" t="s">
        <v>16</v>
      </c>
      <c r="F1222" s="8" t="s">
        <v>2228</v>
      </c>
      <c r="G1222" s="8" t="s">
        <v>3379</v>
      </c>
      <c r="H1222" s="8">
        <v>686378</v>
      </c>
      <c r="I1222" s="8">
        <v>20000</v>
      </c>
      <c r="J1222" s="8">
        <v>60073</v>
      </c>
      <c r="K1222" s="9">
        <v>45269</v>
      </c>
      <c r="L1222" s="9">
        <v>45992</v>
      </c>
      <c r="M1222" s="8" t="s">
        <v>16</v>
      </c>
      <c r="P1222" s="16" t="s">
        <v>1143</v>
      </c>
      <c r="Q1222" s="2" t="s">
        <v>43</v>
      </c>
      <c r="S1222" s="8" t="s">
        <v>1570</v>
      </c>
      <c r="T1222" s="9">
        <v>45717</v>
      </c>
      <c r="U1222" s="8">
        <v>0</v>
      </c>
      <c r="V1222" s="20">
        <v>500</v>
      </c>
      <c r="W1222" s="21" t="s">
        <v>16</v>
      </c>
    </row>
    <row r="1223" spans="1:23" ht="75">
      <c r="A1223" s="8" t="s">
        <v>3378</v>
      </c>
      <c r="B1223" s="8" t="s">
        <v>1325</v>
      </c>
      <c r="C1223" s="8" t="s">
        <v>2203</v>
      </c>
      <c r="D1223" s="8" t="s">
        <v>18</v>
      </c>
      <c r="E1223" s="8" t="s">
        <v>16</v>
      </c>
      <c r="F1223" s="8" t="s">
        <v>2228</v>
      </c>
      <c r="G1223" s="8" t="s">
        <v>3379</v>
      </c>
      <c r="H1223" s="8">
        <v>686378</v>
      </c>
      <c r="I1223" s="8">
        <v>20000</v>
      </c>
      <c r="J1223" s="8">
        <v>60067</v>
      </c>
      <c r="K1223" s="9">
        <v>45269</v>
      </c>
      <c r="L1223" s="9">
        <v>45992</v>
      </c>
      <c r="M1223" s="8" t="s">
        <v>16</v>
      </c>
      <c r="P1223" s="16" t="s">
        <v>1144</v>
      </c>
      <c r="Q1223" s="2" t="s">
        <v>43</v>
      </c>
      <c r="S1223" s="8" t="s">
        <v>1572</v>
      </c>
      <c r="T1223" s="9">
        <v>46753</v>
      </c>
      <c r="U1223" s="8">
        <v>0</v>
      </c>
      <c r="V1223" s="20">
        <v>18</v>
      </c>
      <c r="W1223" s="21" t="s">
        <v>16</v>
      </c>
    </row>
    <row r="1224" spans="1:23" ht="75">
      <c r="A1224" s="8" t="s">
        <v>3378</v>
      </c>
      <c r="B1224" s="8" t="s">
        <v>1325</v>
      </c>
      <c r="C1224" s="8" t="s">
        <v>2203</v>
      </c>
      <c r="D1224" s="8" t="s">
        <v>18</v>
      </c>
      <c r="E1224" s="8" t="s">
        <v>16</v>
      </c>
      <c r="F1224" s="8" t="s">
        <v>2228</v>
      </c>
      <c r="G1224" s="8" t="s">
        <v>3379</v>
      </c>
      <c r="H1224" s="8">
        <v>686378</v>
      </c>
      <c r="I1224" s="8">
        <v>20000</v>
      </c>
      <c r="J1224" s="8">
        <v>60068</v>
      </c>
      <c r="K1224" s="9">
        <v>45269</v>
      </c>
      <c r="L1224" s="9">
        <v>45992</v>
      </c>
      <c r="M1224" s="8" t="s">
        <v>16</v>
      </c>
      <c r="P1224" s="16" t="s">
        <v>1145</v>
      </c>
      <c r="Q1224" s="2" t="s">
        <v>43</v>
      </c>
      <c r="S1224" s="8" t="s">
        <v>1572</v>
      </c>
      <c r="T1224" s="9">
        <v>46966</v>
      </c>
      <c r="U1224" s="8">
        <v>0</v>
      </c>
      <c r="V1224" s="20">
        <v>3920</v>
      </c>
      <c r="W1224" s="21" t="s">
        <v>16</v>
      </c>
    </row>
    <row r="1225" spans="1:23" ht="75">
      <c r="A1225" s="8" t="s">
        <v>3378</v>
      </c>
      <c r="B1225" s="8" t="s">
        <v>1325</v>
      </c>
      <c r="C1225" s="8" t="s">
        <v>2203</v>
      </c>
      <c r="D1225" s="8" t="s">
        <v>18</v>
      </c>
      <c r="E1225" s="8" t="s">
        <v>16</v>
      </c>
      <c r="F1225" s="8" t="s">
        <v>2228</v>
      </c>
      <c r="G1225" s="8" t="s">
        <v>3379</v>
      </c>
      <c r="H1225" s="8">
        <v>686378</v>
      </c>
      <c r="I1225" s="8">
        <v>20000</v>
      </c>
      <c r="J1225" s="8">
        <v>60069</v>
      </c>
      <c r="K1225" s="9">
        <v>45269</v>
      </c>
      <c r="L1225" s="9">
        <v>45992</v>
      </c>
      <c r="M1225" s="8" t="s">
        <v>16</v>
      </c>
      <c r="P1225" s="16" t="s">
        <v>1146</v>
      </c>
      <c r="Q1225" s="2" t="s">
        <v>43</v>
      </c>
      <c r="S1225" s="8" t="s">
        <v>1573</v>
      </c>
      <c r="T1225" s="9" t="s">
        <v>2222</v>
      </c>
      <c r="U1225" s="8">
        <v>0</v>
      </c>
      <c r="V1225" s="20">
        <v>74</v>
      </c>
      <c r="W1225" s="21" t="s">
        <v>38</v>
      </c>
    </row>
    <row r="1226" spans="1:23" ht="75">
      <c r="A1226" s="8" t="s">
        <v>3378</v>
      </c>
      <c r="B1226" s="8" t="s">
        <v>1325</v>
      </c>
      <c r="C1226" s="8" t="s">
        <v>2203</v>
      </c>
      <c r="D1226" s="8" t="s">
        <v>18</v>
      </c>
      <c r="E1226" s="8" t="s">
        <v>16</v>
      </c>
      <c r="F1226" s="8" t="s">
        <v>2228</v>
      </c>
      <c r="G1226" s="8" t="s">
        <v>3379</v>
      </c>
      <c r="H1226" s="8">
        <v>686378</v>
      </c>
      <c r="I1226" s="8">
        <v>20200</v>
      </c>
      <c r="J1226" s="8">
        <v>60122</v>
      </c>
      <c r="K1226" s="9">
        <v>45408</v>
      </c>
      <c r="L1226" s="9">
        <v>46082</v>
      </c>
      <c r="M1226" s="8" t="s">
        <v>16</v>
      </c>
      <c r="P1226" s="16" t="s">
        <v>1147</v>
      </c>
      <c r="Q1226" s="2" t="s">
        <v>43</v>
      </c>
      <c r="S1226" s="8" t="s">
        <v>1574</v>
      </c>
      <c r="T1226" s="9" t="s">
        <v>2222</v>
      </c>
      <c r="U1226" s="8">
        <v>0</v>
      </c>
      <c r="V1226" s="20">
        <v>48</v>
      </c>
      <c r="W1226" s="21" t="s">
        <v>38</v>
      </c>
    </row>
    <row r="1227" spans="1:23" ht="75">
      <c r="A1227" s="8" t="s">
        <v>3378</v>
      </c>
      <c r="B1227" s="8" t="s">
        <v>1325</v>
      </c>
      <c r="C1227" s="8" t="s">
        <v>2203</v>
      </c>
      <c r="D1227" s="8" t="s">
        <v>18</v>
      </c>
      <c r="E1227" s="8" t="s">
        <v>16</v>
      </c>
      <c r="F1227" s="8" t="s">
        <v>2228</v>
      </c>
      <c r="G1227" s="8" t="s">
        <v>3379</v>
      </c>
      <c r="H1227" s="8">
        <v>686378</v>
      </c>
      <c r="I1227" s="8">
        <v>21600</v>
      </c>
      <c r="J1227" s="8">
        <v>60124</v>
      </c>
      <c r="K1227" s="9">
        <v>45408</v>
      </c>
      <c r="L1227" s="9">
        <v>46082</v>
      </c>
      <c r="M1227" s="8" t="s">
        <v>16</v>
      </c>
      <c r="P1227" s="16" t="s">
        <v>1148</v>
      </c>
      <c r="Q1227" s="2" t="s">
        <v>43</v>
      </c>
      <c r="S1227" s="8" t="s">
        <v>1575</v>
      </c>
      <c r="T1227" s="9" t="s">
        <v>2222</v>
      </c>
      <c r="U1227" s="8">
        <v>0</v>
      </c>
      <c r="V1227" s="20">
        <v>80</v>
      </c>
      <c r="W1227" s="21" t="s">
        <v>38</v>
      </c>
    </row>
    <row r="1228" spans="1:23" ht="75">
      <c r="A1228" s="8" t="s">
        <v>3378</v>
      </c>
      <c r="B1228" s="8" t="s">
        <v>1325</v>
      </c>
      <c r="C1228" s="8" t="s">
        <v>2203</v>
      </c>
      <c r="D1228" s="8" t="s">
        <v>18</v>
      </c>
      <c r="E1228" s="8" t="s">
        <v>16</v>
      </c>
      <c r="F1228" s="8" t="s">
        <v>2228</v>
      </c>
      <c r="G1228" s="8" t="s">
        <v>3379</v>
      </c>
      <c r="H1228" s="8">
        <v>686378</v>
      </c>
      <c r="I1228" s="8">
        <v>22400</v>
      </c>
      <c r="J1228" s="8">
        <v>60124</v>
      </c>
      <c r="K1228" s="9">
        <v>45412</v>
      </c>
      <c r="L1228" s="9">
        <v>46113</v>
      </c>
      <c r="M1228" s="8" t="s">
        <v>16</v>
      </c>
      <c r="P1228" s="16" t="s">
        <v>1149</v>
      </c>
      <c r="Q1228" s="2" t="s">
        <v>16</v>
      </c>
      <c r="S1228" s="8" t="s">
        <v>1576</v>
      </c>
      <c r="T1228" s="9">
        <v>47058</v>
      </c>
      <c r="U1228" s="8">
        <v>0</v>
      </c>
      <c r="V1228" s="20">
        <v>1256</v>
      </c>
      <c r="W1228" s="21" t="s">
        <v>16</v>
      </c>
    </row>
    <row r="1229" spans="1:23" ht="75">
      <c r="A1229" s="8" t="s">
        <v>3378</v>
      </c>
      <c r="B1229" s="8" t="s">
        <v>1325</v>
      </c>
      <c r="C1229" s="8" t="s">
        <v>2203</v>
      </c>
      <c r="D1229" s="8" t="s">
        <v>18</v>
      </c>
      <c r="E1229" s="8" t="s">
        <v>16</v>
      </c>
      <c r="F1229" s="8" t="s">
        <v>2228</v>
      </c>
      <c r="G1229" s="8" t="s">
        <v>3379</v>
      </c>
      <c r="H1229" s="8">
        <v>686378</v>
      </c>
      <c r="I1229" s="8">
        <v>22800</v>
      </c>
      <c r="J1229" s="8">
        <v>60118</v>
      </c>
      <c r="K1229" s="9">
        <v>45404</v>
      </c>
      <c r="L1229" s="9">
        <v>46082</v>
      </c>
      <c r="M1229" s="8" t="s">
        <v>16</v>
      </c>
      <c r="P1229" s="16" t="s">
        <v>1151</v>
      </c>
      <c r="Q1229" s="2" t="s">
        <v>41</v>
      </c>
      <c r="S1229" s="8" t="s">
        <v>1576</v>
      </c>
      <c r="T1229" s="9">
        <v>47150</v>
      </c>
      <c r="U1229" s="8">
        <v>0</v>
      </c>
      <c r="V1229" s="20">
        <v>686</v>
      </c>
      <c r="W1229" s="21" t="s">
        <v>16</v>
      </c>
    </row>
    <row r="1230" spans="1:23" ht="75">
      <c r="A1230" s="8" t="s">
        <v>3378</v>
      </c>
      <c r="B1230" s="8" t="s">
        <v>1325</v>
      </c>
      <c r="C1230" s="8" t="s">
        <v>2203</v>
      </c>
      <c r="D1230" s="8" t="s">
        <v>18</v>
      </c>
      <c r="E1230" s="8" t="s">
        <v>16</v>
      </c>
      <c r="F1230" s="8" t="s">
        <v>2228</v>
      </c>
      <c r="G1230" s="8" t="s">
        <v>3379</v>
      </c>
      <c r="H1230" s="8">
        <v>686378</v>
      </c>
      <c r="I1230" s="8">
        <v>23000</v>
      </c>
      <c r="J1230" s="8">
        <v>60121</v>
      </c>
      <c r="K1230" s="9">
        <v>45408</v>
      </c>
      <c r="L1230" s="9">
        <v>46082</v>
      </c>
      <c r="M1230" s="8" t="s">
        <v>16</v>
      </c>
      <c r="P1230" s="16" t="s">
        <v>1152</v>
      </c>
      <c r="Q1230" s="2" t="s">
        <v>41</v>
      </c>
      <c r="S1230" s="8" t="s">
        <v>1577</v>
      </c>
      <c r="T1230" s="9">
        <v>46844</v>
      </c>
      <c r="U1230" s="8">
        <v>0</v>
      </c>
      <c r="V1230" s="20">
        <v>13</v>
      </c>
      <c r="W1230" s="21" t="s">
        <v>16</v>
      </c>
    </row>
    <row r="1231" spans="1:23" ht="75">
      <c r="A1231" s="8" t="s">
        <v>3378</v>
      </c>
      <c r="B1231" s="8" t="s">
        <v>1325</v>
      </c>
      <c r="C1231" s="8" t="s">
        <v>2203</v>
      </c>
      <c r="D1231" s="8" t="s">
        <v>18</v>
      </c>
      <c r="E1231" s="8" t="s">
        <v>16</v>
      </c>
      <c r="F1231" s="8" t="s">
        <v>2228</v>
      </c>
      <c r="G1231" s="8" t="s">
        <v>3379</v>
      </c>
      <c r="H1231" s="8">
        <v>686378</v>
      </c>
      <c r="I1231" s="8">
        <v>24600</v>
      </c>
      <c r="J1231" s="8">
        <v>60039</v>
      </c>
      <c r="K1231" s="9">
        <v>45247</v>
      </c>
      <c r="L1231" s="9">
        <v>45931</v>
      </c>
      <c r="M1231" s="8" t="s">
        <v>16</v>
      </c>
      <c r="P1231" s="17" t="s">
        <v>1153</v>
      </c>
      <c r="Q1231" s="2" t="s">
        <v>16</v>
      </c>
      <c r="S1231" s="8" t="s">
        <v>1578</v>
      </c>
      <c r="T1231" s="9">
        <v>47088</v>
      </c>
      <c r="U1231" s="8">
        <v>0</v>
      </c>
      <c r="V1231" s="20">
        <v>4528</v>
      </c>
      <c r="W1231" s="21" t="s">
        <v>16</v>
      </c>
    </row>
    <row r="1232" spans="1:23" ht="75">
      <c r="A1232" s="8" t="s">
        <v>3378</v>
      </c>
      <c r="B1232" s="8" t="s">
        <v>1325</v>
      </c>
      <c r="C1232" s="8" t="s">
        <v>2203</v>
      </c>
      <c r="D1232" s="8" t="s">
        <v>18</v>
      </c>
      <c r="E1232" s="8" t="s">
        <v>16</v>
      </c>
      <c r="F1232" s="8" t="s">
        <v>2228</v>
      </c>
      <c r="G1232" s="8" t="s">
        <v>3379</v>
      </c>
      <c r="H1232" s="8">
        <v>686378</v>
      </c>
      <c r="I1232" s="8">
        <v>27200</v>
      </c>
      <c r="J1232" s="8">
        <v>60077</v>
      </c>
      <c r="K1232" s="9">
        <v>45310</v>
      </c>
      <c r="L1232" s="9">
        <v>45992</v>
      </c>
      <c r="M1232" s="8" t="s">
        <v>16</v>
      </c>
      <c r="P1232" s="16" t="s">
        <v>1155</v>
      </c>
      <c r="Q1232" s="2" t="s">
        <v>16</v>
      </c>
      <c r="S1232" s="8" t="s">
        <v>1579</v>
      </c>
      <c r="T1232" s="9">
        <v>47178</v>
      </c>
      <c r="U1232" s="8">
        <v>0</v>
      </c>
      <c r="V1232" s="20">
        <v>69036</v>
      </c>
      <c r="W1232" s="21" t="s">
        <v>16</v>
      </c>
    </row>
    <row r="1233" spans="1:23" ht="75">
      <c r="A1233" s="8" t="s">
        <v>3378</v>
      </c>
      <c r="B1233" s="8" t="s">
        <v>1325</v>
      </c>
      <c r="C1233" s="8" t="s">
        <v>2203</v>
      </c>
      <c r="D1233" s="8" t="s">
        <v>18</v>
      </c>
      <c r="E1233" s="8" t="s">
        <v>16</v>
      </c>
      <c r="F1233" s="8" t="s">
        <v>2228</v>
      </c>
      <c r="G1233" s="8" t="s">
        <v>3379</v>
      </c>
      <c r="H1233" s="8">
        <v>686378</v>
      </c>
      <c r="I1233" s="8">
        <v>27400</v>
      </c>
      <c r="J1233" s="8">
        <v>60120</v>
      </c>
      <c r="K1233" s="9">
        <v>45408</v>
      </c>
      <c r="L1233" s="9">
        <v>46082</v>
      </c>
      <c r="M1233" s="8" t="s">
        <v>16</v>
      </c>
      <c r="P1233" s="16" t="s">
        <v>1156</v>
      </c>
      <c r="Q1233" s="2" t="s">
        <v>16</v>
      </c>
      <c r="S1233" s="8" t="s">
        <v>1580</v>
      </c>
      <c r="T1233" s="9">
        <v>47150</v>
      </c>
      <c r="U1233" s="8">
        <v>0</v>
      </c>
      <c r="V1233" s="20">
        <v>262</v>
      </c>
      <c r="W1233" s="21" t="s">
        <v>16</v>
      </c>
    </row>
    <row r="1234" spans="1:23" ht="75">
      <c r="A1234" s="8" t="s">
        <v>3378</v>
      </c>
      <c r="B1234" s="8" t="s">
        <v>1325</v>
      </c>
      <c r="C1234" s="8" t="s">
        <v>2203</v>
      </c>
      <c r="D1234" s="8" t="s">
        <v>18</v>
      </c>
      <c r="E1234" s="8" t="s">
        <v>16</v>
      </c>
      <c r="F1234" s="8" t="s">
        <v>2228</v>
      </c>
      <c r="G1234" s="8" t="s">
        <v>3379</v>
      </c>
      <c r="H1234" s="8">
        <v>686378</v>
      </c>
      <c r="I1234" s="8">
        <v>28400</v>
      </c>
      <c r="J1234" s="8">
        <v>60129</v>
      </c>
      <c r="K1234" s="9">
        <v>45419</v>
      </c>
      <c r="L1234" s="9">
        <v>46113</v>
      </c>
      <c r="M1234" s="8" t="s">
        <v>16</v>
      </c>
      <c r="P1234" s="16" t="s">
        <v>1158</v>
      </c>
      <c r="Q1234" s="2" t="s">
        <v>43</v>
      </c>
      <c r="S1234" s="8" t="s">
        <v>1580</v>
      </c>
      <c r="T1234" s="9">
        <v>47209</v>
      </c>
      <c r="U1234" s="8">
        <v>0</v>
      </c>
      <c r="V1234" s="20">
        <v>9200</v>
      </c>
      <c r="W1234" s="21" t="s">
        <v>16</v>
      </c>
    </row>
    <row r="1235" spans="1:23" ht="75">
      <c r="A1235" s="8" t="s">
        <v>3378</v>
      </c>
      <c r="B1235" s="8" t="s">
        <v>1325</v>
      </c>
      <c r="C1235" s="8" t="s">
        <v>2203</v>
      </c>
      <c r="D1235" s="8" t="s">
        <v>18</v>
      </c>
      <c r="E1235" s="8" t="s">
        <v>16</v>
      </c>
      <c r="F1235" s="8" t="s">
        <v>2228</v>
      </c>
      <c r="G1235" s="8" t="s">
        <v>3379</v>
      </c>
      <c r="H1235" s="8">
        <v>686378</v>
      </c>
      <c r="I1235" s="8">
        <v>34200</v>
      </c>
      <c r="J1235" s="8">
        <v>60114</v>
      </c>
      <c r="K1235" s="9">
        <v>45400</v>
      </c>
      <c r="L1235" s="9">
        <v>46082</v>
      </c>
      <c r="M1235" s="8" t="s">
        <v>16</v>
      </c>
      <c r="P1235" s="16" t="s">
        <v>1158</v>
      </c>
      <c r="Q1235" s="2" t="s">
        <v>43</v>
      </c>
      <c r="S1235" s="8" t="s">
        <v>1581</v>
      </c>
      <c r="T1235" s="9">
        <v>46143</v>
      </c>
      <c r="U1235" s="8">
        <v>0</v>
      </c>
      <c r="V1235" s="20">
        <v>203</v>
      </c>
      <c r="W1235" s="21" t="s">
        <v>16</v>
      </c>
    </row>
    <row r="1236" spans="1:23" ht="75">
      <c r="A1236" s="8" t="s">
        <v>3378</v>
      </c>
      <c r="B1236" s="8" t="s">
        <v>1325</v>
      </c>
      <c r="C1236" s="8" t="s">
        <v>2203</v>
      </c>
      <c r="D1236" s="8" t="s">
        <v>18</v>
      </c>
      <c r="E1236" s="8" t="s">
        <v>16</v>
      </c>
      <c r="F1236" s="8" t="s">
        <v>2228</v>
      </c>
      <c r="G1236" s="8" t="s">
        <v>3379</v>
      </c>
      <c r="H1236" s="8">
        <v>686378</v>
      </c>
      <c r="I1236" s="8">
        <v>35200</v>
      </c>
      <c r="J1236" s="8">
        <v>60127</v>
      </c>
      <c r="K1236" s="9">
        <v>45414</v>
      </c>
      <c r="L1236" s="9">
        <v>46113</v>
      </c>
      <c r="M1236" s="8" t="s">
        <v>16</v>
      </c>
      <c r="P1236" s="16" t="s">
        <v>1159</v>
      </c>
      <c r="Q1236" s="2" t="s">
        <v>41</v>
      </c>
      <c r="S1236" s="8" t="s">
        <v>1583</v>
      </c>
      <c r="T1236" s="9">
        <v>46235</v>
      </c>
      <c r="U1236" s="8">
        <v>0</v>
      </c>
      <c r="V1236" s="20">
        <v>1767</v>
      </c>
      <c r="W1236" s="21" t="s">
        <v>16</v>
      </c>
    </row>
    <row r="1237" spans="1:23" ht="75">
      <c r="A1237" s="8" t="s">
        <v>3378</v>
      </c>
      <c r="B1237" s="8" t="s">
        <v>1325</v>
      </c>
      <c r="C1237" s="8" t="s">
        <v>2203</v>
      </c>
      <c r="D1237" s="8" t="s">
        <v>18</v>
      </c>
      <c r="E1237" s="8" t="s">
        <v>16</v>
      </c>
      <c r="F1237" s="8" t="s">
        <v>2228</v>
      </c>
      <c r="G1237" s="8" t="s">
        <v>3379</v>
      </c>
      <c r="H1237" s="8">
        <v>686378</v>
      </c>
      <c r="I1237" s="8">
        <v>37600</v>
      </c>
      <c r="J1237" s="8">
        <v>60130</v>
      </c>
      <c r="K1237" s="9">
        <v>45419</v>
      </c>
      <c r="L1237" s="9">
        <v>46113</v>
      </c>
      <c r="M1237" s="8" t="s">
        <v>16</v>
      </c>
      <c r="P1237" s="16" t="s">
        <v>1160</v>
      </c>
      <c r="Q1237" s="2" t="s">
        <v>16</v>
      </c>
      <c r="S1237" s="8" t="s">
        <v>1585</v>
      </c>
      <c r="T1237" s="9" t="s">
        <v>2222</v>
      </c>
      <c r="U1237" s="8">
        <v>0</v>
      </c>
      <c r="V1237" s="20">
        <v>3</v>
      </c>
      <c r="W1237" s="21" t="s">
        <v>38</v>
      </c>
    </row>
    <row r="1238" spans="1:23" ht="75">
      <c r="A1238" s="8" t="s">
        <v>3378</v>
      </c>
      <c r="B1238" s="8" t="s">
        <v>1325</v>
      </c>
      <c r="C1238" s="8" t="s">
        <v>2203</v>
      </c>
      <c r="D1238" s="8" t="s">
        <v>18</v>
      </c>
      <c r="E1238" s="8" t="s">
        <v>16</v>
      </c>
      <c r="F1238" s="8" t="s">
        <v>2228</v>
      </c>
      <c r="G1238" s="8" t="s">
        <v>3379</v>
      </c>
      <c r="H1238" s="8">
        <v>686378</v>
      </c>
      <c r="I1238" s="8">
        <v>52800</v>
      </c>
      <c r="J1238" s="8">
        <v>60116</v>
      </c>
      <c r="K1238" s="9">
        <v>45400</v>
      </c>
      <c r="L1238" s="9">
        <v>46082</v>
      </c>
      <c r="M1238" s="8" t="s">
        <v>16</v>
      </c>
      <c r="P1238" s="16" t="s">
        <v>1161</v>
      </c>
      <c r="Q1238" s="2" t="s">
        <v>16</v>
      </c>
      <c r="S1238" s="8" t="s">
        <v>1586</v>
      </c>
      <c r="T1238" s="9">
        <v>46419</v>
      </c>
      <c r="U1238" s="8">
        <v>0</v>
      </c>
      <c r="V1238" s="20">
        <v>151</v>
      </c>
      <c r="W1238" s="21" t="s">
        <v>151</v>
      </c>
    </row>
    <row r="1239" spans="1:23" ht="60">
      <c r="A1239" s="8" t="s">
        <v>3381</v>
      </c>
      <c r="B1239" s="8" t="s">
        <v>1326</v>
      </c>
      <c r="C1239" s="8" t="s">
        <v>2197</v>
      </c>
      <c r="D1239" s="8" t="s">
        <v>100</v>
      </c>
      <c r="E1239" s="8" t="s">
        <v>16</v>
      </c>
      <c r="F1239" s="8" t="s">
        <v>2198</v>
      </c>
      <c r="G1239" s="8" t="s">
        <v>3382</v>
      </c>
      <c r="H1239" s="8">
        <v>1</v>
      </c>
      <c r="I1239" s="8">
        <v>1</v>
      </c>
      <c r="J1239" s="8">
        <v>210917</v>
      </c>
      <c r="K1239" s="9">
        <v>44807</v>
      </c>
      <c r="L1239" s="9">
        <v>45870</v>
      </c>
      <c r="M1239" s="8" t="s">
        <v>16</v>
      </c>
      <c r="P1239" s="16" t="s">
        <v>1162</v>
      </c>
      <c r="Q1239" s="2" t="s">
        <v>16</v>
      </c>
      <c r="S1239" s="8" t="s">
        <v>1587</v>
      </c>
      <c r="T1239" s="9">
        <v>45870</v>
      </c>
      <c r="U1239" s="8">
        <v>0</v>
      </c>
      <c r="V1239" s="20">
        <v>735</v>
      </c>
      <c r="W1239" s="21" t="s">
        <v>16</v>
      </c>
    </row>
    <row r="1240" spans="1:23" ht="60">
      <c r="A1240" s="8" t="s">
        <v>3381</v>
      </c>
      <c r="B1240" s="8" t="s">
        <v>1326</v>
      </c>
      <c r="C1240" s="8" t="s">
        <v>2197</v>
      </c>
      <c r="D1240" s="8" t="s">
        <v>18</v>
      </c>
      <c r="E1240" s="8" t="s">
        <v>16</v>
      </c>
      <c r="F1240" s="8" t="s">
        <v>2198</v>
      </c>
      <c r="G1240" s="8" t="s">
        <v>3382</v>
      </c>
      <c r="H1240" s="8">
        <v>355</v>
      </c>
      <c r="I1240" s="8">
        <v>355</v>
      </c>
      <c r="J1240" s="8">
        <v>210917</v>
      </c>
      <c r="K1240" s="9">
        <v>44807</v>
      </c>
      <c r="L1240" s="9">
        <v>45870</v>
      </c>
      <c r="M1240" s="8" t="s">
        <v>16</v>
      </c>
      <c r="P1240" s="16" t="s">
        <v>1163</v>
      </c>
      <c r="Q1240" s="2" t="s">
        <v>43</v>
      </c>
      <c r="S1240" s="8" t="s">
        <v>1589</v>
      </c>
      <c r="T1240" s="9">
        <v>45413</v>
      </c>
      <c r="U1240" s="8">
        <v>0</v>
      </c>
      <c r="V1240" s="20">
        <v>115</v>
      </c>
      <c r="W1240" s="21" t="s">
        <v>38</v>
      </c>
    </row>
    <row r="1241" spans="1:23" ht="60">
      <c r="A1241" s="8" t="s">
        <v>3383</v>
      </c>
      <c r="B1241" s="8" t="s">
        <v>1327</v>
      </c>
      <c r="C1241" s="8" t="s">
        <v>2197</v>
      </c>
      <c r="D1241" s="8" t="s">
        <v>18</v>
      </c>
      <c r="E1241" s="8" t="s">
        <v>16</v>
      </c>
      <c r="F1241" s="8" t="s">
        <v>2198</v>
      </c>
      <c r="G1241" s="8" t="s">
        <v>3382</v>
      </c>
      <c r="H1241" s="8">
        <v>89</v>
      </c>
      <c r="I1241" s="8">
        <v>89</v>
      </c>
      <c r="J1241" s="8">
        <v>20210917</v>
      </c>
      <c r="K1241" s="9">
        <v>45244</v>
      </c>
      <c r="L1241" s="9">
        <v>46054</v>
      </c>
      <c r="M1241" s="8" t="s">
        <v>16</v>
      </c>
      <c r="P1241" s="16" t="s">
        <v>1164</v>
      </c>
      <c r="Q1241" s="2" t="s">
        <v>16</v>
      </c>
      <c r="S1241" s="8" t="s">
        <v>1590</v>
      </c>
      <c r="T1241" s="9">
        <v>46905</v>
      </c>
      <c r="U1241" s="8">
        <v>0</v>
      </c>
      <c r="V1241" s="20">
        <v>101</v>
      </c>
      <c r="W1241" s="21" t="s">
        <v>16</v>
      </c>
    </row>
    <row r="1242" spans="1:23" ht="60">
      <c r="A1242" s="8" t="s">
        <v>3384</v>
      </c>
      <c r="B1242" s="8" t="s">
        <v>1328</v>
      </c>
      <c r="C1242" s="8" t="s">
        <v>2197</v>
      </c>
      <c r="D1242" s="8" t="s">
        <v>18</v>
      </c>
      <c r="E1242" s="8" t="s">
        <v>16</v>
      </c>
      <c r="F1242" s="8" t="s">
        <v>2198</v>
      </c>
      <c r="G1242" s="8" t="s">
        <v>3382</v>
      </c>
      <c r="H1242" s="8">
        <v>173</v>
      </c>
      <c r="I1242" s="8">
        <v>173</v>
      </c>
      <c r="J1242" s="8">
        <v>20220527</v>
      </c>
      <c r="K1242" s="9">
        <v>45118</v>
      </c>
      <c r="L1242" s="9">
        <v>46204</v>
      </c>
      <c r="M1242" s="8" t="s">
        <v>16</v>
      </c>
      <c r="P1242" s="16" t="s">
        <v>1164</v>
      </c>
      <c r="Q1242" s="2" t="s">
        <v>16</v>
      </c>
      <c r="S1242" s="8" t="s">
        <v>1590</v>
      </c>
      <c r="T1242" s="9">
        <v>47027</v>
      </c>
      <c r="U1242" s="8">
        <v>0</v>
      </c>
      <c r="V1242" s="20">
        <v>540</v>
      </c>
      <c r="W1242" s="21" t="s">
        <v>16</v>
      </c>
    </row>
    <row r="1243" spans="1:23" ht="60">
      <c r="A1243" s="8" t="s">
        <v>3385</v>
      </c>
      <c r="B1243" s="8" t="s">
        <v>1329</v>
      </c>
      <c r="C1243" s="8" t="s">
        <v>2197</v>
      </c>
      <c r="D1243" s="8" t="s">
        <v>18</v>
      </c>
      <c r="E1243" s="8" t="s">
        <v>16</v>
      </c>
      <c r="F1243" s="8" t="s">
        <v>2198</v>
      </c>
      <c r="G1243" s="8" t="s">
        <v>3382</v>
      </c>
      <c r="H1243" s="8">
        <v>199</v>
      </c>
      <c r="I1243" s="8">
        <v>199</v>
      </c>
      <c r="J1243" s="8">
        <v>20220527</v>
      </c>
      <c r="K1243" s="9">
        <v>45107</v>
      </c>
      <c r="L1243" s="9">
        <v>46174</v>
      </c>
      <c r="M1243" s="8" t="s">
        <v>16</v>
      </c>
      <c r="P1243" s="16" t="s">
        <v>1164</v>
      </c>
      <c r="Q1243" s="2" t="s">
        <v>16</v>
      </c>
      <c r="S1243" s="8" t="s">
        <v>1594</v>
      </c>
      <c r="T1243" s="9">
        <v>47150</v>
      </c>
      <c r="U1243" s="8">
        <v>0</v>
      </c>
      <c r="V1243" s="20">
        <v>80</v>
      </c>
      <c r="W1243" s="21" t="s">
        <v>16</v>
      </c>
    </row>
    <row r="1244" spans="1:23" ht="75">
      <c r="A1244" s="8" t="s">
        <v>3386</v>
      </c>
      <c r="B1244" s="8" t="s">
        <v>1330</v>
      </c>
      <c r="C1244" s="8" t="s">
        <v>2197</v>
      </c>
      <c r="D1244" s="8" t="s">
        <v>18</v>
      </c>
      <c r="E1244" s="8" t="s">
        <v>16</v>
      </c>
      <c r="F1244" s="8" t="s">
        <v>2198</v>
      </c>
      <c r="G1244" s="8" t="s">
        <v>3387</v>
      </c>
      <c r="H1244" s="8">
        <v>1305</v>
      </c>
      <c r="I1244" s="8">
        <v>1305</v>
      </c>
      <c r="J1244" s="8" t="s">
        <v>1331</v>
      </c>
      <c r="K1244" s="9">
        <v>45271</v>
      </c>
      <c r="L1244" s="9">
        <v>45931</v>
      </c>
      <c r="M1244" s="8" t="s">
        <v>16</v>
      </c>
      <c r="P1244" s="16" t="s">
        <v>1165</v>
      </c>
      <c r="Q1244" s="2" t="s">
        <v>16</v>
      </c>
      <c r="S1244" s="8" t="s">
        <v>1594</v>
      </c>
      <c r="T1244" s="9">
        <v>47209</v>
      </c>
      <c r="U1244" s="8">
        <v>0</v>
      </c>
      <c r="V1244" s="20">
        <v>500</v>
      </c>
      <c r="W1244" s="21" t="s">
        <v>16</v>
      </c>
    </row>
    <row r="1245" spans="1:23" ht="75">
      <c r="A1245" s="8" t="s">
        <v>3388</v>
      </c>
      <c r="B1245" s="8" t="s">
        <v>1332</v>
      </c>
      <c r="C1245" s="8" t="s">
        <v>2197</v>
      </c>
      <c r="D1245" s="8" t="s">
        <v>18</v>
      </c>
      <c r="E1245" s="8" t="s">
        <v>16</v>
      </c>
      <c r="F1245" s="8" t="s">
        <v>2198</v>
      </c>
      <c r="G1245" s="8" t="s">
        <v>3387</v>
      </c>
      <c r="H1245" s="8">
        <v>6460</v>
      </c>
      <c r="I1245" s="8">
        <v>1</v>
      </c>
      <c r="J1245" s="8" t="s">
        <v>1333</v>
      </c>
      <c r="K1245" s="9">
        <v>45090</v>
      </c>
      <c r="L1245" s="9">
        <v>45717</v>
      </c>
      <c r="M1245" s="8" t="s">
        <v>16</v>
      </c>
      <c r="P1245" s="16" t="s">
        <v>1166</v>
      </c>
      <c r="Q1245" s="2" t="s">
        <v>16</v>
      </c>
      <c r="S1245" s="8" t="s">
        <v>1597</v>
      </c>
      <c r="T1245" s="9">
        <v>46844</v>
      </c>
      <c r="U1245" s="8">
        <v>0</v>
      </c>
      <c r="V1245" s="20">
        <v>200</v>
      </c>
      <c r="W1245" s="21" t="s">
        <v>16</v>
      </c>
    </row>
    <row r="1246" spans="1:23" ht="75">
      <c r="A1246" s="8" t="s">
        <v>3388</v>
      </c>
      <c r="B1246" s="8" t="s">
        <v>1332</v>
      </c>
      <c r="C1246" s="8" t="s">
        <v>2197</v>
      </c>
      <c r="D1246" s="8" t="s">
        <v>18</v>
      </c>
      <c r="E1246" s="8" t="s">
        <v>16</v>
      </c>
      <c r="F1246" s="8" t="s">
        <v>2198</v>
      </c>
      <c r="G1246" s="8" t="s">
        <v>3387</v>
      </c>
      <c r="H1246" s="8">
        <v>6460</v>
      </c>
      <c r="I1246" s="8">
        <v>479</v>
      </c>
      <c r="J1246" s="8" t="s">
        <v>1334</v>
      </c>
      <c r="K1246" s="9">
        <v>45271</v>
      </c>
      <c r="L1246" s="9">
        <v>45931</v>
      </c>
      <c r="M1246" s="8" t="s">
        <v>16</v>
      </c>
      <c r="P1246" s="16" t="s">
        <v>1166</v>
      </c>
      <c r="Q1246" s="2" t="s">
        <v>16</v>
      </c>
      <c r="S1246" s="8" t="s">
        <v>1600</v>
      </c>
      <c r="T1246" s="9">
        <v>46784</v>
      </c>
      <c r="U1246" s="8">
        <v>0</v>
      </c>
      <c r="V1246" s="20">
        <v>148</v>
      </c>
      <c r="W1246" s="21" t="s">
        <v>16</v>
      </c>
    </row>
    <row r="1247" spans="1:23" ht="75">
      <c r="A1247" s="8" t="s">
        <v>3388</v>
      </c>
      <c r="B1247" s="8" t="s">
        <v>1332</v>
      </c>
      <c r="C1247" s="8" t="s">
        <v>2197</v>
      </c>
      <c r="D1247" s="8" t="s">
        <v>18</v>
      </c>
      <c r="E1247" s="8" t="s">
        <v>16</v>
      </c>
      <c r="F1247" s="8" t="s">
        <v>2198</v>
      </c>
      <c r="G1247" s="8" t="s">
        <v>3387</v>
      </c>
      <c r="H1247" s="8">
        <v>6460</v>
      </c>
      <c r="I1247" s="8">
        <v>900</v>
      </c>
      <c r="J1247" s="8" t="s">
        <v>1331</v>
      </c>
      <c r="K1247" s="9">
        <v>45271</v>
      </c>
      <c r="L1247" s="9">
        <v>45931</v>
      </c>
      <c r="M1247" s="8" t="s">
        <v>16</v>
      </c>
      <c r="P1247" s="16" t="s">
        <v>1167</v>
      </c>
      <c r="Q1247" s="2" t="s">
        <v>16</v>
      </c>
      <c r="S1247" s="8" t="s">
        <v>1599</v>
      </c>
      <c r="T1247" s="9">
        <v>46844</v>
      </c>
      <c r="U1247" s="8">
        <v>0</v>
      </c>
      <c r="V1247" s="20">
        <v>675</v>
      </c>
      <c r="W1247" s="21" t="s">
        <v>16</v>
      </c>
    </row>
    <row r="1248" spans="1:23" ht="75">
      <c r="A1248" s="8" t="s">
        <v>3388</v>
      </c>
      <c r="B1248" s="8" t="s">
        <v>1332</v>
      </c>
      <c r="C1248" s="8" t="s">
        <v>2197</v>
      </c>
      <c r="D1248" s="8" t="s">
        <v>18</v>
      </c>
      <c r="E1248" s="8" t="s">
        <v>16</v>
      </c>
      <c r="F1248" s="8" t="s">
        <v>2198</v>
      </c>
      <c r="G1248" s="8" t="s">
        <v>3387</v>
      </c>
      <c r="H1248" s="8">
        <v>6460</v>
      </c>
      <c r="I1248" s="8">
        <v>5080</v>
      </c>
      <c r="J1248" s="8" t="s">
        <v>1335</v>
      </c>
      <c r="K1248" s="9">
        <v>45271</v>
      </c>
      <c r="L1248" s="9">
        <v>45931</v>
      </c>
      <c r="M1248" s="8" t="s">
        <v>16</v>
      </c>
      <c r="P1248" s="16" t="s">
        <v>1167</v>
      </c>
      <c r="Q1248" s="2" t="s">
        <v>16</v>
      </c>
      <c r="S1248" s="8" t="s">
        <v>1602</v>
      </c>
      <c r="T1248" s="9">
        <v>47150</v>
      </c>
      <c r="U1248" s="8">
        <v>0</v>
      </c>
      <c r="V1248" s="20">
        <v>930</v>
      </c>
      <c r="W1248" s="21" t="s">
        <v>16</v>
      </c>
    </row>
    <row r="1249" spans="1:23" ht="75">
      <c r="A1249" s="8" t="s">
        <v>3389</v>
      </c>
      <c r="B1249" s="8" t="s">
        <v>1336</v>
      </c>
      <c r="C1249" s="8" t="s">
        <v>2221</v>
      </c>
      <c r="D1249" s="8" t="s">
        <v>18</v>
      </c>
      <c r="E1249" s="8" t="s">
        <v>2217</v>
      </c>
      <c r="F1249" s="8" t="s">
        <v>2217</v>
      </c>
      <c r="G1249" s="8" t="s">
        <v>2217</v>
      </c>
      <c r="H1249" s="8">
        <v>200</v>
      </c>
      <c r="I1249" s="8">
        <v>200</v>
      </c>
      <c r="J1249" s="8">
        <v>0</v>
      </c>
      <c r="K1249" s="9">
        <v>45428</v>
      </c>
      <c r="L1249" s="8" t="s">
        <v>2222</v>
      </c>
      <c r="M1249" s="8" t="s">
        <v>43</v>
      </c>
      <c r="P1249" s="16" t="s">
        <v>1167</v>
      </c>
      <c r="Q1249" s="2" t="s">
        <v>16</v>
      </c>
      <c r="S1249" s="8" t="s">
        <v>1603</v>
      </c>
      <c r="T1249" s="9" t="s">
        <v>2222</v>
      </c>
      <c r="U1249" s="8">
        <v>0</v>
      </c>
      <c r="V1249" s="20">
        <v>80</v>
      </c>
      <c r="W1249" s="21" t="s">
        <v>41</v>
      </c>
    </row>
    <row r="1250" spans="1:23" ht="105">
      <c r="A1250" s="8" t="s">
        <v>3390</v>
      </c>
      <c r="B1250" s="8" t="s">
        <v>1337</v>
      </c>
      <c r="C1250" s="8" t="s">
        <v>2221</v>
      </c>
      <c r="D1250" s="8" t="s">
        <v>18</v>
      </c>
      <c r="E1250" s="8" t="s">
        <v>2217</v>
      </c>
      <c r="F1250" s="8" t="s">
        <v>2217</v>
      </c>
      <c r="G1250" s="8" t="s">
        <v>2217</v>
      </c>
      <c r="H1250" s="8">
        <v>1885</v>
      </c>
      <c r="I1250" s="8">
        <v>1885</v>
      </c>
      <c r="J1250" s="8">
        <v>0</v>
      </c>
      <c r="K1250" s="9">
        <v>45443</v>
      </c>
      <c r="L1250" s="9">
        <v>46116</v>
      </c>
      <c r="M1250" s="8" t="s">
        <v>43</v>
      </c>
      <c r="P1250" s="16" t="s">
        <v>1168</v>
      </c>
      <c r="Q1250" s="2" t="s">
        <v>16</v>
      </c>
      <c r="S1250" s="8" t="s">
        <v>1604</v>
      </c>
      <c r="T1250" s="9" t="s">
        <v>2222</v>
      </c>
      <c r="U1250" s="8">
        <v>0</v>
      </c>
      <c r="V1250" s="20">
        <v>100</v>
      </c>
      <c r="W1250" s="21" t="s">
        <v>41</v>
      </c>
    </row>
    <row r="1251" spans="1:23" ht="90">
      <c r="A1251" s="8" t="s">
        <v>3391</v>
      </c>
      <c r="B1251" s="8" t="s">
        <v>1338</v>
      </c>
      <c r="C1251" s="8" t="s">
        <v>2221</v>
      </c>
      <c r="D1251" s="8" t="s">
        <v>18</v>
      </c>
      <c r="E1251" s="8" t="s">
        <v>2217</v>
      </c>
      <c r="F1251" s="8" t="s">
        <v>2217</v>
      </c>
      <c r="G1251" s="8" t="s">
        <v>2217</v>
      </c>
      <c r="H1251" s="8">
        <v>10</v>
      </c>
      <c r="I1251" s="8">
        <v>10</v>
      </c>
      <c r="J1251" s="8">
        <v>0</v>
      </c>
      <c r="K1251" s="9">
        <v>45022</v>
      </c>
      <c r="L1251" s="8" t="s">
        <v>2222</v>
      </c>
      <c r="M1251" s="8" t="s">
        <v>43</v>
      </c>
      <c r="P1251" s="16" t="s">
        <v>1169</v>
      </c>
      <c r="Q1251" s="2" t="s">
        <v>16</v>
      </c>
      <c r="S1251" s="8" t="s">
        <v>1605</v>
      </c>
      <c r="T1251" s="9" t="s">
        <v>2222</v>
      </c>
      <c r="U1251" s="8">
        <v>0</v>
      </c>
      <c r="V1251" s="20">
        <v>36</v>
      </c>
      <c r="W1251" s="21" t="s">
        <v>41</v>
      </c>
    </row>
    <row r="1252" spans="1:23" ht="60">
      <c r="A1252" s="8" t="s">
        <v>3392</v>
      </c>
      <c r="B1252" s="8" t="s">
        <v>1339</v>
      </c>
      <c r="C1252" s="8" t="s">
        <v>2203</v>
      </c>
      <c r="D1252" s="8" t="s">
        <v>18</v>
      </c>
      <c r="E1252" s="8" t="s">
        <v>16</v>
      </c>
      <c r="F1252" s="8" t="s">
        <v>2198</v>
      </c>
      <c r="G1252" s="8" t="s">
        <v>3393</v>
      </c>
      <c r="H1252" s="8">
        <v>3106</v>
      </c>
      <c r="I1252" s="8">
        <v>6</v>
      </c>
      <c r="J1252" s="8">
        <v>48040315</v>
      </c>
      <c r="K1252" s="9">
        <v>45400</v>
      </c>
      <c r="L1252" s="9">
        <v>47209</v>
      </c>
      <c r="M1252" s="8" t="s">
        <v>16</v>
      </c>
      <c r="P1252" s="16" t="s">
        <v>1169</v>
      </c>
      <c r="Q1252" s="2" t="s">
        <v>16</v>
      </c>
      <c r="S1252" s="8" t="s">
        <v>1606</v>
      </c>
      <c r="T1252" s="9" t="s">
        <v>2222</v>
      </c>
      <c r="U1252" s="8">
        <v>0</v>
      </c>
      <c r="V1252" s="20">
        <v>15</v>
      </c>
      <c r="W1252" s="21" t="s">
        <v>43</v>
      </c>
    </row>
    <row r="1253" spans="1:23" ht="60">
      <c r="A1253" s="8" t="s">
        <v>3392</v>
      </c>
      <c r="B1253" s="8" t="s">
        <v>1339</v>
      </c>
      <c r="C1253" s="8" t="s">
        <v>2203</v>
      </c>
      <c r="D1253" s="8" t="s">
        <v>18</v>
      </c>
      <c r="E1253" s="8" t="s">
        <v>16</v>
      </c>
      <c r="F1253" s="8" t="s">
        <v>2198</v>
      </c>
      <c r="G1253" s="8" t="s">
        <v>3393</v>
      </c>
      <c r="H1253" s="8">
        <v>3106</v>
      </c>
      <c r="I1253" s="8">
        <v>3100</v>
      </c>
      <c r="J1253" s="8">
        <v>48060515</v>
      </c>
      <c r="K1253" s="9">
        <v>45451</v>
      </c>
      <c r="L1253" s="9">
        <v>47270</v>
      </c>
      <c r="M1253" s="8" t="s">
        <v>16</v>
      </c>
      <c r="P1253" s="16" t="s">
        <v>1170</v>
      </c>
      <c r="Q1253" s="2" t="s">
        <v>16</v>
      </c>
      <c r="S1253" s="8" t="s">
        <v>1607</v>
      </c>
      <c r="T1253" s="9">
        <v>46935</v>
      </c>
      <c r="U1253" s="8">
        <v>0</v>
      </c>
      <c r="V1253" s="20">
        <v>28070</v>
      </c>
      <c r="W1253" s="21" t="s">
        <v>16</v>
      </c>
    </row>
    <row r="1254" spans="1:23" ht="45">
      <c r="A1254" s="8" t="s">
        <v>3394</v>
      </c>
      <c r="B1254" s="8" t="s">
        <v>1340</v>
      </c>
      <c r="C1254" s="8" t="s">
        <v>2203</v>
      </c>
      <c r="D1254" s="8" t="s">
        <v>18</v>
      </c>
      <c r="E1254" s="8" t="s">
        <v>16</v>
      </c>
      <c r="F1254" s="8" t="s">
        <v>2198</v>
      </c>
      <c r="G1254" s="8" t="s">
        <v>3393</v>
      </c>
      <c r="H1254" s="8">
        <v>5116</v>
      </c>
      <c r="I1254" s="8">
        <v>116</v>
      </c>
      <c r="J1254" s="8">
        <v>48040515</v>
      </c>
      <c r="K1254" s="9">
        <v>45400</v>
      </c>
      <c r="L1254" s="9">
        <v>47209</v>
      </c>
      <c r="M1254" s="8" t="s">
        <v>16</v>
      </c>
      <c r="P1254" s="16" t="s">
        <v>1172</v>
      </c>
      <c r="Q1254" s="2" t="s">
        <v>16</v>
      </c>
      <c r="S1254" s="8" t="s">
        <v>1608</v>
      </c>
      <c r="T1254" s="9">
        <v>46508</v>
      </c>
      <c r="U1254" s="8">
        <v>0</v>
      </c>
      <c r="V1254" s="20">
        <v>1080</v>
      </c>
      <c r="W1254" s="21" t="s">
        <v>16</v>
      </c>
    </row>
    <row r="1255" spans="1:23" ht="45">
      <c r="A1255" s="8" t="s">
        <v>3394</v>
      </c>
      <c r="B1255" s="8" t="s">
        <v>1340</v>
      </c>
      <c r="C1255" s="8" t="s">
        <v>2203</v>
      </c>
      <c r="D1255" s="8" t="s">
        <v>18</v>
      </c>
      <c r="E1255" s="8" t="s">
        <v>16</v>
      </c>
      <c r="F1255" s="8" t="s">
        <v>2198</v>
      </c>
      <c r="G1255" s="8" t="s">
        <v>3393</v>
      </c>
      <c r="H1255" s="8">
        <v>5116</v>
      </c>
      <c r="I1255" s="8">
        <v>5000</v>
      </c>
      <c r="J1255" s="8">
        <v>48050715</v>
      </c>
      <c r="K1255" s="9">
        <v>45451</v>
      </c>
      <c r="L1255" s="9">
        <v>47239</v>
      </c>
      <c r="M1255" s="8" t="s">
        <v>16</v>
      </c>
      <c r="P1255" s="16" t="s">
        <v>1172</v>
      </c>
      <c r="Q1255" s="2" t="s">
        <v>16</v>
      </c>
      <c r="S1255" s="8" t="s">
        <v>1608</v>
      </c>
      <c r="T1255" s="9">
        <v>46935</v>
      </c>
      <c r="U1255" s="8">
        <v>0</v>
      </c>
      <c r="V1255" s="20">
        <v>39359</v>
      </c>
      <c r="W1255" s="21" t="s">
        <v>16</v>
      </c>
    </row>
    <row r="1256" spans="1:23" ht="60">
      <c r="A1256" s="8" t="s">
        <v>3395</v>
      </c>
      <c r="B1256" s="8" t="s">
        <v>1341</v>
      </c>
      <c r="C1256" s="8" t="s">
        <v>2203</v>
      </c>
      <c r="D1256" s="8" t="s">
        <v>18</v>
      </c>
      <c r="E1256" s="8" t="s">
        <v>151</v>
      </c>
      <c r="F1256" s="8" t="s">
        <v>151</v>
      </c>
      <c r="G1256" s="8" t="s">
        <v>3396</v>
      </c>
      <c r="H1256" s="8">
        <v>7857</v>
      </c>
      <c r="I1256" s="8">
        <v>2</v>
      </c>
      <c r="J1256" s="8">
        <v>0</v>
      </c>
      <c r="K1256" s="9">
        <v>45404</v>
      </c>
      <c r="L1256" s="9">
        <v>46478</v>
      </c>
      <c r="M1256" s="8" t="s">
        <v>151</v>
      </c>
      <c r="P1256" s="16" t="s">
        <v>1175</v>
      </c>
      <c r="Q1256" s="2" t="s">
        <v>16</v>
      </c>
      <c r="S1256" s="8" t="s">
        <v>1609</v>
      </c>
      <c r="T1256" s="9" t="s">
        <v>2222</v>
      </c>
      <c r="U1256" s="8">
        <v>0</v>
      </c>
      <c r="V1256" s="20">
        <v>5</v>
      </c>
      <c r="W1256" s="21" t="s">
        <v>38</v>
      </c>
    </row>
    <row r="1257" spans="1:23" ht="36.75">
      <c r="A1257" s="8" t="s">
        <v>3395</v>
      </c>
      <c r="B1257" s="8" t="s">
        <v>1341</v>
      </c>
      <c r="C1257" s="8" t="s">
        <v>2203</v>
      </c>
      <c r="D1257" s="8" t="s">
        <v>18</v>
      </c>
      <c r="E1257" s="8" t="s">
        <v>151</v>
      </c>
      <c r="F1257" s="8" t="s">
        <v>151</v>
      </c>
      <c r="G1257" s="8" t="s">
        <v>3396</v>
      </c>
      <c r="H1257" s="8">
        <v>7857</v>
      </c>
      <c r="I1257" s="8">
        <v>7855</v>
      </c>
      <c r="J1257" s="8">
        <v>0</v>
      </c>
      <c r="K1257" s="9">
        <v>45448</v>
      </c>
      <c r="L1257" s="9">
        <v>46508</v>
      </c>
      <c r="M1257" s="8" t="s">
        <v>151</v>
      </c>
      <c r="P1257" s="16" t="s">
        <v>1176</v>
      </c>
      <c r="Q1257" s="2" t="s">
        <v>16</v>
      </c>
      <c r="S1257" s="8" t="s">
        <v>1610</v>
      </c>
      <c r="T1257" s="9" t="s">
        <v>2222</v>
      </c>
      <c r="U1257" s="8">
        <v>0</v>
      </c>
      <c r="V1257" s="20">
        <v>133</v>
      </c>
      <c r="W1257" s="21" t="s">
        <v>43</v>
      </c>
    </row>
    <row r="1258" spans="1:23" ht="90">
      <c r="A1258" s="8" t="s">
        <v>3397</v>
      </c>
      <c r="B1258" s="8" t="s">
        <v>1342</v>
      </c>
      <c r="C1258" s="8" t="s">
        <v>2303</v>
      </c>
      <c r="D1258" s="8" t="s">
        <v>18</v>
      </c>
      <c r="E1258" s="8" t="s">
        <v>16</v>
      </c>
      <c r="F1258" s="8" t="s">
        <v>2228</v>
      </c>
      <c r="G1258" s="8" t="s">
        <v>3398</v>
      </c>
      <c r="H1258" s="8">
        <v>26</v>
      </c>
      <c r="I1258" s="8">
        <v>26</v>
      </c>
      <c r="J1258" s="8">
        <v>22112321</v>
      </c>
      <c r="K1258" s="9">
        <v>44897</v>
      </c>
      <c r="L1258" s="9">
        <v>46661</v>
      </c>
      <c r="M1258" s="8" t="s">
        <v>16</v>
      </c>
      <c r="P1258" s="16" t="s">
        <v>1177</v>
      </c>
      <c r="Q1258" s="2" t="s">
        <v>16</v>
      </c>
      <c r="S1258" s="8" t="s">
        <v>1611</v>
      </c>
      <c r="T1258" s="9" t="s">
        <v>2222</v>
      </c>
      <c r="U1258" s="8">
        <v>0</v>
      </c>
      <c r="V1258" s="20">
        <v>3525</v>
      </c>
      <c r="W1258" s="21" t="s">
        <v>101</v>
      </c>
    </row>
    <row r="1259" spans="1:23" ht="135">
      <c r="A1259" s="8" t="s">
        <v>3399</v>
      </c>
      <c r="B1259" s="8" t="s">
        <v>1343</v>
      </c>
      <c r="C1259" s="8" t="s">
        <v>2197</v>
      </c>
      <c r="D1259" s="8" t="s">
        <v>18</v>
      </c>
      <c r="E1259" s="8" t="s">
        <v>16</v>
      </c>
      <c r="F1259" s="8" t="s">
        <v>2228</v>
      </c>
      <c r="G1259" s="8" t="s">
        <v>3398</v>
      </c>
      <c r="H1259" s="8">
        <v>499</v>
      </c>
      <c r="I1259" s="8">
        <v>19</v>
      </c>
      <c r="J1259" s="8">
        <v>23012603</v>
      </c>
      <c r="K1259" s="9">
        <v>44963</v>
      </c>
      <c r="L1259" s="9">
        <v>46722</v>
      </c>
      <c r="M1259" s="8" t="s">
        <v>16</v>
      </c>
      <c r="P1259" s="16" t="s">
        <v>1177</v>
      </c>
      <c r="Q1259" s="2" t="s">
        <v>16</v>
      </c>
      <c r="S1259" s="8" t="s">
        <v>1612</v>
      </c>
      <c r="T1259" s="9" t="s">
        <v>2222</v>
      </c>
      <c r="U1259" s="8">
        <v>0</v>
      </c>
      <c r="V1259" s="20">
        <v>1</v>
      </c>
      <c r="W1259" s="21" t="s">
        <v>101</v>
      </c>
    </row>
    <row r="1260" spans="1:23" ht="135">
      <c r="A1260" s="8" t="s">
        <v>3399</v>
      </c>
      <c r="B1260" s="8" t="s">
        <v>1343</v>
      </c>
      <c r="C1260" s="8" t="s">
        <v>2197</v>
      </c>
      <c r="D1260" s="8" t="s">
        <v>18</v>
      </c>
      <c r="E1260" s="8" t="s">
        <v>16</v>
      </c>
      <c r="F1260" s="8" t="s">
        <v>2228</v>
      </c>
      <c r="G1260" s="8" t="s">
        <v>3398</v>
      </c>
      <c r="H1260" s="8">
        <v>499</v>
      </c>
      <c r="I1260" s="8">
        <v>480</v>
      </c>
      <c r="J1260" s="8">
        <v>24042403</v>
      </c>
      <c r="K1260" s="9">
        <v>45409</v>
      </c>
      <c r="L1260" s="9">
        <v>47178</v>
      </c>
      <c r="M1260" s="8" t="s">
        <v>16</v>
      </c>
      <c r="P1260" s="16" t="s">
        <v>1177</v>
      </c>
      <c r="Q1260" s="2" t="s">
        <v>16</v>
      </c>
      <c r="S1260" s="8" t="s">
        <v>1613</v>
      </c>
      <c r="T1260" s="9" t="s">
        <v>2222</v>
      </c>
      <c r="U1260" s="8">
        <v>0</v>
      </c>
      <c r="V1260" s="20">
        <v>130</v>
      </c>
      <c r="W1260" s="21" t="s">
        <v>101</v>
      </c>
    </row>
    <row r="1261" spans="1:23" ht="135">
      <c r="A1261" s="8" t="s">
        <v>3400</v>
      </c>
      <c r="B1261" s="8" t="s">
        <v>1344</v>
      </c>
      <c r="C1261" s="8" t="s">
        <v>2197</v>
      </c>
      <c r="D1261" s="8" t="s">
        <v>18</v>
      </c>
      <c r="E1261" s="8" t="s">
        <v>16</v>
      </c>
      <c r="F1261" s="8" t="s">
        <v>2228</v>
      </c>
      <c r="G1261" s="8" t="s">
        <v>3398</v>
      </c>
      <c r="H1261" s="8">
        <v>702</v>
      </c>
      <c r="I1261" s="8">
        <v>202</v>
      </c>
      <c r="J1261" s="8">
        <v>23033006</v>
      </c>
      <c r="K1261" s="9">
        <v>45026</v>
      </c>
      <c r="L1261" s="9">
        <v>46784</v>
      </c>
      <c r="M1261" s="8" t="s">
        <v>16</v>
      </c>
      <c r="P1261" s="16" t="s">
        <v>1178</v>
      </c>
      <c r="Q1261" s="2" t="s">
        <v>16</v>
      </c>
      <c r="S1261" s="8" t="s">
        <v>1614</v>
      </c>
      <c r="T1261" s="9" t="s">
        <v>2222</v>
      </c>
      <c r="U1261" s="8">
        <v>0</v>
      </c>
      <c r="V1261" s="20">
        <v>192</v>
      </c>
      <c r="W1261" s="21" t="s">
        <v>101</v>
      </c>
    </row>
    <row r="1262" spans="1:23" ht="135">
      <c r="A1262" s="8" t="s">
        <v>3400</v>
      </c>
      <c r="B1262" s="8" t="s">
        <v>1344</v>
      </c>
      <c r="C1262" s="8" t="s">
        <v>2197</v>
      </c>
      <c r="D1262" s="8" t="s">
        <v>18</v>
      </c>
      <c r="E1262" s="8" t="s">
        <v>16</v>
      </c>
      <c r="F1262" s="8" t="s">
        <v>2228</v>
      </c>
      <c r="G1262" s="8" t="s">
        <v>3398</v>
      </c>
      <c r="H1262" s="8">
        <v>702</v>
      </c>
      <c r="I1262" s="8">
        <v>500</v>
      </c>
      <c r="J1262" s="8">
        <v>24010207</v>
      </c>
      <c r="K1262" s="9">
        <v>45436</v>
      </c>
      <c r="L1262" s="9">
        <v>47088</v>
      </c>
      <c r="M1262" s="8" t="s">
        <v>16</v>
      </c>
      <c r="P1262" s="16" t="s">
        <v>1178</v>
      </c>
      <c r="Q1262" s="2" t="s">
        <v>16</v>
      </c>
      <c r="S1262" s="8" t="s">
        <v>1615</v>
      </c>
      <c r="T1262" s="9" t="s">
        <v>2222</v>
      </c>
      <c r="U1262" s="8">
        <v>0</v>
      </c>
      <c r="V1262" s="20">
        <v>102</v>
      </c>
      <c r="W1262" s="21" t="s">
        <v>101</v>
      </c>
    </row>
    <row r="1263" spans="1:23" ht="105">
      <c r="A1263" s="8" t="s">
        <v>3401</v>
      </c>
      <c r="B1263" s="8" t="s">
        <v>1345</v>
      </c>
      <c r="C1263" s="8" t="s">
        <v>2307</v>
      </c>
      <c r="D1263" s="8" t="s">
        <v>18</v>
      </c>
      <c r="E1263" s="8" t="s">
        <v>16</v>
      </c>
      <c r="F1263" s="8" t="s">
        <v>2228</v>
      </c>
      <c r="G1263" s="8" t="s">
        <v>3398</v>
      </c>
      <c r="H1263" s="8">
        <v>8</v>
      </c>
      <c r="I1263" s="8">
        <v>8</v>
      </c>
      <c r="J1263" s="8">
        <v>22120701</v>
      </c>
      <c r="K1263" s="9">
        <v>44916</v>
      </c>
      <c r="L1263" s="9">
        <v>46692</v>
      </c>
      <c r="M1263" s="8" t="s">
        <v>16</v>
      </c>
      <c r="P1263" s="16" t="s">
        <v>1179</v>
      </c>
      <c r="Q1263" s="2" t="s">
        <v>41</v>
      </c>
      <c r="S1263" s="8" t="s">
        <v>1616</v>
      </c>
      <c r="T1263" s="9" t="s">
        <v>2222</v>
      </c>
      <c r="U1263" s="8">
        <v>0</v>
      </c>
      <c r="V1263" s="20">
        <v>162</v>
      </c>
      <c r="W1263" s="21" t="s">
        <v>101</v>
      </c>
    </row>
    <row r="1264" spans="1:23" ht="105">
      <c r="A1264" s="8" t="s">
        <v>3402</v>
      </c>
      <c r="B1264" s="8" t="s">
        <v>1346</v>
      </c>
      <c r="C1264" s="8" t="s">
        <v>2197</v>
      </c>
      <c r="D1264" s="8" t="s">
        <v>18</v>
      </c>
      <c r="E1264" s="8" t="s">
        <v>16</v>
      </c>
      <c r="F1264" s="8" t="s">
        <v>2228</v>
      </c>
      <c r="G1264" s="8" t="s">
        <v>3398</v>
      </c>
      <c r="H1264" s="8">
        <v>2301</v>
      </c>
      <c r="I1264" s="8">
        <v>301</v>
      </c>
      <c r="J1264" s="8">
        <v>23012601</v>
      </c>
      <c r="K1264" s="9">
        <v>44963</v>
      </c>
      <c r="L1264" s="9">
        <v>46722</v>
      </c>
      <c r="M1264" s="8" t="s">
        <v>16</v>
      </c>
      <c r="P1264" s="16" t="s">
        <v>1180</v>
      </c>
      <c r="Q1264" s="2" t="s">
        <v>41</v>
      </c>
      <c r="S1264" s="8" t="s">
        <v>1617</v>
      </c>
      <c r="T1264" s="9" t="s">
        <v>2222</v>
      </c>
      <c r="U1264" s="8">
        <v>0</v>
      </c>
      <c r="V1264" s="20">
        <v>373</v>
      </c>
      <c r="W1264" s="21" t="s">
        <v>101</v>
      </c>
    </row>
    <row r="1265" spans="1:23" ht="60">
      <c r="A1265" s="8" t="s">
        <v>3402</v>
      </c>
      <c r="B1265" s="8" t="s">
        <v>1346</v>
      </c>
      <c r="C1265" s="8" t="s">
        <v>2197</v>
      </c>
      <c r="D1265" s="8" t="s">
        <v>18</v>
      </c>
      <c r="E1265" s="8" t="s">
        <v>16</v>
      </c>
      <c r="F1265" s="8" t="s">
        <v>2228</v>
      </c>
      <c r="G1265" s="8" t="s">
        <v>3398</v>
      </c>
      <c r="H1265" s="8">
        <v>2301</v>
      </c>
      <c r="I1265" s="8">
        <v>2000</v>
      </c>
      <c r="J1265" s="8">
        <v>23121804</v>
      </c>
      <c r="K1265" s="9">
        <v>45436</v>
      </c>
      <c r="L1265" s="9">
        <v>47058</v>
      </c>
      <c r="M1265" s="8" t="s">
        <v>16</v>
      </c>
      <c r="P1265" s="16" t="s">
        <v>1181</v>
      </c>
      <c r="Q1265" s="2" t="s">
        <v>16</v>
      </c>
      <c r="S1265" s="8" t="s">
        <v>1618</v>
      </c>
      <c r="T1265" s="9">
        <v>45992</v>
      </c>
      <c r="U1265" s="8">
        <v>0</v>
      </c>
      <c r="V1265" s="20">
        <v>3390</v>
      </c>
      <c r="W1265" s="21" t="s">
        <v>16</v>
      </c>
    </row>
    <row r="1266" spans="1:23" ht="60">
      <c r="A1266" s="8" t="s">
        <v>3403</v>
      </c>
      <c r="B1266" s="8" t="s">
        <v>1347</v>
      </c>
      <c r="C1266" s="8" t="s">
        <v>2203</v>
      </c>
      <c r="D1266" s="8" t="s">
        <v>18</v>
      </c>
      <c r="E1266" s="8" t="s">
        <v>16</v>
      </c>
      <c r="F1266" s="8" t="s">
        <v>2198</v>
      </c>
      <c r="G1266" s="8" t="s">
        <v>3404</v>
      </c>
      <c r="H1266" s="8">
        <v>75</v>
      </c>
      <c r="I1266" s="8">
        <v>75</v>
      </c>
      <c r="J1266" s="8">
        <v>130051</v>
      </c>
      <c r="K1266" s="9">
        <v>44693</v>
      </c>
      <c r="L1266" s="9">
        <v>45444</v>
      </c>
      <c r="M1266" s="8" t="s">
        <v>38</v>
      </c>
      <c r="P1266" s="16" t="s">
        <v>1181</v>
      </c>
      <c r="Q1266" s="2" t="s">
        <v>16</v>
      </c>
      <c r="S1266" s="8" t="s">
        <v>1620</v>
      </c>
      <c r="T1266" s="9">
        <v>45778</v>
      </c>
      <c r="U1266" s="8">
        <v>0</v>
      </c>
      <c r="V1266" s="20">
        <v>3554</v>
      </c>
      <c r="W1266" s="21" t="s">
        <v>16</v>
      </c>
    </row>
    <row r="1267" spans="1:23" ht="45">
      <c r="A1267" s="8" t="s">
        <v>3405</v>
      </c>
      <c r="B1267" s="8" t="s">
        <v>1348</v>
      </c>
      <c r="C1267" s="8" t="s">
        <v>2203</v>
      </c>
      <c r="D1267" s="8" t="s">
        <v>18</v>
      </c>
      <c r="E1267" s="8" t="s">
        <v>16</v>
      </c>
      <c r="F1267" s="8" t="s">
        <v>2198</v>
      </c>
      <c r="G1267" s="8" t="s">
        <v>3404</v>
      </c>
      <c r="H1267" s="8">
        <v>952</v>
      </c>
      <c r="I1267" s="8">
        <v>12</v>
      </c>
      <c r="J1267" s="8">
        <v>130131</v>
      </c>
      <c r="K1267" s="9">
        <v>45141</v>
      </c>
      <c r="L1267" s="9">
        <v>46935</v>
      </c>
      <c r="M1267" s="8" t="s">
        <v>16</v>
      </c>
      <c r="P1267" s="16" t="s">
        <v>1184</v>
      </c>
      <c r="Q1267" s="2" t="s">
        <v>16</v>
      </c>
      <c r="S1267" s="8" t="s">
        <v>1620</v>
      </c>
      <c r="T1267" s="9">
        <v>45962</v>
      </c>
      <c r="U1267" s="8">
        <v>0</v>
      </c>
      <c r="V1267" s="20">
        <v>4250</v>
      </c>
      <c r="W1267" s="21" t="s">
        <v>16</v>
      </c>
    </row>
    <row r="1268" spans="1:23" ht="45">
      <c r="A1268" s="8" t="s">
        <v>3405</v>
      </c>
      <c r="B1268" s="8" t="s">
        <v>1348</v>
      </c>
      <c r="C1268" s="8" t="s">
        <v>2203</v>
      </c>
      <c r="D1268" s="8" t="s">
        <v>18</v>
      </c>
      <c r="E1268" s="8" t="s">
        <v>16</v>
      </c>
      <c r="F1268" s="8" t="s">
        <v>2198</v>
      </c>
      <c r="G1268" s="8" t="s">
        <v>3404</v>
      </c>
      <c r="H1268" s="8">
        <v>952</v>
      </c>
      <c r="I1268" s="8">
        <v>940</v>
      </c>
      <c r="J1268" s="8">
        <v>131130</v>
      </c>
      <c r="K1268" s="9">
        <v>45131</v>
      </c>
      <c r="L1268" s="9">
        <v>46935</v>
      </c>
      <c r="M1268" s="8" t="s">
        <v>16</v>
      </c>
      <c r="P1268" s="16" t="s">
        <v>1184</v>
      </c>
      <c r="Q1268" s="2" t="s">
        <v>16</v>
      </c>
      <c r="S1268" s="8" t="s">
        <v>1620</v>
      </c>
      <c r="T1268" s="9">
        <v>45839</v>
      </c>
      <c r="U1268" s="8">
        <v>0</v>
      </c>
      <c r="V1268" s="20">
        <v>500</v>
      </c>
      <c r="W1268" s="21" t="s">
        <v>16</v>
      </c>
    </row>
    <row r="1269" spans="1:23" ht="60">
      <c r="A1269" s="8" t="s">
        <v>3406</v>
      </c>
      <c r="B1269" s="8" t="s">
        <v>1349</v>
      </c>
      <c r="C1269" s="8" t="s">
        <v>2197</v>
      </c>
      <c r="D1269" s="8" t="s">
        <v>18</v>
      </c>
      <c r="E1269" s="8" t="s">
        <v>16</v>
      </c>
      <c r="F1269" s="8" t="s">
        <v>2198</v>
      </c>
      <c r="G1269" s="8" t="s">
        <v>3407</v>
      </c>
      <c r="H1269" s="8">
        <v>9</v>
      </c>
      <c r="I1269" s="8">
        <v>9</v>
      </c>
      <c r="J1269" s="8">
        <v>0</v>
      </c>
      <c r="K1269" s="9">
        <v>44016</v>
      </c>
      <c r="L1269" s="8" t="s">
        <v>2222</v>
      </c>
      <c r="M1269" s="8" t="s">
        <v>38</v>
      </c>
      <c r="P1269" s="16" t="s">
        <v>1185</v>
      </c>
      <c r="Q1269" s="2" t="s">
        <v>16</v>
      </c>
      <c r="S1269" s="8" t="s">
        <v>1620</v>
      </c>
      <c r="T1269" s="9">
        <v>45992</v>
      </c>
      <c r="U1269" s="8">
        <v>0</v>
      </c>
      <c r="V1269" s="20">
        <v>4450</v>
      </c>
      <c r="W1269" s="21" t="s">
        <v>16</v>
      </c>
    </row>
    <row r="1270" spans="1:23" ht="60">
      <c r="A1270" s="8" t="s">
        <v>3408</v>
      </c>
      <c r="B1270" s="8" t="s">
        <v>1350</v>
      </c>
      <c r="C1270" s="8" t="s">
        <v>2197</v>
      </c>
      <c r="D1270" s="8" t="s">
        <v>18</v>
      </c>
      <c r="E1270" s="8" t="s">
        <v>16</v>
      </c>
      <c r="F1270" s="8" t="s">
        <v>2198</v>
      </c>
      <c r="G1270" s="8" t="s">
        <v>3409</v>
      </c>
      <c r="H1270" s="8">
        <v>1122</v>
      </c>
      <c r="I1270" s="8">
        <v>1122</v>
      </c>
      <c r="J1270" s="8" t="s">
        <v>1351</v>
      </c>
      <c r="K1270" s="9">
        <v>45443</v>
      </c>
      <c r="L1270" s="9">
        <v>46874</v>
      </c>
      <c r="M1270" s="8" t="s">
        <v>16</v>
      </c>
      <c r="P1270" s="16" t="s">
        <v>1187</v>
      </c>
      <c r="Q1270" s="2" t="s">
        <v>151</v>
      </c>
      <c r="S1270" s="8" t="s">
        <v>1627</v>
      </c>
      <c r="T1270" s="9">
        <v>46143</v>
      </c>
      <c r="U1270" s="8">
        <v>0</v>
      </c>
      <c r="V1270" s="20">
        <v>9160</v>
      </c>
      <c r="W1270" s="21" t="s">
        <v>16</v>
      </c>
    </row>
    <row r="1271" spans="1:23" ht="75">
      <c r="A1271" s="8" t="s">
        <v>3410</v>
      </c>
      <c r="B1271" s="8" t="s">
        <v>1352</v>
      </c>
      <c r="C1271" s="8" t="s">
        <v>2197</v>
      </c>
      <c r="D1271" s="8" t="s">
        <v>18</v>
      </c>
      <c r="E1271" s="8" t="s">
        <v>16</v>
      </c>
      <c r="F1271" s="8" t="s">
        <v>2198</v>
      </c>
      <c r="G1271" s="8" t="s">
        <v>3409</v>
      </c>
      <c r="H1271" s="8">
        <v>111</v>
      </c>
      <c r="I1271" s="8">
        <v>111</v>
      </c>
      <c r="J1271" s="8" t="s">
        <v>1353</v>
      </c>
      <c r="K1271" s="9">
        <v>45337</v>
      </c>
      <c r="L1271" s="9">
        <v>46722</v>
      </c>
      <c r="M1271" s="8" t="s">
        <v>16</v>
      </c>
      <c r="P1271" s="16" t="s">
        <v>1187</v>
      </c>
      <c r="Q1271" s="2" t="s">
        <v>151</v>
      </c>
      <c r="S1271" s="8" t="s">
        <v>1628</v>
      </c>
      <c r="T1271" s="9" t="s">
        <v>2222</v>
      </c>
      <c r="U1271" s="8">
        <v>0</v>
      </c>
      <c r="V1271" s="20">
        <v>7</v>
      </c>
      <c r="W1271" s="21" t="s">
        <v>43</v>
      </c>
    </row>
    <row r="1272" spans="1:23" ht="75">
      <c r="A1272" s="8" t="s">
        <v>3411</v>
      </c>
      <c r="B1272" s="8" t="s">
        <v>1354</v>
      </c>
      <c r="C1272" s="8" t="s">
        <v>2197</v>
      </c>
      <c r="D1272" s="8" t="s">
        <v>18</v>
      </c>
      <c r="E1272" s="8" t="s">
        <v>2217</v>
      </c>
      <c r="F1272" s="8" t="s">
        <v>2217</v>
      </c>
      <c r="G1272" s="8" t="s">
        <v>2217</v>
      </c>
      <c r="H1272" s="8">
        <v>549</v>
      </c>
      <c r="I1272" s="8">
        <v>549</v>
      </c>
      <c r="J1272" s="8" t="s">
        <v>1355</v>
      </c>
      <c r="K1272" s="9">
        <v>45430</v>
      </c>
      <c r="L1272" s="9">
        <v>46419</v>
      </c>
      <c r="M1272" s="8" t="s">
        <v>16</v>
      </c>
      <c r="P1272" s="16" t="s">
        <v>1187</v>
      </c>
      <c r="Q1272" s="2" t="s">
        <v>151</v>
      </c>
      <c r="S1272" s="8" t="s">
        <v>1629</v>
      </c>
      <c r="T1272" s="9" t="s">
        <v>2222</v>
      </c>
      <c r="U1272" s="8">
        <v>0</v>
      </c>
      <c r="V1272" s="20">
        <v>12</v>
      </c>
      <c r="W1272" s="21" t="s">
        <v>101</v>
      </c>
    </row>
    <row r="1273" spans="1:23" ht="75">
      <c r="A1273" s="8" t="s">
        <v>3412</v>
      </c>
      <c r="B1273" s="8" t="s">
        <v>1356</v>
      </c>
      <c r="C1273" s="8" t="s">
        <v>2197</v>
      </c>
      <c r="D1273" s="8" t="s">
        <v>18</v>
      </c>
      <c r="E1273" s="8" t="s">
        <v>2217</v>
      </c>
      <c r="F1273" s="8" t="s">
        <v>2217</v>
      </c>
      <c r="G1273" s="8" t="s">
        <v>2217</v>
      </c>
      <c r="H1273" s="8">
        <v>750</v>
      </c>
      <c r="I1273" s="8">
        <v>750</v>
      </c>
      <c r="J1273" s="8">
        <v>25133301</v>
      </c>
      <c r="K1273" s="9">
        <v>45418</v>
      </c>
      <c r="L1273" s="9">
        <v>46478</v>
      </c>
      <c r="M1273" s="8" t="s">
        <v>16</v>
      </c>
      <c r="P1273" s="16" t="s">
        <v>1188</v>
      </c>
      <c r="Q1273" s="2" t="s">
        <v>151</v>
      </c>
      <c r="S1273" s="8" t="s">
        <v>1630</v>
      </c>
      <c r="T1273" s="9" t="s">
        <v>2222</v>
      </c>
      <c r="U1273" s="8">
        <v>0</v>
      </c>
      <c r="V1273" s="20">
        <v>425</v>
      </c>
      <c r="W1273" s="21" t="s">
        <v>101</v>
      </c>
    </row>
    <row r="1274" spans="1:23" ht="75">
      <c r="A1274" s="8" t="s">
        <v>3413</v>
      </c>
      <c r="B1274" s="8" t="s">
        <v>1357</v>
      </c>
      <c r="C1274" s="8" t="s">
        <v>2203</v>
      </c>
      <c r="D1274" s="8" t="s">
        <v>18</v>
      </c>
      <c r="E1274" s="8" t="s">
        <v>101</v>
      </c>
      <c r="F1274" s="8" t="s">
        <v>3414</v>
      </c>
      <c r="G1274" s="8" t="s">
        <v>3415</v>
      </c>
      <c r="H1274" s="8">
        <v>635</v>
      </c>
      <c r="I1274" s="8">
        <v>635</v>
      </c>
      <c r="J1274" s="8">
        <v>0</v>
      </c>
      <c r="K1274" s="9">
        <v>45300</v>
      </c>
      <c r="L1274" s="8" t="s">
        <v>2222</v>
      </c>
      <c r="M1274" s="8" t="s">
        <v>101</v>
      </c>
      <c r="P1274" s="16" t="s">
        <v>1188</v>
      </c>
      <c r="Q1274" s="2" t="s">
        <v>151</v>
      </c>
      <c r="S1274" s="8" t="s">
        <v>1631</v>
      </c>
      <c r="T1274" s="9" t="s">
        <v>2222</v>
      </c>
      <c r="U1274" s="8">
        <v>0</v>
      </c>
      <c r="V1274" s="20">
        <v>232</v>
      </c>
      <c r="W1274" s="21" t="s">
        <v>101</v>
      </c>
    </row>
    <row r="1275" spans="1:23" ht="75">
      <c r="A1275" s="8" t="s">
        <v>3416</v>
      </c>
      <c r="B1275" s="8" t="s">
        <v>1358</v>
      </c>
      <c r="C1275" s="8" t="s">
        <v>3417</v>
      </c>
      <c r="D1275" s="8" t="s">
        <v>18</v>
      </c>
      <c r="E1275" s="8" t="s">
        <v>101</v>
      </c>
      <c r="F1275" s="8" t="s">
        <v>3414</v>
      </c>
      <c r="G1275" s="8" t="s">
        <v>3418</v>
      </c>
      <c r="H1275" s="8">
        <v>32</v>
      </c>
      <c r="I1275" s="8">
        <v>32</v>
      </c>
      <c r="J1275" s="8">
        <v>0</v>
      </c>
      <c r="K1275" s="8" t="s">
        <v>2222</v>
      </c>
      <c r="L1275" s="8" t="s">
        <v>2222</v>
      </c>
      <c r="M1275" s="8" t="s">
        <v>1359</v>
      </c>
      <c r="P1275" s="16" t="s">
        <v>1189</v>
      </c>
      <c r="Q1275" s="2" t="s">
        <v>16</v>
      </c>
      <c r="S1275" s="8" t="s">
        <v>1632</v>
      </c>
      <c r="T1275" s="9" t="s">
        <v>2222</v>
      </c>
      <c r="U1275" s="8">
        <v>0</v>
      </c>
      <c r="V1275" s="20">
        <v>422</v>
      </c>
      <c r="W1275" s="21" t="s">
        <v>101</v>
      </c>
    </row>
    <row r="1276" spans="1:23" ht="90">
      <c r="A1276" s="8" t="s">
        <v>3419</v>
      </c>
      <c r="B1276" s="8" t="s">
        <v>1360</v>
      </c>
      <c r="C1276" s="8" t="s">
        <v>3417</v>
      </c>
      <c r="D1276" s="8" t="s">
        <v>18</v>
      </c>
      <c r="E1276" s="8" t="s">
        <v>101</v>
      </c>
      <c r="F1276" s="8" t="s">
        <v>3414</v>
      </c>
      <c r="G1276" s="8" t="s">
        <v>3420</v>
      </c>
      <c r="H1276" s="8">
        <v>49</v>
      </c>
      <c r="I1276" s="8">
        <v>49</v>
      </c>
      <c r="J1276" s="8">
        <v>0</v>
      </c>
      <c r="K1276" s="8" t="s">
        <v>2222</v>
      </c>
      <c r="L1276" s="8" t="s">
        <v>2222</v>
      </c>
      <c r="M1276" s="8" t="s">
        <v>1359</v>
      </c>
      <c r="P1276" s="16" t="s">
        <v>1190</v>
      </c>
      <c r="Q1276" s="2" t="s">
        <v>16</v>
      </c>
      <c r="S1276" s="8" t="s">
        <v>1633</v>
      </c>
      <c r="T1276" s="9" t="s">
        <v>2222</v>
      </c>
      <c r="U1276" s="8">
        <v>0</v>
      </c>
      <c r="V1276" s="20">
        <v>502</v>
      </c>
      <c r="W1276" s="21" t="s">
        <v>101</v>
      </c>
    </row>
    <row r="1277" spans="1:23" ht="75">
      <c r="A1277" s="8" t="s">
        <v>3421</v>
      </c>
      <c r="B1277" s="8" t="s">
        <v>1361</v>
      </c>
      <c r="C1277" s="8" t="s">
        <v>3417</v>
      </c>
      <c r="D1277" s="8" t="s">
        <v>18</v>
      </c>
      <c r="E1277" s="8" t="s">
        <v>101</v>
      </c>
      <c r="F1277" s="8" t="s">
        <v>3414</v>
      </c>
      <c r="G1277" s="8" t="s">
        <v>3420</v>
      </c>
      <c r="H1277" s="8">
        <v>26</v>
      </c>
      <c r="I1277" s="8">
        <v>26</v>
      </c>
      <c r="J1277" s="8">
        <v>0</v>
      </c>
      <c r="K1277" s="9">
        <v>45068</v>
      </c>
      <c r="L1277" s="8" t="s">
        <v>2222</v>
      </c>
      <c r="M1277" s="8" t="s">
        <v>101</v>
      </c>
      <c r="P1277" s="16" t="s">
        <v>1191</v>
      </c>
      <c r="Q1277" s="2" t="s">
        <v>16</v>
      </c>
      <c r="S1277" s="8" t="s">
        <v>1634</v>
      </c>
      <c r="T1277" s="9" t="s">
        <v>2222</v>
      </c>
      <c r="U1277" s="8">
        <v>0</v>
      </c>
      <c r="V1277" s="20">
        <v>7</v>
      </c>
      <c r="W1277" s="21" t="s">
        <v>101</v>
      </c>
    </row>
    <row r="1278" spans="1:23" ht="90">
      <c r="A1278" s="8" t="s">
        <v>3422</v>
      </c>
      <c r="B1278" s="8" t="s">
        <v>1362</v>
      </c>
      <c r="C1278" s="8" t="s">
        <v>3417</v>
      </c>
      <c r="D1278" s="8" t="s">
        <v>18</v>
      </c>
      <c r="E1278" s="8" t="s">
        <v>101</v>
      </c>
      <c r="F1278" s="8" t="s">
        <v>3414</v>
      </c>
      <c r="G1278" s="8" t="s">
        <v>3420</v>
      </c>
      <c r="H1278" s="8">
        <v>88</v>
      </c>
      <c r="I1278" s="8">
        <v>88</v>
      </c>
      <c r="J1278" s="8">
        <v>0</v>
      </c>
      <c r="K1278" s="8" t="s">
        <v>2222</v>
      </c>
      <c r="L1278" s="8" t="s">
        <v>2222</v>
      </c>
      <c r="M1278" s="8" t="s">
        <v>1359</v>
      </c>
      <c r="P1278" s="16" t="s">
        <v>1192</v>
      </c>
      <c r="Q1278" s="2" t="s">
        <v>16</v>
      </c>
      <c r="S1278" s="8" t="s">
        <v>1635</v>
      </c>
      <c r="T1278" s="9" t="s">
        <v>2222</v>
      </c>
      <c r="U1278" s="8">
        <v>0</v>
      </c>
      <c r="V1278" s="20">
        <v>2700</v>
      </c>
      <c r="W1278" s="21" t="s">
        <v>101</v>
      </c>
    </row>
    <row r="1279" spans="1:23" ht="90">
      <c r="A1279" s="8" t="s">
        <v>3423</v>
      </c>
      <c r="B1279" s="8" t="s">
        <v>1363</v>
      </c>
      <c r="C1279" s="8" t="s">
        <v>3417</v>
      </c>
      <c r="D1279" s="8" t="s">
        <v>18</v>
      </c>
      <c r="E1279" s="8" t="s">
        <v>101</v>
      </c>
      <c r="F1279" s="8" t="s">
        <v>3414</v>
      </c>
      <c r="G1279" s="8" t="s">
        <v>3420</v>
      </c>
      <c r="H1279" s="8">
        <v>186</v>
      </c>
      <c r="I1279" s="8">
        <v>186</v>
      </c>
      <c r="J1279" s="8">
        <v>0</v>
      </c>
      <c r="K1279" s="9">
        <v>45300</v>
      </c>
      <c r="L1279" s="8" t="s">
        <v>2222</v>
      </c>
      <c r="M1279" s="8" t="s">
        <v>101</v>
      </c>
      <c r="P1279" s="16" t="s">
        <v>1192</v>
      </c>
      <c r="Q1279" s="2" t="s">
        <v>16</v>
      </c>
      <c r="S1279" s="8" t="s">
        <v>1636</v>
      </c>
      <c r="T1279" s="9" t="s">
        <v>2222</v>
      </c>
      <c r="U1279" s="8">
        <v>0</v>
      </c>
      <c r="V1279" s="20">
        <v>39</v>
      </c>
      <c r="W1279" s="21" t="s">
        <v>101</v>
      </c>
    </row>
    <row r="1280" spans="1:23" ht="75">
      <c r="A1280" s="8" t="s">
        <v>3424</v>
      </c>
      <c r="B1280" s="8" t="s">
        <v>1364</v>
      </c>
      <c r="C1280" s="8" t="s">
        <v>3417</v>
      </c>
      <c r="D1280" s="8" t="s">
        <v>18</v>
      </c>
      <c r="E1280" s="8" t="s">
        <v>101</v>
      </c>
      <c r="F1280" s="8" t="s">
        <v>3414</v>
      </c>
      <c r="G1280" s="8" t="s">
        <v>3420</v>
      </c>
      <c r="H1280" s="8">
        <v>98</v>
      </c>
      <c r="I1280" s="8">
        <v>98</v>
      </c>
      <c r="J1280" s="8">
        <v>0</v>
      </c>
      <c r="K1280" s="9">
        <v>45300</v>
      </c>
      <c r="L1280" s="8" t="s">
        <v>2222</v>
      </c>
      <c r="M1280" s="8" t="s">
        <v>101</v>
      </c>
      <c r="P1280" s="16" t="s">
        <v>1193</v>
      </c>
      <c r="Q1280" s="2" t="s">
        <v>43</v>
      </c>
      <c r="S1280" s="8" t="s">
        <v>1637</v>
      </c>
      <c r="T1280" s="9" t="s">
        <v>2222</v>
      </c>
      <c r="U1280" s="8">
        <v>0</v>
      </c>
      <c r="V1280" s="20">
        <v>1746</v>
      </c>
      <c r="W1280" s="21" t="s">
        <v>101</v>
      </c>
    </row>
    <row r="1281" spans="1:23" ht="75">
      <c r="A1281" s="8" t="s">
        <v>3425</v>
      </c>
      <c r="B1281" s="8" t="s">
        <v>1365</v>
      </c>
      <c r="C1281" s="8" t="s">
        <v>3417</v>
      </c>
      <c r="D1281" s="8" t="s">
        <v>18</v>
      </c>
      <c r="E1281" s="8" t="s">
        <v>101</v>
      </c>
      <c r="F1281" s="8" t="s">
        <v>3414</v>
      </c>
      <c r="G1281" s="8" t="s">
        <v>3426</v>
      </c>
      <c r="H1281" s="8">
        <v>94</v>
      </c>
      <c r="I1281" s="8">
        <v>94</v>
      </c>
      <c r="J1281" s="8">
        <v>0</v>
      </c>
      <c r="K1281" s="9">
        <v>45416</v>
      </c>
      <c r="L1281" s="8" t="s">
        <v>2222</v>
      </c>
      <c r="M1281" s="8" t="s">
        <v>101</v>
      </c>
      <c r="P1281" s="16" t="s">
        <v>1194</v>
      </c>
      <c r="Q1281" s="2" t="s">
        <v>41</v>
      </c>
      <c r="S1281" s="8" t="s">
        <v>1638</v>
      </c>
      <c r="T1281" s="9" t="s">
        <v>2222</v>
      </c>
      <c r="U1281" s="8">
        <v>0</v>
      </c>
      <c r="V1281" s="20">
        <v>150</v>
      </c>
      <c r="W1281" s="21" t="s">
        <v>101</v>
      </c>
    </row>
    <row r="1282" spans="1:23" ht="75">
      <c r="A1282" s="8" t="s">
        <v>3427</v>
      </c>
      <c r="B1282" s="8" t="s">
        <v>1366</v>
      </c>
      <c r="C1282" s="8" t="s">
        <v>3417</v>
      </c>
      <c r="D1282" s="8" t="s">
        <v>18</v>
      </c>
      <c r="E1282" s="8" t="s">
        <v>101</v>
      </c>
      <c r="F1282" s="8" t="s">
        <v>3414</v>
      </c>
      <c r="G1282" s="8" t="s">
        <v>3426</v>
      </c>
      <c r="H1282" s="8">
        <v>73</v>
      </c>
      <c r="I1282" s="8">
        <v>73</v>
      </c>
      <c r="J1282" s="8">
        <v>0</v>
      </c>
      <c r="K1282" s="9">
        <v>45068</v>
      </c>
      <c r="L1282" s="8" t="s">
        <v>2222</v>
      </c>
      <c r="M1282" s="8" t="s">
        <v>101</v>
      </c>
      <c r="P1282" s="16" t="s">
        <v>1195</v>
      </c>
      <c r="Q1282" s="2" t="s">
        <v>16</v>
      </c>
      <c r="S1282" s="8" t="s">
        <v>1639</v>
      </c>
      <c r="T1282" s="9" t="s">
        <v>2222</v>
      </c>
      <c r="U1282" s="8">
        <v>0</v>
      </c>
      <c r="V1282" s="20">
        <v>2</v>
      </c>
      <c r="W1282" s="21" t="s">
        <v>1640</v>
      </c>
    </row>
    <row r="1283" spans="1:23" ht="75">
      <c r="A1283" s="8" t="s">
        <v>3428</v>
      </c>
      <c r="B1283" s="8" t="s">
        <v>1367</v>
      </c>
      <c r="C1283" s="8" t="s">
        <v>3417</v>
      </c>
      <c r="D1283" s="8" t="s">
        <v>18</v>
      </c>
      <c r="E1283" s="8" t="s">
        <v>2217</v>
      </c>
      <c r="F1283" s="8" t="s">
        <v>2217</v>
      </c>
      <c r="G1283" s="8" t="s">
        <v>2217</v>
      </c>
      <c r="H1283" s="8">
        <v>8</v>
      </c>
      <c r="I1283" s="8">
        <v>8</v>
      </c>
      <c r="J1283" s="8">
        <v>0</v>
      </c>
      <c r="K1283" s="9">
        <v>45168</v>
      </c>
      <c r="L1283" s="8" t="s">
        <v>2222</v>
      </c>
      <c r="M1283" s="8" t="s">
        <v>101</v>
      </c>
      <c r="P1283" s="16" t="s">
        <v>1196</v>
      </c>
      <c r="Q1283" s="2" t="s">
        <v>16</v>
      </c>
      <c r="S1283" s="8" t="s">
        <v>1641</v>
      </c>
      <c r="T1283" s="9" t="s">
        <v>2222</v>
      </c>
      <c r="U1283" s="8">
        <v>0</v>
      </c>
      <c r="V1283" s="20">
        <v>2</v>
      </c>
      <c r="W1283" s="21" t="s">
        <v>1640</v>
      </c>
    </row>
    <row r="1284" spans="1:23" ht="75">
      <c r="A1284" s="8" t="s">
        <v>3429</v>
      </c>
      <c r="B1284" s="8" t="s">
        <v>1367</v>
      </c>
      <c r="C1284" s="8" t="s">
        <v>3417</v>
      </c>
      <c r="D1284" s="8" t="s">
        <v>18</v>
      </c>
      <c r="E1284" s="8" t="s">
        <v>101</v>
      </c>
      <c r="F1284" s="8" t="s">
        <v>3414</v>
      </c>
      <c r="G1284" s="8" t="s">
        <v>3426</v>
      </c>
      <c r="H1284" s="8">
        <v>77</v>
      </c>
      <c r="I1284" s="8">
        <v>77</v>
      </c>
      <c r="J1284" s="8">
        <v>0</v>
      </c>
      <c r="K1284" s="9">
        <v>44952</v>
      </c>
      <c r="L1284" s="8" t="s">
        <v>2222</v>
      </c>
      <c r="M1284" s="8" t="s">
        <v>101</v>
      </c>
      <c r="P1284" s="16" t="s">
        <v>1196</v>
      </c>
      <c r="Q1284" s="2" t="s">
        <v>16</v>
      </c>
      <c r="S1284" s="8" t="s">
        <v>1642</v>
      </c>
      <c r="T1284" s="9" t="s">
        <v>2222</v>
      </c>
      <c r="U1284" s="8">
        <v>0</v>
      </c>
      <c r="V1284" s="20">
        <v>2</v>
      </c>
      <c r="W1284" s="21" t="s">
        <v>1640</v>
      </c>
    </row>
    <row r="1285" spans="1:23" ht="75">
      <c r="A1285" s="8" t="s">
        <v>3430</v>
      </c>
      <c r="B1285" s="8" t="s">
        <v>1368</v>
      </c>
      <c r="C1285" s="8" t="s">
        <v>3417</v>
      </c>
      <c r="D1285" s="8" t="s">
        <v>18</v>
      </c>
      <c r="E1285" s="8" t="s">
        <v>101</v>
      </c>
      <c r="F1285" s="8" t="s">
        <v>3414</v>
      </c>
      <c r="G1285" s="8" t="s">
        <v>3426</v>
      </c>
      <c r="H1285" s="8">
        <v>13</v>
      </c>
      <c r="I1285" s="8">
        <v>13</v>
      </c>
      <c r="J1285" s="8">
        <v>0</v>
      </c>
      <c r="K1285" s="9">
        <v>45300</v>
      </c>
      <c r="L1285" s="8" t="s">
        <v>2222</v>
      </c>
      <c r="M1285" s="8" t="s">
        <v>101</v>
      </c>
      <c r="P1285" s="16" t="s">
        <v>1197</v>
      </c>
      <c r="Q1285" s="2" t="s">
        <v>16</v>
      </c>
      <c r="S1285" s="8" t="s">
        <v>1643</v>
      </c>
      <c r="T1285" s="9" t="s">
        <v>2222</v>
      </c>
      <c r="U1285" s="8">
        <v>0</v>
      </c>
      <c r="V1285" s="20">
        <v>1</v>
      </c>
      <c r="W1285" s="21" t="s">
        <v>1640</v>
      </c>
    </row>
    <row r="1286" spans="1:23" ht="75">
      <c r="A1286" s="8" t="s">
        <v>3431</v>
      </c>
      <c r="B1286" s="8" t="s">
        <v>1369</v>
      </c>
      <c r="C1286" s="8" t="s">
        <v>3417</v>
      </c>
      <c r="D1286" s="8" t="s">
        <v>18</v>
      </c>
      <c r="E1286" s="8" t="s">
        <v>101</v>
      </c>
      <c r="F1286" s="8" t="s">
        <v>3414</v>
      </c>
      <c r="G1286" s="8" t="s">
        <v>3426</v>
      </c>
      <c r="H1286" s="8">
        <v>50</v>
      </c>
      <c r="I1286" s="8">
        <v>50</v>
      </c>
      <c r="J1286" s="8">
        <v>0</v>
      </c>
      <c r="K1286" s="9">
        <v>45300</v>
      </c>
      <c r="L1286" s="8" t="s">
        <v>2222</v>
      </c>
      <c r="M1286" s="8" t="s">
        <v>101</v>
      </c>
      <c r="P1286" s="16" t="s">
        <v>1197</v>
      </c>
      <c r="Q1286" s="2" t="s">
        <v>16</v>
      </c>
      <c r="S1286" s="8" t="s">
        <v>1644</v>
      </c>
      <c r="T1286" s="9" t="s">
        <v>2222</v>
      </c>
      <c r="U1286" s="8">
        <v>0</v>
      </c>
      <c r="V1286" s="20">
        <v>1</v>
      </c>
      <c r="W1286" s="21" t="s">
        <v>1640</v>
      </c>
    </row>
    <row r="1287" spans="1:23" ht="75">
      <c r="A1287" s="8" t="s">
        <v>3432</v>
      </c>
      <c r="B1287" s="8" t="s">
        <v>1370</v>
      </c>
      <c r="C1287" s="8" t="s">
        <v>3417</v>
      </c>
      <c r="D1287" s="8" t="s">
        <v>18</v>
      </c>
      <c r="E1287" s="8" t="s">
        <v>101</v>
      </c>
      <c r="F1287" s="8" t="s">
        <v>3414</v>
      </c>
      <c r="G1287" s="8" t="s">
        <v>3426</v>
      </c>
      <c r="H1287" s="8">
        <v>14</v>
      </c>
      <c r="I1287" s="8">
        <v>14</v>
      </c>
      <c r="J1287" s="8">
        <v>0</v>
      </c>
      <c r="K1287" s="9">
        <v>45300</v>
      </c>
      <c r="L1287" s="8" t="s">
        <v>2222</v>
      </c>
      <c r="M1287" s="8" t="s">
        <v>101</v>
      </c>
      <c r="P1287" s="16" t="s">
        <v>1198</v>
      </c>
      <c r="Q1287" s="2" t="s">
        <v>16</v>
      </c>
      <c r="S1287" s="8" t="s">
        <v>1645</v>
      </c>
      <c r="T1287" s="9" t="s">
        <v>2222</v>
      </c>
      <c r="U1287" s="8">
        <v>0</v>
      </c>
      <c r="V1287" s="20">
        <v>1</v>
      </c>
      <c r="W1287" s="21" t="s">
        <v>1640</v>
      </c>
    </row>
    <row r="1288" spans="1:23" ht="75">
      <c r="A1288" s="8" t="s">
        <v>3433</v>
      </c>
      <c r="B1288" s="8" t="s">
        <v>1371</v>
      </c>
      <c r="C1288" s="8" t="s">
        <v>3417</v>
      </c>
      <c r="D1288" s="8" t="s">
        <v>18</v>
      </c>
      <c r="E1288" s="8" t="s">
        <v>2217</v>
      </c>
      <c r="F1288" s="8" t="s">
        <v>2217</v>
      </c>
      <c r="G1288" s="8" t="s">
        <v>2217</v>
      </c>
      <c r="H1288" s="8">
        <v>40</v>
      </c>
      <c r="I1288" s="8">
        <v>40</v>
      </c>
      <c r="J1288" s="8">
        <v>0</v>
      </c>
      <c r="K1288" s="9">
        <v>45379</v>
      </c>
      <c r="L1288" s="8" t="s">
        <v>2222</v>
      </c>
      <c r="M1288" s="8" t="s">
        <v>101</v>
      </c>
      <c r="P1288" s="16" t="s">
        <v>1198</v>
      </c>
      <c r="Q1288" s="2" t="s">
        <v>16</v>
      </c>
      <c r="S1288" s="8" t="s">
        <v>1646</v>
      </c>
      <c r="T1288" s="9" t="s">
        <v>2222</v>
      </c>
      <c r="U1288" s="8">
        <v>0</v>
      </c>
      <c r="V1288" s="20">
        <v>1</v>
      </c>
      <c r="W1288" s="21" t="s">
        <v>1640</v>
      </c>
    </row>
    <row r="1289" spans="1:23" ht="75">
      <c r="A1289" s="8" t="s">
        <v>3434</v>
      </c>
      <c r="B1289" s="8" t="s">
        <v>1372</v>
      </c>
      <c r="C1289" s="8" t="s">
        <v>3417</v>
      </c>
      <c r="D1289" s="8" t="s">
        <v>18</v>
      </c>
      <c r="E1289" s="8" t="s">
        <v>101</v>
      </c>
      <c r="F1289" s="8" t="s">
        <v>3414</v>
      </c>
      <c r="G1289" s="8" t="s">
        <v>3435</v>
      </c>
      <c r="H1289" s="8">
        <v>26</v>
      </c>
      <c r="I1289" s="8">
        <v>26</v>
      </c>
      <c r="J1289" s="8">
        <v>0</v>
      </c>
      <c r="K1289" s="9">
        <v>45300</v>
      </c>
      <c r="L1289" s="8" t="s">
        <v>2222</v>
      </c>
      <c r="M1289" s="8" t="s">
        <v>101</v>
      </c>
      <c r="P1289" s="16" t="s">
        <v>1199</v>
      </c>
      <c r="Q1289" s="2" t="s">
        <v>43</v>
      </c>
      <c r="S1289" s="8" t="s">
        <v>1647</v>
      </c>
      <c r="T1289" s="9" t="s">
        <v>2222</v>
      </c>
      <c r="U1289" s="8">
        <v>0</v>
      </c>
      <c r="V1289" s="20">
        <v>1</v>
      </c>
      <c r="W1289" s="21" t="s">
        <v>1640</v>
      </c>
    </row>
    <row r="1290" spans="1:23" ht="75">
      <c r="A1290" s="8" t="s">
        <v>3436</v>
      </c>
      <c r="B1290" s="8" t="s">
        <v>1373</v>
      </c>
      <c r="C1290" s="8" t="s">
        <v>3417</v>
      </c>
      <c r="D1290" s="8" t="s">
        <v>18</v>
      </c>
      <c r="E1290" s="8" t="s">
        <v>101</v>
      </c>
      <c r="F1290" s="8" t="s">
        <v>3414</v>
      </c>
      <c r="G1290" s="8" t="s">
        <v>3437</v>
      </c>
      <c r="H1290" s="8">
        <v>127</v>
      </c>
      <c r="I1290" s="8">
        <v>127</v>
      </c>
      <c r="J1290" s="8">
        <v>0</v>
      </c>
      <c r="K1290" s="9">
        <v>44162</v>
      </c>
      <c r="L1290" s="8" t="s">
        <v>2222</v>
      </c>
      <c r="M1290" s="8" t="s">
        <v>101</v>
      </c>
      <c r="P1290" s="16" t="s">
        <v>1200</v>
      </c>
      <c r="Q1290" s="2" t="s">
        <v>41</v>
      </c>
      <c r="S1290" s="8" t="s">
        <v>1648</v>
      </c>
      <c r="T1290" s="9" t="s">
        <v>2222</v>
      </c>
      <c r="U1290" s="8">
        <v>0</v>
      </c>
      <c r="V1290" s="20">
        <v>1</v>
      </c>
      <c r="W1290" s="21" t="s">
        <v>1640</v>
      </c>
    </row>
    <row r="1291" spans="1:23" ht="75">
      <c r="A1291" s="8" t="s">
        <v>3438</v>
      </c>
      <c r="B1291" s="8" t="s">
        <v>1374</v>
      </c>
      <c r="C1291" s="8" t="s">
        <v>3417</v>
      </c>
      <c r="D1291" s="8" t="s">
        <v>18</v>
      </c>
      <c r="E1291" s="8" t="s">
        <v>101</v>
      </c>
      <c r="F1291" s="8" t="s">
        <v>3414</v>
      </c>
      <c r="G1291" s="8" t="s">
        <v>3437</v>
      </c>
      <c r="H1291" s="8">
        <v>94</v>
      </c>
      <c r="I1291" s="8">
        <v>94</v>
      </c>
      <c r="J1291" s="8">
        <v>0</v>
      </c>
      <c r="K1291" s="9">
        <v>45306</v>
      </c>
      <c r="L1291" s="8" t="s">
        <v>2222</v>
      </c>
      <c r="M1291" s="8" t="s">
        <v>101</v>
      </c>
      <c r="P1291" s="16" t="s">
        <v>1200</v>
      </c>
      <c r="Q1291" s="2" t="s">
        <v>41</v>
      </c>
      <c r="S1291" s="8" t="s">
        <v>1649</v>
      </c>
      <c r="T1291" s="9" t="s">
        <v>2222</v>
      </c>
      <c r="U1291" s="8">
        <v>0</v>
      </c>
      <c r="V1291" s="20">
        <v>4</v>
      </c>
      <c r="W1291" s="21" t="s">
        <v>41</v>
      </c>
    </row>
    <row r="1292" spans="1:23" ht="75">
      <c r="A1292" s="8" t="s">
        <v>3439</v>
      </c>
      <c r="B1292" s="8" t="s">
        <v>1375</v>
      </c>
      <c r="C1292" s="8" t="s">
        <v>3417</v>
      </c>
      <c r="D1292" s="8" t="s">
        <v>18</v>
      </c>
      <c r="E1292" s="8" t="s">
        <v>101</v>
      </c>
      <c r="F1292" s="8" t="s">
        <v>3414</v>
      </c>
      <c r="G1292" s="8" t="s">
        <v>3435</v>
      </c>
      <c r="H1292" s="8">
        <v>162</v>
      </c>
      <c r="I1292" s="8">
        <v>162</v>
      </c>
      <c r="J1292" s="8">
        <v>0</v>
      </c>
      <c r="K1292" s="9">
        <v>44162</v>
      </c>
      <c r="L1292" s="8" t="s">
        <v>2222</v>
      </c>
      <c r="M1292" s="8" t="s">
        <v>101</v>
      </c>
      <c r="P1292" s="16" t="s">
        <v>1201</v>
      </c>
      <c r="Q1292" s="2" t="s">
        <v>41</v>
      </c>
      <c r="S1292" s="8" t="s">
        <v>1650</v>
      </c>
      <c r="T1292" s="9">
        <v>45962</v>
      </c>
      <c r="U1292" s="8">
        <v>0</v>
      </c>
      <c r="V1292" s="20">
        <v>617</v>
      </c>
      <c r="W1292" s="21" t="s">
        <v>16</v>
      </c>
    </row>
    <row r="1293" spans="1:23" ht="75">
      <c r="A1293" s="8" t="s">
        <v>3440</v>
      </c>
      <c r="B1293" s="8" t="s">
        <v>1376</v>
      </c>
      <c r="C1293" s="8" t="s">
        <v>3417</v>
      </c>
      <c r="D1293" s="8" t="s">
        <v>18</v>
      </c>
      <c r="E1293" s="8" t="s">
        <v>101</v>
      </c>
      <c r="F1293" s="8" t="s">
        <v>3414</v>
      </c>
      <c r="G1293" s="8" t="s">
        <v>3437</v>
      </c>
      <c r="H1293" s="8">
        <v>275</v>
      </c>
      <c r="I1293" s="8">
        <v>275</v>
      </c>
      <c r="J1293" s="8">
        <v>0</v>
      </c>
      <c r="K1293" s="9">
        <v>44162</v>
      </c>
      <c r="L1293" s="8" t="s">
        <v>2222</v>
      </c>
      <c r="M1293" s="8" t="s">
        <v>101</v>
      </c>
      <c r="P1293" s="16" t="s">
        <v>1202</v>
      </c>
      <c r="Q1293" s="2" t="s">
        <v>38</v>
      </c>
      <c r="S1293" s="8" t="s">
        <v>1650</v>
      </c>
      <c r="T1293" s="9">
        <v>46753</v>
      </c>
      <c r="U1293" s="8">
        <v>0</v>
      </c>
      <c r="V1293" s="20">
        <v>624</v>
      </c>
      <c r="W1293" s="21" t="s">
        <v>16</v>
      </c>
    </row>
    <row r="1294" spans="1:23" ht="75">
      <c r="A1294" s="8" t="s">
        <v>3441</v>
      </c>
      <c r="B1294" s="8" t="s">
        <v>1377</v>
      </c>
      <c r="C1294" s="8" t="s">
        <v>3417</v>
      </c>
      <c r="D1294" s="8" t="s">
        <v>18</v>
      </c>
      <c r="E1294" s="8" t="s">
        <v>101</v>
      </c>
      <c r="F1294" s="8" t="s">
        <v>3414</v>
      </c>
      <c r="G1294" s="8" t="s">
        <v>3437</v>
      </c>
      <c r="H1294" s="8">
        <v>23</v>
      </c>
      <c r="I1294" s="8">
        <v>23</v>
      </c>
      <c r="J1294" s="8">
        <v>0</v>
      </c>
      <c r="K1294" s="8" t="s">
        <v>2222</v>
      </c>
      <c r="L1294" s="8" t="s">
        <v>2222</v>
      </c>
      <c r="M1294" s="8" t="s">
        <v>101</v>
      </c>
      <c r="P1294" s="16" t="s">
        <v>1203</v>
      </c>
      <c r="Q1294" s="2" t="s">
        <v>38</v>
      </c>
      <c r="S1294" s="8" t="s">
        <v>1653</v>
      </c>
      <c r="T1294" s="9">
        <v>46569</v>
      </c>
      <c r="U1294" s="8">
        <v>0</v>
      </c>
      <c r="V1294" s="20">
        <v>1722</v>
      </c>
      <c r="W1294" s="21" t="s">
        <v>16</v>
      </c>
    </row>
    <row r="1295" spans="1:23" ht="75">
      <c r="A1295" s="8" t="s">
        <v>3442</v>
      </c>
      <c r="B1295" s="8" t="s">
        <v>1378</v>
      </c>
      <c r="C1295" s="8" t="s">
        <v>3417</v>
      </c>
      <c r="D1295" s="8" t="s">
        <v>18</v>
      </c>
      <c r="E1295" s="8" t="s">
        <v>101</v>
      </c>
      <c r="F1295" s="8" t="s">
        <v>3414</v>
      </c>
      <c r="G1295" s="8" t="s">
        <v>3437</v>
      </c>
      <c r="H1295" s="8">
        <v>4</v>
      </c>
      <c r="I1295" s="8">
        <v>4</v>
      </c>
      <c r="J1295" s="8">
        <v>0</v>
      </c>
      <c r="K1295" s="9">
        <v>45239</v>
      </c>
      <c r="L1295" s="8" t="s">
        <v>2222</v>
      </c>
      <c r="M1295" s="8" t="s">
        <v>101</v>
      </c>
      <c r="P1295" s="16" t="s">
        <v>1204</v>
      </c>
      <c r="Q1295" s="2" t="s">
        <v>16</v>
      </c>
      <c r="S1295" s="8" t="s">
        <v>1656</v>
      </c>
      <c r="T1295" s="9" t="s">
        <v>2222</v>
      </c>
      <c r="U1295" s="8">
        <v>0</v>
      </c>
      <c r="V1295" s="20">
        <v>965</v>
      </c>
      <c r="W1295" s="21" t="s">
        <v>43</v>
      </c>
    </row>
    <row r="1296" spans="1:23" ht="75">
      <c r="A1296" s="8" t="s">
        <v>3443</v>
      </c>
      <c r="B1296" s="8" t="s">
        <v>1379</v>
      </c>
      <c r="C1296" s="8" t="s">
        <v>3417</v>
      </c>
      <c r="D1296" s="8" t="s">
        <v>18</v>
      </c>
      <c r="E1296" s="8" t="s">
        <v>101</v>
      </c>
      <c r="F1296" s="8" t="s">
        <v>3414</v>
      </c>
      <c r="G1296" s="8" t="s">
        <v>3444</v>
      </c>
      <c r="H1296" s="8">
        <v>25</v>
      </c>
      <c r="I1296" s="8">
        <v>25</v>
      </c>
      <c r="J1296" s="8">
        <v>0</v>
      </c>
      <c r="K1296" s="8" t="s">
        <v>2222</v>
      </c>
      <c r="L1296" s="8" t="s">
        <v>2222</v>
      </c>
      <c r="M1296" s="8" t="s">
        <v>101</v>
      </c>
      <c r="P1296" s="16" t="s">
        <v>1204</v>
      </c>
      <c r="Q1296" s="2" t="s">
        <v>16</v>
      </c>
      <c r="S1296" s="8" t="s">
        <v>1657</v>
      </c>
      <c r="T1296" s="9" t="s">
        <v>2222</v>
      </c>
      <c r="U1296" s="8">
        <v>0</v>
      </c>
      <c r="V1296" s="20">
        <v>1</v>
      </c>
      <c r="W1296" s="21" t="s">
        <v>38</v>
      </c>
    </row>
    <row r="1297" spans="1:23" ht="75">
      <c r="A1297" s="8" t="s">
        <v>3445</v>
      </c>
      <c r="B1297" s="8" t="s">
        <v>1380</v>
      </c>
      <c r="C1297" s="8" t="s">
        <v>2221</v>
      </c>
      <c r="D1297" s="8" t="s">
        <v>18</v>
      </c>
      <c r="E1297" s="8" t="s">
        <v>2217</v>
      </c>
      <c r="F1297" s="8" t="s">
        <v>2217</v>
      </c>
      <c r="G1297" s="8" t="s">
        <v>2217</v>
      </c>
      <c r="H1297" s="8">
        <v>1</v>
      </c>
      <c r="I1297" s="8">
        <v>1</v>
      </c>
      <c r="J1297" s="8">
        <v>0</v>
      </c>
      <c r="K1297" s="9">
        <v>45097</v>
      </c>
      <c r="L1297" s="8" t="s">
        <v>2222</v>
      </c>
      <c r="M1297" s="8" t="s">
        <v>101</v>
      </c>
      <c r="P1297" s="16" t="s">
        <v>1204</v>
      </c>
      <c r="Q1297" s="2" t="s">
        <v>16</v>
      </c>
      <c r="S1297" s="8" t="s">
        <v>1658</v>
      </c>
      <c r="T1297" s="9" t="s">
        <v>2222</v>
      </c>
      <c r="U1297" s="8">
        <v>0</v>
      </c>
      <c r="V1297" s="20">
        <v>1</v>
      </c>
      <c r="W1297" s="21" t="s">
        <v>38</v>
      </c>
    </row>
    <row r="1298" spans="1:23" ht="75">
      <c r="A1298" s="8" t="s">
        <v>3449</v>
      </c>
      <c r="B1298" s="8" t="s">
        <v>1380</v>
      </c>
      <c r="C1298" s="8" t="s">
        <v>3417</v>
      </c>
      <c r="D1298" s="8" t="s">
        <v>18</v>
      </c>
      <c r="E1298" s="8" t="s">
        <v>101</v>
      </c>
      <c r="F1298" s="8" t="s">
        <v>3414</v>
      </c>
      <c r="G1298" s="8" t="s">
        <v>3444</v>
      </c>
      <c r="H1298" s="8">
        <v>94</v>
      </c>
      <c r="I1298" s="8">
        <v>94</v>
      </c>
      <c r="J1298" s="8">
        <v>0</v>
      </c>
      <c r="K1298" s="8" t="s">
        <v>2222</v>
      </c>
      <c r="L1298" s="8" t="s">
        <v>2222</v>
      </c>
      <c r="M1298" s="8" t="s">
        <v>101</v>
      </c>
      <c r="P1298" s="16" t="s">
        <v>1205</v>
      </c>
      <c r="Q1298" s="2" t="s">
        <v>16</v>
      </c>
      <c r="S1298" s="8" t="s">
        <v>1659</v>
      </c>
      <c r="T1298" s="9" t="s">
        <v>2222</v>
      </c>
      <c r="U1298" s="8">
        <v>0</v>
      </c>
      <c r="V1298" s="20">
        <v>1</v>
      </c>
      <c r="W1298" s="21" t="s">
        <v>38</v>
      </c>
    </row>
    <row r="1299" spans="1:23" ht="90">
      <c r="A1299" s="8" t="s">
        <v>3448</v>
      </c>
      <c r="B1299" s="8" t="s">
        <v>1382</v>
      </c>
      <c r="C1299" s="8" t="s">
        <v>3417</v>
      </c>
      <c r="D1299" s="8" t="s">
        <v>18</v>
      </c>
      <c r="E1299" s="8" t="s">
        <v>101</v>
      </c>
      <c r="F1299" s="8" t="s">
        <v>3414</v>
      </c>
      <c r="G1299" s="8" t="s">
        <v>3444</v>
      </c>
      <c r="H1299" s="8">
        <v>41</v>
      </c>
      <c r="I1299" s="8">
        <v>41</v>
      </c>
      <c r="J1299" s="8">
        <v>0</v>
      </c>
      <c r="K1299" s="8" t="s">
        <v>2222</v>
      </c>
      <c r="L1299" s="8" t="s">
        <v>2222</v>
      </c>
      <c r="M1299" s="8" t="s">
        <v>101</v>
      </c>
      <c r="P1299" s="16" t="s">
        <v>1205</v>
      </c>
      <c r="Q1299" s="2" t="s">
        <v>16</v>
      </c>
      <c r="S1299" s="8" t="s">
        <v>1660</v>
      </c>
      <c r="T1299" s="9" t="s">
        <v>2222</v>
      </c>
      <c r="U1299" s="8">
        <v>0</v>
      </c>
      <c r="V1299" s="20">
        <v>1</v>
      </c>
      <c r="W1299" s="21" t="s">
        <v>38</v>
      </c>
    </row>
    <row r="1300" spans="1:23" ht="105">
      <c r="A1300" s="8" t="s">
        <v>3446</v>
      </c>
      <c r="B1300" s="8" t="s">
        <v>1381</v>
      </c>
      <c r="C1300" s="8" t="s">
        <v>3417</v>
      </c>
      <c r="D1300" s="8" t="s">
        <v>18</v>
      </c>
      <c r="E1300" s="8" t="s">
        <v>101</v>
      </c>
      <c r="F1300" s="8" t="s">
        <v>3414</v>
      </c>
      <c r="G1300" s="8" t="s">
        <v>3447</v>
      </c>
      <c r="H1300" s="8">
        <v>70</v>
      </c>
      <c r="I1300" s="8">
        <v>70</v>
      </c>
      <c r="J1300" s="8">
        <v>0</v>
      </c>
      <c r="K1300" s="8" t="s">
        <v>2222</v>
      </c>
      <c r="L1300" s="8" t="s">
        <v>2222</v>
      </c>
      <c r="M1300" s="8" t="s">
        <v>101</v>
      </c>
      <c r="P1300" s="16" t="s">
        <v>1205</v>
      </c>
      <c r="Q1300" s="2" t="s">
        <v>16</v>
      </c>
      <c r="S1300" s="8" t="s">
        <v>1661</v>
      </c>
      <c r="T1300" s="9" t="s">
        <v>2222</v>
      </c>
      <c r="U1300" s="8">
        <v>0</v>
      </c>
      <c r="V1300" s="20">
        <v>1</v>
      </c>
      <c r="W1300" s="21" t="s">
        <v>38</v>
      </c>
    </row>
    <row r="1301" spans="1:23" ht="75">
      <c r="A1301" s="8" t="s">
        <v>3450</v>
      </c>
      <c r="B1301" s="8" t="s">
        <v>1383</v>
      </c>
      <c r="C1301" s="8" t="s">
        <v>3417</v>
      </c>
      <c r="D1301" s="8" t="s">
        <v>18</v>
      </c>
      <c r="E1301" s="8" t="s">
        <v>101</v>
      </c>
      <c r="F1301" s="8" t="s">
        <v>3414</v>
      </c>
      <c r="G1301" s="8" t="s">
        <v>3444</v>
      </c>
      <c r="H1301" s="8">
        <v>52</v>
      </c>
      <c r="I1301" s="8">
        <v>52</v>
      </c>
      <c r="J1301" s="8">
        <v>0</v>
      </c>
      <c r="K1301" s="8" t="s">
        <v>2222</v>
      </c>
      <c r="L1301" s="8" t="s">
        <v>2222</v>
      </c>
      <c r="M1301" s="8" t="s">
        <v>101</v>
      </c>
      <c r="P1301" s="16" t="s">
        <v>1205</v>
      </c>
      <c r="Q1301" s="2" t="s">
        <v>16</v>
      </c>
      <c r="S1301" s="8" t="s">
        <v>1662</v>
      </c>
      <c r="T1301" s="9" t="s">
        <v>2222</v>
      </c>
      <c r="U1301" s="8">
        <v>0</v>
      </c>
      <c r="V1301" s="20">
        <v>1</v>
      </c>
      <c r="W1301" s="21" t="s">
        <v>38</v>
      </c>
    </row>
    <row r="1302" spans="1:23" ht="75">
      <c r="A1302" s="8" t="s">
        <v>3451</v>
      </c>
      <c r="B1302" s="8" t="s">
        <v>1384</v>
      </c>
      <c r="C1302" s="8" t="s">
        <v>3417</v>
      </c>
      <c r="D1302" s="8" t="s">
        <v>18</v>
      </c>
      <c r="E1302" s="8" t="s">
        <v>2217</v>
      </c>
      <c r="F1302" s="8" t="s">
        <v>2217</v>
      </c>
      <c r="G1302" s="8" t="s">
        <v>2217</v>
      </c>
      <c r="H1302" s="8">
        <v>4</v>
      </c>
      <c r="I1302" s="8">
        <v>4</v>
      </c>
      <c r="J1302" s="8">
        <v>0</v>
      </c>
      <c r="K1302" s="9">
        <v>45338</v>
      </c>
      <c r="L1302" s="8" t="s">
        <v>2222</v>
      </c>
      <c r="M1302" s="8" t="s">
        <v>101</v>
      </c>
      <c r="P1302" s="16" t="s">
        <v>1206</v>
      </c>
      <c r="Q1302" s="2" t="s">
        <v>16</v>
      </c>
      <c r="S1302" s="8" t="s">
        <v>1663</v>
      </c>
      <c r="T1302" s="9" t="s">
        <v>2222</v>
      </c>
      <c r="U1302" s="8">
        <v>0</v>
      </c>
      <c r="V1302" s="20">
        <v>1</v>
      </c>
      <c r="W1302" s="21" t="s">
        <v>38</v>
      </c>
    </row>
    <row r="1303" spans="1:23" ht="75">
      <c r="A1303" s="8" t="s">
        <v>3452</v>
      </c>
      <c r="B1303" s="8" t="s">
        <v>1384</v>
      </c>
      <c r="C1303" s="8" t="s">
        <v>3417</v>
      </c>
      <c r="D1303" s="8" t="s">
        <v>18</v>
      </c>
      <c r="E1303" s="8" t="s">
        <v>101</v>
      </c>
      <c r="F1303" s="8" t="s">
        <v>3414</v>
      </c>
      <c r="G1303" s="8" t="s">
        <v>3444</v>
      </c>
      <c r="H1303" s="8">
        <v>210</v>
      </c>
      <c r="I1303" s="8">
        <v>210</v>
      </c>
      <c r="J1303" s="8">
        <v>0</v>
      </c>
      <c r="K1303" s="8" t="s">
        <v>2222</v>
      </c>
      <c r="L1303" s="8" t="s">
        <v>2222</v>
      </c>
      <c r="M1303" s="8" t="s">
        <v>101</v>
      </c>
      <c r="P1303" s="16" t="s">
        <v>1206</v>
      </c>
      <c r="Q1303" s="2" t="s">
        <v>16</v>
      </c>
      <c r="S1303" s="8" t="s">
        <v>1664</v>
      </c>
      <c r="T1303" s="9" t="s">
        <v>2222</v>
      </c>
      <c r="U1303" s="8">
        <v>0</v>
      </c>
      <c r="V1303" s="20">
        <v>5000</v>
      </c>
      <c r="W1303" s="21" t="s">
        <v>101</v>
      </c>
    </row>
    <row r="1304" spans="1:23" ht="75">
      <c r="A1304" s="8" t="s">
        <v>3453</v>
      </c>
      <c r="B1304" s="8" t="s">
        <v>1385</v>
      </c>
      <c r="C1304" s="8" t="s">
        <v>3417</v>
      </c>
      <c r="D1304" s="8" t="s">
        <v>18</v>
      </c>
      <c r="E1304" s="8" t="s">
        <v>101</v>
      </c>
      <c r="F1304" s="8" t="s">
        <v>3414</v>
      </c>
      <c r="G1304" s="8" t="s">
        <v>3444</v>
      </c>
      <c r="H1304" s="8">
        <v>102</v>
      </c>
      <c r="I1304" s="8">
        <v>102</v>
      </c>
      <c r="J1304" s="8">
        <v>0</v>
      </c>
      <c r="K1304" s="8" t="s">
        <v>2222</v>
      </c>
      <c r="L1304" s="8" t="s">
        <v>2222</v>
      </c>
      <c r="M1304" s="8" t="s">
        <v>101</v>
      </c>
      <c r="P1304" s="16" t="s">
        <v>1207</v>
      </c>
      <c r="Q1304" s="2" t="s">
        <v>16</v>
      </c>
      <c r="S1304" s="8" t="s">
        <v>1665</v>
      </c>
      <c r="T1304" s="9" t="s">
        <v>2222</v>
      </c>
      <c r="U1304" s="8">
        <v>0</v>
      </c>
      <c r="V1304" s="20">
        <v>5550</v>
      </c>
      <c r="W1304" s="21" t="s">
        <v>101</v>
      </c>
    </row>
    <row r="1305" spans="1:23" ht="90">
      <c r="A1305" s="8" t="s">
        <v>3454</v>
      </c>
      <c r="B1305" s="8" t="s">
        <v>1386</v>
      </c>
      <c r="C1305" s="8" t="s">
        <v>3417</v>
      </c>
      <c r="D1305" s="8" t="s">
        <v>18</v>
      </c>
      <c r="E1305" s="8" t="s">
        <v>101</v>
      </c>
      <c r="F1305" s="8" t="s">
        <v>3414</v>
      </c>
      <c r="G1305" s="8" t="s">
        <v>3444</v>
      </c>
      <c r="H1305" s="8">
        <v>39</v>
      </c>
      <c r="I1305" s="8">
        <v>39</v>
      </c>
      <c r="J1305" s="8">
        <v>0</v>
      </c>
      <c r="K1305" s="8" t="s">
        <v>2222</v>
      </c>
      <c r="L1305" s="8" t="s">
        <v>2222</v>
      </c>
      <c r="M1305" s="8" t="s">
        <v>101</v>
      </c>
      <c r="P1305" s="16" t="s">
        <v>1207</v>
      </c>
      <c r="Q1305" s="2" t="s">
        <v>16</v>
      </c>
      <c r="S1305" s="8" t="s">
        <v>1666</v>
      </c>
      <c r="T1305" s="9" t="s">
        <v>2222</v>
      </c>
      <c r="U1305" s="8">
        <v>0</v>
      </c>
      <c r="V1305" s="20">
        <v>77</v>
      </c>
      <c r="W1305" s="21" t="s">
        <v>101</v>
      </c>
    </row>
    <row r="1306" spans="1:23" ht="90">
      <c r="A1306" s="8" t="s">
        <v>3455</v>
      </c>
      <c r="B1306" s="8" t="s">
        <v>1387</v>
      </c>
      <c r="C1306" s="8" t="s">
        <v>3417</v>
      </c>
      <c r="D1306" s="8" t="s">
        <v>18</v>
      </c>
      <c r="E1306" s="8" t="s">
        <v>101</v>
      </c>
      <c r="F1306" s="8" t="s">
        <v>3414</v>
      </c>
      <c r="G1306" s="8" t="s">
        <v>3444</v>
      </c>
      <c r="H1306" s="8">
        <v>30</v>
      </c>
      <c r="I1306" s="8">
        <v>30</v>
      </c>
      <c r="J1306" s="8">
        <v>0</v>
      </c>
      <c r="K1306" s="9">
        <v>44974</v>
      </c>
      <c r="L1306" s="8" t="s">
        <v>2222</v>
      </c>
      <c r="M1306" s="8" t="s">
        <v>101</v>
      </c>
      <c r="P1306" s="16" t="s">
        <v>1207</v>
      </c>
      <c r="Q1306" s="2" t="s">
        <v>16</v>
      </c>
      <c r="S1306" s="8" t="s">
        <v>1667</v>
      </c>
      <c r="T1306" s="9" t="s">
        <v>2222</v>
      </c>
      <c r="U1306" s="8">
        <v>0</v>
      </c>
      <c r="V1306" s="20">
        <v>80</v>
      </c>
      <c r="W1306" s="21" t="s">
        <v>101</v>
      </c>
    </row>
    <row r="1307" spans="1:23" ht="75">
      <c r="A1307" s="8" t="s">
        <v>3456</v>
      </c>
      <c r="B1307" s="8" t="s">
        <v>1388</v>
      </c>
      <c r="C1307" s="8" t="s">
        <v>2221</v>
      </c>
      <c r="D1307" s="8" t="s">
        <v>18</v>
      </c>
      <c r="E1307" s="8" t="s">
        <v>2217</v>
      </c>
      <c r="F1307" s="8" t="s">
        <v>2217</v>
      </c>
      <c r="G1307" s="8" t="s">
        <v>2217</v>
      </c>
      <c r="H1307" s="8">
        <v>2</v>
      </c>
      <c r="I1307" s="8">
        <v>2</v>
      </c>
      <c r="J1307" s="8">
        <v>0</v>
      </c>
      <c r="K1307" s="8" t="s">
        <v>2222</v>
      </c>
      <c r="L1307" s="8" t="s">
        <v>2222</v>
      </c>
      <c r="M1307" s="8" t="s">
        <v>38</v>
      </c>
      <c r="P1307" s="16" t="s">
        <v>1207</v>
      </c>
      <c r="Q1307" s="2" t="s">
        <v>16</v>
      </c>
      <c r="S1307" s="8" t="s">
        <v>1668</v>
      </c>
      <c r="T1307" s="9">
        <v>46082</v>
      </c>
      <c r="U1307" s="8">
        <v>0</v>
      </c>
      <c r="V1307" s="20">
        <v>600</v>
      </c>
      <c r="W1307" s="21" t="s">
        <v>16</v>
      </c>
    </row>
    <row r="1308" spans="1:23" ht="75">
      <c r="A1308" s="8" t="s">
        <v>3457</v>
      </c>
      <c r="B1308" s="8" t="s">
        <v>1389</v>
      </c>
      <c r="C1308" s="8" t="s">
        <v>2221</v>
      </c>
      <c r="D1308" s="8" t="s">
        <v>18</v>
      </c>
      <c r="E1308" s="8" t="s">
        <v>2217</v>
      </c>
      <c r="F1308" s="8" t="s">
        <v>2217</v>
      </c>
      <c r="G1308" s="8" t="s">
        <v>2217</v>
      </c>
      <c r="H1308" s="8">
        <v>2</v>
      </c>
      <c r="I1308" s="8">
        <v>2</v>
      </c>
      <c r="J1308" s="8">
        <v>0</v>
      </c>
      <c r="K1308" s="8" t="s">
        <v>2222</v>
      </c>
      <c r="L1308" s="8" t="s">
        <v>2222</v>
      </c>
      <c r="M1308" s="8" t="s">
        <v>38</v>
      </c>
      <c r="P1308" s="16" t="s">
        <v>1207</v>
      </c>
      <c r="Q1308" s="2" t="s">
        <v>16</v>
      </c>
      <c r="S1308" s="8" t="s">
        <v>1669</v>
      </c>
      <c r="T1308" s="9">
        <v>46753</v>
      </c>
      <c r="U1308" s="8">
        <v>0</v>
      </c>
      <c r="V1308" s="20">
        <v>100</v>
      </c>
      <c r="W1308" s="21" t="s">
        <v>16</v>
      </c>
    </row>
    <row r="1309" spans="1:23" ht="75">
      <c r="A1309" s="8" t="s">
        <v>3458</v>
      </c>
      <c r="B1309" s="8" t="s">
        <v>1390</v>
      </c>
      <c r="C1309" s="8" t="s">
        <v>3417</v>
      </c>
      <c r="D1309" s="8" t="s">
        <v>18</v>
      </c>
      <c r="E1309" s="8" t="s">
        <v>101</v>
      </c>
      <c r="F1309" s="8" t="s">
        <v>3414</v>
      </c>
      <c r="G1309" s="8" t="s">
        <v>3459</v>
      </c>
      <c r="H1309" s="8">
        <v>65</v>
      </c>
      <c r="I1309" s="8">
        <v>65</v>
      </c>
      <c r="J1309" s="8">
        <v>0</v>
      </c>
      <c r="K1309" s="9">
        <v>45300</v>
      </c>
      <c r="L1309" s="8" t="s">
        <v>2222</v>
      </c>
      <c r="M1309" s="8" t="s">
        <v>101</v>
      </c>
      <c r="P1309" s="16" t="s">
        <v>1207</v>
      </c>
      <c r="Q1309" s="2" t="s">
        <v>16</v>
      </c>
      <c r="S1309" s="8" t="s">
        <v>1670</v>
      </c>
      <c r="T1309" s="9" t="s">
        <v>2222</v>
      </c>
      <c r="U1309" s="8">
        <v>0</v>
      </c>
      <c r="V1309" s="20">
        <v>15</v>
      </c>
      <c r="W1309" s="21" t="s">
        <v>41</v>
      </c>
    </row>
    <row r="1310" spans="1:23" ht="75">
      <c r="A1310" s="8" t="s">
        <v>3460</v>
      </c>
      <c r="B1310" s="8" t="s">
        <v>1391</v>
      </c>
      <c r="C1310" s="8" t="s">
        <v>3417</v>
      </c>
      <c r="D1310" s="8" t="s">
        <v>18</v>
      </c>
      <c r="E1310" s="8" t="s">
        <v>101</v>
      </c>
      <c r="F1310" s="8" t="s">
        <v>3414</v>
      </c>
      <c r="G1310" s="8" t="s">
        <v>3459</v>
      </c>
      <c r="H1310" s="8">
        <v>78</v>
      </c>
      <c r="I1310" s="8">
        <v>78</v>
      </c>
      <c r="J1310" s="8">
        <v>0</v>
      </c>
      <c r="K1310" s="8" t="s">
        <v>2222</v>
      </c>
      <c r="L1310" s="8" t="s">
        <v>2222</v>
      </c>
      <c r="M1310" s="8" t="s">
        <v>101</v>
      </c>
      <c r="P1310" s="16" t="s">
        <v>1207</v>
      </c>
      <c r="Q1310" s="2" t="s">
        <v>16</v>
      </c>
      <c r="S1310" s="8" t="s">
        <v>1671</v>
      </c>
      <c r="T1310" s="9">
        <v>46935</v>
      </c>
      <c r="U1310" s="8">
        <v>0</v>
      </c>
      <c r="V1310" s="20">
        <v>45</v>
      </c>
      <c r="W1310" s="21" t="s">
        <v>16</v>
      </c>
    </row>
    <row r="1311" spans="1:23" ht="75">
      <c r="A1311" s="8" t="s">
        <v>3461</v>
      </c>
      <c r="B1311" s="8" t="s">
        <v>1392</v>
      </c>
      <c r="C1311" s="8" t="s">
        <v>3417</v>
      </c>
      <c r="D1311" s="8" t="s">
        <v>18</v>
      </c>
      <c r="E1311" s="8" t="s">
        <v>2217</v>
      </c>
      <c r="F1311" s="8" t="s">
        <v>2217</v>
      </c>
      <c r="G1311" s="8" t="s">
        <v>2217</v>
      </c>
      <c r="H1311" s="8">
        <v>5</v>
      </c>
      <c r="I1311" s="8">
        <v>5</v>
      </c>
      <c r="J1311" s="8">
        <v>0</v>
      </c>
      <c r="K1311" s="9">
        <v>45300</v>
      </c>
      <c r="L1311" s="8" t="s">
        <v>2222</v>
      </c>
      <c r="M1311" s="8" t="s">
        <v>101</v>
      </c>
      <c r="P1311" s="16" t="s">
        <v>1208</v>
      </c>
      <c r="Q1311" s="2" t="s">
        <v>16</v>
      </c>
      <c r="S1311" s="8" t="s">
        <v>1672</v>
      </c>
      <c r="T1311" s="9">
        <v>46357</v>
      </c>
      <c r="U1311" s="8">
        <v>0</v>
      </c>
      <c r="V1311" s="20">
        <v>1590</v>
      </c>
      <c r="W1311" s="21" t="s">
        <v>16</v>
      </c>
    </row>
    <row r="1312" spans="1:23" ht="75">
      <c r="A1312" s="8" t="s">
        <v>3462</v>
      </c>
      <c r="B1312" s="8" t="s">
        <v>1392</v>
      </c>
      <c r="C1312" s="8" t="s">
        <v>3417</v>
      </c>
      <c r="D1312" s="8" t="s">
        <v>18</v>
      </c>
      <c r="E1312" s="8" t="s">
        <v>101</v>
      </c>
      <c r="F1312" s="8" t="s">
        <v>3414</v>
      </c>
      <c r="G1312" s="8" t="s">
        <v>3459</v>
      </c>
      <c r="H1312" s="8">
        <v>32</v>
      </c>
      <c r="I1312" s="8">
        <v>32</v>
      </c>
      <c r="J1312" s="8">
        <v>0</v>
      </c>
      <c r="K1312" s="9">
        <v>45300</v>
      </c>
      <c r="L1312" s="8" t="s">
        <v>2222</v>
      </c>
      <c r="M1312" s="8" t="s">
        <v>101</v>
      </c>
      <c r="P1312" s="16" t="s">
        <v>1208</v>
      </c>
      <c r="Q1312" s="2" t="s">
        <v>16</v>
      </c>
      <c r="S1312" s="8" t="s">
        <v>1674</v>
      </c>
      <c r="T1312" s="9">
        <v>46174</v>
      </c>
      <c r="U1312" s="8">
        <v>0</v>
      </c>
      <c r="V1312" s="20">
        <v>14</v>
      </c>
      <c r="W1312" s="21" t="s">
        <v>16</v>
      </c>
    </row>
    <row r="1313" spans="1:23" ht="60">
      <c r="A1313" s="8" t="s">
        <v>3463</v>
      </c>
      <c r="B1313" s="8" t="s">
        <v>1393</v>
      </c>
      <c r="C1313" s="8" t="s">
        <v>3417</v>
      </c>
      <c r="D1313" s="8" t="s">
        <v>18</v>
      </c>
      <c r="E1313" s="8" t="s">
        <v>101</v>
      </c>
      <c r="F1313" s="8" t="s">
        <v>3414</v>
      </c>
      <c r="G1313" s="8" t="s">
        <v>3459</v>
      </c>
      <c r="H1313" s="8">
        <v>50</v>
      </c>
      <c r="I1313" s="8">
        <v>50</v>
      </c>
      <c r="J1313" s="8">
        <v>0</v>
      </c>
      <c r="K1313" s="8" t="s">
        <v>2222</v>
      </c>
      <c r="L1313" s="8" t="s">
        <v>2222</v>
      </c>
      <c r="M1313" s="8" t="s">
        <v>101</v>
      </c>
      <c r="P1313" s="16" t="s">
        <v>1209</v>
      </c>
      <c r="Q1313" s="2" t="s">
        <v>151</v>
      </c>
      <c r="S1313" s="8" t="s">
        <v>1676</v>
      </c>
      <c r="T1313" s="9">
        <v>47027</v>
      </c>
      <c r="U1313" s="8">
        <v>0</v>
      </c>
      <c r="V1313" s="20">
        <v>510</v>
      </c>
      <c r="W1313" s="21" t="s">
        <v>16</v>
      </c>
    </row>
    <row r="1314" spans="1:23" ht="75">
      <c r="A1314" s="8" t="s">
        <v>3464</v>
      </c>
      <c r="B1314" s="8" t="s">
        <v>1394</v>
      </c>
      <c r="C1314" s="8" t="s">
        <v>3417</v>
      </c>
      <c r="D1314" s="8" t="s">
        <v>18</v>
      </c>
      <c r="E1314" s="8" t="s">
        <v>101</v>
      </c>
      <c r="F1314" s="8" t="s">
        <v>3414</v>
      </c>
      <c r="G1314" s="8" t="s">
        <v>3465</v>
      </c>
      <c r="H1314" s="8">
        <v>1</v>
      </c>
      <c r="I1314" s="8">
        <v>1</v>
      </c>
      <c r="J1314" s="8">
        <v>0</v>
      </c>
      <c r="K1314" s="8" t="s">
        <v>2222</v>
      </c>
      <c r="L1314" s="8" t="s">
        <v>2222</v>
      </c>
      <c r="M1314" s="8" t="s">
        <v>38</v>
      </c>
      <c r="P1314" s="16" t="s">
        <v>1210</v>
      </c>
      <c r="Q1314" s="2" t="s">
        <v>312</v>
      </c>
      <c r="S1314" s="8" t="s">
        <v>1677</v>
      </c>
      <c r="T1314" s="9">
        <v>47239</v>
      </c>
      <c r="U1314" s="8">
        <v>0</v>
      </c>
      <c r="V1314" s="20">
        <v>770</v>
      </c>
      <c r="W1314" s="21" t="s">
        <v>16</v>
      </c>
    </row>
    <row r="1315" spans="1:23" ht="75">
      <c r="A1315" s="8" t="s">
        <v>3466</v>
      </c>
      <c r="B1315" s="8" t="s">
        <v>1395</v>
      </c>
      <c r="C1315" s="8" t="s">
        <v>3417</v>
      </c>
      <c r="D1315" s="8" t="s">
        <v>18</v>
      </c>
      <c r="E1315" s="8" t="s">
        <v>101</v>
      </c>
      <c r="F1315" s="8" t="s">
        <v>3414</v>
      </c>
      <c r="G1315" s="8" t="s">
        <v>3465</v>
      </c>
      <c r="H1315" s="8">
        <v>1</v>
      </c>
      <c r="I1315" s="8">
        <v>1</v>
      </c>
      <c r="J1315" s="8">
        <v>0</v>
      </c>
      <c r="K1315" s="8" t="s">
        <v>2222</v>
      </c>
      <c r="L1315" s="8" t="s">
        <v>2222</v>
      </c>
      <c r="M1315" s="8" t="s">
        <v>38</v>
      </c>
      <c r="P1315" s="17" t="s">
        <v>1212</v>
      </c>
      <c r="Q1315" s="2" t="s">
        <v>312</v>
      </c>
      <c r="S1315" s="8" t="s">
        <v>1678</v>
      </c>
      <c r="T1315" s="9">
        <v>46204</v>
      </c>
      <c r="U1315" s="8">
        <v>0</v>
      </c>
      <c r="V1315" s="20">
        <v>13</v>
      </c>
      <c r="W1315" s="21" t="s">
        <v>16</v>
      </c>
    </row>
    <row r="1316" spans="1:23" ht="75">
      <c r="A1316" s="8" t="s">
        <v>3467</v>
      </c>
      <c r="B1316" s="8" t="s">
        <v>1396</v>
      </c>
      <c r="C1316" s="8" t="s">
        <v>3417</v>
      </c>
      <c r="D1316" s="8" t="s">
        <v>18</v>
      </c>
      <c r="E1316" s="8" t="s">
        <v>101</v>
      </c>
      <c r="F1316" s="8" t="s">
        <v>3414</v>
      </c>
      <c r="G1316" s="8" t="s">
        <v>3465</v>
      </c>
      <c r="H1316" s="8">
        <v>1</v>
      </c>
      <c r="I1316" s="8">
        <v>1</v>
      </c>
      <c r="J1316" s="8">
        <v>0</v>
      </c>
      <c r="K1316" s="8" t="s">
        <v>2222</v>
      </c>
      <c r="L1316" s="8" t="s">
        <v>2222</v>
      </c>
      <c r="M1316" s="8" t="s">
        <v>38</v>
      </c>
      <c r="P1316" s="16" t="s">
        <v>1214</v>
      </c>
      <c r="Q1316" s="2" t="s">
        <v>312</v>
      </c>
      <c r="S1316" s="8" t="s">
        <v>1678</v>
      </c>
      <c r="T1316" s="9">
        <v>46266</v>
      </c>
      <c r="U1316" s="8">
        <v>0</v>
      </c>
      <c r="V1316" s="20">
        <v>6520</v>
      </c>
      <c r="W1316" s="21" t="s">
        <v>16</v>
      </c>
    </row>
    <row r="1317" spans="1:23" ht="75">
      <c r="A1317" s="8" t="s">
        <v>3468</v>
      </c>
      <c r="B1317" s="8" t="s">
        <v>1397</v>
      </c>
      <c r="C1317" s="8" t="s">
        <v>3417</v>
      </c>
      <c r="D1317" s="8" t="s">
        <v>18</v>
      </c>
      <c r="E1317" s="8" t="s">
        <v>101</v>
      </c>
      <c r="F1317" s="8" t="s">
        <v>3414</v>
      </c>
      <c r="G1317" s="8" t="s">
        <v>3465</v>
      </c>
      <c r="H1317" s="8">
        <v>1</v>
      </c>
      <c r="I1317" s="8">
        <v>1</v>
      </c>
      <c r="J1317" s="8">
        <v>0</v>
      </c>
      <c r="K1317" s="8" t="s">
        <v>2222</v>
      </c>
      <c r="L1317" s="8" t="s">
        <v>2222</v>
      </c>
      <c r="M1317" s="8" t="s">
        <v>38</v>
      </c>
      <c r="P1317" s="16" t="s">
        <v>1214</v>
      </c>
      <c r="Q1317" s="2" t="s">
        <v>312</v>
      </c>
      <c r="S1317" s="8" t="s">
        <v>1681</v>
      </c>
      <c r="T1317" s="9">
        <v>46266</v>
      </c>
      <c r="U1317" s="8">
        <v>0</v>
      </c>
      <c r="V1317" s="20">
        <v>3</v>
      </c>
      <c r="W1317" s="21" t="s">
        <v>16</v>
      </c>
    </row>
    <row r="1318" spans="1:23" ht="75">
      <c r="A1318" s="8" t="s">
        <v>3469</v>
      </c>
      <c r="B1318" s="8" t="s">
        <v>1398</v>
      </c>
      <c r="C1318" s="8" t="s">
        <v>3417</v>
      </c>
      <c r="D1318" s="8" t="s">
        <v>18</v>
      </c>
      <c r="E1318" s="8" t="s">
        <v>101</v>
      </c>
      <c r="F1318" s="8" t="s">
        <v>3414</v>
      </c>
      <c r="G1318" s="8" t="s">
        <v>3465</v>
      </c>
      <c r="H1318" s="8">
        <v>1</v>
      </c>
      <c r="I1318" s="8">
        <v>1</v>
      </c>
      <c r="J1318" s="8">
        <v>0</v>
      </c>
      <c r="K1318" s="8" t="s">
        <v>2222</v>
      </c>
      <c r="L1318" s="8" t="s">
        <v>2222</v>
      </c>
      <c r="M1318" s="8" t="s">
        <v>38</v>
      </c>
      <c r="P1318" s="16" t="s">
        <v>1216</v>
      </c>
      <c r="Q1318" s="2" t="s">
        <v>312</v>
      </c>
      <c r="S1318" s="8" t="s">
        <v>1681</v>
      </c>
      <c r="T1318" s="9">
        <v>46569</v>
      </c>
      <c r="U1318" s="8">
        <v>0</v>
      </c>
      <c r="V1318" s="20">
        <v>550</v>
      </c>
      <c r="W1318" s="21" t="s">
        <v>16</v>
      </c>
    </row>
    <row r="1319" spans="1:23" ht="75">
      <c r="A1319" s="8" t="s">
        <v>3470</v>
      </c>
      <c r="B1319" s="8" t="s">
        <v>1399</v>
      </c>
      <c r="C1319" s="8" t="s">
        <v>3417</v>
      </c>
      <c r="D1319" s="8" t="s">
        <v>18</v>
      </c>
      <c r="E1319" s="8" t="s">
        <v>101</v>
      </c>
      <c r="F1319" s="8" t="s">
        <v>3414</v>
      </c>
      <c r="G1319" s="8" t="s">
        <v>3465</v>
      </c>
      <c r="H1319" s="8">
        <v>1</v>
      </c>
      <c r="I1319" s="8">
        <v>1</v>
      </c>
      <c r="J1319" s="8">
        <v>0</v>
      </c>
      <c r="K1319" s="8" t="s">
        <v>2222</v>
      </c>
      <c r="L1319" s="8" t="s">
        <v>2222</v>
      </c>
      <c r="M1319" s="8" t="s">
        <v>38</v>
      </c>
      <c r="P1319" s="16" t="s">
        <v>1217</v>
      </c>
      <c r="Q1319" s="2" t="s">
        <v>312</v>
      </c>
      <c r="S1319" s="8" t="s">
        <v>1682</v>
      </c>
      <c r="T1319" s="9">
        <v>46692</v>
      </c>
      <c r="U1319" s="8">
        <v>0</v>
      </c>
      <c r="V1319" s="20">
        <v>8</v>
      </c>
      <c r="W1319" s="21" t="s">
        <v>16</v>
      </c>
    </row>
    <row r="1320" spans="1:23" ht="75">
      <c r="A1320" s="8" t="s">
        <v>3471</v>
      </c>
      <c r="B1320" s="8" t="s">
        <v>1400</v>
      </c>
      <c r="C1320" s="8" t="s">
        <v>3417</v>
      </c>
      <c r="D1320" s="8" t="s">
        <v>18</v>
      </c>
      <c r="E1320" s="8" t="s">
        <v>101</v>
      </c>
      <c r="F1320" s="8" t="s">
        <v>3414</v>
      </c>
      <c r="G1320" s="8" t="s">
        <v>3465</v>
      </c>
      <c r="H1320" s="8">
        <v>1</v>
      </c>
      <c r="I1320" s="8">
        <v>1</v>
      </c>
      <c r="J1320" s="8">
        <v>0</v>
      </c>
      <c r="K1320" s="8" t="s">
        <v>2222</v>
      </c>
      <c r="L1320" s="8" t="s">
        <v>2222</v>
      </c>
      <c r="M1320" s="8" t="s">
        <v>38</v>
      </c>
      <c r="P1320" s="16" t="s">
        <v>1218</v>
      </c>
      <c r="Q1320" s="2" t="s">
        <v>43</v>
      </c>
      <c r="S1320" s="8" t="s">
        <v>1682</v>
      </c>
      <c r="T1320" s="9">
        <v>47150</v>
      </c>
      <c r="U1320" s="8">
        <v>0</v>
      </c>
      <c r="V1320" s="20">
        <v>880</v>
      </c>
      <c r="W1320" s="21" t="s">
        <v>16</v>
      </c>
    </row>
    <row r="1321" spans="1:23" ht="75">
      <c r="A1321" s="8" t="s">
        <v>3472</v>
      </c>
      <c r="B1321" s="8" t="s">
        <v>1401</v>
      </c>
      <c r="C1321" s="8" t="s">
        <v>3417</v>
      </c>
      <c r="D1321" s="8" t="s">
        <v>18</v>
      </c>
      <c r="E1321" s="8" t="s">
        <v>101</v>
      </c>
      <c r="F1321" s="8" t="s">
        <v>3414</v>
      </c>
      <c r="G1321" s="8" t="s">
        <v>3465</v>
      </c>
      <c r="H1321" s="8">
        <v>1</v>
      </c>
      <c r="I1321" s="8">
        <v>1</v>
      </c>
      <c r="J1321" s="8">
        <v>0</v>
      </c>
      <c r="K1321" s="8" t="s">
        <v>2222</v>
      </c>
      <c r="L1321" s="8" t="s">
        <v>2222</v>
      </c>
      <c r="M1321" s="8" t="s">
        <v>38</v>
      </c>
      <c r="P1321" s="16" t="s">
        <v>1219</v>
      </c>
      <c r="Q1321" s="2" t="s">
        <v>43</v>
      </c>
      <c r="S1321" s="8" t="s">
        <v>1683</v>
      </c>
      <c r="T1321" s="9">
        <v>46569</v>
      </c>
      <c r="U1321" s="8">
        <v>0</v>
      </c>
      <c r="V1321" s="20">
        <v>220</v>
      </c>
      <c r="W1321" s="21" t="s">
        <v>16</v>
      </c>
    </row>
    <row r="1322" spans="1:23" ht="75">
      <c r="A1322" s="8" t="s">
        <v>3473</v>
      </c>
      <c r="B1322" s="8" t="s">
        <v>1402</v>
      </c>
      <c r="C1322" s="8" t="s">
        <v>3417</v>
      </c>
      <c r="D1322" s="8" t="s">
        <v>18</v>
      </c>
      <c r="E1322" s="8" t="s">
        <v>101</v>
      </c>
      <c r="F1322" s="8" t="s">
        <v>3414</v>
      </c>
      <c r="G1322" s="8" t="s">
        <v>3465</v>
      </c>
      <c r="H1322" s="8">
        <v>1</v>
      </c>
      <c r="I1322" s="8">
        <v>1</v>
      </c>
      <c r="J1322" s="8">
        <v>0</v>
      </c>
      <c r="K1322" s="8" t="s">
        <v>2222</v>
      </c>
      <c r="L1322" s="8" t="s">
        <v>2222</v>
      </c>
      <c r="M1322" s="8" t="s">
        <v>38</v>
      </c>
      <c r="P1322" s="16" t="s">
        <v>1220</v>
      </c>
      <c r="Q1322" s="2" t="s">
        <v>16</v>
      </c>
      <c r="S1322" s="8" t="s">
        <v>1684</v>
      </c>
      <c r="T1322" s="9">
        <v>45809</v>
      </c>
      <c r="U1322" s="8">
        <v>0</v>
      </c>
      <c r="V1322" s="20">
        <v>244</v>
      </c>
      <c r="W1322" s="21" t="s">
        <v>16</v>
      </c>
    </row>
    <row r="1323" spans="1:23" ht="75">
      <c r="A1323" s="8" t="s">
        <v>3474</v>
      </c>
      <c r="B1323" s="8" t="s">
        <v>1403</v>
      </c>
      <c r="C1323" s="8" t="s">
        <v>3417</v>
      </c>
      <c r="D1323" s="8" t="s">
        <v>18</v>
      </c>
      <c r="E1323" s="8" t="s">
        <v>101</v>
      </c>
      <c r="F1323" s="8" t="s">
        <v>3414</v>
      </c>
      <c r="G1323" s="8" t="s">
        <v>3475</v>
      </c>
      <c r="H1323" s="8">
        <v>148</v>
      </c>
      <c r="I1323" s="8">
        <v>148</v>
      </c>
      <c r="J1323" s="8">
        <v>0</v>
      </c>
      <c r="K1323" s="8" t="s">
        <v>2222</v>
      </c>
      <c r="L1323" s="8" t="s">
        <v>2222</v>
      </c>
      <c r="M1323" s="8" t="s">
        <v>101</v>
      </c>
      <c r="P1323" s="16" t="s">
        <v>1220</v>
      </c>
      <c r="Q1323" s="2" t="s">
        <v>16</v>
      </c>
      <c r="S1323" s="8" t="s">
        <v>1685</v>
      </c>
      <c r="T1323" s="9">
        <v>45809</v>
      </c>
      <c r="U1323" s="8">
        <v>0</v>
      </c>
      <c r="V1323" s="20">
        <v>108</v>
      </c>
      <c r="W1323" s="21" t="s">
        <v>16</v>
      </c>
    </row>
    <row r="1324" spans="1:23" ht="75">
      <c r="A1324" s="8" t="s">
        <v>3476</v>
      </c>
      <c r="B1324" s="8" t="s">
        <v>1404</v>
      </c>
      <c r="C1324" s="8" t="s">
        <v>3417</v>
      </c>
      <c r="D1324" s="8" t="s">
        <v>18</v>
      </c>
      <c r="E1324" s="8" t="s">
        <v>101</v>
      </c>
      <c r="F1324" s="8" t="s">
        <v>3414</v>
      </c>
      <c r="G1324" s="8" t="s">
        <v>3475</v>
      </c>
      <c r="H1324" s="8">
        <v>85</v>
      </c>
      <c r="I1324" s="8">
        <v>85</v>
      </c>
      <c r="J1324" s="8">
        <v>0</v>
      </c>
      <c r="K1324" s="8" t="s">
        <v>2222</v>
      </c>
      <c r="L1324" s="8" t="s">
        <v>2222</v>
      </c>
      <c r="M1324" s="8" t="s">
        <v>101</v>
      </c>
      <c r="P1324" s="16" t="s">
        <v>1221</v>
      </c>
      <c r="Q1324" s="2" t="s">
        <v>16</v>
      </c>
      <c r="S1324" s="8" t="s">
        <v>1686</v>
      </c>
      <c r="T1324" s="9" t="s">
        <v>2222</v>
      </c>
      <c r="U1324" s="8">
        <v>0</v>
      </c>
      <c r="V1324" s="20">
        <v>10</v>
      </c>
      <c r="W1324" s="21" t="s">
        <v>41</v>
      </c>
    </row>
    <row r="1325" spans="1:23" ht="75">
      <c r="A1325" s="8" t="s">
        <v>3478</v>
      </c>
      <c r="B1325" s="8" t="s">
        <v>1406</v>
      </c>
      <c r="C1325" s="8" t="s">
        <v>3417</v>
      </c>
      <c r="D1325" s="8" t="s">
        <v>18</v>
      </c>
      <c r="E1325" s="8" t="s">
        <v>101</v>
      </c>
      <c r="F1325" s="8" t="s">
        <v>3414</v>
      </c>
      <c r="G1325" s="8" t="s">
        <v>3475</v>
      </c>
      <c r="H1325" s="8">
        <v>136</v>
      </c>
      <c r="I1325" s="8">
        <v>136</v>
      </c>
      <c r="J1325" s="8">
        <v>0</v>
      </c>
      <c r="K1325" s="8" t="s">
        <v>2222</v>
      </c>
      <c r="L1325" s="8" t="s">
        <v>2222</v>
      </c>
      <c r="M1325" s="8" t="s">
        <v>101</v>
      </c>
      <c r="P1325" s="16" t="s">
        <v>1221</v>
      </c>
      <c r="Q1325" s="2" t="s">
        <v>16</v>
      </c>
      <c r="S1325" s="8" t="s">
        <v>1687</v>
      </c>
      <c r="T1325" s="9">
        <v>46143</v>
      </c>
      <c r="U1325" s="8">
        <v>0</v>
      </c>
      <c r="V1325" s="20">
        <v>310</v>
      </c>
      <c r="W1325" s="21" t="s">
        <v>151</v>
      </c>
    </row>
    <row r="1326" spans="1:23" ht="90">
      <c r="A1326" s="8" t="s">
        <v>3477</v>
      </c>
      <c r="B1326" s="8" t="s">
        <v>1405</v>
      </c>
      <c r="C1326" s="8" t="s">
        <v>3417</v>
      </c>
      <c r="D1326" s="8" t="s">
        <v>18</v>
      </c>
      <c r="E1326" s="8" t="s">
        <v>2217</v>
      </c>
      <c r="F1326" s="8" t="s">
        <v>2217</v>
      </c>
      <c r="G1326" s="8" t="s">
        <v>2217</v>
      </c>
      <c r="H1326" s="8">
        <v>1</v>
      </c>
      <c r="I1326" s="8">
        <v>1</v>
      </c>
      <c r="J1326" s="8">
        <v>0</v>
      </c>
      <c r="K1326" s="8" t="s">
        <v>2222</v>
      </c>
      <c r="L1326" s="8" t="s">
        <v>2222</v>
      </c>
      <c r="M1326" s="8" t="s">
        <v>38</v>
      </c>
      <c r="P1326" s="16" t="s">
        <v>1221</v>
      </c>
      <c r="Q1326" s="2" t="s">
        <v>16</v>
      </c>
      <c r="S1326" s="8" t="s">
        <v>1688</v>
      </c>
      <c r="T1326" s="9">
        <v>45689</v>
      </c>
      <c r="U1326" s="8">
        <v>0</v>
      </c>
      <c r="V1326" s="20">
        <v>24</v>
      </c>
      <c r="W1326" s="21" t="s">
        <v>151</v>
      </c>
    </row>
    <row r="1327" spans="1:23" ht="75">
      <c r="A1327" s="8" t="s">
        <v>3480</v>
      </c>
      <c r="B1327" s="8" t="s">
        <v>1408</v>
      </c>
      <c r="C1327" s="8" t="s">
        <v>3417</v>
      </c>
      <c r="D1327" s="8" t="s">
        <v>18</v>
      </c>
      <c r="E1327" s="8" t="s">
        <v>101</v>
      </c>
      <c r="F1327" s="8" t="s">
        <v>3414</v>
      </c>
      <c r="G1327" s="8" t="s">
        <v>3475</v>
      </c>
      <c r="H1327" s="8">
        <v>146</v>
      </c>
      <c r="I1327" s="8">
        <v>146</v>
      </c>
      <c r="J1327" s="8">
        <v>0</v>
      </c>
      <c r="K1327" s="8" t="s">
        <v>2222</v>
      </c>
      <c r="L1327" s="8" t="s">
        <v>2222</v>
      </c>
      <c r="M1327" s="8" t="s">
        <v>101</v>
      </c>
      <c r="P1327" s="16" t="s">
        <v>1221</v>
      </c>
      <c r="Q1327" s="2" t="s">
        <v>16</v>
      </c>
      <c r="S1327" s="8" t="s">
        <v>1690</v>
      </c>
      <c r="T1327" s="9">
        <v>45931</v>
      </c>
      <c r="U1327" s="8">
        <v>0</v>
      </c>
      <c r="V1327" s="20">
        <v>845</v>
      </c>
      <c r="W1327" s="21" t="s">
        <v>151</v>
      </c>
    </row>
    <row r="1328" spans="1:23" ht="90">
      <c r="A1328" s="8" t="s">
        <v>3479</v>
      </c>
      <c r="B1328" s="8" t="s">
        <v>1407</v>
      </c>
      <c r="C1328" s="8" t="s">
        <v>3417</v>
      </c>
      <c r="D1328" s="8" t="s">
        <v>18</v>
      </c>
      <c r="E1328" s="8" t="s">
        <v>2217</v>
      </c>
      <c r="F1328" s="8" t="s">
        <v>2217</v>
      </c>
      <c r="G1328" s="8" t="s">
        <v>2217</v>
      </c>
      <c r="H1328" s="8">
        <v>1</v>
      </c>
      <c r="I1328" s="8">
        <v>1</v>
      </c>
      <c r="J1328" s="8">
        <v>0</v>
      </c>
      <c r="K1328" s="8" t="s">
        <v>2222</v>
      </c>
      <c r="L1328" s="8" t="s">
        <v>2222</v>
      </c>
      <c r="M1328" s="8" t="s">
        <v>38</v>
      </c>
      <c r="P1328" s="16" t="s">
        <v>1222</v>
      </c>
      <c r="Q1328" s="2" t="s">
        <v>38</v>
      </c>
      <c r="S1328" s="8" t="s">
        <v>1691</v>
      </c>
      <c r="T1328" s="9">
        <v>45809</v>
      </c>
      <c r="U1328" s="8">
        <v>0</v>
      </c>
      <c r="V1328" s="20">
        <v>13</v>
      </c>
      <c r="W1328" s="21" t="s">
        <v>151</v>
      </c>
    </row>
    <row r="1329" spans="1:23" ht="75">
      <c r="A1329" s="8" t="s">
        <v>3481</v>
      </c>
      <c r="B1329" s="8" t="s">
        <v>1409</v>
      </c>
      <c r="C1329" s="8" t="s">
        <v>3417</v>
      </c>
      <c r="D1329" s="8" t="s">
        <v>18</v>
      </c>
      <c r="E1329" s="8" t="s">
        <v>101</v>
      </c>
      <c r="F1329" s="8" t="s">
        <v>3414</v>
      </c>
      <c r="G1329" s="8" t="s">
        <v>3475</v>
      </c>
      <c r="H1329" s="8">
        <v>44</v>
      </c>
      <c r="I1329" s="8">
        <v>44</v>
      </c>
      <c r="J1329" s="8">
        <v>0</v>
      </c>
      <c r="K1329" s="9">
        <v>45324</v>
      </c>
      <c r="L1329" s="8" t="s">
        <v>2222</v>
      </c>
      <c r="M1329" s="8" t="s">
        <v>101</v>
      </c>
      <c r="P1329" s="16" t="s">
        <v>1223</v>
      </c>
      <c r="Q1329" s="2" t="s">
        <v>38</v>
      </c>
      <c r="S1329" s="8" t="s">
        <v>1692</v>
      </c>
      <c r="T1329" s="9">
        <v>45809</v>
      </c>
      <c r="U1329" s="8">
        <v>0</v>
      </c>
      <c r="V1329" s="20">
        <v>216</v>
      </c>
      <c r="W1329" s="21" t="s">
        <v>151</v>
      </c>
    </row>
    <row r="1330" spans="1:23" ht="75">
      <c r="A1330" s="8" t="s">
        <v>3482</v>
      </c>
      <c r="B1330" s="8" t="s">
        <v>1410</v>
      </c>
      <c r="C1330" s="8" t="s">
        <v>3417</v>
      </c>
      <c r="D1330" s="8" t="s">
        <v>18</v>
      </c>
      <c r="E1330" s="8" t="s">
        <v>101</v>
      </c>
      <c r="F1330" s="8" t="s">
        <v>3414</v>
      </c>
      <c r="G1330" s="8" t="s">
        <v>3475</v>
      </c>
      <c r="H1330" s="8">
        <v>17</v>
      </c>
      <c r="I1330" s="8">
        <v>17</v>
      </c>
      <c r="J1330" s="8">
        <v>0</v>
      </c>
      <c r="K1330" s="8" t="s">
        <v>2222</v>
      </c>
      <c r="L1330" s="8" t="s">
        <v>2222</v>
      </c>
      <c r="M1330" s="8" t="s">
        <v>101</v>
      </c>
      <c r="P1330" s="16" t="s">
        <v>1224</v>
      </c>
      <c r="Q1330" s="2" t="s">
        <v>16</v>
      </c>
      <c r="S1330" s="8" t="s">
        <v>1693</v>
      </c>
      <c r="T1330" s="9">
        <v>45839</v>
      </c>
      <c r="U1330" s="8">
        <v>0</v>
      </c>
      <c r="V1330" s="20">
        <v>1483</v>
      </c>
      <c r="W1330" s="21" t="s">
        <v>16</v>
      </c>
    </row>
    <row r="1331" spans="1:23" ht="90">
      <c r="A1331" s="8" t="s">
        <v>3483</v>
      </c>
      <c r="B1331" s="8" t="s">
        <v>1411</v>
      </c>
      <c r="C1331" s="8" t="s">
        <v>3417</v>
      </c>
      <c r="D1331" s="8" t="s">
        <v>18</v>
      </c>
      <c r="E1331" s="8" t="s">
        <v>101</v>
      </c>
      <c r="F1331" s="8" t="s">
        <v>3414</v>
      </c>
      <c r="G1331" s="8" t="s">
        <v>3484</v>
      </c>
      <c r="H1331" s="8">
        <v>159</v>
      </c>
      <c r="I1331" s="8">
        <v>159</v>
      </c>
      <c r="J1331" s="8">
        <v>0</v>
      </c>
      <c r="K1331" s="8" t="s">
        <v>2222</v>
      </c>
      <c r="L1331" s="8" t="s">
        <v>2222</v>
      </c>
      <c r="M1331" s="8" t="s">
        <v>101</v>
      </c>
      <c r="P1331" s="16" t="s">
        <v>1226</v>
      </c>
      <c r="Q1331" s="2" t="s">
        <v>16</v>
      </c>
      <c r="S1331" s="8" t="s">
        <v>1695</v>
      </c>
      <c r="T1331" s="9">
        <v>45962</v>
      </c>
      <c r="U1331" s="8">
        <v>0</v>
      </c>
      <c r="V1331" s="20">
        <v>720</v>
      </c>
      <c r="W1331" s="21" t="s">
        <v>16</v>
      </c>
    </row>
    <row r="1332" spans="1:23" ht="90">
      <c r="A1332" s="8" t="s">
        <v>3485</v>
      </c>
      <c r="B1332" s="8" t="s">
        <v>1412</v>
      </c>
      <c r="C1332" s="8" t="s">
        <v>3417</v>
      </c>
      <c r="D1332" s="8" t="s">
        <v>18</v>
      </c>
      <c r="E1332" s="8" t="s">
        <v>101</v>
      </c>
      <c r="F1332" s="8" t="s">
        <v>3414</v>
      </c>
      <c r="G1332" s="8" t="s">
        <v>3484</v>
      </c>
      <c r="H1332" s="8">
        <v>148</v>
      </c>
      <c r="I1332" s="8">
        <v>148</v>
      </c>
      <c r="J1332" s="8">
        <v>0</v>
      </c>
      <c r="K1332" s="8" t="s">
        <v>2222</v>
      </c>
      <c r="L1332" s="8" t="s">
        <v>2222</v>
      </c>
      <c r="M1332" s="8" t="s">
        <v>101</v>
      </c>
      <c r="P1332" s="16" t="s">
        <v>1228</v>
      </c>
      <c r="Q1332" s="2" t="s">
        <v>16</v>
      </c>
      <c r="S1332" s="8" t="s">
        <v>1696</v>
      </c>
      <c r="T1332" s="9">
        <v>46631</v>
      </c>
      <c r="U1332" s="8">
        <v>0</v>
      </c>
      <c r="V1332" s="20">
        <v>700</v>
      </c>
      <c r="W1332" s="21" t="s">
        <v>16</v>
      </c>
    </row>
    <row r="1333" spans="1:23" ht="90">
      <c r="A1333" s="8" t="s">
        <v>3487</v>
      </c>
      <c r="B1333" s="8" t="s">
        <v>1414</v>
      </c>
      <c r="C1333" s="8" t="s">
        <v>3417</v>
      </c>
      <c r="D1333" s="8" t="s">
        <v>18</v>
      </c>
      <c r="E1333" s="8" t="s">
        <v>101</v>
      </c>
      <c r="F1333" s="8" t="s">
        <v>3414</v>
      </c>
      <c r="G1333" s="8" t="s">
        <v>3484</v>
      </c>
      <c r="H1333" s="8">
        <v>135</v>
      </c>
      <c r="I1333" s="8">
        <v>135</v>
      </c>
      <c r="J1333" s="8">
        <v>0</v>
      </c>
      <c r="K1333" s="8" t="s">
        <v>2222</v>
      </c>
      <c r="L1333" s="8" t="s">
        <v>2222</v>
      </c>
      <c r="M1333" s="8" t="s">
        <v>101</v>
      </c>
      <c r="P1333" s="16" t="s">
        <v>1230</v>
      </c>
      <c r="Q1333" s="2" t="s">
        <v>43</v>
      </c>
      <c r="S1333" s="8" t="s">
        <v>1696</v>
      </c>
      <c r="T1333" s="9">
        <v>46357</v>
      </c>
      <c r="U1333" s="8">
        <v>0</v>
      </c>
      <c r="V1333" s="20">
        <v>2521</v>
      </c>
      <c r="W1333" s="21" t="s">
        <v>16</v>
      </c>
    </row>
    <row r="1334" spans="1:23" ht="105">
      <c r="A1334" s="8" t="s">
        <v>3486</v>
      </c>
      <c r="B1334" s="8" t="s">
        <v>1413</v>
      </c>
      <c r="C1334" s="8" t="s">
        <v>3417</v>
      </c>
      <c r="D1334" s="8" t="s">
        <v>18</v>
      </c>
      <c r="E1334" s="8" t="s">
        <v>2217</v>
      </c>
      <c r="F1334" s="8" t="s">
        <v>2217</v>
      </c>
      <c r="G1334" s="8" t="s">
        <v>2217</v>
      </c>
      <c r="H1334" s="8">
        <v>1</v>
      </c>
      <c r="I1334" s="8">
        <v>1</v>
      </c>
      <c r="J1334" s="8">
        <v>0</v>
      </c>
      <c r="K1334" s="8" t="s">
        <v>2222</v>
      </c>
      <c r="L1334" s="8" t="s">
        <v>2222</v>
      </c>
      <c r="M1334" s="8" t="s">
        <v>38</v>
      </c>
      <c r="P1334" s="16" t="s">
        <v>1231</v>
      </c>
      <c r="Q1334" s="2" t="s">
        <v>16</v>
      </c>
      <c r="S1334" s="8" t="s">
        <v>1698</v>
      </c>
      <c r="T1334" s="9">
        <v>46631</v>
      </c>
      <c r="U1334" s="8">
        <v>0</v>
      </c>
      <c r="V1334" s="20">
        <v>1000</v>
      </c>
      <c r="W1334" s="21" t="s">
        <v>16</v>
      </c>
    </row>
    <row r="1335" spans="1:23" ht="90">
      <c r="A1335" s="8" t="s">
        <v>3489</v>
      </c>
      <c r="B1335" s="8" t="s">
        <v>1416</v>
      </c>
      <c r="C1335" s="8" t="s">
        <v>3417</v>
      </c>
      <c r="D1335" s="8" t="s">
        <v>18</v>
      </c>
      <c r="E1335" s="8" t="s">
        <v>101</v>
      </c>
      <c r="F1335" s="8" t="s">
        <v>3414</v>
      </c>
      <c r="G1335" s="8" t="s">
        <v>3484</v>
      </c>
      <c r="H1335" s="8">
        <v>182</v>
      </c>
      <c r="I1335" s="8">
        <v>182</v>
      </c>
      <c r="J1335" s="8">
        <v>0</v>
      </c>
      <c r="K1335" s="8" t="s">
        <v>2222</v>
      </c>
      <c r="L1335" s="8" t="s">
        <v>2222</v>
      </c>
      <c r="M1335" s="8" t="s">
        <v>101</v>
      </c>
      <c r="P1335" s="16" t="s">
        <v>1233</v>
      </c>
      <c r="Q1335" s="2" t="s">
        <v>16</v>
      </c>
      <c r="S1335" s="8" t="s">
        <v>1699</v>
      </c>
      <c r="T1335" s="9">
        <v>46478</v>
      </c>
      <c r="U1335" s="8">
        <v>0</v>
      </c>
      <c r="V1335" s="20">
        <v>500</v>
      </c>
      <c r="W1335" s="21" t="s">
        <v>16</v>
      </c>
    </row>
    <row r="1336" spans="1:23" ht="105">
      <c r="A1336" s="8" t="s">
        <v>3488</v>
      </c>
      <c r="B1336" s="8" t="s">
        <v>1415</v>
      </c>
      <c r="C1336" s="8" t="s">
        <v>3417</v>
      </c>
      <c r="D1336" s="8" t="s">
        <v>18</v>
      </c>
      <c r="E1336" s="8" t="s">
        <v>2217</v>
      </c>
      <c r="F1336" s="8" t="s">
        <v>2217</v>
      </c>
      <c r="G1336" s="8" t="s">
        <v>2217</v>
      </c>
      <c r="H1336" s="8">
        <v>1</v>
      </c>
      <c r="I1336" s="8">
        <v>1</v>
      </c>
      <c r="J1336" s="8">
        <v>0</v>
      </c>
      <c r="K1336" s="8" t="s">
        <v>2222</v>
      </c>
      <c r="L1336" s="8" t="s">
        <v>2222</v>
      </c>
      <c r="M1336" s="8" t="s">
        <v>38</v>
      </c>
      <c r="P1336" s="16" t="s">
        <v>1235</v>
      </c>
      <c r="Q1336" s="2" t="s">
        <v>16</v>
      </c>
      <c r="S1336" s="8" t="s">
        <v>1700</v>
      </c>
      <c r="T1336" s="9">
        <v>46327</v>
      </c>
      <c r="U1336" s="8">
        <v>0</v>
      </c>
      <c r="V1336" s="20">
        <v>5</v>
      </c>
      <c r="W1336" s="21" t="s">
        <v>38</v>
      </c>
    </row>
    <row r="1337" spans="1:23" ht="90">
      <c r="A1337" s="8" t="s">
        <v>3490</v>
      </c>
      <c r="B1337" s="8" t="s">
        <v>1417</v>
      </c>
      <c r="C1337" s="8" t="s">
        <v>3417</v>
      </c>
      <c r="D1337" s="8" t="s">
        <v>18</v>
      </c>
      <c r="E1337" s="8" t="s">
        <v>101</v>
      </c>
      <c r="F1337" s="8" t="s">
        <v>3414</v>
      </c>
      <c r="G1337" s="8" t="s">
        <v>3484</v>
      </c>
      <c r="H1337" s="8">
        <v>41</v>
      </c>
      <c r="I1337" s="8">
        <v>41</v>
      </c>
      <c r="J1337" s="8">
        <v>0</v>
      </c>
      <c r="K1337" s="8" t="s">
        <v>2222</v>
      </c>
      <c r="L1337" s="8" t="s">
        <v>2222</v>
      </c>
      <c r="M1337" s="8" t="s">
        <v>101</v>
      </c>
      <c r="P1337" s="16" t="s">
        <v>1235</v>
      </c>
      <c r="Q1337" s="2" t="s">
        <v>16</v>
      </c>
      <c r="S1337" s="8" t="s">
        <v>1701</v>
      </c>
      <c r="T1337" s="9">
        <v>46327</v>
      </c>
      <c r="U1337" s="8">
        <v>0</v>
      </c>
      <c r="V1337" s="20">
        <v>5</v>
      </c>
      <c r="W1337" s="21" t="s">
        <v>38</v>
      </c>
    </row>
    <row r="1338" spans="1:23" ht="90">
      <c r="A1338" s="8" t="s">
        <v>3491</v>
      </c>
      <c r="B1338" s="8" t="s">
        <v>1418</v>
      </c>
      <c r="C1338" s="8" t="s">
        <v>3417</v>
      </c>
      <c r="D1338" s="8" t="s">
        <v>18</v>
      </c>
      <c r="E1338" s="8" t="s">
        <v>101</v>
      </c>
      <c r="F1338" s="8" t="s">
        <v>3414</v>
      </c>
      <c r="G1338" s="8" t="s">
        <v>3484</v>
      </c>
      <c r="H1338" s="8">
        <v>22</v>
      </c>
      <c r="I1338" s="8">
        <v>22</v>
      </c>
      <c r="J1338" s="8">
        <v>0</v>
      </c>
      <c r="K1338" s="8" t="s">
        <v>2222</v>
      </c>
      <c r="L1338" s="8" t="s">
        <v>2222</v>
      </c>
      <c r="M1338" s="8" t="s">
        <v>101</v>
      </c>
      <c r="P1338" s="16" t="s">
        <v>1235</v>
      </c>
      <c r="Q1338" s="2" t="s">
        <v>16</v>
      </c>
      <c r="S1338" s="8" t="s">
        <v>1702</v>
      </c>
      <c r="T1338" s="9">
        <v>46327</v>
      </c>
      <c r="U1338" s="8">
        <v>0</v>
      </c>
      <c r="V1338" s="20">
        <v>5</v>
      </c>
      <c r="W1338" s="21" t="s">
        <v>38</v>
      </c>
    </row>
    <row r="1339" spans="1:23" ht="75">
      <c r="A1339" s="8" t="s">
        <v>3492</v>
      </c>
      <c r="B1339" s="8" t="s">
        <v>1419</v>
      </c>
      <c r="C1339" s="8" t="s">
        <v>3417</v>
      </c>
      <c r="D1339" s="8" t="s">
        <v>18</v>
      </c>
      <c r="E1339" s="8" t="s">
        <v>101</v>
      </c>
      <c r="F1339" s="8" t="s">
        <v>3414</v>
      </c>
      <c r="G1339" s="8" t="s">
        <v>3493</v>
      </c>
      <c r="H1339" s="8">
        <v>25</v>
      </c>
      <c r="I1339" s="8">
        <v>25</v>
      </c>
      <c r="J1339" s="8">
        <v>0</v>
      </c>
      <c r="K1339" s="9">
        <v>45338</v>
      </c>
      <c r="L1339" s="8" t="s">
        <v>2222</v>
      </c>
      <c r="M1339" s="8" t="s">
        <v>101</v>
      </c>
      <c r="P1339" s="16" t="s">
        <v>1236</v>
      </c>
      <c r="Q1339" s="2" t="s">
        <v>16</v>
      </c>
      <c r="S1339" s="8" t="s">
        <v>1703</v>
      </c>
      <c r="T1339" s="9">
        <v>46478</v>
      </c>
      <c r="U1339" s="8">
        <v>0</v>
      </c>
      <c r="V1339" s="20">
        <v>480</v>
      </c>
      <c r="W1339" s="21" t="s">
        <v>16</v>
      </c>
    </row>
    <row r="1340" spans="1:23" ht="75">
      <c r="A1340" s="8" t="s">
        <v>3494</v>
      </c>
      <c r="B1340" s="8" t="s">
        <v>1420</v>
      </c>
      <c r="C1340" s="8" t="s">
        <v>2221</v>
      </c>
      <c r="D1340" s="8" t="s">
        <v>18</v>
      </c>
      <c r="E1340" s="8" t="s">
        <v>2217</v>
      </c>
      <c r="F1340" s="8" t="s">
        <v>2217</v>
      </c>
      <c r="G1340" s="8" t="s">
        <v>2217</v>
      </c>
      <c r="H1340" s="8">
        <v>1</v>
      </c>
      <c r="I1340" s="8">
        <v>1</v>
      </c>
      <c r="J1340" s="8">
        <v>0</v>
      </c>
      <c r="K1340" s="9">
        <v>44974</v>
      </c>
      <c r="L1340" s="8" t="s">
        <v>2222</v>
      </c>
      <c r="M1340" s="8" t="s">
        <v>101</v>
      </c>
      <c r="P1340" s="16" t="s">
        <v>1236</v>
      </c>
      <c r="Q1340" s="2" t="s">
        <v>16</v>
      </c>
      <c r="S1340" s="8" t="s">
        <v>1704</v>
      </c>
      <c r="T1340" s="9">
        <v>46419</v>
      </c>
      <c r="U1340" s="8">
        <v>0</v>
      </c>
      <c r="V1340" s="20">
        <v>424</v>
      </c>
      <c r="W1340" s="21" t="s">
        <v>16</v>
      </c>
    </row>
    <row r="1341" spans="1:23" ht="75">
      <c r="A1341" s="8" t="s">
        <v>3495</v>
      </c>
      <c r="B1341" s="8" t="s">
        <v>1420</v>
      </c>
      <c r="C1341" s="8" t="s">
        <v>3417</v>
      </c>
      <c r="D1341" s="8" t="s">
        <v>18</v>
      </c>
      <c r="E1341" s="8" t="s">
        <v>101</v>
      </c>
      <c r="F1341" s="8" t="s">
        <v>3414</v>
      </c>
      <c r="G1341" s="8" t="s">
        <v>3493</v>
      </c>
      <c r="H1341" s="8">
        <v>9</v>
      </c>
      <c r="I1341" s="8">
        <v>9</v>
      </c>
      <c r="J1341" s="8">
        <v>0</v>
      </c>
      <c r="K1341" s="9">
        <v>44162</v>
      </c>
      <c r="L1341" s="8" t="s">
        <v>2222</v>
      </c>
      <c r="M1341" s="8" t="s">
        <v>101</v>
      </c>
      <c r="P1341" s="16" t="s">
        <v>1236</v>
      </c>
      <c r="Q1341" s="2" t="s">
        <v>16</v>
      </c>
      <c r="S1341" s="8" t="s">
        <v>1705</v>
      </c>
      <c r="T1341" s="9">
        <v>46419</v>
      </c>
      <c r="U1341" s="8">
        <v>0</v>
      </c>
      <c r="V1341" s="20">
        <v>214</v>
      </c>
      <c r="W1341" s="21" t="s">
        <v>16</v>
      </c>
    </row>
    <row r="1342" spans="1:23" ht="90">
      <c r="A1342" s="8" t="s">
        <v>3496</v>
      </c>
      <c r="B1342" s="8" t="s">
        <v>1421</v>
      </c>
      <c r="C1342" s="8" t="s">
        <v>3417</v>
      </c>
      <c r="D1342" s="8" t="s">
        <v>18</v>
      </c>
      <c r="E1342" s="8" t="s">
        <v>101</v>
      </c>
      <c r="F1342" s="8" t="s">
        <v>3414</v>
      </c>
      <c r="G1342" s="8" t="s">
        <v>3497</v>
      </c>
      <c r="H1342" s="8">
        <v>6</v>
      </c>
      <c r="I1342" s="8">
        <v>6</v>
      </c>
      <c r="J1342" s="8">
        <v>0</v>
      </c>
      <c r="K1342" s="8" t="s">
        <v>2222</v>
      </c>
      <c r="L1342" s="8" t="s">
        <v>2222</v>
      </c>
      <c r="M1342" s="8" t="s">
        <v>101</v>
      </c>
      <c r="P1342" s="16" t="s">
        <v>1236</v>
      </c>
      <c r="Q1342" s="2" t="s">
        <v>16</v>
      </c>
      <c r="S1342" s="8" t="s">
        <v>1706</v>
      </c>
      <c r="T1342" s="9">
        <v>46327</v>
      </c>
      <c r="U1342" s="8">
        <v>0</v>
      </c>
      <c r="V1342" s="20">
        <v>5</v>
      </c>
      <c r="W1342" s="21" t="s">
        <v>38</v>
      </c>
    </row>
    <row r="1343" spans="1:23" ht="75">
      <c r="A1343" s="8" t="s">
        <v>3498</v>
      </c>
      <c r="B1343" s="8" t="s">
        <v>1422</v>
      </c>
      <c r="C1343" s="8" t="s">
        <v>3417</v>
      </c>
      <c r="D1343" s="8" t="s">
        <v>18</v>
      </c>
      <c r="E1343" s="8" t="s">
        <v>101</v>
      </c>
      <c r="F1343" s="8" t="s">
        <v>3414</v>
      </c>
      <c r="G1343" s="8" t="s">
        <v>3497</v>
      </c>
      <c r="H1343" s="8">
        <v>1</v>
      </c>
      <c r="I1343" s="8">
        <v>1</v>
      </c>
      <c r="J1343" s="8">
        <v>0</v>
      </c>
      <c r="K1343" s="9">
        <v>44973</v>
      </c>
      <c r="L1343" s="8" t="s">
        <v>2222</v>
      </c>
      <c r="M1343" s="8" t="s">
        <v>101</v>
      </c>
      <c r="P1343" s="16" t="s">
        <v>1237</v>
      </c>
      <c r="Q1343" s="2" t="s">
        <v>16</v>
      </c>
      <c r="S1343" s="8" t="s">
        <v>1707</v>
      </c>
      <c r="T1343" s="9">
        <v>46874</v>
      </c>
      <c r="U1343" s="8">
        <v>0</v>
      </c>
      <c r="V1343" s="20">
        <v>459</v>
      </c>
      <c r="W1343" s="21" t="s">
        <v>16</v>
      </c>
    </row>
    <row r="1344" spans="1:23" ht="90">
      <c r="A1344" s="8" t="s">
        <v>3499</v>
      </c>
      <c r="B1344" s="8" t="s">
        <v>1423</v>
      </c>
      <c r="C1344" s="8" t="s">
        <v>3417</v>
      </c>
      <c r="D1344" s="8" t="s">
        <v>18</v>
      </c>
      <c r="E1344" s="8" t="s">
        <v>2217</v>
      </c>
      <c r="F1344" s="8" t="s">
        <v>2217</v>
      </c>
      <c r="G1344" s="8" t="s">
        <v>2217</v>
      </c>
      <c r="H1344" s="8">
        <v>30</v>
      </c>
      <c r="I1344" s="8">
        <v>30</v>
      </c>
      <c r="J1344" s="8">
        <v>0</v>
      </c>
      <c r="K1344" s="8" t="s">
        <v>2222</v>
      </c>
      <c r="L1344" s="8" t="s">
        <v>2222</v>
      </c>
      <c r="M1344" s="8" t="s">
        <v>101</v>
      </c>
      <c r="P1344" s="16" t="s">
        <v>1238</v>
      </c>
      <c r="Q1344" s="2" t="s">
        <v>16</v>
      </c>
      <c r="S1344" s="8" t="s">
        <v>1708</v>
      </c>
      <c r="T1344" s="9">
        <v>46174</v>
      </c>
      <c r="U1344" s="8">
        <v>0</v>
      </c>
      <c r="V1344" s="20">
        <v>740</v>
      </c>
      <c r="W1344" s="21" t="s">
        <v>16</v>
      </c>
    </row>
    <row r="1345" spans="1:23" ht="75">
      <c r="A1345" s="8" t="s">
        <v>3500</v>
      </c>
      <c r="B1345" s="8" t="s">
        <v>1424</v>
      </c>
      <c r="C1345" s="8" t="s">
        <v>3417</v>
      </c>
      <c r="D1345" s="8" t="s">
        <v>18</v>
      </c>
      <c r="E1345" s="8" t="s">
        <v>101</v>
      </c>
      <c r="F1345" s="8" t="s">
        <v>3414</v>
      </c>
      <c r="G1345" s="8" t="s">
        <v>3497</v>
      </c>
      <c r="H1345" s="8">
        <v>5</v>
      </c>
      <c r="I1345" s="8">
        <v>5</v>
      </c>
      <c r="J1345" s="8">
        <v>0</v>
      </c>
      <c r="K1345" s="9">
        <v>44952</v>
      </c>
      <c r="L1345" s="8" t="s">
        <v>2222</v>
      </c>
      <c r="M1345" s="8" t="s">
        <v>101</v>
      </c>
      <c r="P1345" s="16" t="s">
        <v>1238</v>
      </c>
      <c r="Q1345" s="2" t="s">
        <v>16</v>
      </c>
      <c r="S1345" s="8" t="s">
        <v>1708</v>
      </c>
      <c r="T1345" s="9">
        <v>46447</v>
      </c>
      <c r="U1345" s="8">
        <v>0</v>
      </c>
      <c r="V1345" s="20">
        <v>800</v>
      </c>
      <c r="W1345" s="21" t="s">
        <v>16</v>
      </c>
    </row>
    <row r="1346" spans="1:23" ht="48.75">
      <c r="A1346" s="8" t="s">
        <v>3501</v>
      </c>
      <c r="B1346" s="8" t="s">
        <v>1425</v>
      </c>
      <c r="C1346" s="8" t="s">
        <v>2221</v>
      </c>
      <c r="D1346" s="8" t="s">
        <v>18</v>
      </c>
      <c r="E1346" s="8" t="s">
        <v>101</v>
      </c>
      <c r="F1346" s="8" t="s">
        <v>101</v>
      </c>
      <c r="G1346" s="8" t="s">
        <v>3502</v>
      </c>
      <c r="H1346" s="8">
        <v>40</v>
      </c>
      <c r="I1346" s="8">
        <v>40</v>
      </c>
      <c r="J1346" s="8">
        <v>0</v>
      </c>
      <c r="K1346" s="8" t="s">
        <v>2222</v>
      </c>
      <c r="L1346" s="8" t="s">
        <v>2222</v>
      </c>
      <c r="M1346" s="8" t="s">
        <v>41</v>
      </c>
      <c r="P1346" s="16" t="s">
        <v>1241</v>
      </c>
      <c r="Q1346" s="2" t="s">
        <v>16</v>
      </c>
      <c r="S1346" s="8" t="s">
        <v>1709</v>
      </c>
      <c r="T1346" s="9">
        <v>47209</v>
      </c>
      <c r="U1346" s="8">
        <v>0</v>
      </c>
      <c r="V1346" s="20">
        <v>688</v>
      </c>
      <c r="W1346" s="21" t="s">
        <v>16</v>
      </c>
    </row>
    <row r="1347" spans="1:23" ht="60">
      <c r="A1347" s="8" t="s">
        <v>3503</v>
      </c>
      <c r="B1347" s="8" t="s">
        <v>1426</v>
      </c>
      <c r="C1347" s="8" t="s">
        <v>2203</v>
      </c>
      <c r="D1347" s="8" t="s">
        <v>18</v>
      </c>
      <c r="E1347" s="8" t="s">
        <v>16</v>
      </c>
      <c r="F1347" s="8" t="s">
        <v>2198</v>
      </c>
      <c r="G1347" s="8" t="s">
        <v>3504</v>
      </c>
      <c r="H1347" s="8">
        <v>1536</v>
      </c>
      <c r="I1347" s="8">
        <v>1536</v>
      </c>
      <c r="J1347" s="8" t="s">
        <v>1427</v>
      </c>
      <c r="K1347" s="9">
        <v>45355</v>
      </c>
      <c r="L1347" s="9">
        <v>46813</v>
      </c>
      <c r="M1347" s="8" t="s">
        <v>16</v>
      </c>
      <c r="P1347" s="16" t="s">
        <v>1241</v>
      </c>
      <c r="Q1347" s="2" t="s">
        <v>16</v>
      </c>
      <c r="S1347" s="8" t="s">
        <v>1710</v>
      </c>
      <c r="T1347" s="9">
        <v>47239</v>
      </c>
      <c r="U1347" s="8">
        <v>0</v>
      </c>
      <c r="V1347" s="20">
        <v>7509</v>
      </c>
      <c r="W1347" s="21" t="s">
        <v>16</v>
      </c>
    </row>
    <row r="1348" spans="1:23" ht="60">
      <c r="A1348" s="8" t="s">
        <v>3505</v>
      </c>
      <c r="B1348" s="8" t="s">
        <v>1428</v>
      </c>
      <c r="C1348" s="8" t="s">
        <v>2203</v>
      </c>
      <c r="D1348" s="8" t="s">
        <v>18</v>
      </c>
      <c r="E1348" s="8" t="s">
        <v>16</v>
      </c>
      <c r="F1348" s="8" t="s">
        <v>2204</v>
      </c>
      <c r="G1348" s="8" t="s">
        <v>3506</v>
      </c>
      <c r="H1348" s="8">
        <v>23200</v>
      </c>
      <c r="I1348" s="8">
        <v>160</v>
      </c>
      <c r="J1348" s="8" t="s">
        <v>1429</v>
      </c>
      <c r="K1348" s="9">
        <v>45371</v>
      </c>
      <c r="L1348" s="9">
        <v>45901</v>
      </c>
      <c r="M1348" s="8" t="s">
        <v>16</v>
      </c>
      <c r="P1348" s="16" t="s">
        <v>1243</v>
      </c>
      <c r="Q1348" s="2" t="s">
        <v>16</v>
      </c>
      <c r="S1348" s="8" t="s">
        <v>1711</v>
      </c>
      <c r="T1348" s="9">
        <v>47239</v>
      </c>
      <c r="U1348" s="8">
        <v>0</v>
      </c>
      <c r="V1348" s="20">
        <v>1100</v>
      </c>
      <c r="W1348" s="21" t="s">
        <v>16</v>
      </c>
    </row>
    <row r="1349" spans="1:23" ht="60">
      <c r="A1349" s="8" t="s">
        <v>3505</v>
      </c>
      <c r="B1349" s="8" t="s">
        <v>1428</v>
      </c>
      <c r="C1349" s="8" t="s">
        <v>2203</v>
      </c>
      <c r="D1349" s="8" t="s">
        <v>18</v>
      </c>
      <c r="E1349" s="8" t="s">
        <v>16</v>
      </c>
      <c r="F1349" s="8" t="s">
        <v>2204</v>
      </c>
      <c r="G1349" s="8" t="s">
        <v>3506</v>
      </c>
      <c r="H1349" s="8">
        <v>23200</v>
      </c>
      <c r="I1349" s="8">
        <v>23040</v>
      </c>
      <c r="J1349" s="8" t="s">
        <v>1430</v>
      </c>
      <c r="K1349" s="9">
        <v>45437</v>
      </c>
      <c r="L1349" s="9">
        <v>45962</v>
      </c>
      <c r="M1349" s="8" t="s">
        <v>16</v>
      </c>
      <c r="P1349" s="16" t="s">
        <v>1243</v>
      </c>
      <c r="Q1349" s="2" t="s">
        <v>16</v>
      </c>
      <c r="S1349" s="8" t="s">
        <v>1712</v>
      </c>
      <c r="T1349" s="9">
        <v>47239</v>
      </c>
      <c r="U1349" s="8">
        <v>0</v>
      </c>
      <c r="V1349" s="20">
        <v>4960</v>
      </c>
      <c r="W1349" s="21" t="s">
        <v>16</v>
      </c>
    </row>
    <row r="1350" spans="1:23" ht="60">
      <c r="A1350" s="8" t="s">
        <v>3507</v>
      </c>
      <c r="B1350" s="8" t="s">
        <v>1431</v>
      </c>
      <c r="C1350" s="8" t="s">
        <v>2203</v>
      </c>
      <c r="D1350" s="8" t="s">
        <v>18</v>
      </c>
      <c r="E1350" s="8" t="s">
        <v>16</v>
      </c>
      <c r="F1350" s="8" t="s">
        <v>2204</v>
      </c>
      <c r="G1350" s="8" t="s">
        <v>3506</v>
      </c>
      <c r="H1350" s="8">
        <v>73</v>
      </c>
      <c r="I1350" s="8">
        <v>73</v>
      </c>
      <c r="J1350" s="8" t="s">
        <v>1432</v>
      </c>
      <c r="K1350" s="9">
        <v>45442</v>
      </c>
      <c r="L1350" s="9">
        <v>46082</v>
      </c>
      <c r="M1350" s="8" t="s">
        <v>16</v>
      </c>
      <c r="P1350" s="16" t="s">
        <v>1243</v>
      </c>
      <c r="Q1350" s="2" t="s">
        <v>16</v>
      </c>
      <c r="S1350" s="8" t="s">
        <v>1713</v>
      </c>
      <c r="T1350" s="9">
        <v>47027</v>
      </c>
      <c r="U1350" s="8">
        <v>0</v>
      </c>
      <c r="V1350" s="20">
        <v>970</v>
      </c>
      <c r="W1350" s="21" t="s">
        <v>16</v>
      </c>
    </row>
    <row r="1351" spans="1:23" ht="48.75">
      <c r="A1351" s="8" t="s">
        <v>3508</v>
      </c>
      <c r="B1351" s="8" t="s">
        <v>1433</v>
      </c>
      <c r="C1351" s="8" t="s">
        <v>2203</v>
      </c>
      <c r="D1351" s="8" t="s">
        <v>18</v>
      </c>
      <c r="E1351" s="8" t="s">
        <v>16</v>
      </c>
      <c r="F1351" s="8" t="s">
        <v>2198</v>
      </c>
      <c r="G1351" s="8" t="s">
        <v>3509</v>
      </c>
      <c r="H1351" s="8">
        <v>397</v>
      </c>
      <c r="I1351" s="8">
        <v>7</v>
      </c>
      <c r="J1351" s="8">
        <v>181037</v>
      </c>
      <c r="K1351" s="9">
        <v>45112</v>
      </c>
      <c r="L1351" s="9">
        <v>46844</v>
      </c>
      <c r="M1351" s="8" t="s">
        <v>16</v>
      </c>
      <c r="P1351" s="16" t="s">
        <v>1244</v>
      </c>
      <c r="Q1351" s="2" t="s">
        <v>16</v>
      </c>
      <c r="S1351" s="8" t="s">
        <v>1714</v>
      </c>
      <c r="T1351" s="9">
        <v>47058</v>
      </c>
      <c r="U1351" s="8">
        <v>0</v>
      </c>
      <c r="V1351" s="20">
        <v>400</v>
      </c>
      <c r="W1351" s="21" t="s">
        <v>16</v>
      </c>
    </row>
    <row r="1352" spans="1:23" ht="48.75">
      <c r="A1352" s="8" t="s">
        <v>3508</v>
      </c>
      <c r="B1352" s="8" t="s">
        <v>1433</v>
      </c>
      <c r="C1352" s="8" t="s">
        <v>2203</v>
      </c>
      <c r="D1352" s="8" t="s">
        <v>18</v>
      </c>
      <c r="E1352" s="8" t="s">
        <v>16</v>
      </c>
      <c r="F1352" s="8" t="s">
        <v>2198</v>
      </c>
      <c r="G1352" s="8" t="s">
        <v>3509</v>
      </c>
      <c r="H1352" s="8">
        <v>397</v>
      </c>
      <c r="I1352" s="8">
        <v>160</v>
      </c>
      <c r="J1352" s="8">
        <v>181038</v>
      </c>
      <c r="K1352" s="9">
        <v>45112</v>
      </c>
      <c r="L1352" s="9">
        <v>46905</v>
      </c>
      <c r="M1352" s="8" t="s">
        <v>16</v>
      </c>
      <c r="P1352" s="16" t="s">
        <v>1244</v>
      </c>
      <c r="Q1352" s="2" t="s">
        <v>16</v>
      </c>
      <c r="S1352" s="8" t="s">
        <v>1714</v>
      </c>
      <c r="T1352" s="9">
        <v>47027</v>
      </c>
      <c r="U1352" s="8">
        <v>0</v>
      </c>
      <c r="V1352" s="20">
        <v>1040</v>
      </c>
      <c r="W1352" s="21" t="s">
        <v>16</v>
      </c>
    </row>
    <row r="1353" spans="1:23" ht="48.75">
      <c r="A1353" s="8" t="s">
        <v>3508</v>
      </c>
      <c r="B1353" s="8" t="s">
        <v>1433</v>
      </c>
      <c r="C1353" s="8" t="s">
        <v>2203</v>
      </c>
      <c r="D1353" s="8" t="s">
        <v>18</v>
      </c>
      <c r="E1353" s="8" t="s">
        <v>16</v>
      </c>
      <c r="F1353" s="8" t="s">
        <v>2198</v>
      </c>
      <c r="G1353" s="8" t="s">
        <v>3509</v>
      </c>
      <c r="H1353" s="8">
        <v>397</v>
      </c>
      <c r="I1353" s="8">
        <v>230</v>
      </c>
      <c r="J1353" s="8">
        <v>81038</v>
      </c>
      <c r="K1353" s="9">
        <v>45117</v>
      </c>
      <c r="L1353" s="9">
        <v>46905</v>
      </c>
      <c r="M1353" s="8" t="s">
        <v>16</v>
      </c>
      <c r="P1353" s="16" t="s">
        <v>1245</v>
      </c>
      <c r="Q1353" s="2" t="s">
        <v>16</v>
      </c>
      <c r="S1353" s="8" t="s">
        <v>1715</v>
      </c>
      <c r="T1353" s="9">
        <v>45474</v>
      </c>
      <c r="U1353" s="8">
        <v>0</v>
      </c>
      <c r="V1353" s="20">
        <v>16</v>
      </c>
      <c r="W1353" s="21" t="s">
        <v>16</v>
      </c>
    </row>
    <row r="1354" spans="1:23" ht="60">
      <c r="A1354" s="8" t="s">
        <v>3510</v>
      </c>
      <c r="B1354" s="8" t="s">
        <v>1434</v>
      </c>
      <c r="C1354" s="8" t="s">
        <v>2203</v>
      </c>
      <c r="D1354" s="8" t="s">
        <v>18</v>
      </c>
      <c r="E1354" s="8" t="s">
        <v>16</v>
      </c>
      <c r="F1354" s="8" t="s">
        <v>2198</v>
      </c>
      <c r="G1354" s="8" t="s">
        <v>3509</v>
      </c>
      <c r="H1354" s="8">
        <v>775</v>
      </c>
      <c r="I1354" s="8">
        <v>15</v>
      </c>
      <c r="J1354" s="8">
        <v>81034</v>
      </c>
      <c r="K1354" s="9">
        <v>45117</v>
      </c>
      <c r="L1354" s="9">
        <v>46753</v>
      </c>
      <c r="M1354" s="8" t="s">
        <v>16</v>
      </c>
      <c r="P1354" s="16" t="s">
        <v>1245</v>
      </c>
      <c r="Q1354" s="2" t="s">
        <v>16</v>
      </c>
      <c r="S1354" s="8" t="s">
        <v>1715</v>
      </c>
      <c r="T1354" s="9">
        <v>45566</v>
      </c>
      <c r="U1354" s="8">
        <v>0</v>
      </c>
      <c r="V1354" s="20">
        <v>1760</v>
      </c>
      <c r="W1354" s="21" t="s">
        <v>16</v>
      </c>
    </row>
    <row r="1355" spans="1:23" ht="60">
      <c r="A1355" s="8" t="s">
        <v>3510</v>
      </c>
      <c r="B1355" s="8" t="s">
        <v>1434</v>
      </c>
      <c r="C1355" s="8" t="s">
        <v>2203</v>
      </c>
      <c r="D1355" s="8" t="s">
        <v>18</v>
      </c>
      <c r="E1355" s="8" t="s">
        <v>16</v>
      </c>
      <c r="F1355" s="8" t="s">
        <v>2198</v>
      </c>
      <c r="G1355" s="8" t="s">
        <v>3509</v>
      </c>
      <c r="H1355" s="8">
        <v>775</v>
      </c>
      <c r="I1355" s="8">
        <v>760</v>
      </c>
      <c r="J1355" s="8">
        <v>181037</v>
      </c>
      <c r="K1355" s="9">
        <v>45117</v>
      </c>
      <c r="L1355" s="9">
        <v>46844</v>
      </c>
      <c r="M1355" s="8" t="s">
        <v>16</v>
      </c>
      <c r="P1355" s="16" t="s">
        <v>1246</v>
      </c>
      <c r="Q1355" s="2" t="s">
        <v>16</v>
      </c>
      <c r="S1355" s="8" t="s">
        <v>1715</v>
      </c>
      <c r="T1355" s="9">
        <v>46082</v>
      </c>
      <c r="U1355" s="8">
        <v>0</v>
      </c>
      <c r="V1355" s="20">
        <v>2560</v>
      </c>
      <c r="W1355" s="21" t="s">
        <v>16</v>
      </c>
    </row>
    <row r="1356" spans="1:23" ht="45">
      <c r="A1356" s="8" t="s">
        <v>3511</v>
      </c>
      <c r="B1356" s="8" t="s">
        <v>1435</v>
      </c>
      <c r="C1356" s="8" t="s">
        <v>2197</v>
      </c>
      <c r="D1356" s="8" t="s">
        <v>18</v>
      </c>
      <c r="E1356" s="8" t="s">
        <v>16</v>
      </c>
      <c r="F1356" s="8" t="s">
        <v>2198</v>
      </c>
      <c r="G1356" s="8" t="s">
        <v>3512</v>
      </c>
      <c r="H1356" s="8">
        <v>120</v>
      </c>
      <c r="I1356" s="8">
        <v>120</v>
      </c>
      <c r="J1356" s="8">
        <v>0</v>
      </c>
      <c r="K1356" s="9">
        <v>44656</v>
      </c>
      <c r="L1356" s="9">
        <v>46447</v>
      </c>
      <c r="M1356" s="8" t="s">
        <v>16</v>
      </c>
      <c r="P1356" s="16" t="s">
        <v>1247</v>
      </c>
      <c r="Q1356" s="2" t="s">
        <v>16</v>
      </c>
      <c r="S1356" s="8" t="s">
        <v>1716</v>
      </c>
      <c r="T1356" s="9">
        <v>45992</v>
      </c>
      <c r="U1356" s="8">
        <v>0</v>
      </c>
      <c r="V1356" s="20">
        <v>24</v>
      </c>
      <c r="W1356" s="21" t="s">
        <v>48</v>
      </c>
    </row>
    <row r="1357" spans="1:23" ht="45">
      <c r="A1357" s="8" t="s">
        <v>3513</v>
      </c>
      <c r="B1357" s="8" t="s">
        <v>1436</v>
      </c>
      <c r="C1357" s="8" t="s">
        <v>2197</v>
      </c>
      <c r="D1357" s="8" t="s">
        <v>18</v>
      </c>
      <c r="E1357" s="8" t="s">
        <v>16</v>
      </c>
      <c r="F1357" s="8" t="s">
        <v>2228</v>
      </c>
      <c r="G1357" s="8" t="s">
        <v>3514</v>
      </c>
      <c r="H1357" s="8">
        <v>5943</v>
      </c>
      <c r="I1357" s="8">
        <v>3</v>
      </c>
      <c r="J1357" s="8">
        <v>66147</v>
      </c>
      <c r="K1357" s="9">
        <v>45236</v>
      </c>
      <c r="L1357" s="9">
        <v>47027</v>
      </c>
      <c r="M1357" s="8" t="s">
        <v>16</v>
      </c>
      <c r="P1357" s="16" t="s">
        <v>1248</v>
      </c>
      <c r="Q1357" s="2" t="s">
        <v>16</v>
      </c>
      <c r="S1357" s="8" t="s">
        <v>1716</v>
      </c>
      <c r="T1357" s="9">
        <v>46357</v>
      </c>
      <c r="U1357" s="8">
        <v>0</v>
      </c>
      <c r="V1357" s="20">
        <v>510</v>
      </c>
      <c r="W1357" s="21" t="s">
        <v>48</v>
      </c>
    </row>
    <row r="1358" spans="1:23" ht="60">
      <c r="A1358" s="8" t="s">
        <v>3513</v>
      </c>
      <c r="B1358" s="8" t="s">
        <v>1436</v>
      </c>
      <c r="C1358" s="8" t="s">
        <v>2197</v>
      </c>
      <c r="D1358" s="8" t="s">
        <v>18</v>
      </c>
      <c r="E1358" s="8" t="s">
        <v>16</v>
      </c>
      <c r="F1358" s="8" t="s">
        <v>2228</v>
      </c>
      <c r="G1358" s="8" t="s">
        <v>3514</v>
      </c>
      <c r="H1358" s="8">
        <v>5943</v>
      </c>
      <c r="I1358" s="8">
        <v>225</v>
      </c>
      <c r="J1358" s="8">
        <v>66151</v>
      </c>
      <c r="K1358" s="9">
        <v>45246</v>
      </c>
      <c r="L1358" s="9">
        <v>47027</v>
      </c>
      <c r="M1358" s="8" t="s">
        <v>16</v>
      </c>
      <c r="P1358" s="16" t="s">
        <v>1248</v>
      </c>
      <c r="Q1358" s="2" t="s">
        <v>16</v>
      </c>
      <c r="S1358" s="8" t="s">
        <v>1717</v>
      </c>
      <c r="T1358" s="9">
        <v>45992</v>
      </c>
      <c r="U1358" s="8">
        <v>0</v>
      </c>
      <c r="V1358" s="20">
        <v>55</v>
      </c>
      <c r="W1358" s="21" t="s">
        <v>38</v>
      </c>
    </row>
    <row r="1359" spans="1:23" ht="45">
      <c r="A1359" s="8" t="s">
        <v>3513</v>
      </c>
      <c r="B1359" s="8" t="s">
        <v>1436</v>
      </c>
      <c r="C1359" s="8" t="s">
        <v>2197</v>
      </c>
      <c r="D1359" s="8" t="s">
        <v>18</v>
      </c>
      <c r="E1359" s="8" t="s">
        <v>16</v>
      </c>
      <c r="F1359" s="8" t="s">
        <v>2228</v>
      </c>
      <c r="G1359" s="8" t="s">
        <v>3514</v>
      </c>
      <c r="H1359" s="8">
        <v>5943</v>
      </c>
      <c r="I1359" s="8">
        <v>465</v>
      </c>
      <c r="J1359" s="8">
        <v>66150</v>
      </c>
      <c r="K1359" s="9">
        <v>45246</v>
      </c>
      <c r="L1359" s="9">
        <v>47027</v>
      </c>
      <c r="M1359" s="8" t="s">
        <v>16</v>
      </c>
      <c r="P1359" s="16" t="s">
        <v>1251</v>
      </c>
      <c r="Q1359" s="2" t="s">
        <v>16</v>
      </c>
      <c r="S1359" s="8" t="s">
        <v>1718</v>
      </c>
      <c r="T1359" s="9">
        <v>46874</v>
      </c>
      <c r="U1359" s="8">
        <v>0</v>
      </c>
      <c r="V1359" s="20">
        <v>480</v>
      </c>
      <c r="W1359" s="21" t="s">
        <v>16</v>
      </c>
    </row>
    <row r="1360" spans="1:23" ht="45">
      <c r="A1360" s="8" t="s">
        <v>3513</v>
      </c>
      <c r="B1360" s="8" t="s">
        <v>1436</v>
      </c>
      <c r="C1360" s="8" t="s">
        <v>2197</v>
      </c>
      <c r="D1360" s="8" t="s">
        <v>18</v>
      </c>
      <c r="E1360" s="8" t="s">
        <v>16</v>
      </c>
      <c r="F1360" s="8" t="s">
        <v>2228</v>
      </c>
      <c r="G1360" s="8" t="s">
        <v>3514</v>
      </c>
      <c r="H1360" s="8">
        <v>5943</v>
      </c>
      <c r="I1360" s="8">
        <v>5250</v>
      </c>
      <c r="J1360" s="8">
        <v>66152</v>
      </c>
      <c r="K1360" s="9">
        <v>45266</v>
      </c>
      <c r="L1360" s="9">
        <v>47058</v>
      </c>
      <c r="M1360" s="8" t="s">
        <v>16</v>
      </c>
      <c r="P1360" s="16" t="s">
        <v>1251</v>
      </c>
      <c r="Q1360" s="2" t="s">
        <v>16</v>
      </c>
      <c r="S1360" s="8" t="s">
        <v>1718</v>
      </c>
      <c r="T1360" s="9">
        <v>46357</v>
      </c>
      <c r="U1360" s="8">
        <v>0</v>
      </c>
      <c r="V1360" s="20">
        <v>2029</v>
      </c>
      <c r="W1360" s="21" t="s">
        <v>16</v>
      </c>
    </row>
    <row r="1361" spans="1:23" ht="45">
      <c r="A1361" s="8" t="s">
        <v>3515</v>
      </c>
      <c r="B1361" s="8" t="s">
        <v>1437</v>
      </c>
      <c r="C1361" s="8" t="s">
        <v>2197</v>
      </c>
      <c r="D1361" s="8" t="s">
        <v>18</v>
      </c>
      <c r="E1361" s="8" t="s">
        <v>16</v>
      </c>
      <c r="F1361" s="8" t="s">
        <v>2228</v>
      </c>
      <c r="G1361" s="8" t="s">
        <v>3514</v>
      </c>
      <c r="H1361" s="8">
        <v>1128</v>
      </c>
      <c r="I1361" s="8">
        <v>2</v>
      </c>
      <c r="J1361" s="8">
        <v>66145</v>
      </c>
      <c r="K1361" s="9">
        <v>45418</v>
      </c>
      <c r="L1361" s="9">
        <v>46966</v>
      </c>
      <c r="M1361" s="8" t="s">
        <v>16</v>
      </c>
      <c r="P1361" s="16" t="s">
        <v>1252</v>
      </c>
      <c r="Q1361" s="2" t="s">
        <v>16</v>
      </c>
      <c r="S1361" s="8" t="s">
        <v>1719</v>
      </c>
      <c r="T1361" s="9">
        <v>46874</v>
      </c>
      <c r="U1361" s="8">
        <v>0</v>
      </c>
      <c r="V1361" s="20">
        <v>460</v>
      </c>
      <c r="W1361" s="21" t="s">
        <v>16</v>
      </c>
    </row>
    <row r="1362" spans="1:23" ht="45">
      <c r="A1362" s="8" t="s">
        <v>3515</v>
      </c>
      <c r="B1362" s="8" t="s">
        <v>1437</v>
      </c>
      <c r="C1362" s="8" t="s">
        <v>2197</v>
      </c>
      <c r="D1362" s="8" t="s">
        <v>18</v>
      </c>
      <c r="E1362" s="8" t="s">
        <v>16</v>
      </c>
      <c r="F1362" s="8" t="s">
        <v>2228</v>
      </c>
      <c r="G1362" s="8" t="s">
        <v>3514</v>
      </c>
      <c r="H1362" s="8">
        <v>1128</v>
      </c>
      <c r="I1362" s="8">
        <v>1126</v>
      </c>
      <c r="J1362" s="8">
        <v>66168</v>
      </c>
      <c r="K1362" s="9">
        <v>45446</v>
      </c>
      <c r="L1362" s="9">
        <v>47239</v>
      </c>
      <c r="M1362" s="8" t="s">
        <v>16</v>
      </c>
      <c r="P1362" s="16" t="s">
        <v>1252</v>
      </c>
      <c r="Q1362" s="2" t="s">
        <v>16</v>
      </c>
      <c r="S1362" s="8" t="s">
        <v>1719</v>
      </c>
      <c r="T1362" s="9">
        <v>46784</v>
      </c>
      <c r="U1362" s="8">
        <v>0</v>
      </c>
      <c r="V1362" s="20">
        <v>1650</v>
      </c>
      <c r="W1362" s="21" t="s">
        <v>16</v>
      </c>
    </row>
    <row r="1363" spans="1:23" ht="60">
      <c r="A1363" s="8" t="s">
        <v>3516</v>
      </c>
      <c r="B1363" s="8" t="s">
        <v>1438</v>
      </c>
      <c r="C1363" s="8" t="s">
        <v>2197</v>
      </c>
      <c r="D1363" s="8" t="s">
        <v>18</v>
      </c>
      <c r="E1363" s="8" t="s">
        <v>16</v>
      </c>
      <c r="F1363" s="8" t="s">
        <v>2228</v>
      </c>
      <c r="G1363" s="8" t="s">
        <v>3514</v>
      </c>
      <c r="H1363" s="8">
        <v>12317</v>
      </c>
      <c r="I1363" s="8">
        <v>1</v>
      </c>
      <c r="J1363" s="8">
        <v>66141</v>
      </c>
      <c r="K1363" s="9">
        <v>45236</v>
      </c>
      <c r="L1363" s="9">
        <v>46874</v>
      </c>
      <c r="M1363" s="8" t="s">
        <v>16</v>
      </c>
      <c r="P1363" s="16" t="s">
        <v>1252</v>
      </c>
      <c r="Q1363" s="2" t="s">
        <v>16</v>
      </c>
      <c r="S1363" s="8" t="s">
        <v>1720</v>
      </c>
      <c r="T1363" s="9">
        <v>47027</v>
      </c>
      <c r="U1363" s="8">
        <v>0</v>
      </c>
      <c r="V1363" s="20">
        <v>588</v>
      </c>
      <c r="W1363" s="21" t="s">
        <v>16</v>
      </c>
    </row>
    <row r="1364" spans="1:23" ht="75">
      <c r="A1364" s="8" t="s">
        <v>3516</v>
      </c>
      <c r="B1364" s="8" t="s">
        <v>1438</v>
      </c>
      <c r="C1364" s="8" t="s">
        <v>2197</v>
      </c>
      <c r="D1364" s="8" t="s">
        <v>18</v>
      </c>
      <c r="E1364" s="8" t="s">
        <v>16</v>
      </c>
      <c r="F1364" s="8" t="s">
        <v>2228</v>
      </c>
      <c r="G1364" s="8" t="s">
        <v>3514</v>
      </c>
      <c r="H1364" s="8">
        <v>12317</v>
      </c>
      <c r="I1364" s="8">
        <v>56</v>
      </c>
      <c r="J1364" s="8">
        <v>66138</v>
      </c>
      <c r="K1364" s="9">
        <v>45454</v>
      </c>
      <c r="L1364" s="9">
        <v>46813</v>
      </c>
      <c r="M1364" s="8" t="s">
        <v>16</v>
      </c>
      <c r="P1364" s="16" t="s">
        <v>1252</v>
      </c>
      <c r="Q1364" s="2" t="s">
        <v>16</v>
      </c>
      <c r="S1364" s="8" t="s">
        <v>1722</v>
      </c>
      <c r="T1364" s="9">
        <v>45108</v>
      </c>
      <c r="U1364" s="8">
        <v>0</v>
      </c>
      <c r="V1364" s="20">
        <v>5</v>
      </c>
      <c r="W1364" s="21" t="s">
        <v>151</v>
      </c>
    </row>
    <row r="1365" spans="1:23" ht="75">
      <c r="A1365" s="8" t="s">
        <v>3516</v>
      </c>
      <c r="B1365" s="8" t="s">
        <v>1438</v>
      </c>
      <c r="C1365" s="8" t="s">
        <v>2197</v>
      </c>
      <c r="D1365" s="8" t="s">
        <v>18</v>
      </c>
      <c r="E1365" s="8" t="s">
        <v>16</v>
      </c>
      <c r="F1365" s="8" t="s">
        <v>2228</v>
      </c>
      <c r="G1365" s="8" t="s">
        <v>3514</v>
      </c>
      <c r="H1365" s="8">
        <v>12317</v>
      </c>
      <c r="I1365" s="8">
        <v>420</v>
      </c>
      <c r="J1365" s="8">
        <v>66169</v>
      </c>
      <c r="K1365" s="9">
        <v>45453</v>
      </c>
      <c r="L1365" s="9">
        <v>47239</v>
      </c>
      <c r="M1365" s="8" t="s">
        <v>16</v>
      </c>
      <c r="P1365" s="16" t="s">
        <v>1252</v>
      </c>
      <c r="Q1365" s="2" t="s">
        <v>16</v>
      </c>
      <c r="S1365" s="8" t="s">
        <v>1722</v>
      </c>
      <c r="T1365" s="9">
        <v>45717</v>
      </c>
      <c r="U1365" s="8">
        <v>0</v>
      </c>
      <c r="V1365" s="20">
        <v>7</v>
      </c>
      <c r="W1365" s="21" t="s">
        <v>151</v>
      </c>
    </row>
    <row r="1366" spans="1:23" ht="90">
      <c r="A1366" s="8" t="s">
        <v>3516</v>
      </c>
      <c r="B1366" s="8" t="s">
        <v>1438</v>
      </c>
      <c r="C1366" s="8" t="s">
        <v>2197</v>
      </c>
      <c r="D1366" s="8" t="s">
        <v>18</v>
      </c>
      <c r="E1366" s="8" t="s">
        <v>16</v>
      </c>
      <c r="F1366" s="8" t="s">
        <v>2228</v>
      </c>
      <c r="G1366" s="8" t="s">
        <v>3514</v>
      </c>
      <c r="H1366" s="8">
        <v>12317</v>
      </c>
      <c r="I1366" s="8">
        <v>2460</v>
      </c>
      <c r="J1366" s="8">
        <v>66168</v>
      </c>
      <c r="K1366" s="9">
        <v>45426</v>
      </c>
      <c r="L1366" s="9">
        <v>47209</v>
      </c>
      <c r="M1366" s="8" t="s">
        <v>16</v>
      </c>
      <c r="P1366" s="16" t="s">
        <v>1253</v>
      </c>
      <c r="Q1366" s="2" t="s">
        <v>16</v>
      </c>
      <c r="S1366" s="8" t="s">
        <v>1721</v>
      </c>
      <c r="T1366" s="9">
        <v>45108</v>
      </c>
      <c r="U1366" s="8">
        <v>0</v>
      </c>
      <c r="V1366" s="20">
        <v>4381</v>
      </c>
      <c r="W1366" s="21" t="s">
        <v>38</v>
      </c>
    </row>
    <row r="1367" spans="1:23" ht="75">
      <c r="A1367" s="8" t="s">
        <v>3516</v>
      </c>
      <c r="B1367" s="8" t="s">
        <v>1438</v>
      </c>
      <c r="C1367" s="8" t="s">
        <v>2197</v>
      </c>
      <c r="D1367" s="8" t="s">
        <v>18</v>
      </c>
      <c r="E1367" s="8" t="s">
        <v>16</v>
      </c>
      <c r="F1367" s="8" t="s">
        <v>2228</v>
      </c>
      <c r="G1367" s="8" t="s">
        <v>3514</v>
      </c>
      <c r="H1367" s="8">
        <v>12317</v>
      </c>
      <c r="I1367" s="8">
        <v>3980</v>
      </c>
      <c r="J1367" s="8">
        <v>66171</v>
      </c>
      <c r="K1367" s="9">
        <v>45462</v>
      </c>
      <c r="L1367" s="9">
        <v>47239</v>
      </c>
      <c r="M1367" s="8" t="s">
        <v>16</v>
      </c>
      <c r="P1367" s="16" t="s">
        <v>1253</v>
      </c>
      <c r="Q1367" s="2" t="s">
        <v>16</v>
      </c>
      <c r="S1367" s="8" t="s">
        <v>1723</v>
      </c>
      <c r="T1367" s="9">
        <v>46388</v>
      </c>
      <c r="U1367" s="8">
        <v>0</v>
      </c>
      <c r="V1367" s="20">
        <v>10</v>
      </c>
      <c r="W1367" s="21" t="s">
        <v>151</v>
      </c>
    </row>
    <row r="1368" spans="1:23" ht="75">
      <c r="A1368" s="8" t="s">
        <v>3516</v>
      </c>
      <c r="B1368" s="8" t="s">
        <v>1438</v>
      </c>
      <c r="C1368" s="8" t="s">
        <v>2197</v>
      </c>
      <c r="D1368" s="8" t="s">
        <v>18</v>
      </c>
      <c r="E1368" s="8" t="s">
        <v>16</v>
      </c>
      <c r="F1368" s="8" t="s">
        <v>2228</v>
      </c>
      <c r="G1368" s="8" t="s">
        <v>3514</v>
      </c>
      <c r="H1368" s="8">
        <v>12317</v>
      </c>
      <c r="I1368" s="8">
        <v>5400</v>
      </c>
      <c r="J1368" s="8">
        <v>66170</v>
      </c>
      <c r="K1368" s="9">
        <v>45453</v>
      </c>
      <c r="L1368" s="9">
        <v>47239</v>
      </c>
      <c r="M1368" s="8" t="s">
        <v>16</v>
      </c>
      <c r="P1368" s="16" t="s">
        <v>1256</v>
      </c>
      <c r="Q1368" s="2" t="s">
        <v>16</v>
      </c>
      <c r="S1368" s="8" t="s">
        <v>1723</v>
      </c>
      <c r="T1368" s="9">
        <v>46478</v>
      </c>
      <c r="U1368" s="8">
        <v>0</v>
      </c>
      <c r="V1368" s="20">
        <v>2880</v>
      </c>
      <c r="W1368" s="21" t="s">
        <v>151</v>
      </c>
    </row>
    <row r="1369" spans="1:23" ht="75">
      <c r="A1369" s="8" t="s">
        <v>3517</v>
      </c>
      <c r="B1369" s="8" t="s">
        <v>1439</v>
      </c>
      <c r="C1369" s="8" t="s">
        <v>2203</v>
      </c>
      <c r="D1369" s="8" t="s">
        <v>18</v>
      </c>
      <c r="E1369" s="8" t="s">
        <v>2217</v>
      </c>
      <c r="F1369" s="8" t="s">
        <v>2217</v>
      </c>
      <c r="G1369" s="8" t="s">
        <v>2217</v>
      </c>
      <c r="H1369" s="8">
        <v>1004</v>
      </c>
      <c r="I1369" s="8">
        <v>1004</v>
      </c>
      <c r="J1369" s="8" t="s">
        <v>1440</v>
      </c>
      <c r="K1369" s="9">
        <v>45307</v>
      </c>
      <c r="L1369" s="9">
        <v>45870</v>
      </c>
      <c r="M1369" s="8" t="s">
        <v>16</v>
      </c>
      <c r="P1369" s="16" t="s">
        <v>1257</v>
      </c>
      <c r="Q1369" s="2" t="s">
        <v>16</v>
      </c>
      <c r="S1369" s="8" t="s">
        <v>1723</v>
      </c>
      <c r="T1369" s="9">
        <v>46447</v>
      </c>
      <c r="U1369" s="8">
        <v>0</v>
      </c>
      <c r="V1369" s="20">
        <v>4110</v>
      </c>
      <c r="W1369" s="21" t="s">
        <v>151</v>
      </c>
    </row>
    <row r="1370" spans="1:23" ht="60">
      <c r="A1370" s="8" t="s">
        <v>3518</v>
      </c>
      <c r="B1370" s="8" t="s">
        <v>1441</v>
      </c>
      <c r="C1370" s="8" t="s">
        <v>2203</v>
      </c>
      <c r="D1370" s="8" t="s">
        <v>18</v>
      </c>
      <c r="E1370" s="8" t="s">
        <v>2217</v>
      </c>
      <c r="F1370" s="8" t="s">
        <v>2217</v>
      </c>
      <c r="G1370" s="8" t="s">
        <v>2217</v>
      </c>
      <c r="H1370" s="8">
        <v>2</v>
      </c>
      <c r="I1370" s="8">
        <v>2</v>
      </c>
      <c r="J1370" s="8" t="s">
        <v>1440</v>
      </c>
      <c r="K1370" s="9">
        <v>45269</v>
      </c>
      <c r="L1370" s="9">
        <v>45870</v>
      </c>
      <c r="M1370" s="8" t="s">
        <v>38</v>
      </c>
      <c r="P1370" s="16" t="s">
        <v>1257</v>
      </c>
      <c r="Q1370" s="2" t="s">
        <v>16</v>
      </c>
      <c r="S1370" s="8" t="s">
        <v>1724</v>
      </c>
      <c r="T1370" s="9">
        <v>45992</v>
      </c>
      <c r="U1370" s="8">
        <v>0</v>
      </c>
      <c r="V1370" s="20">
        <v>695</v>
      </c>
      <c r="W1370" s="21" t="s">
        <v>151</v>
      </c>
    </row>
    <row r="1371" spans="1:23" ht="45">
      <c r="A1371" s="8" t="s">
        <v>3520</v>
      </c>
      <c r="B1371" s="8" t="s">
        <v>1443</v>
      </c>
      <c r="C1371" s="8" t="s">
        <v>2197</v>
      </c>
      <c r="D1371" s="8" t="s">
        <v>18</v>
      </c>
      <c r="E1371" s="8" t="s">
        <v>151</v>
      </c>
      <c r="F1371" s="8" t="s">
        <v>151</v>
      </c>
      <c r="G1371" s="8" t="s">
        <v>3519</v>
      </c>
      <c r="H1371" s="8">
        <v>3471</v>
      </c>
      <c r="I1371" s="8">
        <v>200</v>
      </c>
      <c r="J1371" s="8">
        <v>3032020</v>
      </c>
      <c r="K1371" s="9">
        <v>44011</v>
      </c>
      <c r="L1371" s="9">
        <v>45717</v>
      </c>
      <c r="M1371" s="8" t="s">
        <v>151</v>
      </c>
      <c r="P1371" s="16" t="s">
        <v>1258</v>
      </c>
      <c r="Q1371" s="2" t="s">
        <v>16</v>
      </c>
      <c r="S1371" s="8" t="s">
        <v>1725</v>
      </c>
      <c r="T1371" s="9">
        <v>45627</v>
      </c>
      <c r="U1371" s="8">
        <v>0</v>
      </c>
      <c r="V1371" s="20">
        <v>744</v>
      </c>
      <c r="W1371" s="21" t="s">
        <v>151</v>
      </c>
    </row>
    <row r="1372" spans="1:23" ht="45">
      <c r="A1372" s="8" t="s">
        <v>3520</v>
      </c>
      <c r="B1372" s="8" t="s">
        <v>1443</v>
      </c>
      <c r="C1372" s="8" t="s">
        <v>2197</v>
      </c>
      <c r="D1372" s="8" t="s">
        <v>18</v>
      </c>
      <c r="E1372" s="8" t="s">
        <v>151</v>
      </c>
      <c r="F1372" s="8" t="s">
        <v>151</v>
      </c>
      <c r="G1372" s="8" t="s">
        <v>3519</v>
      </c>
      <c r="H1372" s="8">
        <v>3471</v>
      </c>
      <c r="I1372" s="8">
        <v>3271</v>
      </c>
      <c r="J1372" s="8">
        <v>7122023</v>
      </c>
      <c r="K1372" s="9">
        <v>45161</v>
      </c>
      <c r="L1372" s="9">
        <v>47453</v>
      </c>
      <c r="M1372" s="8" t="s">
        <v>151</v>
      </c>
      <c r="P1372" s="16" t="s">
        <v>1258</v>
      </c>
      <c r="Q1372" s="2" t="s">
        <v>16</v>
      </c>
      <c r="S1372" s="8" t="s">
        <v>1726</v>
      </c>
      <c r="T1372" s="9">
        <v>45627</v>
      </c>
      <c r="U1372" s="8">
        <v>0</v>
      </c>
      <c r="V1372" s="20">
        <v>87</v>
      </c>
      <c r="W1372" s="21" t="s">
        <v>151</v>
      </c>
    </row>
    <row r="1373" spans="1:23" ht="45">
      <c r="A1373" s="8" t="s">
        <v>3521</v>
      </c>
      <c r="B1373" s="8" t="s">
        <v>1444</v>
      </c>
      <c r="C1373" s="8" t="s">
        <v>2197</v>
      </c>
      <c r="D1373" s="8" t="s">
        <v>18</v>
      </c>
      <c r="E1373" s="8" t="s">
        <v>16</v>
      </c>
      <c r="F1373" s="8" t="s">
        <v>2258</v>
      </c>
      <c r="G1373" s="8" t="s">
        <v>3522</v>
      </c>
      <c r="H1373" s="8">
        <v>1</v>
      </c>
      <c r="I1373" s="8">
        <v>1</v>
      </c>
      <c r="J1373" s="8">
        <v>0</v>
      </c>
      <c r="K1373" s="9">
        <v>44018</v>
      </c>
      <c r="L1373" s="8" t="s">
        <v>2222</v>
      </c>
      <c r="M1373" s="8" t="s">
        <v>38</v>
      </c>
      <c r="P1373" s="16" t="s">
        <v>1258</v>
      </c>
      <c r="Q1373" s="2" t="s">
        <v>16</v>
      </c>
      <c r="S1373" s="8" t="s">
        <v>1727</v>
      </c>
      <c r="T1373" s="9">
        <v>45627</v>
      </c>
      <c r="U1373" s="8">
        <v>0</v>
      </c>
      <c r="V1373" s="20">
        <v>341</v>
      </c>
      <c r="W1373" s="21" t="s">
        <v>151</v>
      </c>
    </row>
    <row r="1374" spans="1:23" ht="75">
      <c r="A1374" s="8" t="s">
        <v>3523</v>
      </c>
      <c r="B1374" s="8" t="s">
        <v>1445</v>
      </c>
      <c r="C1374" s="8" t="s">
        <v>2221</v>
      </c>
      <c r="D1374" s="8" t="s">
        <v>18</v>
      </c>
      <c r="E1374" s="8" t="s">
        <v>43</v>
      </c>
      <c r="F1374" s="8" t="s">
        <v>2990</v>
      </c>
      <c r="G1374" s="8" t="s">
        <v>2217</v>
      </c>
      <c r="H1374" s="8">
        <v>15</v>
      </c>
      <c r="I1374" s="8">
        <v>15</v>
      </c>
      <c r="J1374" s="8">
        <v>0</v>
      </c>
      <c r="K1374" s="9">
        <v>44622</v>
      </c>
      <c r="L1374" s="8" t="s">
        <v>2222</v>
      </c>
      <c r="M1374" s="8" t="s">
        <v>43</v>
      </c>
      <c r="P1374" s="16" t="s">
        <v>1258</v>
      </c>
      <c r="Q1374" s="2" t="s">
        <v>16</v>
      </c>
      <c r="S1374" s="8" t="s">
        <v>1728</v>
      </c>
      <c r="T1374" s="9">
        <v>45566</v>
      </c>
      <c r="U1374" s="8">
        <v>0</v>
      </c>
      <c r="V1374" s="20">
        <v>6951</v>
      </c>
      <c r="W1374" s="21" t="s">
        <v>151</v>
      </c>
    </row>
    <row r="1375" spans="1:23" ht="75">
      <c r="A1375" s="8" t="s">
        <v>3524</v>
      </c>
      <c r="B1375" s="8" t="s">
        <v>1446</v>
      </c>
      <c r="C1375" s="8" t="s">
        <v>2221</v>
      </c>
      <c r="D1375" s="8" t="s">
        <v>18</v>
      </c>
      <c r="E1375" s="8" t="s">
        <v>43</v>
      </c>
      <c r="F1375" s="8" t="s">
        <v>2990</v>
      </c>
      <c r="G1375" s="8" t="s">
        <v>2217</v>
      </c>
      <c r="H1375" s="8">
        <v>15</v>
      </c>
      <c r="I1375" s="8">
        <v>15</v>
      </c>
      <c r="J1375" s="8">
        <v>0</v>
      </c>
      <c r="K1375" s="9">
        <v>44622</v>
      </c>
      <c r="L1375" s="8" t="s">
        <v>2222</v>
      </c>
      <c r="M1375" s="8" t="s">
        <v>43</v>
      </c>
      <c r="P1375" s="16" t="s">
        <v>1259</v>
      </c>
      <c r="Q1375" s="2" t="s">
        <v>16</v>
      </c>
      <c r="S1375" s="8" t="s">
        <v>1728</v>
      </c>
      <c r="T1375" s="9">
        <v>45597</v>
      </c>
      <c r="U1375" s="8">
        <v>0</v>
      </c>
      <c r="V1375" s="20">
        <v>1400</v>
      </c>
      <c r="W1375" s="21" t="s">
        <v>151</v>
      </c>
    </row>
    <row r="1376" spans="1:23" ht="75">
      <c r="A1376" s="8" t="s">
        <v>3525</v>
      </c>
      <c r="B1376" s="8" t="s">
        <v>1447</v>
      </c>
      <c r="C1376" s="8" t="s">
        <v>2221</v>
      </c>
      <c r="D1376" s="8" t="s">
        <v>18</v>
      </c>
      <c r="E1376" s="8" t="s">
        <v>43</v>
      </c>
      <c r="F1376" s="8" t="s">
        <v>2990</v>
      </c>
      <c r="G1376" s="8" t="s">
        <v>2217</v>
      </c>
      <c r="H1376" s="8">
        <v>15</v>
      </c>
      <c r="I1376" s="8">
        <v>15</v>
      </c>
      <c r="J1376" s="8">
        <v>0</v>
      </c>
      <c r="K1376" s="9">
        <v>44622</v>
      </c>
      <c r="L1376" s="8" t="s">
        <v>2222</v>
      </c>
      <c r="M1376" s="8" t="s">
        <v>43</v>
      </c>
      <c r="P1376" s="16" t="s">
        <v>1259</v>
      </c>
      <c r="Q1376" s="2" t="s">
        <v>16</v>
      </c>
      <c r="S1376" s="8" t="s">
        <v>1729</v>
      </c>
      <c r="T1376" s="9">
        <v>46266</v>
      </c>
      <c r="U1376" s="8">
        <v>0</v>
      </c>
      <c r="V1376" s="20">
        <v>2</v>
      </c>
      <c r="W1376" s="21" t="s">
        <v>151</v>
      </c>
    </row>
    <row r="1377" spans="1:23" ht="75">
      <c r="A1377" s="8" t="s">
        <v>3526</v>
      </c>
      <c r="B1377" s="8" t="s">
        <v>1448</v>
      </c>
      <c r="C1377" s="8" t="s">
        <v>2221</v>
      </c>
      <c r="D1377" s="8" t="s">
        <v>18</v>
      </c>
      <c r="E1377" s="8" t="s">
        <v>101</v>
      </c>
      <c r="F1377" s="8" t="s">
        <v>101</v>
      </c>
      <c r="G1377" s="8" t="s">
        <v>1448</v>
      </c>
      <c r="H1377" s="8">
        <v>10</v>
      </c>
      <c r="I1377" s="8">
        <v>10</v>
      </c>
      <c r="J1377" s="8">
        <v>0</v>
      </c>
      <c r="K1377" s="8" t="s">
        <v>2222</v>
      </c>
      <c r="L1377" s="8" t="s">
        <v>2222</v>
      </c>
      <c r="M1377" s="8" t="s">
        <v>41</v>
      </c>
      <c r="P1377" s="16" t="s">
        <v>1259</v>
      </c>
      <c r="Q1377" s="2" t="s">
        <v>16</v>
      </c>
      <c r="S1377" s="8" t="s">
        <v>1729</v>
      </c>
      <c r="T1377" s="9">
        <v>46447</v>
      </c>
      <c r="U1377" s="8">
        <v>0</v>
      </c>
      <c r="V1377" s="20">
        <v>1982</v>
      </c>
      <c r="W1377" s="21" t="s">
        <v>151</v>
      </c>
    </row>
    <row r="1378" spans="1:23" ht="75">
      <c r="A1378" s="8" t="s">
        <v>3527</v>
      </c>
      <c r="B1378" s="8" t="s">
        <v>1449</v>
      </c>
      <c r="C1378" s="8" t="s">
        <v>2221</v>
      </c>
      <c r="D1378" s="8" t="s">
        <v>18</v>
      </c>
      <c r="E1378" s="8" t="s">
        <v>101</v>
      </c>
      <c r="F1378" s="8" t="s">
        <v>101</v>
      </c>
      <c r="G1378" s="8" t="s">
        <v>1449</v>
      </c>
      <c r="H1378" s="8">
        <v>10</v>
      </c>
      <c r="I1378" s="8">
        <v>10</v>
      </c>
      <c r="J1378" s="8">
        <v>0</v>
      </c>
      <c r="K1378" s="8" t="s">
        <v>2222</v>
      </c>
      <c r="L1378" s="8" t="s">
        <v>2222</v>
      </c>
      <c r="M1378" s="8" t="s">
        <v>41</v>
      </c>
      <c r="P1378" s="16" t="s">
        <v>1259</v>
      </c>
      <c r="Q1378" s="2" t="s">
        <v>16</v>
      </c>
      <c r="S1378" s="8" t="s">
        <v>1730</v>
      </c>
      <c r="T1378" s="9">
        <v>45566</v>
      </c>
      <c r="U1378" s="8">
        <v>0</v>
      </c>
      <c r="V1378" s="20">
        <v>14848</v>
      </c>
      <c r="W1378" s="21" t="s">
        <v>151</v>
      </c>
    </row>
    <row r="1379" spans="1:23" ht="75">
      <c r="A1379" s="8" t="s">
        <v>3528</v>
      </c>
      <c r="B1379" s="8" t="s">
        <v>1450</v>
      </c>
      <c r="C1379" s="8" t="s">
        <v>2221</v>
      </c>
      <c r="D1379" s="8" t="s">
        <v>18</v>
      </c>
      <c r="E1379" s="8" t="s">
        <v>101</v>
      </c>
      <c r="F1379" s="8" t="s">
        <v>101</v>
      </c>
      <c r="G1379" s="8" t="s">
        <v>1450</v>
      </c>
      <c r="H1379" s="8">
        <v>10</v>
      </c>
      <c r="I1379" s="8">
        <v>10</v>
      </c>
      <c r="J1379" s="8">
        <v>0</v>
      </c>
      <c r="K1379" s="8" t="s">
        <v>2222</v>
      </c>
      <c r="L1379" s="8" t="s">
        <v>2222</v>
      </c>
      <c r="M1379" s="8" t="s">
        <v>41</v>
      </c>
      <c r="P1379" s="16" t="s">
        <v>1260</v>
      </c>
      <c r="Q1379" s="2" t="s">
        <v>16</v>
      </c>
      <c r="S1379" s="8" t="s">
        <v>1730</v>
      </c>
      <c r="T1379" s="9">
        <v>45597</v>
      </c>
      <c r="U1379" s="8">
        <v>0</v>
      </c>
      <c r="V1379" s="20">
        <v>2500</v>
      </c>
      <c r="W1379" s="21" t="s">
        <v>151</v>
      </c>
    </row>
    <row r="1380" spans="1:23" ht="75">
      <c r="A1380" s="8" t="s">
        <v>3529</v>
      </c>
      <c r="B1380" s="8" t="s">
        <v>1451</v>
      </c>
      <c r="C1380" s="8" t="s">
        <v>2221</v>
      </c>
      <c r="D1380" s="8" t="s">
        <v>18</v>
      </c>
      <c r="E1380" s="8" t="s">
        <v>101</v>
      </c>
      <c r="F1380" s="8" t="s">
        <v>101</v>
      </c>
      <c r="G1380" s="8" t="s">
        <v>3530</v>
      </c>
      <c r="H1380" s="8">
        <v>1405</v>
      </c>
      <c r="I1380" s="8">
        <v>1405</v>
      </c>
      <c r="J1380" s="8">
        <v>0</v>
      </c>
      <c r="K1380" s="9">
        <v>44016</v>
      </c>
      <c r="L1380" s="8" t="s">
        <v>2222</v>
      </c>
      <c r="M1380" s="8" t="s">
        <v>41</v>
      </c>
      <c r="P1380" s="16" t="s">
        <v>1260</v>
      </c>
      <c r="Q1380" s="2" t="s">
        <v>16</v>
      </c>
      <c r="S1380" s="8" t="s">
        <v>1730</v>
      </c>
      <c r="T1380" s="9">
        <v>45352</v>
      </c>
      <c r="U1380" s="8">
        <v>0</v>
      </c>
      <c r="V1380" s="20">
        <v>6041</v>
      </c>
      <c r="W1380" s="21" t="s">
        <v>151</v>
      </c>
    </row>
    <row r="1381" spans="1:23" ht="75">
      <c r="A1381" s="8" t="s">
        <v>3531</v>
      </c>
      <c r="B1381" s="8" t="s">
        <v>1452</v>
      </c>
      <c r="C1381" s="8" t="s">
        <v>2221</v>
      </c>
      <c r="D1381" s="8" t="s">
        <v>18</v>
      </c>
      <c r="E1381" s="8" t="s">
        <v>101</v>
      </c>
      <c r="F1381" s="8" t="s">
        <v>101</v>
      </c>
      <c r="G1381" s="8" t="s">
        <v>3532</v>
      </c>
      <c r="H1381" s="8">
        <v>1881</v>
      </c>
      <c r="I1381" s="8">
        <v>1881</v>
      </c>
      <c r="J1381" s="8">
        <v>0</v>
      </c>
      <c r="K1381" s="9">
        <v>44016</v>
      </c>
      <c r="L1381" s="8" t="s">
        <v>2222</v>
      </c>
      <c r="M1381" s="8" t="s">
        <v>41</v>
      </c>
      <c r="P1381" s="16" t="s">
        <v>1260</v>
      </c>
      <c r="Q1381" s="2" t="s">
        <v>16</v>
      </c>
      <c r="S1381" s="8" t="s">
        <v>1731</v>
      </c>
      <c r="T1381" s="9">
        <v>46478</v>
      </c>
      <c r="U1381" s="8">
        <v>0</v>
      </c>
      <c r="V1381" s="20">
        <v>2230</v>
      </c>
      <c r="W1381" s="21" t="s">
        <v>151</v>
      </c>
    </row>
    <row r="1382" spans="1:23" ht="75">
      <c r="A1382" s="8" t="s">
        <v>3533</v>
      </c>
      <c r="B1382" s="8" t="s">
        <v>1453</v>
      </c>
      <c r="C1382" s="8" t="s">
        <v>2197</v>
      </c>
      <c r="D1382" s="8" t="s">
        <v>18</v>
      </c>
      <c r="E1382" s="8" t="s">
        <v>16</v>
      </c>
      <c r="F1382" s="8" t="s">
        <v>2204</v>
      </c>
      <c r="G1382" s="8" t="s">
        <v>3534</v>
      </c>
      <c r="H1382" s="8">
        <v>162</v>
      </c>
      <c r="I1382" s="8">
        <v>162</v>
      </c>
      <c r="J1382" s="8" t="s">
        <v>1454</v>
      </c>
      <c r="K1382" s="9">
        <v>45405</v>
      </c>
      <c r="L1382" s="9">
        <v>46935</v>
      </c>
      <c r="M1382" s="8" t="s">
        <v>16</v>
      </c>
      <c r="P1382" s="16" t="s">
        <v>1261</v>
      </c>
      <c r="Q1382" s="2" t="s">
        <v>16</v>
      </c>
      <c r="S1382" s="8" t="s">
        <v>1731</v>
      </c>
      <c r="T1382" s="9">
        <v>46539</v>
      </c>
      <c r="U1382" s="8">
        <v>0</v>
      </c>
      <c r="V1382" s="20">
        <v>2440</v>
      </c>
      <c r="W1382" s="21" t="s">
        <v>151</v>
      </c>
    </row>
    <row r="1383" spans="1:23" ht="75">
      <c r="A1383" s="8" t="s">
        <v>3535</v>
      </c>
      <c r="B1383" s="8" t="s">
        <v>1455</v>
      </c>
      <c r="C1383" s="8" t="s">
        <v>2197</v>
      </c>
      <c r="D1383" s="8" t="s">
        <v>18</v>
      </c>
      <c r="E1383" s="8" t="s">
        <v>2217</v>
      </c>
      <c r="F1383" s="8" t="s">
        <v>2217</v>
      </c>
      <c r="G1383" s="8" t="s">
        <v>2217</v>
      </c>
      <c r="H1383" s="8">
        <v>90</v>
      </c>
      <c r="I1383" s="8">
        <v>90</v>
      </c>
      <c r="J1383" s="8" t="s">
        <v>1456</v>
      </c>
      <c r="K1383" s="9">
        <v>45461</v>
      </c>
      <c r="L1383" s="9">
        <v>47270</v>
      </c>
      <c r="M1383" s="8" t="s">
        <v>16</v>
      </c>
      <c r="P1383" s="16" t="s">
        <v>1262</v>
      </c>
      <c r="Q1383" s="2" t="s">
        <v>16</v>
      </c>
      <c r="S1383" s="8" t="s">
        <v>1732</v>
      </c>
      <c r="T1383" s="9">
        <v>45505</v>
      </c>
      <c r="U1383" s="8">
        <v>0</v>
      </c>
      <c r="V1383" s="20">
        <v>7120</v>
      </c>
      <c r="W1383" s="21" t="s">
        <v>16</v>
      </c>
    </row>
    <row r="1384" spans="1:23" ht="45">
      <c r="A1384" s="8" t="s">
        <v>3536</v>
      </c>
      <c r="B1384" s="8" t="s">
        <v>1457</v>
      </c>
      <c r="C1384" s="8" t="s">
        <v>2197</v>
      </c>
      <c r="D1384" s="8" t="s">
        <v>18</v>
      </c>
      <c r="E1384" s="8" t="s">
        <v>16</v>
      </c>
      <c r="F1384" s="8" t="s">
        <v>2204</v>
      </c>
      <c r="G1384" s="8" t="s">
        <v>3534</v>
      </c>
      <c r="H1384" s="8">
        <v>1185</v>
      </c>
      <c r="I1384" s="8">
        <v>1185</v>
      </c>
      <c r="J1384" s="8" t="s">
        <v>1454</v>
      </c>
      <c r="K1384" s="9">
        <v>45405</v>
      </c>
      <c r="L1384" s="9">
        <v>46935</v>
      </c>
      <c r="M1384" s="8" t="s">
        <v>16</v>
      </c>
      <c r="P1384" s="16" t="s">
        <v>1263</v>
      </c>
      <c r="Q1384" s="2" t="s">
        <v>151</v>
      </c>
      <c r="S1384" s="8" t="s">
        <v>1732</v>
      </c>
      <c r="T1384" s="9">
        <v>45444</v>
      </c>
      <c r="U1384" s="8">
        <v>0</v>
      </c>
      <c r="V1384" s="20">
        <v>8548</v>
      </c>
      <c r="W1384" s="21" t="s">
        <v>16</v>
      </c>
    </row>
    <row r="1385" spans="1:23" ht="75">
      <c r="A1385" s="8" t="s">
        <v>3537</v>
      </c>
      <c r="B1385" s="8" t="s">
        <v>1458</v>
      </c>
      <c r="C1385" s="8" t="s">
        <v>2197</v>
      </c>
      <c r="D1385" s="8" t="s">
        <v>18</v>
      </c>
      <c r="E1385" s="8" t="s">
        <v>2217</v>
      </c>
      <c r="F1385" s="8" t="s">
        <v>2217</v>
      </c>
      <c r="G1385" s="8" t="s">
        <v>2217</v>
      </c>
      <c r="H1385" s="8">
        <v>310</v>
      </c>
      <c r="I1385" s="8">
        <v>310</v>
      </c>
      <c r="J1385" s="8" t="s">
        <v>1456</v>
      </c>
      <c r="K1385" s="9">
        <v>47287</v>
      </c>
      <c r="L1385" s="9">
        <v>47270</v>
      </c>
      <c r="M1385" s="8" t="s">
        <v>16</v>
      </c>
      <c r="P1385" s="16" t="s">
        <v>1263</v>
      </c>
      <c r="Q1385" s="2" t="s">
        <v>151</v>
      </c>
      <c r="S1385" s="8" t="s">
        <v>1735</v>
      </c>
      <c r="T1385" s="9" t="s">
        <v>2222</v>
      </c>
      <c r="U1385" s="8">
        <v>0</v>
      </c>
      <c r="V1385" s="20">
        <v>4</v>
      </c>
      <c r="W1385" s="21" t="s">
        <v>101</v>
      </c>
    </row>
    <row r="1386" spans="1:23" ht="60">
      <c r="A1386" s="8" t="s">
        <v>3538</v>
      </c>
      <c r="B1386" s="8" t="s">
        <v>1459</v>
      </c>
      <c r="C1386" s="8" t="s">
        <v>2221</v>
      </c>
      <c r="D1386" s="8" t="s">
        <v>18</v>
      </c>
      <c r="E1386" s="8" t="s">
        <v>101</v>
      </c>
      <c r="F1386" s="8" t="s">
        <v>2498</v>
      </c>
      <c r="G1386" s="8" t="s">
        <v>1459</v>
      </c>
      <c r="H1386" s="8">
        <v>15</v>
      </c>
      <c r="I1386" s="8">
        <v>15</v>
      </c>
      <c r="J1386" s="8">
        <v>0</v>
      </c>
      <c r="K1386" s="8" t="s">
        <v>2222</v>
      </c>
      <c r="L1386" s="8" t="s">
        <v>2222</v>
      </c>
      <c r="M1386" s="8" t="s">
        <v>41</v>
      </c>
      <c r="P1386" s="16" t="s">
        <v>1263</v>
      </c>
      <c r="Q1386" s="2" t="s">
        <v>151</v>
      </c>
      <c r="S1386" s="8" t="s">
        <v>1736</v>
      </c>
      <c r="T1386" s="9" t="s">
        <v>2222</v>
      </c>
      <c r="U1386" s="8">
        <v>0</v>
      </c>
      <c r="V1386" s="20">
        <v>2</v>
      </c>
      <c r="W1386" s="21" t="s">
        <v>101</v>
      </c>
    </row>
    <row r="1387" spans="1:23" ht="60">
      <c r="A1387" s="8" t="s">
        <v>3539</v>
      </c>
      <c r="B1387" s="8" t="s">
        <v>1459</v>
      </c>
      <c r="C1387" s="8" t="s">
        <v>2221</v>
      </c>
      <c r="D1387" s="8" t="s">
        <v>18</v>
      </c>
      <c r="E1387" s="8" t="s">
        <v>101</v>
      </c>
      <c r="F1387" s="8" t="s">
        <v>2498</v>
      </c>
      <c r="G1387" s="8" t="s">
        <v>1459</v>
      </c>
      <c r="H1387" s="8">
        <v>1445</v>
      </c>
      <c r="I1387" s="8">
        <v>1445</v>
      </c>
      <c r="J1387" s="8">
        <v>0</v>
      </c>
      <c r="K1387" s="9">
        <v>44162</v>
      </c>
      <c r="L1387" s="8" t="s">
        <v>2222</v>
      </c>
      <c r="M1387" s="8" t="s">
        <v>41</v>
      </c>
      <c r="P1387" s="16" t="s">
        <v>1267</v>
      </c>
      <c r="Q1387" s="2" t="s">
        <v>151</v>
      </c>
      <c r="S1387" s="8" t="s">
        <v>1737</v>
      </c>
      <c r="T1387" s="9" t="s">
        <v>2222</v>
      </c>
      <c r="U1387" s="8">
        <v>0</v>
      </c>
      <c r="V1387" s="20">
        <v>8</v>
      </c>
      <c r="W1387" s="21" t="s">
        <v>38</v>
      </c>
    </row>
    <row r="1388" spans="1:23" ht="60">
      <c r="A1388" s="8" t="s">
        <v>3540</v>
      </c>
      <c r="B1388" s="8" t="s">
        <v>1460</v>
      </c>
      <c r="C1388" s="8" t="s">
        <v>2994</v>
      </c>
      <c r="D1388" s="8" t="s">
        <v>18</v>
      </c>
      <c r="E1388" s="8" t="s">
        <v>2217</v>
      </c>
      <c r="F1388" s="8" t="s">
        <v>2217</v>
      </c>
      <c r="G1388" s="8" t="s">
        <v>2217</v>
      </c>
      <c r="H1388" s="8">
        <v>220</v>
      </c>
      <c r="I1388" s="8">
        <v>220</v>
      </c>
      <c r="J1388" s="8">
        <v>0</v>
      </c>
      <c r="K1388" s="9">
        <v>45350</v>
      </c>
      <c r="L1388" s="9">
        <v>46023</v>
      </c>
      <c r="M1388" s="8" t="s">
        <v>151</v>
      </c>
      <c r="P1388" s="16" t="s">
        <v>1267</v>
      </c>
      <c r="Q1388" s="2" t="s">
        <v>151</v>
      </c>
      <c r="S1388" s="8" t="s">
        <v>1738</v>
      </c>
      <c r="T1388" s="9">
        <v>46753</v>
      </c>
      <c r="U1388" s="8">
        <v>0</v>
      </c>
      <c r="V1388" s="20">
        <v>1</v>
      </c>
      <c r="W1388" s="21" t="s">
        <v>16</v>
      </c>
    </row>
    <row r="1389" spans="1:23" ht="60">
      <c r="A1389" s="8" t="s">
        <v>3541</v>
      </c>
      <c r="B1389" s="8" t="s">
        <v>1461</v>
      </c>
      <c r="C1389" s="8" t="s">
        <v>2994</v>
      </c>
      <c r="D1389" s="8" t="s">
        <v>18</v>
      </c>
      <c r="E1389" s="8" t="s">
        <v>2217</v>
      </c>
      <c r="F1389" s="8" t="s">
        <v>2217</v>
      </c>
      <c r="G1389" s="8" t="s">
        <v>2217</v>
      </c>
      <c r="H1389" s="8">
        <v>40</v>
      </c>
      <c r="I1389" s="8">
        <v>10</v>
      </c>
      <c r="J1389" s="8">
        <v>0</v>
      </c>
      <c r="K1389" s="9">
        <v>45448</v>
      </c>
      <c r="L1389" s="9">
        <v>46388</v>
      </c>
      <c r="M1389" s="8" t="s">
        <v>1462</v>
      </c>
      <c r="P1389" s="16" t="s">
        <v>1267</v>
      </c>
      <c r="Q1389" s="2" t="s">
        <v>151</v>
      </c>
      <c r="S1389" s="8" t="s">
        <v>1738</v>
      </c>
      <c r="T1389" s="9">
        <v>46174</v>
      </c>
      <c r="U1389" s="8">
        <v>0</v>
      </c>
      <c r="V1389" s="20">
        <v>50</v>
      </c>
      <c r="W1389" s="21" t="s">
        <v>16</v>
      </c>
    </row>
    <row r="1390" spans="1:23" ht="60">
      <c r="A1390" s="8" t="s">
        <v>3541</v>
      </c>
      <c r="B1390" s="8" t="s">
        <v>1461</v>
      </c>
      <c r="C1390" s="8" t="s">
        <v>2994</v>
      </c>
      <c r="D1390" s="8" t="s">
        <v>18</v>
      </c>
      <c r="E1390" s="8" t="s">
        <v>2217</v>
      </c>
      <c r="F1390" s="8" t="s">
        <v>2217</v>
      </c>
      <c r="G1390" s="8" t="s">
        <v>2217</v>
      </c>
      <c r="H1390" s="8">
        <v>40</v>
      </c>
      <c r="I1390" s="8">
        <v>30</v>
      </c>
      <c r="J1390" s="8">
        <v>0</v>
      </c>
      <c r="K1390" s="9">
        <v>45404</v>
      </c>
      <c r="L1390" s="9">
        <v>46447</v>
      </c>
      <c r="M1390" s="8" t="s">
        <v>1462</v>
      </c>
      <c r="P1390" s="16" t="s">
        <v>1270</v>
      </c>
      <c r="Q1390" s="2" t="s">
        <v>16</v>
      </c>
      <c r="S1390" s="8" t="s">
        <v>1741</v>
      </c>
      <c r="T1390" s="9">
        <v>45809</v>
      </c>
      <c r="U1390" s="8">
        <v>0</v>
      </c>
      <c r="V1390" s="20">
        <v>41004</v>
      </c>
      <c r="W1390" s="21" t="s">
        <v>16</v>
      </c>
    </row>
    <row r="1391" spans="1:23" ht="60">
      <c r="A1391" s="8" t="s">
        <v>3542</v>
      </c>
      <c r="B1391" s="8" t="s">
        <v>1463</v>
      </c>
      <c r="C1391" s="8" t="s">
        <v>2994</v>
      </c>
      <c r="D1391" s="8" t="s">
        <v>18</v>
      </c>
      <c r="E1391" s="8" t="s">
        <v>151</v>
      </c>
      <c r="F1391" s="8" t="s">
        <v>3543</v>
      </c>
      <c r="G1391" s="8" t="s">
        <v>3544</v>
      </c>
      <c r="H1391" s="8">
        <v>84</v>
      </c>
      <c r="I1391" s="8">
        <v>84</v>
      </c>
      <c r="J1391" s="8">
        <v>0</v>
      </c>
      <c r="K1391" s="9">
        <v>45262</v>
      </c>
      <c r="L1391" s="9">
        <v>45658</v>
      </c>
      <c r="M1391" s="8" t="s">
        <v>151</v>
      </c>
      <c r="P1391" s="16" t="s">
        <v>1270</v>
      </c>
      <c r="Q1391" s="2" t="s">
        <v>16</v>
      </c>
      <c r="S1391" s="8" t="s">
        <v>1744</v>
      </c>
      <c r="T1391" s="9">
        <v>47119</v>
      </c>
      <c r="U1391" s="8">
        <v>0</v>
      </c>
      <c r="V1391" s="20">
        <v>62</v>
      </c>
      <c r="W1391" s="21" t="s">
        <v>16</v>
      </c>
    </row>
    <row r="1392" spans="1:23" ht="60">
      <c r="A1392" s="8" t="s">
        <v>3545</v>
      </c>
      <c r="B1392" s="8" t="s">
        <v>1464</v>
      </c>
      <c r="C1392" s="8" t="s">
        <v>2994</v>
      </c>
      <c r="D1392" s="8" t="s">
        <v>18</v>
      </c>
      <c r="E1392" s="8" t="s">
        <v>2217</v>
      </c>
      <c r="F1392" s="8" t="s">
        <v>2217</v>
      </c>
      <c r="G1392" s="8" t="s">
        <v>2217</v>
      </c>
      <c r="H1392" s="8">
        <v>91</v>
      </c>
      <c r="I1392" s="8">
        <v>91</v>
      </c>
      <c r="J1392" s="8">
        <v>0</v>
      </c>
      <c r="K1392" s="9">
        <v>45350</v>
      </c>
      <c r="L1392" s="9">
        <v>46054</v>
      </c>
      <c r="M1392" s="8" t="s">
        <v>151</v>
      </c>
      <c r="P1392" s="16" t="s">
        <v>1270</v>
      </c>
      <c r="Q1392" s="2" t="s">
        <v>16</v>
      </c>
      <c r="S1392" s="8" t="s">
        <v>1745</v>
      </c>
      <c r="T1392" s="9">
        <v>47150</v>
      </c>
      <c r="U1392" s="8">
        <v>0</v>
      </c>
      <c r="V1392" s="20">
        <v>3600</v>
      </c>
      <c r="W1392" s="21" t="s">
        <v>16</v>
      </c>
    </row>
    <row r="1393" spans="1:23" ht="60">
      <c r="A1393" s="8" t="s">
        <v>3546</v>
      </c>
      <c r="B1393" s="8" t="s">
        <v>1465</v>
      </c>
      <c r="C1393" s="8" t="s">
        <v>2994</v>
      </c>
      <c r="D1393" s="8" t="s">
        <v>192</v>
      </c>
      <c r="E1393" s="8" t="s">
        <v>151</v>
      </c>
      <c r="F1393" s="8" t="s">
        <v>3543</v>
      </c>
      <c r="G1393" s="8" t="s">
        <v>2217</v>
      </c>
      <c r="H1393" s="8">
        <v>1</v>
      </c>
      <c r="I1393" s="8">
        <v>1</v>
      </c>
      <c r="J1393" s="8">
        <v>0</v>
      </c>
      <c r="K1393" s="9">
        <v>44018</v>
      </c>
      <c r="L1393" s="8" t="s">
        <v>2222</v>
      </c>
      <c r="M1393" s="8" t="s">
        <v>151</v>
      </c>
      <c r="P1393" s="16" t="s">
        <v>1271</v>
      </c>
      <c r="Q1393" s="2" t="s">
        <v>16</v>
      </c>
      <c r="S1393" s="8" t="s">
        <v>1746</v>
      </c>
      <c r="T1393" s="9">
        <v>46143</v>
      </c>
      <c r="U1393" s="8">
        <v>0</v>
      </c>
      <c r="V1393" s="20">
        <v>1745</v>
      </c>
      <c r="W1393" s="21" t="s">
        <v>16</v>
      </c>
    </row>
    <row r="1394" spans="1:23" ht="60">
      <c r="A1394" s="8" t="s">
        <v>3547</v>
      </c>
      <c r="B1394" s="8" t="s">
        <v>1466</v>
      </c>
      <c r="C1394" s="8" t="s">
        <v>2994</v>
      </c>
      <c r="D1394" s="8" t="s">
        <v>18</v>
      </c>
      <c r="E1394" s="8" t="s">
        <v>151</v>
      </c>
      <c r="F1394" s="8" t="s">
        <v>3543</v>
      </c>
      <c r="G1394" s="8" t="s">
        <v>3548</v>
      </c>
      <c r="H1394" s="8">
        <v>165</v>
      </c>
      <c r="I1394" s="8">
        <v>165</v>
      </c>
      <c r="J1394" s="8">
        <v>0</v>
      </c>
      <c r="K1394" s="9">
        <v>45288</v>
      </c>
      <c r="L1394" s="9">
        <v>45292</v>
      </c>
      <c r="M1394" s="8" t="s">
        <v>151</v>
      </c>
      <c r="P1394" s="16" t="s">
        <v>1271</v>
      </c>
      <c r="Q1394" s="2" t="s">
        <v>16</v>
      </c>
      <c r="S1394" s="8" t="s">
        <v>1748</v>
      </c>
      <c r="T1394" s="9">
        <v>46143</v>
      </c>
      <c r="U1394" s="8">
        <v>0</v>
      </c>
      <c r="V1394" s="20">
        <v>3345</v>
      </c>
      <c r="W1394" s="21" t="s">
        <v>16</v>
      </c>
    </row>
    <row r="1395" spans="1:23" ht="60">
      <c r="A1395" s="8" t="s">
        <v>3549</v>
      </c>
      <c r="B1395" s="8" t="s">
        <v>1467</v>
      </c>
      <c r="C1395" s="8" t="s">
        <v>2994</v>
      </c>
      <c r="D1395" s="8" t="s">
        <v>18</v>
      </c>
      <c r="E1395" s="8" t="s">
        <v>151</v>
      </c>
      <c r="F1395" s="8" t="s">
        <v>3543</v>
      </c>
      <c r="G1395" s="8" t="s">
        <v>3550</v>
      </c>
      <c r="H1395" s="8">
        <v>230</v>
      </c>
      <c r="I1395" s="8">
        <v>230</v>
      </c>
      <c r="J1395" s="8">
        <v>0</v>
      </c>
      <c r="K1395" s="9">
        <v>45238</v>
      </c>
      <c r="L1395" s="9">
        <v>47058</v>
      </c>
      <c r="M1395" s="8" t="s">
        <v>151</v>
      </c>
      <c r="P1395" s="16" t="s">
        <v>1271</v>
      </c>
      <c r="Q1395" s="2" t="s">
        <v>16</v>
      </c>
      <c r="S1395" s="8" t="s">
        <v>1750</v>
      </c>
      <c r="T1395" s="9">
        <v>46143</v>
      </c>
      <c r="U1395" s="8">
        <v>0</v>
      </c>
      <c r="V1395" s="20">
        <v>4720</v>
      </c>
      <c r="W1395" s="21" t="s">
        <v>16</v>
      </c>
    </row>
    <row r="1396" spans="1:23" ht="75">
      <c r="A1396" s="8" t="s">
        <v>3551</v>
      </c>
      <c r="B1396" s="8" t="s">
        <v>1468</v>
      </c>
      <c r="C1396" s="8" t="s">
        <v>2994</v>
      </c>
      <c r="D1396" s="8" t="s">
        <v>18</v>
      </c>
      <c r="E1396" s="8" t="s">
        <v>151</v>
      </c>
      <c r="F1396" s="8" t="s">
        <v>3543</v>
      </c>
      <c r="G1396" s="8" t="s">
        <v>3552</v>
      </c>
      <c r="H1396" s="8">
        <v>190</v>
      </c>
      <c r="I1396" s="8">
        <v>190</v>
      </c>
      <c r="J1396" s="8">
        <v>0</v>
      </c>
      <c r="K1396" s="9">
        <v>45448</v>
      </c>
      <c r="L1396" s="9">
        <v>46508</v>
      </c>
      <c r="M1396" s="8" t="s">
        <v>151</v>
      </c>
      <c r="P1396" s="16" t="s">
        <v>1271</v>
      </c>
      <c r="Q1396" s="2" t="s">
        <v>16</v>
      </c>
      <c r="S1396" s="8" t="s">
        <v>1752</v>
      </c>
      <c r="T1396" s="9">
        <v>46419</v>
      </c>
      <c r="U1396" s="8">
        <v>0</v>
      </c>
      <c r="V1396" s="20">
        <v>85</v>
      </c>
      <c r="W1396" s="21" t="s">
        <v>16</v>
      </c>
    </row>
    <row r="1397" spans="1:23" ht="120">
      <c r="A1397" s="8" t="s">
        <v>3553</v>
      </c>
      <c r="B1397" s="8" t="s">
        <v>1471</v>
      </c>
      <c r="C1397" s="8" t="s">
        <v>2994</v>
      </c>
      <c r="D1397" s="8" t="s">
        <v>18</v>
      </c>
      <c r="E1397" s="8" t="s">
        <v>2217</v>
      </c>
      <c r="F1397" s="8" t="s">
        <v>2217</v>
      </c>
      <c r="G1397" s="8" t="s">
        <v>2217</v>
      </c>
      <c r="H1397" s="8">
        <v>3</v>
      </c>
      <c r="I1397" s="8">
        <v>3</v>
      </c>
      <c r="J1397" s="8">
        <v>0</v>
      </c>
      <c r="K1397" s="9">
        <v>45317</v>
      </c>
      <c r="L1397" s="8" t="s">
        <v>2222</v>
      </c>
      <c r="M1397" s="8" t="s">
        <v>151</v>
      </c>
      <c r="P1397" s="16" t="s">
        <v>1272</v>
      </c>
      <c r="Q1397" s="2" t="s">
        <v>16</v>
      </c>
      <c r="S1397" s="8" t="s">
        <v>1753</v>
      </c>
      <c r="T1397" s="9">
        <v>46935</v>
      </c>
      <c r="U1397" s="8">
        <v>0</v>
      </c>
      <c r="V1397" s="20">
        <v>17</v>
      </c>
      <c r="W1397" s="21" t="s">
        <v>16</v>
      </c>
    </row>
    <row r="1398" spans="1:23" ht="120">
      <c r="A1398" s="8" t="s">
        <v>3554</v>
      </c>
      <c r="B1398" s="8" t="s">
        <v>1471</v>
      </c>
      <c r="C1398" s="8" t="s">
        <v>2994</v>
      </c>
      <c r="D1398" s="8" t="s">
        <v>18</v>
      </c>
      <c r="E1398" s="8" t="s">
        <v>151</v>
      </c>
      <c r="F1398" s="8" t="s">
        <v>3543</v>
      </c>
      <c r="G1398" s="8" t="s">
        <v>3555</v>
      </c>
      <c r="H1398" s="8">
        <v>37</v>
      </c>
      <c r="I1398" s="8">
        <v>37</v>
      </c>
      <c r="J1398" s="8">
        <v>0</v>
      </c>
      <c r="K1398" s="9">
        <v>45266</v>
      </c>
      <c r="L1398" s="8" t="s">
        <v>2222</v>
      </c>
      <c r="M1398" s="8" t="s">
        <v>151</v>
      </c>
      <c r="P1398" s="16" t="s">
        <v>1272</v>
      </c>
      <c r="Q1398" s="2" t="s">
        <v>16</v>
      </c>
      <c r="S1398" s="8" t="s">
        <v>1753</v>
      </c>
      <c r="T1398" s="9">
        <v>47119</v>
      </c>
      <c r="U1398" s="8">
        <v>0</v>
      </c>
      <c r="V1398" s="20">
        <v>780</v>
      </c>
      <c r="W1398" s="21" t="s">
        <v>16</v>
      </c>
    </row>
    <row r="1399" spans="1:23" ht="120">
      <c r="A1399" s="8" t="s">
        <v>3556</v>
      </c>
      <c r="B1399" s="8" t="s">
        <v>1472</v>
      </c>
      <c r="C1399" s="8" t="s">
        <v>2994</v>
      </c>
      <c r="D1399" s="8" t="s">
        <v>18</v>
      </c>
      <c r="E1399" s="8" t="s">
        <v>2217</v>
      </c>
      <c r="F1399" s="8" t="s">
        <v>2217</v>
      </c>
      <c r="G1399" s="8" t="s">
        <v>2217</v>
      </c>
      <c r="H1399" s="8">
        <v>67</v>
      </c>
      <c r="I1399" s="8">
        <v>67</v>
      </c>
      <c r="J1399" s="8">
        <v>0</v>
      </c>
      <c r="K1399" s="9">
        <v>45433</v>
      </c>
      <c r="L1399" s="9">
        <v>46082</v>
      </c>
      <c r="M1399" s="8" t="s">
        <v>151</v>
      </c>
      <c r="P1399" s="16" t="s">
        <v>1273</v>
      </c>
      <c r="Q1399" s="2" t="s">
        <v>43</v>
      </c>
      <c r="S1399" s="8" t="s">
        <v>1753</v>
      </c>
      <c r="T1399" s="9">
        <v>47150</v>
      </c>
      <c r="U1399" s="8">
        <v>0</v>
      </c>
      <c r="V1399" s="20">
        <v>1080</v>
      </c>
      <c r="W1399" s="21" t="s">
        <v>16</v>
      </c>
    </row>
    <row r="1400" spans="1:23" ht="135">
      <c r="A1400" s="8" t="s">
        <v>3557</v>
      </c>
      <c r="B1400" s="8" t="s">
        <v>1473</v>
      </c>
      <c r="C1400" s="8" t="s">
        <v>2203</v>
      </c>
      <c r="D1400" s="8" t="s">
        <v>18</v>
      </c>
      <c r="E1400" s="8" t="s">
        <v>2217</v>
      </c>
      <c r="F1400" s="8" t="s">
        <v>2217</v>
      </c>
      <c r="G1400" s="8" t="s">
        <v>2217</v>
      </c>
      <c r="H1400" s="8">
        <v>50</v>
      </c>
      <c r="I1400" s="8">
        <v>50</v>
      </c>
      <c r="J1400" s="8">
        <v>0</v>
      </c>
      <c r="K1400" s="9">
        <v>45261</v>
      </c>
      <c r="L1400" s="8" t="s">
        <v>2222</v>
      </c>
      <c r="M1400" s="8" t="s">
        <v>151</v>
      </c>
      <c r="P1400" s="16" t="s">
        <v>1274</v>
      </c>
      <c r="Q1400" s="2" t="s">
        <v>151</v>
      </c>
      <c r="S1400" s="8" t="s">
        <v>1753</v>
      </c>
      <c r="T1400" s="9">
        <v>47209</v>
      </c>
      <c r="U1400" s="8">
        <v>0</v>
      </c>
      <c r="V1400" s="20">
        <v>2480</v>
      </c>
      <c r="W1400" s="21" t="s">
        <v>16</v>
      </c>
    </row>
    <row r="1401" spans="1:23" ht="120">
      <c r="A1401" s="8" t="s">
        <v>3558</v>
      </c>
      <c r="B1401" s="8" t="s">
        <v>1474</v>
      </c>
      <c r="C1401" s="8" t="s">
        <v>2203</v>
      </c>
      <c r="D1401" s="8" t="s">
        <v>18</v>
      </c>
      <c r="E1401" s="8" t="s">
        <v>151</v>
      </c>
      <c r="F1401" s="8" t="s">
        <v>3543</v>
      </c>
      <c r="G1401" s="8" t="s">
        <v>3555</v>
      </c>
      <c r="H1401" s="8">
        <v>806</v>
      </c>
      <c r="I1401" s="8">
        <v>806</v>
      </c>
      <c r="J1401" s="8">
        <v>0</v>
      </c>
      <c r="K1401" s="9">
        <v>45266</v>
      </c>
      <c r="L1401" s="9">
        <v>45870</v>
      </c>
      <c r="M1401" s="8" t="s">
        <v>151</v>
      </c>
      <c r="P1401" s="16" t="s">
        <v>1274</v>
      </c>
      <c r="Q1401" s="2" t="s">
        <v>151</v>
      </c>
      <c r="S1401" s="8" t="s">
        <v>1754</v>
      </c>
      <c r="T1401" s="9">
        <v>46813</v>
      </c>
      <c r="U1401" s="8">
        <v>0</v>
      </c>
      <c r="V1401" s="20">
        <v>290</v>
      </c>
      <c r="W1401" s="21" t="s">
        <v>16</v>
      </c>
    </row>
    <row r="1402" spans="1:23" ht="105">
      <c r="A1402" s="8" t="s">
        <v>3559</v>
      </c>
      <c r="B1402" s="8" t="s">
        <v>1475</v>
      </c>
      <c r="C1402" s="8" t="s">
        <v>2994</v>
      </c>
      <c r="D1402" s="8" t="s">
        <v>18</v>
      </c>
      <c r="E1402" s="8" t="s">
        <v>2217</v>
      </c>
      <c r="F1402" s="8" t="s">
        <v>2217</v>
      </c>
      <c r="G1402" s="8" t="s">
        <v>2217</v>
      </c>
      <c r="H1402" s="8">
        <v>2</v>
      </c>
      <c r="I1402" s="8">
        <v>2</v>
      </c>
      <c r="J1402" s="8">
        <v>0</v>
      </c>
      <c r="K1402" s="9">
        <v>45317</v>
      </c>
      <c r="L1402" s="8" t="s">
        <v>2222</v>
      </c>
      <c r="M1402" s="8" t="s">
        <v>151</v>
      </c>
      <c r="P1402" s="16" t="s">
        <v>1275</v>
      </c>
      <c r="Q1402" s="2" t="s">
        <v>38</v>
      </c>
      <c r="S1402" s="8" t="s">
        <v>1754</v>
      </c>
      <c r="T1402" s="9">
        <v>47058</v>
      </c>
      <c r="U1402" s="8">
        <v>0</v>
      </c>
      <c r="V1402" s="20">
        <v>1360</v>
      </c>
      <c r="W1402" s="21" t="s">
        <v>16</v>
      </c>
    </row>
    <row r="1403" spans="1:23" ht="105">
      <c r="A1403" s="8" t="s">
        <v>3560</v>
      </c>
      <c r="B1403" s="8" t="s">
        <v>1475</v>
      </c>
      <c r="C1403" s="8" t="s">
        <v>2994</v>
      </c>
      <c r="D1403" s="8" t="s">
        <v>18</v>
      </c>
      <c r="E1403" s="8" t="s">
        <v>151</v>
      </c>
      <c r="F1403" s="8" t="s">
        <v>3543</v>
      </c>
      <c r="G1403" s="8" t="s">
        <v>3561</v>
      </c>
      <c r="H1403" s="8">
        <v>88</v>
      </c>
      <c r="I1403" s="8">
        <v>40</v>
      </c>
      <c r="J1403" s="8">
        <v>0</v>
      </c>
      <c r="K1403" s="9">
        <v>45454</v>
      </c>
      <c r="L1403" s="9">
        <v>46082</v>
      </c>
      <c r="M1403" s="8" t="s">
        <v>151</v>
      </c>
      <c r="P1403" s="16" t="s">
        <v>1276</v>
      </c>
      <c r="Q1403" s="2" t="s">
        <v>16</v>
      </c>
      <c r="S1403" s="8" t="s">
        <v>1754</v>
      </c>
      <c r="T1403" s="9">
        <v>46874</v>
      </c>
      <c r="U1403" s="8">
        <v>0</v>
      </c>
      <c r="V1403" s="20">
        <v>3080</v>
      </c>
      <c r="W1403" s="21" t="s">
        <v>16</v>
      </c>
    </row>
    <row r="1404" spans="1:23" ht="105">
      <c r="A1404" s="8" t="s">
        <v>3560</v>
      </c>
      <c r="B1404" s="8" t="s">
        <v>1475</v>
      </c>
      <c r="C1404" s="8" t="s">
        <v>2994</v>
      </c>
      <c r="D1404" s="8" t="s">
        <v>18</v>
      </c>
      <c r="E1404" s="8" t="s">
        <v>151</v>
      </c>
      <c r="F1404" s="8" t="s">
        <v>3543</v>
      </c>
      <c r="G1404" s="8" t="s">
        <v>3561</v>
      </c>
      <c r="H1404" s="8">
        <v>88</v>
      </c>
      <c r="I1404" s="8">
        <v>48</v>
      </c>
      <c r="J1404" s="8">
        <v>0</v>
      </c>
      <c r="K1404" s="9">
        <v>45266</v>
      </c>
      <c r="L1404" s="8" t="s">
        <v>2222</v>
      </c>
      <c r="M1404" s="8" t="s">
        <v>151</v>
      </c>
      <c r="P1404" s="16" t="s">
        <v>1276</v>
      </c>
      <c r="Q1404" s="2" t="s">
        <v>16</v>
      </c>
      <c r="S1404" s="8" t="s">
        <v>1755</v>
      </c>
      <c r="T1404" s="9">
        <v>45536</v>
      </c>
      <c r="U1404" s="8">
        <v>0</v>
      </c>
      <c r="V1404" s="20">
        <v>4</v>
      </c>
      <c r="W1404" s="21" t="s">
        <v>16</v>
      </c>
    </row>
    <row r="1405" spans="1:23" ht="105">
      <c r="A1405" s="8" t="s">
        <v>3562</v>
      </c>
      <c r="B1405" s="8" t="s">
        <v>1476</v>
      </c>
      <c r="C1405" s="8" t="s">
        <v>2994</v>
      </c>
      <c r="D1405" s="8" t="s">
        <v>18</v>
      </c>
      <c r="E1405" s="8" t="s">
        <v>2217</v>
      </c>
      <c r="F1405" s="8" t="s">
        <v>2217</v>
      </c>
      <c r="G1405" s="8" t="s">
        <v>2217</v>
      </c>
      <c r="H1405" s="8">
        <v>43</v>
      </c>
      <c r="I1405" s="8">
        <v>43</v>
      </c>
      <c r="J1405" s="8">
        <v>0</v>
      </c>
      <c r="K1405" s="9">
        <v>45433</v>
      </c>
      <c r="L1405" s="9">
        <v>46082</v>
      </c>
      <c r="M1405" s="8" t="s">
        <v>151</v>
      </c>
      <c r="P1405" s="16" t="s">
        <v>1277</v>
      </c>
      <c r="Q1405" s="2" t="s">
        <v>16</v>
      </c>
      <c r="S1405" s="8" t="s">
        <v>1757</v>
      </c>
      <c r="T1405" s="9">
        <v>45689</v>
      </c>
      <c r="U1405" s="8">
        <v>0</v>
      </c>
      <c r="V1405" s="20">
        <v>180</v>
      </c>
      <c r="W1405" s="21" t="s">
        <v>16</v>
      </c>
    </row>
    <row r="1406" spans="1:23" ht="120">
      <c r="A1406" s="8" t="s">
        <v>3563</v>
      </c>
      <c r="B1406" s="8" t="s">
        <v>1477</v>
      </c>
      <c r="C1406" s="8" t="s">
        <v>2203</v>
      </c>
      <c r="D1406" s="8" t="s">
        <v>18</v>
      </c>
      <c r="E1406" s="8" t="s">
        <v>2217</v>
      </c>
      <c r="F1406" s="8" t="s">
        <v>2217</v>
      </c>
      <c r="G1406" s="8" t="s">
        <v>2217</v>
      </c>
      <c r="H1406" s="8">
        <v>30</v>
      </c>
      <c r="I1406" s="8">
        <v>30</v>
      </c>
      <c r="J1406" s="8">
        <v>0</v>
      </c>
      <c r="K1406" s="9">
        <v>45261</v>
      </c>
      <c r="L1406" s="8" t="s">
        <v>2222</v>
      </c>
      <c r="M1406" s="8" t="s">
        <v>151</v>
      </c>
      <c r="P1406" s="16" t="s">
        <v>1277</v>
      </c>
      <c r="Q1406" s="2" t="s">
        <v>16</v>
      </c>
      <c r="S1406" s="8" t="s">
        <v>1757</v>
      </c>
      <c r="T1406" s="9">
        <v>45778</v>
      </c>
      <c r="U1406" s="8">
        <v>0</v>
      </c>
      <c r="V1406" s="20">
        <v>500</v>
      </c>
      <c r="W1406" s="21" t="s">
        <v>16</v>
      </c>
    </row>
    <row r="1407" spans="1:23" ht="105">
      <c r="A1407" s="8" t="s">
        <v>3564</v>
      </c>
      <c r="B1407" s="8" t="s">
        <v>1478</v>
      </c>
      <c r="C1407" s="8" t="s">
        <v>2203</v>
      </c>
      <c r="D1407" s="8" t="s">
        <v>18</v>
      </c>
      <c r="E1407" s="8" t="s">
        <v>151</v>
      </c>
      <c r="F1407" s="8" t="s">
        <v>3543</v>
      </c>
      <c r="G1407" s="8" t="s">
        <v>3561</v>
      </c>
      <c r="H1407" s="8">
        <v>1200</v>
      </c>
      <c r="I1407" s="8">
        <v>1200</v>
      </c>
      <c r="J1407" s="8">
        <v>0</v>
      </c>
      <c r="K1407" s="9">
        <v>45433</v>
      </c>
      <c r="L1407" s="9">
        <v>46082</v>
      </c>
      <c r="M1407" s="8" t="s">
        <v>151</v>
      </c>
      <c r="P1407" s="16" t="s">
        <v>1280</v>
      </c>
      <c r="Q1407" s="2" t="s">
        <v>16</v>
      </c>
      <c r="S1407" s="8" t="s">
        <v>1761</v>
      </c>
      <c r="T1407" s="9">
        <v>45597</v>
      </c>
      <c r="U1407" s="8">
        <v>0</v>
      </c>
      <c r="V1407" s="20">
        <v>2880</v>
      </c>
      <c r="W1407" s="21" t="s">
        <v>16</v>
      </c>
    </row>
    <row r="1408" spans="1:23" ht="75">
      <c r="A1408" s="8" t="s">
        <v>3565</v>
      </c>
      <c r="B1408" s="8" t="s">
        <v>1479</v>
      </c>
      <c r="C1408" s="8" t="s">
        <v>2203</v>
      </c>
      <c r="D1408" s="8" t="s">
        <v>18</v>
      </c>
      <c r="E1408" s="8" t="s">
        <v>16</v>
      </c>
      <c r="F1408" s="8" t="s">
        <v>2204</v>
      </c>
      <c r="G1408" s="8" t="s">
        <v>3566</v>
      </c>
      <c r="H1408" s="8">
        <v>96</v>
      </c>
      <c r="I1408" s="8">
        <v>96</v>
      </c>
      <c r="J1408" s="8" t="s">
        <v>1480</v>
      </c>
      <c r="K1408" s="9">
        <v>45293</v>
      </c>
      <c r="L1408" s="9">
        <v>47027</v>
      </c>
      <c r="M1408" s="8" t="s">
        <v>16</v>
      </c>
      <c r="P1408" s="16" t="s">
        <v>1282</v>
      </c>
      <c r="Q1408" s="2" t="s">
        <v>16</v>
      </c>
      <c r="S1408" s="8" t="s">
        <v>1761</v>
      </c>
      <c r="T1408" s="9">
        <v>45809</v>
      </c>
      <c r="U1408" s="8">
        <v>0</v>
      </c>
      <c r="V1408" s="20">
        <v>3700</v>
      </c>
      <c r="W1408" s="21" t="s">
        <v>16</v>
      </c>
    </row>
    <row r="1409" spans="1:23" ht="75">
      <c r="A1409" s="8" t="s">
        <v>3567</v>
      </c>
      <c r="B1409" s="8" t="s">
        <v>1481</v>
      </c>
      <c r="C1409" s="8" t="s">
        <v>2197</v>
      </c>
      <c r="D1409" s="8" t="s">
        <v>18</v>
      </c>
      <c r="E1409" s="8" t="s">
        <v>16</v>
      </c>
      <c r="F1409" s="8" t="s">
        <v>2198</v>
      </c>
      <c r="G1409" s="8" t="s">
        <v>3568</v>
      </c>
      <c r="H1409" s="8">
        <v>76</v>
      </c>
      <c r="I1409" s="8">
        <v>76</v>
      </c>
      <c r="J1409" s="8">
        <v>26163201</v>
      </c>
      <c r="K1409" s="9">
        <v>45206</v>
      </c>
      <c r="L1409" s="9">
        <v>46204</v>
      </c>
      <c r="M1409" s="8" t="s">
        <v>16</v>
      </c>
      <c r="P1409" s="16" t="s">
        <v>1283</v>
      </c>
      <c r="Q1409" s="2" t="s">
        <v>16</v>
      </c>
      <c r="S1409" s="8" t="s">
        <v>1761</v>
      </c>
      <c r="T1409" s="9">
        <v>46023</v>
      </c>
      <c r="U1409" s="8">
        <v>0</v>
      </c>
      <c r="V1409" s="20">
        <v>11300</v>
      </c>
      <c r="W1409" s="21" t="s">
        <v>16</v>
      </c>
    </row>
    <row r="1410" spans="1:23" ht="75">
      <c r="A1410" s="8" t="s">
        <v>3569</v>
      </c>
      <c r="B1410" s="8" t="s">
        <v>1482</v>
      </c>
      <c r="C1410" s="8" t="s">
        <v>2197</v>
      </c>
      <c r="D1410" s="8" t="s">
        <v>18</v>
      </c>
      <c r="E1410" s="8" t="s">
        <v>16</v>
      </c>
      <c r="F1410" s="8" t="s">
        <v>2198</v>
      </c>
      <c r="G1410" s="8" t="s">
        <v>3568</v>
      </c>
      <c r="H1410" s="8">
        <v>3046</v>
      </c>
      <c r="I1410" s="8">
        <v>6</v>
      </c>
      <c r="J1410" s="8">
        <v>32143201</v>
      </c>
      <c r="K1410" s="9">
        <v>45173</v>
      </c>
      <c r="L1410" s="9">
        <v>46143</v>
      </c>
      <c r="M1410" s="8" t="s">
        <v>16</v>
      </c>
      <c r="P1410" s="16" t="s">
        <v>1284</v>
      </c>
      <c r="Q1410" s="2" t="s">
        <v>16</v>
      </c>
      <c r="S1410" s="8" t="s">
        <v>1767</v>
      </c>
      <c r="T1410" s="9">
        <v>45778</v>
      </c>
      <c r="U1410" s="8">
        <v>0</v>
      </c>
      <c r="V1410" s="20">
        <v>108</v>
      </c>
      <c r="W1410" s="21" t="s">
        <v>16</v>
      </c>
    </row>
    <row r="1411" spans="1:23" ht="75">
      <c r="A1411" s="8" t="s">
        <v>3569</v>
      </c>
      <c r="B1411" s="8" t="s">
        <v>1482</v>
      </c>
      <c r="C1411" s="8" t="s">
        <v>2197</v>
      </c>
      <c r="D1411" s="8" t="s">
        <v>18</v>
      </c>
      <c r="E1411" s="8" t="s">
        <v>16</v>
      </c>
      <c r="F1411" s="8" t="s">
        <v>2198</v>
      </c>
      <c r="G1411" s="8" t="s">
        <v>3568</v>
      </c>
      <c r="H1411" s="8">
        <v>3046</v>
      </c>
      <c r="I1411" s="8">
        <v>480</v>
      </c>
      <c r="J1411" s="8">
        <v>20163201</v>
      </c>
      <c r="K1411" s="9">
        <v>45206</v>
      </c>
      <c r="L1411" s="9">
        <v>46204</v>
      </c>
      <c r="M1411" s="8" t="s">
        <v>16</v>
      </c>
      <c r="P1411" s="16" t="s">
        <v>1284</v>
      </c>
      <c r="Q1411" s="2" t="s">
        <v>16</v>
      </c>
      <c r="S1411" s="8" t="s">
        <v>1767</v>
      </c>
      <c r="T1411" s="9">
        <v>46266</v>
      </c>
      <c r="U1411" s="8">
        <v>0</v>
      </c>
      <c r="V1411" s="20">
        <v>1760</v>
      </c>
      <c r="W1411" s="21" t="s">
        <v>16</v>
      </c>
    </row>
    <row r="1412" spans="1:23" ht="75">
      <c r="A1412" s="8" t="s">
        <v>3569</v>
      </c>
      <c r="B1412" s="8" t="s">
        <v>1482</v>
      </c>
      <c r="C1412" s="8" t="s">
        <v>2197</v>
      </c>
      <c r="D1412" s="8" t="s">
        <v>18</v>
      </c>
      <c r="E1412" s="8" t="s">
        <v>16</v>
      </c>
      <c r="F1412" s="8" t="s">
        <v>2198</v>
      </c>
      <c r="G1412" s="8" t="s">
        <v>3568</v>
      </c>
      <c r="H1412" s="8">
        <v>3046</v>
      </c>
      <c r="I1412" s="8">
        <v>1000</v>
      </c>
      <c r="J1412" s="8">
        <v>11193201</v>
      </c>
      <c r="K1412" s="9">
        <v>45222</v>
      </c>
      <c r="L1412" s="9">
        <v>46296</v>
      </c>
      <c r="M1412" s="8" t="s">
        <v>16</v>
      </c>
      <c r="P1412" s="16" t="s">
        <v>1284</v>
      </c>
      <c r="Q1412" s="2" t="s">
        <v>16</v>
      </c>
      <c r="S1412" s="8" t="s">
        <v>1767</v>
      </c>
      <c r="T1412" s="9">
        <v>46143</v>
      </c>
      <c r="U1412" s="8">
        <v>0</v>
      </c>
      <c r="V1412" s="20">
        <v>1040</v>
      </c>
      <c r="W1412" s="21" t="s">
        <v>16</v>
      </c>
    </row>
    <row r="1413" spans="1:23" ht="75">
      <c r="A1413" s="8" t="s">
        <v>3569</v>
      </c>
      <c r="B1413" s="8" t="s">
        <v>1482</v>
      </c>
      <c r="C1413" s="8" t="s">
        <v>2197</v>
      </c>
      <c r="D1413" s="8" t="s">
        <v>18</v>
      </c>
      <c r="E1413" s="8" t="s">
        <v>16</v>
      </c>
      <c r="F1413" s="8" t="s">
        <v>2198</v>
      </c>
      <c r="G1413" s="8" t="s">
        <v>3568</v>
      </c>
      <c r="H1413" s="8">
        <v>3046</v>
      </c>
      <c r="I1413" s="8">
        <v>1560</v>
      </c>
      <c r="J1413" s="8">
        <v>32153201</v>
      </c>
      <c r="K1413" s="9">
        <v>45206</v>
      </c>
      <c r="L1413" s="9">
        <v>46204</v>
      </c>
      <c r="M1413" s="8" t="s">
        <v>16</v>
      </c>
      <c r="P1413" s="16" t="s">
        <v>1285</v>
      </c>
      <c r="Q1413" s="2" t="s">
        <v>16</v>
      </c>
      <c r="S1413" s="8" t="s">
        <v>1771</v>
      </c>
      <c r="T1413" s="9">
        <v>46023</v>
      </c>
      <c r="U1413" s="8">
        <v>0</v>
      </c>
      <c r="V1413" s="20">
        <v>2333</v>
      </c>
      <c r="W1413" s="21" t="s">
        <v>16</v>
      </c>
    </row>
    <row r="1414" spans="1:23" ht="75">
      <c r="A1414" s="8" t="s">
        <v>3570</v>
      </c>
      <c r="B1414" s="8" t="s">
        <v>1483</v>
      </c>
      <c r="C1414" s="8" t="s">
        <v>2197</v>
      </c>
      <c r="D1414" s="8" t="s">
        <v>18</v>
      </c>
      <c r="E1414" s="8" t="s">
        <v>16</v>
      </c>
      <c r="F1414" s="8" t="s">
        <v>2198</v>
      </c>
      <c r="G1414" s="8" t="s">
        <v>3568</v>
      </c>
      <c r="H1414" s="8">
        <v>385</v>
      </c>
      <c r="I1414" s="8">
        <v>385</v>
      </c>
      <c r="J1414" s="8">
        <v>18133301</v>
      </c>
      <c r="K1414" s="9">
        <v>45334</v>
      </c>
      <c r="L1414" s="9">
        <v>46419</v>
      </c>
      <c r="M1414" s="8" t="s">
        <v>16</v>
      </c>
      <c r="P1414" s="16" t="s">
        <v>1286</v>
      </c>
      <c r="Q1414" s="2" t="s">
        <v>16</v>
      </c>
      <c r="S1414" s="8" t="s">
        <v>1771</v>
      </c>
      <c r="T1414" s="9">
        <v>46266</v>
      </c>
      <c r="U1414" s="8">
        <v>0</v>
      </c>
      <c r="V1414" s="20">
        <v>6000</v>
      </c>
      <c r="W1414" s="21" t="s">
        <v>16</v>
      </c>
    </row>
    <row r="1415" spans="1:23" ht="60">
      <c r="A1415" s="8" t="s">
        <v>3571</v>
      </c>
      <c r="B1415" s="8" t="s">
        <v>1484</v>
      </c>
      <c r="C1415" s="8" t="s">
        <v>2197</v>
      </c>
      <c r="D1415" s="8" t="s">
        <v>18</v>
      </c>
      <c r="E1415" s="8" t="s">
        <v>16</v>
      </c>
      <c r="F1415" s="8" t="s">
        <v>2198</v>
      </c>
      <c r="G1415" s="8" t="s">
        <v>3568</v>
      </c>
      <c r="H1415" s="8">
        <v>1250</v>
      </c>
      <c r="I1415" s="8">
        <v>300</v>
      </c>
      <c r="J1415" s="8">
        <v>38113301</v>
      </c>
      <c r="K1415" s="9">
        <v>45455</v>
      </c>
      <c r="L1415" s="9">
        <v>46447</v>
      </c>
      <c r="M1415" s="8" t="s">
        <v>16</v>
      </c>
      <c r="P1415" s="16" t="s">
        <v>1286</v>
      </c>
      <c r="Q1415" s="2" t="s">
        <v>16</v>
      </c>
      <c r="S1415" s="8" t="s">
        <v>1775</v>
      </c>
      <c r="T1415" s="9" t="s">
        <v>2222</v>
      </c>
      <c r="U1415" s="8">
        <v>0</v>
      </c>
      <c r="V1415" s="20">
        <v>40</v>
      </c>
      <c r="W1415" s="21" t="s">
        <v>41</v>
      </c>
    </row>
    <row r="1416" spans="1:23" ht="60">
      <c r="A1416" s="8" t="s">
        <v>3571</v>
      </c>
      <c r="B1416" s="8" t="s">
        <v>1484</v>
      </c>
      <c r="C1416" s="8" t="s">
        <v>2197</v>
      </c>
      <c r="D1416" s="8" t="s">
        <v>18</v>
      </c>
      <c r="E1416" s="8" t="s">
        <v>16</v>
      </c>
      <c r="F1416" s="8" t="s">
        <v>2198</v>
      </c>
      <c r="G1416" s="8" t="s">
        <v>3568</v>
      </c>
      <c r="H1416" s="8">
        <v>1250</v>
      </c>
      <c r="I1416" s="8">
        <v>950</v>
      </c>
      <c r="J1416" s="8">
        <v>40103301</v>
      </c>
      <c r="K1416" s="9">
        <v>45455</v>
      </c>
      <c r="L1416" s="9">
        <v>46478</v>
      </c>
      <c r="M1416" s="8" t="s">
        <v>16</v>
      </c>
      <c r="P1416" s="16" t="s">
        <v>1287</v>
      </c>
      <c r="Q1416" s="2" t="s">
        <v>16</v>
      </c>
      <c r="S1416" s="8" t="s">
        <v>1776</v>
      </c>
      <c r="T1416" s="9" t="s">
        <v>2222</v>
      </c>
      <c r="U1416" s="8">
        <v>0</v>
      </c>
      <c r="V1416" s="20">
        <v>6422</v>
      </c>
      <c r="W1416" s="21" t="s">
        <v>41</v>
      </c>
    </row>
    <row r="1417" spans="1:23" ht="75">
      <c r="A1417" s="8" t="s">
        <v>3572</v>
      </c>
      <c r="B1417" s="8" t="s">
        <v>1485</v>
      </c>
      <c r="C1417" s="8" t="s">
        <v>2303</v>
      </c>
      <c r="D1417" s="8" t="s">
        <v>18</v>
      </c>
      <c r="E1417" s="8" t="s">
        <v>16</v>
      </c>
      <c r="F1417" s="8" t="s">
        <v>2228</v>
      </c>
      <c r="G1417" s="8" t="s">
        <v>3573</v>
      </c>
      <c r="H1417" s="8">
        <v>53</v>
      </c>
      <c r="I1417" s="8">
        <v>53</v>
      </c>
      <c r="J1417" s="8">
        <v>101240235024</v>
      </c>
      <c r="K1417" s="9">
        <v>45414</v>
      </c>
      <c r="L1417" s="9">
        <v>47150</v>
      </c>
      <c r="M1417" s="8" t="s">
        <v>16</v>
      </c>
      <c r="P1417" s="16" t="s">
        <v>1287</v>
      </c>
      <c r="Q1417" s="2" t="s">
        <v>16</v>
      </c>
      <c r="S1417" s="8" t="s">
        <v>1777</v>
      </c>
      <c r="T1417" s="9" t="s">
        <v>2222</v>
      </c>
      <c r="U1417" s="8">
        <v>0</v>
      </c>
      <c r="V1417" s="20">
        <v>90</v>
      </c>
      <c r="W1417" s="21" t="s">
        <v>41</v>
      </c>
    </row>
    <row r="1418" spans="1:23" ht="75">
      <c r="A1418" s="8" t="s">
        <v>3574</v>
      </c>
      <c r="B1418" s="8" t="s">
        <v>1486</v>
      </c>
      <c r="C1418" s="8" t="s">
        <v>2197</v>
      </c>
      <c r="D1418" s="8" t="s">
        <v>18</v>
      </c>
      <c r="E1418" s="8" t="s">
        <v>16</v>
      </c>
      <c r="F1418" s="8" t="s">
        <v>2228</v>
      </c>
      <c r="G1418" s="8" t="s">
        <v>3573</v>
      </c>
      <c r="H1418" s="8">
        <v>1455</v>
      </c>
      <c r="I1418" s="8">
        <v>1455</v>
      </c>
      <c r="J1418" s="8">
        <v>101240135007</v>
      </c>
      <c r="K1418" s="9">
        <v>45310</v>
      </c>
      <c r="L1418" s="9">
        <v>47119</v>
      </c>
      <c r="M1418" s="8" t="s">
        <v>16</v>
      </c>
      <c r="P1418" s="16" t="s">
        <v>1287</v>
      </c>
      <c r="Q1418" s="2" t="s">
        <v>16</v>
      </c>
      <c r="S1418" s="8" t="s">
        <v>1778</v>
      </c>
      <c r="T1418" s="9" t="s">
        <v>2222</v>
      </c>
      <c r="U1418" s="8">
        <v>0</v>
      </c>
      <c r="V1418" s="20">
        <v>95</v>
      </c>
      <c r="W1418" s="21" t="s">
        <v>41</v>
      </c>
    </row>
    <row r="1419" spans="1:23" ht="75">
      <c r="A1419" s="8" t="s">
        <v>3575</v>
      </c>
      <c r="B1419" s="8" t="s">
        <v>1487</v>
      </c>
      <c r="C1419" s="8" t="s">
        <v>2197</v>
      </c>
      <c r="D1419" s="8" t="s">
        <v>18</v>
      </c>
      <c r="E1419" s="8" t="s">
        <v>16</v>
      </c>
      <c r="F1419" s="8" t="s">
        <v>2204</v>
      </c>
      <c r="G1419" s="8" t="s">
        <v>3576</v>
      </c>
      <c r="H1419" s="8">
        <v>1330</v>
      </c>
      <c r="I1419" s="8">
        <v>10</v>
      </c>
      <c r="J1419" s="8" t="s">
        <v>1488</v>
      </c>
      <c r="K1419" s="9">
        <v>45087</v>
      </c>
      <c r="L1419" s="9">
        <v>45778</v>
      </c>
      <c r="M1419" s="8" t="s">
        <v>16</v>
      </c>
      <c r="P1419" s="16" t="s">
        <v>1287</v>
      </c>
      <c r="Q1419" s="2" t="s">
        <v>16</v>
      </c>
      <c r="S1419" s="8" t="s">
        <v>1779</v>
      </c>
      <c r="T1419" s="9">
        <v>46966</v>
      </c>
      <c r="U1419" s="8">
        <v>0</v>
      </c>
      <c r="V1419" s="20">
        <v>480</v>
      </c>
      <c r="W1419" s="21" t="s">
        <v>16</v>
      </c>
    </row>
    <row r="1420" spans="1:23" ht="75">
      <c r="A1420" s="8" t="s">
        <v>3575</v>
      </c>
      <c r="B1420" s="8" t="s">
        <v>1487</v>
      </c>
      <c r="C1420" s="8" t="s">
        <v>2197</v>
      </c>
      <c r="D1420" s="8" t="s">
        <v>15</v>
      </c>
      <c r="E1420" s="8" t="s">
        <v>16</v>
      </c>
      <c r="F1420" s="8" t="s">
        <v>2204</v>
      </c>
      <c r="G1420" s="8" t="s">
        <v>3576</v>
      </c>
      <c r="H1420" s="8">
        <v>200</v>
      </c>
      <c r="I1420" s="8">
        <v>200</v>
      </c>
      <c r="J1420" s="8" t="s">
        <v>1489</v>
      </c>
      <c r="K1420" s="9">
        <v>45374</v>
      </c>
      <c r="L1420" s="9">
        <v>46874</v>
      </c>
      <c r="M1420" s="8" t="s">
        <v>16</v>
      </c>
      <c r="P1420" s="16" t="s">
        <v>1288</v>
      </c>
      <c r="Q1420" s="2" t="s">
        <v>16</v>
      </c>
      <c r="S1420" s="8" t="s">
        <v>1779</v>
      </c>
      <c r="T1420" s="9">
        <v>47150</v>
      </c>
      <c r="U1420" s="8">
        <v>0</v>
      </c>
      <c r="V1420" s="20">
        <v>1000</v>
      </c>
      <c r="W1420" s="21" t="s">
        <v>16</v>
      </c>
    </row>
    <row r="1421" spans="1:23" ht="75">
      <c r="A1421" s="8" t="s">
        <v>3575</v>
      </c>
      <c r="B1421" s="8" t="s">
        <v>1487</v>
      </c>
      <c r="C1421" s="8" t="s">
        <v>2197</v>
      </c>
      <c r="D1421" s="8" t="s">
        <v>18</v>
      </c>
      <c r="E1421" s="8" t="s">
        <v>16</v>
      </c>
      <c r="F1421" s="8" t="s">
        <v>2204</v>
      </c>
      <c r="G1421" s="8" t="s">
        <v>3576</v>
      </c>
      <c r="H1421" s="8">
        <v>1330</v>
      </c>
      <c r="I1421" s="8">
        <v>1320</v>
      </c>
      <c r="J1421" s="8" t="s">
        <v>1489</v>
      </c>
      <c r="K1421" s="9">
        <v>45374</v>
      </c>
      <c r="L1421" s="9">
        <v>46874</v>
      </c>
      <c r="M1421" s="8" t="s">
        <v>16</v>
      </c>
      <c r="P1421" s="16" t="s">
        <v>1288</v>
      </c>
      <c r="Q1421" s="2" t="s">
        <v>16</v>
      </c>
      <c r="S1421" s="8" t="s">
        <v>1782</v>
      </c>
      <c r="T1421" s="9">
        <v>46966</v>
      </c>
      <c r="U1421" s="8">
        <v>0</v>
      </c>
      <c r="V1421" s="20">
        <v>415</v>
      </c>
      <c r="W1421" s="21" t="s">
        <v>16</v>
      </c>
    </row>
    <row r="1422" spans="1:23" ht="90">
      <c r="A1422" s="8" t="s">
        <v>3577</v>
      </c>
      <c r="B1422" s="8" t="s">
        <v>1490</v>
      </c>
      <c r="C1422" s="8" t="s">
        <v>2203</v>
      </c>
      <c r="D1422" s="8" t="s">
        <v>18</v>
      </c>
      <c r="E1422" s="8" t="s">
        <v>151</v>
      </c>
      <c r="F1422" s="8" t="s">
        <v>151</v>
      </c>
      <c r="G1422" s="8" t="s">
        <v>3578</v>
      </c>
      <c r="H1422" s="8">
        <v>1841</v>
      </c>
      <c r="I1422" s="8">
        <v>120</v>
      </c>
      <c r="J1422" s="8" t="s">
        <v>1491</v>
      </c>
      <c r="K1422" s="9">
        <v>45265</v>
      </c>
      <c r="L1422" s="9">
        <v>45809</v>
      </c>
      <c r="M1422" s="8" t="s">
        <v>151</v>
      </c>
      <c r="P1422" s="16" t="s">
        <v>1291</v>
      </c>
      <c r="Q1422" s="2" t="s">
        <v>16</v>
      </c>
      <c r="S1422" s="8" t="s">
        <v>1783</v>
      </c>
      <c r="T1422" s="9">
        <v>47027</v>
      </c>
      <c r="U1422" s="8">
        <v>0</v>
      </c>
      <c r="V1422" s="20">
        <v>2</v>
      </c>
      <c r="W1422" s="21" t="s">
        <v>16</v>
      </c>
    </row>
    <row r="1423" spans="1:23" ht="90">
      <c r="A1423" s="8" t="s">
        <v>3577</v>
      </c>
      <c r="B1423" s="8" t="s">
        <v>1490</v>
      </c>
      <c r="C1423" s="8" t="s">
        <v>2203</v>
      </c>
      <c r="D1423" s="8" t="s">
        <v>18</v>
      </c>
      <c r="E1423" s="8" t="s">
        <v>151</v>
      </c>
      <c r="F1423" s="8" t="s">
        <v>151</v>
      </c>
      <c r="G1423" s="8" t="s">
        <v>3578</v>
      </c>
      <c r="H1423" s="8">
        <v>1841</v>
      </c>
      <c r="I1423" s="8">
        <v>120</v>
      </c>
      <c r="J1423" s="8" t="s">
        <v>1492</v>
      </c>
      <c r="K1423" s="9">
        <v>45265</v>
      </c>
      <c r="L1423" s="9">
        <v>45809</v>
      </c>
      <c r="M1423" s="8" t="s">
        <v>151</v>
      </c>
      <c r="P1423" s="16" t="s">
        <v>1291</v>
      </c>
      <c r="Q1423" s="2" t="s">
        <v>16</v>
      </c>
      <c r="S1423" s="8" t="s">
        <v>1783</v>
      </c>
      <c r="T1423" s="9">
        <v>47058</v>
      </c>
      <c r="U1423" s="8">
        <v>0</v>
      </c>
      <c r="V1423" s="20">
        <v>440</v>
      </c>
      <c r="W1423" s="21" t="s">
        <v>16</v>
      </c>
    </row>
    <row r="1424" spans="1:23" ht="90">
      <c r="A1424" s="8" t="s">
        <v>3577</v>
      </c>
      <c r="B1424" s="8" t="s">
        <v>1490</v>
      </c>
      <c r="C1424" s="8" t="s">
        <v>2203</v>
      </c>
      <c r="D1424" s="8" t="s">
        <v>18</v>
      </c>
      <c r="E1424" s="8" t="s">
        <v>151</v>
      </c>
      <c r="F1424" s="8" t="s">
        <v>151</v>
      </c>
      <c r="G1424" s="8" t="s">
        <v>3578</v>
      </c>
      <c r="H1424" s="8">
        <v>1841</v>
      </c>
      <c r="I1424" s="8">
        <v>264</v>
      </c>
      <c r="J1424" s="8" t="s">
        <v>1493</v>
      </c>
      <c r="K1424" s="9">
        <v>45255</v>
      </c>
      <c r="L1424" s="9">
        <v>45809</v>
      </c>
      <c r="M1424" s="8" t="s">
        <v>151</v>
      </c>
      <c r="P1424" s="16" t="s">
        <v>1292</v>
      </c>
      <c r="Q1424" s="2" t="s">
        <v>16</v>
      </c>
      <c r="S1424" s="8" t="s">
        <v>1783</v>
      </c>
      <c r="T1424" s="9">
        <v>47239</v>
      </c>
      <c r="U1424" s="8">
        <v>0</v>
      </c>
      <c r="V1424" s="20">
        <v>1400</v>
      </c>
      <c r="W1424" s="21" t="s">
        <v>16</v>
      </c>
    </row>
    <row r="1425" spans="1:23" ht="90">
      <c r="A1425" s="8" t="s">
        <v>3577</v>
      </c>
      <c r="B1425" s="8" t="s">
        <v>1490</v>
      </c>
      <c r="C1425" s="8" t="s">
        <v>2203</v>
      </c>
      <c r="D1425" s="8" t="s">
        <v>18</v>
      </c>
      <c r="E1425" s="8" t="s">
        <v>151</v>
      </c>
      <c r="F1425" s="8" t="s">
        <v>151</v>
      </c>
      <c r="G1425" s="8" t="s">
        <v>3578</v>
      </c>
      <c r="H1425" s="8">
        <v>1841</v>
      </c>
      <c r="I1425" s="8">
        <v>641</v>
      </c>
      <c r="J1425" s="8" t="s">
        <v>1494</v>
      </c>
      <c r="K1425" s="9">
        <v>44678</v>
      </c>
      <c r="L1425" s="9">
        <v>45748</v>
      </c>
      <c r="M1425" s="8" t="s">
        <v>151</v>
      </c>
      <c r="P1425" s="16" t="s">
        <v>1292</v>
      </c>
      <c r="Q1425" s="2" t="s">
        <v>16</v>
      </c>
      <c r="S1425" s="8" t="s">
        <v>1784</v>
      </c>
      <c r="T1425" s="9">
        <v>46997</v>
      </c>
      <c r="U1425" s="8">
        <v>0</v>
      </c>
      <c r="V1425" s="20">
        <v>348</v>
      </c>
      <c r="W1425" s="21" t="s">
        <v>16</v>
      </c>
    </row>
    <row r="1426" spans="1:23" ht="90">
      <c r="A1426" s="8" t="s">
        <v>3577</v>
      </c>
      <c r="B1426" s="8" t="s">
        <v>1490</v>
      </c>
      <c r="C1426" s="8" t="s">
        <v>2203</v>
      </c>
      <c r="D1426" s="8" t="s">
        <v>18</v>
      </c>
      <c r="E1426" s="8" t="s">
        <v>151</v>
      </c>
      <c r="F1426" s="8" t="s">
        <v>151</v>
      </c>
      <c r="G1426" s="8" t="s">
        <v>3578</v>
      </c>
      <c r="H1426" s="8">
        <v>1841</v>
      </c>
      <c r="I1426" s="8">
        <v>696</v>
      </c>
      <c r="J1426" s="8" t="s">
        <v>1495</v>
      </c>
      <c r="K1426" s="9">
        <v>45255</v>
      </c>
      <c r="L1426" s="9">
        <v>45748</v>
      </c>
      <c r="M1426" s="8" t="s">
        <v>151</v>
      </c>
      <c r="P1426" s="16" t="s">
        <v>1292</v>
      </c>
      <c r="Q1426" s="2" t="s">
        <v>16</v>
      </c>
      <c r="S1426" s="8" t="s">
        <v>1784</v>
      </c>
      <c r="T1426" s="9">
        <v>47058</v>
      </c>
      <c r="U1426" s="8">
        <v>0</v>
      </c>
      <c r="V1426" s="20">
        <v>850</v>
      </c>
      <c r="W1426" s="21" t="s">
        <v>16</v>
      </c>
    </row>
    <row r="1427" spans="1:23" ht="90">
      <c r="A1427" s="8" t="s">
        <v>3579</v>
      </c>
      <c r="B1427" s="8" t="s">
        <v>1496</v>
      </c>
      <c r="C1427" s="8" t="s">
        <v>2203</v>
      </c>
      <c r="D1427" s="8" t="s">
        <v>18</v>
      </c>
      <c r="E1427" s="8" t="s">
        <v>151</v>
      </c>
      <c r="F1427" s="8" t="s">
        <v>151</v>
      </c>
      <c r="G1427" s="8" t="s">
        <v>3578</v>
      </c>
      <c r="H1427" s="8">
        <v>1600</v>
      </c>
      <c r="I1427" s="8">
        <v>120</v>
      </c>
      <c r="J1427" s="8" t="s">
        <v>1497</v>
      </c>
      <c r="K1427" s="9">
        <v>45265</v>
      </c>
      <c r="L1427" s="9">
        <v>45809</v>
      </c>
      <c r="M1427" s="8" t="s">
        <v>151</v>
      </c>
      <c r="P1427" s="16" t="s">
        <v>1296</v>
      </c>
      <c r="Q1427" s="2" t="s">
        <v>16</v>
      </c>
      <c r="S1427" s="8" t="s">
        <v>1785</v>
      </c>
      <c r="T1427" s="9">
        <v>46935</v>
      </c>
      <c r="U1427" s="8">
        <v>0</v>
      </c>
      <c r="V1427" s="20">
        <v>8</v>
      </c>
      <c r="W1427" s="21" t="s">
        <v>16</v>
      </c>
    </row>
    <row r="1428" spans="1:23" ht="90">
      <c r="A1428" s="8" t="s">
        <v>3579</v>
      </c>
      <c r="B1428" s="8" t="s">
        <v>1496</v>
      </c>
      <c r="C1428" s="8" t="s">
        <v>2203</v>
      </c>
      <c r="D1428" s="8" t="s">
        <v>18</v>
      </c>
      <c r="E1428" s="8" t="s">
        <v>151</v>
      </c>
      <c r="F1428" s="8" t="s">
        <v>151</v>
      </c>
      <c r="G1428" s="8" t="s">
        <v>3578</v>
      </c>
      <c r="H1428" s="8">
        <v>1600</v>
      </c>
      <c r="I1428" s="8">
        <v>1480</v>
      </c>
      <c r="J1428" s="8" t="s">
        <v>1498</v>
      </c>
      <c r="K1428" s="9">
        <v>45265</v>
      </c>
      <c r="L1428" s="9">
        <v>45809</v>
      </c>
      <c r="M1428" s="8" t="s">
        <v>151</v>
      </c>
      <c r="P1428" s="16" t="s">
        <v>1296</v>
      </c>
      <c r="Q1428" s="2" t="s">
        <v>16</v>
      </c>
      <c r="S1428" s="8" t="s">
        <v>1785</v>
      </c>
      <c r="T1428" s="9">
        <v>47088</v>
      </c>
      <c r="U1428" s="8">
        <v>0</v>
      </c>
      <c r="V1428" s="20">
        <v>2420</v>
      </c>
      <c r="W1428" s="21" t="s">
        <v>16</v>
      </c>
    </row>
    <row r="1429" spans="1:23" ht="105">
      <c r="A1429" s="8" t="s">
        <v>3580</v>
      </c>
      <c r="B1429" s="8" t="s">
        <v>1499</v>
      </c>
      <c r="C1429" s="8" t="s">
        <v>2203</v>
      </c>
      <c r="D1429" s="8" t="s">
        <v>18</v>
      </c>
      <c r="E1429" s="8" t="s">
        <v>151</v>
      </c>
      <c r="F1429" s="8" t="s">
        <v>151</v>
      </c>
      <c r="G1429" s="8" t="s">
        <v>3581</v>
      </c>
      <c r="H1429" s="8">
        <v>882</v>
      </c>
      <c r="I1429" s="8">
        <v>882</v>
      </c>
      <c r="J1429" s="8">
        <v>12645</v>
      </c>
      <c r="K1429" s="9">
        <v>44678</v>
      </c>
      <c r="L1429" s="9">
        <v>45748</v>
      </c>
      <c r="M1429" s="8" t="s">
        <v>151</v>
      </c>
      <c r="P1429" s="16" t="s">
        <v>1296</v>
      </c>
      <c r="Q1429" s="2" t="s">
        <v>16</v>
      </c>
      <c r="S1429" s="8" t="s">
        <v>1788</v>
      </c>
      <c r="T1429" s="9">
        <v>46753</v>
      </c>
      <c r="U1429" s="8">
        <v>0</v>
      </c>
      <c r="V1429" s="20">
        <v>160</v>
      </c>
      <c r="W1429" s="21" t="s">
        <v>16</v>
      </c>
    </row>
    <row r="1430" spans="1:23" ht="105">
      <c r="A1430" s="8" t="s">
        <v>3582</v>
      </c>
      <c r="B1430" s="8" t="s">
        <v>1500</v>
      </c>
      <c r="C1430" s="8" t="s">
        <v>2203</v>
      </c>
      <c r="D1430" s="8" t="s">
        <v>18</v>
      </c>
      <c r="E1430" s="8" t="s">
        <v>151</v>
      </c>
      <c r="F1430" s="8" t="s">
        <v>151</v>
      </c>
      <c r="G1430" s="8" t="s">
        <v>3581</v>
      </c>
      <c r="H1430" s="8">
        <v>1549</v>
      </c>
      <c r="I1430" s="8">
        <v>19</v>
      </c>
      <c r="J1430" s="8" t="s">
        <v>1495</v>
      </c>
      <c r="K1430" s="9">
        <v>44676</v>
      </c>
      <c r="L1430" s="9">
        <v>45748</v>
      </c>
      <c r="M1430" s="8" t="s">
        <v>151</v>
      </c>
      <c r="P1430" s="16" t="s">
        <v>1299</v>
      </c>
      <c r="Q1430" s="2" t="s">
        <v>16</v>
      </c>
      <c r="S1430" s="8" t="s">
        <v>1790</v>
      </c>
      <c r="T1430" s="9">
        <v>46143</v>
      </c>
      <c r="U1430" s="8">
        <v>0</v>
      </c>
      <c r="V1430" s="20">
        <v>2199</v>
      </c>
      <c r="W1430" s="21" t="s">
        <v>16</v>
      </c>
    </row>
    <row r="1431" spans="1:23" ht="105">
      <c r="A1431" s="8" t="s">
        <v>3582</v>
      </c>
      <c r="B1431" s="8" t="s">
        <v>1500</v>
      </c>
      <c r="C1431" s="8" t="s">
        <v>2203</v>
      </c>
      <c r="D1431" s="8" t="s">
        <v>18</v>
      </c>
      <c r="E1431" s="8" t="s">
        <v>151</v>
      </c>
      <c r="F1431" s="8" t="s">
        <v>151</v>
      </c>
      <c r="G1431" s="8" t="s">
        <v>3581</v>
      </c>
      <c r="H1431" s="8">
        <v>1549</v>
      </c>
      <c r="I1431" s="8">
        <v>1530</v>
      </c>
      <c r="J1431" s="8" t="s">
        <v>1501</v>
      </c>
      <c r="K1431" s="9">
        <v>44880</v>
      </c>
      <c r="L1431" s="9">
        <v>45748</v>
      </c>
      <c r="M1431" s="8" t="s">
        <v>151</v>
      </c>
      <c r="P1431" s="16" t="s">
        <v>1299</v>
      </c>
      <c r="Q1431" s="2" t="s">
        <v>16</v>
      </c>
      <c r="S1431" s="8" t="s">
        <v>1791</v>
      </c>
      <c r="T1431" s="9">
        <v>45992</v>
      </c>
      <c r="U1431" s="8">
        <v>0</v>
      </c>
      <c r="V1431" s="20">
        <v>1912</v>
      </c>
      <c r="W1431" s="21" t="s">
        <v>16</v>
      </c>
    </row>
    <row r="1432" spans="1:23" ht="45">
      <c r="A1432" s="8" t="s">
        <v>3586</v>
      </c>
      <c r="B1432" s="8" t="s">
        <v>1503</v>
      </c>
      <c r="C1432" s="8" t="s">
        <v>2203</v>
      </c>
      <c r="D1432" s="8" t="s">
        <v>18</v>
      </c>
      <c r="E1432" s="8" t="s">
        <v>16</v>
      </c>
      <c r="F1432" s="8" t="s">
        <v>2198</v>
      </c>
      <c r="G1432" s="8" t="s">
        <v>3587</v>
      </c>
      <c r="H1432" s="8">
        <v>2838</v>
      </c>
      <c r="I1432" s="8">
        <v>2838</v>
      </c>
      <c r="J1432" s="8">
        <v>16042901</v>
      </c>
      <c r="K1432" s="9">
        <v>45406</v>
      </c>
      <c r="L1432" s="9">
        <v>47209</v>
      </c>
      <c r="M1432" s="8" t="s">
        <v>16</v>
      </c>
      <c r="P1432" s="16" t="s">
        <v>1299</v>
      </c>
      <c r="Q1432" s="2" t="s">
        <v>16</v>
      </c>
      <c r="S1432" s="8" t="s">
        <v>1791</v>
      </c>
      <c r="T1432" s="9">
        <v>46054</v>
      </c>
      <c r="U1432" s="8">
        <v>0</v>
      </c>
      <c r="V1432" s="20">
        <v>2500</v>
      </c>
      <c r="W1432" s="21" t="s">
        <v>16</v>
      </c>
    </row>
    <row r="1433" spans="1:23" ht="60">
      <c r="A1433" s="8" t="s">
        <v>3591</v>
      </c>
      <c r="B1433" s="8" t="s">
        <v>1507</v>
      </c>
      <c r="C1433" s="8" t="s">
        <v>2197</v>
      </c>
      <c r="D1433" s="8" t="s">
        <v>18</v>
      </c>
      <c r="E1433" s="8" t="s">
        <v>16</v>
      </c>
      <c r="F1433" s="8" t="s">
        <v>2228</v>
      </c>
      <c r="G1433" s="8" t="s">
        <v>3592</v>
      </c>
      <c r="H1433" s="8">
        <v>230</v>
      </c>
      <c r="I1433" s="8">
        <v>70</v>
      </c>
      <c r="J1433" s="8">
        <v>0</v>
      </c>
      <c r="K1433" s="9">
        <v>45346</v>
      </c>
      <c r="L1433" s="9">
        <v>47150</v>
      </c>
      <c r="M1433" s="8" t="s">
        <v>16</v>
      </c>
      <c r="P1433" s="16" t="s">
        <v>1299</v>
      </c>
      <c r="Q1433" s="2" t="s">
        <v>16</v>
      </c>
      <c r="S1433" s="8" t="s">
        <v>1792</v>
      </c>
      <c r="T1433" s="9">
        <v>47239</v>
      </c>
      <c r="U1433" s="8">
        <v>0</v>
      </c>
      <c r="V1433" s="20">
        <v>9624</v>
      </c>
      <c r="W1433" s="21" t="s">
        <v>16</v>
      </c>
    </row>
    <row r="1434" spans="1:23" ht="60">
      <c r="A1434" s="8" t="s">
        <v>3591</v>
      </c>
      <c r="B1434" s="8" t="s">
        <v>1507</v>
      </c>
      <c r="C1434" s="8" t="s">
        <v>2197</v>
      </c>
      <c r="D1434" s="8" t="s">
        <v>18</v>
      </c>
      <c r="E1434" s="8" t="s">
        <v>16</v>
      </c>
      <c r="F1434" s="8" t="s">
        <v>2228</v>
      </c>
      <c r="G1434" s="8" t="s">
        <v>3592</v>
      </c>
      <c r="H1434" s="8">
        <v>230</v>
      </c>
      <c r="I1434" s="8">
        <v>160</v>
      </c>
      <c r="J1434" s="8">
        <v>0</v>
      </c>
      <c r="K1434" s="9">
        <v>45402</v>
      </c>
      <c r="L1434" s="9">
        <v>47178</v>
      </c>
      <c r="M1434" s="8" t="s">
        <v>16</v>
      </c>
      <c r="P1434" s="16" t="s">
        <v>1304</v>
      </c>
      <c r="Q1434" s="2" t="s">
        <v>16</v>
      </c>
      <c r="S1434" s="8" t="s">
        <v>1793</v>
      </c>
      <c r="T1434" s="9">
        <v>47058</v>
      </c>
      <c r="U1434" s="8">
        <v>0</v>
      </c>
      <c r="V1434" s="20">
        <v>213</v>
      </c>
      <c r="W1434" s="21" t="s">
        <v>16</v>
      </c>
    </row>
    <row r="1435" spans="1:23" ht="60">
      <c r="A1435" s="8" t="s">
        <v>3593</v>
      </c>
      <c r="B1435" s="8" t="s">
        <v>1508</v>
      </c>
      <c r="C1435" s="8" t="s">
        <v>2197</v>
      </c>
      <c r="D1435" s="8" t="s">
        <v>18</v>
      </c>
      <c r="E1435" s="8" t="s">
        <v>16</v>
      </c>
      <c r="F1435" s="8" t="s">
        <v>2228</v>
      </c>
      <c r="G1435" s="8" t="s">
        <v>3592</v>
      </c>
      <c r="H1435" s="8">
        <v>2095</v>
      </c>
      <c r="I1435" s="8">
        <v>2095</v>
      </c>
      <c r="J1435" s="8">
        <v>0</v>
      </c>
      <c r="K1435" s="9">
        <v>45437</v>
      </c>
      <c r="L1435" s="9">
        <v>47239</v>
      </c>
      <c r="M1435" s="8" t="s">
        <v>16</v>
      </c>
      <c r="P1435" s="16" t="s">
        <v>1304</v>
      </c>
      <c r="Q1435" s="2" t="s">
        <v>16</v>
      </c>
      <c r="S1435" s="8" t="s">
        <v>1794</v>
      </c>
      <c r="T1435" s="9">
        <v>47239</v>
      </c>
      <c r="U1435" s="8">
        <v>0</v>
      </c>
      <c r="V1435" s="20">
        <v>380</v>
      </c>
      <c r="W1435" s="21" t="s">
        <v>16</v>
      </c>
    </row>
    <row r="1436" spans="1:23" ht="105">
      <c r="A1436" s="8" t="s">
        <v>3594</v>
      </c>
      <c r="B1436" s="8" t="s">
        <v>1509</v>
      </c>
      <c r="C1436" s="8" t="s">
        <v>2197</v>
      </c>
      <c r="D1436" s="8" t="s">
        <v>18</v>
      </c>
      <c r="E1436" s="8" t="s">
        <v>2217</v>
      </c>
      <c r="F1436" s="8" t="s">
        <v>2217</v>
      </c>
      <c r="G1436" s="8" t="s">
        <v>2217</v>
      </c>
      <c r="H1436" s="8">
        <v>504</v>
      </c>
      <c r="I1436" s="8">
        <v>24</v>
      </c>
      <c r="J1436" s="8">
        <v>130718</v>
      </c>
      <c r="K1436" s="9">
        <v>45461</v>
      </c>
      <c r="L1436" s="9">
        <v>46054</v>
      </c>
      <c r="M1436" s="8" t="s">
        <v>16</v>
      </c>
      <c r="P1436" s="16" t="s">
        <v>1307</v>
      </c>
      <c r="Q1436" s="2" t="s">
        <v>16</v>
      </c>
      <c r="S1436" s="8" t="s">
        <v>1795</v>
      </c>
      <c r="T1436" s="9">
        <v>47178</v>
      </c>
      <c r="U1436" s="8">
        <v>0</v>
      </c>
      <c r="V1436" s="20">
        <v>13110</v>
      </c>
      <c r="W1436" s="21" t="s">
        <v>16</v>
      </c>
    </row>
    <row r="1437" spans="1:23" ht="105">
      <c r="A1437" s="8" t="s">
        <v>3594</v>
      </c>
      <c r="B1437" s="8" t="s">
        <v>1509</v>
      </c>
      <c r="C1437" s="8" t="s">
        <v>2197</v>
      </c>
      <c r="D1437" s="8" t="s">
        <v>18</v>
      </c>
      <c r="E1437" s="8" t="s">
        <v>2217</v>
      </c>
      <c r="F1437" s="8" t="s">
        <v>2217</v>
      </c>
      <c r="G1437" s="8" t="s">
        <v>2217</v>
      </c>
      <c r="H1437" s="8">
        <v>504</v>
      </c>
      <c r="I1437" s="8">
        <v>480</v>
      </c>
      <c r="J1437" s="8">
        <v>250424</v>
      </c>
      <c r="K1437" s="9">
        <v>45461</v>
      </c>
      <c r="L1437" s="9">
        <v>47239</v>
      </c>
      <c r="M1437" s="8" t="s">
        <v>16</v>
      </c>
      <c r="P1437" s="16" t="s">
        <v>1308</v>
      </c>
      <c r="Q1437" s="2" t="s">
        <v>16</v>
      </c>
      <c r="S1437" s="8" t="s">
        <v>1795</v>
      </c>
      <c r="T1437" s="9">
        <v>47239</v>
      </c>
      <c r="U1437" s="8">
        <v>0</v>
      </c>
      <c r="V1437" s="20">
        <v>25000</v>
      </c>
      <c r="W1437" s="21" t="s">
        <v>16</v>
      </c>
    </row>
    <row r="1438" spans="1:23" ht="60">
      <c r="A1438" s="8" t="s">
        <v>3595</v>
      </c>
      <c r="B1438" s="8" t="s">
        <v>1510</v>
      </c>
      <c r="C1438" s="8" t="s">
        <v>2197</v>
      </c>
      <c r="D1438" s="8" t="s">
        <v>18</v>
      </c>
      <c r="E1438" s="8" t="s">
        <v>16</v>
      </c>
      <c r="F1438" s="8" t="s">
        <v>2228</v>
      </c>
      <c r="G1438" s="8" t="s">
        <v>3596</v>
      </c>
      <c r="H1438" s="8">
        <v>9608</v>
      </c>
      <c r="I1438" s="8">
        <v>38</v>
      </c>
      <c r="J1438" s="8" t="s">
        <v>1511</v>
      </c>
      <c r="K1438" s="9">
        <v>45349</v>
      </c>
      <c r="L1438" s="9">
        <v>45839</v>
      </c>
      <c r="M1438" s="8" t="s">
        <v>16</v>
      </c>
      <c r="P1438" s="16" t="s">
        <v>1308</v>
      </c>
      <c r="Q1438" s="2" t="s">
        <v>16</v>
      </c>
      <c r="S1438" s="8" t="s">
        <v>1796</v>
      </c>
      <c r="T1438" s="9">
        <v>47270</v>
      </c>
      <c r="U1438" s="8">
        <v>0</v>
      </c>
      <c r="V1438" s="20">
        <v>2000</v>
      </c>
      <c r="W1438" s="21" t="s">
        <v>16</v>
      </c>
    </row>
    <row r="1439" spans="1:23" ht="60">
      <c r="A1439" s="8" t="s">
        <v>3595</v>
      </c>
      <c r="B1439" s="8" t="s">
        <v>1510</v>
      </c>
      <c r="C1439" s="8" t="s">
        <v>2197</v>
      </c>
      <c r="D1439" s="8" t="s">
        <v>18</v>
      </c>
      <c r="E1439" s="8" t="s">
        <v>16</v>
      </c>
      <c r="F1439" s="8" t="s">
        <v>2228</v>
      </c>
      <c r="G1439" s="8" t="s">
        <v>3596</v>
      </c>
      <c r="H1439" s="8">
        <v>9608</v>
      </c>
      <c r="I1439" s="8">
        <v>80</v>
      </c>
      <c r="J1439" s="8" t="s">
        <v>1512</v>
      </c>
      <c r="K1439" s="9">
        <v>45349</v>
      </c>
      <c r="L1439" s="9">
        <v>45839</v>
      </c>
      <c r="M1439" s="8" t="s">
        <v>16</v>
      </c>
      <c r="P1439" s="16" t="s">
        <v>1309</v>
      </c>
      <c r="Q1439" s="2" t="s">
        <v>16</v>
      </c>
      <c r="S1439" s="8" t="s">
        <v>1797</v>
      </c>
      <c r="T1439" s="9">
        <v>46388</v>
      </c>
      <c r="U1439" s="8">
        <v>0</v>
      </c>
      <c r="V1439" s="20">
        <v>2</v>
      </c>
      <c r="W1439" s="21" t="s">
        <v>16</v>
      </c>
    </row>
    <row r="1440" spans="1:23" ht="60">
      <c r="A1440" s="8" t="s">
        <v>3595</v>
      </c>
      <c r="B1440" s="8" t="s">
        <v>1510</v>
      </c>
      <c r="C1440" s="8" t="s">
        <v>2197</v>
      </c>
      <c r="D1440" s="8" t="s">
        <v>18</v>
      </c>
      <c r="E1440" s="8" t="s">
        <v>16</v>
      </c>
      <c r="F1440" s="8" t="s">
        <v>2228</v>
      </c>
      <c r="G1440" s="8" t="s">
        <v>3596</v>
      </c>
      <c r="H1440" s="8">
        <v>9608</v>
      </c>
      <c r="I1440" s="8">
        <v>220</v>
      </c>
      <c r="J1440" s="8" t="s">
        <v>1513</v>
      </c>
      <c r="K1440" s="9">
        <v>45355</v>
      </c>
      <c r="L1440" s="9">
        <v>45992</v>
      </c>
      <c r="M1440" s="8" t="s">
        <v>16</v>
      </c>
      <c r="P1440" s="16" t="s">
        <v>1309</v>
      </c>
      <c r="Q1440" s="2" t="s">
        <v>16</v>
      </c>
      <c r="S1440" s="8" t="s">
        <v>1797</v>
      </c>
      <c r="T1440" s="9">
        <v>47150</v>
      </c>
      <c r="U1440" s="8">
        <v>0</v>
      </c>
      <c r="V1440" s="20">
        <v>2700</v>
      </c>
      <c r="W1440" s="21" t="s">
        <v>16</v>
      </c>
    </row>
    <row r="1441" spans="1:23" ht="60">
      <c r="A1441" s="8" t="s">
        <v>3595</v>
      </c>
      <c r="B1441" s="8" t="s">
        <v>1510</v>
      </c>
      <c r="C1441" s="8" t="s">
        <v>2197</v>
      </c>
      <c r="D1441" s="8" t="s">
        <v>18</v>
      </c>
      <c r="E1441" s="8" t="s">
        <v>16</v>
      </c>
      <c r="F1441" s="8" t="s">
        <v>2228</v>
      </c>
      <c r="G1441" s="8" t="s">
        <v>3596</v>
      </c>
      <c r="H1441" s="8">
        <v>9608</v>
      </c>
      <c r="I1441" s="8">
        <v>500</v>
      </c>
      <c r="J1441" s="8" t="s">
        <v>1514</v>
      </c>
      <c r="K1441" s="9">
        <v>45353</v>
      </c>
      <c r="L1441" s="9">
        <v>45839</v>
      </c>
      <c r="M1441" s="8" t="s">
        <v>16</v>
      </c>
      <c r="P1441" s="16" t="s">
        <v>1309</v>
      </c>
      <c r="Q1441" s="2" t="s">
        <v>16</v>
      </c>
      <c r="S1441" s="8" t="s">
        <v>1799</v>
      </c>
      <c r="T1441" s="9">
        <v>46722</v>
      </c>
      <c r="U1441" s="8">
        <v>0</v>
      </c>
      <c r="V1441" s="20">
        <v>84</v>
      </c>
      <c r="W1441" s="21" t="s">
        <v>16</v>
      </c>
    </row>
    <row r="1442" spans="1:23" ht="60">
      <c r="A1442" s="8" t="s">
        <v>3595</v>
      </c>
      <c r="B1442" s="8" t="s">
        <v>1510</v>
      </c>
      <c r="C1442" s="8" t="s">
        <v>2197</v>
      </c>
      <c r="D1442" s="8" t="s">
        <v>18</v>
      </c>
      <c r="E1442" s="8" t="s">
        <v>16</v>
      </c>
      <c r="F1442" s="8" t="s">
        <v>2228</v>
      </c>
      <c r="G1442" s="8" t="s">
        <v>3596</v>
      </c>
      <c r="H1442" s="8">
        <v>9608</v>
      </c>
      <c r="I1442" s="8">
        <v>1030</v>
      </c>
      <c r="J1442" s="8" t="s">
        <v>1515</v>
      </c>
      <c r="K1442" s="9">
        <v>45355</v>
      </c>
      <c r="L1442" s="9">
        <v>45992</v>
      </c>
      <c r="M1442" s="8" t="s">
        <v>16</v>
      </c>
      <c r="P1442" s="16" t="s">
        <v>1310</v>
      </c>
      <c r="Q1442" s="2" t="s">
        <v>16</v>
      </c>
      <c r="S1442" s="8" t="s">
        <v>1799</v>
      </c>
      <c r="T1442" s="9">
        <v>46813</v>
      </c>
      <c r="U1442" s="8">
        <v>0</v>
      </c>
      <c r="V1442" s="20">
        <v>360</v>
      </c>
      <c r="W1442" s="21" t="s">
        <v>16</v>
      </c>
    </row>
    <row r="1443" spans="1:23" ht="60">
      <c r="A1443" s="8" t="s">
        <v>3595</v>
      </c>
      <c r="B1443" s="8" t="s">
        <v>1510</v>
      </c>
      <c r="C1443" s="8" t="s">
        <v>2197</v>
      </c>
      <c r="D1443" s="8" t="s">
        <v>18</v>
      </c>
      <c r="E1443" s="8" t="s">
        <v>16</v>
      </c>
      <c r="F1443" s="8" t="s">
        <v>2228</v>
      </c>
      <c r="G1443" s="8" t="s">
        <v>3596</v>
      </c>
      <c r="H1443" s="8">
        <v>9608</v>
      </c>
      <c r="I1443" s="8">
        <v>1240</v>
      </c>
      <c r="J1443" s="8" t="s">
        <v>1516</v>
      </c>
      <c r="K1443" s="9">
        <v>45447</v>
      </c>
      <c r="L1443" s="9">
        <v>45992</v>
      </c>
      <c r="M1443" s="8" t="s">
        <v>16</v>
      </c>
      <c r="P1443" s="16" t="s">
        <v>1310</v>
      </c>
      <c r="Q1443" s="2" t="s">
        <v>16</v>
      </c>
      <c r="S1443" s="8" t="s">
        <v>1801</v>
      </c>
      <c r="T1443" s="9">
        <v>46600</v>
      </c>
      <c r="U1443" s="8">
        <v>0</v>
      </c>
      <c r="V1443" s="20">
        <v>461</v>
      </c>
      <c r="W1443" s="21" t="s">
        <v>16</v>
      </c>
    </row>
    <row r="1444" spans="1:23" ht="60">
      <c r="A1444" s="8" t="s">
        <v>3595</v>
      </c>
      <c r="B1444" s="8" t="s">
        <v>1510</v>
      </c>
      <c r="C1444" s="8" t="s">
        <v>2197</v>
      </c>
      <c r="D1444" s="8" t="s">
        <v>18</v>
      </c>
      <c r="E1444" s="8" t="s">
        <v>16</v>
      </c>
      <c r="F1444" s="8" t="s">
        <v>2228</v>
      </c>
      <c r="G1444" s="8" t="s">
        <v>3596</v>
      </c>
      <c r="H1444" s="8">
        <v>9608</v>
      </c>
      <c r="I1444" s="8">
        <v>2000</v>
      </c>
      <c r="J1444" s="8" t="s">
        <v>1517</v>
      </c>
      <c r="K1444" s="9">
        <v>45355</v>
      </c>
      <c r="L1444" s="9">
        <v>45992</v>
      </c>
      <c r="M1444" s="8" t="s">
        <v>16</v>
      </c>
      <c r="P1444" s="16" t="s">
        <v>1310</v>
      </c>
      <c r="Q1444" s="2" t="s">
        <v>16</v>
      </c>
      <c r="S1444" s="8" t="s">
        <v>1801</v>
      </c>
      <c r="T1444" s="9">
        <v>46905</v>
      </c>
      <c r="U1444" s="8">
        <v>0</v>
      </c>
      <c r="V1444" s="20">
        <v>580</v>
      </c>
      <c r="W1444" s="21" t="s">
        <v>16</v>
      </c>
    </row>
    <row r="1445" spans="1:23" ht="60">
      <c r="A1445" s="8" t="s">
        <v>3595</v>
      </c>
      <c r="B1445" s="8" t="s">
        <v>1510</v>
      </c>
      <c r="C1445" s="8" t="s">
        <v>2197</v>
      </c>
      <c r="D1445" s="8" t="s">
        <v>18</v>
      </c>
      <c r="E1445" s="8" t="s">
        <v>16</v>
      </c>
      <c r="F1445" s="8" t="s">
        <v>2228</v>
      </c>
      <c r="G1445" s="8" t="s">
        <v>3596</v>
      </c>
      <c r="H1445" s="8">
        <v>9608</v>
      </c>
      <c r="I1445" s="8">
        <v>2000</v>
      </c>
      <c r="J1445" s="8" t="s">
        <v>1518</v>
      </c>
      <c r="K1445" s="9">
        <v>45447</v>
      </c>
      <c r="L1445" s="9">
        <v>45992</v>
      </c>
      <c r="M1445" s="8" t="s">
        <v>16</v>
      </c>
      <c r="P1445" s="17" t="s">
        <v>1311</v>
      </c>
      <c r="Q1445" s="2" t="s">
        <v>312</v>
      </c>
      <c r="S1445" s="8" t="s">
        <v>1803</v>
      </c>
      <c r="T1445" s="9">
        <v>46023</v>
      </c>
      <c r="U1445" s="8">
        <v>0</v>
      </c>
      <c r="V1445" s="20">
        <v>1</v>
      </c>
      <c r="W1445" s="21" t="s">
        <v>16</v>
      </c>
    </row>
    <row r="1446" spans="1:23" ht="60">
      <c r="A1446" s="8" t="s">
        <v>3595</v>
      </c>
      <c r="B1446" s="8" t="s">
        <v>1510</v>
      </c>
      <c r="C1446" s="8" t="s">
        <v>2197</v>
      </c>
      <c r="D1446" s="8" t="s">
        <v>18</v>
      </c>
      <c r="E1446" s="8" t="s">
        <v>16</v>
      </c>
      <c r="F1446" s="8" t="s">
        <v>2228</v>
      </c>
      <c r="G1446" s="8" t="s">
        <v>3596</v>
      </c>
      <c r="H1446" s="8">
        <v>9608</v>
      </c>
      <c r="I1446" s="8">
        <v>2500</v>
      </c>
      <c r="J1446" s="8" t="s">
        <v>1519</v>
      </c>
      <c r="K1446" s="9">
        <v>45355</v>
      </c>
      <c r="L1446" s="9">
        <v>45992</v>
      </c>
      <c r="M1446" s="8" t="s">
        <v>16</v>
      </c>
      <c r="P1446" s="17" t="s">
        <v>1312</v>
      </c>
      <c r="Q1446" s="2" t="s">
        <v>312</v>
      </c>
      <c r="S1446" s="8" t="s">
        <v>1803</v>
      </c>
      <c r="T1446" s="9">
        <v>46113</v>
      </c>
      <c r="U1446" s="8">
        <v>0</v>
      </c>
      <c r="V1446" s="20">
        <v>23270</v>
      </c>
      <c r="W1446" s="21" t="s">
        <v>16</v>
      </c>
    </row>
    <row r="1447" spans="1:23" ht="60">
      <c r="A1447" s="8" t="s">
        <v>3597</v>
      </c>
      <c r="B1447" s="8" t="s">
        <v>1520</v>
      </c>
      <c r="C1447" s="8" t="s">
        <v>2197</v>
      </c>
      <c r="D1447" s="8" t="s">
        <v>18</v>
      </c>
      <c r="E1447" s="8" t="s">
        <v>16</v>
      </c>
      <c r="F1447" s="8" t="s">
        <v>2228</v>
      </c>
      <c r="G1447" s="8" t="s">
        <v>3596</v>
      </c>
      <c r="H1447" s="8">
        <v>2195</v>
      </c>
      <c r="I1447" s="8">
        <v>2195</v>
      </c>
      <c r="J1447" s="8" t="s">
        <v>1521</v>
      </c>
      <c r="K1447" s="9">
        <v>45447</v>
      </c>
      <c r="L1447" s="9">
        <v>45839</v>
      </c>
      <c r="M1447" s="8" t="s">
        <v>16</v>
      </c>
      <c r="P1447" s="16" t="s">
        <v>1313</v>
      </c>
      <c r="Q1447" s="2" t="s">
        <v>16</v>
      </c>
      <c r="S1447" s="8" t="s">
        <v>1806</v>
      </c>
      <c r="T1447" s="9">
        <v>46113</v>
      </c>
      <c r="U1447" s="8">
        <v>0</v>
      </c>
      <c r="V1447" s="20">
        <v>7380</v>
      </c>
      <c r="W1447" s="21" t="s">
        <v>16</v>
      </c>
    </row>
    <row r="1448" spans="1:23" ht="60">
      <c r="A1448" s="8" t="s">
        <v>3598</v>
      </c>
      <c r="B1448" s="8" t="s">
        <v>1522</v>
      </c>
      <c r="C1448" s="8" t="s">
        <v>2197</v>
      </c>
      <c r="D1448" s="8" t="s">
        <v>18</v>
      </c>
      <c r="E1448" s="8" t="s">
        <v>16</v>
      </c>
      <c r="F1448" s="8" t="s">
        <v>2228</v>
      </c>
      <c r="G1448" s="8" t="s">
        <v>3599</v>
      </c>
      <c r="H1448" s="8">
        <v>3642</v>
      </c>
      <c r="I1448" s="8">
        <v>1722</v>
      </c>
      <c r="J1448" s="8">
        <v>2109001</v>
      </c>
      <c r="K1448" s="9">
        <v>44534</v>
      </c>
      <c r="L1448" s="9">
        <v>46266</v>
      </c>
      <c r="M1448" s="8" t="s">
        <v>16</v>
      </c>
      <c r="P1448" s="16" t="s">
        <v>1315</v>
      </c>
      <c r="Q1448" s="2" t="s">
        <v>16</v>
      </c>
      <c r="S1448" s="8" t="s">
        <v>1808</v>
      </c>
      <c r="T1448" s="9">
        <v>46235</v>
      </c>
      <c r="U1448" s="8">
        <v>0</v>
      </c>
      <c r="V1448" s="20">
        <v>500</v>
      </c>
      <c r="W1448" s="21" t="s">
        <v>16</v>
      </c>
    </row>
    <row r="1449" spans="1:23" ht="60">
      <c r="A1449" s="8" t="s">
        <v>3598</v>
      </c>
      <c r="B1449" s="8" t="s">
        <v>1522</v>
      </c>
      <c r="C1449" s="8" t="s">
        <v>2197</v>
      </c>
      <c r="D1449" s="8" t="s">
        <v>18</v>
      </c>
      <c r="E1449" s="8" t="s">
        <v>16</v>
      </c>
      <c r="F1449" s="8" t="s">
        <v>2228</v>
      </c>
      <c r="G1449" s="8" t="s">
        <v>3599</v>
      </c>
      <c r="H1449" s="8">
        <v>3642</v>
      </c>
      <c r="I1449" s="8">
        <v>1920</v>
      </c>
      <c r="J1449" s="8">
        <v>2201001</v>
      </c>
      <c r="K1449" s="9">
        <v>44645</v>
      </c>
      <c r="L1449" s="9">
        <v>46388</v>
      </c>
      <c r="M1449" s="8" t="s">
        <v>16</v>
      </c>
      <c r="P1449" s="16" t="s">
        <v>1316</v>
      </c>
      <c r="Q1449" s="2" t="s">
        <v>16</v>
      </c>
      <c r="S1449" s="8" t="s">
        <v>1810</v>
      </c>
      <c r="T1449" s="9" t="s">
        <v>2222</v>
      </c>
      <c r="U1449" s="8">
        <v>0</v>
      </c>
      <c r="V1449" s="20">
        <v>714</v>
      </c>
      <c r="W1449" s="21" t="s">
        <v>43</v>
      </c>
    </row>
    <row r="1450" spans="1:23" ht="90">
      <c r="A1450" s="8" t="s">
        <v>3600</v>
      </c>
      <c r="B1450" s="8" t="s">
        <v>1523</v>
      </c>
      <c r="C1450" s="8" t="s">
        <v>2203</v>
      </c>
      <c r="D1450" s="8" t="s">
        <v>18</v>
      </c>
      <c r="E1450" s="8" t="s">
        <v>151</v>
      </c>
      <c r="F1450" s="8" t="s">
        <v>151</v>
      </c>
      <c r="G1450" s="8" t="s">
        <v>2890</v>
      </c>
      <c r="H1450" s="8">
        <v>9970</v>
      </c>
      <c r="I1450" s="8">
        <v>9970</v>
      </c>
      <c r="J1450" s="8">
        <v>11213101</v>
      </c>
      <c r="K1450" s="9">
        <v>45215</v>
      </c>
      <c r="L1450" s="9">
        <v>46296</v>
      </c>
      <c r="M1450" s="8" t="s">
        <v>16</v>
      </c>
      <c r="P1450" s="16" t="s">
        <v>1317</v>
      </c>
      <c r="Q1450" s="2" t="s">
        <v>16</v>
      </c>
      <c r="S1450" s="8" t="s">
        <v>1811</v>
      </c>
      <c r="T1450" s="9">
        <v>46600</v>
      </c>
      <c r="U1450" s="8">
        <v>0</v>
      </c>
      <c r="V1450" s="20">
        <v>700</v>
      </c>
      <c r="W1450" s="21" t="s">
        <v>16</v>
      </c>
    </row>
    <row r="1451" spans="1:23" ht="60">
      <c r="A1451" s="8" t="s">
        <v>3601</v>
      </c>
      <c r="B1451" s="8" t="s">
        <v>1524</v>
      </c>
      <c r="C1451" s="8" t="s">
        <v>2221</v>
      </c>
      <c r="D1451" s="8" t="s">
        <v>18</v>
      </c>
      <c r="E1451" s="8" t="s">
        <v>43</v>
      </c>
      <c r="F1451" s="8" t="s">
        <v>2217</v>
      </c>
      <c r="G1451" s="8" t="s">
        <v>2217</v>
      </c>
      <c r="H1451" s="8">
        <v>7</v>
      </c>
      <c r="I1451" s="8">
        <v>7</v>
      </c>
      <c r="J1451" s="8">
        <v>0</v>
      </c>
      <c r="K1451" s="9">
        <v>44160</v>
      </c>
      <c r="L1451" s="8" t="s">
        <v>2222</v>
      </c>
      <c r="M1451" s="8" t="s">
        <v>43</v>
      </c>
      <c r="P1451" s="16" t="s">
        <v>1318</v>
      </c>
      <c r="Q1451" s="2" t="s">
        <v>38</v>
      </c>
      <c r="S1451" s="8" t="s">
        <v>1811</v>
      </c>
      <c r="T1451" s="9">
        <v>46082</v>
      </c>
      <c r="U1451" s="8">
        <v>0</v>
      </c>
      <c r="V1451" s="20">
        <v>3558</v>
      </c>
      <c r="W1451" s="21" t="s">
        <v>16</v>
      </c>
    </row>
    <row r="1452" spans="1:23" ht="60">
      <c r="A1452" s="8" t="s">
        <v>3602</v>
      </c>
      <c r="B1452" s="8" t="s">
        <v>1525</v>
      </c>
      <c r="C1452" s="8" t="s">
        <v>3603</v>
      </c>
      <c r="D1452" s="8" t="s">
        <v>18</v>
      </c>
      <c r="E1452" s="8" t="s">
        <v>151</v>
      </c>
      <c r="F1452" s="8" t="s">
        <v>2258</v>
      </c>
      <c r="G1452" s="8" t="s">
        <v>3604</v>
      </c>
      <c r="H1452" s="8">
        <v>4470</v>
      </c>
      <c r="I1452" s="8">
        <v>4470</v>
      </c>
      <c r="J1452" s="8">
        <v>3032023</v>
      </c>
      <c r="K1452" s="9">
        <v>45448</v>
      </c>
      <c r="L1452" s="9">
        <v>47453</v>
      </c>
      <c r="M1452" s="8" t="s">
        <v>151</v>
      </c>
      <c r="P1452" s="16" t="s">
        <v>1319</v>
      </c>
      <c r="Q1452" s="2" t="s">
        <v>151</v>
      </c>
      <c r="S1452" s="8" t="s">
        <v>1812</v>
      </c>
      <c r="T1452" s="9">
        <v>46054</v>
      </c>
      <c r="U1452" s="8">
        <v>0</v>
      </c>
      <c r="V1452" s="20">
        <v>25</v>
      </c>
      <c r="W1452" s="21" t="s">
        <v>16</v>
      </c>
    </row>
    <row r="1453" spans="1:23" ht="90">
      <c r="A1453" s="8" t="s">
        <v>3605</v>
      </c>
      <c r="B1453" s="8" t="s">
        <v>1526</v>
      </c>
      <c r="C1453" s="8" t="s">
        <v>2197</v>
      </c>
      <c r="D1453" s="8" t="s">
        <v>18</v>
      </c>
      <c r="E1453" s="8" t="s">
        <v>2217</v>
      </c>
      <c r="F1453" s="8" t="s">
        <v>2217</v>
      </c>
      <c r="G1453" s="8" t="s">
        <v>2217</v>
      </c>
      <c r="H1453" s="8">
        <v>1830</v>
      </c>
      <c r="I1453" s="8">
        <v>1830</v>
      </c>
      <c r="J1453" s="8" t="s">
        <v>1527</v>
      </c>
      <c r="K1453" s="9">
        <v>45370</v>
      </c>
      <c r="L1453" s="9">
        <v>47088</v>
      </c>
      <c r="M1453" s="8" t="s">
        <v>16</v>
      </c>
      <c r="P1453" s="16" t="s">
        <v>1319</v>
      </c>
      <c r="Q1453" s="2" t="s">
        <v>151</v>
      </c>
      <c r="S1453" s="8" t="s">
        <v>1812</v>
      </c>
      <c r="T1453" s="9">
        <v>46631</v>
      </c>
      <c r="U1453" s="8">
        <v>0</v>
      </c>
      <c r="V1453" s="20">
        <v>450</v>
      </c>
      <c r="W1453" s="21" t="s">
        <v>16</v>
      </c>
    </row>
    <row r="1454" spans="1:23" ht="60">
      <c r="A1454" s="8" t="s">
        <v>3606</v>
      </c>
      <c r="B1454" s="8" t="s">
        <v>1528</v>
      </c>
      <c r="C1454" s="8" t="s">
        <v>2203</v>
      </c>
      <c r="D1454" s="8" t="s">
        <v>18</v>
      </c>
      <c r="E1454" s="8" t="s">
        <v>16</v>
      </c>
      <c r="F1454" s="8" t="s">
        <v>2198</v>
      </c>
      <c r="G1454" s="8" t="s">
        <v>3607</v>
      </c>
      <c r="H1454" s="8">
        <v>1313</v>
      </c>
      <c r="I1454" s="8">
        <v>2</v>
      </c>
      <c r="J1454" s="8">
        <v>392020</v>
      </c>
      <c r="K1454" s="9">
        <v>44362</v>
      </c>
      <c r="L1454" s="9">
        <v>45901</v>
      </c>
      <c r="M1454" s="8" t="s">
        <v>16</v>
      </c>
      <c r="P1454" s="16" t="s">
        <v>1320</v>
      </c>
      <c r="Q1454" s="2" t="s">
        <v>151</v>
      </c>
      <c r="S1454" s="8" t="s">
        <v>1812</v>
      </c>
      <c r="T1454" s="9">
        <v>46569</v>
      </c>
      <c r="U1454" s="8">
        <v>0</v>
      </c>
      <c r="V1454" s="20">
        <v>775</v>
      </c>
      <c r="W1454" s="21" t="s">
        <v>16</v>
      </c>
    </row>
    <row r="1455" spans="1:23" ht="60">
      <c r="A1455" s="8" t="s">
        <v>3606</v>
      </c>
      <c r="B1455" s="8" t="s">
        <v>1528</v>
      </c>
      <c r="C1455" s="8" t="s">
        <v>2203</v>
      </c>
      <c r="D1455" s="8" t="s">
        <v>18</v>
      </c>
      <c r="E1455" s="8" t="s">
        <v>16</v>
      </c>
      <c r="F1455" s="8" t="s">
        <v>2198</v>
      </c>
      <c r="G1455" s="8" t="s">
        <v>3607</v>
      </c>
      <c r="H1455" s="8">
        <v>1313</v>
      </c>
      <c r="I1455" s="8">
        <v>11</v>
      </c>
      <c r="J1455" s="8">
        <v>30</v>
      </c>
      <c r="K1455" s="9">
        <v>44882</v>
      </c>
      <c r="L1455" s="9">
        <v>45901</v>
      </c>
      <c r="M1455" s="8" t="s">
        <v>16</v>
      </c>
      <c r="P1455" s="16" t="s">
        <v>1321</v>
      </c>
      <c r="Q1455" s="2" t="s">
        <v>16</v>
      </c>
      <c r="S1455" s="8" t="s">
        <v>1813</v>
      </c>
      <c r="T1455" s="9">
        <v>45992</v>
      </c>
      <c r="U1455" s="8">
        <v>0</v>
      </c>
      <c r="V1455" s="20">
        <v>2214</v>
      </c>
      <c r="W1455" s="21" t="s">
        <v>16</v>
      </c>
    </row>
    <row r="1456" spans="1:23" ht="60">
      <c r="A1456" s="8" t="s">
        <v>3606</v>
      </c>
      <c r="B1456" s="8" t="s">
        <v>1528</v>
      </c>
      <c r="C1456" s="8" t="s">
        <v>2203</v>
      </c>
      <c r="D1456" s="8" t="s">
        <v>18</v>
      </c>
      <c r="E1456" s="8" t="s">
        <v>16</v>
      </c>
      <c r="F1456" s="8" t="s">
        <v>2198</v>
      </c>
      <c r="G1456" s="8" t="s">
        <v>3607</v>
      </c>
      <c r="H1456" s="8">
        <v>1313</v>
      </c>
      <c r="I1456" s="8">
        <v>200</v>
      </c>
      <c r="J1456" s="10">
        <v>306000000000</v>
      </c>
      <c r="K1456" s="9">
        <v>44643</v>
      </c>
      <c r="L1456" s="9">
        <v>46296</v>
      </c>
      <c r="M1456" s="8" t="s">
        <v>16</v>
      </c>
      <c r="P1456" s="16" t="s">
        <v>1321</v>
      </c>
      <c r="Q1456" s="2" t="s">
        <v>16</v>
      </c>
      <c r="S1456" s="8" t="s">
        <v>1814</v>
      </c>
      <c r="T1456" s="9">
        <v>46113</v>
      </c>
      <c r="U1456" s="8">
        <v>0</v>
      </c>
      <c r="V1456" s="20">
        <v>1362</v>
      </c>
      <c r="W1456" s="21" t="s">
        <v>16</v>
      </c>
    </row>
    <row r="1457" spans="1:23" ht="75">
      <c r="A1457" s="8" t="s">
        <v>3606</v>
      </c>
      <c r="B1457" s="8" t="s">
        <v>1528</v>
      </c>
      <c r="C1457" s="8" t="s">
        <v>2203</v>
      </c>
      <c r="D1457" s="8" t="s">
        <v>18</v>
      </c>
      <c r="E1457" s="8" t="s">
        <v>16</v>
      </c>
      <c r="F1457" s="8" t="s">
        <v>2198</v>
      </c>
      <c r="G1457" s="8" t="s">
        <v>3607</v>
      </c>
      <c r="H1457" s="8">
        <v>1313</v>
      </c>
      <c r="I1457" s="8">
        <v>1100</v>
      </c>
      <c r="J1457" s="10">
        <v>3060000000000</v>
      </c>
      <c r="K1457" s="9">
        <v>44643</v>
      </c>
      <c r="L1457" s="9">
        <v>46388</v>
      </c>
      <c r="M1457" s="8" t="s">
        <v>16</v>
      </c>
      <c r="P1457" s="16" t="s">
        <v>1321</v>
      </c>
      <c r="Q1457" s="2" t="s">
        <v>16</v>
      </c>
      <c r="S1457" s="8" t="s">
        <v>1815</v>
      </c>
      <c r="T1457" s="9">
        <v>46327</v>
      </c>
      <c r="U1457" s="8">
        <v>0</v>
      </c>
      <c r="V1457" s="20">
        <v>7</v>
      </c>
      <c r="W1457" s="21" t="s">
        <v>16</v>
      </c>
    </row>
    <row r="1458" spans="1:23" ht="75">
      <c r="A1458" s="8" t="s">
        <v>3608</v>
      </c>
      <c r="B1458" s="8" t="s">
        <v>1529</v>
      </c>
      <c r="C1458" s="8" t="s">
        <v>2303</v>
      </c>
      <c r="D1458" s="8" t="s">
        <v>18</v>
      </c>
      <c r="E1458" s="8" t="s">
        <v>16</v>
      </c>
      <c r="F1458" s="8" t="s">
        <v>2228</v>
      </c>
      <c r="G1458" s="8" t="s">
        <v>3609</v>
      </c>
      <c r="H1458" s="8">
        <v>156</v>
      </c>
      <c r="I1458" s="8">
        <v>15</v>
      </c>
      <c r="J1458" s="8">
        <v>24011620002</v>
      </c>
      <c r="K1458" s="9">
        <v>45345</v>
      </c>
      <c r="L1458" s="9">
        <v>47119</v>
      </c>
      <c r="M1458" s="8" t="s">
        <v>16</v>
      </c>
      <c r="P1458" s="16" t="s">
        <v>1321</v>
      </c>
      <c r="Q1458" s="2" t="s">
        <v>16</v>
      </c>
      <c r="S1458" s="8" t="s">
        <v>1815</v>
      </c>
      <c r="T1458" s="9">
        <v>46661</v>
      </c>
      <c r="U1458" s="8">
        <v>0</v>
      </c>
      <c r="V1458" s="20">
        <v>900</v>
      </c>
      <c r="W1458" s="21" t="s">
        <v>16</v>
      </c>
    </row>
    <row r="1459" spans="1:23" ht="75">
      <c r="A1459" s="8" t="s">
        <v>3608</v>
      </c>
      <c r="B1459" s="8" t="s">
        <v>1529</v>
      </c>
      <c r="C1459" s="8" t="s">
        <v>2303</v>
      </c>
      <c r="D1459" s="8" t="s">
        <v>18</v>
      </c>
      <c r="E1459" s="8" t="s">
        <v>16</v>
      </c>
      <c r="F1459" s="8" t="s">
        <v>2228</v>
      </c>
      <c r="G1459" s="8" t="s">
        <v>3609</v>
      </c>
      <c r="H1459" s="8">
        <v>156</v>
      </c>
      <c r="I1459" s="8">
        <v>40</v>
      </c>
      <c r="J1459" s="8">
        <v>24032720005</v>
      </c>
      <c r="K1459" s="9">
        <v>45418</v>
      </c>
      <c r="L1459" s="9">
        <v>47178</v>
      </c>
      <c r="M1459" s="8" t="s">
        <v>16</v>
      </c>
      <c r="P1459" s="16" t="s">
        <v>1322</v>
      </c>
      <c r="Q1459" s="2" t="s">
        <v>16</v>
      </c>
      <c r="S1459" s="8" t="s">
        <v>1816</v>
      </c>
      <c r="T1459" s="9">
        <v>46661</v>
      </c>
      <c r="U1459" s="8">
        <v>0</v>
      </c>
      <c r="V1459" s="20">
        <v>740</v>
      </c>
      <c r="W1459" s="21" t="s">
        <v>16</v>
      </c>
    </row>
    <row r="1460" spans="1:23" ht="75">
      <c r="A1460" s="8" t="s">
        <v>3608</v>
      </c>
      <c r="B1460" s="8" t="s">
        <v>1529</v>
      </c>
      <c r="C1460" s="8" t="s">
        <v>2303</v>
      </c>
      <c r="D1460" s="8" t="s">
        <v>18</v>
      </c>
      <c r="E1460" s="8" t="s">
        <v>16</v>
      </c>
      <c r="F1460" s="8" t="s">
        <v>2228</v>
      </c>
      <c r="G1460" s="8" t="s">
        <v>3609</v>
      </c>
      <c r="H1460" s="8">
        <v>156</v>
      </c>
      <c r="I1460" s="8">
        <v>45</v>
      </c>
      <c r="J1460" s="8">
        <v>24031320004</v>
      </c>
      <c r="K1460" s="9">
        <v>45419</v>
      </c>
      <c r="L1460" s="9">
        <v>47178</v>
      </c>
      <c r="M1460" s="8" t="s">
        <v>16</v>
      </c>
      <c r="P1460" s="16" t="s">
        <v>1322</v>
      </c>
      <c r="Q1460" s="2" t="s">
        <v>16</v>
      </c>
      <c r="S1460" s="8" t="s">
        <v>1817</v>
      </c>
      <c r="T1460" s="9">
        <v>46296</v>
      </c>
      <c r="U1460" s="8">
        <v>0</v>
      </c>
      <c r="V1460" s="20">
        <v>766</v>
      </c>
      <c r="W1460" s="21" t="s">
        <v>16</v>
      </c>
    </row>
    <row r="1461" spans="1:23" ht="45">
      <c r="A1461" s="8" t="s">
        <v>3608</v>
      </c>
      <c r="B1461" s="8" t="s">
        <v>1529</v>
      </c>
      <c r="C1461" s="8" t="s">
        <v>2303</v>
      </c>
      <c r="D1461" s="8" t="s">
        <v>18</v>
      </c>
      <c r="E1461" s="8" t="s">
        <v>16</v>
      </c>
      <c r="F1461" s="8" t="s">
        <v>2228</v>
      </c>
      <c r="G1461" s="8" t="s">
        <v>3609</v>
      </c>
      <c r="H1461" s="8">
        <v>156</v>
      </c>
      <c r="I1461" s="8">
        <v>56</v>
      </c>
      <c r="J1461" s="8">
        <v>24022420003</v>
      </c>
      <c r="K1461" s="9">
        <v>45352</v>
      </c>
      <c r="L1461" s="9">
        <v>47150</v>
      </c>
      <c r="M1461" s="8" t="s">
        <v>16</v>
      </c>
      <c r="P1461" s="16" t="s">
        <v>1322</v>
      </c>
      <c r="Q1461" s="2" t="s">
        <v>16</v>
      </c>
      <c r="S1461" s="8" t="s">
        <v>1819</v>
      </c>
      <c r="T1461" s="9" t="s">
        <v>2222</v>
      </c>
      <c r="U1461" s="8">
        <v>0</v>
      </c>
      <c r="V1461" s="20">
        <v>10</v>
      </c>
      <c r="W1461" s="21" t="s">
        <v>43</v>
      </c>
    </row>
    <row r="1462" spans="1:23" ht="90">
      <c r="A1462" s="8" t="s">
        <v>3610</v>
      </c>
      <c r="B1462" s="8" t="s">
        <v>1530</v>
      </c>
      <c r="C1462" s="8" t="s">
        <v>2197</v>
      </c>
      <c r="D1462" s="8" t="s">
        <v>18</v>
      </c>
      <c r="E1462" s="8" t="s">
        <v>16</v>
      </c>
      <c r="F1462" s="8" t="s">
        <v>2228</v>
      </c>
      <c r="G1462" s="8" t="s">
        <v>3609</v>
      </c>
      <c r="H1462" s="8">
        <v>9019</v>
      </c>
      <c r="I1462" s="8">
        <v>19</v>
      </c>
      <c r="J1462" s="8">
        <v>2401291002</v>
      </c>
      <c r="K1462" s="9">
        <v>45345</v>
      </c>
      <c r="L1462" s="9">
        <v>47119</v>
      </c>
      <c r="M1462" s="8" t="s">
        <v>16</v>
      </c>
      <c r="P1462" s="16" t="s">
        <v>1323</v>
      </c>
      <c r="Q1462" s="2" t="s">
        <v>16</v>
      </c>
      <c r="S1462" s="8" t="s">
        <v>1820</v>
      </c>
      <c r="T1462" s="9" t="s">
        <v>2222</v>
      </c>
      <c r="U1462" s="8">
        <v>0</v>
      </c>
      <c r="V1462" s="20">
        <v>100</v>
      </c>
      <c r="W1462" s="21" t="s">
        <v>41</v>
      </c>
    </row>
    <row r="1463" spans="1:23" ht="60">
      <c r="A1463" s="8" t="s">
        <v>3610</v>
      </c>
      <c r="B1463" s="8" t="s">
        <v>1530</v>
      </c>
      <c r="C1463" s="8" t="s">
        <v>2197</v>
      </c>
      <c r="D1463" s="8" t="s">
        <v>18</v>
      </c>
      <c r="E1463" s="8" t="s">
        <v>16</v>
      </c>
      <c r="F1463" s="8" t="s">
        <v>2228</v>
      </c>
      <c r="G1463" s="8" t="s">
        <v>3609</v>
      </c>
      <c r="H1463" s="8">
        <v>9019</v>
      </c>
      <c r="I1463" s="8">
        <v>1960</v>
      </c>
      <c r="J1463" s="8">
        <v>2403181006</v>
      </c>
      <c r="K1463" s="9">
        <v>45419</v>
      </c>
      <c r="L1463" s="9">
        <v>47178</v>
      </c>
      <c r="M1463" s="8" t="s">
        <v>16</v>
      </c>
      <c r="P1463" s="16" t="s">
        <v>1324</v>
      </c>
      <c r="Q1463" s="2" t="s">
        <v>16</v>
      </c>
      <c r="S1463" s="8" t="s">
        <v>1821</v>
      </c>
      <c r="T1463" s="9" t="s">
        <v>2222</v>
      </c>
      <c r="U1463" s="8">
        <v>0</v>
      </c>
      <c r="V1463" s="20">
        <v>3</v>
      </c>
      <c r="W1463" s="21" t="s">
        <v>41</v>
      </c>
    </row>
    <row r="1464" spans="1:23" ht="60">
      <c r="A1464" s="8" t="s">
        <v>3610</v>
      </c>
      <c r="B1464" s="8" t="s">
        <v>1530</v>
      </c>
      <c r="C1464" s="8" t="s">
        <v>2197</v>
      </c>
      <c r="D1464" s="8" t="s">
        <v>18</v>
      </c>
      <c r="E1464" s="8" t="s">
        <v>16</v>
      </c>
      <c r="F1464" s="8" t="s">
        <v>2228</v>
      </c>
      <c r="G1464" s="8" t="s">
        <v>3609</v>
      </c>
      <c r="H1464" s="8">
        <v>9019</v>
      </c>
      <c r="I1464" s="8">
        <v>2000</v>
      </c>
      <c r="J1464" s="8">
        <v>2404251008</v>
      </c>
      <c r="K1464" s="9">
        <v>45418</v>
      </c>
      <c r="L1464" s="9">
        <v>47178</v>
      </c>
      <c r="M1464" s="8" t="s">
        <v>16</v>
      </c>
      <c r="P1464" s="17" t="s">
        <v>1325</v>
      </c>
      <c r="Q1464" s="2" t="s">
        <v>16</v>
      </c>
      <c r="S1464" s="8" t="s">
        <v>1822</v>
      </c>
      <c r="T1464" s="9" t="s">
        <v>2222</v>
      </c>
      <c r="U1464" s="8">
        <v>0</v>
      </c>
      <c r="V1464" s="20">
        <v>864</v>
      </c>
      <c r="W1464" s="21" t="s">
        <v>43</v>
      </c>
    </row>
    <row r="1465" spans="1:23" ht="60">
      <c r="A1465" s="8" t="s">
        <v>3610</v>
      </c>
      <c r="B1465" s="8" t="s">
        <v>1530</v>
      </c>
      <c r="C1465" s="8" t="s">
        <v>2197</v>
      </c>
      <c r="D1465" s="8" t="s">
        <v>18</v>
      </c>
      <c r="E1465" s="8" t="s">
        <v>16</v>
      </c>
      <c r="F1465" s="8" t="s">
        <v>2228</v>
      </c>
      <c r="G1465" s="8" t="s">
        <v>3609</v>
      </c>
      <c r="H1465" s="8">
        <v>9019</v>
      </c>
      <c r="I1465" s="8">
        <v>2040</v>
      </c>
      <c r="J1465" s="8">
        <v>2402151003</v>
      </c>
      <c r="K1465" s="9">
        <v>45345</v>
      </c>
      <c r="L1465" s="9">
        <v>47150</v>
      </c>
      <c r="M1465" s="8" t="s">
        <v>16</v>
      </c>
      <c r="P1465" s="17" t="s">
        <v>1325</v>
      </c>
      <c r="Q1465" s="2" t="s">
        <v>16</v>
      </c>
      <c r="S1465" s="8" t="s">
        <v>1823</v>
      </c>
      <c r="T1465" s="9" t="s">
        <v>2222</v>
      </c>
      <c r="U1465" s="8">
        <v>0</v>
      </c>
      <c r="V1465" s="20">
        <v>589</v>
      </c>
      <c r="W1465" s="21" t="s">
        <v>43</v>
      </c>
    </row>
    <row r="1466" spans="1:23" ht="60">
      <c r="A1466" s="8" t="s">
        <v>3610</v>
      </c>
      <c r="B1466" s="8" t="s">
        <v>1530</v>
      </c>
      <c r="C1466" s="8" t="s">
        <v>2197</v>
      </c>
      <c r="D1466" s="8" t="s">
        <v>18</v>
      </c>
      <c r="E1466" s="8" t="s">
        <v>16</v>
      </c>
      <c r="F1466" s="8" t="s">
        <v>2228</v>
      </c>
      <c r="G1466" s="8" t="s">
        <v>3609</v>
      </c>
      <c r="H1466" s="8">
        <v>9019</v>
      </c>
      <c r="I1466" s="8">
        <v>3000</v>
      </c>
      <c r="J1466" s="8">
        <v>2403271007</v>
      </c>
      <c r="K1466" s="9">
        <v>45418</v>
      </c>
      <c r="L1466" s="9">
        <v>47178</v>
      </c>
      <c r="M1466" s="8" t="s">
        <v>16</v>
      </c>
      <c r="P1466" s="17" t="s">
        <v>1325</v>
      </c>
      <c r="Q1466" s="2" t="s">
        <v>16</v>
      </c>
      <c r="S1466" s="8" t="s">
        <v>1824</v>
      </c>
      <c r="T1466" s="9" t="s">
        <v>2222</v>
      </c>
      <c r="U1466" s="8">
        <v>0</v>
      </c>
      <c r="V1466" s="20">
        <v>23</v>
      </c>
      <c r="W1466" s="21" t="s">
        <v>43</v>
      </c>
    </row>
    <row r="1467" spans="1:23" ht="60">
      <c r="A1467" s="8" t="s">
        <v>3611</v>
      </c>
      <c r="B1467" s="8" t="s">
        <v>1531</v>
      </c>
      <c r="C1467" s="8" t="s">
        <v>2307</v>
      </c>
      <c r="D1467" s="8" t="s">
        <v>18</v>
      </c>
      <c r="E1467" s="8" t="s">
        <v>16</v>
      </c>
      <c r="F1467" s="8" t="s">
        <v>2228</v>
      </c>
      <c r="G1467" s="8" t="s">
        <v>3609</v>
      </c>
      <c r="H1467" s="8">
        <v>270</v>
      </c>
      <c r="I1467" s="8">
        <v>70</v>
      </c>
      <c r="J1467" s="8">
        <v>2311085015</v>
      </c>
      <c r="K1467" s="9">
        <v>45264</v>
      </c>
      <c r="L1467" s="9">
        <v>47058</v>
      </c>
      <c r="M1467" s="8" t="s">
        <v>16</v>
      </c>
      <c r="P1467" s="17" t="s">
        <v>1325</v>
      </c>
      <c r="Q1467" s="2" t="s">
        <v>16</v>
      </c>
      <c r="S1467" s="8" t="s">
        <v>1825</v>
      </c>
      <c r="T1467" s="9" t="s">
        <v>2222</v>
      </c>
      <c r="U1467" s="8">
        <v>0</v>
      </c>
      <c r="V1467" s="20">
        <v>2925</v>
      </c>
      <c r="W1467" s="21" t="s">
        <v>43</v>
      </c>
    </row>
    <row r="1468" spans="1:23" ht="60">
      <c r="A1468" s="8" t="s">
        <v>3611</v>
      </c>
      <c r="B1468" s="8" t="s">
        <v>1531</v>
      </c>
      <c r="C1468" s="8" t="s">
        <v>2307</v>
      </c>
      <c r="D1468" s="8" t="s">
        <v>18</v>
      </c>
      <c r="E1468" s="8" t="s">
        <v>16</v>
      </c>
      <c r="F1468" s="8" t="s">
        <v>2228</v>
      </c>
      <c r="G1468" s="8" t="s">
        <v>3609</v>
      </c>
      <c r="H1468" s="8">
        <v>270</v>
      </c>
      <c r="I1468" s="8">
        <v>200</v>
      </c>
      <c r="J1468" s="8">
        <v>2403125005</v>
      </c>
      <c r="K1468" s="9">
        <v>45419</v>
      </c>
      <c r="L1468" s="9">
        <v>47178</v>
      </c>
      <c r="M1468" s="8" t="s">
        <v>16</v>
      </c>
      <c r="P1468" s="17" t="s">
        <v>1325</v>
      </c>
      <c r="Q1468" s="2" t="s">
        <v>16</v>
      </c>
      <c r="S1468" s="8" t="s">
        <v>1826</v>
      </c>
      <c r="T1468" s="9" t="s">
        <v>2222</v>
      </c>
      <c r="U1468" s="8">
        <v>0</v>
      </c>
      <c r="V1468" s="20">
        <v>160</v>
      </c>
      <c r="W1468" s="21" t="s">
        <v>43</v>
      </c>
    </row>
    <row r="1469" spans="1:23" ht="45">
      <c r="A1469" s="8" t="s">
        <v>3612</v>
      </c>
      <c r="B1469" s="8" t="s">
        <v>1532</v>
      </c>
      <c r="C1469" s="8" t="s">
        <v>2197</v>
      </c>
      <c r="D1469" s="8" t="s">
        <v>18</v>
      </c>
      <c r="E1469" s="8" t="s">
        <v>16</v>
      </c>
      <c r="F1469" s="8" t="s">
        <v>2228</v>
      </c>
      <c r="G1469" s="8" t="s">
        <v>3613</v>
      </c>
      <c r="H1469" s="8">
        <v>15005</v>
      </c>
      <c r="I1469" s="8">
        <v>490</v>
      </c>
      <c r="J1469" s="8">
        <v>121604740</v>
      </c>
      <c r="K1469" s="9">
        <v>45097</v>
      </c>
      <c r="L1469" s="9">
        <v>46905</v>
      </c>
      <c r="M1469" s="8" t="s">
        <v>16</v>
      </c>
      <c r="P1469" s="17" t="s">
        <v>1325</v>
      </c>
      <c r="Q1469" s="2" t="s">
        <v>16</v>
      </c>
      <c r="S1469" s="8" t="s">
        <v>1826</v>
      </c>
      <c r="T1469" s="9">
        <v>44282</v>
      </c>
      <c r="U1469" s="8">
        <v>0</v>
      </c>
      <c r="V1469" s="20">
        <v>317</v>
      </c>
      <c r="W1469" s="21" t="s">
        <v>43</v>
      </c>
    </row>
    <row r="1470" spans="1:23" ht="45">
      <c r="A1470" s="8" t="s">
        <v>3612</v>
      </c>
      <c r="B1470" s="8" t="s">
        <v>1532</v>
      </c>
      <c r="C1470" s="8" t="s">
        <v>2197</v>
      </c>
      <c r="D1470" s="8" t="s">
        <v>18</v>
      </c>
      <c r="E1470" s="8" t="s">
        <v>16</v>
      </c>
      <c r="F1470" s="8" t="s">
        <v>2228</v>
      </c>
      <c r="G1470" s="8" t="s">
        <v>3613</v>
      </c>
      <c r="H1470" s="8">
        <v>15005</v>
      </c>
      <c r="I1470" s="8">
        <v>1555</v>
      </c>
      <c r="J1470" s="8">
        <v>121604760</v>
      </c>
      <c r="K1470" s="9">
        <v>45154</v>
      </c>
      <c r="L1470" s="9">
        <v>46905</v>
      </c>
      <c r="M1470" s="8" t="s">
        <v>16</v>
      </c>
      <c r="P1470" s="17" t="s">
        <v>1325</v>
      </c>
      <c r="Q1470" s="2" t="s">
        <v>16</v>
      </c>
      <c r="S1470" s="8" t="s">
        <v>1827</v>
      </c>
      <c r="T1470" s="9" t="s">
        <v>2222</v>
      </c>
      <c r="U1470" s="8">
        <v>0</v>
      </c>
      <c r="V1470" s="20">
        <v>46</v>
      </c>
      <c r="W1470" s="21" t="s">
        <v>43</v>
      </c>
    </row>
    <row r="1471" spans="1:23" ht="45">
      <c r="A1471" s="8" t="s">
        <v>3612</v>
      </c>
      <c r="B1471" s="8" t="s">
        <v>1532</v>
      </c>
      <c r="C1471" s="8" t="s">
        <v>2197</v>
      </c>
      <c r="D1471" s="8" t="s">
        <v>18</v>
      </c>
      <c r="E1471" s="8" t="s">
        <v>16</v>
      </c>
      <c r="F1471" s="8" t="s">
        <v>2228</v>
      </c>
      <c r="G1471" s="8" t="s">
        <v>3613</v>
      </c>
      <c r="H1471" s="8">
        <v>15005</v>
      </c>
      <c r="I1471" s="8">
        <v>3200</v>
      </c>
      <c r="J1471" s="8">
        <v>121604911</v>
      </c>
      <c r="K1471" s="9">
        <v>45264</v>
      </c>
      <c r="L1471" s="9">
        <v>47027</v>
      </c>
      <c r="M1471" s="8" t="s">
        <v>16</v>
      </c>
      <c r="P1471" s="17" t="s">
        <v>1325</v>
      </c>
      <c r="Q1471" s="2" t="s">
        <v>16</v>
      </c>
      <c r="S1471" s="8" t="s">
        <v>1828</v>
      </c>
      <c r="T1471" s="9" t="s">
        <v>2222</v>
      </c>
      <c r="U1471" s="8">
        <v>0</v>
      </c>
      <c r="V1471" s="20">
        <v>36</v>
      </c>
      <c r="W1471" s="21" t="s">
        <v>43</v>
      </c>
    </row>
    <row r="1472" spans="1:23" ht="45">
      <c r="A1472" s="8" t="s">
        <v>3612</v>
      </c>
      <c r="B1472" s="8" t="s">
        <v>1532</v>
      </c>
      <c r="C1472" s="8" t="s">
        <v>2197</v>
      </c>
      <c r="D1472" s="8" t="s">
        <v>18</v>
      </c>
      <c r="E1472" s="8" t="s">
        <v>16</v>
      </c>
      <c r="F1472" s="8" t="s">
        <v>2228</v>
      </c>
      <c r="G1472" s="8" t="s">
        <v>3613</v>
      </c>
      <c r="H1472" s="8">
        <v>15005</v>
      </c>
      <c r="I1472" s="8">
        <v>3500</v>
      </c>
      <c r="J1472" s="8">
        <v>121604786</v>
      </c>
      <c r="K1472" s="9">
        <v>45160</v>
      </c>
      <c r="L1472" s="9">
        <v>46966</v>
      </c>
      <c r="M1472" s="8" t="s">
        <v>16</v>
      </c>
      <c r="P1472" s="17" t="s">
        <v>1325</v>
      </c>
      <c r="Q1472" s="2" t="s">
        <v>16</v>
      </c>
      <c r="S1472" s="8" t="s">
        <v>1829</v>
      </c>
      <c r="T1472" s="9" t="s">
        <v>2222</v>
      </c>
      <c r="U1472" s="8">
        <v>0</v>
      </c>
      <c r="V1472" s="20">
        <v>541</v>
      </c>
      <c r="W1472" s="21" t="s">
        <v>43</v>
      </c>
    </row>
    <row r="1473" spans="1:23" ht="45">
      <c r="A1473" s="8" t="s">
        <v>3612</v>
      </c>
      <c r="B1473" s="8" t="s">
        <v>1532</v>
      </c>
      <c r="C1473" s="8" t="s">
        <v>2197</v>
      </c>
      <c r="D1473" s="8" t="s">
        <v>18</v>
      </c>
      <c r="E1473" s="8" t="s">
        <v>16</v>
      </c>
      <c r="F1473" s="8" t="s">
        <v>2228</v>
      </c>
      <c r="G1473" s="8" t="s">
        <v>3613</v>
      </c>
      <c r="H1473" s="8">
        <v>15005</v>
      </c>
      <c r="I1473" s="8">
        <v>6260</v>
      </c>
      <c r="J1473" s="8">
        <v>121604946</v>
      </c>
      <c r="K1473" s="9">
        <v>45264</v>
      </c>
      <c r="L1473" s="9">
        <v>47027</v>
      </c>
      <c r="M1473" s="8" t="s">
        <v>16</v>
      </c>
      <c r="P1473" s="17" t="s">
        <v>1325</v>
      </c>
      <c r="Q1473" s="2" t="s">
        <v>16</v>
      </c>
      <c r="S1473" s="8" t="s">
        <v>1830</v>
      </c>
      <c r="T1473" s="9" t="s">
        <v>2222</v>
      </c>
      <c r="U1473" s="8">
        <v>0</v>
      </c>
      <c r="V1473" s="20">
        <v>10</v>
      </c>
      <c r="W1473" s="21" t="s">
        <v>43</v>
      </c>
    </row>
    <row r="1474" spans="1:23" ht="45">
      <c r="A1474" s="8" t="s">
        <v>3614</v>
      </c>
      <c r="B1474" s="8" t="s">
        <v>1533</v>
      </c>
      <c r="C1474" s="8" t="s">
        <v>2197</v>
      </c>
      <c r="D1474" s="8" t="s">
        <v>18</v>
      </c>
      <c r="E1474" s="8" t="s">
        <v>16</v>
      </c>
      <c r="F1474" s="8" t="s">
        <v>2228</v>
      </c>
      <c r="G1474" s="8" t="s">
        <v>3613</v>
      </c>
      <c r="H1474" s="8">
        <v>2664</v>
      </c>
      <c r="I1474" s="8">
        <v>664</v>
      </c>
      <c r="J1474" s="8">
        <v>121604358</v>
      </c>
      <c r="K1474" s="9">
        <v>44746</v>
      </c>
      <c r="L1474" s="9">
        <v>46419</v>
      </c>
      <c r="M1474" s="8" t="s">
        <v>16</v>
      </c>
      <c r="P1474" s="17" t="s">
        <v>1325</v>
      </c>
      <c r="Q1474" s="2" t="s">
        <v>16</v>
      </c>
      <c r="S1474" s="8" t="s">
        <v>1831</v>
      </c>
      <c r="T1474" s="9" t="s">
        <v>2222</v>
      </c>
      <c r="U1474" s="8">
        <v>0</v>
      </c>
      <c r="V1474" s="20">
        <v>106</v>
      </c>
      <c r="W1474" s="21" t="s">
        <v>43</v>
      </c>
    </row>
    <row r="1475" spans="1:23" ht="45">
      <c r="A1475" s="8" t="s">
        <v>3614</v>
      </c>
      <c r="B1475" s="8" t="s">
        <v>1533</v>
      </c>
      <c r="C1475" s="8" t="s">
        <v>2197</v>
      </c>
      <c r="D1475" s="8" t="s">
        <v>18</v>
      </c>
      <c r="E1475" s="8" t="s">
        <v>16</v>
      </c>
      <c r="F1475" s="8" t="s">
        <v>2228</v>
      </c>
      <c r="G1475" s="8" t="s">
        <v>3613</v>
      </c>
      <c r="H1475" s="8">
        <v>2664</v>
      </c>
      <c r="I1475" s="8">
        <v>2000</v>
      </c>
      <c r="J1475" s="8">
        <v>121604411</v>
      </c>
      <c r="K1475" s="9">
        <v>44823</v>
      </c>
      <c r="L1475" s="9">
        <v>46478</v>
      </c>
      <c r="M1475" s="8" t="s">
        <v>16</v>
      </c>
      <c r="P1475" s="17" t="s">
        <v>1325</v>
      </c>
      <c r="Q1475" s="2" t="s">
        <v>16</v>
      </c>
      <c r="S1475" s="8" t="s">
        <v>1832</v>
      </c>
      <c r="T1475" s="9" t="s">
        <v>2222</v>
      </c>
      <c r="U1475" s="8">
        <v>0</v>
      </c>
      <c r="V1475" s="20">
        <v>165</v>
      </c>
      <c r="W1475" s="21" t="s">
        <v>43</v>
      </c>
    </row>
    <row r="1476" spans="1:23" ht="45">
      <c r="A1476" s="8" t="s">
        <v>3615</v>
      </c>
      <c r="B1476" s="8" t="s">
        <v>1534</v>
      </c>
      <c r="C1476" s="8" t="s">
        <v>2221</v>
      </c>
      <c r="D1476" s="8" t="s">
        <v>18</v>
      </c>
      <c r="E1476" s="8" t="s">
        <v>43</v>
      </c>
      <c r="F1476" s="8" t="s">
        <v>2217</v>
      </c>
      <c r="G1476" s="8" t="s">
        <v>2217</v>
      </c>
      <c r="H1476" s="8">
        <v>106</v>
      </c>
      <c r="I1476" s="8">
        <v>106</v>
      </c>
      <c r="J1476" s="8">
        <v>0</v>
      </c>
      <c r="K1476" s="9">
        <v>45322</v>
      </c>
      <c r="L1476" s="8" t="s">
        <v>2222</v>
      </c>
      <c r="M1476" s="8" t="s">
        <v>43</v>
      </c>
      <c r="P1476" s="17" t="s">
        <v>1325</v>
      </c>
      <c r="Q1476" s="2" t="s">
        <v>16</v>
      </c>
      <c r="S1476" s="8" t="s">
        <v>1833</v>
      </c>
      <c r="T1476" s="9">
        <v>47119</v>
      </c>
      <c r="U1476" s="8">
        <v>0</v>
      </c>
      <c r="V1476" s="20">
        <v>760</v>
      </c>
      <c r="W1476" s="21" t="s">
        <v>16</v>
      </c>
    </row>
    <row r="1477" spans="1:23" ht="45">
      <c r="A1477" s="8" t="s">
        <v>3616</v>
      </c>
      <c r="B1477" s="8" t="s">
        <v>1535</v>
      </c>
      <c r="C1477" s="8" t="s">
        <v>2221</v>
      </c>
      <c r="D1477" s="8" t="s">
        <v>18</v>
      </c>
      <c r="E1477" s="8" t="s">
        <v>43</v>
      </c>
      <c r="F1477" s="8" t="s">
        <v>2217</v>
      </c>
      <c r="G1477" s="8" t="s">
        <v>2217</v>
      </c>
      <c r="H1477" s="8">
        <v>46</v>
      </c>
      <c r="I1477" s="8">
        <v>46</v>
      </c>
      <c r="J1477" s="8">
        <v>0</v>
      </c>
      <c r="K1477" s="9">
        <v>45322</v>
      </c>
      <c r="L1477" s="8" t="s">
        <v>2222</v>
      </c>
      <c r="M1477" s="8" t="s">
        <v>43</v>
      </c>
      <c r="P1477" s="17" t="s">
        <v>1325</v>
      </c>
      <c r="Q1477" s="2" t="s">
        <v>16</v>
      </c>
      <c r="S1477" s="8" t="s">
        <v>1834</v>
      </c>
      <c r="T1477" s="9">
        <v>47088</v>
      </c>
      <c r="U1477" s="8">
        <v>0</v>
      </c>
      <c r="V1477" s="20">
        <v>2</v>
      </c>
      <c r="W1477" s="21" t="s">
        <v>16</v>
      </c>
    </row>
    <row r="1478" spans="1:23" ht="45">
      <c r="A1478" s="8" t="s">
        <v>3617</v>
      </c>
      <c r="B1478" s="8" t="s">
        <v>1536</v>
      </c>
      <c r="C1478" s="8" t="s">
        <v>2221</v>
      </c>
      <c r="D1478" s="8" t="s">
        <v>18</v>
      </c>
      <c r="E1478" s="8" t="s">
        <v>43</v>
      </c>
      <c r="F1478" s="8" t="s">
        <v>2217</v>
      </c>
      <c r="G1478" s="8" t="s">
        <v>2217</v>
      </c>
      <c r="H1478" s="8">
        <v>74</v>
      </c>
      <c r="I1478" s="8">
        <v>74</v>
      </c>
      <c r="J1478" s="8">
        <v>0</v>
      </c>
      <c r="K1478" s="9">
        <v>45322</v>
      </c>
      <c r="L1478" s="8" t="s">
        <v>2222</v>
      </c>
      <c r="M1478" s="8" t="s">
        <v>43</v>
      </c>
      <c r="P1478" s="17" t="s">
        <v>1325</v>
      </c>
      <c r="Q1478" s="2" t="s">
        <v>16</v>
      </c>
      <c r="S1478" s="8" t="s">
        <v>1834</v>
      </c>
      <c r="T1478" s="9">
        <v>47209</v>
      </c>
      <c r="U1478" s="8">
        <v>0</v>
      </c>
      <c r="V1478" s="20">
        <v>3240</v>
      </c>
      <c r="W1478" s="21" t="s">
        <v>16</v>
      </c>
    </row>
    <row r="1479" spans="1:23" ht="45">
      <c r="A1479" s="8" t="s">
        <v>3618</v>
      </c>
      <c r="B1479" s="8" t="s">
        <v>1537</v>
      </c>
      <c r="C1479" s="8" t="s">
        <v>2221</v>
      </c>
      <c r="D1479" s="8" t="s">
        <v>18</v>
      </c>
      <c r="E1479" s="8" t="s">
        <v>43</v>
      </c>
      <c r="F1479" s="8" t="s">
        <v>2217</v>
      </c>
      <c r="G1479" s="8" t="s">
        <v>2217</v>
      </c>
      <c r="H1479" s="8">
        <v>299</v>
      </c>
      <c r="I1479" s="8">
        <v>299</v>
      </c>
      <c r="J1479" s="8">
        <v>0</v>
      </c>
      <c r="K1479" s="9">
        <v>45322</v>
      </c>
      <c r="L1479" s="8" t="s">
        <v>2222</v>
      </c>
      <c r="M1479" s="8" t="s">
        <v>43</v>
      </c>
      <c r="P1479" s="17" t="s">
        <v>1325</v>
      </c>
      <c r="Q1479" s="2" t="s">
        <v>16</v>
      </c>
      <c r="S1479" s="8" t="s">
        <v>1835</v>
      </c>
      <c r="T1479" s="9">
        <v>47088</v>
      </c>
      <c r="U1479" s="8">
        <v>0</v>
      </c>
      <c r="V1479" s="20">
        <v>7</v>
      </c>
      <c r="W1479" s="21" t="s">
        <v>16</v>
      </c>
    </row>
    <row r="1480" spans="1:23" ht="45">
      <c r="A1480" s="8" t="s">
        <v>3619</v>
      </c>
      <c r="B1480" s="8" t="s">
        <v>1538</v>
      </c>
      <c r="C1480" s="8" t="s">
        <v>2221</v>
      </c>
      <c r="D1480" s="8" t="s">
        <v>18</v>
      </c>
      <c r="E1480" s="8" t="s">
        <v>43</v>
      </c>
      <c r="F1480" s="8" t="s">
        <v>2217</v>
      </c>
      <c r="G1480" s="8" t="s">
        <v>2217</v>
      </c>
      <c r="H1480" s="8">
        <v>214</v>
      </c>
      <c r="I1480" s="8">
        <v>214</v>
      </c>
      <c r="J1480" s="8">
        <v>0</v>
      </c>
      <c r="K1480" s="9">
        <v>45322</v>
      </c>
      <c r="L1480" s="8" t="s">
        <v>2222</v>
      </c>
      <c r="M1480" s="8" t="s">
        <v>43</v>
      </c>
      <c r="P1480" s="17" t="s">
        <v>1325</v>
      </c>
      <c r="Q1480" s="2" t="s">
        <v>16</v>
      </c>
      <c r="S1480" s="8" t="s">
        <v>1835</v>
      </c>
      <c r="T1480" s="9">
        <v>47119</v>
      </c>
      <c r="U1480" s="8">
        <v>0</v>
      </c>
      <c r="V1480" s="20">
        <v>1740</v>
      </c>
      <c r="W1480" s="21" t="s">
        <v>16</v>
      </c>
    </row>
    <row r="1481" spans="1:23" ht="45">
      <c r="A1481" s="8" t="s">
        <v>3620</v>
      </c>
      <c r="B1481" s="8" t="s">
        <v>1539</v>
      </c>
      <c r="C1481" s="8" t="s">
        <v>2221</v>
      </c>
      <c r="D1481" s="8" t="s">
        <v>18</v>
      </c>
      <c r="E1481" s="8" t="s">
        <v>2217</v>
      </c>
      <c r="F1481" s="8" t="s">
        <v>2217</v>
      </c>
      <c r="G1481" s="8" t="s">
        <v>2217</v>
      </c>
      <c r="H1481" s="8">
        <v>80</v>
      </c>
      <c r="I1481" s="8">
        <v>80</v>
      </c>
      <c r="J1481" s="8">
        <v>0</v>
      </c>
      <c r="K1481" s="9">
        <v>45367</v>
      </c>
      <c r="L1481" s="8" t="s">
        <v>2222</v>
      </c>
      <c r="M1481" s="8" t="s">
        <v>1540</v>
      </c>
      <c r="P1481" s="17" t="s">
        <v>1325</v>
      </c>
      <c r="Q1481" s="2" t="s">
        <v>16</v>
      </c>
      <c r="S1481" s="8" t="s">
        <v>1835</v>
      </c>
      <c r="T1481" s="9">
        <v>47209</v>
      </c>
      <c r="U1481" s="8">
        <v>0</v>
      </c>
      <c r="V1481" s="20">
        <v>2600</v>
      </c>
      <c r="W1481" s="21" t="s">
        <v>16</v>
      </c>
    </row>
    <row r="1482" spans="1:23" ht="45">
      <c r="A1482" s="8" t="s">
        <v>3624</v>
      </c>
      <c r="B1482" s="8" t="s">
        <v>1542</v>
      </c>
      <c r="C1482" s="8" t="s">
        <v>2203</v>
      </c>
      <c r="D1482" s="8" t="s">
        <v>18</v>
      </c>
      <c r="E1482" s="8" t="s">
        <v>16</v>
      </c>
      <c r="F1482" s="8" t="s">
        <v>2204</v>
      </c>
      <c r="G1482" s="8" t="s">
        <v>3625</v>
      </c>
      <c r="H1482" s="8">
        <v>580</v>
      </c>
      <c r="I1482" s="8">
        <v>100</v>
      </c>
      <c r="J1482" s="8" t="s">
        <v>1543</v>
      </c>
      <c r="K1482" s="9">
        <v>45239</v>
      </c>
      <c r="L1482" s="9">
        <v>46235</v>
      </c>
      <c r="M1482" s="8" t="s">
        <v>16</v>
      </c>
      <c r="P1482" s="17" t="s">
        <v>1325</v>
      </c>
      <c r="Q1482" s="2" t="s">
        <v>16</v>
      </c>
      <c r="S1482" s="8" t="s">
        <v>1836</v>
      </c>
      <c r="T1482" s="9">
        <v>46447</v>
      </c>
      <c r="U1482" s="8">
        <v>0</v>
      </c>
      <c r="V1482" s="20">
        <v>945</v>
      </c>
      <c r="W1482" s="21" t="s">
        <v>16</v>
      </c>
    </row>
    <row r="1483" spans="1:23" ht="45">
      <c r="A1483" s="8" t="s">
        <v>3624</v>
      </c>
      <c r="B1483" s="8" t="s">
        <v>1542</v>
      </c>
      <c r="C1483" s="8" t="s">
        <v>2203</v>
      </c>
      <c r="D1483" s="8" t="s">
        <v>18</v>
      </c>
      <c r="E1483" s="8" t="s">
        <v>16</v>
      </c>
      <c r="F1483" s="8" t="s">
        <v>2204</v>
      </c>
      <c r="G1483" s="8" t="s">
        <v>3625</v>
      </c>
      <c r="H1483" s="8">
        <v>580</v>
      </c>
      <c r="I1483" s="8">
        <v>220</v>
      </c>
      <c r="J1483" s="8" t="s">
        <v>1544</v>
      </c>
      <c r="K1483" s="9">
        <v>45239</v>
      </c>
      <c r="L1483" s="9">
        <v>46692</v>
      </c>
      <c r="M1483" s="8" t="s">
        <v>16</v>
      </c>
      <c r="P1483" s="17" t="s">
        <v>1325</v>
      </c>
      <c r="Q1483" s="2" t="s">
        <v>16</v>
      </c>
      <c r="S1483" s="8" t="s">
        <v>1841</v>
      </c>
      <c r="T1483" s="9">
        <v>45992</v>
      </c>
      <c r="U1483" s="8">
        <v>0</v>
      </c>
      <c r="V1483" s="20">
        <v>9993</v>
      </c>
      <c r="W1483" s="21" t="s">
        <v>16</v>
      </c>
    </row>
    <row r="1484" spans="1:23" ht="45">
      <c r="A1484" s="8" t="s">
        <v>3624</v>
      </c>
      <c r="B1484" s="8" t="s">
        <v>1542</v>
      </c>
      <c r="C1484" s="8" t="s">
        <v>2203</v>
      </c>
      <c r="D1484" s="8" t="s">
        <v>18</v>
      </c>
      <c r="E1484" s="8" t="s">
        <v>16</v>
      </c>
      <c r="F1484" s="8" t="s">
        <v>2204</v>
      </c>
      <c r="G1484" s="8" t="s">
        <v>3625</v>
      </c>
      <c r="H1484" s="8">
        <v>580</v>
      </c>
      <c r="I1484" s="8">
        <v>260</v>
      </c>
      <c r="J1484" s="8" t="s">
        <v>1545</v>
      </c>
      <c r="K1484" s="9">
        <v>45169</v>
      </c>
      <c r="L1484" s="9">
        <v>46692</v>
      </c>
      <c r="M1484" s="8" t="s">
        <v>16</v>
      </c>
      <c r="P1484" s="17" t="s">
        <v>1325</v>
      </c>
      <c r="Q1484" s="2" t="s">
        <v>16</v>
      </c>
      <c r="S1484" s="8" t="s">
        <v>1841</v>
      </c>
      <c r="T1484" s="9">
        <v>46082</v>
      </c>
      <c r="U1484" s="8">
        <v>0</v>
      </c>
      <c r="V1484" s="20">
        <v>21</v>
      </c>
      <c r="W1484" s="21" t="s">
        <v>16</v>
      </c>
    </row>
    <row r="1485" spans="1:23" ht="45">
      <c r="A1485" s="8" t="s">
        <v>3626</v>
      </c>
      <c r="B1485" s="8" t="s">
        <v>1546</v>
      </c>
      <c r="C1485" s="8" t="s">
        <v>2203</v>
      </c>
      <c r="D1485" s="8" t="s">
        <v>18</v>
      </c>
      <c r="E1485" s="8" t="s">
        <v>16</v>
      </c>
      <c r="F1485" s="8" t="s">
        <v>2204</v>
      </c>
      <c r="G1485" s="8" t="s">
        <v>3625</v>
      </c>
      <c r="H1485" s="8">
        <v>973</v>
      </c>
      <c r="I1485" s="8">
        <v>441</v>
      </c>
      <c r="J1485" s="8" t="s">
        <v>1547</v>
      </c>
      <c r="K1485" s="9">
        <v>45239</v>
      </c>
      <c r="L1485" s="9">
        <v>46692</v>
      </c>
      <c r="M1485" s="8" t="s">
        <v>16</v>
      </c>
      <c r="P1485" s="17" t="s">
        <v>1325</v>
      </c>
      <c r="Q1485" s="2" t="s">
        <v>16</v>
      </c>
      <c r="S1485" s="8" t="s">
        <v>1841</v>
      </c>
      <c r="T1485" s="9">
        <v>46113</v>
      </c>
      <c r="U1485" s="8">
        <v>0</v>
      </c>
      <c r="V1485" s="20">
        <v>34800</v>
      </c>
      <c r="W1485" s="21" t="s">
        <v>16</v>
      </c>
    </row>
    <row r="1486" spans="1:23" ht="45">
      <c r="A1486" s="8" t="s">
        <v>3626</v>
      </c>
      <c r="B1486" s="8" t="s">
        <v>1546</v>
      </c>
      <c r="C1486" s="8" t="s">
        <v>2203</v>
      </c>
      <c r="D1486" s="8" t="s">
        <v>18</v>
      </c>
      <c r="E1486" s="8" t="s">
        <v>16</v>
      </c>
      <c r="F1486" s="8" t="s">
        <v>2204</v>
      </c>
      <c r="G1486" s="8" t="s">
        <v>3625</v>
      </c>
      <c r="H1486" s="8">
        <v>973</v>
      </c>
      <c r="I1486" s="8">
        <v>532</v>
      </c>
      <c r="J1486" s="8" t="s">
        <v>1543</v>
      </c>
      <c r="K1486" s="9">
        <v>45363</v>
      </c>
      <c r="L1486" s="9">
        <v>46235</v>
      </c>
      <c r="M1486" s="8" t="s">
        <v>16</v>
      </c>
      <c r="P1486" s="17" t="s">
        <v>1325</v>
      </c>
      <c r="Q1486" s="2" t="s">
        <v>16</v>
      </c>
      <c r="S1486" s="8" t="s">
        <v>1841</v>
      </c>
      <c r="T1486" s="9">
        <v>46023</v>
      </c>
      <c r="U1486" s="8">
        <v>0</v>
      </c>
      <c r="V1486" s="20">
        <v>11760</v>
      </c>
      <c r="W1486" s="21" t="s">
        <v>16</v>
      </c>
    </row>
    <row r="1487" spans="1:23" ht="45">
      <c r="A1487" s="8" t="s">
        <v>3627</v>
      </c>
      <c r="B1487" s="8" t="s">
        <v>1548</v>
      </c>
      <c r="C1487" s="8" t="s">
        <v>2197</v>
      </c>
      <c r="D1487" s="8" t="s">
        <v>18</v>
      </c>
      <c r="E1487" s="8" t="s">
        <v>2217</v>
      </c>
      <c r="F1487" s="8" t="s">
        <v>2217</v>
      </c>
      <c r="G1487" s="8" t="s">
        <v>2217</v>
      </c>
      <c r="H1487" s="8">
        <v>160</v>
      </c>
      <c r="I1487" s="8">
        <v>160</v>
      </c>
      <c r="J1487" s="8" t="s">
        <v>1549</v>
      </c>
      <c r="K1487" s="9">
        <v>45331</v>
      </c>
      <c r="L1487" s="9">
        <v>46692</v>
      </c>
      <c r="M1487" s="8" t="s">
        <v>16</v>
      </c>
      <c r="P1487" s="17" t="s">
        <v>1325</v>
      </c>
      <c r="Q1487" s="2" t="s">
        <v>16</v>
      </c>
      <c r="S1487" s="8" t="s">
        <v>1841</v>
      </c>
      <c r="T1487" s="9">
        <v>46054</v>
      </c>
      <c r="U1487" s="8">
        <v>0</v>
      </c>
      <c r="V1487" s="20">
        <v>35200</v>
      </c>
      <c r="W1487" s="21" t="s">
        <v>16</v>
      </c>
    </row>
    <row r="1488" spans="1:23" ht="45">
      <c r="A1488" s="8" t="s">
        <v>3628</v>
      </c>
      <c r="B1488" s="8" t="s">
        <v>1550</v>
      </c>
      <c r="C1488" s="8" t="s">
        <v>2203</v>
      </c>
      <c r="D1488" s="8" t="s">
        <v>18</v>
      </c>
      <c r="E1488" s="8" t="s">
        <v>16</v>
      </c>
      <c r="F1488" s="8" t="s">
        <v>2204</v>
      </c>
      <c r="G1488" s="8" t="s">
        <v>3625</v>
      </c>
      <c r="H1488" s="8">
        <v>3068</v>
      </c>
      <c r="I1488" s="8">
        <v>255</v>
      </c>
      <c r="J1488" s="8" t="s">
        <v>1551</v>
      </c>
      <c r="K1488" s="9">
        <v>45169</v>
      </c>
      <c r="L1488" s="9">
        <v>46692</v>
      </c>
      <c r="M1488" s="8" t="s">
        <v>16</v>
      </c>
      <c r="P1488" s="17" t="s">
        <v>1325</v>
      </c>
      <c r="Q1488" s="2" t="s">
        <v>16</v>
      </c>
      <c r="S1488" s="8" t="s">
        <v>1858</v>
      </c>
      <c r="T1488" s="9">
        <v>45992</v>
      </c>
      <c r="U1488" s="8">
        <v>0</v>
      </c>
      <c r="V1488" s="20">
        <v>1</v>
      </c>
      <c r="W1488" s="21" t="s">
        <v>16</v>
      </c>
    </row>
    <row r="1489" spans="1:23" ht="45">
      <c r="A1489" s="8" t="s">
        <v>3628</v>
      </c>
      <c r="B1489" s="8" t="s">
        <v>1550</v>
      </c>
      <c r="C1489" s="8" t="s">
        <v>2203</v>
      </c>
      <c r="D1489" s="8" t="s">
        <v>18</v>
      </c>
      <c r="E1489" s="8" t="s">
        <v>16</v>
      </c>
      <c r="F1489" s="8" t="s">
        <v>2204</v>
      </c>
      <c r="G1489" s="8" t="s">
        <v>3625</v>
      </c>
      <c r="H1489" s="8">
        <v>3068</v>
      </c>
      <c r="I1489" s="8">
        <v>300</v>
      </c>
      <c r="J1489" s="8">
        <v>0</v>
      </c>
      <c r="K1489" s="9">
        <v>45386</v>
      </c>
      <c r="L1489" s="9">
        <v>46692</v>
      </c>
      <c r="M1489" s="8" t="s">
        <v>16</v>
      </c>
      <c r="P1489" s="17" t="s">
        <v>1325</v>
      </c>
      <c r="Q1489" s="2" t="s">
        <v>16</v>
      </c>
      <c r="S1489" s="8" t="s">
        <v>1858</v>
      </c>
      <c r="T1489" s="9">
        <v>46113</v>
      </c>
      <c r="U1489" s="8">
        <v>0</v>
      </c>
      <c r="V1489" s="20">
        <v>38530</v>
      </c>
      <c r="W1489" s="21" t="s">
        <v>16</v>
      </c>
    </row>
    <row r="1490" spans="1:23" ht="45">
      <c r="A1490" s="8" t="s">
        <v>3628</v>
      </c>
      <c r="B1490" s="8" t="s">
        <v>1550</v>
      </c>
      <c r="C1490" s="8" t="s">
        <v>2203</v>
      </c>
      <c r="D1490" s="8" t="s">
        <v>18</v>
      </c>
      <c r="E1490" s="8" t="s">
        <v>16</v>
      </c>
      <c r="F1490" s="8" t="s">
        <v>2204</v>
      </c>
      <c r="G1490" s="8" t="s">
        <v>3625</v>
      </c>
      <c r="H1490" s="8">
        <v>3068</v>
      </c>
      <c r="I1490" s="8">
        <v>1200</v>
      </c>
      <c r="J1490" s="8" t="s">
        <v>1552</v>
      </c>
      <c r="K1490" s="9">
        <v>45187</v>
      </c>
      <c r="L1490" s="9">
        <v>46692</v>
      </c>
      <c r="M1490" s="8" t="s">
        <v>16</v>
      </c>
      <c r="P1490" s="17" t="s">
        <v>1325</v>
      </c>
      <c r="Q1490" s="2" t="s">
        <v>16</v>
      </c>
      <c r="S1490" s="8" t="s">
        <v>1858</v>
      </c>
      <c r="T1490" s="9">
        <v>46023</v>
      </c>
      <c r="U1490" s="8">
        <v>0</v>
      </c>
      <c r="V1490" s="20">
        <v>14150</v>
      </c>
      <c r="W1490" s="21" t="s">
        <v>16</v>
      </c>
    </row>
    <row r="1491" spans="1:23" ht="45">
      <c r="A1491" s="8" t="s">
        <v>3628</v>
      </c>
      <c r="B1491" s="8" t="s">
        <v>1550</v>
      </c>
      <c r="C1491" s="8" t="s">
        <v>2203</v>
      </c>
      <c r="D1491" s="8" t="s">
        <v>18</v>
      </c>
      <c r="E1491" s="8" t="s">
        <v>16</v>
      </c>
      <c r="F1491" s="8" t="s">
        <v>2204</v>
      </c>
      <c r="G1491" s="8" t="s">
        <v>3625</v>
      </c>
      <c r="H1491" s="8">
        <v>3068</v>
      </c>
      <c r="I1491" s="8">
        <v>1313</v>
      </c>
      <c r="J1491" s="8" t="s">
        <v>1553</v>
      </c>
      <c r="K1491" s="9">
        <v>45239</v>
      </c>
      <c r="L1491" s="9">
        <v>46692</v>
      </c>
      <c r="M1491" s="8" t="s">
        <v>16</v>
      </c>
      <c r="P1491" s="17" t="s">
        <v>1325</v>
      </c>
      <c r="Q1491" s="2" t="s">
        <v>16</v>
      </c>
      <c r="S1491" s="8" t="s">
        <v>1864</v>
      </c>
      <c r="T1491" s="9" t="s">
        <v>2222</v>
      </c>
      <c r="U1491" s="8">
        <v>0</v>
      </c>
      <c r="V1491" s="20">
        <v>20</v>
      </c>
      <c r="W1491" s="21" t="s">
        <v>41</v>
      </c>
    </row>
    <row r="1492" spans="1:23" ht="120">
      <c r="A1492" s="8" t="s">
        <v>3629</v>
      </c>
      <c r="B1492" s="8" t="s">
        <v>1554</v>
      </c>
      <c r="C1492" s="8" t="s">
        <v>2303</v>
      </c>
      <c r="D1492" s="8" t="s">
        <v>18</v>
      </c>
      <c r="E1492" s="8" t="s">
        <v>16</v>
      </c>
      <c r="F1492" s="8" t="s">
        <v>2228</v>
      </c>
      <c r="G1492" s="8" t="s">
        <v>3630</v>
      </c>
      <c r="H1492" s="8">
        <v>243</v>
      </c>
      <c r="I1492" s="8">
        <v>3</v>
      </c>
      <c r="J1492" s="8">
        <v>22050920020</v>
      </c>
      <c r="K1492" s="9">
        <v>45261</v>
      </c>
      <c r="L1492" s="9">
        <v>46508</v>
      </c>
      <c r="M1492" s="8" t="s">
        <v>16</v>
      </c>
      <c r="P1492" s="17" t="s">
        <v>1325</v>
      </c>
      <c r="Q1492" s="2" t="s">
        <v>16</v>
      </c>
      <c r="S1492" s="8" t="s">
        <v>1865</v>
      </c>
      <c r="T1492" s="9" t="s">
        <v>2222</v>
      </c>
      <c r="U1492" s="8">
        <v>0</v>
      </c>
      <c r="V1492" s="20">
        <v>34</v>
      </c>
      <c r="W1492" s="21" t="s">
        <v>101</v>
      </c>
    </row>
    <row r="1493" spans="1:23" ht="75">
      <c r="A1493" s="8" t="s">
        <v>3629</v>
      </c>
      <c r="B1493" s="8" t="s">
        <v>1554</v>
      </c>
      <c r="C1493" s="8" t="s">
        <v>2303</v>
      </c>
      <c r="D1493" s="8" t="s">
        <v>18</v>
      </c>
      <c r="E1493" s="8" t="s">
        <v>16</v>
      </c>
      <c r="F1493" s="8" t="s">
        <v>2228</v>
      </c>
      <c r="G1493" s="8" t="s">
        <v>3630</v>
      </c>
      <c r="H1493" s="8">
        <v>243</v>
      </c>
      <c r="I1493" s="8">
        <v>13</v>
      </c>
      <c r="J1493" s="8">
        <v>22040820011</v>
      </c>
      <c r="K1493" s="9">
        <v>45381</v>
      </c>
      <c r="L1493" s="9">
        <v>46478</v>
      </c>
      <c r="M1493" s="8" t="s">
        <v>16</v>
      </c>
      <c r="P1493" s="17" t="s">
        <v>1325</v>
      </c>
      <c r="Q1493" s="2" t="s">
        <v>16</v>
      </c>
      <c r="S1493" s="8" t="s">
        <v>1867</v>
      </c>
      <c r="T1493" s="9" t="s">
        <v>2222</v>
      </c>
      <c r="U1493" s="8">
        <v>0</v>
      </c>
      <c r="V1493" s="20">
        <v>2</v>
      </c>
      <c r="W1493" s="21" t="s">
        <v>41</v>
      </c>
    </row>
    <row r="1494" spans="1:23" ht="105">
      <c r="A1494" s="8" t="s">
        <v>3629</v>
      </c>
      <c r="B1494" s="8" t="s">
        <v>1554</v>
      </c>
      <c r="C1494" s="8" t="s">
        <v>2303</v>
      </c>
      <c r="D1494" s="8" t="s">
        <v>18</v>
      </c>
      <c r="E1494" s="8" t="s">
        <v>16</v>
      </c>
      <c r="F1494" s="8" t="s">
        <v>2228</v>
      </c>
      <c r="G1494" s="8" t="s">
        <v>3630</v>
      </c>
      <c r="H1494" s="8">
        <v>243</v>
      </c>
      <c r="I1494" s="8">
        <v>18</v>
      </c>
      <c r="J1494" s="8">
        <v>23091120018</v>
      </c>
      <c r="K1494" s="9">
        <v>45184</v>
      </c>
      <c r="L1494" s="9">
        <v>46997</v>
      </c>
      <c r="M1494" s="8" t="s">
        <v>16</v>
      </c>
      <c r="P1494" s="17" t="s">
        <v>1325</v>
      </c>
      <c r="Q1494" s="2" t="s">
        <v>16</v>
      </c>
      <c r="S1494" s="8" t="s">
        <v>1868</v>
      </c>
      <c r="T1494" s="9" t="s">
        <v>2222</v>
      </c>
      <c r="U1494" s="8">
        <v>0</v>
      </c>
      <c r="V1494" s="20">
        <v>1</v>
      </c>
      <c r="W1494" s="21" t="s">
        <v>38</v>
      </c>
    </row>
    <row r="1495" spans="1:23" ht="105">
      <c r="A1495" s="8" t="s">
        <v>3629</v>
      </c>
      <c r="B1495" s="8" t="s">
        <v>1554</v>
      </c>
      <c r="C1495" s="8" t="s">
        <v>2303</v>
      </c>
      <c r="D1495" s="8" t="s">
        <v>18</v>
      </c>
      <c r="E1495" s="8" t="s">
        <v>16</v>
      </c>
      <c r="F1495" s="8" t="s">
        <v>2228</v>
      </c>
      <c r="G1495" s="8" t="s">
        <v>3630</v>
      </c>
      <c r="H1495" s="8">
        <v>243</v>
      </c>
      <c r="I1495" s="8">
        <v>22</v>
      </c>
      <c r="J1495" s="8">
        <v>22040720009</v>
      </c>
      <c r="K1495" s="9">
        <v>45373</v>
      </c>
      <c r="L1495" s="9">
        <v>46478</v>
      </c>
      <c r="M1495" s="8" t="s">
        <v>16</v>
      </c>
      <c r="P1495" s="17" t="s">
        <v>1325</v>
      </c>
      <c r="Q1495" s="2" t="s">
        <v>16</v>
      </c>
      <c r="S1495" s="8" t="s">
        <v>1869</v>
      </c>
      <c r="T1495" s="9" t="s">
        <v>2222</v>
      </c>
      <c r="U1495" s="8">
        <v>0</v>
      </c>
      <c r="V1495" s="20">
        <v>1</v>
      </c>
      <c r="W1495" s="21" t="s">
        <v>38</v>
      </c>
    </row>
    <row r="1496" spans="1:23" ht="105">
      <c r="A1496" s="8" t="s">
        <v>3629</v>
      </c>
      <c r="B1496" s="8" t="s">
        <v>1554</v>
      </c>
      <c r="C1496" s="8" t="s">
        <v>2303</v>
      </c>
      <c r="D1496" s="8" t="s">
        <v>18</v>
      </c>
      <c r="E1496" s="8" t="s">
        <v>16</v>
      </c>
      <c r="F1496" s="8" t="s">
        <v>2228</v>
      </c>
      <c r="G1496" s="8" t="s">
        <v>3630</v>
      </c>
      <c r="H1496" s="8">
        <v>243</v>
      </c>
      <c r="I1496" s="8">
        <v>32</v>
      </c>
      <c r="J1496" s="8">
        <v>23090720017</v>
      </c>
      <c r="K1496" s="9">
        <v>45184</v>
      </c>
      <c r="L1496" s="9">
        <v>46997</v>
      </c>
      <c r="M1496" s="8" t="s">
        <v>16</v>
      </c>
      <c r="P1496" s="17" t="s">
        <v>1325</v>
      </c>
      <c r="Q1496" s="2" t="s">
        <v>16</v>
      </c>
      <c r="S1496" s="8" t="s">
        <v>1870</v>
      </c>
      <c r="T1496" s="9" t="s">
        <v>2222</v>
      </c>
      <c r="U1496" s="8">
        <v>0</v>
      </c>
      <c r="V1496" s="20">
        <v>1</v>
      </c>
      <c r="W1496" s="21" t="s">
        <v>38</v>
      </c>
    </row>
    <row r="1497" spans="1:23" ht="105">
      <c r="A1497" s="8" t="s">
        <v>3629</v>
      </c>
      <c r="B1497" s="8" t="s">
        <v>1554</v>
      </c>
      <c r="C1497" s="8" t="s">
        <v>2303</v>
      </c>
      <c r="D1497" s="8" t="s">
        <v>18</v>
      </c>
      <c r="E1497" s="8" t="s">
        <v>16</v>
      </c>
      <c r="F1497" s="8" t="s">
        <v>2228</v>
      </c>
      <c r="G1497" s="8" t="s">
        <v>3630</v>
      </c>
      <c r="H1497" s="8">
        <v>243</v>
      </c>
      <c r="I1497" s="8">
        <v>37</v>
      </c>
      <c r="J1497" s="8">
        <v>22040920012</v>
      </c>
      <c r="K1497" s="9">
        <v>45381</v>
      </c>
      <c r="L1497" s="9">
        <v>46478</v>
      </c>
      <c r="M1497" s="8" t="s">
        <v>16</v>
      </c>
      <c r="P1497" s="17" t="s">
        <v>1325</v>
      </c>
      <c r="Q1497" s="2" t="s">
        <v>16</v>
      </c>
      <c r="S1497" s="8" t="s">
        <v>1871</v>
      </c>
      <c r="T1497" s="9" t="s">
        <v>2222</v>
      </c>
      <c r="U1497" s="8">
        <v>0</v>
      </c>
      <c r="V1497" s="20">
        <v>1</v>
      </c>
      <c r="W1497" s="21" t="s">
        <v>38</v>
      </c>
    </row>
    <row r="1498" spans="1:23" ht="105">
      <c r="A1498" s="8" t="s">
        <v>3629</v>
      </c>
      <c r="B1498" s="8" t="s">
        <v>1554</v>
      </c>
      <c r="C1498" s="8" t="s">
        <v>2303</v>
      </c>
      <c r="D1498" s="8" t="s">
        <v>18</v>
      </c>
      <c r="E1498" s="8" t="s">
        <v>16</v>
      </c>
      <c r="F1498" s="8" t="s">
        <v>2228</v>
      </c>
      <c r="G1498" s="8" t="s">
        <v>3630</v>
      </c>
      <c r="H1498" s="8">
        <v>243</v>
      </c>
      <c r="I1498" s="8">
        <v>42</v>
      </c>
      <c r="J1498" s="8">
        <v>22050520019</v>
      </c>
      <c r="K1498" s="9">
        <v>45246</v>
      </c>
      <c r="L1498" s="9">
        <v>46508</v>
      </c>
      <c r="M1498" s="8" t="s">
        <v>16</v>
      </c>
      <c r="P1498" s="17" t="s">
        <v>1325</v>
      </c>
      <c r="Q1498" s="2" t="s">
        <v>16</v>
      </c>
      <c r="S1498" s="8" t="s">
        <v>1872</v>
      </c>
      <c r="T1498" s="9" t="s">
        <v>2222</v>
      </c>
      <c r="U1498" s="8">
        <v>0</v>
      </c>
      <c r="V1498" s="20">
        <v>1</v>
      </c>
      <c r="W1498" s="21" t="s">
        <v>38</v>
      </c>
    </row>
    <row r="1499" spans="1:23" ht="105">
      <c r="A1499" s="8" t="s">
        <v>3629</v>
      </c>
      <c r="B1499" s="8" t="s">
        <v>1554</v>
      </c>
      <c r="C1499" s="8" t="s">
        <v>2303</v>
      </c>
      <c r="D1499" s="8" t="s">
        <v>18</v>
      </c>
      <c r="E1499" s="8" t="s">
        <v>16</v>
      </c>
      <c r="F1499" s="8" t="s">
        <v>2228</v>
      </c>
      <c r="G1499" s="8" t="s">
        <v>3630</v>
      </c>
      <c r="H1499" s="8">
        <v>243</v>
      </c>
      <c r="I1499" s="8">
        <v>76</v>
      </c>
      <c r="J1499" s="8">
        <v>22040820010</v>
      </c>
      <c r="K1499" s="9">
        <v>45373</v>
      </c>
      <c r="L1499" s="9">
        <v>46478</v>
      </c>
      <c r="M1499" s="8" t="s">
        <v>16</v>
      </c>
      <c r="P1499" s="17" t="s">
        <v>1325</v>
      </c>
      <c r="Q1499" s="2" t="s">
        <v>16</v>
      </c>
      <c r="S1499" s="8" t="s">
        <v>1873</v>
      </c>
      <c r="T1499" s="9" t="s">
        <v>2222</v>
      </c>
      <c r="U1499" s="8">
        <v>0</v>
      </c>
      <c r="V1499" s="20">
        <v>1</v>
      </c>
      <c r="W1499" s="21" t="s">
        <v>38</v>
      </c>
    </row>
    <row r="1500" spans="1:23" ht="90">
      <c r="A1500" s="8" t="s">
        <v>3631</v>
      </c>
      <c r="B1500" s="8" t="s">
        <v>1555</v>
      </c>
      <c r="C1500" s="8" t="s">
        <v>2197</v>
      </c>
      <c r="D1500" s="8" t="s">
        <v>18</v>
      </c>
      <c r="E1500" s="8" t="s">
        <v>16</v>
      </c>
      <c r="F1500" s="8" t="s">
        <v>2228</v>
      </c>
      <c r="G1500" s="8" t="s">
        <v>3630</v>
      </c>
      <c r="H1500" s="8">
        <v>14665</v>
      </c>
      <c r="I1500" s="8">
        <v>3</v>
      </c>
      <c r="J1500" s="8">
        <v>2204141019</v>
      </c>
      <c r="K1500" s="9">
        <v>45373</v>
      </c>
      <c r="L1500" s="9">
        <v>46478</v>
      </c>
      <c r="M1500" s="8" t="s">
        <v>16</v>
      </c>
      <c r="P1500" s="17" t="s">
        <v>1325</v>
      </c>
      <c r="Q1500" s="2" t="s">
        <v>16</v>
      </c>
      <c r="S1500" s="8" t="s">
        <v>1874</v>
      </c>
      <c r="T1500" s="9" t="s">
        <v>2222</v>
      </c>
      <c r="U1500" s="8">
        <v>0</v>
      </c>
      <c r="V1500" s="20">
        <v>817</v>
      </c>
      <c r="W1500" s="21" t="s">
        <v>41</v>
      </c>
    </row>
    <row r="1501" spans="1:23" ht="45">
      <c r="A1501" s="8" t="s">
        <v>3631</v>
      </c>
      <c r="B1501" s="8" t="s">
        <v>1555</v>
      </c>
      <c r="C1501" s="8" t="s">
        <v>2197</v>
      </c>
      <c r="D1501" s="8" t="s">
        <v>18</v>
      </c>
      <c r="E1501" s="8" t="s">
        <v>16</v>
      </c>
      <c r="F1501" s="8" t="s">
        <v>2228</v>
      </c>
      <c r="G1501" s="8" t="s">
        <v>3630</v>
      </c>
      <c r="H1501" s="8">
        <v>14665</v>
      </c>
      <c r="I1501" s="8">
        <v>102</v>
      </c>
      <c r="J1501" s="8">
        <v>2204121015</v>
      </c>
      <c r="K1501" s="9">
        <v>45381</v>
      </c>
      <c r="L1501" s="9">
        <v>46478</v>
      </c>
      <c r="M1501" s="8" t="s">
        <v>16</v>
      </c>
      <c r="P1501" s="17" t="s">
        <v>1325</v>
      </c>
      <c r="Q1501" s="2" t="s">
        <v>16</v>
      </c>
      <c r="S1501" s="8" t="s">
        <v>1875</v>
      </c>
      <c r="T1501" s="9" t="s">
        <v>2222</v>
      </c>
      <c r="U1501" s="8">
        <v>0</v>
      </c>
      <c r="V1501" s="20">
        <v>15</v>
      </c>
      <c r="W1501" s="21" t="s">
        <v>43</v>
      </c>
    </row>
    <row r="1502" spans="1:23" ht="45">
      <c r="A1502" s="8" t="s">
        <v>3631</v>
      </c>
      <c r="B1502" s="8" t="s">
        <v>1555</v>
      </c>
      <c r="C1502" s="8" t="s">
        <v>2197</v>
      </c>
      <c r="D1502" s="8" t="s">
        <v>18</v>
      </c>
      <c r="E1502" s="8" t="s">
        <v>16</v>
      </c>
      <c r="F1502" s="8" t="s">
        <v>2228</v>
      </c>
      <c r="G1502" s="8" t="s">
        <v>3630</v>
      </c>
      <c r="H1502" s="8">
        <v>14665</v>
      </c>
      <c r="I1502" s="8">
        <v>2000</v>
      </c>
      <c r="J1502" s="8">
        <v>2204131018</v>
      </c>
      <c r="K1502" s="9">
        <v>45426</v>
      </c>
      <c r="L1502" s="9">
        <v>46478</v>
      </c>
      <c r="M1502" s="8" t="s">
        <v>16</v>
      </c>
      <c r="P1502" s="17" t="s">
        <v>1325</v>
      </c>
      <c r="Q1502" s="2" t="s">
        <v>16</v>
      </c>
      <c r="S1502" s="8" t="s">
        <v>1876</v>
      </c>
      <c r="T1502" s="9" t="s">
        <v>2222</v>
      </c>
      <c r="U1502" s="8">
        <v>0</v>
      </c>
      <c r="V1502" s="20">
        <v>185</v>
      </c>
      <c r="W1502" s="21" t="s">
        <v>41</v>
      </c>
    </row>
    <row r="1503" spans="1:23" ht="105">
      <c r="A1503" s="8" t="s">
        <v>3631</v>
      </c>
      <c r="B1503" s="8" t="s">
        <v>1555</v>
      </c>
      <c r="C1503" s="8" t="s">
        <v>2197</v>
      </c>
      <c r="D1503" s="8" t="s">
        <v>18</v>
      </c>
      <c r="E1503" s="8" t="s">
        <v>16</v>
      </c>
      <c r="F1503" s="8" t="s">
        <v>2228</v>
      </c>
      <c r="G1503" s="8" t="s">
        <v>3630</v>
      </c>
      <c r="H1503" s="8">
        <v>14665</v>
      </c>
      <c r="I1503" s="8">
        <v>2320</v>
      </c>
      <c r="J1503" s="8">
        <v>2204141020</v>
      </c>
      <c r="K1503" s="9">
        <v>45439</v>
      </c>
      <c r="L1503" s="9">
        <v>46478</v>
      </c>
      <c r="M1503" s="8" t="s">
        <v>16</v>
      </c>
      <c r="P1503" s="17" t="s">
        <v>1325</v>
      </c>
      <c r="Q1503" s="2" t="s">
        <v>16</v>
      </c>
      <c r="S1503" s="8" t="s">
        <v>1877</v>
      </c>
      <c r="T1503" s="9" t="s">
        <v>2222</v>
      </c>
      <c r="U1503" s="8">
        <v>0</v>
      </c>
      <c r="V1503" s="20">
        <v>1</v>
      </c>
      <c r="W1503" s="21" t="s">
        <v>273</v>
      </c>
    </row>
    <row r="1504" spans="1:23" ht="105">
      <c r="A1504" s="8" t="s">
        <v>3631</v>
      </c>
      <c r="B1504" s="8" t="s">
        <v>1555</v>
      </c>
      <c r="C1504" s="8" t="s">
        <v>2197</v>
      </c>
      <c r="D1504" s="8" t="s">
        <v>18</v>
      </c>
      <c r="E1504" s="8" t="s">
        <v>16</v>
      </c>
      <c r="F1504" s="8" t="s">
        <v>2228</v>
      </c>
      <c r="G1504" s="8" t="s">
        <v>3630</v>
      </c>
      <c r="H1504" s="8">
        <v>14665</v>
      </c>
      <c r="I1504" s="8">
        <v>2700</v>
      </c>
      <c r="J1504" s="8">
        <v>2204141022</v>
      </c>
      <c r="K1504" s="9">
        <v>45440</v>
      </c>
      <c r="L1504" s="9">
        <v>46478</v>
      </c>
      <c r="M1504" s="8" t="s">
        <v>16</v>
      </c>
      <c r="P1504" s="17" t="s">
        <v>1325</v>
      </c>
      <c r="Q1504" s="2" t="s">
        <v>16</v>
      </c>
      <c r="S1504" s="8" t="s">
        <v>1878</v>
      </c>
      <c r="T1504" s="9" t="s">
        <v>2222</v>
      </c>
      <c r="U1504" s="8">
        <v>0</v>
      </c>
      <c r="V1504" s="20">
        <v>1</v>
      </c>
      <c r="W1504" s="21" t="s">
        <v>273</v>
      </c>
    </row>
    <row r="1505" spans="1:23" ht="90">
      <c r="A1505" s="8" t="s">
        <v>3631</v>
      </c>
      <c r="B1505" s="8" t="s">
        <v>1555</v>
      </c>
      <c r="C1505" s="8" t="s">
        <v>2197</v>
      </c>
      <c r="D1505" s="8" t="s">
        <v>18</v>
      </c>
      <c r="E1505" s="8" t="s">
        <v>16</v>
      </c>
      <c r="F1505" s="8" t="s">
        <v>2228</v>
      </c>
      <c r="G1505" s="8" t="s">
        <v>3630</v>
      </c>
      <c r="H1505" s="8">
        <v>14665</v>
      </c>
      <c r="I1505" s="8">
        <v>3220</v>
      </c>
      <c r="J1505" s="8">
        <v>2204131016</v>
      </c>
      <c r="K1505" s="9">
        <v>45408</v>
      </c>
      <c r="L1505" s="9">
        <v>46478</v>
      </c>
      <c r="M1505" s="8" t="s">
        <v>16</v>
      </c>
      <c r="P1505" s="17" t="s">
        <v>1325</v>
      </c>
      <c r="Q1505" s="2" t="s">
        <v>16</v>
      </c>
      <c r="S1505" s="8" t="s">
        <v>1879</v>
      </c>
      <c r="T1505" s="9" t="s">
        <v>2222</v>
      </c>
      <c r="U1505" s="8">
        <v>0</v>
      </c>
      <c r="V1505" s="20">
        <v>1</v>
      </c>
      <c r="W1505" s="21" t="s">
        <v>273</v>
      </c>
    </row>
    <row r="1506" spans="1:23" ht="60">
      <c r="A1506" s="8" t="s">
        <v>3631</v>
      </c>
      <c r="B1506" s="8" t="s">
        <v>1555</v>
      </c>
      <c r="C1506" s="8" t="s">
        <v>2197</v>
      </c>
      <c r="D1506" s="8" t="s">
        <v>18</v>
      </c>
      <c r="E1506" s="8" t="s">
        <v>16</v>
      </c>
      <c r="F1506" s="8" t="s">
        <v>2228</v>
      </c>
      <c r="G1506" s="8" t="s">
        <v>3630</v>
      </c>
      <c r="H1506" s="8">
        <v>14665</v>
      </c>
      <c r="I1506" s="8">
        <v>4320</v>
      </c>
      <c r="J1506" s="8">
        <v>2204131017</v>
      </c>
      <c r="K1506" s="9">
        <v>45411</v>
      </c>
      <c r="L1506" s="9">
        <v>46478</v>
      </c>
      <c r="M1506" s="8" t="s">
        <v>16</v>
      </c>
      <c r="P1506" s="17" t="s">
        <v>1325</v>
      </c>
      <c r="Q1506" s="2" t="s">
        <v>16</v>
      </c>
      <c r="S1506" s="8" t="s">
        <v>1880</v>
      </c>
      <c r="T1506" s="9" t="s">
        <v>2222</v>
      </c>
      <c r="U1506" s="8">
        <v>0</v>
      </c>
      <c r="V1506" s="20">
        <v>1</v>
      </c>
      <c r="W1506" s="21" t="s">
        <v>273</v>
      </c>
    </row>
    <row r="1507" spans="1:23" ht="75">
      <c r="A1507" s="8" t="s">
        <v>3632</v>
      </c>
      <c r="B1507" s="8" t="s">
        <v>1556</v>
      </c>
      <c r="C1507" s="8" t="s">
        <v>2307</v>
      </c>
      <c r="D1507" s="8" t="s">
        <v>18</v>
      </c>
      <c r="E1507" s="8" t="s">
        <v>16</v>
      </c>
      <c r="F1507" s="8" t="s">
        <v>2228</v>
      </c>
      <c r="G1507" s="8" t="s">
        <v>3630</v>
      </c>
      <c r="H1507" s="8">
        <v>300</v>
      </c>
      <c r="I1507" s="8">
        <v>300</v>
      </c>
      <c r="J1507" s="8">
        <v>2204125010</v>
      </c>
      <c r="K1507" s="9">
        <v>45439</v>
      </c>
      <c r="L1507" s="9">
        <v>46478</v>
      </c>
      <c r="M1507" s="8" t="s">
        <v>16</v>
      </c>
      <c r="P1507" s="17" t="s">
        <v>1325</v>
      </c>
      <c r="Q1507" s="2" t="s">
        <v>16</v>
      </c>
      <c r="S1507" s="8" t="s">
        <v>1881</v>
      </c>
      <c r="T1507" s="9" t="s">
        <v>2222</v>
      </c>
      <c r="U1507" s="8">
        <v>0</v>
      </c>
      <c r="V1507" s="20">
        <v>2</v>
      </c>
      <c r="W1507" s="21" t="s">
        <v>273</v>
      </c>
    </row>
    <row r="1508" spans="1:23" ht="45">
      <c r="A1508" s="8" t="s">
        <v>3633</v>
      </c>
      <c r="B1508" s="8" t="s">
        <v>1557</v>
      </c>
      <c r="C1508" s="8" t="s">
        <v>2221</v>
      </c>
      <c r="D1508" s="8" t="s">
        <v>18</v>
      </c>
      <c r="E1508" s="8" t="s">
        <v>43</v>
      </c>
      <c r="F1508" s="8" t="s">
        <v>2217</v>
      </c>
      <c r="G1508" s="8" t="s">
        <v>2217</v>
      </c>
      <c r="H1508" s="8">
        <v>53</v>
      </c>
      <c r="I1508" s="8">
        <v>53</v>
      </c>
      <c r="J1508" s="8">
        <v>0</v>
      </c>
      <c r="K1508" s="8" t="s">
        <v>2222</v>
      </c>
      <c r="L1508" s="8" t="s">
        <v>2222</v>
      </c>
      <c r="M1508" s="8" t="s">
        <v>43</v>
      </c>
      <c r="P1508" s="17" t="s">
        <v>1325</v>
      </c>
      <c r="Q1508" s="2" t="s">
        <v>16</v>
      </c>
      <c r="S1508" s="8" t="s">
        <v>1882</v>
      </c>
      <c r="T1508" s="9">
        <v>46844</v>
      </c>
      <c r="U1508" s="8">
        <v>0</v>
      </c>
      <c r="V1508" s="20">
        <v>3235</v>
      </c>
      <c r="W1508" s="21" t="s">
        <v>16</v>
      </c>
    </row>
    <row r="1509" spans="1:23" ht="45">
      <c r="A1509" s="8" t="s">
        <v>3634</v>
      </c>
      <c r="B1509" s="8" t="s">
        <v>1558</v>
      </c>
      <c r="C1509" s="8" t="s">
        <v>2221</v>
      </c>
      <c r="D1509" s="8" t="s">
        <v>18</v>
      </c>
      <c r="E1509" s="8" t="s">
        <v>43</v>
      </c>
      <c r="F1509" s="8" t="s">
        <v>2217</v>
      </c>
      <c r="G1509" s="8" t="s">
        <v>2217</v>
      </c>
      <c r="H1509" s="8">
        <v>4</v>
      </c>
      <c r="I1509" s="8">
        <v>4</v>
      </c>
      <c r="J1509" s="8">
        <v>0</v>
      </c>
      <c r="K1509" s="9">
        <v>44160</v>
      </c>
      <c r="L1509" s="8" t="s">
        <v>2222</v>
      </c>
      <c r="M1509" s="8" t="s">
        <v>43</v>
      </c>
      <c r="P1509" s="17" t="s">
        <v>1325</v>
      </c>
      <c r="Q1509" s="2" t="s">
        <v>16</v>
      </c>
      <c r="S1509" s="8" t="s">
        <v>1887</v>
      </c>
      <c r="T1509" s="9">
        <v>45748</v>
      </c>
      <c r="U1509" s="8">
        <v>0</v>
      </c>
      <c r="V1509" s="20">
        <v>30</v>
      </c>
      <c r="W1509" s="21" t="s">
        <v>151</v>
      </c>
    </row>
    <row r="1510" spans="1:23" ht="45">
      <c r="A1510" s="8" t="s">
        <v>3635</v>
      </c>
      <c r="B1510" s="8" t="s">
        <v>1559</v>
      </c>
      <c r="C1510" s="8" t="s">
        <v>2197</v>
      </c>
      <c r="D1510" s="8" t="s">
        <v>18</v>
      </c>
      <c r="E1510" s="8" t="s">
        <v>16</v>
      </c>
      <c r="F1510" s="8" t="s">
        <v>2198</v>
      </c>
      <c r="G1510" s="8" t="s">
        <v>3636</v>
      </c>
      <c r="H1510" s="8">
        <v>43925</v>
      </c>
      <c r="I1510" s="8">
        <v>5</v>
      </c>
      <c r="J1510" s="8" t="s">
        <v>1560</v>
      </c>
      <c r="K1510" s="9">
        <v>45297</v>
      </c>
      <c r="L1510" s="9">
        <v>46388</v>
      </c>
      <c r="M1510" s="8" t="s">
        <v>16</v>
      </c>
      <c r="P1510" s="17" t="s">
        <v>1325</v>
      </c>
      <c r="Q1510" s="2" t="s">
        <v>16</v>
      </c>
      <c r="S1510" s="8" t="s">
        <v>1887</v>
      </c>
      <c r="T1510" s="9">
        <v>45839</v>
      </c>
      <c r="U1510" s="8">
        <v>0</v>
      </c>
      <c r="V1510" s="20">
        <v>120</v>
      </c>
      <c r="W1510" s="21" t="s">
        <v>151</v>
      </c>
    </row>
    <row r="1511" spans="1:23" ht="48.75">
      <c r="A1511" s="8" t="s">
        <v>3635</v>
      </c>
      <c r="B1511" s="8" t="s">
        <v>1559</v>
      </c>
      <c r="C1511" s="8" t="s">
        <v>2197</v>
      </c>
      <c r="D1511" s="8" t="s">
        <v>18</v>
      </c>
      <c r="E1511" s="8" t="s">
        <v>16</v>
      </c>
      <c r="F1511" s="8" t="s">
        <v>2198</v>
      </c>
      <c r="G1511" s="8" t="s">
        <v>3636</v>
      </c>
      <c r="H1511" s="8">
        <v>43925</v>
      </c>
      <c r="I1511" s="8">
        <v>1420</v>
      </c>
      <c r="J1511" s="8" t="s">
        <v>1561</v>
      </c>
      <c r="K1511" s="9">
        <v>45302</v>
      </c>
      <c r="L1511" s="9">
        <v>46388</v>
      </c>
      <c r="M1511" s="8" t="s">
        <v>16</v>
      </c>
      <c r="P1511" s="16" t="s">
        <v>1326</v>
      </c>
      <c r="Q1511" s="2" t="s">
        <v>16</v>
      </c>
      <c r="S1511" s="8" t="s">
        <v>1887</v>
      </c>
      <c r="T1511" s="9">
        <v>45627</v>
      </c>
      <c r="U1511" s="8">
        <v>0</v>
      </c>
      <c r="V1511" s="20">
        <v>139</v>
      </c>
      <c r="W1511" s="21" t="s">
        <v>151</v>
      </c>
    </row>
    <row r="1512" spans="1:23" ht="48.75">
      <c r="A1512" s="8" t="s">
        <v>3635</v>
      </c>
      <c r="B1512" s="8" t="s">
        <v>1559</v>
      </c>
      <c r="C1512" s="8" t="s">
        <v>2197</v>
      </c>
      <c r="D1512" s="8" t="s">
        <v>18</v>
      </c>
      <c r="E1512" s="8" t="s">
        <v>16</v>
      </c>
      <c r="F1512" s="8" t="s">
        <v>2198</v>
      </c>
      <c r="G1512" s="8" t="s">
        <v>3636</v>
      </c>
      <c r="H1512" s="8">
        <v>43925</v>
      </c>
      <c r="I1512" s="8">
        <v>3150</v>
      </c>
      <c r="J1512" s="8" t="s">
        <v>1562</v>
      </c>
      <c r="K1512" s="9">
        <v>45374</v>
      </c>
      <c r="L1512" s="9">
        <v>46388</v>
      </c>
      <c r="M1512" s="8" t="s">
        <v>16</v>
      </c>
      <c r="P1512" s="16" t="s">
        <v>1326</v>
      </c>
      <c r="Q1512" s="2" t="s">
        <v>16</v>
      </c>
      <c r="S1512" s="8" t="s">
        <v>1887</v>
      </c>
      <c r="T1512" s="9">
        <v>45778</v>
      </c>
      <c r="U1512" s="8">
        <v>0</v>
      </c>
      <c r="V1512" s="20">
        <v>750</v>
      </c>
      <c r="W1512" s="21" t="s">
        <v>151</v>
      </c>
    </row>
    <row r="1513" spans="1:23" ht="48.75">
      <c r="A1513" s="8" t="s">
        <v>3635</v>
      </c>
      <c r="B1513" s="8" t="s">
        <v>1559</v>
      </c>
      <c r="C1513" s="8" t="s">
        <v>2197</v>
      </c>
      <c r="D1513" s="8" t="s">
        <v>18</v>
      </c>
      <c r="E1513" s="8" t="s">
        <v>16</v>
      </c>
      <c r="F1513" s="8" t="s">
        <v>2198</v>
      </c>
      <c r="G1513" s="8" t="s">
        <v>3636</v>
      </c>
      <c r="H1513" s="8">
        <v>43925</v>
      </c>
      <c r="I1513" s="8">
        <v>5000</v>
      </c>
      <c r="J1513" s="8" t="s">
        <v>1563</v>
      </c>
      <c r="K1513" s="9">
        <v>45422</v>
      </c>
      <c r="L1513" s="9">
        <v>46600</v>
      </c>
      <c r="M1513" s="8" t="s">
        <v>16</v>
      </c>
      <c r="P1513" s="16" t="s">
        <v>1327</v>
      </c>
      <c r="Q1513" s="2" t="s">
        <v>16</v>
      </c>
      <c r="S1513" s="8" t="s">
        <v>1888</v>
      </c>
      <c r="T1513" s="9">
        <v>44774</v>
      </c>
      <c r="U1513" s="8">
        <v>0</v>
      </c>
      <c r="V1513" s="20">
        <v>200</v>
      </c>
      <c r="W1513" s="21" t="s">
        <v>151</v>
      </c>
    </row>
    <row r="1514" spans="1:23" ht="48.75">
      <c r="A1514" s="8" t="s">
        <v>3635</v>
      </c>
      <c r="B1514" s="8" t="s">
        <v>1559</v>
      </c>
      <c r="C1514" s="8" t="s">
        <v>2197</v>
      </c>
      <c r="D1514" s="8" t="s">
        <v>18</v>
      </c>
      <c r="E1514" s="8" t="s">
        <v>16</v>
      </c>
      <c r="F1514" s="8" t="s">
        <v>2198</v>
      </c>
      <c r="G1514" s="8" t="s">
        <v>3636</v>
      </c>
      <c r="H1514" s="8">
        <v>43925</v>
      </c>
      <c r="I1514" s="8">
        <v>9350</v>
      </c>
      <c r="J1514" s="8" t="s">
        <v>1564</v>
      </c>
      <c r="K1514" s="9">
        <v>45374</v>
      </c>
      <c r="L1514" s="9">
        <v>46539</v>
      </c>
      <c r="M1514" s="8" t="s">
        <v>16</v>
      </c>
      <c r="P1514" s="16" t="s">
        <v>1328</v>
      </c>
      <c r="Q1514" s="2" t="s">
        <v>16</v>
      </c>
      <c r="S1514" s="8" t="s">
        <v>1888</v>
      </c>
      <c r="T1514" s="9">
        <v>45870</v>
      </c>
      <c r="U1514" s="8">
        <v>0</v>
      </c>
      <c r="V1514" s="20">
        <v>4690</v>
      </c>
      <c r="W1514" s="21" t="s">
        <v>151</v>
      </c>
    </row>
    <row r="1515" spans="1:23" ht="45">
      <c r="A1515" s="8" t="s">
        <v>3635</v>
      </c>
      <c r="B1515" s="8" t="s">
        <v>1559</v>
      </c>
      <c r="C1515" s="8" t="s">
        <v>2197</v>
      </c>
      <c r="D1515" s="8" t="s">
        <v>18</v>
      </c>
      <c r="E1515" s="8" t="s">
        <v>16</v>
      </c>
      <c r="F1515" s="8" t="s">
        <v>2198</v>
      </c>
      <c r="G1515" s="8" t="s">
        <v>3636</v>
      </c>
      <c r="H1515" s="8">
        <v>43925</v>
      </c>
      <c r="I1515" s="8">
        <v>25000</v>
      </c>
      <c r="J1515" s="8" t="s">
        <v>1565</v>
      </c>
      <c r="K1515" s="9">
        <v>45419</v>
      </c>
      <c r="L1515" s="9">
        <v>46600</v>
      </c>
      <c r="M1515" s="8" t="s">
        <v>16</v>
      </c>
      <c r="P1515" s="16" t="s">
        <v>1329</v>
      </c>
      <c r="Q1515" s="2" t="s">
        <v>16</v>
      </c>
      <c r="S1515" s="8" t="s">
        <v>1891</v>
      </c>
      <c r="T1515" s="9">
        <v>45809</v>
      </c>
      <c r="U1515" s="8">
        <v>0</v>
      </c>
      <c r="V1515" s="20">
        <v>14</v>
      </c>
      <c r="W1515" s="21" t="s">
        <v>151</v>
      </c>
    </row>
    <row r="1516" spans="1:23" ht="45">
      <c r="A1516" s="8" t="s">
        <v>3637</v>
      </c>
      <c r="B1516" s="8" t="s">
        <v>1566</v>
      </c>
      <c r="C1516" s="8" t="s">
        <v>2221</v>
      </c>
      <c r="D1516" s="8" t="s">
        <v>18</v>
      </c>
      <c r="E1516" s="8" t="s">
        <v>101</v>
      </c>
      <c r="F1516" s="8" t="s">
        <v>101</v>
      </c>
      <c r="G1516" s="8" t="s">
        <v>1566</v>
      </c>
      <c r="H1516" s="8">
        <v>9</v>
      </c>
      <c r="I1516" s="8">
        <v>9</v>
      </c>
      <c r="J1516" s="8">
        <v>0</v>
      </c>
      <c r="K1516" s="9">
        <v>44162</v>
      </c>
      <c r="L1516" s="8" t="s">
        <v>2222</v>
      </c>
      <c r="M1516" s="8" t="s">
        <v>41</v>
      </c>
      <c r="P1516" s="17" t="s">
        <v>1330</v>
      </c>
      <c r="Q1516" s="2" t="s">
        <v>16</v>
      </c>
      <c r="S1516" s="8" t="s">
        <v>1891</v>
      </c>
      <c r="T1516" s="9">
        <v>45839</v>
      </c>
      <c r="U1516" s="8">
        <v>0</v>
      </c>
      <c r="V1516" s="20">
        <v>390</v>
      </c>
      <c r="W1516" s="21" t="s">
        <v>151</v>
      </c>
    </row>
    <row r="1517" spans="1:23" ht="60">
      <c r="A1517" s="8" t="s">
        <v>3638</v>
      </c>
      <c r="B1517" s="8" t="s">
        <v>1567</v>
      </c>
      <c r="C1517" s="8" t="s">
        <v>2221</v>
      </c>
      <c r="D1517" s="8" t="s">
        <v>18</v>
      </c>
      <c r="E1517" s="8" t="s">
        <v>2217</v>
      </c>
      <c r="F1517" s="8" t="s">
        <v>2217</v>
      </c>
      <c r="G1517" s="8" t="s">
        <v>2217</v>
      </c>
      <c r="H1517" s="8">
        <v>15</v>
      </c>
      <c r="I1517" s="8">
        <v>15</v>
      </c>
      <c r="J1517" s="8">
        <v>0</v>
      </c>
      <c r="K1517" s="9">
        <v>45090</v>
      </c>
      <c r="L1517" s="8" t="s">
        <v>2222</v>
      </c>
      <c r="M1517" s="8" t="s">
        <v>43</v>
      </c>
      <c r="P1517" s="17" t="s">
        <v>1332</v>
      </c>
      <c r="Q1517" s="2" t="s">
        <v>16</v>
      </c>
      <c r="S1517" s="8" t="s">
        <v>1892</v>
      </c>
      <c r="T1517" s="9" t="s">
        <v>2222</v>
      </c>
      <c r="U1517" s="8">
        <v>0</v>
      </c>
      <c r="V1517" s="20">
        <v>40</v>
      </c>
      <c r="W1517" s="21" t="s">
        <v>38</v>
      </c>
    </row>
    <row r="1518" spans="1:23" ht="60">
      <c r="A1518" s="8" t="s">
        <v>3639</v>
      </c>
      <c r="B1518" s="8" t="s">
        <v>1568</v>
      </c>
      <c r="C1518" s="8" t="s">
        <v>2197</v>
      </c>
      <c r="D1518" s="8" t="s">
        <v>18</v>
      </c>
      <c r="E1518" s="8" t="s">
        <v>16</v>
      </c>
      <c r="F1518" s="8" t="s">
        <v>2198</v>
      </c>
      <c r="G1518" s="8" t="s">
        <v>3640</v>
      </c>
      <c r="H1518" s="8">
        <v>330</v>
      </c>
      <c r="I1518" s="8">
        <v>330</v>
      </c>
      <c r="J1518" s="8" t="s">
        <v>1569</v>
      </c>
      <c r="K1518" s="9">
        <v>45169</v>
      </c>
      <c r="L1518" s="9">
        <v>45748</v>
      </c>
      <c r="M1518" s="8" t="s">
        <v>16</v>
      </c>
      <c r="P1518" s="17" t="s">
        <v>1332</v>
      </c>
      <c r="Q1518" s="2" t="s">
        <v>16</v>
      </c>
      <c r="S1518" s="8" t="s">
        <v>1893</v>
      </c>
      <c r="T1518" s="9" t="s">
        <v>2222</v>
      </c>
      <c r="U1518" s="8">
        <v>0</v>
      </c>
      <c r="V1518" s="20">
        <v>175</v>
      </c>
      <c r="W1518" s="21" t="s">
        <v>43</v>
      </c>
    </row>
    <row r="1519" spans="1:23" ht="60">
      <c r="A1519" s="8" t="s">
        <v>3641</v>
      </c>
      <c r="B1519" s="8" t="s">
        <v>1570</v>
      </c>
      <c r="C1519" s="8" t="s">
        <v>2197</v>
      </c>
      <c r="D1519" s="8" t="s">
        <v>18</v>
      </c>
      <c r="E1519" s="8" t="s">
        <v>16</v>
      </c>
      <c r="F1519" s="8" t="s">
        <v>2198</v>
      </c>
      <c r="G1519" s="8" t="s">
        <v>3640</v>
      </c>
      <c r="H1519" s="8">
        <v>500</v>
      </c>
      <c r="I1519" s="8">
        <v>500</v>
      </c>
      <c r="J1519" s="8" t="s">
        <v>1571</v>
      </c>
      <c r="K1519" s="9">
        <v>45169</v>
      </c>
      <c r="L1519" s="9">
        <v>45717</v>
      </c>
      <c r="M1519" s="8" t="s">
        <v>16</v>
      </c>
      <c r="P1519" s="17" t="s">
        <v>1332</v>
      </c>
      <c r="Q1519" s="2" t="s">
        <v>16</v>
      </c>
      <c r="S1519" s="8" t="s">
        <v>1894</v>
      </c>
      <c r="T1519" s="9">
        <v>47088</v>
      </c>
      <c r="U1519" s="8">
        <v>0</v>
      </c>
      <c r="V1519" s="20">
        <v>3333</v>
      </c>
      <c r="W1519" s="21" t="s">
        <v>16</v>
      </c>
    </row>
    <row r="1520" spans="1:23" ht="60">
      <c r="A1520" s="8" t="s">
        <v>3642</v>
      </c>
      <c r="B1520" s="8" t="s">
        <v>1572</v>
      </c>
      <c r="C1520" s="8" t="s">
        <v>2197</v>
      </c>
      <c r="D1520" s="8" t="s">
        <v>18</v>
      </c>
      <c r="E1520" s="8" t="s">
        <v>16</v>
      </c>
      <c r="F1520" s="8" t="s">
        <v>2228</v>
      </c>
      <c r="G1520" s="8" t="s">
        <v>3643</v>
      </c>
      <c r="H1520" s="8">
        <v>3938</v>
      </c>
      <c r="I1520" s="8">
        <v>18</v>
      </c>
      <c r="J1520" s="8">
        <v>12345001</v>
      </c>
      <c r="K1520" s="9">
        <v>45107</v>
      </c>
      <c r="L1520" s="9">
        <v>46753</v>
      </c>
      <c r="M1520" s="8" t="s">
        <v>16</v>
      </c>
      <c r="P1520" s="17" t="s">
        <v>1332</v>
      </c>
      <c r="Q1520" s="2" t="s">
        <v>16</v>
      </c>
      <c r="S1520" s="8" t="s">
        <v>1895</v>
      </c>
      <c r="T1520" s="9">
        <v>46447</v>
      </c>
      <c r="U1520" s="8">
        <v>0</v>
      </c>
      <c r="V1520" s="20">
        <v>41</v>
      </c>
      <c r="W1520" s="21" t="s">
        <v>16</v>
      </c>
    </row>
    <row r="1521" spans="1:23" ht="60">
      <c r="A1521" s="8" t="s">
        <v>3642</v>
      </c>
      <c r="B1521" s="8" t="s">
        <v>1572</v>
      </c>
      <c r="C1521" s="8" t="s">
        <v>2197</v>
      </c>
      <c r="D1521" s="8" t="s">
        <v>18</v>
      </c>
      <c r="E1521" s="8" t="s">
        <v>16</v>
      </c>
      <c r="F1521" s="8" t="s">
        <v>2228</v>
      </c>
      <c r="G1521" s="8" t="s">
        <v>3643</v>
      </c>
      <c r="H1521" s="8">
        <v>3938</v>
      </c>
      <c r="I1521" s="8">
        <v>3920</v>
      </c>
      <c r="J1521" s="8">
        <v>82345006</v>
      </c>
      <c r="K1521" s="9">
        <v>45191</v>
      </c>
      <c r="L1521" s="9">
        <v>46966</v>
      </c>
      <c r="M1521" s="8" t="s">
        <v>16</v>
      </c>
      <c r="P1521" s="16" t="s">
        <v>1336</v>
      </c>
      <c r="Q1521" s="2" t="s">
        <v>43</v>
      </c>
      <c r="S1521" s="8" t="s">
        <v>1895</v>
      </c>
      <c r="T1521" s="9">
        <v>46478</v>
      </c>
      <c r="U1521" s="8">
        <v>0</v>
      </c>
      <c r="V1521" s="20">
        <v>1500</v>
      </c>
      <c r="W1521" s="21" t="s">
        <v>16</v>
      </c>
    </row>
    <row r="1522" spans="1:23" ht="60">
      <c r="A1522" s="8" t="s">
        <v>3644</v>
      </c>
      <c r="B1522" s="8" t="s">
        <v>1573</v>
      </c>
      <c r="C1522" s="8" t="s">
        <v>2197</v>
      </c>
      <c r="D1522" s="8" t="s">
        <v>18</v>
      </c>
      <c r="E1522" s="8" t="s">
        <v>2217</v>
      </c>
      <c r="F1522" s="8" t="s">
        <v>2217</v>
      </c>
      <c r="G1522" s="8" t="s">
        <v>2217</v>
      </c>
      <c r="H1522" s="8">
        <v>74</v>
      </c>
      <c r="I1522" s="8">
        <v>74</v>
      </c>
      <c r="J1522" s="8">
        <v>0</v>
      </c>
      <c r="K1522" s="9">
        <v>44161</v>
      </c>
      <c r="L1522" s="8" t="s">
        <v>2222</v>
      </c>
      <c r="M1522" s="8" t="s">
        <v>38</v>
      </c>
      <c r="P1522" s="16" t="s">
        <v>1337</v>
      </c>
      <c r="Q1522" s="2" t="s">
        <v>43</v>
      </c>
      <c r="S1522" s="8" t="s">
        <v>1900</v>
      </c>
      <c r="T1522" s="9">
        <v>46204</v>
      </c>
      <c r="U1522" s="8">
        <v>0</v>
      </c>
      <c r="V1522" s="20">
        <v>8470</v>
      </c>
      <c r="W1522" s="21" t="s">
        <v>151</v>
      </c>
    </row>
    <row r="1523" spans="1:23" ht="48.75">
      <c r="A1523" s="8" t="s">
        <v>3645</v>
      </c>
      <c r="B1523" s="8" t="s">
        <v>1574</v>
      </c>
      <c r="C1523" s="8" t="s">
        <v>2197</v>
      </c>
      <c r="D1523" s="8" t="s">
        <v>18</v>
      </c>
      <c r="E1523" s="8" t="s">
        <v>2217</v>
      </c>
      <c r="F1523" s="8" t="s">
        <v>2217</v>
      </c>
      <c r="G1523" s="8" t="s">
        <v>2217</v>
      </c>
      <c r="H1523" s="8">
        <v>48</v>
      </c>
      <c r="I1523" s="8">
        <v>48</v>
      </c>
      <c r="J1523" s="8">
        <v>0</v>
      </c>
      <c r="K1523" s="9">
        <v>44161</v>
      </c>
      <c r="L1523" s="8" t="s">
        <v>2222</v>
      </c>
      <c r="M1523" s="8" t="s">
        <v>38</v>
      </c>
      <c r="P1523" s="16" t="s">
        <v>1338</v>
      </c>
      <c r="Q1523" s="2" t="s">
        <v>43</v>
      </c>
      <c r="S1523" s="8" t="s">
        <v>1901</v>
      </c>
      <c r="T1523" s="9">
        <v>46905</v>
      </c>
      <c r="U1523" s="8">
        <v>0</v>
      </c>
      <c r="V1523" s="20">
        <v>285</v>
      </c>
      <c r="W1523" s="21" t="s">
        <v>16</v>
      </c>
    </row>
    <row r="1524" spans="1:23" ht="48.75">
      <c r="A1524" s="8" t="s">
        <v>3646</v>
      </c>
      <c r="B1524" s="8" t="s">
        <v>1575</v>
      </c>
      <c r="C1524" s="8" t="s">
        <v>2203</v>
      </c>
      <c r="D1524" s="8" t="s">
        <v>18</v>
      </c>
      <c r="E1524" s="8" t="s">
        <v>16</v>
      </c>
      <c r="F1524" s="8" t="s">
        <v>2198</v>
      </c>
      <c r="G1524" s="8" t="s">
        <v>2217</v>
      </c>
      <c r="H1524" s="8">
        <v>80</v>
      </c>
      <c r="I1524" s="8">
        <v>80</v>
      </c>
      <c r="J1524" s="8">
        <v>0</v>
      </c>
      <c r="K1524" s="9">
        <v>44015</v>
      </c>
      <c r="L1524" s="8" t="s">
        <v>2222</v>
      </c>
      <c r="M1524" s="8" t="s">
        <v>38</v>
      </c>
      <c r="P1524" s="16" t="s">
        <v>1339</v>
      </c>
      <c r="Q1524" s="2" t="s">
        <v>16</v>
      </c>
      <c r="S1524" s="8" t="s">
        <v>1901</v>
      </c>
      <c r="T1524" s="9">
        <v>46935</v>
      </c>
      <c r="U1524" s="8">
        <v>0</v>
      </c>
      <c r="V1524" s="20">
        <v>2760</v>
      </c>
      <c r="W1524" s="21" t="s">
        <v>16</v>
      </c>
    </row>
    <row r="1525" spans="1:23" ht="60">
      <c r="A1525" s="8" t="s">
        <v>3647</v>
      </c>
      <c r="B1525" s="8" t="s">
        <v>1576</v>
      </c>
      <c r="C1525" s="8" t="s">
        <v>2203</v>
      </c>
      <c r="D1525" s="8" t="s">
        <v>18</v>
      </c>
      <c r="E1525" s="8" t="s">
        <v>16</v>
      </c>
      <c r="F1525" s="8" t="s">
        <v>2228</v>
      </c>
      <c r="G1525" s="8" t="s">
        <v>3648</v>
      </c>
      <c r="H1525" s="8">
        <v>1942</v>
      </c>
      <c r="I1525" s="8">
        <v>532</v>
      </c>
      <c r="J1525" s="8">
        <v>23062104</v>
      </c>
      <c r="K1525" s="9">
        <v>45264</v>
      </c>
      <c r="L1525" s="9">
        <v>47058</v>
      </c>
      <c r="M1525" s="8" t="s">
        <v>16</v>
      </c>
      <c r="P1525" s="16" t="s">
        <v>1339</v>
      </c>
      <c r="Q1525" s="2" t="s">
        <v>16</v>
      </c>
      <c r="S1525" s="8" t="s">
        <v>1902</v>
      </c>
      <c r="T1525" s="9">
        <v>46905</v>
      </c>
      <c r="U1525" s="8">
        <v>0</v>
      </c>
      <c r="V1525" s="20">
        <v>6</v>
      </c>
      <c r="W1525" s="21" t="s">
        <v>38</v>
      </c>
    </row>
    <row r="1526" spans="1:23" ht="45">
      <c r="A1526" s="8" t="s">
        <v>3647</v>
      </c>
      <c r="B1526" s="8" t="s">
        <v>1576</v>
      </c>
      <c r="C1526" s="8" t="s">
        <v>2203</v>
      </c>
      <c r="D1526" s="8" t="s">
        <v>18</v>
      </c>
      <c r="E1526" s="8" t="s">
        <v>16</v>
      </c>
      <c r="F1526" s="8" t="s">
        <v>2228</v>
      </c>
      <c r="G1526" s="8" t="s">
        <v>3648</v>
      </c>
      <c r="H1526" s="8">
        <v>1942</v>
      </c>
      <c r="I1526" s="8">
        <v>686</v>
      </c>
      <c r="J1526" s="8">
        <v>224112105</v>
      </c>
      <c r="K1526" s="9">
        <v>45363</v>
      </c>
      <c r="L1526" s="9">
        <v>47150</v>
      </c>
      <c r="M1526" s="8" t="s">
        <v>16</v>
      </c>
      <c r="P1526" s="16" t="s">
        <v>1340</v>
      </c>
      <c r="Q1526" s="2" t="s">
        <v>16</v>
      </c>
      <c r="S1526" s="8" t="s">
        <v>1903</v>
      </c>
      <c r="T1526" s="9">
        <v>46935</v>
      </c>
      <c r="U1526" s="8">
        <v>0</v>
      </c>
      <c r="V1526" s="20">
        <v>1</v>
      </c>
      <c r="W1526" s="21" t="s">
        <v>16</v>
      </c>
    </row>
    <row r="1527" spans="1:23" ht="45">
      <c r="A1527" s="8" t="s">
        <v>3647</v>
      </c>
      <c r="B1527" s="8" t="s">
        <v>1576</v>
      </c>
      <c r="C1527" s="8" t="s">
        <v>2203</v>
      </c>
      <c r="D1527" s="8" t="s">
        <v>18</v>
      </c>
      <c r="E1527" s="8" t="s">
        <v>16</v>
      </c>
      <c r="F1527" s="8" t="s">
        <v>2228</v>
      </c>
      <c r="G1527" s="8" t="s">
        <v>3648</v>
      </c>
      <c r="H1527" s="8">
        <v>1942</v>
      </c>
      <c r="I1527" s="8">
        <v>724</v>
      </c>
      <c r="J1527" s="8">
        <v>23062103</v>
      </c>
      <c r="K1527" s="9">
        <v>45264</v>
      </c>
      <c r="L1527" s="9">
        <v>47058</v>
      </c>
      <c r="M1527" s="8" t="s">
        <v>16</v>
      </c>
      <c r="P1527" s="16" t="s">
        <v>1340</v>
      </c>
      <c r="Q1527" s="2" t="s">
        <v>16</v>
      </c>
      <c r="S1527" s="8" t="s">
        <v>1903</v>
      </c>
      <c r="T1527" s="9">
        <v>46784</v>
      </c>
      <c r="U1527" s="8">
        <v>0</v>
      </c>
      <c r="V1527" s="20">
        <v>3</v>
      </c>
      <c r="W1527" s="21" t="s">
        <v>16</v>
      </c>
    </row>
    <row r="1528" spans="1:23" ht="45">
      <c r="A1528" s="8" t="s">
        <v>3649</v>
      </c>
      <c r="B1528" s="8" t="s">
        <v>1577</v>
      </c>
      <c r="C1528" s="8" t="s">
        <v>2203</v>
      </c>
      <c r="D1528" s="8" t="s">
        <v>18</v>
      </c>
      <c r="E1528" s="8" t="s">
        <v>16</v>
      </c>
      <c r="F1528" s="8" t="s">
        <v>2228</v>
      </c>
      <c r="G1528" s="8" t="s">
        <v>3648</v>
      </c>
      <c r="H1528" s="8">
        <v>13</v>
      </c>
      <c r="I1528" s="8">
        <v>13</v>
      </c>
      <c r="J1528" s="8">
        <v>23062103</v>
      </c>
      <c r="K1528" s="9">
        <v>45302</v>
      </c>
      <c r="L1528" s="9">
        <v>46844</v>
      </c>
      <c r="M1528" s="8" t="s">
        <v>16</v>
      </c>
      <c r="P1528" s="16" t="s">
        <v>1341</v>
      </c>
      <c r="Q1528" s="2" t="s">
        <v>151</v>
      </c>
      <c r="S1528" s="8" t="s">
        <v>1903</v>
      </c>
      <c r="T1528" s="9">
        <v>46966</v>
      </c>
      <c r="U1528" s="8">
        <v>0</v>
      </c>
      <c r="V1528" s="20">
        <v>40</v>
      </c>
      <c r="W1528" s="21" t="s">
        <v>16</v>
      </c>
    </row>
    <row r="1529" spans="1:23" ht="45">
      <c r="A1529" s="8" t="s">
        <v>3650</v>
      </c>
      <c r="B1529" s="8" t="s">
        <v>1578</v>
      </c>
      <c r="C1529" s="8" t="s">
        <v>2203</v>
      </c>
      <c r="D1529" s="8" t="s">
        <v>18</v>
      </c>
      <c r="E1529" s="8" t="s">
        <v>16</v>
      </c>
      <c r="F1529" s="8" t="s">
        <v>2228</v>
      </c>
      <c r="G1529" s="8" t="s">
        <v>3648</v>
      </c>
      <c r="H1529" s="8">
        <v>4528</v>
      </c>
      <c r="I1529" s="8">
        <v>4528</v>
      </c>
      <c r="J1529" s="8">
        <v>223096101</v>
      </c>
      <c r="K1529" s="9">
        <v>45302</v>
      </c>
      <c r="L1529" s="9">
        <v>47088</v>
      </c>
      <c r="M1529" s="8" t="s">
        <v>16</v>
      </c>
      <c r="P1529" s="16" t="s">
        <v>1341</v>
      </c>
      <c r="Q1529" s="2" t="s">
        <v>151</v>
      </c>
      <c r="S1529" s="8" t="s">
        <v>1903</v>
      </c>
      <c r="T1529" s="9">
        <v>47027</v>
      </c>
      <c r="U1529" s="8">
        <v>0</v>
      </c>
      <c r="V1529" s="20">
        <v>243</v>
      </c>
      <c r="W1529" s="21" t="s">
        <v>16</v>
      </c>
    </row>
    <row r="1530" spans="1:23" ht="60">
      <c r="A1530" s="8" t="s">
        <v>3651</v>
      </c>
      <c r="B1530" s="8" t="s">
        <v>1579</v>
      </c>
      <c r="C1530" s="8" t="s">
        <v>2197</v>
      </c>
      <c r="D1530" s="8" t="s">
        <v>18</v>
      </c>
      <c r="E1530" s="8" t="s">
        <v>16</v>
      </c>
      <c r="F1530" s="8" t="s">
        <v>3652</v>
      </c>
      <c r="G1530" s="8" t="s">
        <v>3653</v>
      </c>
      <c r="H1530" s="8">
        <v>69036</v>
      </c>
      <c r="I1530" s="8">
        <v>236</v>
      </c>
      <c r="J1530" s="8">
        <v>48030817</v>
      </c>
      <c r="K1530" s="9">
        <v>45365</v>
      </c>
      <c r="L1530" s="9">
        <v>47178</v>
      </c>
      <c r="M1530" s="8" t="s">
        <v>16</v>
      </c>
      <c r="P1530" s="16" t="s">
        <v>1341</v>
      </c>
      <c r="Q1530" s="2" t="s">
        <v>151</v>
      </c>
      <c r="S1530" s="8" t="s">
        <v>1903</v>
      </c>
      <c r="T1530" s="9">
        <v>47239</v>
      </c>
      <c r="U1530" s="8">
        <v>0</v>
      </c>
      <c r="V1530" s="20">
        <v>1800</v>
      </c>
      <c r="W1530" s="21" t="s">
        <v>16</v>
      </c>
    </row>
    <row r="1531" spans="1:23" ht="60">
      <c r="A1531" s="8" t="s">
        <v>3651</v>
      </c>
      <c r="B1531" s="8" t="s">
        <v>1579</v>
      </c>
      <c r="C1531" s="8" t="s">
        <v>2197</v>
      </c>
      <c r="D1531" s="8" t="s">
        <v>18</v>
      </c>
      <c r="E1531" s="8" t="s">
        <v>16</v>
      </c>
      <c r="F1531" s="8" t="s">
        <v>3652</v>
      </c>
      <c r="G1531" s="8" t="s">
        <v>3653</v>
      </c>
      <c r="H1531" s="8">
        <v>69036</v>
      </c>
      <c r="I1531" s="8">
        <v>3200</v>
      </c>
      <c r="J1531" s="8">
        <v>48031917</v>
      </c>
      <c r="K1531" s="9">
        <v>45400</v>
      </c>
      <c r="L1531" s="9">
        <v>47178</v>
      </c>
      <c r="M1531" s="8" t="s">
        <v>16</v>
      </c>
      <c r="P1531" s="16" t="s">
        <v>1341</v>
      </c>
      <c r="Q1531" s="2" t="s">
        <v>151</v>
      </c>
      <c r="S1531" s="8" t="s">
        <v>1903</v>
      </c>
      <c r="T1531" s="9">
        <v>47270</v>
      </c>
      <c r="U1531" s="8">
        <v>0</v>
      </c>
      <c r="V1531" s="20">
        <v>3720</v>
      </c>
      <c r="W1531" s="21" t="s">
        <v>16</v>
      </c>
    </row>
    <row r="1532" spans="1:23" ht="60">
      <c r="A1532" s="8" t="s">
        <v>3651</v>
      </c>
      <c r="B1532" s="8" t="s">
        <v>1579</v>
      </c>
      <c r="C1532" s="8" t="s">
        <v>2197</v>
      </c>
      <c r="D1532" s="8" t="s">
        <v>18</v>
      </c>
      <c r="E1532" s="8" t="s">
        <v>16</v>
      </c>
      <c r="F1532" s="8" t="s">
        <v>3652</v>
      </c>
      <c r="G1532" s="8" t="s">
        <v>3653</v>
      </c>
      <c r="H1532" s="8">
        <v>69036</v>
      </c>
      <c r="I1532" s="8">
        <v>65600</v>
      </c>
      <c r="J1532" s="8">
        <v>48041917</v>
      </c>
      <c r="K1532" s="9">
        <v>45412</v>
      </c>
      <c r="L1532" s="9">
        <v>47178</v>
      </c>
      <c r="M1532" s="8" t="s">
        <v>16</v>
      </c>
      <c r="P1532" s="16" t="s">
        <v>1342</v>
      </c>
      <c r="Q1532" s="2" t="s">
        <v>16</v>
      </c>
      <c r="S1532" s="8" t="s">
        <v>1903</v>
      </c>
      <c r="T1532" s="9">
        <v>47178</v>
      </c>
      <c r="U1532" s="8">
        <v>0</v>
      </c>
      <c r="V1532" s="20">
        <v>4880</v>
      </c>
      <c r="W1532" s="21" t="s">
        <v>16</v>
      </c>
    </row>
    <row r="1533" spans="1:23" ht="75">
      <c r="A1533" s="8" t="s">
        <v>3654</v>
      </c>
      <c r="B1533" s="8" t="s">
        <v>1580</v>
      </c>
      <c r="C1533" s="8" t="s">
        <v>2203</v>
      </c>
      <c r="D1533" s="8" t="s">
        <v>18</v>
      </c>
      <c r="E1533" s="8" t="s">
        <v>16</v>
      </c>
      <c r="F1533" s="8" t="s">
        <v>3249</v>
      </c>
      <c r="G1533" s="8" t="s">
        <v>3655</v>
      </c>
      <c r="H1533" s="8">
        <v>9462</v>
      </c>
      <c r="I1533" s="8">
        <v>262</v>
      </c>
      <c r="J1533" s="8">
        <v>48022921</v>
      </c>
      <c r="K1533" s="9">
        <v>45356</v>
      </c>
      <c r="L1533" s="9">
        <v>47150</v>
      </c>
      <c r="M1533" s="8" t="s">
        <v>16</v>
      </c>
      <c r="P1533" s="16" t="s">
        <v>1343</v>
      </c>
      <c r="Q1533" s="2" t="s">
        <v>16</v>
      </c>
      <c r="S1533" s="8" t="s">
        <v>1904</v>
      </c>
      <c r="T1533" s="9">
        <v>46874</v>
      </c>
      <c r="U1533" s="8">
        <v>0</v>
      </c>
      <c r="V1533" s="20">
        <v>35</v>
      </c>
      <c r="W1533" s="21" t="s">
        <v>16</v>
      </c>
    </row>
    <row r="1534" spans="1:23" ht="75">
      <c r="A1534" s="8" t="s">
        <v>3654</v>
      </c>
      <c r="B1534" s="8" t="s">
        <v>1580</v>
      </c>
      <c r="C1534" s="8" t="s">
        <v>2203</v>
      </c>
      <c r="D1534" s="8" t="s">
        <v>18</v>
      </c>
      <c r="E1534" s="8" t="s">
        <v>16</v>
      </c>
      <c r="F1534" s="8" t="s">
        <v>3249</v>
      </c>
      <c r="G1534" s="8" t="s">
        <v>3655</v>
      </c>
      <c r="H1534" s="8">
        <v>9462</v>
      </c>
      <c r="I1534" s="8">
        <v>9200</v>
      </c>
      <c r="J1534" s="8">
        <v>48042421</v>
      </c>
      <c r="K1534" s="9">
        <v>45412</v>
      </c>
      <c r="L1534" s="9">
        <v>47209</v>
      </c>
      <c r="M1534" s="8" t="s">
        <v>16</v>
      </c>
      <c r="P1534" s="16" t="s">
        <v>1343</v>
      </c>
      <c r="Q1534" s="2" t="s">
        <v>16</v>
      </c>
      <c r="S1534" s="8" t="s">
        <v>1904</v>
      </c>
      <c r="T1534" s="9">
        <v>47239</v>
      </c>
      <c r="U1534" s="8">
        <v>0</v>
      </c>
      <c r="V1534" s="20">
        <v>650</v>
      </c>
      <c r="W1534" s="21" t="s">
        <v>16</v>
      </c>
    </row>
    <row r="1535" spans="1:23" ht="45">
      <c r="A1535" s="8" t="s">
        <v>3656</v>
      </c>
      <c r="B1535" s="8" t="s">
        <v>1581</v>
      </c>
      <c r="C1535" s="8" t="s">
        <v>2197</v>
      </c>
      <c r="D1535" s="8" t="s">
        <v>18</v>
      </c>
      <c r="E1535" s="8" t="s">
        <v>2217</v>
      </c>
      <c r="F1535" s="8" t="s">
        <v>2217</v>
      </c>
      <c r="G1535" s="8" t="s">
        <v>2217</v>
      </c>
      <c r="H1535" s="8">
        <v>203</v>
      </c>
      <c r="I1535" s="8">
        <v>203</v>
      </c>
      <c r="J1535" s="8" t="s">
        <v>1582</v>
      </c>
      <c r="K1535" s="9">
        <v>45355</v>
      </c>
      <c r="L1535" s="9">
        <v>46143</v>
      </c>
      <c r="M1535" s="8" t="s">
        <v>16</v>
      </c>
      <c r="P1535" s="16" t="s">
        <v>1344</v>
      </c>
      <c r="Q1535" s="2" t="s">
        <v>16</v>
      </c>
      <c r="S1535" s="8" t="s">
        <v>1904</v>
      </c>
      <c r="T1535" s="9">
        <v>47270</v>
      </c>
      <c r="U1535" s="8">
        <v>0</v>
      </c>
      <c r="V1535" s="20">
        <v>5600</v>
      </c>
      <c r="W1535" s="21" t="s">
        <v>16</v>
      </c>
    </row>
    <row r="1536" spans="1:23" ht="75">
      <c r="A1536" s="8" t="s">
        <v>3657</v>
      </c>
      <c r="B1536" s="8" t="s">
        <v>1583</v>
      </c>
      <c r="C1536" s="8" t="s">
        <v>2197</v>
      </c>
      <c r="D1536" s="8" t="s">
        <v>18</v>
      </c>
      <c r="E1536" s="8" t="s">
        <v>2217</v>
      </c>
      <c r="F1536" s="8" t="s">
        <v>2217</v>
      </c>
      <c r="G1536" s="8" t="s">
        <v>2217</v>
      </c>
      <c r="H1536" s="8">
        <v>1767</v>
      </c>
      <c r="I1536" s="8">
        <v>1767</v>
      </c>
      <c r="J1536" s="8" t="s">
        <v>1584</v>
      </c>
      <c r="K1536" s="9">
        <v>45371</v>
      </c>
      <c r="L1536" s="9">
        <v>46235</v>
      </c>
      <c r="M1536" s="8" t="s">
        <v>16</v>
      </c>
      <c r="P1536" s="16" t="s">
        <v>1344</v>
      </c>
      <c r="Q1536" s="2" t="s">
        <v>16</v>
      </c>
      <c r="S1536" s="8" t="s">
        <v>1905</v>
      </c>
      <c r="T1536" s="9">
        <v>46054</v>
      </c>
      <c r="U1536" s="8">
        <v>0</v>
      </c>
      <c r="V1536" s="20">
        <v>3274</v>
      </c>
      <c r="W1536" s="21" t="s">
        <v>16</v>
      </c>
    </row>
    <row r="1537" spans="1:23" ht="36.75">
      <c r="A1537" s="8" t="s">
        <v>3658</v>
      </c>
      <c r="B1537" s="8" t="s">
        <v>1585</v>
      </c>
      <c r="C1537" s="8" t="s">
        <v>2197</v>
      </c>
      <c r="D1537" s="8" t="s">
        <v>18</v>
      </c>
      <c r="E1537" s="8" t="s">
        <v>16</v>
      </c>
      <c r="F1537" s="8" t="s">
        <v>2258</v>
      </c>
      <c r="G1537" s="8" t="s">
        <v>3659</v>
      </c>
      <c r="H1537" s="8">
        <v>3</v>
      </c>
      <c r="I1537" s="8">
        <v>3</v>
      </c>
      <c r="J1537" s="8">
        <v>0</v>
      </c>
      <c r="K1537" s="9">
        <v>44018</v>
      </c>
      <c r="L1537" s="8" t="s">
        <v>2222</v>
      </c>
      <c r="M1537" s="8" t="s">
        <v>38</v>
      </c>
      <c r="P1537" s="16" t="s">
        <v>1345</v>
      </c>
      <c r="Q1537" s="2" t="s">
        <v>16</v>
      </c>
      <c r="S1537" s="8" t="s">
        <v>1907</v>
      </c>
      <c r="T1537" s="9">
        <v>46174</v>
      </c>
      <c r="U1537" s="8">
        <v>0</v>
      </c>
      <c r="V1537" s="20">
        <v>20</v>
      </c>
      <c r="W1537" s="21" t="s">
        <v>16</v>
      </c>
    </row>
    <row r="1538" spans="1:23" ht="36.75">
      <c r="A1538" s="8" t="s">
        <v>3660</v>
      </c>
      <c r="B1538" s="8" t="s">
        <v>1586</v>
      </c>
      <c r="C1538" s="8" t="s">
        <v>2994</v>
      </c>
      <c r="D1538" s="8" t="s">
        <v>18</v>
      </c>
      <c r="E1538" s="8" t="s">
        <v>151</v>
      </c>
      <c r="F1538" s="8" t="s">
        <v>151</v>
      </c>
      <c r="G1538" s="8" t="s">
        <v>3661</v>
      </c>
      <c r="H1538" s="8">
        <v>151</v>
      </c>
      <c r="I1538" s="8">
        <v>151</v>
      </c>
      <c r="J1538" s="8">
        <v>0</v>
      </c>
      <c r="K1538" s="9">
        <v>45428</v>
      </c>
      <c r="L1538" s="9">
        <v>46419</v>
      </c>
      <c r="M1538" s="8" t="s">
        <v>151</v>
      </c>
      <c r="P1538" s="16" t="s">
        <v>1346</v>
      </c>
      <c r="Q1538" s="2" t="s">
        <v>16</v>
      </c>
      <c r="S1538" s="8" t="s">
        <v>1908</v>
      </c>
      <c r="T1538" s="9">
        <v>45748</v>
      </c>
      <c r="U1538" s="8">
        <v>0</v>
      </c>
      <c r="V1538" s="20">
        <v>92</v>
      </c>
      <c r="W1538" s="21" t="s">
        <v>16</v>
      </c>
    </row>
    <row r="1539" spans="1:23" ht="60">
      <c r="A1539" s="8" t="s">
        <v>3662</v>
      </c>
      <c r="B1539" s="8" t="s">
        <v>1587</v>
      </c>
      <c r="C1539" s="8" t="s">
        <v>2203</v>
      </c>
      <c r="D1539" s="8" t="s">
        <v>18</v>
      </c>
      <c r="E1539" s="8" t="s">
        <v>16</v>
      </c>
      <c r="F1539" s="8" t="s">
        <v>2198</v>
      </c>
      <c r="G1539" s="8" t="s">
        <v>3663</v>
      </c>
      <c r="H1539" s="8">
        <v>735</v>
      </c>
      <c r="I1539" s="8">
        <v>735</v>
      </c>
      <c r="J1539" s="8" t="s">
        <v>1588</v>
      </c>
      <c r="K1539" s="9">
        <v>45219</v>
      </c>
      <c r="L1539" s="9">
        <v>45870</v>
      </c>
      <c r="M1539" s="8" t="s">
        <v>16</v>
      </c>
      <c r="P1539" s="16" t="s">
        <v>1346</v>
      </c>
      <c r="Q1539" s="2" t="s">
        <v>16</v>
      </c>
      <c r="S1539" s="8" t="s">
        <v>1914</v>
      </c>
      <c r="T1539" s="9" t="s">
        <v>2222</v>
      </c>
      <c r="U1539" s="8">
        <v>0</v>
      </c>
      <c r="V1539" s="20">
        <v>7</v>
      </c>
      <c r="W1539" s="21" t="s">
        <v>38</v>
      </c>
    </row>
    <row r="1540" spans="1:23" ht="60">
      <c r="A1540" s="8" t="s">
        <v>3664</v>
      </c>
      <c r="B1540" s="8" t="s">
        <v>1589</v>
      </c>
      <c r="C1540" s="8" t="s">
        <v>2203</v>
      </c>
      <c r="D1540" s="8" t="s">
        <v>18</v>
      </c>
      <c r="E1540" s="8" t="s">
        <v>16</v>
      </c>
      <c r="F1540" s="8" t="s">
        <v>2228</v>
      </c>
      <c r="G1540" s="8" t="s">
        <v>3665</v>
      </c>
      <c r="H1540" s="8">
        <v>115</v>
      </c>
      <c r="I1540" s="8">
        <v>115</v>
      </c>
      <c r="J1540" s="8">
        <v>2005290400</v>
      </c>
      <c r="K1540" s="9">
        <v>44015</v>
      </c>
      <c r="L1540" s="9">
        <v>45413</v>
      </c>
      <c r="M1540" s="8" t="s">
        <v>38</v>
      </c>
      <c r="P1540" s="17" t="s">
        <v>1347</v>
      </c>
      <c r="Q1540" s="2" t="s">
        <v>38</v>
      </c>
      <c r="S1540" s="8" t="s">
        <v>1915</v>
      </c>
      <c r="T1540" s="9">
        <v>46631</v>
      </c>
      <c r="U1540" s="8">
        <v>0</v>
      </c>
      <c r="V1540" s="20">
        <v>7</v>
      </c>
      <c r="W1540" s="21" t="s">
        <v>16</v>
      </c>
    </row>
    <row r="1541" spans="1:23" ht="60">
      <c r="A1541" s="8" t="s">
        <v>3666</v>
      </c>
      <c r="B1541" s="8" t="s">
        <v>1590</v>
      </c>
      <c r="C1541" s="8" t="s">
        <v>2197</v>
      </c>
      <c r="D1541" s="8" t="s">
        <v>18</v>
      </c>
      <c r="E1541" s="8" t="s">
        <v>16</v>
      </c>
      <c r="F1541" s="8" t="s">
        <v>2198</v>
      </c>
      <c r="G1541" s="8" t="s">
        <v>3667</v>
      </c>
      <c r="H1541" s="8">
        <v>641</v>
      </c>
      <c r="I1541" s="8">
        <v>1</v>
      </c>
      <c r="J1541" s="8" t="s">
        <v>1591</v>
      </c>
      <c r="K1541" s="9">
        <v>45082</v>
      </c>
      <c r="L1541" s="9">
        <v>46905</v>
      </c>
      <c r="M1541" s="8" t="s">
        <v>16</v>
      </c>
      <c r="P1541" s="16" t="s">
        <v>1348</v>
      </c>
      <c r="Q1541" s="2" t="s">
        <v>16</v>
      </c>
      <c r="S1541" s="8" t="s">
        <v>1916</v>
      </c>
      <c r="T1541" s="9">
        <v>46447</v>
      </c>
      <c r="U1541" s="8">
        <v>0</v>
      </c>
      <c r="V1541" s="20">
        <v>137</v>
      </c>
      <c r="W1541" s="21" t="s">
        <v>16</v>
      </c>
    </row>
    <row r="1542" spans="1:23" ht="60">
      <c r="A1542" s="8" t="s">
        <v>3666</v>
      </c>
      <c r="B1542" s="8" t="s">
        <v>1590</v>
      </c>
      <c r="C1542" s="8" t="s">
        <v>2197</v>
      </c>
      <c r="D1542" s="8" t="s">
        <v>18</v>
      </c>
      <c r="E1542" s="8" t="s">
        <v>16</v>
      </c>
      <c r="F1542" s="8" t="s">
        <v>2198</v>
      </c>
      <c r="G1542" s="8" t="s">
        <v>3667</v>
      </c>
      <c r="H1542" s="8">
        <v>641</v>
      </c>
      <c r="I1542" s="8">
        <v>100</v>
      </c>
      <c r="J1542" s="8" t="s">
        <v>1592</v>
      </c>
      <c r="K1542" s="9">
        <v>45261</v>
      </c>
      <c r="L1542" s="9">
        <v>46905</v>
      </c>
      <c r="M1542" s="8" t="s">
        <v>16</v>
      </c>
      <c r="P1542" s="16" t="s">
        <v>1348</v>
      </c>
      <c r="Q1542" s="2" t="s">
        <v>16</v>
      </c>
      <c r="S1542" s="8" t="s">
        <v>1916</v>
      </c>
      <c r="T1542" s="9">
        <v>46600</v>
      </c>
      <c r="U1542" s="8">
        <v>0</v>
      </c>
      <c r="V1542" s="20">
        <v>704</v>
      </c>
      <c r="W1542" s="21" t="s">
        <v>16</v>
      </c>
    </row>
    <row r="1543" spans="1:23" ht="60">
      <c r="A1543" s="8" t="s">
        <v>3666</v>
      </c>
      <c r="B1543" s="8" t="s">
        <v>1590</v>
      </c>
      <c r="C1543" s="8" t="s">
        <v>2197</v>
      </c>
      <c r="D1543" s="8" t="s">
        <v>18</v>
      </c>
      <c r="E1543" s="8" t="s">
        <v>16</v>
      </c>
      <c r="F1543" s="8" t="s">
        <v>2198</v>
      </c>
      <c r="G1543" s="8" t="s">
        <v>3667</v>
      </c>
      <c r="H1543" s="8">
        <v>641</v>
      </c>
      <c r="I1543" s="8">
        <v>540</v>
      </c>
      <c r="J1543" s="8" t="s">
        <v>1593</v>
      </c>
      <c r="K1543" s="9">
        <v>45261</v>
      </c>
      <c r="L1543" s="9">
        <v>47027</v>
      </c>
      <c r="M1543" s="8" t="s">
        <v>16</v>
      </c>
      <c r="P1543" s="17" t="s">
        <v>1349</v>
      </c>
      <c r="Q1543" s="2" t="s">
        <v>38</v>
      </c>
      <c r="S1543" s="8" t="s">
        <v>1917</v>
      </c>
      <c r="T1543" s="9">
        <v>46631</v>
      </c>
      <c r="U1543" s="8">
        <v>0</v>
      </c>
      <c r="V1543" s="20">
        <v>975</v>
      </c>
      <c r="W1543" s="21" t="s">
        <v>16</v>
      </c>
    </row>
    <row r="1544" spans="1:23" ht="60">
      <c r="A1544" s="8" t="s">
        <v>3668</v>
      </c>
      <c r="B1544" s="8" t="s">
        <v>1594</v>
      </c>
      <c r="C1544" s="8" t="s">
        <v>2197</v>
      </c>
      <c r="D1544" s="8" t="s">
        <v>18</v>
      </c>
      <c r="E1544" s="8" t="s">
        <v>2217</v>
      </c>
      <c r="F1544" s="8" t="s">
        <v>2217</v>
      </c>
      <c r="G1544" s="8" t="s">
        <v>2217</v>
      </c>
      <c r="H1544" s="8">
        <v>580</v>
      </c>
      <c r="I1544" s="8">
        <v>80</v>
      </c>
      <c r="J1544" s="8" t="s">
        <v>1595</v>
      </c>
      <c r="K1544" s="9">
        <v>45400</v>
      </c>
      <c r="L1544" s="9">
        <v>47150</v>
      </c>
      <c r="M1544" s="8" t="s">
        <v>16</v>
      </c>
      <c r="P1544" s="16" t="s">
        <v>1350</v>
      </c>
      <c r="Q1544" s="2" t="s">
        <v>16</v>
      </c>
      <c r="S1544" s="8" t="s">
        <v>1917</v>
      </c>
      <c r="T1544" s="9">
        <v>46692</v>
      </c>
      <c r="U1544" s="8">
        <v>0</v>
      </c>
      <c r="V1544" s="20">
        <v>1192</v>
      </c>
      <c r="W1544" s="21" t="s">
        <v>16</v>
      </c>
    </row>
    <row r="1545" spans="1:23" ht="60">
      <c r="A1545" s="8" t="s">
        <v>3668</v>
      </c>
      <c r="B1545" s="8" t="s">
        <v>1594</v>
      </c>
      <c r="C1545" s="8" t="s">
        <v>2197</v>
      </c>
      <c r="D1545" s="8" t="s">
        <v>18</v>
      </c>
      <c r="E1545" s="8" t="s">
        <v>2217</v>
      </c>
      <c r="F1545" s="8" t="s">
        <v>2217</v>
      </c>
      <c r="G1545" s="8" t="s">
        <v>2217</v>
      </c>
      <c r="H1545" s="8">
        <v>580</v>
      </c>
      <c r="I1545" s="8">
        <v>500</v>
      </c>
      <c r="J1545" s="8" t="s">
        <v>1596</v>
      </c>
      <c r="K1545" s="9">
        <v>45455</v>
      </c>
      <c r="L1545" s="9">
        <v>47209</v>
      </c>
      <c r="M1545" s="8" t="s">
        <v>16</v>
      </c>
      <c r="P1545" s="16" t="s">
        <v>1352</v>
      </c>
      <c r="Q1545" s="2" t="s">
        <v>16</v>
      </c>
      <c r="S1545" s="8" t="s">
        <v>1917</v>
      </c>
      <c r="T1545" s="9">
        <v>46722</v>
      </c>
      <c r="U1545" s="8">
        <v>0</v>
      </c>
      <c r="V1545" s="20">
        <v>288</v>
      </c>
      <c r="W1545" s="21" t="s">
        <v>16</v>
      </c>
    </row>
    <row r="1546" spans="1:23" ht="60">
      <c r="A1546" s="8" t="s">
        <v>3669</v>
      </c>
      <c r="B1546" s="8" t="s">
        <v>1597</v>
      </c>
      <c r="C1546" s="8" t="s">
        <v>2197</v>
      </c>
      <c r="D1546" s="8" t="s">
        <v>18</v>
      </c>
      <c r="E1546" s="8" t="s">
        <v>2217</v>
      </c>
      <c r="F1546" s="8" t="s">
        <v>2217</v>
      </c>
      <c r="G1546" s="8" t="s">
        <v>2217</v>
      </c>
      <c r="H1546" s="8">
        <v>200</v>
      </c>
      <c r="I1546" s="8">
        <v>200</v>
      </c>
      <c r="J1546" s="8" t="s">
        <v>1598</v>
      </c>
      <c r="K1546" s="9">
        <v>45400</v>
      </c>
      <c r="L1546" s="9">
        <v>46844</v>
      </c>
      <c r="M1546" s="8" t="s">
        <v>16</v>
      </c>
      <c r="P1546" s="17" t="s">
        <v>1354</v>
      </c>
      <c r="Q1546" s="2" t="s">
        <v>16</v>
      </c>
      <c r="S1546" s="8" t="s">
        <v>1918</v>
      </c>
      <c r="T1546" s="9" t="s">
        <v>2222</v>
      </c>
      <c r="U1546" s="8">
        <v>0</v>
      </c>
      <c r="V1546" s="20">
        <v>1</v>
      </c>
      <c r="W1546" s="21" t="s">
        <v>38</v>
      </c>
    </row>
    <row r="1547" spans="1:23" ht="60">
      <c r="A1547" s="8" t="s">
        <v>3671</v>
      </c>
      <c r="B1547" s="8" t="s">
        <v>1600</v>
      </c>
      <c r="C1547" s="8" t="s">
        <v>2197</v>
      </c>
      <c r="D1547" s="8" t="s">
        <v>18</v>
      </c>
      <c r="E1547" s="8" t="s">
        <v>16</v>
      </c>
      <c r="F1547" s="8" t="s">
        <v>2198</v>
      </c>
      <c r="G1547" s="8" t="s">
        <v>3667</v>
      </c>
      <c r="H1547" s="8">
        <v>148</v>
      </c>
      <c r="I1547" s="8">
        <v>148</v>
      </c>
      <c r="J1547" s="8" t="s">
        <v>1601</v>
      </c>
      <c r="K1547" s="9">
        <v>45099</v>
      </c>
      <c r="L1547" s="9">
        <v>46784</v>
      </c>
      <c r="M1547" s="8" t="s">
        <v>16</v>
      </c>
      <c r="P1547" s="16" t="s">
        <v>1356</v>
      </c>
      <c r="Q1547" s="2" t="s">
        <v>16</v>
      </c>
      <c r="S1547" s="8" t="s">
        <v>1919</v>
      </c>
      <c r="T1547" s="9">
        <v>46023</v>
      </c>
      <c r="U1547" s="8">
        <v>0</v>
      </c>
      <c r="V1547" s="20">
        <v>94</v>
      </c>
      <c r="W1547" s="21" t="s">
        <v>16</v>
      </c>
    </row>
    <row r="1548" spans="1:23" ht="60">
      <c r="A1548" s="8" t="s">
        <v>3670</v>
      </c>
      <c r="B1548" s="8" t="s">
        <v>1599</v>
      </c>
      <c r="C1548" s="8" t="s">
        <v>2197</v>
      </c>
      <c r="D1548" s="8" t="s">
        <v>18</v>
      </c>
      <c r="E1548" s="8" t="s">
        <v>2217</v>
      </c>
      <c r="F1548" s="8" t="s">
        <v>2217</v>
      </c>
      <c r="G1548" s="8" t="s">
        <v>2217</v>
      </c>
      <c r="H1548" s="8">
        <v>675</v>
      </c>
      <c r="I1548" s="8">
        <v>675</v>
      </c>
      <c r="J1548" s="8" t="s">
        <v>1598</v>
      </c>
      <c r="K1548" s="9">
        <v>45400</v>
      </c>
      <c r="L1548" s="9">
        <v>46844</v>
      </c>
      <c r="M1548" s="8" t="s">
        <v>16</v>
      </c>
      <c r="P1548" s="16" t="s">
        <v>1357</v>
      </c>
      <c r="Q1548" s="2" t="s">
        <v>101</v>
      </c>
      <c r="S1548" s="8" t="s">
        <v>1920</v>
      </c>
      <c r="T1548" s="9" t="s">
        <v>2222</v>
      </c>
      <c r="U1548" s="8">
        <v>0</v>
      </c>
      <c r="V1548" s="20">
        <v>22</v>
      </c>
      <c r="W1548" s="21" t="s">
        <v>43</v>
      </c>
    </row>
    <row r="1549" spans="1:23" ht="60">
      <c r="A1549" s="8" t="s">
        <v>3672</v>
      </c>
      <c r="B1549" s="8" t="s">
        <v>1602</v>
      </c>
      <c r="C1549" s="8" t="s">
        <v>2197</v>
      </c>
      <c r="D1549" s="8" t="s">
        <v>18</v>
      </c>
      <c r="E1549" s="8" t="s">
        <v>2217</v>
      </c>
      <c r="F1549" s="8" t="s">
        <v>2217</v>
      </c>
      <c r="G1549" s="8" t="s">
        <v>2217</v>
      </c>
      <c r="H1549" s="8">
        <v>930</v>
      </c>
      <c r="I1549" s="8">
        <v>930</v>
      </c>
      <c r="J1549" s="8" t="s">
        <v>1595</v>
      </c>
      <c r="K1549" s="9">
        <v>45400</v>
      </c>
      <c r="L1549" s="9">
        <v>47150</v>
      </c>
      <c r="M1549" s="8" t="s">
        <v>16</v>
      </c>
      <c r="P1549" s="17" t="s">
        <v>1358</v>
      </c>
      <c r="Q1549" s="2" t="s">
        <v>1359</v>
      </c>
      <c r="S1549" s="8" t="s">
        <v>1921</v>
      </c>
      <c r="T1549" s="9" t="s">
        <v>2222</v>
      </c>
      <c r="U1549" s="8">
        <v>0</v>
      </c>
      <c r="V1549" s="20">
        <v>13</v>
      </c>
      <c r="W1549" s="21" t="s">
        <v>43</v>
      </c>
    </row>
    <row r="1550" spans="1:23" ht="75">
      <c r="A1550" s="8" t="s">
        <v>3673</v>
      </c>
      <c r="B1550" s="8" t="s">
        <v>1603</v>
      </c>
      <c r="C1550" s="8" t="s">
        <v>2221</v>
      </c>
      <c r="D1550" s="8" t="s">
        <v>18</v>
      </c>
      <c r="E1550" s="8" t="s">
        <v>101</v>
      </c>
      <c r="F1550" s="8" t="s">
        <v>3674</v>
      </c>
      <c r="G1550" s="8" t="s">
        <v>3675</v>
      </c>
      <c r="H1550" s="8">
        <v>80</v>
      </c>
      <c r="I1550" s="8">
        <v>80</v>
      </c>
      <c r="J1550" s="8">
        <v>0</v>
      </c>
      <c r="K1550" s="9">
        <v>44145</v>
      </c>
      <c r="L1550" s="8" t="s">
        <v>2222</v>
      </c>
      <c r="M1550" s="8" t="s">
        <v>41</v>
      </c>
      <c r="P1550" s="17" t="s">
        <v>1360</v>
      </c>
      <c r="Q1550" s="2" t="s">
        <v>1359</v>
      </c>
      <c r="S1550" s="8" t="s">
        <v>1922</v>
      </c>
      <c r="T1550" s="9" t="s">
        <v>2222</v>
      </c>
      <c r="U1550" s="8">
        <v>0</v>
      </c>
      <c r="V1550" s="20">
        <v>24</v>
      </c>
      <c r="W1550" s="21" t="s">
        <v>41</v>
      </c>
    </row>
    <row r="1551" spans="1:23" ht="105">
      <c r="A1551" s="8" t="s">
        <v>3676</v>
      </c>
      <c r="B1551" s="8" t="s">
        <v>1604</v>
      </c>
      <c r="C1551" s="8" t="s">
        <v>2221</v>
      </c>
      <c r="D1551" s="8" t="s">
        <v>18</v>
      </c>
      <c r="E1551" s="8" t="s">
        <v>101</v>
      </c>
      <c r="F1551" s="8" t="s">
        <v>3674</v>
      </c>
      <c r="G1551" s="8" t="s">
        <v>3677</v>
      </c>
      <c r="H1551" s="8">
        <v>100</v>
      </c>
      <c r="I1551" s="8">
        <v>100</v>
      </c>
      <c r="J1551" s="8">
        <v>0</v>
      </c>
      <c r="K1551" s="8" t="s">
        <v>2222</v>
      </c>
      <c r="L1551" s="8" t="s">
        <v>2222</v>
      </c>
      <c r="M1551" s="8" t="s">
        <v>41</v>
      </c>
      <c r="P1551" s="17" t="s">
        <v>1361</v>
      </c>
      <c r="Q1551" s="2" t="s">
        <v>101</v>
      </c>
      <c r="S1551" s="8" t="s">
        <v>1923</v>
      </c>
      <c r="T1551" s="9" t="s">
        <v>2222</v>
      </c>
      <c r="U1551" s="8">
        <v>0</v>
      </c>
      <c r="V1551" s="20">
        <v>115</v>
      </c>
      <c r="W1551" s="21" t="s">
        <v>41</v>
      </c>
    </row>
    <row r="1552" spans="1:23" ht="90">
      <c r="A1552" s="8" t="s">
        <v>3678</v>
      </c>
      <c r="B1552" s="8" t="s">
        <v>1605</v>
      </c>
      <c r="C1552" s="8" t="s">
        <v>2221</v>
      </c>
      <c r="D1552" s="8" t="s">
        <v>18</v>
      </c>
      <c r="E1552" s="8" t="s">
        <v>101</v>
      </c>
      <c r="F1552" s="8" t="s">
        <v>3674</v>
      </c>
      <c r="G1552" s="8" t="s">
        <v>3675</v>
      </c>
      <c r="H1552" s="8">
        <v>3</v>
      </c>
      <c r="I1552" s="8">
        <v>3</v>
      </c>
      <c r="J1552" s="8">
        <v>0</v>
      </c>
      <c r="K1552" s="9">
        <v>44161</v>
      </c>
      <c r="L1552" s="8" t="s">
        <v>2222</v>
      </c>
      <c r="M1552" s="8" t="s">
        <v>41</v>
      </c>
      <c r="P1552" s="17" t="s">
        <v>1362</v>
      </c>
      <c r="Q1552" s="2" t="s">
        <v>1359</v>
      </c>
      <c r="S1552" s="8" t="s">
        <v>1924</v>
      </c>
      <c r="T1552" s="9">
        <v>46692</v>
      </c>
      <c r="U1552" s="8">
        <v>0</v>
      </c>
      <c r="V1552" s="20">
        <v>1</v>
      </c>
      <c r="W1552" s="21" t="s">
        <v>16</v>
      </c>
    </row>
    <row r="1553" spans="1:23" ht="90">
      <c r="A1553" s="8" t="s">
        <v>3679</v>
      </c>
      <c r="B1553" s="8" t="s">
        <v>1605</v>
      </c>
      <c r="C1553" s="8" t="s">
        <v>2221</v>
      </c>
      <c r="D1553" s="8" t="s">
        <v>18</v>
      </c>
      <c r="E1553" s="8" t="s">
        <v>101</v>
      </c>
      <c r="F1553" s="8" t="s">
        <v>3674</v>
      </c>
      <c r="G1553" s="8" t="s">
        <v>3675</v>
      </c>
      <c r="H1553" s="8">
        <v>33</v>
      </c>
      <c r="I1553" s="8">
        <v>33</v>
      </c>
      <c r="J1553" s="8">
        <v>0</v>
      </c>
      <c r="K1553" s="9">
        <v>44146</v>
      </c>
      <c r="L1553" s="8" t="s">
        <v>2222</v>
      </c>
      <c r="M1553" s="8" t="s">
        <v>41</v>
      </c>
      <c r="P1553" s="17" t="s">
        <v>1363</v>
      </c>
      <c r="Q1553" s="2" t="s">
        <v>101</v>
      </c>
      <c r="S1553" s="8" t="s">
        <v>1924</v>
      </c>
      <c r="T1553" s="9">
        <v>46844</v>
      </c>
      <c r="U1553" s="8">
        <v>0</v>
      </c>
      <c r="V1553" s="20">
        <v>3070</v>
      </c>
      <c r="W1553" s="21" t="s">
        <v>16</v>
      </c>
    </row>
    <row r="1554" spans="1:23" ht="45">
      <c r="A1554" s="8" t="s">
        <v>3680</v>
      </c>
      <c r="B1554" s="8" t="s">
        <v>1606</v>
      </c>
      <c r="C1554" s="8" t="s">
        <v>2221</v>
      </c>
      <c r="D1554" s="8" t="s">
        <v>18</v>
      </c>
      <c r="E1554" s="8" t="s">
        <v>2217</v>
      </c>
      <c r="F1554" s="8" t="s">
        <v>2217</v>
      </c>
      <c r="G1554" s="8" t="s">
        <v>2217</v>
      </c>
      <c r="H1554" s="8">
        <v>15</v>
      </c>
      <c r="I1554" s="8">
        <v>15</v>
      </c>
      <c r="J1554" s="8">
        <v>0</v>
      </c>
      <c r="K1554" s="9">
        <v>45090</v>
      </c>
      <c r="L1554" s="8" t="s">
        <v>2222</v>
      </c>
      <c r="M1554" s="8" t="s">
        <v>43</v>
      </c>
      <c r="P1554" s="17" t="s">
        <v>1364</v>
      </c>
      <c r="Q1554" s="2" t="s">
        <v>101</v>
      </c>
      <c r="S1554" s="8" t="s">
        <v>1924</v>
      </c>
      <c r="T1554" s="9">
        <v>46874</v>
      </c>
      <c r="U1554" s="8">
        <v>0</v>
      </c>
      <c r="V1554" s="20">
        <v>9600</v>
      </c>
      <c r="W1554" s="21" t="s">
        <v>16</v>
      </c>
    </row>
    <row r="1555" spans="1:23" ht="60">
      <c r="A1555" s="8" t="s">
        <v>3681</v>
      </c>
      <c r="B1555" s="8" t="s">
        <v>1607</v>
      </c>
      <c r="C1555" s="8" t="s">
        <v>2197</v>
      </c>
      <c r="D1555" s="8" t="s">
        <v>18</v>
      </c>
      <c r="E1555" s="8" t="s">
        <v>16</v>
      </c>
      <c r="F1555" s="8" t="s">
        <v>2204</v>
      </c>
      <c r="G1555" s="8" t="s">
        <v>3682</v>
      </c>
      <c r="H1555" s="8">
        <v>28070</v>
      </c>
      <c r="I1555" s="8">
        <v>28070</v>
      </c>
      <c r="J1555" s="8">
        <v>230425</v>
      </c>
      <c r="K1555" s="9">
        <v>45166</v>
      </c>
      <c r="L1555" s="9">
        <v>46935</v>
      </c>
      <c r="M1555" s="8" t="s">
        <v>16</v>
      </c>
      <c r="P1555" s="17" t="s">
        <v>1365</v>
      </c>
      <c r="Q1555" s="2" t="s">
        <v>101</v>
      </c>
      <c r="S1555" s="8" t="s">
        <v>1934</v>
      </c>
      <c r="T1555" s="9">
        <v>46844</v>
      </c>
      <c r="U1555" s="8">
        <v>0</v>
      </c>
      <c r="V1555" s="20">
        <v>3150</v>
      </c>
      <c r="W1555" s="21" t="s">
        <v>16</v>
      </c>
    </row>
    <row r="1556" spans="1:23" ht="45">
      <c r="A1556" s="8" t="s">
        <v>3683</v>
      </c>
      <c r="B1556" s="8" t="s">
        <v>1608</v>
      </c>
      <c r="C1556" s="8" t="s">
        <v>2197</v>
      </c>
      <c r="D1556" s="8" t="s">
        <v>100</v>
      </c>
      <c r="E1556" s="8" t="s">
        <v>16</v>
      </c>
      <c r="F1556" s="8" t="s">
        <v>2204</v>
      </c>
      <c r="G1556" s="8" t="s">
        <v>3682</v>
      </c>
      <c r="H1556" s="8">
        <v>1080</v>
      </c>
      <c r="I1556" s="8">
        <v>1080</v>
      </c>
      <c r="J1556" s="8">
        <v>220221</v>
      </c>
      <c r="K1556" s="9">
        <v>44721</v>
      </c>
      <c r="L1556" s="9">
        <v>46508</v>
      </c>
      <c r="M1556" s="8" t="s">
        <v>16</v>
      </c>
      <c r="P1556" s="17" t="s">
        <v>1366</v>
      </c>
      <c r="Q1556" s="2" t="s">
        <v>101</v>
      </c>
      <c r="S1556" s="8" t="s">
        <v>1934</v>
      </c>
      <c r="T1556" s="9">
        <v>46874</v>
      </c>
      <c r="U1556" s="8">
        <v>0</v>
      </c>
      <c r="V1556" s="20">
        <v>4000</v>
      </c>
      <c r="W1556" s="21" t="s">
        <v>16</v>
      </c>
    </row>
    <row r="1557" spans="1:23" ht="45">
      <c r="A1557" s="8" t="s">
        <v>3683</v>
      </c>
      <c r="B1557" s="8" t="s">
        <v>1608</v>
      </c>
      <c r="C1557" s="8" t="s">
        <v>2197</v>
      </c>
      <c r="D1557" s="8" t="s">
        <v>18</v>
      </c>
      <c r="E1557" s="8" t="s">
        <v>16</v>
      </c>
      <c r="F1557" s="8" t="s">
        <v>2204</v>
      </c>
      <c r="G1557" s="8" t="s">
        <v>3682</v>
      </c>
      <c r="H1557" s="8">
        <v>39359</v>
      </c>
      <c r="I1557" s="8">
        <v>39359</v>
      </c>
      <c r="J1557" s="8">
        <v>230425</v>
      </c>
      <c r="K1557" s="9">
        <v>45166</v>
      </c>
      <c r="L1557" s="9">
        <v>46935</v>
      </c>
      <c r="M1557" s="8" t="s">
        <v>16</v>
      </c>
      <c r="P1557" s="17" t="s">
        <v>1367</v>
      </c>
      <c r="Q1557" s="2" t="s">
        <v>101</v>
      </c>
      <c r="S1557" s="8" t="s">
        <v>1940</v>
      </c>
      <c r="T1557" s="9">
        <v>46874</v>
      </c>
      <c r="U1557" s="8">
        <v>0</v>
      </c>
      <c r="V1557" s="20">
        <v>19585</v>
      </c>
      <c r="W1557" s="21" t="s">
        <v>16</v>
      </c>
    </row>
    <row r="1558" spans="1:23" ht="60">
      <c r="A1558" s="8" t="s">
        <v>3684</v>
      </c>
      <c r="B1558" s="8" t="s">
        <v>1609</v>
      </c>
      <c r="C1558" s="8" t="s">
        <v>2197</v>
      </c>
      <c r="D1558" s="8" t="s">
        <v>18</v>
      </c>
      <c r="E1558" s="8" t="s">
        <v>16</v>
      </c>
      <c r="F1558" s="8" t="s">
        <v>2228</v>
      </c>
      <c r="G1558" s="8" t="s">
        <v>3685</v>
      </c>
      <c r="H1558" s="8">
        <v>5</v>
      </c>
      <c r="I1558" s="8">
        <v>5</v>
      </c>
      <c r="J1558" s="8">
        <v>0</v>
      </c>
      <c r="K1558" s="9">
        <v>44018</v>
      </c>
      <c r="L1558" s="8" t="s">
        <v>2222</v>
      </c>
      <c r="M1558" s="8" t="s">
        <v>38</v>
      </c>
      <c r="P1558" s="17" t="s">
        <v>1367</v>
      </c>
      <c r="Q1558" s="2" t="s">
        <v>101</v>
      </c>
      <c r="S1558" s="8" t="s">
        <v>1945</v>
      </c>
      <c r="T1558" s="9">
        <v>47150</v>
      </c>
      <c r="U1558" s="8">
        <v>0</v>
      </c>
      <c r="V1558" s="20">
        <v>20</v>
      </c>
      <c r="W1558" s="21" t="s">
        <v>16</v>
      </c>
    </row>
    <row r="1559" spans="1:23" ht="45">
      <c r="A1559" s="8" t="s">
        <v>3686</v>
      </c>
      <c r="B1559" s="8" t="s">
        <v>1610</v>
      </c>
      <c r="C1559" s="8" t="s">
        <v>2221</v>
      </c>
      <c r="D1559" s="8" t="s">
        <v>18</v>
      </c>
      <c r="E1559" s="8" t="s">
        <v>2217</v>
      </c>
      <c r="F1559" s="8" t="s">
        <v>2217</v>
      </c>
      <c r="G1559" s="8" t="s">
        <v>2217</v>
      </c>
      <c r="H1559" s="8">
        <v>133</v>
      </c>
      <c r="I1559" s="8">
        <v>133</v>
      </c>
      <c r="J1559" s="8">
        <v>0</v>
      </c>
      <c r="K1559" s="9">
        <v>44691</v>
      </c>
      <c r="L1559" s="8" t="s">
        <v>2222</v>
      </c>
      <c r="M1559" s="8" t="s">
        <v>43</v>
      </c>
      <c r="P1559" s="17" t="s">
        <v>1368</v>
      </c>
      <c r="Q1559" s="2" t="s">
        <v>101</v>
      </c>
      <c r="S1559" s="8" t="s">
        <v>1946</v>
      </c>
      <c r="T1559" s="9">
        <v>46753</v>
      </c>
      <c r="U1559" s="8">
        <v>0</v>
      </c>
      <c r="V1559" s="20">
        <v>779</v>
      </c>
      <c r="W1559" s="21" t="s">
        <v>16</v>
      </c>
    </row>
    <row r="1560" spans="1:23" ht="90">
      <c r="A1560" s="8" t="s">
        <v>3687</v>
      </c>
      <c r="B1560" s="8" t="s">
        <v>1611</v>
      </c>
      <c r="C1560" s="8" t="s">
        <v>3417</v>
      </c>
      <c r="D1560" s="8" t="s">
        <v>18</v>
      </c>
      <c r="E1560" s="8" t="s">
        <v>101</v>
      </c>
      <c r="F1560" s="8" t="s">
        <v>101</v>
      </c>
      <c r="G1560" s="8" t="s">
        <v>3688</v>
      </c>
      <c r="H1560" s="8">
        <v>3525</v>
      </c>
      <c r="I1560" s="8">
        <v>3525</v>
      </c>
      <c r="J1560" s="8">
        <v>0</v>
      </c>
      <c r="K1560" s="8" t="s">
        <v>2222</v>
      </c>
      <c r="L1560" s="8" t="s">
        <v>2222</v>
      </c>
      <c r="M1560" s="8" t="s">
        <v>101</v>
      </c>
      <c r="P1560" s="17" t="s">
        <v>1369</v>
      </c>
      <c r="Q1560" s="2" t="s">
        <v>101</v>
      </c>
      <c r="S1560" s="8" t="s">
        <v>1947</v>
      </c>
      <c r="T1560" s="9">
        <v>46722</v>
      </c>
      <c r="U1560" s="8">
        <v>0</v>
      </c>
      <c r="V1560" s="20">
        <v>595</v>
      </c>
      <c r="W1560" s="21" t="s">
        <v>16</v>
      </c>
    </row>
    <row r="1561" spans="1:23" ht="135">
      <c r="A1561" s="8" t="s">
        <v>3689</v>
      </c>
      <c r="B1561" s="8" t="s">
        <v>1612</v>
      </c>
      <c r="C1561" s="8" t="s">
        <v>2221</v>
      </c>
      <c r="D1561" s="8" t="s">
        <v>18</v>
      </c>
      <c r="E1561" s="8" t="s">
        <v>101</v>
      </c>
      <c r="F1561" s="8" t="s">
        <v>2428</v>
      </c>
      <c r="G1561" s="8" t="s">
        <v>3690</v>
      </c>
      <c r="H1561" s="8">
        <v>1</v>
      </c>
      <c r="I1561" s="8">
        <v>1</v>
      </c>
      <c r="J1561" s="8">
        <v>0</v>
      </c>
      <c r="K1561" s="8" t="s">
        <v>2222</v>
      </c>
      <c r="L1561" s="8" t="s">
        <v>2222</v>
      </c>
      <c r="M1561" s="8" t="s">
        <v>101</v>
      </c>
      <c r="P1561" s="17" t="s">
        <v>1370</v>
      </c>
      <c r="Q1561" s="2" t="s">
        <v>101</v>
      </c>
      <c r="S1561" s="8" t="s">
        <v>1948</v>
      </c>
      <c r="T1561" s="9">
        <v>45748</v>
      </c>
      <c r="U1561" s="8">
        <v>0</v>
      </c>
      <c r="V1561" s="20">
        <v>1430</v>
      </c>
      <c r="W1561" s="21" t="s">
        <v>16</v>
      </c>
    </row>
    <row r="1562" spans="1:23" ht="135">
      <c r="A1562" s="8" t="s">
        <v>3691</v>
      </c>
      <c r="B1562" s="8" t="s">
        <v>1613</v>
      </c>
      <c r="C1562" s="8" t="s">
        <v>2221</v>
      </c>
      <c r="D1562" s="8" t="s">
        <v>18</v>
      </c>
      <c r="E1562" s="8" t="s">
        <v>101</v>
      </c>
      <c r="F1562" s="8" t="s">
        <v>2428</v>
      </c>
      <c r="G1562" s="8" t="s">
        <v>3690</v>
      </c>
      <c r="H1562" s="8">
        <v>130</v>
      </c>
      <c r="I1562" s="8">
        <v>130</v>
      </c>
      <c r="J1562" s="8">
        <v>0</v>
      </c>
      <c r="K1562" s="8" t="s">
        <v>2222</v>
      </c>
      <c r="L1562" s="8" t="s">
        <v>2222</v>
      </c>
      <c r="M1562" s="8" t="s">
        <v>101</v>
      </c>
      <c r="P1562" s="17" t="s">
        <v>1371</v>
      </c>
      <c r="Q1562" s="2" t="s">
        <v>101</v>
      </c>
      <c r="S1562" s="8" t="s">
        <v>1949</v>
      </c>
      <c r="T1562" s="9">
        <v>45689</v>
      </c>
      <c r="U1562" s="8">
        <v>0</v>
      </c>
      <c r="V1562" s="20">
        <v>121</v>
      </c>
      <c r="W1562" s="21" t="s">
        <v>16</v>
      </c>
    </row>
    <row r="1563" spans="1:23" ht="135">
      <c r="A1563" s="8" t="s">
        <v>3692</v>
      </c>
      <c r="B1563" s="8" t="s">
        <v>1614</v>
      </c>
      <c r="C1563" s="8" t="s">
        <v>2221</v>
      </c>
      <c r="D1563" s="8" t="s">
        <v>18</v>
      </c>
      <c r="E1563" s="8" t="s">
        <v>101</v>
      </c>
      <c r="F1563" s="8" t="s">
        <v>2428</v>
      </c>
      <c r="G1563" s="8" t="s">
        <v>3690</v>
      </c>
      <c r="H1563" s="8">
        <v>192</v>
      </c>
      <c r="I1563" s="8">
        <v>192</v>
      </c>
      <c r="J1563" s="8">
        <v>0</v>
      </c>
      <c r="K1563" s="8" t="s">
        <v>2222</v>
      </c>
      <c r="L1563" s="8" t="s">
        <v>2222</v>
      </c>
      <c r="M1563" s="8" t="s">
        <v>101</v>
      </c>
      <c r="P1563" s="17" t="s">
        <v>1372</v>
      </c>
      <c r="Q1563" s="2" t="s">
        <v>101</v>
      </c>
      <c r="S1563" s="8" t="s">
        <v>1951</v>
      </c>
      <c r="T1563" s="9">
        <v>45692</v>
      </c>
      <c r="U1563" s="8">
        <v>0</v>
      </c>
      <c r="V1563" s="20">
        <v>561</v>
      </c>
      <c r="W1563" s="21" t="s">
        <v>16</v>
      </c>
    </row>
    <row r="1564" spans="1:23" ht="135">
      <c r="A1564" s="8" t="s">
        <v>3693</v>
      </c>
      <c r="B1564" s="8" t="s">
        <v>1615</v>
      </c>
      <c r="C1564" s="8" t="s">
        <v>2221</v>
      </c>
      <c r="D1564" s="8" t="s">
        <v>18</v>
      </c>
      <c r="E1564" s="8" t="s">
        <v>101</v>
      </c>
      <c r="F1564" s="8" t="s">
        <v>2428</v>
      </c>
      <c r="G1564" s="8" t="s">
        <v>3690</v>
      </c>
      <c r="H1564" s="8">
        <v>102</v>
      </c>
      <c r="I1564" s="8">
        <v>102</v>
      </c>
      <c r="J1564" s="8">
        <v>0</v>
      </c>
      <c r="K1564" s="8" t="s">
        <v>2222</v>
      </c>
      <c r="L1564" s="8" t="s">
        <v>2222</v>
      </c>
      <c r="M1564" s="8" t="s">
        <v>101</v>
      </c>
      <c r="P1564" s="17" t="s">
        <v>1373</v>
      </c>
      <c r="Q1564" s="2" t="s">
        <v>101</v>
      </c>
      <c r="S1564" s="8" t="s">
        <v>1952</v>
      </c>
      <c r="T1564" s="9">
        <v>45692</v>
      </c>
      <c r="U1564" s="8">
        <v>0</v>
      </c>
      <c r="V1564" s="20">
        <v>165</v>
      </c>
      <c r="W1564" s="21" t="s">
        <v>16</v>
      </c>
    </row>
    <row r="1565" spans="1:23" ht="105">
      <c r="A1565" s="8" t="s">
        <v>3694</v>
      </c>
      <c r="B1565" s="8" t="s">
        <v>1616</v>
      </c>
      <c r="C1565" s="8" t="s">
        <v>2221</v>
      </c>
      <c r="D1565" s="8" t="s">
        <v>18</v>
      </c>
      <c r="E1565" s="8" t="s">
        <v>101</v>
      </c>
      <c r="F1565" s="8" t="s">
        <v>2428</v>
      </c>
      <c r="G1565" s="8" t="s">
        <v>3690</v>
      </c>
      <c r="H1565" s="8">
        <v>162</v>
      </c>
      <c r="I1565" s="8">
        <v>162</v>
      </c>
      <c r="J1565" s="8">
        <v>0</v>
      </c>
      <c r="K1565" s="8" t="s">
        <v>2222</v>
      </c>
      <c r="L1565" s="8" t="s">
        <v>2222</v>
      </c>
      <c r="M1565" s="8" t="s">
        <v>101</v>
      </c>
      <c r="P1565" s="17" t="s">
        <v>1374</v>
      </c>
      <c r="Q1565" s="2" t="s">
        <v>101</v>
      </c>
      <c r="S1565" s="8" t="s">
        <v>1953</v>
      </c>
      <c r="T1565" s="9" t="s">
        <v>2222</v>
      </c>
      <c r="U1565" s="8">
        <v>0</v>
      </c>
      <c r="V1565" s="20">
        <v>10</v>
      </c>
      <c r="W1565" s="21" t="s">
        <v>101</v>
      </c>
    </row>
    <row r="1566" spans="1:23" ht="105">
      <c r="A1566" s="8" t="s">
        <v>3695</v>
      </c>
      <c r="B1566" s="8" t="s">
        <v>1617</v>
      </c>
      <c r="C1566" s="8" t="s">
        <v>2221</v>
      </c>
      <c r="D1566" s="8" t="s">
        <v>18</v>
      </c>
      <c r="E1566" s="8" t="s">
        <v>101</v>
      </c>
      <c r="F1566" s="8" t="s">
        <v>2428</v>
      </c>
      <c r="G1566" s="8" t="s">
        <v>3690</v>
      </c>
      <c r="H1566" s="8">
        <v>373</v>
      </c>
      <c r="I1566" s="8">
        <v>373</v>
      </c>
      <c r="J1566" s="8">
        <v>0</v>
      </c>
      <c r="K1566" s="8" t="s">
        <v>2222</v>
      </c>
      <c r="L1566" s="8" t="s">
        <v>2222</v>
      </c>
      <c r="M1566" s="8" t="s">
        <v>101</v>
      </c>
      <c r="P1566" s="17" t="s">
        <v>1375</v>
      </c>
      <c r="Q1566" s="2" t="s">
        <v>101</v>
      </c>
      <c r="S1566" s="8" t="s">
        <v>1954</v>
      </c>
      <c r="T1566" s="9" t="s">
        <v>2222</v>
      </c>
      <c r="U1566" s="8">
        <v>0</v>
      </c>
      <c r="V1566" s="20">
        <v>5</v>
      </c>
      <c r="W1566" s="21" t="s">
        <v>101</v>
      </c>
    </row>
    <row r="1567" spans="1:23" ht="60">
      <c r="A1567" s="8" t="s">
        <v>3696</v>
      </c>
      <c r="B1567" s="8" t="s">
        <v>1618</v>
      </c>
      <c r="C1567" s="8" t="s">
        <v>2203</v>
      </c>
      <c r="D1567" s="8" t="s">
        <v>18</v>
      </c>
      <c r="E1567" s="8" t="s">
        <v>16</v>
      </c>
      <c r="F1567" s="8" t="s">
        <v>2198</v>
      </c>
      <c r="G1567" s="8" t="s">
        <v>3697</v>
      </c>
      <c r="H1567" s="8">
        <v>3390</v>
      </c>
      <c r="I1567" s="8">
        <v>3390</v>
      </c>
      <c r="J1567" s="8" t="s">
        <v>1619</v>
      </c>
      <c r="K1567" s="9">
        <v>45453</v>
      </c>
      <c r="L1567" s="9">
        <v>45992</v>
      </c>
      <c r="M1567" s="8" t="s">
        <v>16</v>
      </c>
      <c r="P1567" s="17" t="s">
        <v>1376</v>
      </c>
      <c r="Q1567" s="2" t="s">
        <v>101</v>
      </c>
      <c r="S1567" s="8" t="s">
        <v>1955</v>
      </c>
      <c r="T1567" s="9" t="s">
        <v>2222</v>
      </c>
      <c r="U1567" s="8">
        <v>0</v>
      </c>
      <c r="V1567" s="20">
        <v>1</v>
      </c>
      <c r="W1567" s="21" t="s">
        <v>101</v>
      </c>
    </row>
    <row r="1568" spans="1:23" ht="75">
      <c r="A1568" s="8" t="s">
        <v>3698</v>
      </c>
      <c r="B1568" s="8" t="s">
        <v>1620</v>
      </c>
      <c r="C1568" s="8" t="s">
        <v>2203</v>
      </c>
      <c r="D1568" s="8" t="s">
        <v>18</v>
      </c>
      <c r="E1568" s="8" t="s">
        <v>16</v>
      </c>
      <c r="F1568" s="8" t="s">
        <v>2198</v>
      </c>
      <c r="G1568" s="8" t="s">
        <v>3697</v>
      </c>
      <c r="H1568" s="8">
        <v>51</v>
      </c>
      <c r="I1568" s="8">
        <v>1</v>
      </c>
      <c r="J1568" s="8" t="s">
        <v>1621</v>
      </c>
      <c r="K1568" s="9">
        <v>45461</v>
      </c>
      <c r="L1568" s="9">
        <v>45778</v>
      </c>
      <c r="M1568" s="8" t="s">
        <v>16</v>
      </c>
      <c r="P1568" s="17" t="s">
        <v>1377</v>
      </c>
      <c r="Q1568" s="2" t="s">
        <v>101</v>
      </c>
      <c r="S1568" s="8" t="s">
        <v>1956</v>
      </c>
      <c r="T1568" s="9" t="s">
        <v>2222</v>
      </c>
      <c r="U1568" s="8">
        <v>0</v>
      </c>
      <c r="V1568" s="20">
        <v>190</v>
      </c>
      <c r="W1568" s="21" t="s">
        <v>101</v>
      </c>
    </row>
    <row r="1569" spans="1:23" ht="90">
      <c r="A1569" s="8" t="s">
        <v>3698</v>
      </c>
      <c r="B1569" s="8" t="s">
        <v>1620</v>
      </c>
      <c r="C1569" s="8" t="s">
        <v>2203</v>
      </c>
      <c r="D1569" s="8" t="s">
        <v>18</v>
      </c>
      <c r="E1569" s="8" t="s">
        <v>16</v>
      </c>
      <c r="F1569" s="8" t="s">
        <v>2198</v>
      </c>
      <c r="G1569" s="8" t="s">
        <v>3697</v>
      </c>
      <c r="H1569" s="8">
        <v>51</v>
      </c>
      <c r="I1569" s="8">
        <v>50</v>
      </c>
      <c r="J1569" s="8" t="s">
        <v>1622</v>
      </c>
      <c r="K1569" s="9">
        <v>45404</v>
      </c>
      <c r="L1569" s="9">
        <v>45962</v>
      </c>
      <c r="M1569" s="8" t="s">
        <v>16</v>
      </c>
      <c r="P1569" s="17" t="s">
        <v>1378</v>
      </c>
      <c r="Q1569" s="2" t="s">
        <v>101</v>
      </c>
      <c r="S1569" s="8" t="s">
        <v>1957</v>
      </c>
      <c r="T1569" s="9" t="s">
        <v>2222</v>
      </c>
      <c r="U1569" s="8">
        <v>0</v>
      </c>
      <c r="V1569" s="20">
        <v>176</v>
      </c>
      <c r="W1569" s="21" t="s">
        <v>101</v>
      </c>
    </row>
    <row r="1570" spans="1:23" ht="75">
      <c r="A1570" s="8" t="s">
        <v>3699</v>
      </c>
      <c r="B1570" s="8" t="s">
        <v>1620</v>
      </c>
      <c r="C1570" s="8" t="s">
        <v>2203</v>
      </c>
      <c r="D1570" s="8" t="s">
        <v>18</v>
      </c>
      <c r="E1570" s="8" t="s">
        <v>16</v>
      </c>
      <c r="F1570" s="8" t="s">
        <v>2198</v>
      </c>
      <c r="G1570" s="8" t="s">
        <v>3697</v>
      </c>
      <c r="H1570" s="8">
        <v>8503</v>
      </c>
      <c r="I1570" s="8">
        <v>500</v>
      </c>
      <c r="J1570" s="8" t="s">
        <v>1623</v>
      </c>
      <c r="K1570" s="9">
        <v>45311</v>
      </c>
      <c r="L1570" s="9">
        <v>45839</v>
      </c>
      <c r="M1570" s="8" t="s">
        <v>16</v>
      </c>
      <c r="P1570" s="17" t="s">
        <v>1379</v>
      </c>
      <c r="Q1570" s="2" t="s">
        <v>101</v>
      </c>
      <c r="S1570" s="8" t="s">
        <v>1958</v>
      </c>
      <c r="T1570" s="9" t="s">
        <v>2222</v>
      </c>
      <c r="U1570" s="8">
        <v>0</v>
      </c>
      <c r="V1570" s="20">
        <v>700</v>
      </c>
      <c r="W1570" s="21" t="s">
        <v>101</v>
      </c>
    </row>
    <row r="1571" spans="1:23" ht="90">
      <c r="A1571" s="8" t="s">
        <v>3699</v>
      </c>
      <c r="B1571" s="8" t="s">
        <v>1620</v>
      </c>
      <c r="C1571" s="8" t="s">
        <v>2203</v>
      </c>
      <c r="D1571" s="8" t="s">
        <v>18</v>
      </c>
      <c r="E1571" s="8" t="s">
        <v>16</v>
      </c>
      <c r="F1571" s="8" t="s">
        <v>2198</v>
      </c>
      <c r="G1571" s="8" t="s">
        <v>3697</v>
      </c>
      <c r="H1571" s="8">
        <v>8503</v>
      </c>
      <c r="I1571" s="8">
        <v>650</v>
      </c>
      <c r="J1571" s="8" t="s">
        <v>1624</v>
      </c>
      <c r="K1571" s="9">
        <v>45440</v>
      </c>
      <c r="L1571" s="9">
        <v>45992</v>
      </c>
      <c r="M1571" s="8" t="s">
        <v>16</v>
      </c>
      <c r="P1571" s="17" t="s">
        <v>1380</v>
      </c>
      <c r="Q1571" s="2" t="s">
        <v>101</v>
      </c>
      <c r="S1571" s="8" t="s">
        <v>1959</v>
      </c>
      <c r="T1571" s="9" t="s">
        <v>2222</v>
      </c>
      <c r="U1571" s="8">
        <v>0</v>
      </c>
      <c r="V1571" s="20">
        <v>627</v>
      </c>
      <c r="W1571" s="21" t="s">
        <v>101</v>
      </c>
    </row>
    <row r="1572" spans="1:23" ht="45">
      <c r="A1572" s="8" t="s">
        <v>3699</v>
      </c>
      <c r="B1572" s="8" t="s">
        <v>1620</v>
      </c>
      <c r="C1572" s="8" t="s">
        <v>2203</v>
      </c>
      <c r="D1572" s="8" t="s">
        <v>18</v>
      </c>
      <c r="E1572" s="8" t="s">
        <v>16</v>
      </c>
      <c r="F1572" s="8" t="s">
        <v>2198</v>
      </c>
      <c r="G1572" s="8" t="s">
        <v>3697</v>
      </c>
      <c r="H1572" s="8">
        <v>8503</v>
      </c>
      <c r="I1572" s="8">
        <v>3553</v>
      </c>
      <c r="J1572" s="8" t="s">
        <v>1621</v>
      </c>
      <c r="K1572" s="9">
        <v>45313</v>
      </c>
      <c r="L1572" s="9">
        <v>45778</v>
      </c>
      <c r="M1572" s="8" t="s">
        <v>16</v>
      </c>
      <c r="P1572" s="17" t="s">
        <v>1381</v>
      </c>
      <c r="Q1572" s="2" t="s">
        <v>101</v>
      </c>
      <c r="S1572" s="8" t="s">
        <v>1960</v>
      </c>
      <c r="T1572" s="9" t="s">
        <v>2222</v>
      </c>
      <c r="U1572" s="8">
        <v>0</v>
      </c>
      <c r="V1572" s="20">
        <v>2462</v>
      </c>
      <c r="W1572" s="21" t="s">
        <v>101</v>
      </c>
    </row>
    <row r="1573" spans="1:23" ht="90">
      <c r="A1573" s="8" t="s">
        <v>3699</v>
      </c>
      <c r="B1573" s="8" t="s">
        <v>1620</v>
      </c>
      <c r="C1573" s="8" t="s">
        <v>2203</v>
      </c>
      <c r="D1573" s="8" t="s">
        <v>18</v>
      </c>
      <c r="E1573" s="8" t="s">
        <v>16</v>
      </c>
      <c r="F1573" s="8" t="s">
        <v>2198</v>
      </c>
      <c r="G1573" s="8" t="s">
        <v>3697</v>
      </c>
      <c r="H1573" s="8">
        <v>8503</v>
      </c>
      <c r="I1573" s="8">
        <v>3800</v>
      </c>
      <c r="J1573" s="8" t="s">
        <v>1625</v>
      </c>
      <c r="K1573" s="9">
        <v>45422</v>
      </c>
      <c r="L1573" s="9">
        <v>45992</v>
      </c>
      <c r="M1573" s="8" t="s">
        <v>16</v>
      </c>
      <c r="P1573" s="17" t="s">
        <v>1382</v>
      </c>
      <c r="Q1573" s="2" t="s">
        <v>101</v>
      </c>
      <c r="S1573" s="8" t="s">
        <v>1961</v>
      </c>
      <c r="T1573" s="9" t="s">
        <v>2222</v>
      </c>
      <c r="U1573" s="8">
        <v>0</v>
      </c>
      <c r="V1573" s="20">
        <v>1378</v>
      </c>
      <c r="W1573" s="21" t="s">
        <v>101</v>
      </c>
    </row>
    <row r="1574" spans="1:23" ht="45">
      <c r="A1574" s="8" t="s">
        <v>3699</v>
      </c>
      <c r="B1574" s="8" t="s">
        <v>1620</v>
      </c>
      <c r="C1574" s="8" t="s">
        <v>2203</v>
      </c>
      <c r="D1574" s="8" t="s">
        <v>209</v>
      </c>
      <c r="E1574" s="8" t="s">
        <v>16</v>
      </c>
      <c r="F1574" s="8" t="s">
        <v>2198</v>
      </c>
      <c r="G1574" s="8" t="s">
        <v>3697</v>
      </c>
      <c r="H1574" s="8">
        <v>4200</v>
      </c>
      <c r="I1574" s="8">
        <v>4200</v>
      </c>
      <c r="J1574" s="8" t="s">
        <v>1626</v>
      </c>
      <c r="K1574" s="9">
        <v>45356</v>
      </c>
      <c r="L1574" s="9">
        <v>45962</v>
      </c>
      <c r="M1574" s="8" t="s">
        <v>16</v>
      </c>
      <c r="P1574" s="17" t="s">
        <v>1380</v>
      </c>
      <c r="Q1574" s="2" t="s">
        <v>101</v>
      </c>
      <c r="S1574" s="8" t="s">
        <v>1962</v>
      </c>
      <c r="T1574" s="9" t="s">
        <v>2222</v>
      </c>
      <c r="U1574" s="8">
        <v>0</v>
      </c>
      <c r="V1574" s="20">
        <v>28</v>
      </c>
      <c r="W1574" s="21" t="s">
        <v>101</v>
      </c>
    </row>
    <row r="1575" spans="1:23" ht="75">
      <c r="A1575" s="8" t="s">
        <v>3700</v>
      </c>
      <c r="B1575" s="8" t="s">
        <v>1627</v>
      </c>
      <c r="C1575" s="8" t="s">
        <v>2197</v>
      </c>
      <c r="D1575" s="8" t="s">
        <v>18</v>
      </c>
      <c r="E1575" s="8" t="s">
        <v>16</v>
      </c>
      <c r="F1575" s="8" t="s">
        <v>2228</v>
      </c>
      <c r="G1575" s="8" t="s">
        <v>3701</v>
      </c>
      <c r="H1575" s="8">
        <v>9160</v>
      </c>
      <c r="I1575" s="8">
        <v>9160</v>
      </c>
      <c r="J1575" s="8">
        <v>824193</v>
      </c>
      <c r="K1575" s="9">
        <v>45429</v>
      </c>
      <c r="L1575" s="9">
        <v>46143</v>
      </c>
      <c r="M1575" s="8" t="s">
        <v>16</v>
      </c>
      <c r="P1575" s="17" t="s">
        <v>1383</v>
      </c>
      <c r="Q1575" s="2" t="s">
        <v>101</v>
      </c>
      <c r="S1575" s="8" t="s">
        <v>1963</v>
      </c>
      <c r="T1575" s="9" t="s">
        <v>2222</v>
      </c>
      <c r="U1575" s="8">
        <v>0</v>
      </c>
      <c r="V1575" s="20">
        <v>115</v>
      </c>
      <c r="W1575" s="21" t="s">
        <v>101</v>
      </c>
    </row>
    <row r="1576" spans="1:23" ht="75">
      <c r="A1576" s="8" t="s">
        <v>3702</v>
      </c>
      <c r="B1576" s="8" t="s">
        <v>1628</v>
      </c>
      <c r="C1576" s="8" t="s">
        <v>2221</v>
      </c>
      <c r="D1576" s="8" t="s">
        <v>18</v>
      </c>
      <c r="E1576" s="8" t="s">
        <v>2217</v>
      </c>
      <c r="F1576" s="8" t="s">
        <v>2217</v>
      </c>
      <c r="G1576" s="8" t="s">
        <v>2217</v>
      </c>
      <c r="H1576" s="8">
        <v>7</v>
      </c>
      <c r="I1576" s="8">
        <v>7</v>
      </c>
      <c r="J1576" s="8">
        <v>0</v>
      </c>
      <c r="K1576" s="9">
        <v>45187</v>
      </c>
      <c r="L1576" s="8" t="s">
        <v>2222</v>
      </c>
      <c r="M1576" s="8" t="s">
        <v>43</v>
      </c>
      <c r="P1576" s="17" t="s">
        <v>1384</v>
      </c>
      <c r="Q1576" s="2" t="s">
        <v>101</v>
      </c>
      <c r="S1576" s="8" t="s">
        <v>1964</v>
      </c>
      <c r="T1576" s="9" t="s">
        <v>2222</v>
      </c>
      <c r="U1576" s="8">
        <v>0</v>
      </c>
      <c r="V1576" s="20">
        <v>44</v>
      </c>
      <c r="W1576" s="21" t="s">
        <v>101</v>
      </c>
    </row>
    <row r="1577" spans="1:23" ht="75">
      <c r="A1577" s="8" t="s">
        <v>3703</v>
      </c>
      <c r="B1577" s="8" t="s">
        <v>1629</v>
      </c>
      <c r="C1577" s="8" t="s">
        <v>2203</v>
      </c>
      <c r="D1577" s="8" t="s">
        <v>18</v>
      </c>
      <c r="E1577" s="8" t="s">
        <v>101</v>
      </c>
      <c r="F1577" s="8" t="s">
        <v>3704</v>
      </c>
      <c r="G1577" s="8" t="s">
        <v>3705</v>
      </c>
      <c r="H1577" s="8">
        <v>12</v>
      </c>
      <c r="I1577" s="8">
        <v>12</v>
      </c>
      <c r="J1577" s="8">
        <v>0</v>
      </c>
      <c r="K1577" s="8" t="s">
        <v>2222</v>
      </c>
      <c r="L1577" s="8" t="s">
        <v>2222</v>
      </c>
      <c r="M1577" s="8" t="s">
        <v>101</v>
      </c>
      <c r="P1577" s="17" t="s">
        <v>1384</v>
      </c>
      <c r="Q1577" s="2" t="s">
        <v>101</v>
      </c>
      <c r="S1577" s="8" t="s">
        <v>1965</v>
      </c>
      <c r="T1577" s="9" t="s">
        <v>2222</v>
      </c>
      <c r="U1577" s="8">
        <v>0</v>
      </c>
      <c r="V1577" s="20">
        <v>1</v>
      </c>
      <c r="W1577" s="21" t="s">
        <v>41</v>
      </c>
    </row>
    <row r="1578" spans="1:23" ht="75">
      <c r="A1578" s="8" t="s">
        <v>3706</v>
      </c>
      <c r="B1578" s="8" t="s">
        <v>1630</v>
      </c>
      <c r="C1578" s="8" t="s">
        <v>2203</v>
      </c>
      <c r="D1578" s="8" t="s">
        <v>18</v>
      </c>
      <c r="E1578" s="8" t="s">
        <v>101</v>
      </c>
      <c r="F1578" s="8" t="s">
        <v>3704</v>
      </c>
      <c r="G1578" s="8" t="s">
        <v>3705</v>
      </c>
      <c r="H1578" s="8">
        <v>16</v>
      </c>
      <c r="I1578" s="8">
        <v>16</v>
      </c>
      <c r="J1578" s="8">
        <v>0</v>
      </c>
      <c r="K1578" s="8" t="s">
        <v>2222</v>
      </c>
      <c r="L1578" s="8" t="s">
        <v>2222</v>
      </c>
      <c r="M1578" s="8" t="s">
        <v>101</v>
      </c>
      <c r="P1578" s="17" t="s">
        <v>1385</v>
      </c>
      <c r="Q1578" s="2" t="s">
        <v>101</v>
      </c>
      <c r="S1578" s="8" t="s">
        <v>1966</v>
      </c>
      <c r="T1578" s="9" t="s">
        <v>2222</v>
      </c>
      <c r="U1578" s="8">
        <v>0</v>
      </c>
      <c r="V1578" s="20">
        <v>1</v>
      </c>
      <c r="W1578" s="21" t="s">
        <v>41</v>
      </c>
    </row>
    <row r="1579" spans="1:23" ht="75">
      <c r="A1579" s="8" t="s">
        <v>3707</v>
      </c>
      <c r="B1579" s="8" t="s">
        <v>1630</v>
      </c>
      <c r="C1579" s="8" t="s">
        <v>2203</v>
      </c>
      <c r="D1579" s="8" t="s">
        <v>18</v>
      </c>
      <c r="E1579" s="8" t="s">
        <v>101</v>
      </c>
      <c r="F1579" s="8" t="s">
        <v>3704</v>
      </c>
      <c r="G1579" s="8" t="s">
        <v>3705</v>
      </c>
      <c r="H1579" s="8">
        <v>409</v>
      </c>
      <c r="I1579" s="8">
        <v>409</v>
      </c>
      <c r="J1579" s="8">
        <v>0</v>
      </c>
      <c r="K1579" s="8" t="s">
        <v>2222</v>
      </c>
      <c r="L1579" s="8" t="s">
        <v>2222</v>
      </c>
      <c r="M1579" s="8" t="s">
        <v>101</v>
      </c>
      <c r="P1579" s="17" t="s">
        <v>1386</v>
      </c>
      <c r="Q1579" s="2" t="s">
        <v>101</v>
      </c>
      <c r="S1579" s="8" t="s">
        <v>1967</v>
      </c>
      <c r="T1579" s="9" t="s">
        <v>2222</v>
      </c>
      <c r="U1579" s="8">
        <v>0</v>
      </c>
      <c r="V1579" s="20">
        <v>12</v>
      </c>
      <c r="W1579" s="21" t="s">
        <v>41</v>
      </c>
    </row>
    <row r="1580" spans="1:23" ht="75">
      <c r="A1580" s="8" t="s">
        <v>3708</v>
      </c>
      <c r="B1580" s="8" t="s">
        <v>1631</v>
      </c>
      <c r="C1580" s="8" t="s">
        <v>2203</v>
      </c>
      <c r="D1580" s="8" t="s">
        <v>18</v>
      </c>
      <c r="E1580" s="8" t="s">
        <v>101</v>
      </c>
      <c r="F1580" s="8" t="s">
        <v>3704</v>
      </c>
      <c r="G1580" s="8" t="s">
        <v>3705</v>
      </c>
      <c r="H1580" s="8">
        <v>232</v>
      </c>
      <c r="I1580" s="8">
        <v>232</v>
      </c>
      <c r="J1580" s="8">
        <v>0</v>
      </c>
      <c r="K1580" s="9">
        <v>45416</v>
      </c>
      <c r="L1580" s="8" t="s">
        <v>2222</v>
      </c>
      <c r="M1580" s="8" t="s">
        <v>101</v>
      </c>
      <c r="P1580" s="17" t="s">
        <v>1387</v>
      </c>
      <c r="Q1580" s="2" t="s">
        <v>101</v>
      </c>
      <c r="S1580" s="8" t="s">
        <v>1968</v>
      </c>
      <c r="T1580" s="9" t="s">
        <v>2222</v>
      </c>
      <c r="U1580" s="8">
        <v>0</v>
      </c>
      <c r="V1580" s="20">
        <v>54</v>
      </c>
      <c r="W1580" s="21" t="s">
        <v>41</v>
      </c>
    </row>
    <row r="1581" spans="1:23" ht="75">
      <c r="A1581" s="8" t="s">
        <v>3709</v>
      </c>
      <c r="B1581" s="8" t="s">
        <v>1632</v>
      </c>
      <c r="C1581" s="8" t="s">
        <v>2203</v>
      </c>
      <c r="D1581" s="8" t="s">
        <v>18</v>
      </c>
      <c r="E1581" s="8" t="s">
        <v>101</v>
      </c>
      <c r="F1581" s="8" t="s">
        <v>3704</v>
      </c>
      <c r="G1581" s="8" t="s">
        <v>3705</v>
      </c>
      <c r="H1581" s="8">
        <v>422</v>
      </c>
      <c r="I1581" s="8">
        <v>422</v>
      </c>
      <c r="J1581" s="8">
        <v>0</v>
      </c>
      <c r="K1581" s="8" t="s">
        <v>2222</v>
      </c>
      <c r="L1581" s="8" t="s">
        <v>2222</v>
      </c>
      <c r="M1581" s="8" t="s">
        <v>101</v>
      </c>
      <c r="P1581" s="17" t="s">
        <v>1388</v>
      </c>
      <c r="Q1581" s="2" t="s">
        <v>38</v>
      </c>
      <c r="S1581" s="8" t="s">
        <v>1969</v>
      </c>
      <c r="T1581" s="9">
        <v>47239</v>
      </c>
      <c r="U1581" s="8">
        <v>0</v>
      </c>
      <c r="V1581" s="20">
        <v>194</v>
      </c>
      <c r="W1581" s="21" t="s">
        <v>16</v>
      </c>
    </row>
    <row r="1582" spans="1:23" ht="75">
      <c r="A1582" s="8" t="s">
        <v>3710</v>
      </c>
      <c r="B1582" s="8" t="s">
        <v>1633</v>
      </c>
      <c r="C1582" s="8" t="s">
        <v>2203</v>
      </c>
      <c r="D1582" s="8" t="s">
        <v>18</v>
      </c>
      <c r="E1582" s="8" t="s">
        <v>101</v>
      </c>
      <c r="F1582" s="8" t="s">
        <v>3704</v>
      </c>
      <c r="G1582" s="8" t="s">
        <v>3705</v>
      </c>
      <c r="H1582" s="8">
        <v>502</v>
      </c>
      <c r="I1582" s="8">
        <v>502</v>
      </c>
      <c r="J1582" s="8">
        <v>0</v>
      </c>
      <c r="K1582" s="9">
        <v>45416</v>
      </c>
      <c r="L1582" s="8" t="s">
        <v>2222</v>
      </c>
      <c r="M1582" s="8" t="s">
        <v>101</v>
      </c>
      <c r="P1582" s="17" t="s">
        <v>1389</v>
      </c>
      <c r="Q1582" s="2" t="s">
        <v>38</v>
      </c>
      <c r="S1582" s="8" t="s">
        <v>1971</v>
      </c>
      <c r="T1582" s="9">
        <v>46753</v>
      </c>
      <c r="U1582" s="8">
        <v>0</v>
      </c>
      <c r="V1582" s="20">
        <v>8</v>
      </c>
      <c r="W1582" s="21" t="s">
        <v>16</v>
      </c>
    </row>
    <row r="1583" spans="1:23" ht="75">
      <c r="A1583" s="8" t="s">
        <v>3711</v>
      </c>
      <c r="B1583" s="8" t="s">
        <v>1634</v>
      </c>
      <c r="C1583" s="8" t="s">
        <v>2203</v>
      </c>
      <c r="D1583" s="8" t="s">
        <v>18</v>
      </c>
      <c r="E1583" s="8" t="s">
        <v>101</v>
      </c>
      <c r="F1583" s="8" t="s">
        <v>3704</v>
      </c>
      <c r="G1583" s="8" t="s">
        <v>3705</v>
      </c>
      <c r="H1583" s="8">
        <v>7</v>
      </c>
      <c r="I1583" s="8">
        <v>7</v>
      </c>
      <c r="J1583" s="8">
        <v>0</v>
      </c>
      <c r="K1583" s="8" t="s">
        <v>2222</v>
      </c>
      <c r="L1583" s="8" t="s">
        <v>2222</v>
      </c>
      <c r="M1583" s="8" t="s">
        <v>101</v>
      </c>
      <c r="P1583" s="17" t="s">
        <v>1390</v>
      </c>
      <c r="Q1583" s="2" t="s">
        <v>101</v>
      </c>
      <c r="S1583" s="8" t="s">
        <v>1971</v>
      </c>
      <c r="T1583" s="9">
        <v>47239</v>
      </c>
      <c r="U1583" s="8">
        <v>0</v>
      </c>
      <c r="V1583" s="20">
        <v>3340</v>
      </c>
      <c r="W1583" s="21" t="s">
        <v>16</v>
      </c>
    </row>
    <row r="1584" spans="1:23" ht="90">
      <c r="A1584" s="8" t="s">
        <v>3712</v>
      </c>
      <c r="B1584" s="8" t="s">
        <v>1635</v>
      </c>
      <c r="C1584" s="8" t="s">
        <v>2203</v>
      </c>
      <c r="D1584" s="8" t="s">
        <v>18</v>
      </c>
      <c r="E1584" s="8" t="s">
        <v>101</v>
      </c>
      <c r="F1584" s="8" t="s">
        <v>3704</v>
      </c>
      <c r="G1584" s="8" t="s">
        <v>3705</v>
      </c>
      <c r="H1584" s="8">
        <v>2700</v>
      </c>
      <c r="I1584" s="8">
        <v>2700</v>
      </c>
      <c r="J1584" s="8">
        <v>0</v>
      </c>
      <c r="K1584" s="8" t="s">
        <v>2222</v>
      </c>
      <c r="L1584" s="8" t="s">
        <v>2222</v>
      </c>
      <c r="M1584" s="8" t="s">
        <v>101</v>
      </c>
      <c r="P1584" s="17" t="s">
        <v>1391</v>
      </c>
      <c r="Q1584" s="2" t="s">
        <v>101</v>
      </c>
      <c r="S1584" s="8" t="s">
        <v>1975</v>
      </c>
      <c r="T1584" s="9">
        <v>47239</v>
      </c>
      <c r="U1584" s="8">
        <v>0</v>
      </c>
      <c r="V1584" s="20">
        <v>168</v>
      </c>
      <c r="W1584" s="21" t="s">
        <v>16</v>
      </c>
    </row>
    <row r="1585" spans="1:23" ht="75">
      <c r="A1585" s="8" t="s">
        <v>3713</v>
      </c>
      <c r="B1585" s="8" t="s">
        <v>1636</v>
      </c>
      <c r="C1585" s="8" t="s">
        <v>2203</v>
      </c>
      <c r="D1585" s="8" t="s">
        <v>18</v>
      </c>
      <c r="E1585" s="8" t="s">
        <v>101</v>
      </c>
      <c r="F1585" s="8" t="s">
        <v>3704</v>
      </c>
      <c r="G1585" s="8" t="s">
        <v>3705</v>
      </c>
      <c r="H1585" s="8">
        <v>39</v>
      </c>
      <c r="I1585" s="8">
        <v>39</v>
      </c>
      <c r="J1585" s="8">
        <v>0</v>
      </c>
      <c r="K1585" s="8" t="s">
        <v>2222</v>
      </c>
      <c r="L1585" s="8" t="s">
        <v>2222</v>
      </c>
      <c r="M1585" s="8" t="s">
        <v>101</v>
      </c>
      <c r="P1585" s="17" t="s">
        <v>1392</v>
      </c>
      <c r="Q1585" s="2" t="s">
        <v>101</v>
      </c>
      <c r="S1585" s="8" t="s">
        <v>1976</v>
      </c>
      <c r="T1585" s="9" t="s">
        <v>2222</v>
      </c>
      <c r="U1585" s="8">
        <v>0</v>
      </c>
      <c r="V1585" s="20">
        <v>81</v>
      </c>
      <c r="W1585" s="21" t="s">
        <v>41</v>
      </c>
    </row>
    <row r="1586" spans="1:23" ht="75">
      <c r="A1586" s="8" t="s">
        <v>3714</v>
      </c>
      <c r="B1586" s="8" t="s">
        <v>1637</v>
      </c>
      <c r="C1586" s="8" t="s">
        <v>2203</v>
      </c>
      <c r="D1586" s="8" t="s">
        <v>18</v>
      </c>
      <c r="E1586" s="8" t="s">
        <v>101</v>
      </c>
      <c r="F1586" s="8" t="s">
        <v>3704</v>
      </c>
      <c r="G1586" s="8" t="s">
        <v>3705</v>
      </c>
      <c r="H1586" s="8">
        <v>1746</v>
      </c>
      <c r="I1586" s="8">
        <v>1746</v>
      </c>
      <c r="J1586" s="8">
        <v>0</v>
      </c>
      <c r="K1586" s="8" t="s">
        <v>2222</v>
      </c>
      <c r="L1586" s="8" t="s">
        <v>2222</v>
      </c>
      <c r="M1586" s="8" t="s">
        <v>101</v>
      </c>
      <c r="P1586" s="17" t="s">
        <v>1392</v>
      </c>
      <c r="Q1586" s="2" t="s">
        <v>101</v>
      </c>
      <c r="S1586" s="8" t="s">
        <v>1977</v>
      </c>
      <c r="T1586" s="9" t="s">
        <v>2222</v>
      </c>
      <c r="U1586" s="8">
        <v>0</v>
      </c>
      <c r="V1586" s="20">
        <v>14</v>
      </c>
      <c r="W1586" s="21" t="s">
        <v>43</v>
      </c>
    </row>
    <row r="1587" spans="1:23" ht="75">
      <c r="A1587" s="8" t="s">
        <v>3715</v>
      </c>
      <c r="B1587" s="8" t="s">
        <v>1638</v>
      </c>
      <c r="C1587" s="8" t="s">
        <v>2203</v>
      </c>
      <c r="D1587" s="8" t="s">
        <v>18</v>
      </c>
      <c r="E1587" s="8" t="s">
        <v>101</v>
      </c>
      <c r="F1587" s="8" t="s">
        <v>3704</v>
      </c>
      <c r="G1587" s="8" t="s">
        <v>3705</v>
      </c>
      <c r="H1587" s="8">
        <v>150</v>
      </c>
      <c r="I1587" s="8">
        <v>150</v>
      </c>
      <c r="J1587" s="8">
        <v>0</v>
      </c>
      <c r="K1587" s="8" t="s">
        <v>2222</v>
      </c>
      <c r="L1587" s="8" t="s">
        <v>2222</v>
      </c>
      <c r="M1587" s="8" t="s">
        <v>101</v>
      </c>
      <c r="P1587" s="16" t="s">
        <v>1393</v>
      </c>
      <c r="Q1587" s="2" t="s">
        <v>101</v>
      </c>
      <c r="S1587" s="8" t="s">
        <v>1978</v>
      </c>
      <c r="T1587" s="9" t="s">
        <v>2222</v>
      </c>
      <c r="U1587" s="8">
        <v>0</v>
      </c>
      <c r="V1587" s="20">
        <v>9</v>
      </c>
      <c r="W1587" s="21" t="s">
        <v>38</v>
      </c>
    </row>
    <row r="1588" spans="1:23" ht="75">
      <c r="A1588" s="8" t="s">
        <v>3716</v>
      </c>
      <c r="B1588" s="8" t="s">
        <v>1639</v>
      </c>
      <c r="C1588" s="8" t="s">
        <v>2221</v>
      </c>
      <c r="D1588" s="8" t="s">
        <v>18</v>
      </c>
      <c r="E1588" s="8" t="s">
        <v>2217</v>
      </c>
      <c r="F1588" s="8" t="s">
        <v>2217</v>
      </c>
      <c r="G1588" s="8" t="s">
        <v>2217</v>
      </c>
      <c r="H1588" s="8">
        <v>2</v>
      </c>
      <c r="I1588" s="8">
        <v>2</v>
      </c>
      <c r="J1588" s="8">
        <v>0</v>
      </c>
      <c r="K1588" s="8" t="s">
        <v>2222</v>
      </c>
      <c r="L1588" s="8" t="s">
        <v>2222</v>
      </c>
      <c r="M1588" s="8" t="s">
        <v>1640</v>
      </c>
      <c r="P1588" s="17" t="s">
        <v>1394</v>
      </c>
      <c r="Q1588" s="2" t="s">
        <v>38</v>
      </c>
      <c r="S1588" s="8" t="s">
        <v>1979</v>
      </c>
      <c r="T1588" s="9">
        <v>45931</v>
      </c>
      <c r="U1588" s="8">
        <v>0</v>
      </c>
      <c r="V1588" s="20">
        <v>1469</v>
      </c>
      <c r="W1588" s="21" t="s">
        <v>16</v>
      </c>
    </row>
    <row r="1589" spans="1:23" ht="75">
      <c r="A1589" s="8" t="s">
        <v>3717</v>
      </c>
      <c r="B1589" s="8" t="s">
        <v>1641</v>
      </c>
      <c r="C1589" s="8" t="s">
        <v>2221</v>
      </c>
      <c r="D1589" s="8" t="s">
        <v>18</v>
      </c>
      <c r="E1589" s="8" t="s">
        <v>2217</v>
      </c>
      <c r="F1589" s="8" t="s">
        <v>2217</v>
      </c>
      <c r="G1589" s="8" t="s">
        <v>2217</v>
      </c>
      <c r="H1589" s="8">
        <v>2</v>
      </c>
      <c r="I1589" s="8">
        <v>2</v>
      </c>
      <c r="J1589" s="8">
        <v>0</v>
      </c>
      <c r="K1589" s="8" t="s">
        <v>2222</v>
      </c>
      <c r="L1589" s="8" t="s">
        <v>2222</v>
      </c>
      <c r="M1589" s="8" t="s">
        <v>1640</v>
      </c>
      <c r="P1589" s="17" t="s">
        <v>1395</v>
      </c>
      <c r="Q1589" s="2" t="s">
        <v>38</v>
      </c>
      <c r="S1589" s="8" t="s">
        <v>1980</v>
      </c>
      <c r="T1589" s="9">
        <v>47027</v>
      </c>
      <c r="U1589" s="8">
        <v>0</v>
      </c>
      <c r="V1589" s="20">
        <v>21</v>
      </c>
      <c r="W1589" s="21" t="s">
        <v>16</v>
      </c>
    </row>
    <row r="1590" spans="1:23" ht="75">
      <c r="A1590" s="8" t="s">
        <v>3718</v>
      </c>
      <c r="B1590" s="8" t="s">
        <v>1642</v>
      </c>
      <c r="C1590" s="8" t="s">
        <v>2221</v>
      </c>
      <c r="D1590" s="8" t="s">
        <v>18</v>
      </c>
      <c r="E1590" s="8" t="s">
        <v>2217</v>
      </c>
      <c r="F1590" s="8" t="s">
        <v>2217</v>
      </c>
      <c r="G1590" s="8" t="s">
        <v>2217</v>
      </c>
      <c r="H1590" s="8">
        <v>2</v>
      </c>
      <c r="I1590" s="8">
        <v>2</v>
      </c>
      <c r="J1590" s="8">
        <v>0</v>
      </c>
      <c r="K1590" s="8" t="s">
        <v>2222</v>
      </c>
      <c r="L1590" s="8" t="s">
        <v>2222</v>
      </c>
      <c r="M1590" s="8" t="s">
        <v>1640</v>
      </c>
      <c r="P1590" s="17" t="s">
        <v>1396</v>
      </c>
      <c r="Q1590" s="2" t="s">
        <v>38</v>
      </c>
      <c r="S1590" s="8" t="s">
        <v>1980</v>
      </c>
      <c r="T1590" s="9">
        <v>46419</v>
      </c>
      <c r="U1590" s="8">
        <v>0</v>
      </c>
      <c r="V1590" s="20">
        <v>238</v>
      </c>
      <c r="W1590" s="21" t="s">
        <v>16</v>
      </c>
    </row>
    <row r="1591" spans="1:23" ht="75">
      <c r="A1591" s="8" t="s">
        <v>3719</v>
      </c>
      <c r="B1591" s="8" t="s">
        <v>1643</v>
      </c>
      <c r="C1591" s="8" t="s">
        <v>2221</v>
      </c>
      <c r="D1591" s="8" t="s">
        <v>18</v>
      </c>
      <c r="E1591" s="8" t="s">
        <v>2217</v>
      </c>
      <c r="F1591" s="8" t="s">
        <v>2217</v>
      </c>
      <c r="G1591" s="8" t="s">
        <v>2217</v>
      </c>
      <c r="H1591" s="8">
        <v>1</v>
      </c>
      <c r="I1591" s="8">
        <v>1</v>
      </c>
      <c r="J1591" s="8">
        <v>0</v>
      </c>
      <c r="K1591" s="8" t="s">
        <v>2222</v>
      </c>
      <c r="L1591" s="8" t="s">
        <v>2222</v>
      </c>
      <c r="M1591" s="8" t="s">
        <v>1640</v>
      </c>
      <c r="P1591" s="17" t="s">
        <v>1397</v>
      </c>
      <c r="Q1591" s="2" t="s">
        <v>38</v>
      </c>
      <c r="S1591" s="8" t="s">
        <v>1980</v>
      </c>
      <c r="T1591" s="9">
        <v>46508</v>
      </c>
      <c r="U1591" s="8">
        <v>0</v>
      </c>
      <c r="V1591" s="20">
        <v>280</v>
      </c>
      <c r="W1591" s="21" t="s">
        <v>16</v>
      </c>
    </row>
    <row r="1592" spans="1:23" ht="75">
      <c r="A1592" s="8" t="s">
        <v>3720</v>
      </c>
      <c r="B1592" s="8" t="s">
        <v>1644</v>
      </c>
      <c r="C1592" s="8" t="s">
        <v>2221</v>
      </c>
      <c r="D1592" s="8" t="s">
        <v>18</v>
      </c>
      <c r="E1592" s="8" t="s">
        <v>2217</v>
      </c>
      <c r="F1592" s="8" t="s">
        <v>2217</v>
      </c>
      <c r="G1592" s="8" t="s">
        <v>2217</v>
      </c>
      <c r="H1592" s="8">
        <v>1</v>
      </c>
      <c r="I1592" s="8">
        <v>1</v>
      </c>
      <c r="J1592" s="8">
        <v>0</v>
      </c>
      <c r="K1592" s="8" t="s">
        <v>2222</v>
      </c>
      <c r="L1592" s="8" t="s">
        <v>2222</v>
      </c>
      <c r="M1592" s="8" t="s">
        <v>1640</v>
      </c>
      <c r="P1592" s="17" t="s">
        <v>1398</v>
      </c>
      <c r="Q1592" s="2" t="s">
        <v>38</v>
      </c>
      <c r="S1592" s="8" t="s">
        <v>1981</v>
      </c>
      <c r="T1592" s="9">
        <v>46935</v>
      </c>
      <c r="U1592" s="8">
        <v>0</v>
      </c>
      <c r="V1592" s="20">
        <v>10</v>
      </c>
      <c r="W1592" s="21" t="s">
        <v>16</v>
      </c>
    </row>
    <row r="1593" spans="1:23" ht="75">
      <c r="A1593" s="8" t="s">
        <v>3721</v>
      </c>
      <c r="B1593" s="8" t="s">
        <v>1645</v>
      </c>
      <c r="C1593" s="8" t="s">
        <v>2221</v>
      </c>
      <c r="D1593" s="8" t="s">
        <v>18</v>
      </c>
      <c r="E1593" s="8" t="s">
        <v>2217</v>
      </c>
      <c r="F1593" s="8" t="s">
        <v>2217</v>
      </c>
      <c r="G1593" s="8" t="s">
        <v>2217</v>
      </c>
      <c r="H1593" s="8">
        <v>1</v>
      </c>
      <c r="I1593" s="8">
        <v>1</v>
      </c>
      <c r="J1593" s="8">
        <v>0</v>
      </c>
      <c r="K1593" s="8" t="s">
        <v>2222</v>
      </c>
      <c r="L1593" s="8" t="s">
        <v>2222</v>
      </c>
      <c r="M1593" s="8" t="s">
        <v>1640</v>
      </c>
      <c r="P1593" s="17" t="s">
        <v>1399</v>
      </c>
      <c r="Q1593" s="2" t="s">
        <v>38</v>
      </c>
      <c r="S1593" s="8" t="s">
        <v>1981</v>
      </c>
      <c r="T1593" s="9">
        <v>46508</v>
      </c>
      <c r="U1593" s="8">
        <v>0</v>
      </c>
      <c r="V1593" s="20">
        <v>1500</v>
      </c>
      <c r="W1593" s="21" t="s">
        <v>16</v>
      </c>
    </row>
    <row r="1594" spans="1:23" ht="75">
      <c r="A1594" s="8" t="s">
        <v>3722</v>
      </c>
      <c r="B1594" s="8" t="s">
        <v>1646</v>
      </c>
      <c r="C1594" s="8" t="s">
        <v>2221</v>
      </c>
      <c r="D1594" s="8" t="s">
        <v>18</v>
      </c>
      <c r="E1594" s="8" t="s">
        <v>2217</v>
      </c>
      <c r="F1594" s="8" t="s">
        <v>2217</v>
      </c>
      <c r="G1594" s="8" t="s">
        <v>2217</v>
      </c>
      <c r="H1594" s="8">
        <v>1</v>
      </c>
      <c r="I1594" s="8">
        <v>1</v>
      </c>
      <c r="J1594" s="8">
        <v>0</v>
      </c>
      <c r="K1594" s="8" t="s">
        <v>2222</v>
      </c>
      <c r="L1594" s="8" t="s">
        <v>2222</v>
      </c>
      <c r="M1594" s="8" t="s">
        <v>1640</v>
      </c>
      <c r="P1594" s="17" t="s">
        <v>1400</v>
      </c>
      <c r="Q1594" s="2" t="s">
        <v>38</v>
      </c>
      <c r="S1594" s="8" t="s">
        <v>1981</v>
      </c>
      <c r="T1594" s="9">
        <v>47088</v>
      </c>
      <c r="U1594" s="8">
        <v>0</v>
      </c>
      <c r="V1594" s="20">
        <v>9060</v>
      </c>
      <c r="W1594" s="21" t="s">
        <v>16</v>
      </c>
    </row>
    <row r="1595" spans="1:23" ht="75">
      <c r="A1595" s="8" t="s">
        <v>3723</v>
      </c>
      <c r="B1595" s="8" t="s">
        <v>1647</v>
      </c>
      <c r="C1595" s="8" t="s">
        <v>2221</v>
      </c>
      <c r="D1595" s="8" t="s">
        <v>18</v>
      </c>
      <c r="E1595" s="8" t="s">
        <v>2217</v>
      </c>
      <c r="F1595" s="8" t="s">
        <v>2217</v>
      </c>
      <c r="G1595" s="8" t="s">
        <v>2217</v>
      </c>
      <c r="H1595" s="8">
        <v>1</v>
      </c>
      <c r="I1595" s="8">
        <v>1</v>
      </c>
      <c r="J1595" s="8">
        <v>0</v>
      </c>
      <c r="K1595" s="8" t="s">
        <v>2222</v>
      </c>
      <c r="L1595" s="8" t="s">
        <v>2222</v>
      </c>
      <c r="M1595" s="8" t="s">
        <v>1640</v>
      </c>
      <c r="P1595" s="17" t="s">
        <v>1401</v>
      </c>
      <c r="Q1595" s="2" t="s">
        <v>38</v>
      </c>
      <c r="S1595" s="8" t="s">
        <v>1982</v>
      </c>
      <c r="T1595" s="9">
        <v>46478</v>
      </c>
      <c r="U1595" s="8">
        <v>0</v>
      </c>
      <c r="V1595" s="20">
        <v>392</v>
      </c>
      <c r="W1595" s="21" t="s">
        <v>16</v>
      </c>
    </row>
    <row r="1596" spans="1:23" ht="75">
      <c r="A1596" s="8" t="s">
        <v>3724</v>
      </c>
      <c r="B1596" s="8" t="s">
        <v>1648</v>
      </c>
      <c r="C1596" s="8" t="s">
        <v>2221</v>
      </c>
      <c r="D1596" s="8" t="s">
        <v>18</v>
      </c>
      <c r="E1596" s="8" t="s">
        <v>2217</v>
      </c>
      <c r="F1596" s="8" t="s">
        <v>2217</v>
      </c>
      <c r="G1596" s="8" t="s">
        <v>2217</v>
      </c>
      <c r="H1596" s="8">
        <v>1</v>
      </c>
      <c r="I1596" s="8">
        <v>1</v>
      </c>
      <c r="J1596" s="8">
        <v>0</v>
      </c>
      <c r="K1596" s="8" t="s">
        <v>2222</v>
      </c>
      <c r="L1596" s="8" t="s">
        <v>2222</v>
      </c>
      <c r="M1596" s="8" t="s">
        <v>1640</v>
      </c>
      <c r="P1596" s="17" t="s">
        <v>1402</v>
      </c>
      <c r="Q1596" s="2" t="s">
        <v>38</v>
      </c>
      <c r="S1596" s="8" t="s">
        <v>1982</v>
      </c>
      <c r="T1596" s="9">
        <v>46966</v>
      </c>
      <c r="U1596" s="8">
        <v>0</v>
      </c>
      <c r="V1596" s="20">
        <v>1056</v>
      </c>
      <c r="W1596" s="21" t="s">
        <v>16</v>
      </c>
    </row>
    <row r="1597" spans="1:23" ht="45">
      <c r="A1597" s="8" t="s">
        <v>3725</v>
      </c>
      <c r="B1597" s="8" t="s">
        <v>1649</v>
      </c>
      <c r="C1597" s="8" t="s">
        <v>2221</v>
      </c>
      <c r="D1597" s="8" t="s">
        <v>18</v>
      </c>
      <c r="E1597" s="8" t="s">
        <v>101</v>
      </c>
      <c r="F1597" s="8" t="s">
        <v>3726</v>
      </c>
      <c r="G1597" s="8" t="s">
        <v>2217</v>
      </c>
      <c r="H1597" s="8">
        <v>4</v>
      </c>
      <c r="I1597" s="8">
        <v>4</v>
      </c>
      <c r="J1597" s="8">
        <v>0</v>
      </c>
      <c r="K1597" s="9">
        <v>44145</v>
      </c>
      <c r="L1597" s="8" t="s">
        <v>2222</v>
      </c>
      <c r="M1597" s="8" t="s">
        <v>41</v>
      </c>
      <c r="P1597" s="17" t="s">
        <v>1403</v>
      </c>
      <c r="Q1597" s="2" t="s">
        <v>101</v>
      </c>
      <c r="S1597" s="8" t="s">
        <v>1983</v>
      </c>
      <c r="T1597" s="9">
        <v>46905</v>
      </c>
      <c r="U1597" s="8">
        <v>0</v>
      </c>
      <c r="V1597" s="20">
        <v>17</v>
      </c>
      <c r="W1597" s="21" t="s">
        <v>16</v>
      </c>
    </row>
    <row r="1598" spans="1:23" ht="45">
      <c r="A1598" s="8" t="s">
        <v>3727</v>
      </c>
      <c r="B1598" s="8" t="s">
        <v>1650</v>
      </c>
      <c r="C1598" s="8" t="s">
        <v>2197</v>
      </c>
      <c r="D1598" s="8" t="s">
        <v>18</v>
      </c>
      <c r="E1598" s="8" t="s">
        <v>16</v>
      </c>
      <c r="F1598" s="8" t="s">
        <v>2204</v>
      </c>
      <c r="G1598" s="8" t="s">
        <v>3728</v>
      </c>
      <c r="H1598" s="8">
        <v>1241</v>
      </c>
      <c r="I1598" s="8">
        <v>617</v>
      </c>
      <c r="J1598" s="8" t="s">
        <v>1651</v>
      </c>
      <c r="K1598" s="9">
        <v>45283</v>
      </c>
      <c r="L1598" s="9">
        <v>45962</v>
      </c>
      <c r="M1598" s="8" t="s">
        <v>16</v>
      </c>
      <c r="P1598" s="17" t="s">
        <v>1404</v>
      </c>
      <c r="Q1598" s="2" t="s">
        <v>101</v>
      </c>
      <c r="S1598" s="8" t="s">
        <v>1983</v>
      </c>
      <c r="T1598" s="9">
        <v>47150</v>
      </c>
      <c r="U1598" s="8">
        <v>0</v>
      </c>
      <c r="V1598" s="20">
        <v>76</v>
      </c>
      <c r="W1598" s="21" t="s">
        <v>16</v>
      </c>
    </row>
    <row r="1599" spans="1:23" ht="45">
      <c r="A1599" s="8" t="s">
        <v>3727</v>
      </c>
      <c r="B1599" s="8" t="s">
        <v>1650</v>
      </c>
      <c r="C1599" s="8" t="s">
        <v>2197</v>
      </c>
      <c r="D1599" s="8" t="s">
        <v>18</v>
      </c>
      <c r="E1599" s="8" t="s">
        <v>16</v>
      </c>
      <c r="F1599" s="8" t="s">
        <v>2204</v>
      </c>
      <c r="G1599" s="8" t="s">
        <v>3728</v>
      </c>
      <c r="H1599" s="8">
        <v>1241</v>
      </c>
      <c r="I1599" s="8">
        <v>624</v>
      </c>
      <c r="J1599" s="8" t="s">
        <v>1652</v>
      </c>
      <c r="K1599" s="9">
        <v>44995</v>
      </c>
      <c r="L1599" s="9">
        <v>46753</v>
      </c>
      <c r="M1599" s="8" t="s">
        <v>16</v>
      </c>
      <c r="P1599" s="17" t="s">
        <v>1405</v>
      </c>
      <c r="Q1599" s="2" t="s">
        <v>38</v>
      </c>
      <c r="S1599" s="8" t="s">
        <v>1984</v>
      </c>
      <c r="T1599" s="9" t="s">
        <v>2222</v>
      </c>
      <c r="U1599" s="8">
        <v>0</v>
      </c>
      <c r="V1599" s="20">
        <v>21</v>
      </c>
      <c r="W1599" s="21" t="s">
        <v>41</v>
      </c>
    </row>
    <row r="1600" spans="1:23" ht="75">
      <c r="A1600" s="8" t="s">
        <v>3729</v>
      </c>
      <c r="B1600" s="8" t="s">
        <v>1653</v>
      </c>
      <c r="C1600" s="8" t="s">
        <v>2197</v>
      </c>
      <c r="D1600" s="8" t="s">
        <v>18</v>
      </c>
      <c r="E1600" s="8" t="s">
        <v>16</v>
      </c>
      <c r="F1600" s="8" t="s">
        <v>2204</v>
      </c>
      <c r="G1600" s="8" t="s">
        <v>3728</v>
      </c>
      <c r="H1600" s="8">
        <v>1722</v>
      </c>
      <c r="I1600" s="8">
        <v>58</v>
      </c>
      <c r="J1600" s="8" t="s">
        <v>1654</v>
      </c>
      <c r="K1600" s="9">
        <v>44856</v>
      </c>
      <c r="L1600" s="9">
        <v>46569</v>
      </c>
      <c r="M1600" s="8" t="s">
        <v>16</v>
      </c>
      <c r="P1600" s="17" t="s">
        <v>1406</v>
      </c>
      <c r="Q1600" s="2" t="s">
        <v>101</v>
      </c>
      <c r="S1600" s="8" t="s">
        <v>1985</v>
      </c>
      <c r="T1600" s="9">
        <v>46296</v>
      </c>
      <c r="U1600" s="8">
        <v>0</v>
      </c>
      <c r="V1600" s="20">
        <v>500</v>
      </c>
      <c r="W1600" s="21" t="s">
        <v>16</v>
      </c>
    </row>
    <row r="1601" spans="1:23" ht="60">
      <c r="A1601" s="8" t="s">
        <v>3729</v>
      </c>
      <c r="B1601" s="8" t="s">
        <v>1653</v>
      </c>
      <c r="C1601" s="8" t="s">
        <v>2197</v>
      </c>
      <c r="D1601" s="8" t="s">
        <v>18</v>
      </c>
      <c r="E1601" s="8" t="s">
        <v>16</v>
      </c>
      <c r="F1601" s="8" t="s">
        <v>2204</v>
      </c>
      <c r="G1601" s="8" t="s">
        <v>3728</v>
      </c>
      <c r="H1601" s="8">
        <v>1722</v>
      </c>
      <c r="I1601" s="8">
        <v>1664</v>
      </c>
      <c r="J1601" s="8" t="s">
        <v>1655</v>
      </c>
      <c r="K1601" s="9">
        <v>45283</v>
      </c>
      <c r="L1601" s="9">
        <v>46569</v>
      </c>
      <c r="M1601" s="8" t="s">
        <v>16</v>
      </c>
      <c r="P1601" s="17" t="s">
        <v>1407</v>
      </c>
      <c r="Q1601" s="2" t="s">
        <v>38</v>
      </c>
      <c r="S1601" s="8" t="s">
        <v>1986</v>
      </c>
      <c r="T1601" s="9">
        <v>46296</v>
      </c>
      <c r="U1601" s="8">
        <v>0</v>
      </c>
      <c r="V1601" s="20">
        <v>203</v>
      </c>
      <c r="W1601" s="21" t="s">
        <v>16</v>
      </c>
    </row>
    <row r="1602" spans="1:23" ht="60">
      <c r="A1602" s="8" t="s">
        <v>3730</v>
      </c>
      <c r="B1602" s="8" t="s">
        <v>1656</v>
      </c>
      <c r="C1602" s="8" t="s">
        <v>2221</v>
      </c>
      <c r="D1602" s="8" t="s">
        <v>18</v>
      </c>
      <c r="E1602" s="8" t="s">
        <v>43</v>
      </c>
      <c r="F1602" s="8" t="s">
        <v>3731</v>
      </c>
      <c r="G1602" s="8" t="s">
        <v>2217</v>
      </c>
      <c r="H1602" s="8">
        <v>965</v>
      </c>
      <c r="I1602" s="8">
        <v>965</v>
      </c>
      <c r="J1602" s="8">
        <v>0</v>
      </c>
      <c r="K1602" s="9">
        <v>44160</v>
      </c>
      <c r="L1602" s="8" t="s">
        <v>2222</v>
      </c>
      <c r="M1602" s="8" t="s">
        <v>43</v>
      </c>
      <c r="P1602" s="17" t="s">
        <v>1408</v>
      </c>
      <c r="Q1602" s="2" t="s">
        <v>101</v>
      </c>
      <c r="S1602" s="8" t="s">
        <v>1987</v>
      </c>
      <c r="T1602" s="9">
        <v>46722</v>
      </c>
      <c r="U1602" s="8">
        <v>0</v>
      </c>
      <c r="V1602" s="20">
        <v>480</v>
      </c>
      <c r="W1602" s="21" t="s">
        <v>16</v>
      </c>
    </row>
    <row r="1603" spans="1:23" ht="60">
      <c r="A1603" s="8" t="s">
        <v>3732</v>
      </c>
      <c r="B1603" s="8" t="s">
        <v>1657</v>
      </c>
      <c r="C1603" s="8" t="s">
        <v>2221</v>
      </c>
      <c r="D1603" s="8" t="s">
        <v>18</v>
      </c>
      <c r="E1603" s="8" t="s">
        <v>101</v>
      </c>
      <c r="F1603" s="8" t="s">
        <v>101</v>
      </c>
      <c r="G1603" s="8" t="s">
        <v>3733</v>
      </c>
      <c r="H1603" s="8">
        <v>1</v>
      </c>
      <c r="I1603" s="8">
        <v>1</v>
      </c>
      <c r="J1603" s="8">
        <v>0</v>
      </c>
      <c r="K1603" s="9">
        <v>44161</v>
      </c>
      <c r="L1603" s="8" t="s">
        <v>2222</v>
      </c>
      <c r="M1603" s="8" t="s">
        <v>38</v>
      </c>
      <c r="P1603" s="17" t="s">
        <v>1409</v>
      </c>
      <c r="Q1603" s="2" t="s">
        <v>101</v>
      </c>
      <c r="S1603" s="8" t="s">
        <v>1989</v>
      </c>
      <c r="T1603" s="9">
        <v>46569</v>
      </c>
      <c r="U1603" s="8">
        <v>0</v>
      </c>
      <c r="V1603" s="20">
        <v>1444</v>
      </c>
      <c r="W1603" s="21" t="s">
        <v>16</v>
      </c>
    </row>
    <row r="1604" spans="1:23" ht="60">
      <c r="A1604" s="8" t="s">
        <v>3734</v>
      </c>
      <c r="B1604" s="8" t="s">
        <v>1658</v>
      </c>
      <c r="C1604" s="8" t="s">
        <v>2221</v>
      </c>
      <c r="D1604" s="8" t="s">
        <v>18</v>
      </c>
      <c r="E1604" s="8" t="s">
        <v>101</v>
      </c>
      <c r="F1604" s="8" t="s">
        <v>101</v>
      </c>
      <c r="G1604" s="8" t="s">
        <v>3733</v>
      </c>
      <c r="H1604" s="8">
        <v>1</v>
      </c>
      <c r="I1604" s="8">
        <v>1</v>
      </c>
      <c r="J1604" s="8">
        <v>0</v>
      </c>
      <c r="K1604" s="9">
        <v>44161</v>
      </c>
      <c r="L1604" s="8" t="s">
        <v>2222</v>
      </c>
      <c r="M1604" s="8" t="s">
        <v>38</v>
      </c>
      <c r="P1604" s="17" t="s">
        <v>1410</v>
      </c>
      <c r="Q1604" s="2" t="s">
        <v>101</v>
      </c>
      <c r="S1604" s="8" t="s">
        <v>1991</v>
      </c>
      <c r="T1604" s="9">
        <v>47088</v>
      </c>
      <c r="U1604" s="8">
        <v>0</v>
      </c>
      <c r="V1604" s="20">
        <v>2364</v>
      </c>
      <c r="W1604" s="21" t="s">
        <v>16</v>
      </c>
    </row>
    <row r="1605" spans="1:23" ht="60">
      <c r="A1605" s="8" t="s">
        <v>3735</v>
      </c>
      <c r="B1605" s="8" t="s">
        <v>1659</v>
      </c>
      <c r="C1605" s="8" t="s">
        <v>2221</v>
      </c>
      <c r="D1605" s="8" t="s">
        <v>18</v>
      </c>
      <c r="E1605" s="8" t="s">
        <v>101</v>
      </c>
      <c r="F1605" s="8" t="s">
        <v>101</v>
      </c>
      <c r="G1605" s="8" t="s">
        <v>3733</v>
      </c>
      <c r="H1605" s="8">
        <v>1</v>
      </c>
      <c r="I1605" s="8">
        <v>1</v>
      </c>
      <c r="J1605" s="8">
        <v>0</v>
      </c>
      <c r="K1605" s="9">
        <v>44161</v>
      </c>
      <c r="L1605" s="8" t="s">
        <v>2222</v>
      </c>
      <c r="M1605" s="8" t="s">
        <v>38</v>
      </c>
      <c r="P1605" s="17" t="s">
        <v>1411</v>
      </c>
      <c r="Q1605" s="2" t="s">
        <v>101</v>
      </c>
      <c r="S1605" s="8" t="s">
        <v>1992</v>
      </c>
      <c r="T1605" s="9">
        <v>46569</v>
      </c>
      <c r="U1605" s="8">
        <v>0</v>
      </c>
      <c r="V1605" s="20">
        <v>3</v>
      </c>
      <c r="W1605" s="21" t="s">
        <v>16</v>
      </c>
    </row>
    <row r="1606" spans="1:23" ht="60">
      <c r="A1606" s="8" t="s">
        <v>3736</v>
      </c>
      <c r="B1606" s="8" t="s">
        <v>1660</v>
      </c>
      <c r="C1606" s="8" t="s">
        <v>2221</v>
      </c>
      <c r="D1606" s="8" t="s">
        <v>18</v>
      </c>
      <c r="E1606" s="8" t="s">
        <v>101</v>
      </c>
      <c r="F1606" s="8" t="s">
        <v>101</v>
      </c>
      <c r="G1606" s="8" t="s">
        <v>3733</v>
      </c>
      <c r="H1606" s="8">
        <v>1</v>
      </c>
      <c r="I1606" s="8">
        <v>1</v>
      </c>
      <c r="J1606" s="8">
        <v>0</v>
      </c>
      <c r="K1606" s="9">
        <v>44161</v>
      </c>
      <c r="L1606" s="8" t="s">
        <v>2222</v>
      </c>
      <c r="M1606" s="8" t="s">
        <v>38</v>
      </c>
      <c r="P1606" s="17" t="s">
        <v>1412</v>
      </c>
      <c r="Q1606" s="2" t="s">
        <v>101</v>
      </c>
      <c r="S1606" s="8" t="s">
        <v>1993</v>
      </c>
      <c r="T1606" s="9">
        <v>45992</v>
      </c>
      <c r="U1606" s="8">
        <v>0</v>
      </c>
      <c r="V1606" s="20">
        <v>160</v>
      </c>
      <c r="W1606" s="21" t="s">
        <v>16</v>
      </c>
    </row>
    <row r="1607" spans="1:23" ht="60">
      <c r="A1607" s="8" t="s">
        <v>3737</v>
      </c>
      <c r="B1607" s="8" t="s">
        <v>1661</v>
      </c>
      <c r="C1607" s="8" t="s">
        <v>2221</v>
      </c>
      <c r="D1607" s="8" t="s">
        <v>18</v>
      </c>
      <c r="E1607" s="8" t="s">
        <v>101</v>
      </c>
      <c r="F1607" s="8" t="s">
        <v>101</v>
      </c>
      <c r="G1607" s="8" t="s">
        <v>3733</v>
      </c>
      <c r="H1607" s="8">
        <v>1</v>
      </c>
      <c r="I1607" s="8">
        <v>1</v>
      </c>
      <c r="J1607" s="8">
        <v>0</v>
      </c>
      <c r="K1607" s="9">
        <v>44161</v>
      </c>
      <c r="L1607" s="8" t="s">
        <v>2222</v>
      </c>
      <c r="M1607" s="8" t="s">
        <v>38</v>
      </c>
      <c r="P1607" s="17" t="s">
        <v>1413</v>
      </c>
      <c r="Q1607" s="2" t="s">
        <v>38</v>
      </c>
      <c r="S1607" s="8" t="s">
        <v>1993</v>
      </c>
      <c r="T1607" s="9">
        <v>46478</v>
      </c>
      <c r="U1607" s="8">
        <v>0</v>
      </c>
      <c r="V1607" s="20">
        <v>1760</v>
      </c>
      <c r="W1607" s="21" t="s">
        <v>16</v>
      </c>
    </row>
    <row r="1608" spans="1:23" ht="60">
      <c r="A1608" s="8" t="s">
        <v>3738</v>
      </c>
      <c r="B1608" s="8" t="s">
        <v>1662</v>
      </c>
      <c r="C1608" s="8" t="s">
        <v>2221</v>
      </c>
      <c r="D1608" s="8" t="s">
        <v>18</v>
      </c>
      <c r="E1608" s="8" t="s">
        <v>101</v>
      </c>
      <c r="F1608" s="8" t="s">
        <v>101</v>
      </c>
      <c r="G1608" s="8" t="s">
        <v>3733</v>
      </c>
      <c r="H1608" s="8">
        <v>1</v>
      </c>
      <c r="I1608" s="8">
        <v>1</v>
      </c>
      <c r="J1608" s="8">
        <v>0</v>
      </c>
      <c r="K1608" s="9">
        <v>44161</v>
      </c>
      <c r="L1608" s="8" t="s">
        <v>2222</v>
      </c>
      <c r="M1608" s="8" t="s">
        <v>38</v>
      </c>
      <c r="P1608" s="17" t="s">
        <v>1414</v>
      </c>
      <c r="Q1608" s="2" t="s">
        <v>101</v>
      </c>
      <c r="S1608" s="8" t="s">
        <v>1996</v>
      </c>
      <c r="T1608" s="9">
        <v>46539</v>
      </c>
      <c r="U1608" s="8">
        <v>0</v>
      </c>
      <c r="V1608" s="20">
        <v>1200</v>
      </c>
      <c r="W1608" s="21" t="s">
        <v>16</v>
      </c>
    </row>
    <row r="1609" spans="1:23" ht="60">
      <c r="A1609" s="8" t="s">
        <v>3739</v>
      </c>
      <c r="B1609" s="8" t="s">
        <v>1663</v>
      </c>
      <c r="C1609" s="8" t="s">
        <v>2221</v>
      </c>
      <c r="D1609" s="8" t="s">
        <v>18</v>
      </c>
      <c r="E1609" s="8" t="s">
        <v>101</v>
      </c>
      <c r="F1609" s="8" t="s">
        <v>101</v>
      </c>
      <c r="G1609" s="8" t="s">
        <v>3733</v>
      </c>
      <c r="H1609" s="8">
        <v>1</v>
      </c>
      <c r="I1609" s="8">
        <v>1</v>
      </c>
      <c r="J1609" s="8">
        <v>0</v>
      </c>
      <c r="K1609" s="9">
        <v>44161</v>
      </c>
      <c r="L1609" s="8" t="s">
        <v>2222</v>
      </c>
      <c r="M1609" s="8" t="s">
        <v>38</v>
      </c>
      <c r="P1609" s="17" t="s">
        <v>1415</v>
      </c>
      <c r="Q1609" s="2" t="s">
        <v>38</v>
      </c>
      <c r="S1609" s="8" t="s">
        <v>1996</v>
      </c>
      <c r="T1609" s="9">
        <v>45992</v>
      </c>
      <c r="U1609" s="8">
        <v>0</v>
      </c>
      <c r="V1609" s="20">
        <v>1681</v>
      </c>
      <c r="W1609" s="21" t="s">
        <v>16</v>
      </c>
    </row>
    <row r="1610" spans="1:23" ht="60">
      <c r="A1610" s="8" t="s">
        <v>3740</v>
      </c>
      <c r="B1610" s="8" t="s">
        <v>1664</v>
      </c>
      <c r="C1610" s="8" t="s">
        <v>2221</v>
      </c>
      <c r="D1610" s="8" t="s">
        <v>18</v>
      </c>
      <c r="E1610" s="8" t="s">
        <v>2217</v>
      </c>
      <c r="F1610" s="8" t="s">
        <v>2217</v>
      </c>
      <c r="G1610" s="8" t="s">
        <v>2217</v>
      </c>
      <c r="H1610" s="8">
        <v>5000</v>
      </c>
      <c r="I1610" s="8">
        <v>5000</v>
      </c>
      <c r="J1610" s="8">
        <v>0</v>
      </c>
      <c r="K1610" s="9">
        <v>45317</v>
      </c>
      <c r="L1610" s="8" t="s">
        <v>2222</v>
      </c>
      <c r="M1610" s="8" t="s">
        <v>101</v>
      </c>
      <c r="P1610" s="17" t="s">
        <v>1416</v>
      </c>
      <c r="Q1610" s="2" t="s">
        <v>101</v>
      </c>
      <c r="S1610" s="8" t="s">
        <v>1998</v>
      </c>
      <c r="T1610" s="9" t="s">
        <v>2222</v>
      </c>
      <c r="U1610" s="8">
        <v>0</v>
      </c>
      <c r="V1610" s="20">
        <v>10</v>
      </c>
      <c r="W1610" s="21" t="s">
        <v>43</v>
      </c>
    </row>
    <row r="1611" spans="1:23" ht="60">
      <c r="A1611" s="8" t="s">
        <v>3741</v>
      </c>
      <c r="B1611" s="8" t="s">
        <v>1665</v>
      </c>
      <c r="C1611" s="8" t="s">
        <v>2221</v>
      </c>
      <c r="D1611" s="8" t="s">
        <v>18</v>
      </c>
      <c r="E1611" s="8" t="s">
        <v>2217</v>
      </c>
      <c r="F1611" s="8" t="s">
        <v>2217</v>
      </c>
      <c r="G1611" s="8" t="s">
        <v>2217</v>
      </c>
      <c r="H1611" s="8">
        <v>5550</v>
      </c>
      <c r="I1611" s="8">
        <v>5550</v>
      </c>
      <c r="J1611" s="8">
        <v>0</v>
      </c>
      <c r="K1611" s="9">
        <v>45317</v>
      </c>
      <c r="L1611" s="8" t="s">
        <v>2222</v>
      </c>
      <c r="M1611" s="8" t="s">
        <v>101</v>
      </c>
      <c r="P1611" s="17" t="s">
        <v>1417</v>
      </c>
      <c r="Q1611" s="2" t="s">
        <v>101</v>
      </c>
      <c r="S1611" s="8" t="s">
        <v>1999</v>
      </c>
      <c r="T1611" s="9" t="s">
        <v>2222</v>
      </c>
      <c r="U1611" s="8">
        <v>0</v>
      </c>
      <c r="V1611" s="20">
        <v>1</v>
      </c>
      <c r="W1611" s="21" t="s">
        <v>41</v>
      </c>
    </row>
    <row r="1612" spans="1:23" ht="60">
      <c r="A1612" s="8" t="s">
        <v>3742</v>
      </c>
      <c r="B1612" s="8" t="s">
        <v>1666</v>
      </c>
      <c r="C1612" s="8" t="s">
        <v>2221</v>
      </c>
      <c r="D1612" s="8" t="s">
        <v>18</v>
      </c>
      <c r="E1612" s="8" t="s">
        <v>101</v>
      </c>
      <c r="F1612" s="8" t="s">
        <v>101</v>
      </c>
      <c r="G1612" s="8" t="s">
        <v>3743</v>
      </c>
      <c r="H1612" s="8">
        <v>77</v>
      </c>
      <c r="I1612" s="8">
        <v>77</v>
      </c>
      <c r="J1612" s="8">
        <v>0</v>
      </c>
      <c r="K1612" s="9">
        <v>45317</v>
      </c>
      <c r="L1612" s="8" t="s">
        <v>2222</v>
      </c>
      <c r="M1612" s="8" t="s">
        <v>101</v>
      </c>
      <c r="P1612" s="17" t="s">
        <v>1418</v>
      </c>
      <c r="Q1612" s="2" t="s">
        <v>101</v>
      </c>
      <c r="S1612" s="8" t="s">
        <v>2000</v>
      </c>
      <c r="T1612" s="9" t="s">
        <v>2222</v>
      </c>
      <c r="U1612" s="8">
        <v>0</v>
      </c>
      <c r="V1612" s="20">
        <v>10</v>
      </c>
      <c r="W1612" s="21" t="s">
        <v>41</v>
      </c>
    </row>
    <row r="1613" spans="1:23" ht="60">
      <c r="A1613" s="8" t="s">
        <v>3744</v>
      </c>
      <c r="B1613" s="8" t="s">
        <v>1667</v>
      </c>
      <c r="C1613" s="8" t="s">
        <v>2221</v>
      </c>
      <c r="D1613" s="8" t="s">
        <v>18</v>
      </c>
      <c r="E1613" s="8" t="s">
        <v>2217</v>
      </c>
      <c r="F1613" s="8" t="s">
        <v>2217</v>
      </c>
      <c r="G1613" s="8" t="s">
        <v>2217</v>
      </c>
      <c r="H1613" s="8">
        <v>80</v>
      </c>
      <c r="I1613" s="8">
        <v>80</v>
      </c>
      <c r="J1613" s="8">
        <v>0</v>
      </c>
      <c r="K1613" s="9">
        <v>45317</v>
      </c>
      <c r="L1613" s="8" t="s">
        <v>2222</v>
      </c>
      <c r="M1613" s="8" t="s">
        <v>101</v>
      </c>
      <c r="P1613" s="17" t="s">
        <v>1419</v>
      </c>
      <c r="Q1613" s="2" t="s">
        <v>101</v>
      </c>
      <c r="S1613" s="8" t="s">
        <v>2001</v>
      </c>
      <c r="T1613" s="9" t="s">
        <v>2222</v>
      </c>
      <c r="U1613" s="8">
        <v>0</v>
      </c>
      <c r="V1613" s="20">
        <v>410</v>
      </c>
      <c r="W1613" s="21" t="s">
        <v>101</v>
      </c>
    </row>
    <row r="1614" spans="1:23" ht="45">
      <c r="A1614" s="8" t="s">
        <v>3745</v>
      </c>
      <c r="B1614" s="8" t="s">
        <v>1668</v>
      </c>
      <c r="C1614" s="8" t="s">
        <v>2197</v>
      </c>
      <c r="D1614" s="8" t="s">
        <v>18</v>
      </c>
      <c r="E1614" s="8" t="s">
        <v>16</v>
      </c>
      <c r="F1614" s="8" t="s">
        <v>2198</v>
      </c>
      <c r="G1614" s="8" t="s">
        <v>3746</v>
      </c>
      <c r="H1614" s="8">
        <v>600</v>
      </c>
      <c r="I1614" s="8">
        <v>600</v>
      </c>
      <c r="J1614" s="8">
        <v>187784</v>
      </c>
      <c r="K1614" s="9">
        <v>45461</v>
      </c>
      <c r="L1614" s="9">
        <v>46082</v>
      </c>
      <c r="M1614" s="8" t="s">
        <v>16</v>
      </c>
      <c r="P1614" s="17" t="s">
        <v>1420</v>
      </c>
      <c r="Q1614" s="2" t="s">
        <v>101</v>
      </c>
      <c r="S1614" s="8" t="s">
        <v>2002</v>
      </c>
      <c r="T1614" s="9" t="s">
        <v>2222</v>
      </c>
      <c r="U1614" s="8">
        <v>0</v>
      </c>
      <c r="V1614" s="20">
        <v>10</v>
      </c>
      <c r="W1614" s="21" t="s">
        <v>41</v>
      </c>
    </row>
    <row r="1615" spans="1:23" ht="45">
      <c r="A1615" s="8" t="s">
        <v>3747</v>
      </c>
      <c r="B1615" s="8" t="s">
        <v>1669</v>
      </c>
      <c r="C1615" s="8" t="s">
        <v>2197</v>
      </c>
      <c r="D1615" s="8" t="s">
        <v>18</v>
      </c>
      <c r="E1615" s="8" t="s">
        <v>151</v>
      </c>
      <c r="F1615" s="8" t="s">
        <v>151</v>
      </c>
      <c r="G1615" s="8" t="s">
        <v>3748</v>
      </c>
      <c r="H1615" s="8">
        <v>100</v>
      </c>
      <c r="I1615" s="8">
        <v>100</v>
      </c>
      <c r="J1615" s="8">
        <v>0</v>
      </c>
      <c r="K1615" s="9">
        <v>45136</v>
      </c>
      <c r="L1615" s="9">
        <v>46753</v>
      </c>
      <c r="M1615" s="8" t="s">
        <v>16</v>
      </c>
      <c r="P1615" s="17" t="s">
        <v>1420</v>
      </c>
      <c r="Q1615" s="2" t="s">
        <v>101</v>
      </c>
      <c r="S1615" s="8" t="s">
        <v>2003</v>
      </c>
      <c r="T1615" s="9" t="s">
        <v>2222</v>
      </c>
      <c r="U1615" s="8">
        <v>0</v>
      </c>
      <c r="V1615" s="20">
        <v>1</v>
      </c>
      <c r="W1615" s="21" t="s">
        <v>41</v>
      </c>
    </row>
    <row r="1616" spans="1:23" ht="75">
      <c r="A1616" s="8" t="s">
        <v>3749</v>
      </c>
      <c r="B1616" s="8" t="s">
        <v>1670</v>
      </c>
      <c r="C1616" s="8" t="s">
        <v>2221</v>
      </c>
      <c r="D1616" s="8" t="s">
        <v>18</v>
      </c>
      <c r="E1616" s="8" t="s">
        <v>101</v>
      </c>
      <c r="F1616" s="8" t="s">
        <v>2498</v>
      </c>
      <c r="G1616" s="8" t="s">
        <v>1670</v>
      </c>
      <c r="H1616" s="8">
        <v>15</v>
      </c>
      <c r="I1616" s="8">
        <v>15</v>
      </c>
      <c r="J1616" s="8">
        <v>0</v>
      </c>
      <c r="K1616" s="9">
        <v>44145</v>
      </c>
      <c r="L1616" s="8" t="s">
        <v>2222</v>
      </c>
      <c r="M1616" s="8" t="s">
        <v>41</v>
      </c>
      <c r="P1616" s="17" t="s">
        <v>1421</v>
      </c>
      <c r="Q1616" s="2" t="s">
        <v>101</v>
      </c>
      <c r="S1616" s="8" t="s">
        <v>2004</v>
      </c>
      <c r="T1616" s="9" t="s">
        <v>2222</v>
      </c>
      <c r="U1616" s="8">
        <v>0</v>
      </c>
      <c r="V1616" s="20">
        <v>28</v>
      </c>
      <c r="W1616" s="21" t="s">
        <v>41</v>
      </c>
    </row>
    <row r="1617" spans="1:23" ht="90">
      <c r="A1617" s="8" t="s">
        <v>3750</v>
      </c>
      <c r="B1617" s="8" t="s">
        <v>1671</v>
      </c>
      <c r="C1617" s="8" t="s">
        <v>2197</v>
      </c>
      <c r="D1617" s="8" t="s">
        <v>18</v>
      </c>
      <c r="E1617" s="8" t="s">
        <v>151</v>
      </c>
      <c r="F1617" s="8" t="s">
        <v>151</v>
      </c>
      <c r="G1617" s="8" t="s">
        <v>3751</v>
      </c>
      <c r="H1617" s="8">
        <v>45</v>
      </c>
      <c r="I1617" s="8">
        <v>45</v>
      </c>
      <c r="J1617" s="8">
        <v>0</v>
      </c>
      <c r="K1617" s="9">
        <v>45117</v>
      </c>
      <c r="L1617" s="9">
        <v>46935</v>
      </c>
      <c r="M1617" s="8" t="s">
        <v>16</v>
      </c>
      <c r="P1617" s="17" t="s">
        <v>1422</v>
      </c>
      <c r="Q1617" s="2" t="s">
        <v>101</v>
      </c>
      <c r="S1617" s="8" t="s">
        <v>2005</v>
      </c>
      <c r="T1617" s="9" t="s">
        <v>2222</v>
      </c>
      <c r="U1617" s="8">
        <v>0</v>
      </c>
      <c r="V1617" s="20">
        <v>242</v>
      </c>
      <c r="W1617" s="21" t="s">
        <v>101</v>
      </c>
    </row>
    <row r="1618" spans="1:23" ht="90">
      <c r="A1618" s="8" t="s">
        <v>3752</v>
      </c>
      <c r="B1618" s="8" t="s">
        <v>1672</v>
      </c>
      <c r="C1618" s="8" t="s">
        <v>2197</v>
      </c>
      <c r="D1618" s="8" t="s">
        <v>18</v>
      </c>
      <c r="E1618" s="8" t="s">
        <v>16</v>
      </c>
      <c r="F1618" s="8" t="s">
        <v>2204</v>
      </c>
      <c r="G1618" s="8" t="s">
        <v>3753</v>
      </c>
      <c r="H1618" s="8">
        <v>1590</v>
      </c>
      <c r="I1618" s="8">
        <v>1590</v>
      </c>
      <c r="J1618" s="8" t="s">
        <v>1673</v>
      </c>
      <c r="K1618" s="9">
        <v>45371</v>
      </c>
      <c r="L1618" s="9">
        <v>46357</v>
      </c>
      <c r="M1618" s="8" t="s">
        <v>16</v>
      </c>
      <c r="P1618" s="17" t="s">
        <v>1423</v>
      </c>
      <c r="Q1618" s="2" t="s">
        <v>101</v>
      </c>
      <c r="S1618" s="8" t="s">
        <v>2006</v>
      </c>
      <c r="T1618" s="9" t="s">
        <v>2222</v>
      </c>
      <c r="U1618" s="8">
        <v>0</v>
      </c>
      <c r="V1618" s="20">
        <v>103</v>
      </c>
      <c r="W1618" s="21" t="s">
        <v>101</v>
      </c>
    </row>
    <row r="1619" spans="1:23" ht="60">
      <c r="A1619" s="8" t="s">
        <v>3754</v>
      </c>
      <c r="B1619" s="8" t="s">
        <v>1674</v>
      </c>
      <c r="C1619" s="8" t="s">
        <v>2197</v>
      </c>
      <c r="D1619" s="8" t="s">
        <v>18</v>
      </c>
      <c r="E1619" s="8" t="s">
        <v>16</v>
      </c>
      <c r="F1619" s="8" t="s">
        <v>2204</v>
      </c>
      <c r="G1619" s="8" t="s">
        <v>3753</v>
      </c>
      <c r="H1619" s="8">
        <v>14</v>
      </c>
      <c r="I1619" s="8">
        <v>14</v>
      </c>
      <c r="J1619" s="8" t="s">
        <v>1675</v>
      </c>
      <c r="K1619" s="9">
        <v>45136</v>
      </c>
      <c r="L1619" s="9">
        <v>46174</v>
      </c>
      <c r="M1619" s="8" t="s">
        <v>16</v>
      </c>
      <c r="P1619" s="17" t="s">
        <v>1424</v>
      </c>
      <c r="Q1619" s="2" t="s">
        <v>101</v>
      </c>
      <c r="S1619" s="8" t="s">
        <v>2007</v>
      </c>
      <c r="T1619" s="9" t="s">
        <v>2222</v>
      </c>
      <c r="U1619" s="8">
        <v>0</v>
      </c>
      <c r="V1619" s="20">
        <v>3331.2</v>
      </c>
      <c r="W1619" s="21" t="s">
        <v>101</v>
      </c>
    </row>
    <row r="1620" spans="1:23" ht="45">
      <c r="A1620" s="8" t="s">
        <v>3755</v>
      </c>
      <c r="B1620" s="8" t="s">
        <v>1676</v>
      </c>
      <c r="C1620" s="8" t="s">
        <v>2197</v>
      </c>
      <c r="D1620" s="8" t="s">
        <v>18</v>
      </c>
      <c r="E1620" s="8" t="s">
        <v>2217</v>
      </c>
      <c r="F1620" s="8" t="s">
        <v>2217</v>
      </c>
      <c r="G1620" s="8" t="s">
        <v>2217</v>
      </c>
      <c r="H1620" s="8">
        <v>510</v>
      </c>
      <c r="I1620" s="8">
        <v>510</v>
      </c>
      <c r="J1620" s="8">
        <v>102357001</v>
      </c>
      <c r="K1620" s="9">
        <v>45426</v>
      </c>
      <c r="L1620" s="9">
        <v>47027</v>
      </c>
      <c r="M1620" s="8" t="s">
        <v>16</v>
      </c>
      <c r="P1620" s="16" t="s">
        <v>1425</v>
      </c>
      <c r="Q1620" s="2" t="s">
        <v>41</v>
      </c>
      <c r="S1620" s="8" t="s">
        <v>2008</v>
      </c>
      <c r="T1620" s="9">
        <v>46600</v>
      </c>
      <c r="U1620" s="8">
        <v>0</v>
      </c>
      <c r="V1620" s="20">
        <v>120</v>
      </c>
      <c r="W1620" s="21" t="s">
        <v>16</v>
      </c>
    </row>
    <row r="1621" spans="1:23" ht="60">
      <c r="A1621" s="8" t="s">
        <v>3756</v>
      </c>
      <c r="B1621" s="8" t="s">
        <v>1677</v>
      </c>
      <c r="C1621" s="8" t="s">
        <v>2197</v>
      </c>
      <c r="D1621" s="8" t="s">
        <v>18</v>
      </c>
      <c r="E1621" s="8" t="s">
        <v>2217</v>
      </c>
      <c r="F1621" s="8" t="s">
        <v>2217</v>
      </c>
      <c r="G1621" s="8" t="s">
        <v>2217</v>
      </c>
      <c r="H1621" s="8">
        <v>770</v>
      </c>
      <c r="I1621" s="8">
        <v>770</v>
      </c>
      <c r="J1621" s="8">
        <v>5700124050303</v>
      </c>
      <c r="K1621" s="9">
        <v>45426</v>
      </c>
      <c r="L1621" s="9">
        <v>47239</v>
      </c>
      <c r="M1621" s="8" t="s">
        <v>16</v>
      </c>
      <c r="P1621" s="16" t="s">
        <v>1426</v>
      </c>
      <c r="Q1621" s="2" t="s">
        <v>16</v>
      </c>
      <c r="S1621" s="8" t="s">
        <v>2009</v>
      </c>
      <c r="T1621" s="9">
        <v>45658</v>
      </c>
      <c r="U1621" s="8">
        <v>0</v>
      </c>
      <c r="V1621" s="20">
        <v>20</v>
      </c>
      <c r="W1621" s="21" t="s">
        <v>16</v>
      </c>
    </row>
    <row r="1622" spans="1:23" ht="60">
      <c r="A1622" s="8" t="s">
        <v>3757</v>
      </c>
      <c r="B1622" s="8" t="s">
        <v>1678</v>
      </c>
      <c r="C1622" s="8" t="s">
        <v>2203</v>
      </c>
      <c r="D1622" s="8" t="s">
        <v>18</v>
      </c>
      <c r="E1622" s="8" t="s">
        <v>16</v>
      </c>
      <c r="F1622" s="8" t="s">
        <v>2198</v>
      </c>
      <c r="G1622" s="8" t="s">
        <v>3758</v>
      </c>
      <c r="H1622" s="8">
        <v>6533</v>
      </c>
      <c r="I1622" s="8">
        <v>13</v>
      </c>
      <c r="J1622" s="8" t="s">
        <v>1679</v>
      </c>
      <c r="K1622" s="9">
        <v>45219</v>
      </c>
      <c r="L1622" s="9">
        <v>46204</v>
      </c>
      <c r="M1622" s="8" t="s">
        <v>16</v>
      </c>
      <c r="P1622" s="16" t="s">
        <v>1428</v>
      </c>
      <c r="Q1622" s="2" t="s">
        <v>16</v>
      </c>
      <c r="S1622" s="8" t="s">
        <v>2010</v>
      </c>
      <c r="T1622" s="9">
        <v>46905</v>
      </c>
      <c r="U1622" s="8">
        <v>0</v>
      </c>
      <c r="V1622" s="20">
        <v>70</v>
      </c>
      <c r="W1622" s="21" t="s">
        <v>16</v>
      </c>
    </row>
    <row r="1623" spans="1:23" ht="60">
      <c r="A1623" s="8" t="s">
        <v>3757</v>
      </c>
      <c r="B1623" s="8" t="s">
        <v>1678</v>
      </c>
      <c r="C1623" s="8" t="s">
        <v>2203</v>
      </c>
      <c r="D1623" s="8" t="s">
        <v>18</v>
      </c>
      <c r="E1623" s="8" t="s">
        <v>16</v>
      </c>
      <c r="F1623" s="8" t="s">
        <v>2198</v>
      </c>
      <c r="G1623" s="8" t="s">
        <v>3758</v>
      </c>
      <c r="H1623" s="8">
        <v>6533</v>
      </c>
      <c r="I1623" s="8">
        <v>6520</v>
      </c>
      <c r="J1623" s="8" t="s">
        <v>1680</v>
      </c>
      <c r="K1623" s="9">
        <v>45329</v>
      </c>
      <c r="L1623" s="9">
        <v>46266</v>
      </c>
      <c r="M1623" s="8" t="s">
        <v>16</v>
      </c>
      <c r="P1623" s="16" t="s">
        <v>1428</v>
      </c>
      <c r="Q1623" s="2" t="s">
        <v>16</v>
      </c>
      <c r="S1623" s="8" t="s">
        <v>2012</v>
      </c>
      <c r="T1623" s="9">
        <v>46905</v>
      </c>
      <c r="U1623" s="8">
        <v>0</v>
      </c>
      <c r="V1623" s="20">
        <v>197</v>
      </c>
      <c r="W1623" s="21" t="s">
        <v>16</v>
      </c>
    </row>
    <row r="1624" spans="1:23" ht="60">
      <c r="A1624" s="8" t="s">
        <v>3759</v>
      </c>
      <c r="B1624" s="8" t="s">
        <v>1681</v>
      </c>
      <c r="C1624" s="8" t="s">
        <v>2197</v>
      </c>
      <c r="D1624" s="8" t="s">
        <v>18</v>
      </c>
      <c r="E1624" s="8" t="s">
        <v>16</v>
      </c>
      <c r="F1624" s="8" t="s">
        <v>2198</v>
      </c>
      <c r="G1624" s="8" t="s">
        <v>3760</v>
      </c>
      <c r="H1624" s="8">
        <v>553</v>
      </c>
      <c r="I1624" s="8">
        <v>3</v>
      </c>
      <c r="J1624" s="8">
        <v>21102702</v>
      </c>
      <c r="K1624" s="9">
        <v>44502</v>
      </c>
      <c r="L1624" s="9">
        <v>46266</v>
      </c>
      <c r="M1624" s="8" t="s">
        <v>16</v>
      </c>
      <c r="P1624" s="16" t="s">
        <v>1431</v>
      </c>
      <c r="Q1624" s="2" t="s">
        <v>16</v>
      </c>
      <c r="S1624" s="8" t="s">
        <v>2013</v>
      </c>
      <c r="T1624" s="9">
        <v>45566</v>
      </c>
      <c r="U1624" s="8">
        <v>0</v>
      </c>
      <c r="V1624" s="20">
        <v>1695</v>
      </c>
      <c r="W1624" s="21" t="s">
        <v>16</v>
      </c>
    </row>
    <row r="1625" spans="1:23" ht="60">
      <c r="A1625" s="8" t="s">
        <v>3759</v>
      </c>
      <c r="B1625" s="8" t="s">
        <v>1681</v>
      </c>
      <c r="C1625" s="8" t="s">
        <v>2197</v>
      </c>
      <c r="D1625" s="8" t="s">
        <v>18</v>
      </c>
      <c r="E1625" s="8" t="s">
        <v>16</v>
      </c>
      <c r="F1625" s="8" t="s">
        <v>2198</v>
      </c>
      <c r="G1625" s="8" t="s">
        <v>3760</v>
      </c>
      <c r="H1625" s="8">
        <v>553</v>
      </c>
      <c r="I1625" s="8">
        <v>550</v>
      </c>
      <c r="J1625" s="8">
        <v>22081025</v>
      </c>
      <c r="K1625" s="9">
        <v>44812</v>
      </c>
      <c r="L1625" s="9">
        <v>46569</v>
      </c>
      <c r="M1625" s="8" t="s">
        <v>16</v>
      </c>
      <c r="P1625" s="16" t="s">
        <v>1433</v>
      </c>
      <c r="Q1625" s="2" t="s">
        <v>16</v>
      </c>
      <c r="S1625" s="8" t="s">
        <v>2016</v>
      </c>
      <c r="T1625" s="9">
        <v>45870</v>
      </c>
      <c r="U1625" s="8">
        <v>0</v>
      </c>
      <c r="V1625" s="20">
        <v>100</v>
      </c>
      <c r="W1625" s="21" t="s">
        <v>16</v>
      </c>
    </row>
    <row r="1626" spans="1:23" ht="60">
      <c r="A1626" s="8" t="s">
        <v>3761</v>
      </c>
      <c r="B1626" s="8" t="s">
        <v>1682</v>
      </c>
      <c r="C1626" s="8" t="s">
        <v>2197</v>
      </c>
      <c r="D1626" s="8" t="s">
        <v>18</v>
      </c>
      <c r="E1626" s="8" t="s">
        <v>16</v>
      </c>
      <c r="F1626" s="8" t="s">
        <v>2198</v>
      </c>
      <c r="G1626" s="8" t="s">
        <v>3760</v>
      </c>
      <c r="H1626" s="8">
        <v>888</v>
      </c>
      <c r="I1626" s="8">
        <v>8</v>
      </c>
      <c r="J1626" s="8">
        <v>22120215</v>
      </c>
      <c r="K1626" s="9">
        <v>44905</v>
      </c>
      <c r="L1626" s="9">
        <v>46692</v>
      </c>
      <c r="M1626" s="8" t="s">
        <v>16</v>
      </c>
      <c r="P1626" s="16" t="s">
        <v>1433</v>
      </c>
      <c r="Q1626" s="2" t="s">
        <v>16</v>
      </c>
      <c r="S1626" s="8" t="s">
        <v>2018</v>
      </c>
      <c r="T1626" s="9">
        <v>45870</v>
      </c>
      <c r="U1626" s="8">
        <v>0</v>
      </c>
      <c r="V1626" s="20">
        <v>100</v>
      </c>
      <c r="W1626" s="21" t="s">
        <v>16</v>
      </c>
    </row>
    <row r="1627" spans="1:23" ht="45">
      <c r="A1627" s="8" t="s">
        <v>3761</v>
      </c>
      <c r="B1627" s="8" t="s">
        <v>1682</v>
      </c>
      <c r="C1627" s="8" t="s">
        <v>2197</v>
      </c>
      <c r="D1627" s="8" t="s">
        <v>18</v>
      </c>
      <c r="E1627" s="8" t="s">
        <v>16</v>
      </c>
      <c r="F1627" s="8" t="s">
        <v>2198</v>
      </c>
      <c r="G1627" s="8" t="s">
        <v>3760</v>
      </c>
      <c r="H1627" s="8">
        <v>888</v>
      </c>
      <c r="I1627" s="8">
        <v>880</v>
      </c>
      <c r="J1627" s="8">
        <v>24031912</v>
      </c>
      <c r="K1627" s="9">
        <v>45436</v>
      </c>
      <c r="L1627" s="9">
        <v>47150</v>
      </c>
      <c r="M1627" s="8" t="s">
        <v>16</v>
      </c>
      <c r="P1627" s="16" t="s">
        <v>1433</v>
      </c>
      <c r="Q1627" s="2" t="s">
        <v>16</v>
      </c>
      <c r="S1627" s="8" t="s">
        <v>2020</v>
      </c>
      <c r="T1627" s="9" t="s">
        <v>2222</v>
      </c>
      <c r="U1627" s="8">
        <v>0</v>
      </c>
      <c r="V1627" s="20">
        <v>10</v>
      </c>
      <c r="W1627" s="21" t="s">
        <v>43</v>
      </c>
    </row>
    <row r="1628" spans="1:23" ht="60">
      <c r="A1628" s="8" t="s">
        <v>3762</v>
      </c>
      <c r="B1628" s="8" t="s">
        <v>1683</v>
      </c>
      <c r="C1628" s="8" t="s">
        <v>2197</v>
      </c>
      <c r="D1628" s="8" t="s">
        <v>18</v>
      </c>
      <c r="E1628" s="8" t="s">
        <v>16</v>
      </c>
      <c r="F1628" s="8" t="s">
        <v>2198</v>
      </c>
      <c r="G1628" s="8" t="s">
        <v>3760</v>
      </c>
      <c r="H1628" s="8">
        <v>220</v>
      </c>
      <c r="I1628" s="8">
        <v>220</v>
      </c>
      <c r="J1628" s="8">
        <v>22081026</v>
      </c>
      <c r="K1628" s="9">
        <v>44812</v>
      </c>
      <c r="L1628" s="9">
        <v>46569</v>
      </c>
      <c r="M1628" s="8" t="s">
        <v>16</v>
      </c>
      <c r="P1628" s="16" t="s">
        <v>1434</v>
      </c>
      <c r="Q1628" s="2" t="s">
        <v>16</v>
      </c>
      <c r="S1628" s="8" t="s">
        <v>2021</v>
      </c>
      <c r="T1628" s="9" t="s">
        <v>2222</v>
      </c>
      <c r="U1628" s="8">
        <v>0</v>
      </c>
      <c r="V1628" s="20">
        <v>18</v>
      </c>
      <c r="W1628" s="21" t="s">
        <v>101</v>
      </c>
    </row>
    <row r="1629" spans="1:23" ht="60">
      <c r="A1629" s="8" t="s">
        <v>3763</v>
      </c>
      <c r="B1629" s="8" t="s">
        <v>1684</v>
      </c>
      <c r="C1629" s="8" t="s">
        <v>2197</v>
      </c>
      <c r="D1629" s="8" t="s">
        <v>18</v>
      </c>
      <c r="E1629" s="8" t="s">
        <v>16</v>
      </c>
      <c r="F1629" s="8" t="s">
        <v>2198</v>
      </c>
      <c r="G1629" s="8" t="s">
        <v>3764</v>
      </c>
      <c r="H1629" s="8">
        <v>85</v>
      </c>
      <c r="I1629" s="8">
        <v>85</v>
      </c>
      <c r="J1629" s="10">
        <v>201000000000</v>
      </c>
      <c r="K1629" s="9">
        <v>44470</v>
      </c>
      <c r="L1629" s="9">
        <v>45809</v>
      </c>
      <c r="M1629" s="8" t="s">
        <v>16</v>
      </c>
      <c r="P1629" s="16" t="s">
        <v>1434</v>
      </c>
      <c r="Q1629" s="2" t="s">
        <v>16</v>
      </c>
      <c r="S1629" s="8" t="s">
        <v>2022</v>
      </c>
      <c r="T1629" s="9" t="s">
        <v>2222</v>
      </c>
      <c r="U1629" s="8">
        <v>0</v>
      </c>
      <c r="V1629" s="20">
        <v>14</v>
      </c>
      <c r="W1629" s="21" t="s">
        <v>101</v>
      </c>
    </row>
    <row r="1630" spans="1:23" ht="90">
      <c r="A1630" s="8" t="s">
        <v>3765</v>
      </c>
      <c r="B1630" s="8" t="s">
        <v>1684</v>
      </c>
      <c r="C1630" s="8" t="s">
        <v>2197</v>
      </c>
      <c r="D1630" s="8" t="s">
        <v>18</v>
      </c>
      <c r="E1630" s="8" t="s">
        <v>16</v>
      </c>
      <c r="F1630" s="8" t="s">
        <v>2198</v>
      </c>
      <c r="G1630" s="8" t="s">
        <v>3764</v>
      </c>
      <c r="H1630" s="8">
        <v>159</v>
      </c>
      <c r="I1630" s="8">
        <v>159</v>
      </c>
      <c r="J1630" s="10">
        <v>201000000000</v>
      </c>
      <c r="K1630" s="9">
        <v>44625</v>
      </c>
      <c r="L1630" s="9">
        <v>45809</v>
      </c>
      <c r="M1630" s="8" t="s">
        <v>16</v>
      </c>
      <c r="P1630" s="16" t="s">
        <v>1435</v>
      </c>
      <c r="Q1630" s="2" t="s">
        <v>16</v>
      </c>
      <c r="S1630" s="8" t="s">
        <v>2023</v>
      </c>
      <c r="T1630" s="9" t="s">
        <v>2222</v>
      </c>
      <c r="U1630" s="8">
        <v>0</v>
      </c>
      <c r="V1630" s="20">
        <v>672</v>
      </c>
      <c r="W1630" s="21" t="s">
        <v>101</v>
      </c>
    </row>
    <row r="1631" spans="1:23" ht="90">
      <c r="A1631" s="8" t="s">
        <v>3766</v>
      </c>
      <c r="B1631" s="8" t="s">
        <v>1685</v>
      </c>
      <c r="C1631" s="8" t="s">
        <v>2197</v>
      </c>
      <c r="D1631" s="8" t="s">
        <v>18</v>
      </c>
      <c r="E1631" s="8" t="s">
        <v>16</v>
      </c>
      <c r="F1631" s="8" t="s">
        <v>2198</v>
      </c>
      <c r="G1631" s="8" t="s">
        <v>3764</v>
      </c>
      <c r="H1631" s="8">
        <v>108</v>
      </c>
      <c r="I1631" s="8">
        <v>108</v>
      </c>
      <c r="J1631" s="10">
        <v>201000000000</v>
      </c>
      <c r="K1631" s="9">
        <v>44460</v>
      </c>
      <c r="L1631" s="9">
        <v>45809</v>
      </c>
      <c r="M1631" s="8" t="s">
        <v>16</v>
      </c>
      <c r="P1631" s="16" t="s">
        <v>1436</v>
      </c>
      <c r="Q1631" s="2" t="s">
        <v>16</v>
      </c>
      <c r="S1631" s="8" t="s">
        <v>2024</v>
      </c>
      <c r="T1631" s="9" t="s">
        <v>2222</v>
      </c>
      <c r="U1631" s="8">
        <v>0</v>
      </c>
      <c r="V1631" s="20">
        <v>562</v>
      </c>
      <c r="W1631" s="21" t="s">
        <v>101</v>
      </c>
    </row>
    <row r="1632" spans="1:23" ht="60">
      <c r="A1632" s="8" t="s">
        <v>3767</v>
      </c>
      <c r="B1632" s="8" t="s">
        <v>1686</v>
      </c>
      <c r="C1632" s="8" t="s">
        <v>2221</v>
      </c>
      <c r="D1632" s="8" t="s">
        <v>18</v>
      </c>
      <c r="E1632" s="8" t="s">
        <v>101</v>
      </c>
      <c r="F1632" s="8" t="s">
        <v>101</v>
      </c>
      <c r="G1632" s="8" t="s">
        <v>2217</v>
      </c>
      <c r="H1632" s="8">
        <v>10</v>
      </c>
      <c r="I1632" s="8">
        <v>10</v>
      </c>
      <c r="J1632" s="8">
        <v>0</v>
      </c>
      <c r="K1632" s="9">
        <v>44145</v>
      </c>
      <c r="L1632" s="8" t="s">
        <v>2222</v>
      </c>
      <c r="M1632" s="8" t="s">
        <v>41</v>
      </c>
      <c r="P1632" s="16" t="s">
        <v>1436</v>
      </c>
      <c r="Q1632" s="2" t="s">
        <v>16</v>
      </c>
      <c r="S1632" s="8" t="s">
        <v>2025</v>
      </c>
      <c r="T1632" s="9" t="s">
        <v>2222</v>
      </c>
      <c r="U1632" s="8">
        <v>0</v>
      </c>
      <c r="V1632" s="20">
        <v>42</v>
      </c>
      <c r="W1632" s="21" t="s">
        <v>101</v>
      </c>
    </row>
    <row r="1633" spans="1:23" ht="45">
      <c r="A1633" s="8" t="s">
        <v>3768</v>
      </c>
      <c r="B1633" s="8" t="s">
        <v>1687</v>
      </c>
      <c r="C1633" s="8" t="s">
        <v>2994</v>
      </c>
      <c r="D1633" s="8" t="s">
        <v>100</v>
      </c>
      <c r="E1633" s="8" t="s">
        <v>151</v>
      </c>
      <c r="F1633" s="8" t="s">
        <v>151</v>
      </c>
      <c r="G1633" s="8" t="s">
        <v>3769</v>
      </c>
      <c r="H1633" s="8">
        <v>2</v>
      </c>
      <c r="I1633" s="8">
        <v>2</v>
      </c>
      <c r="J1633" s="8">
        <v>0</v>
      </c>
      <c r="K1633" s="9">
        <v>45450</v>
      </c>
      <c r="L1633" s="9">
        <v>46143</v>
      </c>
      <c r="M1633" s="8" t="s">
        <v>151</v>
      </c>
      <c r="P1633" s="16" t="s">
        <v>1436</v>
      </c>
      <c r="Q1633" s="2" t="s">
        <v>16</v>
      </c>
      <c r="S1633" s="8" t="s">
        <v>2026</v>
      </c>
      <c r="T1633" s="9" t="s">
        <v>2222</v>
      </c>
      <c r="U1633" s="8">
        <v>0</v>
      </c>
      <c r="V1633" s="20">
        <v>8</v>
      </c>
      <c r="W1633" s="21" t="s">
        <v>2027</v>
      </c>
    </row>
    <row r="1634" spans="1:23" ht="60">
      <c r="A1634" s="8" t="s">
        <v>3768</v>
      </c>
      <c r="B1634" s="8" t="s">
        <v>1687</v>
      </c>
      <c r="C1634" s="8" t="s">
        <v>2994</v>
      </c>
      <c r="D1634" s="8" t="s">
        <v>18</v>
      </c>
      <c r="E1634" s="8" t="s">
        <v>151</v>
      </c>
      <c r="F1634" s="8" t="s">
        <v>151</v>
      </c>
      <c r="G1634" s="8" t="s">
        <v>3769</v>
      </c>
      <c r="H1634" s="8">
        <v>308</v>
      </c>
      <c r="I1634" s="8">
        <v>308</v>
      </c>
      <c r="J1634" s="8">
        <v>0</v>
      </c>
      <c r="K1634" s="9">
        <v>45450</v>
      </c>
      <c r="L1634" s="9">
        <v>46143</v>
      </c>
      <c r="M1634" s="8" t="s">
        <v>151</v>
      </c>
      <c r="P1634" s="16" t="s">
        <v>1436</v>
      </c>
      <c r="Q1634" s="2" t="s">
        <v>16</v>
      </c>
      <c r="S1634" s="8" t="s">
        <v>2030</v>
      </c>
      <c r="T1634" s="9" t="s">
        <v>2222</v>
      </c>
      <c r="U1634" s="8">
        <v>0</v>
      </c>
      <c r="V1634" s="20">
        <v>4</v>
      </c>
      <c r="W1634" s="21" t="s">
        <v>101</v>
      </c>
    </row>
    <row r="1635" spans="1:23" ht="75">
      <c r="A1635" s="8" t="s">
        <v>3770</v>
      </c>
      <c r="B1635" s="8" t="s">
        <v>1688</v>
      </c>
      <c r="C1635" s="8" t="s">
        <v>2197</v>
      </c>
      <c r="D1635" s="8" t="s">
        <v>18</v>
      </c>
      <c r="E1635" s="8" t="s">
        <v>2217</v>
      </c>
      <c r="F1635" s="8" t="s">
        <v>2217</v>
      </c>
      <c r="G1635" s="8" t="s">
        <v>2217</v>
      </c>
      <c r="H1635" s="8">
        <v>24</v>
      </c>
      <c r="I1635" s="8">
        <v>24</v>
      </c>
      <c r="J1635" s="8" t="s">
        <v>1689</v>
      </c>
      <c r="K1635" s="9">
        <v>45355</v>
      </c>
      <c r="L1635" s="9">
        <v>45689</v>
      </c>
      <c r="M1635" s="8" t="s">
        <v>151</v>
      </c>
      <c r="P1635" s="16" t="s">
        <v>1437</v>
      </c>
      <c r="Q1635" s="2" t="s">
        <v>16</v>
      </c>
      <c r="S1635" s="8" t="s">
        <v>2031</v>
      </c>
      <c r="T1635" s="9" t="s">
        <v>2222</v>
      </c>
      <c r="U1635" s="8">
        <v>0</v>
      </c>
      <c r="V1635" s="20">
        <v>46</v>
      </c>
      <c r="W1635" s="21" t="s">
        <v>101</v>
      </c>
    </row>
    <row r="1636" spans="1:23" ht="90">
      <c r="A1636" s="8" t="s">
        <v>3771</v>
      </c>
      <c r="B1636" s="8" t="s">
        <v>1690</v>
      </c>
      <c r="C1636" s="8" t="s">
        <v>2203</v>
      </c>
      <c r="D1636" s="8" t="s">
        <v>18</v>
      </c>
      <c r="E1636" s="8" t="s">
        <v>151</v>
      </c>
      <c r="F1636" s="8" t="s">
        <v>151</v>
      </c>
      <c r="G1636" s="8" t="s">
        <v>3772</v>
      </c>
      <c r="H1636" s="8">
        <v>845</v>
      </c>
      <c r="I1636" s="8">
        <v>845</v>
      </c>
      <c r="J1636" s="8">
        <v>0</v>
      </c>
      <c r="K1636" s="9">
        <v>45205</v>
      </c>
      <c r="L1636" s="9">
        <v>45931</v>
      </c>
      <c r="M1636" s="8" t="s">
        <v>151</v>
      </c>
      <c r="P1636" s="16" t="s">
        <v>1437</v>
      </c>
      <c r="Q1636" s="2" t="s">
        <v>16</v>
      </c>
      <c r="S1636" s="8" t="s">
        <v>2032</v>
      </c>
      <c r="T1636" s="9" t="s">
        <v>2222</v>
      </c>
      <c r="U1636" s="8">
        <v>0</v>
      </c>
      <c r="V1636" s="20">
        <v>22</v>
      </c>
      <c r="W1636" s="21" t="s">
        <v>101</v>
      </c>
    </row>
    <row r="1637" spans="1:23" ht="105">
      <c r="A1637" s="8" t="s">
        <v>3773</v>
      </c>
      <c r="B1637" s="8" t="s">
        <v>1691</v>
      </c>
      <c r="C1637" s="8" t="s">
        <v>2994</v>
      </c>
      <c r="D1637" s="8" t="s">
        <v>18</v>
      </c>
      <c r="E1637" s="8" t="s">
        <v>151</v>
      </c>
      <c r="F1637" s="8" t="s">
        <v>151</v>
      </c>
      <c r="G1637" s="8" t="s">
        <v>3772</v>
      </c>
      <c r="H1637" s="8">
        <v>13</v>
      </c>
      <c r="I1637" s="8">
        <v>13</v>
      </c>
      <c r="J1637" s="8">
        <v>1230615</v>
      </c>
      <c r="K1637" s="9">
        <v>45097</v>
      </c>
      <c r="L1637" s="9">
        <v>45809</v>
      </c>
      <c r="M1637" s="8" t="s">
        <v>151</v>
      </c>
      <c r="P1637" s="16" t="s">
        <v>1438</v>
      </c>
      <c r="Q1637" s="2" t="s">
        <v>16</v>
      </c>
      <c r="S1637" s="8" t="s">
        <v>2033</v>
      </c>
      <c r="T1637" s="9" t="s">
        <v>2222</v>
      </c>
      <c r="U1637" s="8">
        <v>0</v>
      </c>
      <c r="V1637" s="20">
        <v>54</v>
      </c>
      <c r="W1637" s="21" t="s">
        <v>101</v>
      </c>
    </row>
    <row r="1638" spans="1:23" ht="105">
      <c r="A1638" s="8" t="s">
        <v>3774</v>
      </c>
      <c r="B1638" s="8" t="s">
        <v>1692</v>
      </c>
      <c r="C1638" s="8" t="s">
        <v>2203</v>
      </c>
      <c r="D1638" s="8" t="s">
        <v>18</v>
      </c>
      <c r="E1638" s="8" t="s">
        <v>151</v>
      </c>
      <c r="F1638" s="8" t="s">
        <v>151</v>
      </c>
      <c r="G1638" s="8" t="s">
        <v>3772</v>
      </c>
      <c r="H1638" s="8">
        <v>216</v>
      </c>
      <c r="I1638" s="8">
        <v>216</v>
      </c>
      <c r="J1638" s="8">
        <v>1230615</v>
      </c>
      <c r="K1638" s="9">
        <v>45097</v>
      </c>
      <c r="L1638" s="9">
        <v>45809</v>
      </c>
      <c r="M1638" s="8" t="s">
        <v>151</v>
      </c>
      <c r="P1638" s="16" t="s">
        <v>1438</v>
      </c>
      <c r="Q1638" s="2" t="s">
        <v>16</v>
      </c>
      <c r="S1638" s="8" t="s">
        <v>2034</v>
      </c>
      <c r="T1638" s="9" t="s">
        <v>2222</v>
      </c>
      <c r="U1638" s="8">
        <v>0</v>
      </c>
      <c r="V1638" s="20">
        <v>28</v>
      </c>
      <c r="W1638" s="21" t="s">
        <v>101</v>
      </c>
    </row>
    <row r="1639" spans="1:23" ht="60">
      <c r="A1639" s="8" t="s">
        <v>3775</v>
      </c>
      <c r="B1639" s="8" t="s">
        <v>1693</v>
      </c>
      <c r="C1639" s="8" t="s">
        <v>2197</v>
      </c>
      <c r="D1639" s="8" t="s">
        <v>18</v>
      </c>
      <c r="E1639" s="8" t="s">
        <v>16</v>
      </c>
      <c r="F1639" s="8" t="s">
        <v>2228</v>
      </c>
      <c r="G1639" s="8" t="s">
        <v>3776</v>
      </c>
      <c r="H1639" s="8">
        <v>1483</v>
      </c>
      <c r="I1639" s="8">
        <v>1483</v>
      </c>
      <c r="J1639" s="8" t="s">
        <v>1694</v>
      </c>
      <c r="K1639" s="9">
        <v>45204</v>
      </c>
      <c r="L1639" s="9">
        <v>45839</v>
      </c>
      <c r="M1639" s="8" t="s">
        <v>16</v>
      </c>
      <c r="P1639" s="16" t="s">
        <v>1438</v>
      </c>
      <c r="Q1639" s="2" t="s">
        <v>16</v>
      </c>
      <c r="S1639" s="8" t="s">
        <v>2037</v>
      </c>
      <c r="T1639" s="9" t="s">
        <v>2222</v>
      </c>
      <c r="U1639" s="8">
        <v>0</v>
      </c>
      <c r="V1639" s="20">
        <v>1</v>
      </c>
      <c r="W1639" s="21" t="s">
        <v>101</v>
      </c>
    </row>
    <row r="1640" spans="1:23" ht="60">
      <c r="A1640" s="8" t="s">
        <v>3777</v>
      </c>
      <c r="B1640" s="8" t="s">
        <v>1695</v>
      </c>
      <c r="C1640" s="8" t="s">
        <v>2197</v>
      </c>
      <c r="D1640" s="8" t="s">
        <v>18</v>
      </c>
      <c r="E1640" s="8" t="s">
        <v>16</v>
      </c>
      <c r="F1640" s="8" t="s">
        <v>2228</v>
      </c>
      <c r="G1640" s="8" t="s">
        <v>3778</v>
      </c>
      <c r="H1640" s="8">
        <v>720</v>
      </c>
      <c r="I1640" s="8">
        <v>720</v>
      </c>
      <c r="J1640" s="8">
        <v>174074</v>
      </c>
      <c r="K1640" s="9">
        <v>45450</v>
      </c>
      <c r="L1640" s="9">
        <v>45962</v>
      </c>
      <c r="M1640" s="8" t="s">
        <v>16</v>
      </c>
      <c r="P1640" s="16" t="s">
        <v>1438</v>
      </c>
      <c r="Q1640" s="2" t="s">
        <v>16</v>
      </c>
      <c r="S1640" s="8" t="s">
        <v>2038</v>
      </c>
      <c r="T1640" s="9">
        <v>47058</v>
      </c>
      <c r="U1640" s="8">
        <v>0</v>
      </c>
      <c r="V1640" s="20">
        <v>19</v>
      </c>
      <c r="W1640" s="21" t="s">
        <v>16</v>
      </c>
    </row>
    <row r="1641" spans="1:23" ht="60">
      <c r="A1641" s="8" t="s">
        <v>3779</v>
      </c>
      <c r="B1641" s="8" t="s">
        <v>1696</v>
      </c>
      <c r="C1641" s="8" t="s">
        <v>2203</v>
      </c>
      <c r="D1641" s="8" t="s">
        <v>18</v>
      </c>
      <c r="E1641" s="8" t="s">
        <v>16</v>
      </c>
      <c r="F1641" s="8" t="s">
        <v>2198</v>
      </c>
      <c r="G1641" s="8" t="s">
        <v>3780</v>
      </c>
      <c r="H1641" s="8">
        <v>3221</v>
      </c>
      <c r="I1641" s="8">
        <v>700</v>
      </c>
      <c r="J1641" s="8" t="s">
        <v>1697</v>
      </c>
      <c r="K1641" s="9">
        <v>44978</v>
      </c>
      <c r="L1641" s="9">
        <v>46631</v>
      </c>
      <c r="M1641" s="8" t="s">
        <v>16</v>
      </c>
      <c r="P1641" s="16" t="s">
        <v>1438</v>
      </c>
      <c r="Q1641" s="2" t="s">
        <v>16</v>
      </c>
      <c r="S1641" s="8" t="s">
        <v>2038</v>
      </c>
      <c r="T1641" s="9">
        <v>47178</v>
      </c>
      <c r="U1641" s="8">
        <v>0</v>
      </c>
      <c r="V1641" s="20">
        <v>5400</v>
      </c>
      <c r="W1641" s="21" t="s">
        <v>16</v>
      </c>
    </row>
    <row r="1642" spans="1:23" ht="60">
      <c r="A1642" s="8" t="s">
        <v>3779</v>
      </c>
      <c r="B1642" s="8" t="s">
        <v>1696</v>
      </c>
      <c r="C1642" s="8" t="s">
        <v>2203</v>
      </c>
      <c r="D1642" s="8" t="s">
        <v>18</v>
      </c>
      <c r="E1642" s="8" t="s">
        <v>16</v>
      </c>
      <c r="F1642" s="8" t="s">
        <v>2198</v>
      </c>
      <c r="G1642" s="8" t="s">
        <v>3780</v>
      </c>
      <c r="H1642" s="8">
        <v>3221</v>
      </c>
      <c r="I1642" s="8">
        <v>2521</v>
      </c>
      <c r="J1642" s="8">
        <v>1251221</v>
      </c>
      <c r="K1642" s="9">
        <v>45128</v>
      </c>
      <c r="L1642" s="9">
        <v>46357</v>
      </c>
      <c r="M1642" s="8" t="s">
        <v>16</v>
      </c>
      <c r="P1642" s="16" t="s">
        <v>1438</v>
      </c>
      <c r="Q1642" s="2" t="s">
        <v>16</v>
      </c>
      <c r="S1642" s="8" t="s">
        <v>2039</v>
      </c>
      <c r="T1642" s="9">
        <v>47178</v>
      </c>
      <c r="U1642" s="8">
        <v>0</v>
      </c>
      <c r="V1642" s="20">
        <v>7352</v>
      </c>
      <c r="W1642" s="21" t="s">
        <v>16</v>
      </c>
    </row>
    <row r="1643" spans="1:23" ht="60">
      <c r="A1643" s="8" t="s">
        <v>3781</v>
      </c>
      <c r="B1643" s="8" t="s">
        <v>1698</v>
      </c>
      <c r="C1643" s="8" t="s">
        <v>2203</v>
      </c>
      <c r="D1643" s="8" t="s">
        <v>18</v>
      </c>
      <c r="E1643" s="8" t="s">
        <v>16</v>
      </c>
      <c r="F1643" s="8" t="s">
        <v>2198</v>
      </c>
      <c r="G1643" s="8" t="s">
        <v>3780</v>
      </c>
      <c r="H1643" s="8">
        <v>1000</v>
      </c>
      <c r="I1643" s="8">
        <v>1000</v>
      </c>
      <c r="J1643" s="8">
        <v>1090922</v>
      </c>
      <c r="K1643" s="9">
        <v>44987</v>
      </c>
      <c r="L1643" s="9">
        <v>46631</v>
      </c>
      <c r="M1643" s="8" t="s">
        <v>16</v>
      </c>
      <c r="P1643" s="16" t="s">
        <v>1439</v>
      </c>
      <c r="Q1643" s="2" t="s">
        <v>16</v>
      </c>
      <c r="S1643" s="8" t="s">
        <v>2040</v>
      </c>
      <c r="T1643" s="9">
        <v>46054</v>
      </c>
      <c r="U1643" s="8">
        <v>0</v>
      </c>
      <c r="V1643" s="20">
        <v>410</v>
      </c>
      <c r="W1643" s="21" t="s">
        <v>16</v>
      </c>
    </row>
    <row r="1644" spans="1:23" ht="60">
      <c r="A1644" s="8" t="s">
        <v>3782</v>
      </c>
      <c r="B1644" s="8" t="s">
        <v>1699</v>
      </c>
      <c r="C1644" s="8" t="s">
        <v>2197</v>
      </c>
      <c r="D1644" s="8" t="s">
        <v>18</v>
      </c>
      <c r="E1644" s="8" t="s">
        <v>2217</v>
      </c>
      <c r="F1644" s="8" t="s">
        <v>2217</v>
      </c>
      <c r="G1644" s="8" t="s">
        <v>2217</v>
      </c>
      <c r="H1644" s="8">
        <v>500</v>
      </c>
      <c r="I1644" s="8">
        <v>500</v>
      </c>
      <c r="J1644" s="8">
        <v>40123901</v>
      </c>
      <c r="K1644" s="9">
        <v>45412</v>
      </c>
      <c r="L1644" s="9">
        <v>46478</v>
      </c>
      <c r="M1644" s="8" t="s">
        <v>16</v>
      </c>
      <c r="P1644" s="16" t="s">
        <v>1441</v>
      </c>
      <c r="Q1644" s="2" t="s">
        <v>38</v>
      </c>
      <c r="S1644" s="8" t="s">
        <v>2042</v>
      </c>
      <c r="T1644" s="9">
        <v>46753</v>
      </c>
      <c r="U1644" s="8">
        <v>0</v>
      </c>
      <c r="V1644" s="20">
        <v>27</v>
      </c>
      <c r="W1644" s="21" t="s">
        <v>16</v>
      </c>
    </row>
    <row r="1645" spans="1:23" ht="75">
      <c r="A1645" s="8" t="s">
        <v>3783</v>
      </c>
      <c r="B1645" s="8" t="s">
        <v>1700</v>
      </c>
      <c r="C1645" s="8" t="s">
        <v>2197</v>
      </c>
      <c r="D1645" s="8" t="s">
        <v>18</v>
      </c>
      <c r="E1645" s="8" t="s">
        <v>2217</v>
      </c>
      <c r="F1645" s="8" t="s">
        <v>2217</v>
      </c>
      <c r="G1645" s="8" t="s">
        <v>2217</v>
      </c>
      <c r="H1645" s="8">
        <v>5</v>
      </c>
      <c r="I1645" s="8">
        <v>5</v>
      </c>
      <c r="J1645" s="8">
        <v>30203201</v>
      </c>
      <c r="K1645" s="9">
        <v>45344</v>
      </c>
      <c r="L1645" s="9">
        <v>46327</v>
      </c>
      <c r="M1645" s="8" t="s">
        <v>38</v>
      </c>
      <c r="P1645" s="16" t="s">
        <v>1442</v>
      </c>
      <c r="Q1645" s="2" t="s">
        <v>38</v>
      </c>
      <c r="S1645" s="8" t="s">
        <v>2042</v>
      </c>
      <c r="T1645" s="9">
        <v>47027</v>
      </c>
      <c r="U1645" s="8">
        <v>0</v>
      </c>
      <c r="V1645" s="20">
        <v>520</v>
      </c>
      <c r="W1645" s="21" t="s">
        <v>16</v>
      </c>
    </row>
    <row r="1646" spans="1:23" ht="75">
      <c r="A1646" s="8" t="s">
        <v>3784</v>
      </c>
      <c r="B1646" s="8" t="s">
        <v>1701</v>
      </c>
      <c r="C1646" s="8" t="s">
        <v>2197</v>
      </c>
      <c r="D1646" s="8" t="s">
        <v>18</v>
      </c>
      <c r="E1646" s="8" t="s">
        <v>2217</v>
      </c>
      <c r="F1646" s="8" t="s">
        <v>2217</v>
      </c>
      <c r="G1646" s="8" t="s">
        <v>2217</v>
      </c>
      <c r="H1646" s="8">
        <v>5</v>
      </c>
      <c r="I1646" s="8">
        <v>5</v>
      </c>
      <c r="J1646" s="8">
        <v>30203201</v>
      </c>
      <c r="K1646" s="9">
        <v>45344</v>
      </c>
      <c r="L1646" s="9">
        <v>46327</v>
      </c>
      <c r="M1646" s="8" t="s">
        <v>38</v>
      </c>
      <c r="P1646" s="16" t="s">
        <v>1443</v>
      </c>
      <c r="Q1646" s="2" t="s">
        <v>151</v>
      </c>
      <c r="S1646" s="8" t="s">
        <v>2049</v>
      </c>
      <c r="T1646" s="9">
        <v>46813</v>
      </c>
      <c r="U1646" s="8">
        <v>0</v>
      </c>
      <c r="V1646" s="20">
        <v>350</v>
      </c>
      <c r="W1646" s="21" t="s">
        <v>16</v>
      </c>
    </row>
    <row r="1647" spans="1:23" ht="60">
      <c r="A1647" s="8" t="s">
        <v>3785</v>
      </c>
      <c r="B1647" s="8" t="s">
        <v>1702</v>
      </c>
      <c r="C1647" s="8" t="s">
        <v>2197</v>
      </c>
      <c r="D1647" s="8" t="s">
        <v>18</v>
      </c>
      <c r="E1647" s="8" t="s">
        <v>2217</v>
      </c>
      <c r="F1647" s="8" t="s">
        <v>2217</v>
      </c>
      <c r="G1647" s="8" t="s">
        <v>2217</v>
      </c>
      <c r="H1647" s="8">
        <v>5</v>
      </c>
      <c r="I1647" s="8">
        <v>5</v>
      </c>
      <c r="J1647" s="8">
        <v>30203201</v>
      </c>
      <c r="K1647" s="9">
        <v>45344</v>
      </c>
      <c r="L1647" s="9">
        <v>46327</v>
      </c>
      <c r="M1647" s="8" t="s">
        <v>38</v>
      </c>
      <c r="P1647" s="16" t="s">
        <v>1443</v>
      </c>
      <c r="Q1647" s="2" t="s">
        <v>151</v>
      </c>
      <c r="S1647" s="8" t="s">
        <v>2051</v>
      </c>
      <c r="T1647" s="9">
        <v>46569</v>
      </c>
      <c r="U1647" s="8">
        <v>0</v>
      </c>
      <c r="V1647" s="20">
        <v>40</v>
      </c>
      <c r="W1647" s="21" t="s">
        <v>16</v>
      </c>
    </row>
    <row r="1648" spans="1:23" ht="45">
      <c r="A1648" s="8" t="s">
        <v>3786</v>
      </c>
      <c r="B1648" s="8" t="s">
        <v>1703</v>
      </c>
      <c r="C1648" s="8" t="s">
        <v>2197</v>
      </c>
      <c r="D1648" s="8" t="s">
        <v>18</v>
      </c>
      <c r="E1648" s="8" t="s">
        <v>2217</v>
      </c>
      <c r="F1648" s="8" t="s">
        <v>2217</v>
      </c>
      <c r="G1648" s="8" t="s">
        <v>2217</v>
      </c>
      <c r="H1648" s="8">
        <v>480</v>
      </c>
      <c r="I1648" s="8">
        <v>480</v>
      </c>
      <c r="J1648" s="8">
        <v>40123901</v>
      </c>
      <c r="K1648" s="9">
        <v>45412</v>
      </c>
      <c r="L1648" s="9">
        <v>46478</v>
      </c>
      <c r="M1648" s="8" t="s">
        <v>16</v>
      </c>
      <c r="P1648" s="16" t="s">
        <v>1444</v>
      </c>
      <c r="Q1648" s="2" t="s">
        <v>38</v>
      </c>
      <c r="S1648" s="8" t="s">
        <v>2051</v>
      </c>
      <c r="T1648" s="9">
        <v>46813</v>
      </c>
      <c r="U1648" s="8">
        <v>0</v>
      </c>
      <c r="V1648" s="20">
        <v>400</v>
      </c>
      <c r="W1648" s="21" t="s">
        <v>16</v>
      </c>
    </row>
    <row r="1649" spans="1:23" ht="48.75">
      <c r="A1649" s="8" t="s">
        <v>3787</v>
      </c>
      <c r="B1649" s="8" t="s">
        <v>1704</v>
      </c>
      <c r="C1649" s="8" t="s">
        <v>2197</v>
      </c>
      <c r="D1649" s="8" t="s">
        <v>18</v>
      </c>
      <c r="E1649" s="8" t="s">
        <v>2217</v>
      </c>
      <c r="F1649" s="8" t="s">
        <v>2217</v>
      </c>
      <c r="G1649" s="8" t="s">
        <v>2217</v>
      </c>
      <c r="H1649" s="8">
        <v>424</v>
      </c>
      <c r="I1649" s="8">
        <v>100</v>
      </c>
      <c r="J1649" s="8">
        <v>33113301</v>
      </c>
      <c r="K1649" s="9">
        <v>45356</v>
      </c>
      <c r="L1649" s="9">
        <v>46419</v>
      </c>
      <c r="M1649" s="8" t="s">
        <v>16</v>
      </c>
      <c r="P1649" s="16" t="s">
        <v>1445</v>
      </c>
      <c r="Q1649" s="2" t="s">
        <v>43</v>
      </c>
      <c r="S1649" s="8" t="s">
        <v>2061</v>
      </c>
      <c r="T1649" s="9" t="s">
        <v>2222</v>
      </c>
      <c r="U1649" s="8">
        <v>0</v>
      </c>
      <c r="V1649" s="20">
        <v>10</v>
      </c>
      <c r="W1649" s="21" t="s">
        <v>41</v>
      </c>
    </row>
    <row r="1650" spans="1:23" ht="45">
      <c r="A1650" s="8" t="s">
        <v>3787</v>
      </c>
      <c r="B1650" s="8" t="s">
        <v>1704</v>
      </c>
      <c r="C1650" s="8" t="s">
        <v>2197</v>
      </c>
      <c r="D1650" s="8" t="s">
        <v>18</v>
      </c>
      <c r="E1650" s="8" t="s">
        <v>2217</v>
      </c>
      <c r="F1650" s="8" t="s">
        <v>2217</v>
      </c>
      <c r="G1650" s="8" t="s">
        <v>2217</v>
      </c>
      <c r="H1650" s="8">
        <v>424</v>
      </c>
      <c r="I1650" s="8">
        <v>324</v>
      </c>
      <c r="J1650" s="8">
        <v>35113301</v>
      </c>
      <c r="K1650" s="9">
        <v>45356</v>
      </c>
      <c r="L1650" s="9">
        <v>46419</v>
      </c>
      <c r="M1650" s="8" t="s">
        <v>16</v>
      </c>
      <c r="P1650" s="16" t="s">
        <v>1446</v>
      </c>
      <c r="Q1650" s="2" t="s">
        <v>43</v>
      </c>
      <c r="S1650" s="8" t="s">
        <v>2062</v>
      </c>
      <c r="T1650" s="9">
        <v>47119</v>
      </c>
      <c r="U1650" s="8">
        <v>0</v>
      </c>
      <c r="V1650" s="20">
        <v>312</v>
      </c>
      <c r="W1650" s="21" t="s">
        <v>16</v>
      </c>
    </row>
    <row r="1651" spans="1:23" ht="45">
      <c r="A1651" s="8" t="s">
        <v>3788</v>
      </c>
      <c r="B1651" s="8" t="s">
        <v>1705</v>
      </c>
      <c r="C1651" s="8" t="s">
        <v>2197</v>
      </c>
      <c r="D1651" s="8" t="s">
        <v>18</v>
      </c>
      <c r="E1651" s="8" t="s">
        <v>2217</v>
      </c>
      <c r="F1651" s="8" t="s">
        <v>2217</v>
      </c>
      <c r="G1651" s="8" t="s">
        <v>2217</v>
      </c>
      <c r="H1651" s="8">
        <v>214</v>
      </c>
      <c r="I1651" s="8">
        <v>100</v>
      </c>
      <c r="J1651" s="8">
        <v>33113301</v>
      </c>
      <c r="K1651" s="9">
        <v>45356</v>
      </c>
      <c r="L1651" s="9">
        <v>46419</v>
      </c>
      <c r="M1651" s="8" t="s">
        <v>16</v>
      </c>
      <c r="P1651" s="16" t="s">
        <v>1447</v>
      </c>
      <c r="Q1651" s="2" t="s">
        <v>43</v>
      </c>
      <c r="S1651" s="8" t="s">
        <v>2063</v>
      </c>
      <c r="T1651" s="9">
        <v>47088</v>
      </c>
      <c r="U1651" s="8">
        <v>0</v>
      </c>
      <c r="V1651" s="20">
        <v>194</v>
      </c>
      <c r="W1651" s="21" t="s">
        <v>16</v>
      </c>
    </row>
    <row r="1652" spans="1:23" ht="45">
      <c r="A1652" s="8" t="s">
        <v>3788</v>
      </c>
      <c r="B1652" s="8" t="s">
        <v>1705</v>
      </c>
      <c r="C1652" s="8" t="s">
        <v>2197</v>
      </c>
      <c r="D1652" s="8" t="s">
        <v>18</v>
      </c>
      <c r="E1652" s="8" t="s">
        <v>2217</v>
      </c>
      <c r="F1652" s="8" t="s">
        <v>2217</v>
      </c>
      <c r="G1652" s="8" t="s">
        <v>2217</v>
      </c>
      <c r="H1652" s="8">
        <v>214</v>
      </c>
      <c r="I1652" s="8">
        <v>114</v>
      </c>
      <c r="J1652" s="8">
        <v>35113301</v>
      </c>
      <c r="K1652" s="9">
        <v>45356</v>
      </c>
      <c r="L1652" s="9">
        <v>46419</v>
      </c>
      <c r="M1652" s="8" t="s">
        <v>16</v>
      </c>
      <c r="P1652" s="16" t="s">
        <v>1448</v>
      </c>
      <c r="Q1652" s="2" t="s">
        <v>41</v>
      </c>
      <c r="S1652" s="8" t="s">
        <v>2064</v>
      </c>
      <c r="T1652" s="9" t="s">
        <v>2222</v>
      </c>
      <c r="U1652" s="8">
        <v>0</v>
      </c>
      <c r="V1652" s="20">
        <v>7626</v>
      </c>
      <c r="W1652" s="21" t="s">
        <v>43</v>
      </c>
    </row>
    <row r="1653" spans="1:23" ht="60">
      <c r="A1653" s="8" t="s">
        <v>3789</v>
      </c>
      <c r="B1653" s="8" t="s">
        <v>1706</v>
      </c>
      <c r="C1653" s="8" t="s">
        <v>2197</v>
      </c>
      <c r="D1653" s="8" t="s">
        <v>18</v>
      </c>
      <c r="E1653" s="8" t="s">
        <v>2217</v>
      </c>
      <c r="F1653" s="8" t="s">
        <v>2217</v>
      </c>
      <c r="G1653" s="8" t="s">
        <v>2217</v>
      </c>
      <c r="H1653" s="8">
        <v>5</v>
      </c>
      <c r="I1653" s="8">
        <v>5</v>
      </c>
      <c r="J1653" s="8">
        <v>30203201</v>
      </c>
      <c r="K1653" s="9">
        <v>45344</v>
      </c>
      <c r="L1653" s="9">
        <v>46327</v>
      </c>
      <c r="M1653" s="8" t="s">
        <v>38</v>
      </c>
      <c r="P1653" s="16" t="s">
        <v>1449</v>
      </c>
      <c r="Q1653" s="2" t="s">
        <v>41</v>
      </c>
      <c r="S1653" s="8" t="s">
        <v>2065</v>
      </c>
      <c r="T1653" s="9" t="s">
        <v>2222</v>
      </c>
      <c r="U1653" s="8">
        <v>0</v>
      </c>
      <c r="V1653" s="20">
        <v>150</v>
      </c>
      <c r="W1653" s="21" t="s">
        <v>43</v>
      </c>
    </row>
    <row r="1654" spans="1:23" ht="45">
      <c r="A1654" s="8" t="s">
        <v>3790</v>
      </c>
      <c r="B1654" s="8" t="s">
        <v>1707</v>
      </c>
      <c r="C1654" s="8" t="s">
        <v>2221</v>
      </c>
      <c r="D1654" s="8" t="s">
        <v>18</v>
      </c>
      <c r="E1654" s="8" t="s">
        <v>16</v>
      </c>
      <c r="F1654" s="8" t="s">
        <v>2198</v>
      </c>
      <c r="G1654" s="8" t="s">
        <v>3791</v>
      </c>
      <c r="H1654" s="8">
        <v>459</v>
      </c>
      <c r="I1654" s="8">
        <v>459</v>
      </c>
      <c r="J1654" s="8">
        <v>20220907</v>
      </c>
      <c r="K1654" s="9">
        <v>45363</v>
      </c>
      <c r="L1654" s="9">
        <v>46874</v>
      </c>
      <c r="M1654" s="8" t="s">
        <v>16</v>
      </c>
      <c r="P1654" s="16" t="s">
        <v>1450</v>
      </c>
      <c r="Q1654" s="2" t="s">
        <v>41</v>
      </c>
      <c r="S1654" s="8" t="s">
        <v>2066</v>
      </c>
      <c r="T1654" s="9" t="s">
        <v>2222</v>
      </c>
      <c r="U1654" s="8">
        <v>0</v>
      </c>
      <c r="V1654" s="20">
        <v>30</v>
      </c>
      <c r="W1654" s="21" t="s">
        <v>43</v>
      </c>
    </row>
    <row r="1655" spans="1:23" ht="60">
      <c r="A1655" s="8" t="s">
        <v>3792</v>
      </c>
      <c r="B1655" s="8" t="s">
        <v>1708</v>
      </c>
      <c r="C1655" s="8" t="s">
        <v>2203</v>
      </c>
      <c r="D1655" s="8" t="s">
        <v>18</v>
      </c>
      <c r="E1655" s="8" t="s">
        <v>16</v>
      </c>
      <c r="F1655" s="8" t="s">
        <v>2198</v>
      </c>
      <c r="G1655" s="8" t="s">
        <v>3791</v>
      </c>
      <c r="H1655" s="8">
        <v>1540</v>
      </c>
      <c r="I1655" s="8">
        <v>740</v>
      </c>
      <c r="J1655" s="8">
        <v>20220907</v>
      </c>
      <c r="K1655" s="9">
        <v>45342</v>
      </c>
      <c r="L1655" s="9">
        <v>46174</v>
      </c>
      <c r="M1655" s="8" t="s">
        <v>16</v>
      </c>
      <c r="P1655" s="16" t="s">
        <v>1451</v>
      </c>
      <c r="Q1655" s="2" t="s">
        <v>41</v>
      </c>
      <c r="S1655" s="8" t="s">
        <v>2067</v>
      </c>
      <c r="T1655" s="9" t="s">
        <v>2222</v>
      </c>
      <c r="U1655" s="8">
        <v>0</v>
      </c>
      <c r="V1655" s="20">
        <v>8</v>
      </c>
      <c r="W1655" s="21" t="s">
        <v>43</v>
      </c>
    </row>
    <row r="1656" spans="1:23" ht="45">
      <c r="A1656" s="8" t="s">
        <v>3792</v>
      </c>
      <c r="B1656" s="8" t="s">
        <v>1708</v>
      </c>
      <c r="C1656" s="8" t="s">
        <v>2203</v>
      </c>
      <c r="D1656" s="8" t="s">
        <v>18</v>
      </c>
      <c r="E1656" s="8" t="s">
        <v>16</v>
      </c>
      <c r="F1656" s="8" t="s">
        <v>2198</v>
      </c>
      <c r="G1656" s="8" t="s">
        <v>3791</v>
      </c>
      <c r="H1656" s="8">
        <v>1540</v>
      </c>
      <c r="I1656" s="8">
        <v>800</v>
      </c>
      <c r="J1656" s="8">
        <v>20230512</v>
      </c>
      <c r="K1656" s="9">
        <v>45342</v>
      </c>
      <c r="L1656" s="9">
        <v>46447</v>
      </c>
      <c r="M1656" s="8" t="s">
        <v>16</v>
      </c>
      <c r="P1656" s="16" t="s">
        <v>1452</v>
      </c>
      <c r="Q1656" s="2" t="s">
        <v>41</v>
      </c>
      <c r="S1656" s="8" t="s">
        <v>2068</v>
      </c>
      <c r="T1656" s="9" t="s">
        <v>2222</v>
      </c>
      <c r="U1656" s="8">
        <v>0</v>
      </c>
      <c r="V1656" s="20">
        <v>175</v>
      </c>
      <c r="W1656" s="21" t="s">
        <v>43</v>
      </c>
    </row>
    <row r="1657" spans="1:23" ht="48.75">
      <c r="A1657" s="8" t="s">
        <v>3793</v>
      </c>
      <c r="B1657" s="8" t="s">
        <v>1709</v>
      </c>
      <c r="C1657" s="8" t="s">
        <v>2197</v>
      </c>
      <c r="D1657" s="8" t="s">
        <v>18</v>
      </c>
      <c r="E1657" s="8" t="s">
        <v>16</v>
      </c>
      <c r="F1657" s="8" t="s">
        <v>2198</v>
      </c>
      <c r="G1657" s="8" t="s">
        <v>3794</v>
      </c>
      <c r="H1657" s="8">
        <v>688</v>
      </c>
      <c r="I1657" s="8">
        <v>688</v>
      </c>
      <c r="J1657" s="8">
        <v>20240430</v>
      </c>
      <c r="K1657" s="9">
        <v>45420</v>
      </c>
      <c r="L1657" s="9">
        <v>47209</v>
      </c>
      <c r="M1657" s="8" t="s">
        <v>16</v>
      </c>
      <c r="P1657" s="16" t="s">
        <v>1453</v>
      </c>
      <c r="Q1657" s="2" t="s">
        <v>16</v>
      </c>
      <c r="S1657" s="8" t="s">
        <v>2069</v>
      </c>
      <c r="T1657" s="9" t="s">
        <v>2222</v>
      </c>
      <c r="U1657" s="8">
        <v>0</v>
      </c>
      <c r="V1657" s="20">
        <v>50</v>
      </c>
      <c r="W1657" s="21" t="s">
        <v>43</v>
      </c>
    </row>
    <row r="1658" spans="1:23" ht="45">
      <c r="A1658" s="8" t="s">
        <v>3795</v>
      </c>
      <c r="B1658" s="8" t="s">
        <v>1710</v>
      </c>
      <c r="C1658" s="8" t="s">
        <v>2197</v>
      </c>
      <c r="D1658" s="8" t="s">
        <v>18</v>
      </c>
      <c r="E1658" s="8" t="s">
        <v>16</v>
      </c>
      <c r="F1658" s="8" t="s">
        <v>2198</v>
      </c>
      <c r="G1658" s="8" t="s">
        <v>3794</v>
      </c>
      <c r="H1658" s="8">
        <v>7509</v>
      </c>
      <c r="I1658" s="8">
        <v>7509</v>
      </c>
      <c r="J1658" s="8">
        <v>20240516</v>
      </c>
      <c r="K1658" s="9">
        <v>45441</v>
      </c>
      <c r="L1658" s="9">
        <v>47239</v>
      </c>
      <c r="M1658" s="8" t="s">
        <v>16</v>
      </c>
      <c r="P1658" s="17" t="s">
        <v>1455</v>
      </c>
      <c r="Q1658" s="2" t="s">
        <v>16</v>
      </c>
      <c r="S1658" s="8" t="s">
        <v>2070</v>
      </c>
      <c r="T1658" s="9" t="s">
        <v>2222</v>
      </c>
      <c r="U1658" s="8">
        <v>0</v>
      </c>
      <c r="V1658" s="20">
        <v>100</v>
      </c>
      <c r="W1658" s="21" t="s">
        <v>43</v>
      </c>
    </row>
    <row r="1659" spans="1:23" ht="48.75">
      <c r="A1659" s="8" t="s">
        <v>3796</v>
      </c>
      <c r="B1659" s="8" t="s">
        <v>1711</v>
      </c>
      <c r="C1659" s="8" t="s">
        <v>2197</v>
      </c>
      <c r="D1659" s="8" t="s">
        <v>18</v>
      </c>
      <c r="E1659" s="8" t="s">
        <v>16</v>
      </c>
      <c r="F1659" s="8" t="s">
        <v>2198</v>
      </c>
      <c r="G1659" s="8" t="s">
        <v>3794</v>
      </c>
      <c r="H1659" s="8">
        <v>1100</v>
      </c>
      <c r="I1659" s="8">
        <v>1100</v>
      </c>
      <c r="J1659" s="8">
        <v>20240507</v>
      </c>
      <c r="K1659" s="9">
        <v>45441</v>
      </c>
      <c r="L1659" s="9">
        <v>47239</v>
      </c>
      <c r="M1659" s="8" t="s">
        <v>16</v>
      </c>
      <c r="P1659" s="16" t="s">
        <v>1457</v>
      </c>
      <c r="Q1659" s="2" t="s">
        <v>16</v>
      </c>
      <c r="S1659" s="8" t="s">
        <v>2071</v>
      </c>
      <c r="T1659" s="9" t="s">
        <v>2222</v>
      </c>
      <c r="U1659" s="8">
        <v>0</v>
      </c>
      <c r="V1659" s="20">
        <v>70</v>
      </c>
      <c r="W1659" s="21" t="s">
        <v>43</v>
      </c>
    </row>
    <row r="1660" spans="1:23" ht="45">
      <c r="A1660" s="8" t="s">
        <v>3797</v>
      </c>
      <c r="B1660" s="8" t="s">
        <v>1712</v>
      </c>
      <c r="C1660" s="8" t="s">
        <v>2197</v>
      </c>
      <c r="D1660" s="8" t="s">
        <v>18</v>
      </c>
      <c r="E1660" s="8" t="s">
        <v>16</v>
      </c>
      <c r="F1660" s="8" t="s">
        <v>2198</v>
      </c>
      <c r="G1660" s="8" t="s">
        <v>3794</v>
      </c>
      <c r="H1660" s="8">
        <v>4960</v>
      </c>
      <c r="I1660" s="8">
        <v>4960</v>
      </c>
      <c r="J1660" s="8">
        <v>20240506</v>
      </c>
      <c r="K1660" s="9">
        <v>45441</v>
      </c>
      <c r="L1660" s="9">
        <v>47239</v>
      </c>
      <c r="M1660" s="8" t="s">
        <v>16</v>
      </c>
      <c r="P1660" s="17" t="s">
        <v>1458</v>
      </c>
      <c r="Q1660" s="2" t="s">
        <v>16</v>
      </c>
      <c r="S1660" s="8" t="s">
        <v>2072</v>
      </c>
      <c r="T1660" s="9" t="s">
        <v>2222</v>
      </c>
      <c r="U1660" s="8">
        <v>0</v>
      </c>
      <c r="V1660" s="20">
        <v>232</v>
      </c>
      <c r="W1660" s="21" t="s">
        <v>43</v>
      </c>
    </row>
    <row r="1661" spans="1:23" ht="60">
      <c r="A1661" s="8" t="s">
        <v>3798</v>
      </c>
      <c r="B1661" s="8" t="s">
        <v>1713</v>
      </c>
      <c r="C1661" s="8" t="s">
        <v>2197</v>
      </c>
      <c r="D1661" s="8" t="s">
        <v>18</v>
      </c>
      <c r="E1661" s="8" t="s">
        <v>16</v>
      </c>
      <c r="F1661" s="8" t="s">
        <v>2258</v>
      </c>
      <c r="G1661" s="8" t="s">
        <v>3799</v>
      </c>
      <c r="H1661" s="8">
        <v>970</v>
      </c>
      <c r="I1661" s="8">
        <v>970</v>
      </c>
      <c r="J1661" s="8">
        <v>20231028</v>
      </c>
      <c r="K1661" s="9">
        <v>45239</v>
      </c>
      <c r="L1661" s="9">
        <v>47027</v>
      </c>
      <c r="M1661" s="8" t="s">
        <v>16</v>
      </c>
      <c r="P1661" s="16" t="s">
        <v>1459</v>
      </c>
      <c r="Q1661" s="2" t="s">
        <v>41</v>
      </c>
      <c r="S1661" s="8" t="s">
        <v>2073</v>
      </c>
      <c r="T1661" s="9">
        <v>46935</v>
      </c>
      <c r="U1661" s="8">
        <v>0</v>
      </c>
      <c r="V1661" s="20">
        <v>824</v>
      </c>
      <c r="W1661" s="21" t="s">
        <v>16</v>
      </c>
    </row>
    <row r="1662" spans="1:23" ht="45">
      <c r="A1662" s="8" t="s">
        <v>3800</v>
      </c>
      <c r="B1662" s="8" t="s">
        <v>1714</v>
      </c>
      <c r="C1662" s="8" t="s">
        <v>2197</v>
      </c>
      <c r="D1662" s="8" t="s">
        <v>18</v>
      </c>
      <c r="E1662" s="8" t="s">
        <v>16</v>
      </c>
      <c r="F1662" s="8" t="s">
        <v>2258</v>
      </c>
      <c r="G1662" s="8" t="s">
        <v>3799</v>
      </c>
      <c r="H1662" s="8">
        <v>1440</v>
      </c>
      <c r="I1662" s="8">
        <v>400</v>
      </c>
      <c r="J1662" s="8">
        <v>20231110</v>
      </c>
      <c r="K1662" s="9">
        <v>45251</v>
      </c>
      <c r="L1662" s="9">
        <v>47058</v>
      </c>
      <c r="M1662" s="8" t="s">
        <v>16</v>
      </c>
      <c r="P1662" s="16" t="s">
        <v>1459</v>
      </c>
      <c r="Q1662" s="2" t="s">
        <v>41</v>
      </c>
      <c r="S1662" s="8" t="s">
        <v>2074</v>
      </c>
      <c r="T1662" s="9">
        <v>47453</v>
      </c>
      <c r="U1662" s="8">
        <v>0</v>
      </c>
      <c r="V1662" s="20">
        <v>2400</v>
      </c>
      <c r="W1662" s="21" t="s">
        <v>16</v>
      </c>
    </row>
    <row r="1663" spans="1:23" ht="48.75">
      <c r="A1663" s="8" t="s">
        <v>3800</v>
      </c>
      <c r="B1663" s="8" t="s">
        <v>1714</v>
      </c>
      <c r="C1663" s="8" t="s">
        <v>2197</v>
      </c>
      <c r="D1663" s="8" t="s">
        <v>18</v>
      </c>
      <c r="E1663" s="8" t="s">
        <v>16</v>
      </c>
      <c r="F1663" s="8" t="s">
        <v>2258</v>
      </c>
      <c r="G1663" s="8" t="s">
        <v>3799</v>
      </c>
      <c r="H1663" s="8">
        <v>1440</v>
      </c>
      <c r="I1663" s="8">
        <v>1040</v>
      </c>
      <c r="J1663" s="8">
        <v>20231028</v>
      </c>
      <c r="K1663" s="9">
        <v>45239</v>
      </c>
      <c r="L1663" s="9">
        <v>47027</v>
      </c>
      <c r="M1663" s="8" t="s">
        <v>16</v>
      </c>
      <c r="P1663" s="16" t="s">
        <v>1460</v>
      </c>
      <c r="Q1663" s="2" t="s">
        <v>151</v>
      </c>
      <c r="S1663" s="8" t="s">
        <v>2075</v>
      </c>
      <c r="T1663" s="9">
        <v>47178</v>
      </c>
      <c r="U1663" s="8">
        <v>0</v>
      </c>
      <c r="V1663" s="20">
        <v>2255</v>
      </c>
      <c r="W1663" s="21" t="s">
        <v>16</v>
      </c>
    </row>
    <row r="1664" spans="1:23" ht="48.75">
      <c r="A1664" s="8" t="s">
        <v>3801</v>
      </c>
      <c r="B1664" s="8" t="s">
        <v>1715</v>
      </c>
      <c r="C1664" s="8" t="s">
        <v>2203</v>
      </c>
      <c r="D1664" s="8" t="s">
        <v>192</v>
      </c>
      <c r="E1664" s="8" t="s">
        <v>16</v>
      </c>
      <c r="F1664" s="8" t="s">
        <v>2204</v>
      </c>
      <c r="G1664" s="8" t="s">
        <v>3802</v>
      </c>
      <c r="H1664" s="8">
        <v>16</v>
      </c>
      <c r="I1664" s="8">
        <v>16</v>
      </c>
      <c r="J1664" s="8">
        <v>20190503</v>
      </c>
      <c r="K1664" s="9">
        <v>45210</v>
      </c>
      <c r="L1664" s="9">
        <v>45474</v>
      </c>
      <c r="M1664" s="8" t="s">
        <v>16</v>
      </c>
      <c r="P1664" s="16" t="s">
        <v>1461</v>
      </c>
      <c r="Q1664" s="2" t="s">
        <v>1462</v>
      </c>
      <c r="S1664" s="8" t="s">
        <v>2075</v>
      </c>
      <c r="T1664" s="9">
        <v>47209</v>
      </c>
      <c r="U1664" s="8">
        <v>0</v>
      </c>
      <c r="V1664" s="20">
        <v>6960</v>
      </c>
      <c r="W1664" s="21" t="s">
        <v>16</v>
      </c>
    </row>
    <row r="1665" spans="1:23" ht="48.75">
      <c r="A1665" s="8" t="s">
        <v>3801</v>
      </c>
      <c r="B1665" s="8" t="s">
        <v>1715</v>
      </c>
      <c r="C1665" s="8" t="s">
        <v>2203</v>
      </c>
      <c r="D1665" s="8" t="s">
        <v>18</v>
      </c>
      <c r="E1665" s="8" t="s">
        <v>16</v>
      </c>
      <c r="F1665" s="8" t="s">
        <v>2204</v>
      </c>
      <c r="G1665" s="8" t="s">
        <v>3802</v>
      </c>
      <c r="H1665" s="8">
        <v>4320</v>
      </c>
      <c r="I1665" s="8">
        <v>1760</v>
      </c>
      <c r="J1665" s="8">
        <v>20190601</v>
      </c>
      <c r="K1665" s="9">
        <v>44603</v>
      </c>
      <c r="L1665" s="9">
        <v>45566</v>
      </c>
      <c r="M1665" s="8" t="s">
        <v>16</v>
      </c>
      <c r="P1665" s="16" t="s">
        <v>1461</v>
      </c>
      <c r="Q1665" s="2" t="s">
        <v>1462</v>
      </c>
      <c r="S1665" s="8" t="s">
        <v>2076</v>
      </c>
      <c r="T1665" s="9">
        <v>46143</v>
      </c>
      <c r="U1665" s="8">
        <v>0</v>
      </c>
      <c r="V1665" s="20">
        <v>3006</v>
      </c>
      <c r="W1665" s="21" t="s">
        <v>151</v>
      </c>
    </row>
    <row r="1666" spans="1:23" ht="48.75">
      <c r="A1666" s="8" t="s">
        <v>3801</v>
      </c>
      <c r="B1666" s="8" t="s">
        <v>1715</v>
      </c>
      <c r="C1666" s="8" t="s">
        <v>2203</v>
      </c>
      <c r="D1666" s="8" t="s">
        <v>18</v>
      </c>
      <c r="E1666" s="8" t="s">
        <v>16</v>
      </c>
      <c r="F1666" s="8" t="s">
        <v>2204</v>
      </c>
      <c r="G1666" s="8" t="s">
        <v>3802</v>
      </c>
      <c r="H1666" s="8">
        <v>4320</v>
      </c>
      <c r="I1666" s="8">
        <v>2560</v>
      </c>
      <c r="J1666" s="8">
        <v>20200803</v>
      </c>
      <c r="K1666" s="9">
        <v>44517</v>
      </c>
      <c r="L1666" s="9">
        <v>46082</v>
      </c>
      <c r="M1666" s="8" t="s">
        <v>16</v>
      </c>
      <c r="P1666" s="16" t="s">
        <v>1463</v>
      </c>
      <c r="Q1666" s="2" t="s">
        <v>151</v>
      </c>
      <c r="S1666" s="8" t="s">
        <v>2077</v>
      </c>
      <c r="T1666" s="9">
        <v>45505</v>
      </c>
      <c r="U1666" s="8">
        <v>0</v>
      </c>
      <c r="V1666" s="20">
        <v>4</v>
      </c>
      <c r="W1666" s="21" t="s">
        <v>16</v>
      </c>
    </row>
    <row r="1667" spans="1:23" ht="48.75">
      <c r="A1667" s="8" t="s">
        <v>3803</v>
      </c>
      <c r="B1667" s="8" t="s">
        <v>1716</v>
      </c>
      <c r="C1667" s="8" t="s">
        <v>2197</v>
      </c>
      <c r="D1667" s="8" t="s">
        <v>18</v>
      </c>
      <c r="E1667" s="8" t="s">
        <v>2217</v>
      </c>
      <c r="F1667" s="8" t="s">
        <v>2217</v>
      </c>
      <c r="G1667" s="8" t="s">
        <v>2217</v>
      </c>
      <c r="H1667" s="8">
        <v>534</v>
      </c>
      <c r="I1667" s="8">
        <v>24</v>
      </c>
      <c r="J1667" s="8">
        <v>60</v>
      </c>
      <c r="K1667" s="9">
        <v>45065</v>
      </c>
      <c r="L1667" s="9">
        <v>45992</v>
      </c>
      <c r="M1667" s="8" t="s">
        <v>48</v>
      </c>
      <c r="P1667" s="16" t="s">
        <v>1464</v>
      </c>
      <c r="Q1667" s="2" t="s">
        <v>151</v>
      </c>
      <c r="S1667" s="8" t="s">
        <v>2077</v>
      </c>
      <c r="T1667" s="9">
        <v>47209</v>
      </c>
      <c r="U1667" s="8">
        <v>0</v>
      </c>
      <c r="V1667" s="20">
        <v>162</v>
      </c>
      <c r="W1667" s="21" t="s">
        <v>16</v>
      </c>
    </row>
    <row r="1668" spans="1:23" ht="60">
      <c r="A1668" s="8" t="s">
        <v>3803</v>
      </c>
      <c r="B1668" s="8" t="s">
        <v>1716</v>
      </c>
      <c r="C1668" s="8" t="s">
        <v>2197</v>
      </c>
      <c r="D1668" s="8" t="s">
        <v>18</v>
      </c>
      <c r="E1668" s="8" t="s">
        <v>2217</v>
      </c>
      <c r="F1668" s="8" t="s">
        <v>2217</v>
      </c>
      <c r="G1668" s="8" t="s">
        <v>2217</v>
      </c>
      <c r="H1668" s="8">
        <v>534</v>
      </c>
      <c r="I1668" s="8">
        <v>510</v>
      </c>
      <c r="J1668" s="8">
        <v>60</v>
      </c>
      <c r="K1668" s="9">
        <v>45352</v>
      </c>
      <c r="L1668" s="9">
        <v>46357</v>
      </c>
      <c r="M1668" s="8" t="s">
        <v>48</v>
      </c>
      <c r="P1668" s="16" t="s">
        <v>1465</v>
      </c>
      <c r="Q1668" s="2" t="s">
        <v>151</v>
      </c>
      <c r="S1668" s="8" t="s">
        <v>2078</v>
      </c>
      <c r="T1668" s="9" t="s">
        <v>2222</v>
      </c>
      <c r="U1668" s="8">
        <v>0</v>
      </c>
      <c r="V1668" s="20">
        <v>23</v>
      </c>
      <c r="W1668" s="21" t="s">
        <v>38</v>
      </c>
    </row>
    <row r="1669" spans="1:23" ht="60">
      <c r="A1669" s="8" t="s">
        <v>3804</v>
      </c>
      <c r="B1669" s="8" t="s">
        <v>1717</v>
      </c>
      <c r="C1669" s="8" t="s">
        <v>2197</v>
      </c>
      <c r="D1669" s="8" t="s">
        <v>18</v>
      </c>
      <c r="E1669" s="8" t="s">
        <v>2217</v>
      </c>
      <c r="F1669" s="8" t="s">
        <v>2217</v>
      </c>
      <c r="G1669" s="8" t="s">
        <v>2217</v>
      </c>
      <c r="H1669" s="8">
        <v>55</v>
      </c>
      <c r="I1669" s="8">
        <v>55</v>
      </c>
      <c r="J1669" s="8">
        <v>60</v>
      </c>
      <c r="K1669" s="9">
        <v>45069</v>
      </c>
      <c r="L1669" s="9">
        <v>45992</v>
      </c>
      <c r="M1669" s="8" t="s">
        <v>38</v>
      </c>
      <c r="P1669" s="16" t="s">
        <v>1466</v>
      </c>
      <c r="Q1669" s="2" t="s">
        <v>151</v>
      </c>
      <c r="S1669" s="8" t="s">
        <v>2079</v>
      </c>
      <c r="T1669" s="9">
        <v>45901</v>
      </c>
      <c r="U1669" s="8">
        <v>0</v>
      </c>
      <c r="V1669" s="20">
        <v>3980</v>
      </c>
      <c r="W1669" s="21" t="s">
        <v>16</v>
      </c>
    </row>
    <row r="1670" spans="1:23" ht="60">
      <c r="A1670" s="8" t="s">
        <v>3805</v>
      </c>
      <c r="B1670" s="8" t="s">
        <v>1718</v>
      </c>
      <c r="C1670" s="8" t="s">
        <v>2197</v>
      </c>
      <c r="D1670" s="8" t="s">
        <v>18</v>
      </c>
      <c r="E1670" s="8" t="s">
        <v>16</v>
      </c>
      <c r="F1670" s="8" t="s">
        <v>2204</v>
      </c>
      <c r="G1670" s="8" t="s">
        <v>3806</v>
      </c>
      <c r="H1670" s="8">
        <v>2509</v>
      </c>
      <c r="I1670" s="8">
        <v>480</v>
      </c>
      <c r="J1670" s="8">
        <v>0</v>
      </c>
      <c r="K1670" s="9">
        <v>45147</v>
      </c>
      <c r="L1670" s="9">
        <v>46874</v>
      </c>
      <c r="M1670" s="8" t="s">
        <v>16</v>
      </c>
      <c r="P1670" s="16" t="s">
        <v>1467</v>
      </c>
      <c r="Q1670" s="2" t="s">
        <v>151</v>
      </c>
      <c r="S1670" s="8" t="s">
        <v>2082</v>
      </c>
      <c r="T1670" s="9">
        <v>46054</v>
      </c>
      <c r="U1670" s="8">
        <v>0</v>
      </c>
      <c r="V1670" s="20">
        <v>2850</v>
      </c>
      <c r="W1670" s="21" t="s">
        <v>16</v>
      </c>
    </row>
    <row r="1671" spans="1:23" ht="48.75">
      <c r="A1671" s="8" t="s">
        <v>3805</v>
      </c>
      <c r="B1671" s="8" t="s">
        <v>1718</v>
      </c>
      <c r="C1671" s="8" t="s">
        <v>2197</v>
      </c>
      <c r="D1671" s="8" t="s">
        <v>18</v>
      </c>
      <c r="E1671" s="8" t="s">
        <v>16</v>
      </c>
      <c r="F1671" s="8" t="s">
        <v>2204</v>
      </c>
      <c r="G1671" s="8" t="s">
        <v>3806</v>
      </c>
      <c r="H1671" s="8">
        <v>2509</v>
      </c>
      <c r="I1671" s="8">
        <v>2029</v>
      </c>
      <c r="J1671" s="8">
        <v>122101</v>
      </c>
      <c r="K1671" s="9">
        <v>44554</v>
      </c>
      <c r="L1671" s="9">
        <v>46357</v>
      </c>
      <c r="M1671" s="8" t="s">
        <v>16</v>
      </c>
      <c r="P1671" s="16" t="s">
        <v>1468</v>
      </c>
      <c r="Q1671" s="2" t="s">
        <v>151</v>
      </c>
      <c r="S1671" s="8" t="s">
        <v>2084</v>
      </c>
      <c r="T1671" s="9">
        <v>47058</v>
      </c>
      <c r="U1671" s="8">
        <v>0</v>
      </c>
      <c r="V1671" s="20">
        <v>1000</v>
      </c>
      <c r="W1671" s="21" t="s">
        <v>16</v>
      </c>
    </row>
    <row r="1672" spans="1:23" ht="48.75">
      <c r="A1672" s="8" t="s">
        <v>3807</v>
      </c>
      <c r="B1672" s="8" t="s">
        <v>1719</v>
      </c>
      <c r="C1672" s="8" t="s">
        <v>2197</v>
      </c>
      <c r="D1672" s="8" t="s">
        <v>18</v>
      </c>
      <c r="E1672" s="8" t="s">
        <v>16</v>
      </c>
      <c r="F1672" s="8" t="s">
        <v>2204</v>
      </c>
      <c r="G1672" s="8" t="s">
        <v>3806</v>
      </c>
      <c r="H1672" s="8">
        <v>1836</v>
      </c>
      <c r="I1672" s="8">
        <v>186</v>
      </c>
      <c r="J1672" s="8">
        <v>0</v>
      </c>
      <c r="K1672" s="9">
        <v>45363</v>
      </c>
      <c r="L1672" s="9">
        <v>46874</v>
      </c>
      <c r="M1672" s="8" t="s">
        <v>16</v>
      </c>
      <c r="P1672" s="16" t="s">
        <v>1469</v>
      </c>
      <c r="Q1672" s="2" t="s">
        <v>151</v>
      </c>
      <c r="S1672" s="8" t="s">
        <v>2084</v>
      </c>
      <c r="T1672" s="9">
        <v>46874</v>
      </c>
      <c r="U1672" s="8">
        <v>0</v>
      </c>
      <c r="V1672" s="20">
        <v>1470</v>
      </c>
      <c r="W1672" s="21" t="s">
        <v>16</v>
      </c>
    </row>
    <row r="1673" spans="1:23" ht="48.75">
      <c r="A1673" s="8" t="s">
        <v>3808</v>
      </c>
      <c r="B1673" s="8" t="s">
        <v>1719</v>
      </c>
      <c r="C1673" s="8" t="s">
        <v>2197</v>
      </c>
      <c r="D1673" s="8" t="s">
        <v>18</v>
      </c>
      <c r="E1673" s="8" t="s">
        <v>16</v>
      </c>
      <c r="F1673" s="8" t="s">
        <v>2204</v>
      </c>
      <c r="G1673" s="8" t="s">
        <v>3806</v>
      </c>
      <c r="H1673" s="8">
        <v>274</v>
      </c>
      <c r="I1673" s="8">
        <v>274</v>
      </c>
      <c r="J1673" s="8">
        <v>0</v>
      </c>
      <c r="K1673" s="9">
        <v>45363</v>
      </c>
      <c r="L1673" s="9">
        <v>46874</v>
      </c>
      <c r="M1673" s="8" t="s">
        <v>16</v>
      </c>
      <c r="P1673" s="16" t="s">
        <v>1470</v>
      </c>
      <c r="Q1673" s="2" t="s">
        <v>151</v>
      </c>
      <c r="S1673" s="8" t="s">
        <v>2085</v>
      </c>
      <c r="T1673" s="9">
        <v>46905</v>
      </c>
      <c r="U1673" s="8">
        <v>0</v>
      </c>
      <c r="V1673" s="20">
        <v>140</v>
      </c>
      <c r="W1673" s="21" t="s">
        <v>16</v>
      </c>
    </row>
    <row r="1674" spans="1:23" ht="45">
      <c r="A1674" s="8" t="s">
        <v>3807</v>
      </c>
      <c r="B1674" s="8" t="s">
        <v>1719</v>
      </c>
      <c r="C1674" s="8" t="s">
        <v>2197</v>
      </c>
      <c r="D1674" s="8" t="s">
        <v>18</v>
      </c>
      <c r="E1674" s="8" t="s">
        <v>16</v>
      </c>
      <c r="F1674" s="8" t="s">
        <v>2204</v>
      </c>
      <c r="G1674" s="8" t="s">
        <v>3806</v>
      </c>
      <c r="H1674" s="8">
        <v>1836</v>
      </c>
      <c r="I1674" s="8">
        <v>1650</v>
      </c>
      <c r="J1674" s="8">
        <v>0</v>
      </c>
      <c r="K1674" s="9">
        <v>43987</v>
      </c>
      <c r="L1674" s="9">
        <v>46784</v>
      </c>
      <c r="M1674" s="8" t="s">
        <v>16</v>
      </c>
      <c r="P1674" s="17" t="s">
        <v>1471</v>
      </c>
      <c r="Q1674" s="2" t="s">
        <v>151</v>
      </c>
      <c r="S1674" s="8" t="s">
        <v>2086</v>
      </c>
      <c r="T1674" s="9">
        <v>47119</v>
      </c>
      <c r="U1674" s="8">
        <v>0</v>
      </c>
      <c r="V1674" s="20">
        <v>33</v>
      </c>
      <c r="W1674" s="21" t="s">
        <v>16</v>
      </c>
    </row>
    <row r="1675" spans="1:23" ht="60">
      <c r="A1675" s="8" t="s">
        <v>3809</v>
      </c>
      <c r="B1675" s="8" t="s">
        <v>1720</v>
      </c>
      <c r="C1675" s="8" t="s">
        <v>2203</v>
      </c>
      <c r="D1675" s="8" t="s">
        <v>18</v>
      </c>
      <c r="E1675" s="8" t="s">
        <v>16</v>
      </c>
      <c r="F1675" s="8" t="s">
        <v>2204</v>
      </c>
      <c r="G1675" s="8" t="s">
        <v>3810</v>
      </c>
      <c r="H1675" s="8">
        <v>588</v>
      </c>
      <c r="I1675" s="8">
        <v>588</v>
      </c>
      <c r="J1675" s="8">
        <v>220150</v>
      </c>
      <c r="K1675" s="9">
        <v>45299</v>
      </c>
      <c r="L1675" s="9">
        <v>47027</v>
      </c>
      <c r="M1675" s="8" t="s">
        <v>16</v>
      </c>
      <c r="P1675" s="17" t="s">
        <v>1471</v>
      </c>
      <c r="Q1675" s="2" t="s">
        <v>151</v>
      </c>
      <c r="S1675" s="8" t="s">
        <v>2086</v>
      </c>
      <c r="T1675" s="9">
        <v>47270</v>
      </c>
      <c r="U1675" s="8">
        <v>0</v>
      </c>
      <c r="V1675" s="20">
        <v>1880</v>
      </c>
      <c r="W1675" s="21" t="s">
        <v>16</v>
      </c>
    </row>
    <row r="1676" spans="1:23" ht="75">
      <c r="A1676" s="8" t="s">
        <v>3812</v>
      </c>
      <c r="B1676" s="8" t="s">
        <v>1722</v>
      </c>
      <c r="C1676" s="8" t="s">
        <v>2203</v>
      </c>
      <c r="D1676" s="8" t="s">
        <v>100</v>
      </c>
      <c r="E1676" s="8" t="s">
        <v>151</v>
      </c>
      <c r="F1676" s="8" t="s">
        <v>2866</v>
      </c>
      <c r="G1676" s="8" t="s">
        <v>3813</v>
      </c>
      <c r="H1676" s="8">
        <v>5</v>
      </c>
      <c r="I1676" s="8">
        <v>5</v>
      </c>
      <c r="J1676" s="8">
        <v>511112020</v>
      </c>
      <c r="K1676" s="9">
        <v>44765</v>
      </c>
      <c r="L1676" s="9">
        <v>45108</v>
      </c>
      <c r="M1676" s="8" t="s">
        <v>151</v>
      </c>
      <c r="P1676" s="17" t="s">
        <v>1472</v>
      </c>
      <c r="Q1676" s="2" t="s">
        <v>151</v>
      </c>
      <c r="S1676" s="8" t="s">
        <v>2087</v>
      </c>
      <c r="T1676" s="9">
        <v>46661</v>
      </c>
      <c r="U1676" s="8">
        <v>0</v>
      </c>
      <c r="V1676" s="20">
        <v>41</v>
      </c>
      <c r="W1676" s="21" t="s">
        <v>16</v>
      </c>
    </row>
    <row r="1677" spans="1:23" ht="75">
      <c r="A1677" s="8" t="s">
        <v>3812</v>
      </c>
      <c r="B1677" s="8" t="s">
        <v>1722</v>
      </c>
      <c r="C1677" s="8" t="s">
        <v>2203</v>
      </c>
      <c r="D1677" s="8" t="s">
        <v>18</v>
      </c>
      <c r="E1677" s="8" t="s">
        <v>151</v>
      </c>
      <c r="F1677" s="8" t="s">
        <v>2866</v>
      </c>
      <c r="G1677" s="8" t="s">
        <v>3813</v>
      </c>
      <c r="H1677" s="8">
        <v>7</v>
      </c>
      <c r="I1677" s="8">
        <v>7</v>
      </c>
      <c r="J1677" s="10">
        <v>511000000000</v>
      </c>
      <c r="K1677" s="9">
        <v>44670</v>
      </c>
      <c r="L1677" s="9">
        <v>45717</v>
      </c>
      <c r="M1677" s="8" t="s">
        <v>151</v>
      </c>
      <c r="P1677" s="17" t="s">
        <v>1473</v>
      </c>
      <c r="Q1677" s="2" t="s">
        <v>151</v>
      </c>
      <c r="S1677" s="8" t="s">
        <v>2089</v>
      </c>
      <c r="T1677" s="9" t="s">
        <v>2222</v>
      </c>
      <c r="U1677" s="8">
        <v>0</v>
      </c>
      <c r="V1677" s="20">
        <v>40</v>
      </c>
      <c r="W1677" s="21" t="s">
        <v>43</v>
      </c>
    </row>
    <row r="1678" spans="1:23" ht="90">
      <c r="A1678" s="8" t="s">
        <v>3811</v>
      </c>
      <c r="B1678" s="8" t="s">
        <v>1721</v>
      </c>
      <c r="C1678" s="8" t="s">
        <v>2221</v>
      </c>
      <c r="D1678" s="8" t="s">
        <v>18</v>
      </c>
      <c r="E1678" s="8" t="s">
        <v>2217</v>
      </c>
      <c r="F1678" s="8" t="s">
        <v>2217</v>
      </c>
      <c r="G1678" s="8" t="s">
        <v>2217</v>
      </c>
      <c r="H1678" s="8">
        <v>4381</v>
      </c>
      <c r="I1678" s="8">
        <v>4381</v>
      </c>
      <c r="J1678" s="8">
        <v>511112020</v>
      </c>
      <c r="K1678" s="9">
        <v>45300</v>
      </c>
      <c r="L1678" s="9">
        <v>45108</v>
      </c>
      <c r="M1678" s="8" t="s">
        <v>38</v>
      </c>
      <c r="P1678" s="17" t="s">
        <v>1474</v>
      </c>
      <c r="Q1678" s="2" t="s">
        <v>151</v>
      </c>
      <c r="S1678" s="8" t="s">
        <v>2090</v>
      </c>
      <c r="T1678" s="9" t="s">
        <v>2222</v>
      </c>
      <c r="U1678" s="8">
        <v>0</v>
      </c>
      <c r="V1678" s="20">
        <v>40</v>
      </c>
      <c r="W1678" s="21" t="s">
        <v>43</v>
      </c>
    </row>
    <row r="1679" spans="1:23" ht="75">
      <c r="A1679" s="8" t="s">
        <v>3814</v>
      </c>
      <c r="B1679" s="8" t="s">
        <v>1723</v>
      </c>
      <c r="C1679" s="8" t="s">
        <v>2203</v>
      </c>
      <c r="D1679" s="8" t="s">
        <v>18</v>
      </c>
      <c r="E1679" s="8" t="s">
        <v>151</v>
      </c>
      <c r="F1679" s="8" t="s">
        <v>2866</v>
      </c>
      <c r="G1679" s="8" t="s">
        <v>3813</v>
      </c>
      <c r="H1679" s="8">
        <v>10</v>
      </c>
      <c r="I1679" s="8">
        <v>10</v>
      </c>
      <c r="J1679" s="8">
        <v>51101202418</v>
      </c>
      <c r="K1679" s="9">
        <v>45363</v>
      </c>
      <c r="L1679" s="9">
        <v>46388</v>
      </c>
      <c r="M1679" s="8" t="s">
        <v>151</v>
      </c>
      <c r="P1679" s="17" t="s">
        <v>1475</v>
      </c>
      <c r="Q1679" s="2" t="s">
        <v>151</v>
      </c>
      <c r="S1679" s="8" t="s">
        <v>2091</v>
      </c>
      <c r="T1679" s="9">
        <v>47239</v>
      </c>
      <c r="U1679" s="8">
        <v>0</v>
      </c>
      <c r="V1679" s="20">
        <v>5360</v>
      </c>
      <c r="W1679" s="21" t="s">
        <v>16</v>
      </c>
    </row>
    <row r="1680" spans="1:23" ht="75">
      <c r="A1680" s="8" t="s">
        <v>3815</v>
      </c>
      <c r="B1680" s="8" t="s">
        <v>1723</v>
      </c>
      <c r="C1680" s="8" t="s">
        <v>2203</v>
      </c>
      <c r="D1680" s="8" t="s">
        <v>18</v>
      </c>
      <c r="E1680" s="8" t="s">
        <v>151</v>
      </c>
      <c r="F1680" s="8" t="s">
        <v>2866</v>
      </c>
      <c r="G1680" s="8" t="s">
        <v>3813</v>
      </c>
      <c r="H1680" s="8">
        <v>6990</v>
      </c>
      <c r="I1680" s="8">
        <v>1380</v>
      </c>
      <c r="J1680" s="8">
        <v>51104202411</v>
      </c>
      <c r="K1680" s="9">
        <v>45412</v>
      </c>
      <c r="L1680" s="9">
        <v>46478</v>
      </c>
      <c r="M1680" s="8" t="s">
        <v>151</v>
      </c>
      <c r="P1680" s="17" t="s">
        <v>1475</v>
      </c>
      <c r="Q1680" s="2" t="s">
        <v>151</v>
      </c>
      <c r="S1680" s="8" t="s">
        <v>2091</v>
      </c>
      <c r="T1680" s="9">
        <v>47178</v>
      </c>
      <c r="U1680" s="8">
        <v>0</v>
      </c>
      <c r="V1680" s="20">
        <v>720</v>
      </c>
      <c r="W1680" s="21" t="s">
        <v>16</v>
      </c>
    </row>
    <row r="1681" spans="1:23" ht="75">
      <c r="A1681" s="8" t="s">
        <v>3815</v>
      </c>
      <c r="B1681" s="8" t="s">
        <v>1723</v>
      </c>
      <c r="C1681" s="8" t="s">
        <v>2203</v>
      </c>
      <c r="D1681" s="8" t="s">
        <v>18</v>
      </c>
      <c r="E1681" s="8" t="s">
        <v>151</v>
      </c>
      <c r="F1681" s="8" t="s">
        <v>2866</v>
      </c>
      <c r="G1681" s="8" t="s">
        <v>3813</v>
      </c>
      <c r="H1681" s="8">
        <v>6990</v>
      </c>
      <c r="I1681" s="8">
        <v>1500</v>
      </c>
      <c r="J1681" s="8">
        <v>51104202412</v>
      </c>
      <c r="K1681" s="9">
        <v>45412</v>
      </c>
      <c r="L1681" s="9">
        <v>46478</v>
      </c>
      <c r="M1681" s="8" t="s">
        <v>151</v>
      </c>
      <c r="P1681" s="17" t="s">
        <v>1475</v>
      </c>
      <c r="Q1681" s="2" t="s">
        <v>151</v>
      </c>
      <c r="S1681" s="8" t="s">
        <v>2091</v>
      </c>
      <c r="T1681" s="9">
        <v>47209</v>
      </c>
      <c r="U1681" s="8">
        <v>0</v>
      </c>
      <c r="V1681" s="20">
        <v>1000</v>
      </c>
      <c r="W1681" s="21" t="s">
        <v>16</v>
      </c>
    </row>
    <row r="1682" spans="1:23" ht="75">
      <c r="A1682" s="8" t="s">
        <v>3815</v>
      </c>
      <c r="B1682" s="8" t="s">
        <v>1723</v>
      </c>
      <c r="C1682" s="8" t="s">
        <v>2203</v>
      </c>
      <c r="D1682" s="8" t="s">
        <v>18</v>
      </c>
      <c r="E1682" s="8" t="s">
        <v>151</v>
      </c>
      <c r="F1682" s="8" t="s">
        <v>2866</v>
      </c>
      <c r="G1682" s="8" t="s">
        <v>3813</v>
      </c>
      <c r="H1682" s="8">
        <v>6990</v>
      </c>
      <c r="I1682" s="8">
        <v>4110</v>
      </c>
      <c r="J1682" s="8">
        <v>51103202407</v>
      </c>
      <c r="K1682" s="9">
        <v>45363</v>
      </c>
      <c r="L1682" s="9">
        <v>46447</v>
      </c>
      <c r="M1682" s="8" t="s">
        <v>151</v>
      </c>
      <c r="P1682" s="17" t="s">
        <v>1476</v>
      </c>
      <c r="Q1682" s="2" t="s">
        <v>151</v>
      </c>
      <c r="S1682" s="8" t="s">
        <v>2092</v>
      </c>
      <c r="T1682" s="9">
        <v>46874</v>
      </c>
      <c r="U1682" s="8">
        <v>0</v>
      </c>
      <c r="V1682" s="20">
        <v>5</v>
      </c>
      <c r="W1682" s="21" t="s">
        <v>16</v>
      </c>
    </row>
    <row r="1683" spans="1:23" ht="60">
      <c r="A1683" s="8" t="s">
        <v>3816</v>
      </c>
      <c r="B1683" s="8" t="s">
        <v>1724</v>
      </c>
      <c r="C1683" s="8" t="s">
        <v>2197</v>
      </c>
      <c r="D1683" s="8" t="s">
        <v>18</v>
      </c>
      <c r="E1683" s="8" t="s">
        <v>151</v>
      </c>
      <c r="F1683" s="8" t="s">
        <v>151</v>
      </c>
      <c r="G1683" s="8" t="s">
        <v>3817</v>
      </c>
      <c r="H1683" s="8">
        <v>695</v>
      </c>
      <c r="I1683" s="8">
        <v>695</v>
      </c>
      <c r="J1683" s="8">
        <v>30</v>
      </c>
      <c r="K1683" s="9">
        <v>44956</v>
      </c>
      <c r="L1683" s="9">
        <v>45992</v>
      </c>
      <c r="M1683" s="8" t="s">
        <v>151</v>
      </c>
      <c r="P1683" s="17" t="s">
        <v>1477</v>
      </c>
      <c r="Q1683" s="2" t="s">
        <v>151</v>
      </c>
      <c r="S1683" s="8" t="s">
        <v>2092</v>
      </c>
      <c r="T1683" s="9">
        <v>47119</v>
      </c>
      <c r="U1683" s="8">
        <v>0</v>
      </c>
      <c r="V1683" s="20">
        <v>10</v>
      </c>
      <c r="W1683" s="21" t="s">
        <v>16</v>
      </c>
    </row>
    <row r="1684" spans="1:23" ht="60">
      <c r="A1684" s="8" t="s">
        <v>3818</v>
      </c>
      <c r="B1684" s="8" t="s">
        <v>1725</v>
      </c>
      <c r="C1684" s="8" t="s">
        <v>2197</v>
      </c>
      <c r="D1684" s="8" t="s">
        <v>18</v>
      </c>
      <c r="E1684" s="8" t="s">
        <v>151</v>
      </c>
      <c r="F1684" s="8" t="s">
        <v>151</v>
      </c>
      <c r="G1684" s="8" t="s">
        <v>3817</v>
      </c>
      <c r="H1684" s="8">
        <v>225</v>
      </c>
      <c r="I1684" s="8">
        <v>225</v>
      </c>
      <c r="J1684" s="8">
        <v>100822</v>
      </c>
      <c r="K1684" s="9">
        <v>44784</v>
      </c>
      <c r="L1684" s="9">
        <v>45627</v>
      </c>
      <c r="M1684" s="8" t="s">
        <v>151</v>
      </c>
      <c r="P1684" s="17" t="s">
        <v>1478</v>
      </c>
      <c r="Q1684" s="2" t="s">
        <v>151</v>
      </c>
      <c r="S1684" s="8" t="s">
        <v>2092</v>
      </c>
      <c r="T1684" s="9">
        <v>47209</v>
      </c>
      <c r="U1684" s="8">
        <v>0</v>
      </c>
      <c r="V1684" s="20">
        <v>520</v>
      </c>
      <c r="W1684" s="21" t="s">
        <v>16</v>
      </c>
    </row>
    <row r="1685" spans="1:23" ht="45">
      <c r="A1685" s="8" t="s">
        <v>3819</v>
      </c>
      <c r="B1685" s="8" t="s">
        <v>1725</v>
      </c>
      <c r="C1685" s="8" t="s">
        <v>2197</v>
      </c>
      <c r="D1685" s="8" t="s">
        <v>18</v>
      </c>
      <c r="E1685" s="8" t="s">
        <v>151</v>
      </c>
      <c r="F1685" s="8" t="s">
        <v>151</v>
      </c>
      <c r="G1685" s="8" t="s">
        <v>3817</v>
      </c>
      <c r="H1685" s="8">
        <v>519</v>
      </c>
      <c r="I1685" s="8">
        <v>519</v>
      </c>
      <c r="J1685" s="8">
        <v>100822</v>
      </c>
      <c r="K1685" s="9">
        <v>44784</v>
      </c>
      <c r="L1685" s="9">
        <v>45627</v>
      </c>
      <c r="M1685" s="8" t="s">
        <v>151</v>
      </c>
      <c r="P1685" s="16" t="s">
        <v>1479</v>
      </c>
      <c r="Q1685" s="2" t="s">
        <v>16</v>
      </c>
      <c r="S1685" s="8" t="s">
        <v>2093</v>
      </c>
      <c r="T1685" s="9" t="s">
        <v>2222</v>
      </c>
      <c r="U1685" s="8">
        <v>0</v>
      </c>
      <c r="V1685" s="20">
        <v>9</v>
      </c>
      <c r="W1685" s="21" t="s">
        <v>41</v>
      </c>
    </row>
    <row r="1686" spans="1:23" ht="75">
      <c r="A1686" s="8" t="s">
        <v>3820</v>
      </c>
      <c r="B1686" s="8" t="s">
        <v>1726</v>
      </c>
      <c r="C1686" s="8" t="s">
        <v>2197</v>
      </c>
      <c r="D1686" s="8" t="s">
        <v>18</v>
      </c>
      <c r="E1686" s="8" t="s">
        <v>151</v>
      </c>
      <c r="F1686" s="8" t="s">
        <v>151</v>
      </c>
      <c r="G1686" s="8" t="s">
        <v>3817</v>
      </c>
      <c r="H1686" s="8">
        <v>87</v>
      </c>
      <c r="I1686" s="8">
        <v>87</v>
      </c>
      <c r="J1686" s="8">
        <v>10822</v>
      </c>
      <c r="K1686" s="9">
        <v>44784</v>
      </c>
      <c r="L1686" s="9">
        <v>45627</v>
      </c>
      <c r="M1686" s="8" t="s">
        <v>151</v>
      </c>
      <c r="P1686" s="16" t="s">
        <v>1481</v>
      </c>
      <c r="Q1686" s="2" t="s">
        <v>16</v>
      </c>
      <c r="S1686" s="8" t="s">
        <v>2094</v>
      </c>
      <c r="T1686" s="9" t="s">
        <v>2222</v>
      </c>
      <c r="U1686" s="8">
        <v>0</v>
      </c>
      <c r="V1686" s="20">
        <v>104</v>
      </c>
      <c r="W1686" s="21" t="s">
        <v>41</v>
      </c>
    </row>
    <row r="1687" spans="1:23" ht="75">
      <c r="A1687" s="8" t="s">
        <v>3821</v>
      </c>
      <c r="B1687" s="8" t="s">
        <v>1727</v>
      </c>
      <c r="C1687" s="8" t="s">
        <v>2197</v>
      </c>
      <c r="D1687" s="8" t="s">
        <v>18</v>
      </c>
      <c r="E1687" s="8" t="s">
        <v>151</v>
      </c>
      <c r="F1687" s="8" t="s">
        <v>151</v>
      </c>
      <c r="G1687" s="8" t="s">
        <v>3817</v>
      </c>
      <c r="H1687" s="8">
        <v>341</v>
      </c>
      <c r="I1687" s="8">
        <v>341</v>
      </c>
      <c r="J1687" s="8">
        <v>10822</v>
      </c>
      <c r="K1687" s="9">
        <v>44784</v>
      </c>
      <c r="L1687" s="9">
        <v>45627</v>
      </c>
      <c r="M1687" s="8" t="s">
        <v>151</v>
      </c>
      <c r="P1687" s="16" t="s">
        <v>1482</v>
      </c>
      <c r="Q1687" s="2" t="s">
        <v>16</v>
      </c>
      <c r="S1687" s="8" t="s">
        <v>2095</v>
      </c>
      <c r="T1687" s="9" t="s">
        <v>2222</v>
      </c>
      <c r="U1687" s="8">
        <v>0</v>
      </c>
      <c r="V1687" s="20">
        <v>45</v>
      </c>
      <c r="W1687" s="21" t="s">
        <v>41</v>
      </c>
    </row>
    <row r="1688" spans="1:23" ht="75">
      <c r="A1688" s="8" t="s">
        <v>3822</v>
      </c>
      <c r="B1688" s="8" t="s">
        <v>1728</v>
      </c>
      <c r="C1688" s="8" t="s">
        <v>2203</v>
      </c>
      <c r="D1688" s="8" t="s">
        <v>18</v>
      </c>
      <c r="E1688" s="8" t="s">
        <v>151</v>
      </c>
      <c r="F1688" s="8" t="s">
        <v>2866</v>
      </c>
      <c r="G1688" s="8" t="s">
        <v>3823</v>
      </c>
      <c r="H1688" s="8">
        <v>8351</v>
      </c>
      <c r="I1688" s="8">
        <v>1301</v>
      </c>
      <c r="J1688" s="8">
        <v>510112021</v>
      </c>
      <c r="K1688" s="9">
        <v>44508</v>
      </c>
      <c r="L1688" s="9">
        <v>45566</v>
      </c>
      <c r="M1688" s="8" t="s">
        <v>151</v>
      </c>
      <c r="P1688" s="16" t="s">
        <v>1482</v>
      </c>
      <c r="Q1688" s="2" t="s">
        <v>16</v>
      </c>
      <c r="S1688" s="8" t="s">
        <v>2096</v>
      </c>
      <c r="T1688" s="9" t="s">
        <v>2222</v>
      </c>
      <c r="U1688" s="8">
        <v>0</v>
      </c>
      <c r="V1688" s="20">
        <v>1</v>
      </c>
      <c r="W1688" s="21" t="s">
        <v>41</v>
      </c>
    </row>
    <row r="1689" spans="1:23" ht="75">
      <c r="A1689" s="8" t="s">
        <v>3822</v>
      </c>
      <c r="B1689" s="8" t="s">
        <v>1728</v>
      </c>
      <c r="C1689" s="8" t="s">
        <v>2203</v>
      </c>
      <c r="D1689" s="8" t="s">
        <v>18</v>
      </c>
      <c r="E1689" s="8" t="s">
        <v>151</v>
      </c>
      <c r="F1689" s="8" t="s">
        <v>2866</v>
      </c>
      <c r="G1689" s="8" t="s">
        <v>3823</v>
      </c>
      <c r="H1689" s="8">
        <v>8351</v>
      </c>
      <c r="I1689" s="8">
        <v>1400</v>
      </c>
      <c r="J1689" s="8">
        <v>510112021</v>
      </c>
      <c r="K1689" s="9">
        <v>45367</v>
      </c>
      <c r="L1689" s="9">
        <v>45597</v>
      </c>
      <c r="M1689" s="8" t="s">
        <v>151</v>
      </c>
      <c r="P1689" s="16" t="s">
        <v>1482</v>
      </c>
      <c r="Q1689" s="2" t="s">
        <v>16</v>
      </c>
      <c r="S1689" s="8" t="s">
        <v>2097</v>
      </c>
      <c r="T1689" s="9" t="s">
        <v>2222</v>
      </c>
      <c r="U1689" s="8">
        <v>0</v>
      </c>
      <c r="V1689" s="20">
        <v>9</v>
      </c>
      <c r="W1689" s="21" t="s">
        <v>41</v>
      </c>
    </row>
    <row r="1690" spans="1:23" ht="75">
      <c r="A1690" s="8" t="s">
        <v>3822</v>
      </c>
      <c r="B1690" s="8" t="s">
        <v>1728</v>
      </c>
      <c r="C1690" s="8" t="s">
        <v>2203</v>
      </c>
      <c r="D1690" s="8" t="s">
        <v>18</v>
      </c>
      <c r="E1690" s="8" t="s">
        <v>151</v>
      </c>
      <c r="F1690" s="8" t="s">
        <v>2866</v>
      </c>
      <c r="G1690" s="8" t="s">
        <v>3823</v>
      </c>
      <c r="H1690" s="8">
        <v>8351</v>
      </c>
      <c r="I1690" s="8">
        <v>5650</v>
      </c>
      <c r="J1690" s="8">
        <v>21106</v>
      </c>
      <c r="K1690" s="9">
        <v>44502</v>
      </c>
      <c r="L1690" s="9">
        <v>45566</v>
      </c>
      <c r="M1690" s="8" t="s">
        <v>151</v>
      </c>
      <c r="P1690" s="16" t="s">
        <v>1482</v>
      </c>
      <c r="Q1690" s="2" t="s">
        <v>16</v>
      </c>
      <c r="S1690" s="8" t="s">
        <v>2098</v>
      </c>
      <c r="T1690" s="9" t="s">
        <v>2222</v>
      </c>
      <c r="U1690" s="8">
        <v>0</v>
      </c>
      <c r="V1690" s="20">
        <v>1</v>
      </c>
      <c r="W1690" s="21" t="s">
        <v>43</v>
      </c>
    </row>
    <row r="1691" spans="1:23" ht="75">
      <c r="A1691" s="8" t="s">
        <v>3824</v>
      </c>
      <c r="B1691" s="8" t="s">
        <v>1729</v>
      </c>
      <c r="C1691" s="8" t="s">
        <v>2203</v>
      </c>
      <c r="D1691" s="8" t="s">
        <v>18</v>
      </c>
      <c r="E1691" s="8" t="s">
        <v>151</v>
      </c>
      <c r="F1691" s="8" t="s">
        <v>2866</v>
      </c>
      <c r="G1691" s="8" t="s">
        <v>3823</v>
      </c>
      <c r="H1691" s="8">
        <v>4</v>
      </c>
      <c r="I1691" s="8">
        <v>2</v>
      </c>
      <c r="J1691" s="8">
        <v>510092023</v>
      </c>
      <c r="K1691" s="9">
        <v>45415</v>
      </c>
      <c r="L1691" s="9">
        <v>46266</v>
      </c>
      <c r="M1691" s="8" t="s">
        <v>151</v>
      </c>
      <c r="P1691" s="16" t="s">
        <v>1483</v>
      </c>
      <c r="Q1691" s="2" t="s">
        <v>16</v>
      </c>
      <c r="S1691" s="8" t="s">
        <v>2099</v>
      </c>
      <c r="T1691" s="9" t="s">
        <v>2222</v>
      </c>
      <c r="U1691" s="8">
        <v>0</v>
      </c>
      <c r="V1691" s="20">
        <v>1</v>
      </c>
      <c r="W1691" s="21" t="s">
        <v>43</v>
      </c>
    </row>
    <row r="1692" spans="1:23" ht="75">
      <c r="A1692" s="8" t="s">
        <v>3824</v>
      </c>
      <c r="B1692" s="8" t="s">
        <v>1729</v>
      </c>
      <c r="C1692" s="8" t="s">
        <v>2203</v>
      </c>
      <c r="D1692" s="8" t="s">
        <v>18</v>
      </c>
      <c r="E1692" s="8" t="s">
        <v>151</v>
      </c>
      <c r="F1692" s="8" t="s">
        <v>2866</v>
      </c>
      <c r="G1692" s="8" t="s">
        <v>3823</v>
      </c>
      <c r="H1692" s="8">
        <v>4</v>
      </c>
      <c r="I1692" s="8">
        <v>2</v>
      </c>
      <c r="J1692" s="8">
        <v>51003202408</v>
      </c>
      <c r="K1692" s="9">
        <v>45462</v>
      </c>
      <c r="L1692" s="9">
        <v>46447</v>
      </c>
      <c r="M1692" s="8" t="s">
        <v>151</v>
      </c>
      <c r="P1692" s="16" t="s">
        <v>1484</v>
      </c>
      <c r="Q1692" s="2" t="s">
        <v>16</v>
      </c>
      <c r="S1692" s="8" t="s">
        <v>2100</v>
      </c>
      <c r="T1692" s="9" t="s">
        <v>2222</v>
      </c>
      <c r="U1692" s="8">
        <v>0</v>
      </c>
      <c r="V1692" s="20">
        <v>1</v>
      </c>
      <c r="W1692" s="21" t="s">
        <v>43</v>
      </c>
    </row>
    <row r="1693" spans="1:23" ht="75">
      <c r="A1693" s="8" t="s">
        <v>3825</v>
      </c>
      <c r="B1693" s="8" t="s">
        <v>1729</v>
      </c>
      <c r="C1693" s="8" t="s">
        <v>2203</v>
      </c>
      <c r="D1693" s="8" t="s">
        <v>15</v>
      </c>
      <c r="E1693" s="8" t="s">
        <v>151</v>
      </c>
      <c r="F1693" s="8" t="s">
        <v>2866</v>
      </c>
      <c r="G1693" s="8" t="s">
        <v>3823</v>
      </c>
      <c r="H1693" s="8">
        <v>1980</v>
      </c>
      <c r="I1693" s="8">
        <v>1980</v>
      </c>
      <c r="J1693" s="8">
        <v>51003202408</v>
      </c>
      <c r="K1693" s="9">
        <v>45363</v>
      </c>
      <c r="L1693" s="9">
        <v>46447</v>
      </c>
      <c r="M1693" s="8" t="s">
        <v>151</v>
      </c>
      <c r="P1693" s="16" t="s">
        <v>1484</v>
      </c>
      <c r="Q1693" s="2" t="s">
        <v>16</v>
      </c>
      <c r="S1693" s="8" t="s">
        <v>2101</v>
      </c>
      <c r="T1693" s="9" t="s">
        <v>2222</v>
      </c>
      <c r="U1693" s="8">
        <v>0</v>
      </c>
      <c r="V1693" s="20">
        <v>3</v>
      </c>
      <c r="W1693" s="21" t="s">
        <v>43</v>
      </c>
    </row>
    <row r="1694" spans="1:23" ht="75">
      <c r="A1694" s="8" t="s">
        <v>3826</v>
      </c>
      <c r="B1694" s="8" t="s">
        <v>1730</v>
      </c>
      <c r="C1694" s="8" t="s">
        <v>2203</v>
      </c>
      <c r="D1694" s="8" t="s">
        <v>18</v>
      </c>
      <c r="E1694" s="8" t="s">
        <v>151</v>
      </c>
      <c r="F1694" s="8" t="s">
        <v>2866</v>
      </c>
      <c r="G1694" s="8" t="s">
        <v>3827</v>
      </c>
      <c r="H1694" s="8">
        <v>17312</v>
      </c>
      <c r="I1694" s="8">
        <v>2</v>
      </c>
      <c r="J1694" s="8">
        <v>21105</v>
      </c>
      <c r="K1694" s="9">
        <v>44502</v>
      </c>
      <c r="L1694" s="9">
        <v>45566</v>
      </c>
      <c r="M1694" s="8" t="s">
        <v>151</v>
      </c>
      <c r="P1694" s="16" t="s">
        <v>1485</v>
      </c>
      <c r="Q1694" s="2" t="s">
        <v>16</v>
      </c>
      <c r="S1694" s="8" t="s">
        <v>2102</v>
      </c>
      <c r="T1694" s="9" t="s">
        <v>2222</v>
      </c>
      <c r="U1694" s="8">
        <v>0</v>
      </c>
      <c r="V1694" s="20">
        <v>1</v>
      </c>
      <c r="W1694" s="21" t="s">
        <v>43</v>
      </c>
    </row>
    <row r="1695" spans="1:23" ht="75">
      <c r="A1695" s="8" t="s">
        <v>3826</v>
      </c>
      <c r="B1695" s="8" t="s">
        <v>1730</v>
      </c>
      <c r="C1695" s="8" t="s">
        <v>2203</v>
      </c>
      <c r="D1695" s="8" t="s">
        <v>192</v>
      </c>
      <c r="E1695" s="8" t="s">
        <v>151</v>
      </c>
      <c r="F1695" s="8" t="s">
        <v>2866</v>
      </c>
      <c r="G1695" s="8" t="s">
        <v>3827</v>
      </c>
      <c r="H1695" s="8">
        <v>6077</v>
      </c>
      <c r="I1695" s="8">
        <v>6</v>
      </c>
      <c r="J1695" s="8">
        <v>21105</v>
      </c>
      <c r="K1695" s="9">
        <v>44502</v>
      </c>
      <c r="L1695" s="9">
        <v>45566</v>
      </c>
      <c r="M1695" s="8" t="s">
        <v>151</v>
      </c>
      <c r="P1695" s="16" t="s">
        <v>1486</v>
      </c>
      <c r="Q1695" s="2" t="s">
        <v>16</v>
      </c>
      <c r="S1695" s="8" t="s">
        <v>2103</v>
      </c>
      <c r="T1695" s="9">
        <v>46388</v>
      </c>
      <c r="U1695" s="8">
        <v>0</v>
      </c>
      <c r="V1695" s="20">
        <v>400</v>
      </c>
      <c r="W1695" s="21" t="s">
        <v>151</v>
      </c>
    </row>
    <row r="1696" spans="1:23" ht="75">
      <c r="A1696" s="8" t="s">
        <v>3826</v>
      </c>
      <c r="B1696" s="8" t="s">
        <v>1730</v>
      </c>
      <c r="C1696" s="8" t="s">
        <v>2203</v>
      </c>
      <c r="D1696" s="8" t="s">
        <v>192</v>
      </c>
      <c r="E1696" s="8" t="s">
        <v>151</v>
      </c>
      <c r="F1696" s="8" t="s">
        <v>2866</v>
      </c>
      <c r="G1696" s="8" t="s">
        <v>3827</v>
      </c>
      <c r="H1696" s="8">
        <v>6077</v>
      </c>
      <c r="I1696" s="8">
        <v>30</v>
      </c>
      <c r="J1696" s="8">
        <v>9102021</v>
      </c>
      <c r="K1696" s="9">
        <v>44508</v>
      </c>
      <c r="L1696" s="9">
        <v>45566</v>
      </c>
      <c r="M1696" s="8" t="s">
        <v>151</v>
      </c>
      <c r="P1696" s="17" t="s">
        <v>1487</v>
      </c>
      <c r="Q1696" s="2" t="s">
        <v>16</v>
      </c>
      <c r="S1696" s="8" t="s">
        <v>2104</v>
      </c>
      <c r="T1696" s="9" t="s">
        <v>2222</v>
      </c>
      <c r="U1696" s="8">
        <v>0</v>
      </c>
      <c r="V1696" s="20">
        <v>6</v>
      </c>
      <c r="W1696" s="21" t="s">
        <v>43</v>
      </c>
    </row>
    <row r="1697" spans="1:23" ht="75">
      <c r="A1697" s="8" t="s">
        <v>3826</v>
      </c>
      <c r="B1697" s="8" t="s">
        <v>1730</v>
      </c>
      <c r="C1697" s="8" t="s">
        <v>2203</v>
      </c>
      <c r="D1697" s="8" t="s">
        <v>18</v>
      </c>
      <c r="E1697" s="8" t="s">
        <v>151</v>
      </c>
      <c r="F1697" s="8" t="s">
        <v>2866</v>
      </c>
      <c r="G1697" s="8" t="s">
        <v>3827</v>
      </c>
      <c r="H1697" s="8">
        <v>17312</v>
      </c>
      <c r="I1697" s="8">
        <v>100</v>
      </c>
      <c r="J1697" s="8">
        <v>0</v>
      </c>
      <c r="K1697" s="9">
        <v>44617</v>
      </c>
      <c r="L1697" s="9">
        <v>45597</v>
      </c>
      <c r="M1697" s="8" t="s">
        <v>151</v>
      </c>
      <c r="P1697" s="17" t="s">
        <v>1487</v>
      </c>
      <c r="Q1697" s="2" t="s">
        <v>16</v>
      </c>
      <c r="S1697" s="8" t="s">
        <v>2105</v>
      </c>
      <c r="T1697" s="9">
        <v>46082</v>
      </c>
      <c r="U1697" s="8">
        <v>0</v>
      </c>
      <c r="V1697" s="20">
        <v>250</v>
      </c>
      <c r="W1697" s="21" t="s">
        <v>16</v>
      </c>
    </row>
    <row r="1698" spans="1:23" ht="75">
      <c r="A1698" s="8" t="s">
        <v>3826</v>
      </c>
      <c r="B1698" s="8" t="s">
        <v>1730</v>
      </c>
      <c r="C1698" s="8" t="s">
        <v>2203</v>
      </c>
      <c r="D1698" s="8" t="s">
        <v>192</v>
      </c>
      <c r="E1698" s="8" t="s">
        <v>151</v>
      </c>
      <c r="F1698" s="8" t="s">
        <v>2866</v>
      </c>
      <c r="G1698" s="8" t="s">
        <v>3827</v>
      </c>
      <c r="H1698" s="8">
        <v>6077</v>
      </c>
      <c r="I1698" s="8">
        <v>341</v>
      </c>
      <c r="J1698" s="8">
        <v>59032021012</v>
      </c>
      <c r="K1698" s="9">
        <v>44275</v>
      </c>
      <c r="L1698" s="9">
        <v>45352</v>
      </c>
      <c r="M1698" s="8" t="s">
        <v>151</v>
      </c>
      <c r="P1698" s="17" t="s">
        <v>1487</v>
      </c>
      <c r="Q1698" s="2" t="s">
        <v>16</v>
      </c>
      <c r="S1698" s="8" t="s">
        <v>2106</v>
      </c>
      <c r="T1698" s="9">
        <v>46082</v>
      </c>
      <c r="U1698" s="8">
        <v>0</v>
      </c>
      <c r="V1698" s="20">
        <v>500</v>
      </c>
      <c r="W1698" s="21" t="s">
        <v>16</v>
      </c>
    </row>
    <row r="1699" spans="1:23" ht="75">
      <c r="A1699" s="8" t="s">
        <v>3826</v>
      </c>
      <c r="B1699" s="8" t="s">
        <v>1730</v>
      </c>
      <c r="C1699" s="8" t="s">
        <v>2203</v>
      </c>
      <c r="D1699" s="8" t="s">
        <v>18</v>
      </c>
      <c r="E1699" s="8" t="s">
        <v>151</v>
      </c>
      <c r="F1699" s="8" t="s">
        <v>2866</v>
      </c>
      <c r="G1699" s="8" t="s">
        <v>3827</v>
      </c>
      <c r="H1699" s="8">
        <v>17312</v>
      </c>
      <c r="I1699" s="8">
        <v>2400</v>
      </c>
      <c r="J1699" s="8">
        <v>9112021</v>
      </c>
      <c r="K1699" s="9">
        <v>44508</v>
      </c>
      <c r="L1699" s="9">
        <v>45597</v>
      </c>
      <c r="M1699" s="8" t="s">
        <v>151</v>
      </c>
      <c r="P1699" s="17" t="s">
        <v>1490</v>
      </c>
      <c r="Q1699" s="2" t="s">
        <v>151</v>
      </c>
      <c r="S1699" s="8" t="s">
        <v>2107</v>
      </c>
      <c r="T1699" s="9">
        <v>46357</v>
      </c>
      <c r="U1699" s="8">
        <v>0</v>
      </c>
      <c r="V1699" s="20">
        <v>2466</v>
      </c>
      <c r="W1699" s="21" t="s">
        <v>16</v>
      </c>
    </row>
    <row r="1700" spans="1:23" ht="75">
      <c r="A1700" s="8" t="s">
        <v>3826</v>
      </c>
      <c r="B1700" s="8" t="s">
        <v>1730</v>
      </c>
      <c r="C1700" s="8" t="s">
        <v>2203</v>
      </c>
      <c r="D1700" s="8" t="s">
        <v>192</v>
      </c>
      <c r="E1700" s="8" t="s">
        <v>151</v>
      </c>
      <c r="F1700" s="8" t="s">
        <v>2866</v>
      </c>
      <c r="G1700" s="8" t="s">
        <v>3827</v>
      </c>
      <c r="H1700" s="8">
        <v>6077</v>
      </c>
      <c r="I1700" s="8">
        <v>5700</v>
      </c>
      <c r="J1700" s="8">
        <v>21008</v>
      </c>
      <c r="K1700" s="9">
        <v>44267</v>
      </c>
      <c r="L1700" s="9">
        <v>45352</v>
      </c>
      <c r="M1700" s="8" t="s">
        <v>151</v>
      </c>
      <c r="P1700" s="17" t="s">
        <v>1490</v>
      </c>
      <c r="Q1700" s="2" t="s">
        <v>151</v>
      </c>
      <c r="S1700" s="8" t="s">
        <v>2108</v>
      </c>
      <c r="T1700" s="9">
        <v>46174</v>
      </c>
      <c r="U1700" s="8">
        <v>0</v>
      </c>
      <c r="V1700" s="20">
        <v>80</v>
      </c>
      <c r="W1700" s="21" t="s">
        <v>38</v>
      </c>
    </row>
    <row r="1701" spans="1:23" ht="75">
      <c r="A1701" s="8" t="s">
        <v>3826</v>
      </c>
      <c r="B1701" s="8" t="s">
        <v>1730</v>
      </c>
      <c r="C1701" s="8" t="s">
        <v>2203</v>
      </c>
      <c r="D1701" s="8" t="s">
        <v>18</v>
      </c>
      <c r="E1701" s="8" t="s">
        <v>151</v>
      </c>
      <c r="F1701" s="8" t="s">
        <v>2866</v>
      </c>
      <c r="G1701" s="8" t="s">
        <v>3827</v>
      </c>
      <c r="H1701" s="8">
        <v>17312</v>
      </c>
      <c r="I1701" s="8">
        <v>14810</v>
      </c>
      <c r="J1701" s="8">
        <v>9102021</v>
      </c>
      <c r="K1701" s="9">
        <v>44508</v>
      </c>
      <c r="L1701" s="9">
        <v>45566</v>
      </c>
      <c r="M1701" s="8" t="s">
        <v>151</v>
      </c>
      <c r="P1701" s="17" t="s">
        <v>1490</v>
      </c>
      <c r="Q1701" s="2" t="s">
        <v>151</v>
      </c>
      <c r="S1701" s="8" t="s">
        <v>2109</v>
      </c>
      <c r="T1701" s="9">
        <v>46296</v>
      </c>
      <c r="U1701" s="8">
        <v>0</v>
      </c>
      <c r="V1701" s="20">
        <v>308</v>
      </c>
      <c r="W1701" s="21" t="s">
        <v>16</v>
      </c>
    </row>
    <row r="1702" spans="1:23" ht="75">
      <c r="A1702" s="8" t="s">
        <v>3828</v>
      </c>
      <c r="B1702" s="8" t="s">
        <v>1731</v>
      </c>
      <c r="C1702" s="8" t="s">
        <v>2203</v>
      </c>
      <c r="D1702" s="8" t="s">
        <v>15</v>
      </c>
      <c r="E1702" s="8" t="s">
        <v>151</v>
      </c>
      <c r="F1702" s="8" t="s">
        <v>2866</v>
      </c>
      <c r="G1702" s="8" t="s">
        <v>3827</v>
      </c>
      <c r="H1702" s="8">
        <v>1000</v>
      </c>
      <c r="I1702" s="8">
        <v>1000</v>
      </c>
      <c r="J1702" s="8">
        <v>5904202402</v>
      </c>
      <c r="K1702" s="9">
        <v>45418</v>
      </c>
      <c r="L1702" s="9">
        <v>46478</v>
      </c>
      <c r="M1702" s="8" t="s">
        <v>151</v>
      </c>
      <c r="P1702" s="17" t="s">
        <v>1490</v>
      </c>
      <c r="Q1702" s="2" t="s">
        <v>151</v>
      </c>
      <c r="S1702" s="8" t="s">
        <v>2110</v>
      </c>
      <c r="T1702" s="9">
        <v>46357</v>
      </c>
      <c r="U1702" s="8">
        <v>0</v>
      </c>
      <c r="V1702" s="20">
        <v>932</v>
      </c>
      <c r="W1702" s="21" t="s">
        <v>16</v>
      </c>
    </row>
    <row r="1703" spans="1:23" ht="75">
      <c r="A1703" s="8" t="s">
        <v>3828</v>
      </c>
      <c r="B1703" s="8" t="s">
        <v>1731</v>
      </c>
      <c r="C1703" s="8" t="s">
        <v>2203</v>
      </c>
      <c r="D1703" s="8" t="s">
        <v>18</v>
      </c>
      <c r="E1703" s="8" t="s">
        <v>151</v>
      </c>
      <c r="F1703" s="8" t="s">
        <v>2866</v>
      </c>
      <c r="G1703" s="8" t="s">
        <v>3827</v>
      </c>
      <c r="H1703" s="8">
        <v>3670</v>
      </c>
      <c r="I1703" s="8">
        <v>1230</v>
      </c>
      <c r="J1703" s="8">
        <v>5904202402</v>
      </c>
      <c r="K1703" s="9">
        <v>45418</v>
      </c>
      <c r="L1703" s="9">
        <v>46478</v>
      </c>
      <c r="M1703" s="8" t="s">
        <v>151</v>
      </c>
      <c r="P1703" s="17" t="s">
        <v>1490</v>
      </c>
      <c r="Q1703" s="2" t="s">
        <v>151</v>
      </c>
      <c r="S1703" s="8" t="s">
        <v>2111</v>
      </c>
      <c r="T1703" s="9">
        <v>46631</v>
      </c>
      <c r="U1703" s="8">
        <v>0</v>
      </c>
      <c r="V1703" s="20">
        <v>853</v>
      </c>
      <c r="W1703" s="21" t="s">
        <v>16</v>
      </c>
    </row>
    <row r="1704" spans="1:23" ht="75">
      <c r="A1704" s="8" t="s">
        <v>3828</v>
      </c>
      <c r="B1704" s="8" t="s">
        <v>1731</v>
      </c>
      <c r="C1704" s="8" t="s">
        <v>2203</v>
      </c>
      <c r="D1704" s="8" t="s">
        <v>18</v>
      </c>
      <c r="E1704" s="8" t="s">
        <v>151</v>
      </c>
      <c r="F1704" s="8" t="s">
        <v>2866</v>
      </c>
      <c r="G1704" s="8" t="s">
        <v>3827</v>
      </c>
      <c r="H1704" s="8">
        <v>3670</v>
      </c>
      <c r="I1704" s="8">
        <v>2440</v>
      </c>
      <c r="J1704" s="8">
        <v>59062024051</v>
      </c>
      <c r="K1704" s="9">
        <v>45464</v>
      </c>
      <c r="L1704" s="9">
        <v>46539</v>
      </c>
      <c r="M1704" s="8" t="s">
        <v>151</v>
      </c>
      <c r="P1704" s="17" t="s">
        <v>1496</v>
      </c>
      <c r="Q1704" s="2" t="s">
        <v>151</v>
      </c>
      <c r="S1704" s="8" t="s">
        <v>2111</v>
      </c>
      <c r="T1704" s="9">
        <v>46935</v>
      </c>
      <c r="U1704" s="8">
        <v>0</v>
      </c>
      <c r="V1704" s="20">
        <v>2000</v>
      </c>
      <c r="W1704" s="21" t="s">
        <v>16</v>
      </c>
    </row>
    <row r="1705" spans="1:23" ht="60">
      <c r="A1705" s="8" t="s">
        <v>3829</v>
      </c>
      <c r="B1705" s="8" t="s">
        <v>1732</v>
      </c>
      <c r="C1705" s="8" t="s">
        <v>2197</v>
      </c>
      <c r="D1705" s="8" t="s">
        <v>18</v>
      </c>
      <c r="E1705" s="8" t="s">
        <v>16</v>
      </c>
      <c r="F1705" s="8" t="s">
        <v>2204</v>
      </c>
      <c r="G1705" s="8" t="s">
        <v>3830</v>
      </c>
      <c r="H1705" s="8">
        <v>7120</v>
      </c>
      <c r="I1705" s="8">
        <v>7120</v>
      </c>
      <c r="J1705" s="8" t="s">
        <v>1733</v>
      </c>
      <c r="K1705" s="9">
        <v>44996</v>
      </c>
      <c r="L1705" s="9">
        <v>45505</v>
      </c>
      <c r="M1705" s="8" t="s">
        <v>16</v>
      </c>
      <c r="P1705" s="17" t="s">
        <v>1496</v>
      </c>
      <c r="Q1705" s="2" t="s">
        <v>151</v>
      </c>
      <c r="S1705" s="8" t="s">
        <v>2112</v>
      </c>
      <c r="T1705" s="9">
        <v>46388</v>
      </c>
      <c r="U1705" s="8">
        <v>0</v>
      </c>
      <c r="V1705" s="20">
        <v>30</v>
      </c>
      <c r="W1705" s="21" t="s">
        <v>16</v>
      </c>
    </row>
    <row r="1706" spans="1:23" ht="60">
      <c r="A1706" s="8" t="s">
        <v>3829</v>
      </c>
      <c r="B1706" s="8" t="s">
        <v>1732</v>
      </c>
      <c r="C1706" s="8" t="s">
        <v>2197</v>
      </c>
      <c r="D1706" s="8" t="s">
        <v>192</v>
      </c>
      <c r="E1706" s="8" t="s">
        <v>16</v>
      </c>
      <c r="F1706" s="8" t="s">
        <v>2204</v>
      </c>
      <c r="G1706" s="8" t="s">
        <v>3830</v>
      </c>
      <c r="H1706" s="8">
        <v>8548</v>
      </c>
      <c r="I1706" s="8">
        <v>8548</v>
      </c>
      <c r="J1706" s="8" t="s">
        <v>1734</v>
      </c>
      <c r="K1706" s="9">
        <v>44936</v>
      </c>
      <c r="L1706" s="9">
        <v>45444</v>
      </c>
      <c r="M1706" s="8" t="s">
        <v>16</v>
      </c>
      <c r="P1706" s="17" t="s">
        <v>1499</v>
      </c>
      <c r="Q1706" s="2" t="s">
        <v>151</v>
      </c>
      <c r="S1706" s="8" t="s">
        <v>2112</v>
      </c>
      <c r="T1706" s="9">
        <v>46905</v>
      </c>
      <c r="U1706" s="8">
        <v>0</v>
      </c>
      <c r="V1706" s="20">
        <v>900</v>
      </c>
      <c r="W1706" s="21" t="s">
        <v>16</v>
      </c>
    </row>
    <row r="1707" spans="1:23" ht="60">
      <c r="A1707" s="8" t="s">
        <v>3831</v>
      </c>
      <c r="B1707" s="8" t="s">
        <v>1735</v>
      </c>
      <c r="C1707" s="8" t="s">
        <v>3417</v>
      </c>
      <c r="D1707" s="8" t="s">
        <v>18</v>
      </c>
      <c r="E1707" s="8" t="s">
        <v>101</v>
      </c>
      <c r="F1707" s="8" t="s">
        <v>3414</v>
      </c>
      <c r="G1707" s="8" t="s">
        <v>3832</v>
      </c>
      <c r="H1707" s="8">
        <v>4</v>
      </c>
      <c r="I1707" s="8">
        <v>4</v>
      </c>
      <c r="J1707" s="8">
        <v>0</v>
      </c>
      <c r="K1707" s="9">
        <v>44161</v>
      </c>
      <c r="L1707" s="8" t="s">
        <v>2222</v>
      </c>
      <c r="M1707" s="8" t="s">
        <v>101</v>
      </c>
      <c r="P1707" s="17" t="s">
        <v>1500</v>
      </c>
      <c r="Q1707" s="2" t="s">
        <v>151</v>
      </c>
      <c r="S1707" s="8" t="s">
        <v>2113</v>
      </c>
      <c r="T1707" s="9">
        <v>46569</v>
      </c>
      <c r="U1707" s="8">
        <v>0</v>
      </c>
      <c r="V1707" s="20">
        <v>350</v>
      </c>
      <c r="W1707" s="21" t="s">
        <v>16</v>
      </c>
    </row>
    <row r="1708" spans="1:23" ht="60">
      <c r="A1708" s="8" t="s">
        <v>3833</v>
      </c>
      <c r="B1708" s="8" t="s">
        <v>1736</v>
      </c>
      <c r="C1708" s="8" t="s">
        <v>3417</v>
      </c>
      <c r="D1708" s="8" t="s">
        <v>18</v>
      </c>
      <c r="E1708" s="8" t="s">
        <v>101</v>
      </c>
      <c r="F1708" s="8" t="s">
        <v>3414</v>
      </c>
      <c r="G1708" s="8" t="s">
        <v>3832</v>
      </c>
      <c r="H1708" s="8">
        <v>2</v>
      </c>
      <c r="I1708" s="8">
        <v>2</v>
      </c>
      <c r="J1708" s="8">
        <v>0</v>
      </c>
      <c r="K1708" s="9">
        <v>44161</v>
      </c>
      <c r="L1708" s="8" t="s">
        <v>2222</v>
      </c>
      <c r="M1708" s="8" t="s">
        <v>101</v>
      </c>
      <c r="P1708" s="17" t="s">
        <v>1500</v>
      </c>
      <c r="Q1708" s="2" t="s">
        <v>151</v>
      </c>
      <c r="S1708" s="8" t="s">
        <v>2113</v>
      </c>
      <c r="T1708" s="9">
        <v>47239</v>
      </c>
      <c r="U1708" s="8">
        <v>0</v>
      </c>
      <c r="V1708" s="20">
        <v>700</v>
      </c>
      <c r="W1708" s="21" t="s">
        <v>16</v>
      </c>
    </row>
    <row r="1709" spans="1:23" ht="60">
      <c r="A1709" s="8" t="s">
        <v>3834</v>
      </c>
      <c r="B1709" s="8" t="s">
        <v>1737</v>
      </c>
      <c r="C1709" s="8" t="s">
        <v>2197</v>
      </c>
      <c r="D1709" s="8" t="s">
        <v>18</v>
      </c>
      <c r="E1709" s="8" t="s">
        <v>16</v>
      </c>
      <c r="F1709" s="8" t="s">
        <v>2198</v>
      </c>
      <c r="G1709" s="8" t="s">
        <v>3835</v>
      </c>
      <c r="H1709" s="8">
        <v>8</v>
      </c>
      <c r="I1709" s="8">
        <v>8</v>
      </c>
      <c r="J1709" s="8">
        <v>0</v>
      </c>
      <c r="K1709" s="9">
        <v>44016</v>
      </c>
      <c r="L1709" s="8" t="s">
        <v>2222</v>
      </c>
      <c r="M1709" s="8" t="s">
        <v>38</v>
      </c>
      <c r="P1709" s="16" t="s">
        <v>1502</v>
      </c>
      <c r="Q1709" s="2" t="s">
        <v>312</v>
      </c>
      <c r="S1709" s="8" t="s">
        <v>2113</v>
      </c>
      <c r="T1709" s="9">
        <v>46935</v>
      </c>
      <c r="U1709" s="8">
        <v>0</v>
      </c>
      <c r="V1709" s="20">
        <v>2300</v>
      </c>
      <c r="W1709" s="21" t="s">
        <v>16</v>
      </c>
    </row>
    <row r="1710" spans="1:23" ht="48.75">
      <c r="A1710" s="8" t="s">
        <v>3836</v>
      </c>
      <c r="B1710" s="8" t="s">
        <v>1738</v>
      </c>
      <c r="C1710" s="8" t="s">
        <v>2203</v>
      </c>
      <c r="D1710" s="8" t="s">
        <v>18</v>
      </c>
      <c r="E1710" s="8" t="s">
        <v>16</v>
      </c>
      <c r="F1710" s="8" t="s">
        <v>3249</v>
      </c>
      <c r="G1710" s="8" t="s">
        <v>3837</v>
      </c>
      <c r="H1710" s="8">
        <v>51</v>
      </c>
      <c r="I1710" s="8">
        <v>1</v>
      </c>
      <c r="J1710" s="8" t="s">
        <v>1739</v>
      </c>
      <c r="K1710" s="9">
        <v>45349</v>
      </c>
      <c r="L1710" s="9">
        <v>46753</v>
      </c>
      <c r="M1710" s="8" t="s">
        <v>16</v>
      </c>
      <c r="P1710" s="16" t="s">
        <v>1502</v>
      </c>
      <c r="Q1710" s="2" t="s">
        <v>312</v>
      </c>
      <c r="S1710" s="8" t="s">
        <v>2114</v>
      </c>
      <c r="T1710" s="9">
        <v>46419</v>
      </c>
      <c r="U1710" s="8">
        <v>0</v>
      </c>
      <c r="V1710" s="20">
        <v>100</v>
      </c>
      <c r="W1710" s="21" t="s">
        <v>16</v>
      </c>
    </row>
    <row r="1711" spans="1:23" ht="48.75">
      <c r="A1711" s="8" t="s">
        <v>3836</v>
      </c>
      <c r="B1711" s="8" t="s">
        <v>1738</v>
      </c>
      <c r="C1711" s="8" t="s">
        <v>2203</v>
      </c>
      <c r="D1711" s="8" t="s">
        <v>18</v>
      </c>
      <c r="E1711" s="8" t="s">
        <v>16</v>
      </c>
      <c r="F1711" s="8" t="s">
        <v>3249</v>
      </c>
      <c r="G1711" s="8" t="s">
        <v>3837</v>
      </c>
      <c r="H1711" s="8">
        <v>51</v>
      </c>
      <c r="I1711" s="8">
        <v>50</v>
      </c>
      <c r="J1711" s="8" t="s">
        <v>1740</v>
      </c>
      <c r="K1711" s="9">
        <v>45463</v>
      </c>
      <c r="L1711" s="9">
        <v>46174</v>
      </c>
      <c r="M1711" s="8" t="s">
        <v>16</v>
      </c>
      <c r="P1711" s="16" t="s">
        <v>1502</v>
      </c>
      <c r="Q1711" s="2" t="s">
        <v>312</v>
      </c>
      <c r="S1711" s="8" t="s">
        <v>2115</v>
      </c>
      <c r="T1711" s="9">
        <v>46419</v>
      </c>
      <c r="U1711" s="8">
        <v>0</v>
      </c>
      <c r="V1711" s="20">
        <v>480</v>
      </c>
      <c r="W1711" s="21" t="s">
        <v>16</v>
      </c>
    </row>
    <row r="1712" spans="1:23" ht="60">
      <c r="A1712" s="8" t="s">
        <v>3838</v>
      </c>
      <c r="B1712" s="8" t="s">
        <v>1741</v>
      </c>
      <c r="C1712" s="8" t="s">
        <v>2203</v>
      </c>
      <c r="D1712" s="8" t="s">
        <v>18</v>
      </c>
      <c r="E1712" s="8" t="s">
        <v>16</v>
      </c>
      <c r="F1712" s="8" t="s">
        <v>3249</v>
      </c>
      <c r="G1712" s="8" t="s">
        <v>3839</v>
      </c>
      <c r="H1712" s="8">
        <v>41004</v>
      </c>
      <c r="I1712" s="8">
        <v>11004</v>
      </c>
      <c r="J1712" s="8" t="s">
        <v>1742</v>
      </c>
      <c r="K1712" s="9">
        <v>45142</v>
      </c>
      <c r="L1712" s="9">
        <v>45809</v>
      </c>
      <c r="M1712" s="8" t="s">
        <v>16</v>
      </c>
      <c r="P1712" s="16" t="s">
        <v>1503</v>
      </c>
      <c r="Q1712" s="2" t="s">
        <v>16</v>
      </c>
      <c r="S1712" s="8" t="s">
        <v>2116</v>
      </c>
      <c r="T1712" s="9">
        <v>46174</v>
      </c>
      <c r="U1712" s="8">
        <v>0</v>
      </c>
      <c r="V1712" s="20">
        <v>9</v>
      </c>
      <c r="W1712" s="21" t="s">
        <v>38</v>
      </c>
    </row>
    <row r="1713" spans="1:23" ht="60">
      <c r="A1713" s="8" t="s">
        <v>3838</v>
      </c>
      <c r="B1713" s="8" t="s">
        <v>1741</v>
      </c>
      <c r="C1713" s="8" t="s">
        <v>2203</v>
      </c>
      <c r="D1713" s="8" t="s">
        <v>18</v>
      </c>
      <c r="E1713" s="8" t="s">
        <v>16</v>
      </c>
      <c r="F1713" s="8" t="s">
        <v>3249</v>
      </c>
      <c r="G1713" s="8" t="s">
        <v>3839</v>
      </c>
      <c r="H1713" s="8">
        <v>41004</v>
      </c>
      <c r="I1713" s="8">
        <v>30000</v>
      </c>
      <c r="J1713" s="8" t="s">
        <v>1743</v>
      </c>
      <c r="K1713" s="9">
        <v>45419</v>
      </c>
      <c r="L1713" s="9">
        <v>45809</v>
      </c>
      <c r="M1713" s="8" t="s">
        <v>16</v>
      </c>
      <c r="P1713" s="16" t="s">
        <v>1504</v>
      </c>
      <c r="Q1713" s="2" t="s">
        <v>1505</v>
      </c>
      <c r="S1713" s="8" t="s">
        <v>2117</v>
      </c>
      <c r="T1713" s="9">
        <v>45839</v>
      </c>
      <c r="U1713" s="8">
        <v>0</v>
      </c>
      <c r="V1713" s="20">
        <v>4959</v>
      </c>
      <c r="W1713" s="21" t="s">
        <v>16</v>
      </c>
    </row>
    <row r="1714" spans="1:23" ht="60">
      <c r="A1714" s="8" t="s">
        <v>3840</v>
      </c>
      <c r="B1714" s="8" t="s">
        <v>1744</v>
      </c>
      <c r="C1714" s="8" t="s">
        <v>2303</v>
      </c>
      <c r="D1714" s="8" t="s">
        <v>18</v>
      </c>
      <c r="E1714" s="8" t="s">
        <v>16</v>
      </c>
      <c r="F1714" s="8" t="s">
        <v>2228</v>
      </c>
      <c r="G1714" s="8" t="s">
        <v>3841</v>
      </c>
      <c r="H1714" s="8">
        <v>62</v>
      </c>
      <c r="I1714" s="8">
        <v>62</v>
      </c>
      <c r="J1714" s="8">
        <v>24022922</v>
      </c>
      <c r="K1714" s="9">
        <v>45370</v>
      </c>
      <c r="L1714" s="9">
        <v>47119</v>
      </c>
      <c r="M1714" s="8" t="s">
        <v>16</v>
      </c>
      <c r="P1714" s="16" t="s">
        <v>1506</v>
      </c>
      <c r="Q1714" s="2" t="s">
        <v>1505</v>
      </c>
      <c r="S1714" s="8" t="s">
        <v>2118</v>
      </c>
      <c r="T1714" s="9">
        <v>45689</v>
      </c>
      <c r="U1714" s="8">
        <v>0</v>
      </c>
      <c r="V1714" s="20">
        <v>45</v>
      </c>
      <c r="W1714" s="21" t="s">
        <v>16</v>
      </c>
    </row>
    <row r="1715" spans="1:23" ht="45">
      <c r="A1715" s="8" t="s">
        <v>3842</v>
      </c>
      <c r="B1715" s="8" t="s">
        <v>1745</v>
      </c>
      <c r="C1715" s="8" t="s">
        <v>2197</v>
      </c>
      <c r="D1715" s="8" t="s">
        <v>18</v>
      </c>
      <c r="E1715" s="8" t="s">
        <v>16</v>
      </c>
      <c r="F1715" s="8" t="s">
        <v>2228</v>
      </c>
      <c r="G1715" s="8" t="s">
        <v>3841</v>
      </c>
      <c r="H1715" s="8">
        <v>3600</v>
      </c>
      <c r="I1715" s="8">
        <v>1600</v>
      </c>
      <c r="J1715" s="8">
        <v>24031205</v>
      </c>
      <c r="K1715" s="9">
        <v>45409</v>
      </c>
      <c r="L1715" s="9">
        <v>47150</v>
      </c>
      <c r="M1715" s="8" t="s">
        <v>16</v>
      </c>
      <c r="P1715" s="16" t="s">
        <v>1507</v>
      </c>
      <c r="Q1715" s="2" t="s">
        <v>16</v>
      </c>
      <c r="S1715" s="8" t="s">
        <v>2120</v>
      </c>
      <c r="T1715" s="9">
        <v>46844</v>
      </c>
      <c r="U1715" s="8">
        <v>0</v>
      </c>
      <c r="V1715" s="20">
        <v>15</v>
      </c>
      <c r="W1715" s="21" t="s">
        <v>16</v>
      </c>
    </row>
    <row r="1716" spans="1:23" ht="45">
      <c r="A1716" s="8" t="s">
        <v>3842</v>
      </c>
      <c r="B1716" s="8" t="s">
        <v>1745</v>
      </c>
      <c r="C1716" s="8" t="s">
        <v>2197</v>
      </c>
      <c r="D1716" s="8" t="s">
        <v>18</v>
      </c>
      <c r="E1716" s="8" t="s">
        <v>16</v>
      </c>
      <c r="F1716" s="8" t="s">
        <v>2228</v>
      </c>
      <c r="G1716" s="8" t="s">
        <v>3841</v>
      </c>
      <c r="H1716" s="8">
        <v>3600</v>
      </c>
      <c r="I1716" s="8">
        <v>2000</v>
      </c>
      <c r="J1716" s="8">
        <v>24032711</v>
      </c>
      <c r="K1716" s="9">
        <v>45457</v>
      </c>
      <c r="L1716" s="9">
        <v>47150</v>
      </c>
      <c r="M1716" s="8" t="s">
        <v>16</v>
      </c>
      <c r="P1716" s="16" t="s">
        <v>1507</v>
      </c>
      <c r="Q1716" s="2" t="s">
        <v>16</v>
      </c>
      <c r="S1716" s="8" t="s">
        <v>2120</v>
      </c>
      <c r="T1716" s="9">
        <v>46874</v>
      </c>
      <c r="U1716" s="8">
        <v>0</v>
      </c>
      <c r="V1716" s="20">
        <v>200</v>
      </c>
      <c r="W1716" s="21" t="s">
        <v>16</v>
      </c>
    </row>
    <row r="1717" spans="1:23" ht="45">
      <c r="A1717" s="8" t="s">
        <v>3843</v>
      </c>
      <c r="B1717" s="8" t="s">
        <v>1746</v>
      </c>
      <c r="C1717" s="8" t="s">
        <v>2197</v>
      </c>
      <c r="D1717" s="8" t="s">
        <v>18</v>
      </c>
      <c r="E1717" s="8" t="s">
        <v>16</v>
      </c>
      <c r="F1717" s="8" t="s">
        <v>2198</v>
      </c>
      <c r="G1717" s="8" t="s">
        <v>3844</v>
      </c>
      <c r="H1717" s="8">
        <v>1745</v>
      </c>
      <c r="I1717" s="8">
        <v>1745</v>
      </c>
      <c r="J1717" s="8" t="s">
        <v>1747</v>
      </c>
      <c r="K1717" s="9">
        <v>45446</v>
      </c>
      <c r="L1717" s="9">
        <v>46143</v>
      </c>
      <c r="M1717" s="8" t="s">
        <v>16</v>
      </c>
      <c r="P1717" s="16" t="s">
        <v>1508</v>
      </c>
      <c r="Q1717" s="2" t="s">
        <v>16</v>
      </c>
      <c r="S1717" s="8" t="s">
        <v>2123</v>
      </c>
      <c r="T1717" s="9">
        <v>40452</v>
      </c>
      <c r="U1717" s="8">
        <v>0</v>
      </c>
      <c r="V1717" s="20">
        <v>1</v>
      </c>
      <c r="W1717" s="21" t="s">
        <v>38</v>
      </c>
    </row>
    <row r="1718" spans="1:23" ht="45">
      <c r="A1718" s="8" t="s">
        <v>3845</v>
      </c>
      <c r="B1718" s="8" t="s">
        <v>1748</v>
      </c>
      <c r="C1718" s="8" t="s">
        <v>2197</v>
      </c>
      <c r="D1718" s="8" t="s">
        <v>18</v>
      </c>
      <c r="E1718" s="8" t="s">
        <v>16</v>
      </c>
      <c r="F1718" s="8" t="s">
        <v>2198</v>
      </c>
      <c r="G1718" s="8" t="s">
        <v>3844</v>
      </c>
      <c r="H1718" s="8">
        <v>3345</v>
      </c>
      <c r="I1718" s="8">
        <v>3345</v>
      </c>
      <c r="J1718" s="8" t="s">
        <v>1749</v>
      </c>
      <c r="K1718" s="9">
        <v>45446</v>
      </c>
      <c r="L1718" s="9">
        <v>46143</v>
      </c>
      <c r="M1718" s="8" t="s">
        <v>16</v>
      </c>
      <c r="P1718" s="17" t="s">
        <v>1509</v>
      </c>
      <c r="Q1718" s="2" t="s">
        <v>16</v>
      </c>
      <c r="S1718" s="8" t="s">
        <v>2124</v>
      </c>
      <c r="T1718" s="9">
        <v>46054</v>
      </c>
      <c r="U1718" s="8">
        <v>0</v>
      </c>
      <c r="V1718" s="20">
        <v>195</v>
      </c>
      <c r="W1718" s="21" t="s">
        <v>16</v>
      </c>
    </row>
    <row r="1719" spans="1:23" ht="45">
      <c r="A1719" s="8" t="s">
        <v>3846</v>
      </c>
      <c r="B1719" s="8" t="s">
        <v>1750</v>
      </c>
      <c r="C1719" s="8" t="s">
        <v>2197</v>
      </c>
      <c r="D1719" s="8" t="s">
        <v>18</v>
      </c>
      <c r="E1719" s="8" t="s">
        <v>16</v>
      </c>
      <c r="F1719" s="8" t="s">
        <v>2198</v>
      </c>
      <c r="G1719" s="8" t="s">
        <v>3844</v>
      </c>
      <c r="H1719" s="8">
        <v>4720</v>
      </c>
      <c r="I1719" s="8">
        <v>4720</v>
      </c>
      <c r="J1719" s="8" t="s">
        <v>1751</v>
      </c>
      <c r="K1719" s="9">
        <v>45446</v>
      </c>
      <c r="L1719" s="9">
        <v>46143</v>
      </c>
      <c r="M1719" s="8" t="s">
        <v>16</v>
      </c>
      <c r="P1719" s="17" t="s">
        <v>1509</v>
      </c>
      <c r="Q1719" s="2" t="s">
        <v>16</v>
      </c>
      <c r="S1719" s="8" t="s">
        <v>2126</v>
      </c>
      <c r="T1719" s="9">
        <v>46966</v>
      </c>
      <c r="U1719" s="8">
        <v>0</v>
      </c>
      <c r="V1719" s="20">
        <v>76</v>
      </c>
      <c r="W1719" s="21" t="s">
        <v>16</v>
      </c>
    </row>
    <row r="1720" spans="1:23" ht="60.75">
      <c r="A1720" s="8" t="s">
        <v>3847</v>
      </c>
      <c r="B1720" s="8" t="s">
        <v>1752</v>
      </c>
      <c r="C1720" s="8" t="s">
        <v>2197</v>
      </c>
      <c r="D1720" s="8" t="s">
        <v>18</v>
      </c>
      <c r="E1720" s="8" t="s">
        <v>16</v>
      </c>
      <c r="F1720" s="8" t="s">
        <v>2204</v>
      </c>
      <c r="G1720" s="8" t="s">
        <v>3848</v>
      </c>
      <c r="H1720" s="8">
        <v>85</v>
      </c>
      <c r="I1720" s="8">
        <v>85</v>
      </c>
      <c r="J1720" s="8">
        <v>2110010190</v>
      </c>
      <c r="K1720" s="9">
        <v>45422</v>
      </c>
      <c r="L1720" s="9">
        <v>46419</v>
      </c>
      <c r="M1720" s="8" t="s">
        <v>16</v>
      </c>
      <c r="P1720" s="16" t="s">
        <v>1510</v>
      </c>
      <c r="Q1720" s="2" t="s">
        <v>16</v>
      </c>
      <c r="S1720" s="8" t="s">
        <v>2126</v>
      </c>
      <c r="T1720" s="9">
        <v>47209</v>
      </c>
      <c r="U1720" s="8">
        <v>0</v>
      </c>
      <c r="V1720" s="20">
        <v>510</v>
      </c>
      <c r="W1720" s="21" t="s">
        <v>16</v>
      </c>
    </row>
    <row r="1721" spans="1:23" ht="60.75">
      <c r="A1721" s="8" t="s">
        <v>3849</v>
      </c>
      <c r="B1721" s="8" t="s">
        <v>1753</v>
      </c>
      <c r="C1721" s="8" t="s">
        <v>2197</v>
      </c>
      <c r="D1721" s="8" t="s">
        <v>18</v>
      </c>
      <c r="E1721" s="8" t="s">
        <v>16</v>
      </c>
      <c r="F1721" s="8" t="s">
        <v>2204</v>
      </c>
      <c r="G1721" s="8" t="s">
        <v>3848</v>
      </c>
      <c r="H1721" s="8">
        <v>4357</v>
      </c>
      <c r="I1721" s="8">
        <v>17</v>
      </c>
      <c r="J1721" s="8">
        <v>2305020168</v>
      </c>
      <c r="K1721" s="9">
        <v>45357</v>
      </c>
      <c r="L1721" s="9">
        <v>46935</v>
      </c>
      <c r="M1721" s="8" t="s">
        <v>16</v>
      </c>
      <c r="P1721" s="16" t="s">
        <v>1510</v>
      </c>
      <c r="Q1721" s="2" t="s">
        <v>16</v>
      </c>
      <c r="S1721" s="8" t="s">
        <v>2126</v>
      </c>
      <c r="T1721" s="9">
        <v>47239</v>
      </c>
      <c r="U1721" s="8">
        <v>0</v>
      </c>
      <c r="V1721" s="20">
        <v>280</v>
      </c>
      <c r="W1721" s="21" t="s">
        <v>16</v>
      </c>
    </row>
    <row r="1722" spans="1:23" ht="60.75">
      <c r="A1722" s="8" t="s">
        <v>3849</v>
      </c>
      <c r="B1722" s="8" t="s">
        <v>1753</v>
      </c>
      <c r="C1722" s="8" t="s">
        <v>2197</v>
      </c>
      <c r="D1722" s="8" t="s">
        <v>18</v>
      </c>
      <c r="E1722" s="8" t="s">
        <v>16</v>
      </c>
      <c r="F1722" s="8" t="s">
        <v>2204</v>
      </c>
      <c r="G1722" s="8" t="s">
        <v>3848</v>
      </c>
      <c r="H1722" s="8">
        <v>4357</v>
      </c>
      <c r="I1722" s="8">
        <v>780</v>
      </c>
      <c r="J1722" s="8">
        <v>2310020236</v>
      </c>
      <c r="K1722" s="9">
        <v>45422</v>
      </c>
      <c r="L1722" s="9">
        <v>47119</v>
      </c>
      <c r="M1722" s="8" t="s">
        <v>16</v>
      </c>
      <c r="P1722" s="16" t="s">
        <v>1510</v>
      </c>
      <c r="Q1722" s="2" t="s">
        <v>16</v>
      </c>
      <c r="S1722" s="8" t="s">
        <v>2127</v>
      </c>
      <c r="T1722" s="9">
        <v>46813</v>
      </c>
      <c r="U1722" s="8">
        <v>0</v>
      </c>
      <c r="V1722" s="20">
        <v>3665</v>
      </c>
      <c r="W1722" s="21" t="s">
        <v>16</v>
      </c>
    </row>
    <row r="1723" spans="1:23" ht="60.75">
      <c r="A1723" s="8" t="s">
        <v>3849</v>
      </c>
      <c r="B1723" s="8" t="s">
        <v>1753</v>
      </c>
      <c r="C1723" s="8" t="s">
        <v>2197</v>
      </c>
      <c r="D1723" s="8" t="s">
        <v>18</v>
      </c>
      <c r="E1723" s="8" t="s">
        <v>16</v>
      </c>
      <c r="F1723" s="8" t="s">
        <v>2204</v>
      </c>
      <c r="G1723" s="8" t="s">
        <v>3848</v>
      </c>
      <c r="H1723" s="8">
        <v>4357</v>
      </c>
      <c r="I1723" s="8">
        <v>1080</v>
      </c>
      <c r="J1723" s="8">
        <v>2310020236</v>
      </c>
      <c r="K1723" s="9">
        <v>45422</v>
      </c>
      <c r="L1723" s="9">
        <v>47150</v>
      </c>
      <c r="M1723" s="8" t="s">
        <v>16</v>
      </c>
      <c r="P1723" s="16" t="s">
        <v>1510</v>
      </c>
      <c r="Q1723" s="2" t="s">
        <v>16</v>
      </c>
      <c r="S1723" s="8" t="s">
        <v>2128</v>
      </c>
      <c r="T1723" s="9">
        <v>45931</v>
      </c>
      <c r="U1723" s="8">
        <v>0</v>
      </c>
      <c r="V1723" s="20">
        <v>520</v>
      </c>
      <c r="W1723" s="21" t="s">
        <v>16</v>
      </c>
    </row>
    <row r="1724" spans="1:23" ht="60.75">
      <c r="A1724" s="8" t="s">
        <v>3849</v>
      </c>
      <c r="B1724" s="8" t="s">
        <v>1753</v>
      </c>
      <c r="C1724" s="8" t="s">
        <v>2197</v>
      </c>
      <c r="D1724" s="8" t="s">
        <v>18</v>
      </c>
      <c r="E1724" s="8" t="s">
        <v>16</v>
      </c>
      <c r="F1724" s="8" t="s">
        <v>2204</v>
      </c>
      <c r="G1724" s="8" t="s">
        <v>3848</v>
      </c>
      <c r="H1724" s="8">
        <v>4357</v>
      </c>
      <c r="I1724" s="8">
        <v>2480</v>
      </c>
      <c r="J1724" s="8">
        <v>2310020238</v>
      </c>
      <c r="K1724" s="9">
        <v>45422</v>
      </c>
      <c r="L1724" s="9">
        <v>47209</v>
      </c>
      <c r="M1724" s="8" t="s">
        <v>16</v>
      </c>
      <c r="P1724" s="16" t="s">
        <v>1510</v>
      </c>
      <c r="Q1724" s="2" t="s">
        <v>16</v>
      </c>
      <c r="S1724" s="8" t="s">
        <v>2128</v>
      </c>
      <c r="T1724" s="9">
        <v>46054</v>
      </c>
      <c r="U1724" s="8">
        <v>0</v>
      </c>
      <c r="V1724" s="20">
        <v>300</v>
      </c>
      <c r="W1724" s="21" t="s">
        <v>16</v>
      </c>
    </row>
    <row r="1725" spans="1:23" ht="60.75">
      <c r="A1725" s="8" t="s">
        <v>3850</v>
      </c>
      <c r="B1725" s="8" t="s">
        <v>1754</v>
      </c>
      <c r="C1725" s="8" t="s">
        <v>2197</v>
      </c>
      <c r="D1725" s="8" t="s">
        <v>18</v>
      </c>
      <c r="E1725" s="8" t="s">
        <v>16</v>
      </c>
      <c r="F1725" s="8" t="s">
        <v>2204</v>
      </c>
      <c r="G1725" s="8" t="s">
        <v>3848</v>
      </c>
      <c r="H1725" s="8">
        <v>4730</v>
      </c>
      <c r="I1725" s="8">
        <v>290</v>
      </c>
      <c r="J1725" s="8">
        <v>2207020146</v>
      </c>
      <c r="K1725" s="9">
        <v>45418</v>
      </c>
      <c r="L1725" s="9">
        <v>46813</v>
      </c>
      <c r="M1725" s="8" t="s">
        <v>16</v>
      </c>
      <c r="P1725" s="16" t="s">
        <v>1510</v>
      </c>
      <c r="Q1725" s="2" t="s">
        <v>16</v>
      </c>
      <c r="S1725" s="8" t="s">
        <v>2128</v>
      </c>
      <c r="T1725" s="9">
        <v>45992</v>
      </c>
      <c r="U1725" s="8">
        <v>0</v>
      </c>
      <c r="V1725" s="20">
        <v>480</v>
      </c>
      <c r="W1725" s="21" t="s">
        <v>16</v>
      </c>
    </row>
    <row r="1726" spans="1:23" ht="60.75">
      <c r="A1726" s="8" t="s">
        <v>3850</v>
      </c>
      <c r="B1726" s="8" t="s">
        <v>1754</v>
      </c>
      <c r="C1726" s="8" t="s">
        <v>2197</v>
      </c>
      <c r="D1726" s="8" t="s">
        <v>18</v>
      </c>
      <c r="E1726" s="8" t="s">
        <v>16</v>
      </c>
      <c r="F1726" s="8" t="s">
        <v>2204</v>
      </c>
      <c r="G1726" s="8" t="s">
        <v>3848</v>
      </c>
      <c r="H1726" s="8">
        <v>4730</v>
      </c>
      <c r="I1726" s="8">
        <v>1360</v>
      </c>
      <c r="J1726" s="8">
        <v>2305020173</v>
      </c>
      <c r="K1726" s="9">
        <v>45418</v>
      </c>
      <c r="L1726" s="9">
        <v>47058</v>
      </c>
      <c r="M1726" s="8" t="s">
        <v>16</v>
      </c>
      <c r="P1726" s="16" t="s">
        <v>1510</v>
      </c>
      <c r="Q1726" s="2" t="s">
        <v>16</v>
      </c>
      <c r="S1726" s="8" t="s">
        <v>2134</v>
      </c>
      <c r="T1726" s="9">
        <v>45992</v>
      </c>
      <c r="U1726" s="8">
        <v>0</v>
      </c>
      <c r="V1726" s="20">
        <v>512</v>
      </c>
      <c r="W1726" s="21" t="s">
        <v>16</v>
      </c>
    </row>
    <row r="1727" spans="1:23" ht="60.75">
      <c r="A1727" s="8" t="s">
        <v>3850</v>
      </c>
      <c r="B1727" s="8" t="s">
        <v>1754</v>
      </c>
      <c r="C1727" s="8" t="s">
        <v>2197</v>
      </c>
      <c r="D1727" s="8" t="s">
        <v>18</v>
      </c>
      <c r="E1727" s="8" t="s">
        <v>16</v>
      </c>
      <c r="F1727" s="8" t="s">
        <v>2204</v>
      </c>
      <c r="G1727" s="8" t="s">
        <v>3848</v>
      </c>
      <c r="H1727" s="8">
        <v>4730</v>
      </c>
      <c r="I1727" s="8">
        <v>3080</v>
      </c>
      <c r="J1727" s="8">
        <v>2212020250</v>
      </c>
      <c r="K1727" s="9">
        <v>45418</v>
      </c>
      <c r="L1727" s="9">
        <v>46874</v>
      </c>
      <c r="M1727" s="8" t="s">
        <v>16</v>
      </c>
      <c r="P1727" s="16" t="s">
        <v>1510</v>
      </c>
      <c r="Q1727" s="2" t="s">
        <v>16</v>
      </c>
      <c r="S1727" s="8" t="s">
        <v>2136</v>
      </c>
      <c r="T1727" s="9">
        <v>45809</v>
      </c>
      <c r="U1727" s="8">
        <v>0</v>
      </c>
      <c r="V1727" s="20">
        <v>5</v>
      </c>
      <c r="W1727" s="21" t="s">
        <v>16</v>
      </c>
    </row>
    <row r="1728" spans="1:23" ht="60.75">
      <c r="A1728" s="8" t="s">
        <v>3851</v>
      </c>
      <c r="B1728" s="8" t="s">
        <v>1755</v>
      </c>
      <c r="C1728" s="8" t="s">
        <v>2197</v>
      </c>
      <c r="D1728" s="8" t="s">
        <v>18</v>
      </c>
      <c r="E1728" s="8" t="s">
        <v>16</v>
      </c>
      <c r="F1728" s="8" t="s">
        <v>2204</v>
      </c>
      <c r="G1728" s="8" t="s">
        <v>3852</v>
      </c>
      <c r="H1728" s="8">
        <v>4</v>
      </c>
      <c r="I1728" s="8">
        <v>4</v>
      </c>
      <c r="J1728" s="8" t="s">
        <v>1756</v>
      </c>
      <c r="K1728" s="9">
        <v>45054</v>
      </c>
      <c r="L1728" s="9">
        <v>45536</v>
      </c>
      <c r="M1728" s="8" t="s">
        <v>16</v>
      </c>
      <c r="P1728" s="16" t="s">
        <v>1510</v>
      </c>
      <c r="Q1728" s="2" t="s">
        <v>16</v>
      </c>
      <c r="S1728" s="8" t="s">
        <v>2136</v>
      </c>
      <c r="T1728" s="9">
        <v>46143</v>
      </c>
      <c r="U1728" s="8">
        <v>0</v>
      </c>
      <c r="V1728" s="20">
        <v>35360</v>
      </c>
      <c r="W1728" s="21" t="s">
        <v>16</v>
      </c>
    </row>
    <row r="1729" spans="1:23" ht="60.75">
      <c r="A1729" s="8" t="s">
        <v>3853</v>
      </c>
      <c r="B1729" s="8" t="s">
        <v>1757</v>
      </c>
      <c r="C1729" s="8" t="s">
        <v>2197</v>
      </c>
      <c r="D1729" s="8" t="s">
        <v>18</v>
      </c>
      <c r="E1729" s="8" t="s">
        <v>16</v>
      </c>
      <c r="F1729" s="8" t="s">
        <v>2204</v>
      </c>
      <c r="G1729" s="8" t="s">
        <v>3854</v>
      </c>
      <c r="H1729" s="8">
        <v>180</v>
      </c>
      <c r="I1729" s="8">
        <v>15</v>
      </c>
      <c r="J1729" s="8" t="s">
        <v>1758</v>
      </c>
      <c r="K1729" s="9">
        <v>45087</v>
      </c>
      <c r="L1729" s="9">
        <v>45689</v>
      </c>
      <c r="M1729" s="8" t="s">
        <v>16</v>
      </c>
      <c r="P1729" s="16" t="s">
        <v>1520</v>
      </c>
      <c r="Q1729" s="2" t="s">
        <v>16</v>
      </c>
      <c r="S1729" s="8" t="s">
        <v>2141</v>
      </c>
      <c r="T1729" s="9">
        <v>46143</v>
      </c>
      <c r="U1729" s="8">
        <v>0</v>
      </c>
      <c r="V1729" s="20">
        <v>37853</v>
      </c>
      <c r="W1729" s="21" t="s">
        <v>16</v>
      </c>
    </row>
    <row r="1730" spans="1:23" ht="60.75">
      <c r="A1730" s="8" t="s">
        <v>3853</v>
      </c>
      <c r="B1730" s="8" t="s">
        <v>1757</v>
      </c>
      <c r="C1730" s="8" t="s">
        <v>2197</v>
      </c>
      <c r="D1730" s="8" t="s">
        <v>18</v>
      </c>
      <c r="E1730" s="8" t="s">
        <v>16</v>
      </c>
      <c r="F1730" s="8" t="s">
        <v>2204</v>
      </c>
      <c r="G1730" s="8" t="s">
        <v>3854</v>
      </c>
      <c r="H1730" s="8">
        <v>180</v>
      </c>
      <c r="I1730" s="8">
        <v>165</v>
      </c>
      <c r="J1730" s="8" t="s">
        <v>1759</v>
      </c>
      <c r="K1730" s="9">
        <v>45027</v>
      </c>
      <c r="L1730" s="9">
        <v>45689</v>
      </c>
      <c r="M1730" s="8" t="s">
        <v>16</v>
      </c>
      <c r="P1730" s="16" t="s">
        <v>1522</v>
      </c>
      <c r="Q1730" s="2" t="s">
        <v>16</v>
      </c>
      <c r="S1730" s="8" t="s">
        <v>2141</v>
      </c>
      <c r="T1730" s="9">
        <v>46082</v>
      </c>
      <c r="U1730" s="8">
        <v>0</v>
      </c>
      <c r="V1730" s="20">
        <v>95</v>
      </c>
      <c r="W1730" s="21" t="s">
        <v>16</v>
      </c>
    </row>
    <row r="1731" spans="1:23" ht="60.75">
      <c r="A1731" s="8" t="s">
        <v>3853</v>
      </c>
      <c r="B1731" s="8" t="s">
        <v>1757</v>
      </c>
      <c r="C1731" s="8" t="s">
        <v>2197</v>
      </c>
      <c r="D1731" s="8" t="s">
        <v>209</v>
      </c>
      <c r="E1731" s="8" t="s">
        <v>16</v>
      </c>
      <c r="F1731" s="8" t="s">
        <v>2204</v>
      </c>
      <c r="G1731" s="8" t="s">
        <v>3854</v>
      </c>
      <c r="H1731" s="8">
        <v>500</v>
      </c>
      <c r="I1731" s="8">
        <v>500</v>
      </c>
      <c r="J1731" s="8" t="s">
        <v>1760</v>
      </c>
      <c r="K1731" s="9">
        <v>45411</v>
      </c>
      <c r="L1731" s="9">
        <v>45778</v>
      </c>
      <c r="M1731" s="8" t="s">
        <v>16</v>
      </c>
      <c r="P1731" s="16" t="s">
        <v>1522</v>
      </c>
      <c r="Q1731" s="2" t="s">
        <v>16</v>
      </c>
      <c r="S1731" s="8" t="s">
        <v>2148</v>
      </c>
      <c r="T1731" s="9">
        <v>46204</v>
      </c>
      <c r="U1731" s="8">
        <v>0</v>
      </c>
      <c r="V1731" s="20">
        <v>14277</v>
      </c>
      <c r="W1731" s="21" t="s">
        <v>16</v>
      </c>
    </row>
    <row r="1732" spans="1:23" ht="75">
      <c r="A1732" s="8" t="s">
        <v>3855</v>
      </c>
      <c r="B1732" s="8" t="s">
        <v>1761</v>
      </c>
      <c r="C1732" s="8" t="s">
        <v>2203</v>
      </c>
      <c r="D1732" s="8" t="s">
        <v>18</v>
      </c>
      <c r="E1732" s="8" t="s">
        <v>16</v>
      </c>
      <c r="F1732" s="8" t="s">
        <v>2204</v>
      </c>
      <c r="G1732" s="8" t="s">
        <v>3856</v>
      </c>
      <c r="H1732" s="8">
        <v>17880</v>
      </c>
      <c r="I1732" s="8">
        <v>1</v>
      </c>
      <c r="J1732" s="8" t="s">
        <v>1762</v>
      </c>
      <c r="K1732" s="9">
        <v>44995</v>
      </c>
      <c r="L1732" s="9">
        <v>45597</v>
      </c>
      <c r="M1732" s="8" t="s">
        <v>16</v>
      </c>
      <c r="P1732" s="17" t="s">
        <v>1523</v>
      </c>
      <c r="Q1732" s="2" t="s">
        <v>16</v>
      </c>
      <c r="S1732" s="8" t="s">
        <v>2152</v>
      </c>
      <c r="T1732" s="9">
        <v>45778</v>
      </c>
      <c r="U1732" s="8">
        <v>0</v>
      </c>
      <c r="V1732" s="20">
        <v>3083</v>
      </c>
      <c r="W1732" s="21" t="s">
        <v>16</v>
      </c>
    </row>
    <row r="1733" spans="1:23" ht="75">
      <c r="A1733" s="8" t="s">
        <v>3855</v>
      </c>
      <c r="B1733" s="8" t="s">
        <v>1761</v>
      </c>
      <c r="C1733" s="8" t="s">
        <v>2203</v>
      </c>
      <c r="D1733" s="8" t="s">
        <v>18</v>
      </c>
      <c r="E1733" s="8" t="s">
        <v>16</v>
      </c>
      <c r="F1733" s="8" t="s">
        <v>2204</v>
      </c>
      <c r="G1733" s="8" t="s">
        <v>3856</v>
      </c>
      <c r="H1733" s="8">
        <v>17880</v>
      </c>
      <c r="I1733" s="8">
        <v>2879</v>
      </c>
      <c r="J1733" s="8" t="s">
        <v>1763</v>
      </c>
      <c r="K1733" s="9">
        <v>44992</v>
      </c>
      <c r="L1733" s="9">
        <v>45597</v>
      </c>
      <c r="M1733" s="8" t="s">
        <v>16</v>
      </c>
      <c r="P1733" s="16" t="s">
        <v>1524</v>
      </c>
      <c r="Q1733" s="2" t="s">
        <v>43</v>
      </c>
      <c r="S1733" s="8" t="s">
        <v>2153</v>
      </c>
      <c r="T1733" s="9" t="s">
        <v>2222</v>
      </c>
      <c r="U1733" s="8">
        <v>0</v>
      </c>
      <c r="V1733" s="20">
        <v>36</v>
      </c>
      <c r="W1733" s="21" t="s">
        <v>38</v>
      </c>
    </row>
    <row r="1734" spans="1:23" ht="75">
      <c r="A1734" s="8" t="s">
        <v>3855</v>
      </c>
      <c r="B1734" s="8" t="s">
        <v>1761</v>
      </c>
      <c r="C1734" s="8" t="s">
        <v>2203</v>
      </c>
      <c r="D1734" s="8" t="s">
        <v>18</v>
      </c>
      <c r="E1734" s="8" t="s">
        <v>16</v>
      </c>
      <c r="F1734" s="8" t="s">
        <v>2204</v>
      </c>
      <c r="G1734" s="8" t="s">
        <v>3856</v>
      </c>
      <c r="H1734" s="8">
        <v>17880</v>
      </c>
      <c r="I1734" s="8">
        <v>3700</v>
      </c>
      <c r="J1734" s="8" t="s">
        <v>1764</v>
      </c>
      <c r="K1734" s="9">
        <v>45020</v>
      </c>
      <c r="L1734" s="9">
        <v>45809</v>
      </c>
      <c r="M1734" s="8" t="s">
        <v>16</v>
      </c>
      <c r="P1734" s="16" t="s">
        <v>1525</v>
      </c>
      <c r="Q1734" s="2" t="s">
        <v>151</v>
      </c>
      <c r="S1734" s="8" t="s">
        <v>2154</v>
      </c>
      <c r="T1734" s="9">
        <v>46874</v>
      </c>
      <c r="U1734" s="8">
        <v>0</v>
      </c>
      <c r="V1734" s="20">
        <v>15</v>
      </c>
      <c r="W1734" s="21" t="s">
        <v>16</v>
      </c>
    </row>
    <row r="1735" spans="1:23" ht="75">
      <c r="A1735" s="8" t="s">
        <v>3855</v>
      </c>
      <c r="B1735" s="8" t="s">
        <v>1761</v>
      </c>
      <c r="C1735" s="8" t="s">
        <v>2203</v>
      </c>
      <c r="D1735" s="8" t="s">
        <v>18</v>
      </c>
      <c r="E1735" s="8" t="s">
        <v>16</v>
      </c>
      <c r="F1735" s="8" t="s">
        <v>2204</v>
      </c>
      <c r="G1735" s="8" t="s">
        <v>3856</v>
      </c>
      <c r="H1735" s="8">
        <v>17880</v>
      </c>
      <c r="I1735" s="8">
        <v>4800</v>
      </c>
      <c r="J1735" s="8" t="s">
        <v>1765</v>
      </c>
      <c r="K1735" s="9">
        <v>45055</v>
      </c>
      <c r="L1735" s="9">
        <v>46023</v>
      </c>
      <c r="M1735" s="8" t="s">
        <v>16</v>
      </c>
      <c r="P1735" s="17" t="s">
        <v>1526</v>
      </c>
      <c r="Q1735" s="2" t="s">
        <v>16</v>
      </c>
      <c r="S1735" s="8" t="s">
        <v>2154</v>
      </c>
      <c r="T1735" s="9">
        <v>47209</v>
      </c>
      <c r="U1735" s="8">
        <v>0</v>
      </c>
      <c r="V1735" s="20">
        <v>800</v>
      </c>
      <c r="W1735" s="21" t="s">
        <v>16</v>
      </c>
    </row>
    <row r="1736" spans="1:23" ht="75">
      <c r="A1736" s="8" t="s">
        <v>3855</v>
      </c>
      <c r="B1736" s="8" t="s">
        <v>1761</v>
      </c>
      <c r="C1736" s="8" t="s">
        <v>2203</v>
      </c>
      <c r="D1736" s="8" t="s">
        <v>18</v>
      </c>
      <c r="E1736" s="8" t="s">
        <v>16</v>
      </c>
      <c r="F1736" s="8" t="s">
        <v>2204</v>
      </c>
      <c r="G1736" s="8" t="s">
        <v>3856</v>
      </c>
      <c r="H1736" s="8">
        <v>17880</v>
      </c>
      <c r="I1736" s="8">
        <v>6500</v>
      </c>
      <c r="J1736" s="8" t="s">
        <v>1766</v>
      </c>
      <c r="K1736" s="9">
        <v>45055</v>
      </c>
      <c r="L1736" s="9">
        <v>46023</v>
      </c>
      <c r="M1736" s="8" t="s">
        <v>16</v>
      </c>
      <c r="P1736" s="16" t="s">
        <v>1528</v>
      </c>
      <c r="Q1736" s="2" t="s">
        <v>16</v>
      </c>
      <c r="S1736" s="8" t="s">
        <v>2154</v>
      </c>
      <c r="T1736" s="9">
        <v>46813</v>
      </c>
      <c r="U1736" s="8">
        <v>0</v>
      </c>
      <c r="V1736" s="20">
        <v>80</v>
      </c>
      <c r="W1736" s="21" t="s">
        <v>16</v>
      </c>
    </row>
    <row r="1737" spans="1:23" ht="75">
      <c r="A1737" s="8" t="s">
        <v>3857</v>
      </c>
      <c r="B1737" s="8" t="s">
        <v>1767</v>
      </c>
      <c r="C1737" s="8" t="s">
        <v>2203</v>
      </c>
      <c r="D1737" s="8" t="s">
        <v>18</v>
      </c>
      <c r="E1737" s="8" t="s">
        <v>16</v>
      </c>
      <c r="F1737" s="8" t="s">
        <v>2204</v>
      </c>
      <c r="G1737" s="8" t="s">
        <v>3856</v>
      </c>
      <c r="H1737" s="8">
        <v>2708</v>
      </c>
      <c r="I1737" s="8">
        <v>108</v>
      </c>
      <c r="J1737" s="8" t="s">
        <v>1768</v>
      </c>
      <c r="K1737" s="9">
        <v>44992</v>
      </c>
      <c r="L1737" s="9">
        <v>45778</v>
      </c>
      <c r="M1737" s="8" t="s">
        <v>16</v>
      </c>
      <c r="P1737" s="16" t="s">
        <v>1528</v>
      </c>
      <c r="Q1737" s="2" t="s">
        <v>16</v>
      </c>
      <c r="S1737" s="8" t="s">
        <v>2154</v>
      </c>
      <c r="T1737" s="9">
        <v>47150</v>
      </c>
      <c r="U1737" s="8">
        <v>0</v>
      </c>
      <c r="V1737" s="20">
        <v>192</v>
      </c>
      <c r="W1737" s="21" t="s">
        <v>16</v>
      </c>
    </row>
    <row r="1738" spans="1:23" ht="75">
      <c r="A1738" s="8" t="s">
        <v>3857</v>
      </c>
      <c r="B1738" s="8" t="s">
        <v>1767</v>
      </c>
      <c r="C1738" s="8" t="s">
        <v>2203</v>
      </c>
      <c r="D1738" s="8" t="s">
        <v>15</v>
      </c>
      <c r="E1738" s="8" t="s">
        <v>16</v>
      </c>
      <c r="F1738" s="8" t="s">
        <v>2204</v>
      </c>
      <c r="G1738" s="8" t="s">
        <v>3856</v>
      </c>
      <c r="H1738" s="8">
        <v>200</v>
      </c>
      <c r="I1738" s="8">
        <v>200</v>
      </c>
      <c r="J1738" s="8" t="s">
        <v>1769</v>
      </c>
      <c r="K1738" s="9">
        <v>45419</v>
      </c>
      <c r="L1738" s="9">
        <v>46266</v>
      </c>
      <c r="M1738" s="8" t="s">
        <v>16</v>
      </c>
      <c r="P1738" s="16" t="s">
        <v>1528</v>
      </c>
      <c r="Q1738" s="2" t="s">
        <v>16</v>
      </c>
      <c r="S1738" s="8" t="s">
        <v>2155</v>
      </c>
      <c r="T1738" s="9">
        <v>47209</v>
      </c>
      <c r="U1738" s="8">
        <v>0</v>
      </c>
      <c r="V1738" s="20">
        <v>20</v>
      </c>
      <c r="W1738" s="21" t="s">
        <v>16</v>
      </c>
    </row>
    <row r="1739" spans="1:23" ht="75">
      <c r="A1739" s="8" t="s">
        <v>3857</v>
      </c>
      <c r="B1739" s="8" t="s">
        <v>1767</v>
      </c>
      <c r="C1739" s="8" t="s">
        <v>2203</v>
      </c>
      <c r="D1739" s="8" t="s">
        <v>18</v>
      </c>
      <c r="E1739" s="8" t="s">
        <v>16</v>
      </c>
      <c r="F1739" s="8" t="s">
        <v>2204</v>
      </c>
      <c r="G1739" s="8" t="s">
        <v>3856</v>
      </c>
      <c r="H1739" s="8">
        <v>2708</v>
      </c>
      <c r="I1739" s="8">
        <v>1040</v>
      </c>
      <c r="J1739" s="8" t="s">
        <v>1770</v>
      </c>
      <c r="K1739" s="9">
        <v>45299</v>
      </c>
      <c r="L1739" s="9">
        <v>46143</v>
      </c>
      <c r="M1739" s="8" t="s">
        <v>16</v>
      </c>
      <c r="P1739" s="16" t="s">
        <v>1528</v>
      </c>
      <c r="Q1739" s="2" t="s">
        <v>16</v>
      </c>
      <c r="S1739" s="8" t="s">
        <v>2155</v>
      </c>
      <c r="T1739" s="9">
        <v>47178</v>
      </c>
      <c r="U1739" s="8">
        <v>0</v>
      </c>
      <c r="V1739" s="20">
        <v>380</v>
      </c>
      <c r="W1739" s="21" t="s">
        <v>16</v>
      </c>
    </row>
    <row r="1740" spans="1:23" ht="75">
      <c r="A1740" s="8" t="s">
        <v>3857</v>
      </c>
      <c r="B1740" s="8" t="s">
        <v>1767</v>
      </c>
      <c r="C1740" s="8" t="s">
        <v>2203</v>
      </c>
      <c r="D1740" s="8" t="s">
        <v>18</v>
      </c>
      <c r="E1740" s="8" t="s">
        <v>16</v>
      </c>
      <c r="F1740" s="8" t="s">
        <v>2204</v>
      </c>
      <c r="G1740" s="8" t="s">
        <v>3856</v>
      </c>
      <c r="H1740" s="8">
        <v>2708</v>
      </c>
      <c r="I1740" s="8">
        <v>1560</v>
      </c>
      <c r="J1740" s="8" t="s">
        <v>1769</v>
      </c>
      <c r="K1740" s="9">
        <v>45419</v>
      </c>
      <c r="L1740" s="9">
        <v>46266</v>
      </c>
      <c r="M1740" s="8" t="s">
        <v>16</v>
      </c>
      <c r="P1740" s="16" t="s">
        <v>1529</v>
      </c>
      <c r="Q1740" s="2" t="s">
        <v>16</v>
      </c>
      <c r="S1740" s="8" t="s">
        <v>2156</v>
      </c>
      <c r="T1740" s="9">
        <v>47178</v>
      </c>
      <c r="U1740" s="8">
        <v>0</v>
      </c>
      <c r="V1740" s="20">
        <v>872</v>
      </c>
      <c r="W1740" s="21" t="s">
        <v>16</v>
      </c>
    </row>
    <row r="1741" spans="1:23" ht="75">
      <c r="A1741" s="8" t="s">
        <v>3858</v>
      </c>
      <c r="B1741" s="8" t="s">
        <v>1771</v>
      </c>
      <c r="C1741" s="8" t="s">
        <v>2203</v>
      </c>
      <c r="D1741" s="8" t="s">
        <v>18</v>
      </c>
      <c r="E1741" s="8" t="s">
        <v>16</v>
      </c>
      <c r="F1741" s="8" t="s">
        <v>2204</v>
      </c>
      <c r="G1741" s="8" t="s">
        <v>3856</v>
      </c>
      <c r="H1741" s="8">
        <v>8333</v>
      </c>
      <c r="I1741" s="8">
        <v>995</v>
      </c>
      <c r="J1741" s="8" t="s">
        <v>1772</v>
      </c>
      <c r="K1741" s="9">
        <v>45055</v>
      </c>
      <c r="L1741" s="9">
        <v>46023</v>
      </c>
      <c r="M1741" s="8" t="s">
        <v>16</v>
      </c>
      <c r="P1741" s="16" t="s">
        <v>1529</v>
      </c>
      <c r="Q1741" s="2" t="s">
        <v>16</v>
      </c>
      <c r="S1741" s="8" t="s">
        <v>2156</v>
      </c>
      <c r="T1741" s="9">
        <v>47209</v>
      </c>
      <c r="U1741" s="8">
        <v>0</v>
      </c>
      <c r="V1741" s="20">
        <v>1350</v>
      </c>
      <c r="W1741" s="21" t="s">
        <v>16</v>
      </c>
    </row>
    <row r="1742" spans="1:23" ht="75">
      <c r="A1742" s="8" t="s">
        <v>3858</v>
      </c>
      <c r="B1742" s="8" t="s">
        <v>1771</v>
      </c>
      <c r="C1742" s="8" t="s">
        <v>2203</v>
      </c>
      <c r="D1742" s="8" t="s">
        <v>18</v>
      </c>
      <c r="E1742" s="8" t="s">
        <v>16</v>
      </c>
      <c r="F1742" s="8" t="s">
        <v>2204</v>
      </c>
      <c r="G1742" s="8" t="s">
        <v>3856</v>
      </c>
      <c r="H1742" s="8">
        <v>8333</v>
      </c>
      <c r="I1742" s="8">
        <v>1338</v>
      </c>
      <c r="J1742" s="8" t="s">
        <v>1773</v>
      </c>
      <c r="K1742" s="9">
        <v>45111</v>
      </c>
      <c r="L1742" s="9">
        <v>46023</v>
      </c>
      <c r="M1742" s="8" t="s">
        <v>16</v>
      </c>
      <c r="P1742" s="16" t="s">
        <v>1529</v>
      </c>
      <c r="Q1742" s="2" t="s">
        <v>16</v>
      </c>
      <c r="S1742" s="8" t="s">
        <v>2157</v>
      </c>
      <c r="T1742" s="9" t="s">
        <v>2222</v>
      </c>
      <c r="U1742" s="8">
        <v>0</v>
      </c>
      <c r="V1742" s="20">
        <v>5</v>
      </c>
      <c r="W1742" s="21" t="s">
        <v>41</v>
      </c>
    </row>
    <row r="1743" spans="1:23" ht="75">
      <c r="A1743" s="8" t="s">
        <v>3858</v>
      </c>
      <c r="B1743" s="8" t="s">
        <v>1771</v>
      </c>
      <c r="C1743" s="8" t="s">
        <v>2203</v>
      </c>
      <c r="D1743" s="8" t="s">
        <v>18</v>
      </c>
      <c r="E1743" s="8" t="s">
        <v>16</v>
      </c>
      <c r="F1743" s="8" t="s">
        <v>2204</v>
      </c>
      <c r="G1743" s="8" t="s">
        <v>3856</v>
      </c>
      <c r="H1743" s="8">
        <v>8333</v>
      </c>
      <c r="I1743" s="8">
        <v>6000</v>
      </c>
      <c r="J1743" s="8" t="s">
        <v>1774</v>
      </c>
      <c r="K1743" s="9">
        <v>45411</v>
      </c>
      <c r="L1743" s="9">
        <v>46266</v>
      </c>
      <c r="M1743" s="8" t="s">
        <v>16</v>
      </c>
      <c r="P1743" s="16" t="s">
        <v>1529</v>
      </c>
      <c r="Q1743" s="2" t="s">
        <v>16</v>
      </c>
      <c r="S1743" s="8" t="s">
        <v>2158</v>
      </c>
      <c r="T1743" s="9">
        <v>46997</v>
      </c>
      <c r="U1743" s="8">
        <v>0</v>
      </c>
      <c r="V1743" s="20">
        <v>2380</v>
      </c>
      <c r="W1743" s="21" t="s">
        <v>16</v>
      </c>
    </row>
    <row r="1744" spans="1:23" ht="45">
      <c r="A1744" s="8" t="s">
        <v>3859</v>
      </c>
      <c r="B1744" s="8" t="s">
        <v>1775</v>
      </c>
      <c r="C1744" s="8" t="s">
        <v>2221</v>
      </c>
      <c r="D1744" s="8" t="s">
        <v>18</v>
      </c>
      <c r="E1744" s="8" t="s">
        <v>101</v>
      </c>
      <c r="F1744" s="8" t="s">
        <v>101</v>
      </c>
      <c r="G1744" s="8" t="s">
        <v>1775</v>
      </c>
      <c r="H1744" s="8">
        <v>40</v>
      </c>
      <c r="I1744" s="8">
        <v>40</v>
      </c>
      <c r="J1744" s="8">
        <v>0</v>
      </c>
      <c r="K1744" s="8" t="s">
        <v>2222</v>
      </c>
      <c r="L1744" s="8" t="s">
        <v>2222</v>
      </c>
      <c r="M1744" s="8" t="s">
        <v>41</v>
      </c>
      <c r="P1744" s="16" t="s">
        <v>1530</v>
      </c>
      <c r="Q1744" s="2" t="s">
        <v>16</v>
      </c>
      <c r="S1744" s="8" t="s">
        <v>2159</v>
      </c>
      <c r="T1744" s="9">
        <v>46357</v>
      </c>
      <c r="U1744" s="8">
        <v>0</v>
      </c>
      <c r="V1744" s="20">
        <v>15</v>
      </c>
      <c r="W1744" s="21" t="s">
        <v>16</v>
      </c>
    </row>
    <row r="1745" spans="1:23" ht="45">
      <c r="A1745" s="8" t="s">
        <v>3860</v>
      </c>
      <c r="B1745" s="8" t="s">
        <v>1776</v>
      </c>
      <c r="C1745" s="8" t="s">
        <v>2221</v>
      </c>
      <c r="D1745" s="8" t="s">
        <v>18</v>
      </c>
      <c r="E1745" s="8" t="s">
        <v>101</v>
      </c>
      <c r="F1745" s="8" t="s">
        <v>3861</v>
      </c>
      <c r="G1745" s="8" t="s">
        <v>2217</v>
      </c>
      <c r="H1745" s="8">
        <v>6422</v>
      </c>
      <c r="I1745" s="8">
        <v>6422</v>
      </c>
      <c r="J1745" s="8">
        <v>0</v>
      </c>
      <c r="K1745" s="9">
        <v>44145</v>
      </c>
      <c r="L1745" s="8" t="s">
        <v>2222</v>
      </c>
      <c r="M1745" s="8" t="s">
        <v>41</v>
      </c>
      <c r="P1745" s="16" t="s">
        <v>1530</v>
      </c>
      <c r="Q1745" s="2" t="s">
        <v>16</v>
      </c>
      <c r="S1745" s="8" t="s">
        <v>2159</v>
      </c>
      <c r="T1745" s="9">
        <v>46997</v>
      </c>
      <c r="U1745" s="8">
        <v>0</v>
      </c>
      <c r="V1745" s="20">
        <v>1400</v>
      </c>
      <c r="W1745" s="21" t="s">
        <v>16</v>
      </c>
    </row>
    <row r="1746" spans="1:23" ht="75">
      <c r="A1746" s="8" t="s">
        <v>3862</v>
      </c>
      <c r="B1746" s="8" t="s">
        <v>1777</v>
      </c>
      <c r="C1746" s="8" t="s">
        <v>2221</v>
      </c>
      <c r="D1746" s="8" t="s">
        <v>18</v>
      </c>
      <c r="E1746" s="8" t="s">
        <v>101</v>
      </c>
      <c r="F1746" s="8" t="s">
        <v>3861</v>
      </c>
      <c r="G1746" s="8" t="s">
        <v>2217</v>
      </c>
      <c r="H1746" s="8">
        <v>90</v>
      </c>
      <c r="I1746" s="8">
        <v>90</v>
      </c>
      <c r="J1746" s="8">
        <v>1</v>
      </c>
      <c r="K1746" s="9">
        <v>44600</v>
      </c>
      <c r="L1746" s="8" t="s">
        <v>2222</v>
      </c>
      <c r="M1746" s="8" t="s">
        <v>41</v>
      </c>
      <c r="P1746" s="16" t="s">
        <v>1530</v>
      </c>
      <c r="Q1746" s="2" t="s">
        <v>16</v>
      </c>
      <c r="S1746" s="8" t="s">
        <v>2160</v>
      </c>
      <c r="T1746" s="9">
        <v>46143</v>
      </c>
      <c r="U1746" s="8">
        <v>0</v>
      </c>
      <c r="V1746" s="20">
        <v>593</v>
      </c>
      <c r="W1746" s="21" t="s">
        <v>16</v>
      </c>
    </row>
    <row r="1747" spans="1:23" ht="75">
      <c r="A1747" s="8" t="s">
        <v>3863</v>
      </c>
      <c r="B1747" s="8" t="s">
        <v>1778</v>
      </c>
      <c r="C1747" s="8" t="s">
        <v>2221</v>
      </c>
      <c r="D1747" s="8" t="s">
        <v>18</v>
      </c>
      <c r="E1747" s="8" t="s">
        <v>101</v>
      </c>
      <c r="F1747" s="8" t="s">
        <v>3861</v>
      </c>
      <c r="G1747" s="8" t="s">
        <v>2217</v>
      </c>
      <c r="H1747" s="8">
        <v>95</v>
      </c>
      <c r="I1747" s="8">
        <v>95</v>
      </c>
      <c r="J1747" s="8">
        <v>0</v>
      </c>
      <c r="K1747" s="9">
        <v>44145</v>
      </c>
      <c r="L1747" s="8" t="s">
        <v>2222</v>
      </c>
      <c r="M1747" s="8" t="s">
        <v>41</v>
      </c>
      <c r="P1747" s="16" t="s">
        <v>1530</v>
      </c>
      <c r="Q1747" s="2" t="s">
        <v>16</v>
      </c>
      <c r="S1747" s="8" t="s">
        <v>2161</v>
      </c>
      <c r="T1747" s="9">
        <v>46478</v>
      </c>
      <c r="U1747" s="8">
        <v>0</v>
      </c>
      <c r="V1747" s="20">
        <v>720</v>
      </c>
      <c r="W1747" s="21" t="s">
        <v>16</v>
      </c>
    </row>
    <row r="1748" spans="1:23" ht="60">
      <c r="A1748" s="8" t="s">
        <v>3864</v>
      </c>
      <c r="B1748" s="8" t="s">
        <v>1779</v>
      </c>
      <c r="C1748" s="8" t="s">
        <v>2197</v>
      </c>
      <c r="D1748" s="8" t="s">
        <v>18</v>
      </c>
      <c r="E1748" s="8" t="s">
        <v>16</v>
      </c>
      <c r="F1748" s="8" t="s">
        <v>2204</v>
      </c>
      <c r="G1748" s="8" t="s">
        <v>3865</v>
      </c>
      <c r="H1748" s="8">
        <v>1480</v>
      </c>
      <c r="I1748" s="8">
        <v>480</v>
      </c>
      <c r="J1748" s="8" t="s">
        <v>1780</v>
      </c>
      <c r="K1748" s="9">
        <v>45226</v>
      </c>
      <c r="L1748" s="9">
        <v>46966</v>
      </c>
      <c r="M1748" s="8" t="s">
        <v>16</v>
      </c>
      <c r="P1748" s="16" t="s">
        <v>1530</v>
      </c>
      <c r="Q1748" s="2" t="s">
        <v>16</v>
      </c>
      <c r="S1748" s="8" t="s">
        <v>2161</v>
      </c>
      <c r="T1748" s="9">
        <v>46388</v>
      </c>
      <c r="U1748" s="8">
        <v>0</v>
      </c>
      <c r="V1748" s="20">
        <v>3165</v>
      </c>
      <c r="W1748" s="21" t="s">
        <v>16</v>
      </c>
    </row>
    <row r="1749" spans="1:23" ht="60">
      <c r="A1749" s="8" t="s">
        <v>3864</v>
      </c>
      <c r="B1749" s="8" t="s">
        <v>1779</v>
      </c>
      <c r="C1749" s="8" t="s">
        <v>2197</v>
      </c>
      <c r="D1749" s="8" t="s">
        <v>18</v>
      </c>
      <c r="E1749" s="8" t="s">
        <v>16</v>
      </c>
      <c r="F1749" s="8" t="s">
        <v>2204</v>
      </c>
      <c r="G1749" s="8" t="s">
        <v>3865</v>
      </c>
      <c r="H1749" s="8">
        <v>1480</v>
      </c>
      <c r="I1749" s="8">
        <v>1000</v>
      </c>
      <c r="J1749" s="8" t="s">
        <v>1781</v>
      </c>
      <c r="K1749" s="9">
        <v>45433</v>
      </c>
      <c r="L1749" s="9">
        <v>47150</v>
      </c>
      <c r="M1749" s="8" t="s">
        <v>16</v>
      </c>
      <c r="P1749" s="16" t="s">
        <v>1531</v>
      </c>
      <c r="Q1749" s="2" t="s">
        <v>16</v>
      </c>
      <c r="S1749" s="8" t="s">
        <v>2162</v>
      </c>
      <c r="T1749" s="9">
        <v>46569</v>
      </c>
      <c r="U1749" s="8">
        <v>0</v>
      </c>
      <c r="V1749" s="20">
        <v>440</v>
      </c>
      <c r="W1749" s="21" t="s">
        <v>16</v>
      </c>
    </row>
    <row r="1750" spans="1:23" ht="45">
      <c r="A1750" s="8" t="s">
        <v>3866</v>
      </c>
      <c r="B1750" s="8" t="s">
        <v>1782</v>
      </c>
      <c r="C1750" s="8" t="s">
        <v>2221</v>
      </c>
      <c r="D1750" s="8" t="s">
        <v>18</v>
      </c>
      <c r="E1750" s="8" t="s">
        <v>16</v>
      </c>
      <c r="F1750" s="8" t="s">
        <v>2204</v>
      </c>
      <c r="G1750" s="8" t="s">
        <v>3865</v>
      </c>
      <c r="H1750" s="8">
        <v>415</v>
      </c>
      <c r="I1750" s="8">
        <v>415</v>
      </c>
      <c r="J1750" s="8" t="s">
        <v>1780</v>
      </c>
      <c r="K1750" s="9">
        <v>45226</v>
      </c>
      <c r="L1750" s="9">
        <v>46966</v>
      </c>
      <c r="M1750" s="8" t="s">
        <v>16</v>
      </c>
      <c r="P1750" s="16" t="s">
        <v>1531</v>
      </c>
      <c r="Q1750" s="2" t="s">
        <v>16</v>
      </c>
      <c r="S1750" s="8" t="s">
        <v>2162</v>
      </c>
      <c r="T1750" s="9">
        <v>46813</v>
      </c>
      <c r="U1750" s="8">
        <v>0</v>
      </c>
      <c r="V1750" s="20">
        <v>2000</v>
      </c>
      <c r="W1750" s="21" t="s">
        <v>16</v>
      </c>
    </row>
    <row r="1751" spans="1:23" ht="45">
      <c r="A1751" s="8" t="s">
        <v>3867</v>
      </c>
      <c r="B1751" s="8" t="s">
        <v>1783</v>
      </c>
      <c r="C1751" s="8" t="s">
        <v>2197</v>
      </c>
      <c r="D1751" s="8" t="s">
        <v>18</v>
      </c>
      <c r="E1751" s="8" t="s">
        <v>16</v>
      </c>
      <c r="F1751" s="8" t="s">
        <v>2425</v>
      </c>
      <c r="G1751" s="8" t="s">
        <v>3868</v>
      </c>
      <c r="H1751" s="8">
        <v>1842</v>
      </c>
      <c r="I1751" s="8">
        <v>2</v>
      </c>
      <c r="J1751" s="10">
        <v>202000000000</v>
      </c>
      <c r="K1751" s="9">
        <v>45363</v>
      </c>
      <c r="L1751" s="9">
        <v>47027</v>
      </c>
      <c r="M1751" s="8" t="s">
        <v>16</v>
      </c>
      <c r="P1751" s="16" t="s">
        <v>1532</v>
      </c>
      <c r="Q1751" s="2" t="s">
        <v>16</v>
      </c>
      <c r="S1751" s="8" t="s">
        <v>2162</v>
      </c>
      <c r="T1751" s="9">
        <v>46722</v>
      </c>
      <c r="U1751" s="8">
        <v>0</v>
      </c>
      <c r="V1751" s="20">
        <v>33500</v>
      </c>
      <c r="W1751" s="21" t="s">
        <v>16</v>
      </c>
    </row>
    <row r="1752" spans="1:23" ht="45">
      <c r="A1752" s="8" t="s">
        <v>3867</v>
      </c>
      <c r="B1752" s="8" t="s">
        <v>1783</v>
      </c>
      <c r="C1752" s="8" t="s">
        <v>2197</v>
      </c>
      <c r="D1752" s="8" t="s">
        <v>18</v>
      </c>
      <c r="E1752" s="8" t="s">
        <v>16</v>
      </c>
      <c r="F1752" s="8" t="s">
        <v>2425</v>
      </c>
      <c r="G1752" s="8" t="s">
        <v>3868</v>
      </c>
      <c r="H1752" s="8">
        <v>1842</v>
      </c>
      <c r="I1752" s="8">
        <v>440</v>
      </c>
      <c r="J1752" s="10">
        <v>202000000000</v>
      </c>
      <c r="K1752" s="9">
        <v>45363</v>
      </c>
      <c r="L1752" s="9">
        <v>47058</v>
      </c>
      <c r="M1752" s="8" t="s">
        <v>16</v>
      </c>
      <c r="P1752" s="16" t="s">
        <v>1532</v>
      </c>
      <c r="Q1752" s="2" t="s">
        <v>16</v>
      </c>
      <c r="S1752" s="8" t="s">
        <v>2166</v>
      </c>
      <c r="T1752" s="9">
        <v>46508</v>
      </c>
      <c r="U1752" s="8">
        <v>0</v>
      </c>
      <c r="V1752" s="20">
        <v>112</v>
      </c>
      <c r="W1752" s="21" t="s">
        <v>151</v>
      </c>
    </row>
    <row r="1753" spans="1:23" ht="45">
      <c r="A1753" s="8" t="s">
        <v>3867</v>
      </c>
      <c r="B1753" s="8" t="s">
        <v>1783</v>
      </c>
      <c r="C1753" s="8" t="s">
        <v>2197</v>
      </c>
      <c r="D1753" s="8" t="s">
        <v>18</v>
      </c>
      <c r="E1753" s="8" t="s">
        <v>16</v>
      </c>
      <c r="F1753" s="8" t="s">
        <v>2425</v>
      </c>
      <c r="G1753" s="8" t="s">
        <v>3868</v>
      </c>
      <c r="H1753" s="8">
        <v>1842</v>
      </c>
      <c r="I1753" s="8">
        <v>1400</v>
      </c>
      <c r="J1753" s="8">
        <v>20238283009</v>
      </c>
      <c r="K1753" s="9">
        <v>45447</v>
      </c>
      <c r="L1753" s="9">
        <v>47239</v>
      </c>
      <c r="M1753" s="8" t="s">
        <v>16</v>
      </c>
      <c r="P1753" s="16" t="s">
        <v>1532</v>
      </c>
      <c r="Q1753" s="2" t="s">
        <v>16</v>
      </c>
      <c r="S1753" s="8" t="s">
        <v>2167</v>
      </c>
      <c r="T1753" s="9">
        <v>46508</v>
      </c>
      <c r="U1753" s="8">
        <v>0</v>
      </c>
      <c r="V1753" s="20">
        <v>45</v>
      </c>
      <c r="W1753" s="21" t="s">
        <v>151</v>
      </c>
    </row>
    <row r="1754" spans="1:23" ht="45">
      <c r="A1754" s="8" t="s">
        <v>3869</v>
      </c>
      <c r="B1754" s="8" t="s">
        <v>1784</v>
      </c>
      <c r="C1754" s="8" t="s">
        <v>2197</v>
      </c>
      <c r="D1754" s="8" t="s">
        <v>18</v>
      </c>
      <c r="E1754" s="8" t="s">
        <v>16</v>
      </c>
      <c r="F1754" s="8" t="s">
        <v>2425</v>
      </c>
      <c r="G1754" s="8" t="s">
        <v>3868</v>
      </c>
      <c r="H1754" s="8">
        <v>1198</v>
      </c>
      <c r="I1754" s="8">
        <v>348</v>
      </c>
      <c r="J1754" s="10">
        <v>202000000000</v>
      </c>
      <c r="K1754" s="9">
        <v>45187</v>
      </c>
      <c r="L1754" s="9">
        <v>46997</v>
      </c>
      <c r="M1754" s="8" t="s">
        <v>16</v>
      </c>
      <c r="P1754" s="16" t="s">
        <v>1532</v>
      </c>
      <c r="Q1754" s="2" t="s">
        <v>16</v>
      </c>
      <c r="S1754" s="8" t="s">
        <v>2168</v>
      </c>
      <c r="T1754" s="9">
        <v>46935</v>
      </c>
      <c r="U1754" s="8">
        <v>0</v>
      </c>
      <c r="V1754" s="20">
        <v>433</v>
      </c>
      <c r="W1754" s="21" t="s">
        <v>151</v>
      </c>
    </row>
    <row r="1755" spans="1:23" ht="60">
      <c r="A1755" s="8" t="s">
        <v>3869</v>
      </c>
      <c r="B1755" s="8" t="s">
        <v>1784</v>
      </c>
      <c r="C1755" s="8" t="s">
        <v>2197</v>
      </c>
      <c r="D1755" s="8" t="s">
        <v>18</v>
      </c>
      <c r="E1755" s="8" t="s">
        <v>16</v>
      </c>
      <c r="F1755" s="8" t="s">
        <v>2425</v>
      </c>
      <c r="G1755" s="8" t="s">
        <v>3868</v>
      </c>
      <c r="H1755" s="8">
        <v>1198</v>
      </c>
      <c r="I1755" s="8">
        <v>850</v>
      </c>
      <c r="J1755" s="10">
        <v>202000000000</v>
      </c>
      <c r="K1755" s="9">
        <v>45363</v>
      </c>
      <c r="L1755" s="9">
        <v>47058</v>
      </c>
      <c r="M1755" s="8" t="s">
        <v>16</v>
      </c>
      <c r="P1755" s="16" t="s">
        <v>1532</v>
      </c>
      <c r="Q1755" s="2" t="s">
        <v>16</v>
      </c>
      <c r="S1755" s="8" t="s">
        <v>2169</v>
      </c>
      <c r="T1755" s="9">
        <v>46296</v>
      </c>
      <c r="U1755" s="8">
        <v>0</v>
      </c>
      <c r="V1755" s="20">
        <v>264</v>
      </c>
      <c r="W1755" s="21" t="s">
        <v>16</v>
      </c>
    </row>
    <row r="1756" spans="1:23" ht="60">
      <c r="A1756" s="8" t="s">
        <v>3870</v>
      </c>
      <c r="B1756" s="8" t="s">
        <v>1785</v>
      </c>
      <c r="C1756" s="8" t="s">
        <v>2197</v>
      </c>
      <c r="D1756" s="8" t="s">
        <v>18</v>
      </c>
      <c r="E1756" s="8" t="s">
        <v>16</v>
      </c>
      <c r="F1756" s="8" t="s">
        <v>2228</v>
      </c>
      <c r="G1756" s="8" t="s">
        <v>3871</v>
      </c>
      <c r="H1756" s="8">
        <v>2428</v>
      </c>
      <c r="I1756" s="8">
        <v>8</v>
      </c>
      <c r="J1756" s="8" t="s">
        <v>1786</v>
      </c>
      <c r="K1756" s="9">
        <v>45150</v>
      </c>
      <c r="L1756" s="9">
        <v>46935</v>
      </c>
      <c r="M1756" s="8" t="s">
        <v>16</v>
      </c>
      <c r="P1756" s="16" t="s">
        <v>1533</v>
      </c>
      <c r="Q1756" s="2" t="s">
        <v>16</v>
      </c>
      <c r="S1756" s="8" t="s">
        <v>2170</v>
      </c>
      <c r="T1756" s="9">
        <v>45931</v>
      </c>
      <c r="U1756" s="8">
        <v>0</v>
      </c>
      <c r="V1756" s="20">
        <v>40</v>
      </c>
      <c r="W1756" s="21" t="s">
        <v>16</v>
      </c>
    </row>
    <row r="1757" spans="1:23" ht="75">
      <c r="A1757" s="8" t="s">
        <v>3870</v>
      </c>
      <c r="B1757" s="8" t="s">
        <v>1785</v>
      </c>
      <c r="C1757" s="8" t="s">
        <v>2197</v>
      </c>
      <c r="D1757" s="8" t="s">
        <v>18</v>
      </c>
      <c r="E1757" s="8" t="s">
        <v>16</v>
      </c>
      <c r="F1757" s="8" t="s">
        <v>2228</v>
      </c>
      <c r="G1757" s="8" t="s">
        <v>3871</v>
      </c>
      <c r="H1757" s="8">
        <v>2428</v>
      </c>
      <c r="I1757" s="8">
        <v>2420</v>
      </c>
      <c r="J1757" s="8" t="s">
        <v>1787</v>
      </c>
      <c r="K1757" s="9">
        <v>45283</v>
      </c>
      <c r="L1757" s="9">
        <v>47088</v>
      </c>
      <c r="M1757" s="8" t="s">
        <v>16</v>
      </c>
      <c r="P1757" s="16" t="s">
        <v>1533</v>
      </c>
      <c r="Q1757" s="2" t="s">
        <v>16</v>
      </c>
      <c r="S1757" s="8" t="s">
        <v>2171</v>
      </c>
      <c r="T1757" s="9">
        <v>45231</v>
      </c>
      <c r="U1757" s="8">
        <v>0</v>
      </c>
      <c r="V1757" s="20">
        <v>103</v>
      </c>
      <c r="W1757" s="21" t="s">
        <v>16</v>
      </c>
    </row>
    <row r="1758" spans="1:23" ht="45">
      <c r="A1758" s="8" t="s">
        <v>3872</v>
      </c>
      <c r="B1758" s="8" t="s">
        <v>1788</v>
      </c>
      <c r="C1758" s="8" t="s">
        <v>2307</v>
      </c>
      <c r="D1758" s="8" t="s">
        <v>18</v>
      </c>
      <c r="E1758" s="8" t="s">
        <v>16</v>
      </c>
      <c r="F1758" s="8" t="s">
        <v>2228</v>
      </c>
      <c r="G1758" s="8" t="s">
        <v>3871</v>
      </c>
      <c r="H1758" s="8">
        <v>160</v>
      </c>
      <c r="I1758" s="8">
        <v>160</v>
      </c>
      <c r="J1758" s="8" t="s">
        <v>1789</v>
      </c>
      <c r="K1758" s="9">
        <v>45240</v>
      </c>
      <c r="L1758" s="9">
        <v>46753</v>
      </c>
      <c r="M1758" s="8" t="s">
        <v>16</v>
      </c>
      <c r="P1758" s="16" t="s">
        <v>1534</v>
      </c>
      <c r="Q1758" s="2" t="s">
        <v>43</v>
      </c>
      <c r="S1758" s="8" t="s">
        <v>2173</v>
      </c>
      <c r="T1758" s="9">
        <v>47119</v>
      </c>
      <c r="U1758" s="8">
        <v>0</v>
      </c>
      <c r="V1758" s="20">
        <v>900</v>
      </c>
      <c r="W1758" s="21" t="s">
        <v>16</v>
      </c>
    </row>
    <row r="1759" spans="1:23" ht="45">
      <c r="A1759" s="8" t="s">
        <v>3873</v>
      </c>
      <c r="B1759" s="8" t="s">
        <v>1790</v>
      </c>
      <c r="C1759" s="8" t="s">
        <v>2197</v>
      </c>
      <c r="D1759" s="8" t="s">
        <v>18</v>
      </c>
      <c r="E1759" s="8" t="s">
        <v>16</v>
      </c>
      <c r="F1759" s="8" t="s">
        <v>2198</v>
      </c>
      <c r="G1759" s="8" t="s">
        <v>3874</v>
      </c>
      <c r="H1759" s="8">
        <v>2199</v>
      </c>
      <c r="I1759" s="8">
        <v>2199</v>
      </c>
      <c r="J1759" s="8">
        <v>81081</v>
      </c>
      <c r="K1759" s="9">
        <v>45419</v>
      </c>
      <c r="L1759" s="9">
        <v>46143</v>
      </c>
      <c r="M1759" s="8" t="s">
        <v>16</v>
      </c>
      <c r="P1759" s="16" t="s">
        <v>1535</v>
      </c>
      <c r="Q1759" s="2" t="s">
        <v>43</v>
      </c>
      <c r="S1759" s="8" t="s">
        <v>2174</v>
      </c>
      <c r="T1759" s="9">
        <v>47088</v>
      </c>
      <c r="U1759" s="8">
        <v>0</v>
      </c>
      <c r="V1759" s="20">
        <v>264</v>
      </c>
      <c r="W1759" s="21" t="s">
        <v>16</v>
      </c>
    </row>
    <row r="1760" spans="1:23" ht="45">
      <c r="A1760" s="8" t="s">
        <v>3875</v>
      </c>
      <c r="B1760" s="8" t="s">
        <v>1791</v>
      </c>
      <c r="C1760" s="8" t="s">
        <v>2197</v>
      </c>
      <c r="D1760" s="8" t="s">
        <v>18</v>
      </c>
      <c r="E1760" s="8" t="s">
        <v>16</v>
      </c>
      <c r="F1760" s="8" t="s">
        <v>2198</v>
      </c>
      <c r="G1760" s="8" t="s">
        <v>3874</v>
      </c>
      <c r="H1760" s="8">
        <v>4412</v>
      </c>
      <c r="I1760" s="8">
        <v>1912</v>
      </c>
      <c r="J1760" s="8">
        <v>81078</v>
      </c>
      <c r="K1760" s="9">
        <v>45303</v>
      </c>
      <c r="L1760" s="9">
        <v>45992</v>
      </c>
      <c r="M1760" s="8" t="s">
        <v>16</v>
      </c>
      <c r="P1760" s="16" t="s">
        <v>1536</v>
      </c>
      <c r="Q1760" s="2" t="s">
        <v>43</v>
      </c>
      <c r="S1760" s="8" t="s">
        <v>2174</v>
      </c>
      <c r="T1760" s="9">
        <v>47178</v>
      </c>
      <c r="U1760" s="8">
        <v>0</v>
      </c>
      <c r="V1760" s="20">
        <v>336</v>
      </c>
      <c r="W1760" s="21" t="s">
        <v>16</v>
      </c>
    </row>
    <row r="1761" spans="1:23" ht="45">
      <c r="A1761" s="8" t="s">
        <v>3875</v>
      </c>
      <c r="B1761" s="8" t="s">
        <v>1791</v>
      </c>
      <c r="C1761" s="8" t="s">
        <v>2197</v>
      </c>
      <c r="D1761" s="8" t="s">
        <v>18</v>
      </c>
      <c r="E1761" s="8" t="s">
        <v>16</v>
      </c>
      <c r="F1761" s="8" t="s">
        <v>2198</v>
      </c>
      <c r="G1761" s="8" t="s">
        <v>3874</v>
      </c>
      <c r="H1761" s="8">
        <v>4412</v>
      </c>
      <c r="I1761" s="8">
        <v>2500</v>
      </c>
      <c r="J1761" s="8">
        <v>81080</v>
      </c>
      <c r="K1761" s="9">
        <v>45363</v>
      </c>
      <c r="L1761" s="9">
        <v>46054</v>
      </c>
      <c r="M1761" s="8" t="s">
        <v>16</v>
      </c>
      <c r="P1761" s="16" t="s">
        <v>1537</v>
      </c>
      <c r="Q1761" s="2" t="s">
        <v>43</v>
      </c>
      <c r="S1761" s="8" t="s">
        <v>2175</v>
      </c>
      <c r="T1761" s="9">
        <v>47088</v>
      </c>
      <c r="U1761" s="8">
        <v>0</v>
      </c>
      <c r="V1761" s="20">
        <v>715</v>
      </c>
      <c r="W1761" s="21" t="s">
        <v>16</v>
      </c>
    </row>
    <row r="1762" spans="1:23" ht="45">
      <c r="A1762" s="8" t="s">
        <v>3876</v>
      </c>
      <c r="B1762" s="8" t="s">
        <v>1792</v>
      </c>
      <c r="C1762" s="8" t="s">
        <v>2197</v>
      </c>
      <c r="D1762" s="8" t="s">
        <v>18</v>
      </c>
      <c r="E1762" s="8" t="s">
        <v>16</v>
      </c>
      <c r="F1762" s="8" t="s">
        <v>2228</v>
      </c>
      <c r="G1762" s="8" t="s">
        <v>3877</v>
      </c>
      <c r="H1762" s="8">
        <v>6168</v>
      </c>
      <c r="I1762" s="8">
        <v>1260</v>
      </c>
      <c r="J1762" s="8">
        <v>405004</v>
      </c>
      <c r="K1762" s="9">
        <v>45436</v>
      </c>
      <c r="L1762" s="9">
        <v>47239</v>
      </c>
      <c r="M1762" s="8" t="s">
        <v>16</v>
      </c>
      <c r="P1762" s="16" t="s">
        <v>1538</v>
      </c>
      <c r="Q1762" s="2" t="s">
        <v>43</v>
      </c>
      <c r="S1762" s="8" t="s">
        <v>2175</v>
      </c>
      <c r="T1762" s="9">
        <v>47178</v>
      </c>
      <c r="U1762" s="8">
        <v>0</v>
      </c>
      <c r="V1762" s="20">
        <v>1200</v>
      </c>
      <c r="W1762" s="21" t="s">
        <v>16</v>
      </c>
    </row>
    <row r="1763" spans="1:23" ht="45">
      <c r="A1763" s="8" t="s">
        <v>3876</v>
      </c>
      <c r="B1763" s="8" t="s">
        <v>1792</v>
      </c>
      <c r="C1763" s="8" t="s">
        <v>2197</v>
      </c>
      <c r="D1763" s="8" t="s">
        <v>15</v>
      </c>
      <c r="E1763" s="8" t="s">
        <v>16</v>
      </c>
      <c r="F1763" s="8" t="s">
        <v>2228</v>
      </c>
      <c r="G1763" s="8" t="s">
        <v>3877</v>
      </c>
      <c r="H1763" s="8">
        <v>3444</v>
      </c>
      <c r="I1763" s="8">
        <v>3444</v>
      </c>
      <c r="J1763" s="8">
        <v>405006</v>
      </c>
      <c r="K1763" s="9">
        <v>45437</v>
      </c>
      <c r="L1763" s="9">
        <v>47239</v>
      </c>
      <c r="M1763" s="8" t="s">
        <v>16</v>
      </c>
      <c r="P1763" s="16" t="s">
        <v>1539</v>
      </c>
      <c r="Q1763" s="2" t="s">
        <v>1540</v>
      </c>
      <c r="S1763" s="8" t="s">
        <v>2176</v>
      </c>
      <c r="T1763" s="9">
        <v>47088</v>
      </c>
      <c r="U1763" s="8">
        <v>0</v>
      </c>
      <c r="V1763" s="20">
        <v>1230</v>
      </c>
      <c r="W1763" s="21" t="s">
        <v>16</v>
      </c>
    </row>
    <row r="1764" spans="1:23" ht="48.75">
      <c r="A1764" s="8" t="s">
        <v>3876</v>
      </c>
      <c r="B1764" s="8" t="s">
        <v>1792</v>
      </c>
      <c r="C1764" s="8" t="s">
        <v>2197</v>
      </c>
      <c r="D1764" s="8" t="s">
        <v>18</v>
      </c>
      <c r="E1764" s="8" t="s">
        <v>16</v>
      </c>
      <c r="F1764" s="8" t="s">
        <v>2228</v>
      </c>
      <c r="G1764" s="8" t="s">
        <v>3877</v>
      </c>
      <c r="H1764" s="8">
        <v>6168</v>
      </c>
      <c r="I1764" s="8">
        <v>4920</v>
      </c>
      <c r="J1764" s="8">
        <v>405006</v>
      </c>
      <c r="K1764" s="9">
        <v>45437</v>
      </c>
      <c r="L1764" s="9">
        <v>47239</v>
      </c>
      <c r="M1764" s="8" t="s">
        <v>16</v>
      </c>
      <c r="P1764" s="16" t="s">
        <v>1541</v>
      </c>
      <c r="Q1764" s="2" t="s">
        <v>312</v>
      </c>
      <c r="S1764" s="8" t="s">
        <v>2176</v>
      </c>
      <c r="T1764" s="9">
        <v>47178</v>
      </c>
      <c r="U1764" s="8">
        <v>0</v>
      </c>
      <c r="V1764" s="20">
        <v>1740</v>
      </c>
      <c r="W1764" s="21" t="s">
        <v>16</v>
      </c>
    </row>
    <row r="1765" spans="1:23" ht="48.75">
      <c r="A1765" s="8" t="s">
        <v>3878</v>
      </c>
      <c r="B1765" s="8" t="s">
        <v>1793</v>
      </c>
      <c r="C1765" s="8" t="s">
        <v>2303</v>
      </c>
      <c r="D1765" s="8" t="s">
        <v>18</v>
      </c>
      <c r="E1765" s="8" t="s">
        <v>16</v>
      </c>
      <c r="F1765" s="8" t="s">
        <v>2228</v>
      </c>
      <c r="G1765" s="8" t="s">
        <v>3877</v>
      </c>
      <c r="H1765" s="8">
        <v>213</v>
      </c>
      <c r="I1765" s="8">
        <v>38</v>
      </c>
      <c r="J1765" s="8">
        <v>311001</v>
      </c>
      <c r="K1765" s="9">
        <v>45254</v>
      </c>
      <c r="L1765" s="9">
        <v>47058</v>
      </c>
      <c r="M1765" s="8" t="s">
        <v>16</v>
      </c>
      <c r="P1765" s="16" t="s">
        <v>1541</v>
      </c>
      <c r="Q1765" s="2" t="s">
        <v>312</v>
      </c>
      <c r="S1765" s="8" t="s">
        <v>2177</v>
      </c>
      <c r="T1765" s="9">
        <v>45566</v>
      </c>
      <c r="U1765" s="8">
        <v>0</v>
      </c>
      <c r="V1765" s="20">
        <v>98</v>
      </c>
      <c r="W1765" s="21" t="s">
        <v>151</v>
      </c>
    </row>
    <row r="1766" spans="1:23" ht="48.75">
      <c r="A1766" s="8" t="s">
        <v>3878</v>
      </c>
      <c r="B1766" s="8" t="s">
        <v>1793</v>
      </c>
      <c r="C1766" s="8" t="s">
        <v>2303</v>
      </c>
      <c r="D1766" s="8" t="s">
        <v>18</v>
      </c>
      <c r="E1766" s="8" t="s">
        <v>16</v>
      </c>
      <c r="F1766" s="8" t="s">
        <v>2228</v>
      </c>
      <c r="G1766" s="8" t="s">
        <v>3877</v>
      </c>
      <c r="H1766" s="8">
        <v>213</v>
      </c>
      <c r="I1766" s="8">
        <v>175</v>
      </c>
      <c r="J1766" s="8">
        <v>311002</v>
      </c>
      <c r="K1766" s="9">
        <v>45254</v>
      </c>
      <c r="L1766" s="9">
        <v>47058</v>
      </c>
      <c r="M1766" s="8" t="s">
        <v>16</v>
      </c>
      <c r="P1766" s="16" t="s">
        <v>1541</v>
      </c>
      <c r="Q1766" s="2" t="s">
        <v>312</v>
      </c>
      <c r="S1766" s="8" t="s">
        <v>2178</v>
      </c>
      <c r="T1766" s="9">
        <v>45566</v>
      </c>
      <c r="U1766" s="8">
        <v>0</v>
      </c>
      <c r="V1766" s="20">
        <v>350</v>
      </c>
      <c r="W1766" s="21" t="s">
        <v>151</v>
      </c>
    </row>
    <row r="1767" spans="1:23" ht="48.75">
      <c r="A1767" s="8" t="s">
        <v>3879</v>
      </c>
      <c r="B1767" s="8" t="s">
        <v>1794</v>
      </c>
      <c r="C1767" s="8" t="s">
        <v>2197</v>
      </c>
      <c r="D1767" s="8" t="s">
        <v>18</v>
      </c>
      <c r="E1767" s="8" t="s">
        <v>16</v>
      </c>
      <c r="F1767" s="8" t="s">
        <v>2228</v>
      </c>
      <c r="G1767" s="8" t="s">
        <v>3877</v>
      </c>
      <c r="H1767" s="8">
        <v>380</v>
      </c>
      <c r="I1767" s="8">
        <v>380</v>
      </c>
      <c r="J1767" s="8">
        <v>405008</v>
      </c>
      <c r="K1767" s="9">
        <v>45453</v>
      </c>
      <c r="L1767" s="9">
        <v>47239</v>
      </c>
      <c r="M1767" s="8" t="s">
        <v>16</v>
      </c>
      <c r="P1767" s="16" t="s">
        <v>1541</v>
      </c>
      <c r="Q1767" s="2" t="s">
        <v>312</v>
      </c>
      <c r="S1767" s="8" t="s">
        <v>2179</v>
      </c>
      <c r="T1767" s="9">
        <v>45474</v>
      </c>
      <c r="U1767" s="8">
        <v>0</v>
      </c>
      <c r="V1767" s="20">
        <v>1099</v>
      </c>
      <c r="W1767" s="21" t="s">
        <v>151</v>
      </c>
    </row>
    <row r="1768" spans="1:23" ht="60">
      <c r="A1768" s="8" t="s">
        <v>3880</v>
      </c>
      <c r="B1768" s="8" t="s">
        <v>1795</v>
      </c>
      <c r="C1768" s="8" t="s">
        <v>2197</v>
      </c>
      <c r="D1768" s="8" t="s">
        <v>18</v>
      </c>
      <c r="E1768" s="8" t="s">
        <v>16</v>
      </c>
      <c r="F1768" s="8" t="s">
        <v>2228</v>
      </c>
      <c r="G1768" s="8" t="s">
        <v>3877</v>
      </c>
      <c r="H1768" s="8">
        <v>38110</v>
      </c>
      <c r="I1768" s="8">
        <v>13110</v>
      </c>
      <c r="J1768" s="8">
        <v>403006</v>
      </c>
      <c r="K1768" s="9">
        <v>45428</v>
      </c>
      <c r="L1768" s="9">
        <v>47178</v>
      </c>
      <c r="M1768" s="8" t="s">
        <v>16</v>
      </c>
      <c r="P1768" s="16" t="s">
        <v>1541</v>
      </c>
      <c r="Q1768" s="2" t="s">
        <v>312</v>
      </c>
      <c r="S1768" s="8" t="s">
        <v>2180</v>
      </c>
      <c r="T1768" s="9">
        <v>46966</v>
      </c>
      <c r="U1768" s="8">
        <v>0</v>
      </c>
      <c r="V1768" s="20">
        <v>1485</v>
      </c>
      <c r="W1768" s="21" t="s">
        <v>151</v>
      </c>
    </row>
    <row r="1769" spans="1:23" ht="112.5">
      <c r="A1769" s="8" t="s">
        <v>3880</v>
      </c>
      <c r="B1769" s="8" t="s">
        <v>1795</v>
      </c>
      <c r="C1769" s="8" t="s">
        <v>2197</v>
      </c>
      <c r="D1769" s="8" t="s">
        <v>18</v>
      </c>
      <c r="E1769" s="8" t="s">
        <v>16</v>
      </c>
      <c r="F1769" s="8" t="s">
        <v>2228</v>
      </c>
      <c r="G1769" s="8" t="s">
        <v>3877</v>
      </c>
      <c r="H1769" s="8">
        <v>38110</v>
      </c>
      <c r="I1769" s="8">
        <v>25000</v>
      </c>
      <c r="J1769" s="8">
        <v>405018</v>
      </c>
      <c r="K1769" s="9">
        <v>45453</v>
      </c>
      <c r="L1769" s="9">
        <v>47239</v>
      </c>
      <c r="M1769" s="8" t="s">
        <v>16</v>
      </c>
      <c r="P1769" s="16" t="s">
        <v>1541</v>
      </c>
      <c r="Q1769" s="2" t="s">
        <v>312</v>
      </c>
      <c r="S1769" s="12" t="s">
        <v>2181</v>
      </c>
      <c r="T1769" s="13" t="s">
        <v>2222</v>
      </c>
      <c r="U1769" s="8">
        <v>0</v>
      </c>
      <c r="V1769" s="20">
        <v>40</v>
      </c>
      <c r="W1769" s="21" t="s">
        <v>43</v>
      </c>
    </row>
    <row r="1770" spans="1:23" ht="60">
      <c r="A1770" s="8" t="s">
        <v>3881</v>
      </c>
      <c r="B1770" s="8" t="s">
        <v>1796</v>
      </c>
      <c r="C1770" s="8" t="s">
        <v>2197</v>
      </c>
      <c r="D1770" s="8" t="s">
        <v>18</v>
      </c>
      <c r="E1770" s="8" t="s">
        <v>2217</v>
      </c>
      <c r="F1770" s="8" t="s">
        <v>2217</v>
      </c>
      <c r="G1770" s="8" t="s">
        <v>2217</v>
      </c>
      <c r="H1770" s="8">
        <v>2000</v>
      </c>
      <c r="I1770" s="8">
        <v>2000</v>
      </c>
      <c r="J1770" s="8">
        <v>2406101000</v>
      </c>
      <c r="K1770" s="9">
        <v>45463</v>
      </c>
      <c r="L1770" s="9">
        <v>47270</v>
      </c>
      <c r="M1770" s="8" t="s">
        <v>16</v>
      </c>
      <c r="P1770" s="16" t="s">
        <v>1541</v>
      </c>
      <c r="Q1770" s="2" t="s">
        <v>312</v>
      </c>
      <c r="S1770" s="8" t="s">
        <v>2182</v>
      </c>
      <c r="T1770" s="9">
        <v>46569</v>
      </c>
      <c r="U1770" s="8">
        <v>0</v>
      </c>
      <c r="V1770" s="20">
        <v>150</v>
      </c>
      <c r="W1770" s="21" t="s">
        <v>151</v>
      </c>
    </row>
    <row r="1771" spans="1:23" ht="60">
      <c r="A1771" s="8" t="s">
        <v>3882</v>
      </c>
      <c r="B1771" s="8" t="s">
        <v>1797</v>
      </c>
      <c r="C1771" s="8" t="s">
        <v>2197</v>
      </c>
      <c r="D1771" s="8" t="s">
        <v>18</v>
      </c>
      <c r="E1771" s="8" t="s">
        <v>16</v>
      </c>
      <c r="F1771" s="8" t="s">
        <v>2198</v>
      </c>
      <c r="G1771" s="8" t="s">
        <v>3883</v>
      </c>
      <c r="H1771" s="8">
        <v>2702</v>
      </c>
      <c r="I1771" s="8">
        <v>2</v>
      </c>
      <c r="J1771" s="8" t="s">
        <v>1798</v>
      </c>
      <c r="K1771" s="9">
        <v>44900</v>
      </c>
      <c r="L1771" s="9">
        <v>46388</v>
      </c>
      <c r="M1771" s="8" t="s">
        <v>16</v>
      </c>
      <c r="P1771" s="16" t="s">
        <v>1541</v>
      </c>
      <c r="Q1771" s="2" t="s">
        <v>312</v>
      </c>
      <c r="S1771" s="8" t="s">
        <v>2182</v>
      </c>
      <c r="T1771" s="9">
        <v>47453</v>
      </c>
      <c r="U1771" s="8">
        <v>0</v>
      </c>
      <c r="V1771" s="20">
        <v>67408</v>
      </c>
      <c r="W1771" s="21" t="s">
        <v>151</v>
      </c>
    </row>
    <row r="1772" spans="1:23" ht="60">
      <c r="A1772" s="8" t="s">
        <v>3882</v>
      </c>
      <c r="B1772" s="8" t="s">
        <v>1797</v>
      </c>
      <c r="C1772" s="8" t="s">
        <v>2197</v>
      </c>
      <c r="D1772" s="8" t="s">
        <v>18</v>
      </c>
      <c r="E1772" s="8" t="s">
        <v>16</v>
      </c>
      <c r="F1772" s="8" t="s">
        <v>2198</v>
      </c>
      <c r="G1772" s="8" t="s">
        <v>3883</v>
      </c>
      <c r="H1772" s="8">
        <v>2702</v>
      </c>
      <c r="I1772" s="8">
        <v>2700</v>
      </c>
      <c r="J1772" s="8">
        <v>21240203</v>
      </c>
      <c r="K1772" s="9">
        <v>45337</v>
      </c>
      <c r="L1772" s="9">
        <v>47150</v>
      </c>
      <c r="M1772" s="8" t="s">
        <v>16</v>
      </c>
      <c r="P1772" s="16" t="s">
        <v>1541</v>
      </c>
      <c r="Q1772" s="2" t="s">
        <v>312</v>
      </c>
      <c r="S1772" s="8" t="s">
        <v>2183</v>
      </c>
      <c r="T1772" s="9">
        <v>46508</v>
      </c>
      <c r="U1772" s="8">
        <v>0</v>
      </c>
      <c r="V1772" s="20">
        <v>18</v>
      </c>
      <c r="W1772" s="21" t="s">
        <v>151</v>
      </c>
    </row>
    <row r="1773" spans="1:23" ht="48.75">
      <c r="A1773" s="8" t="s">
        <v>3884</v>
      </c>
      <c r="B1773" s="8" t="s">
        <v>1799</v>
      </c>
      <c r="C1773" s="8" t="s">
        <v>2197</v>
      </c>
      <c r="D1773" s="8" t="s">
        <v>18</v>
      </c>
      <c r="E1773" s="8" t="s">
        <v>16</v>
      </c>
      <c r="F1773" s="8" t="s">
        <v>2198</v>
      </c>
      <c r="G1773" s="8" t="s">
        <v>3883</v>
      </c>
      <c r="H1773" s="8">
        <v>444</v>
      </c>
      <c r="I1773" s="8">
        <v>84</v>
      </c>
      <c r="J1773" s="8" t="s">
        <v>1800</v>
      </c>
      <c r="K1773" s="9">
        <v>44909</v>
      </c>
      <c r="L1773" s="9">
        <v>46722</v>
      </c>
      <c r="M1773" s="8" t="s">
        <v>16</v>
      </c>
      <c r="P1773" s="16" t="s">
        <v>1541</v>
      </c>
      <c r="Q1773" s="2" t="s">
        <v>312</v>
      </c>
    </row>
    <row r="1774" spans="1:23" ht="48.75">
      <c r="A1774" s="8" t="s">
        <v>3884</v>
      </c>
      <c r="B1774" s="8" t="s">
        <v>1799</v>
      </c>
      <c r="C1774" s="8" t="s">
        <v>2197</v>
      </c>
      <c r="D1774" s="8" t="s">
        <v>18</v>
      </c>
      <c r="E1774" s="8" t="s">
        <v>16</v>
      </c>
      <c r="F1774" s="8" t="s">
        <v>2198</v>
      </c>
      <c r="G1774" s="8" t="s">
        <v>3883</v>
      </c>
      <c r="H1774" s="8">
        <v>444</v>
      </c>
      <c r="I1774" s="8">
        <v>360</v>
      </c>
      <c r="J1774" s="8">
        <v>21230328</v>
      </c>
      <c r="K1774" s="9">
        <v>45286</v>
      </c>
      <c r="L1774" s="9">
        <v>46813</v>
      </c>
      <c r="M1774" s="8" t="s">
        <v>16</v>
      </c>
      <c r="P1774" s="16" t="s">
        <v>1541</v>
      </c>
      <c r="Q1774" s="2" t="s">
        <v>312</v>
      </c>
    </row>
    <row r="1775" spans="1:23" ht="48.75">
      <c r="A1775" s="8" t="s">
        <v>3885</v>
      </c>
      <c r="B1775" s="8" t="s">
        <v>1801</v>
      </c>
      <c r="C1775" s="8" t="s">
        <v>2197</v>
      </c>
      <c r="D1775" s="8" t="s">
        <v>18</v>
      </c>
      <c r="E1775" s="8" t="s">
        <v>16</v>
      </c>
      <c r="F1775" s="8" t="s">
        <v>2198</v>
      </c>
      <c r="G1775" s="8" t="s">
        <v>3883</v>
      </c>
      <c r="H1775" s="8">
        <v>1041</v>
      </c>
      <c r="I1775" s="8">
        <v>461</v>
      </c>
      <c r="J1775" s="8" t="s">
        <v>1802</v>
      </c>
      <c r="K1775" s="9">
        <v>44900</v>
      </c>
      <c r="L1775" s="9">
        <v>46600</v>
      </c>
      <c r="M1775" s="8" t="s">
        <v>16</v>
      </c>
      <c r="P1775" s="16" t="s">
        <v>1541</v>
      </c>
      <c r="Q1775" s="2" t="s">
        <v>312</v>
      </c>
    </row>
    <row r="1776" spans="1:23" ht="48.75">
      <c r="A1776" s="8" t="s">
        <v>3885</v>
      </c>
      <c r="B1776" s="8" t="s">
        <v>1801</v>
      </c>
      <c r="C1776" s="8" t="s">
        <v>2197</v>
      </c>
      <c r="D1776" s="8" t="s">
        <v>18</v>
      </c>
      <c r="E1776" s="8" t="s">
        <v>16</v>
      </c>
      <c r="F1776" s="8" t="s">
        <v>2198</v>
      </c>
      <c r="G1776" s="8" t="s">
        <v>3883</v>
      </c>
      <c r="H1776" s="8">
        <v>1041</v>
      </c>
      <c r="I1776" s="8">
        <v>580</v>
      </c>
      <c r="J1776" s="8">
        <v>21230615</v>
      </c>
      <c r="K1776" s="9">
        <v>45286</v>
      </c>
      <c r="L1776" s="9">
        <v>46905</v>
      </c>
      <c r="M1776" s="8" t="s">
        <v>16</v>
      </c>
      <c r="P1776" s="16" t="s">
        <v>1541</v>
      </c>
      <c r="Q1776" s="2" t="s">
        <v>312</v>
      </c>
    </row>
    <row r="1777" spans="1:17" ht="60">
      <c r="A1777" s="8" t="s">
        <v>3886</v>
      </c>
      <c r="B1777" s="8" t="s">
        <v>1803</v>
      </c>
      <c r="C1777" s="8" t="s">
        <v>2197</v>
      </c>
      <c r="D1777" s="8" t="s">
        <v>18</v>
      </c>
      <c r="E1777" s="8" t="s">
        <v>16</v>
      </c>
      <c r="F1777" s="8" t="s">
        <v>2228</v>
      </c>
      <c r="G1777" s="8" t="s">
        <v>3887</v>
      </c>
      <c r="H1777" s="8">
        <v>23271</v>
      </c>
      <c r="I1777" s="8">
        <v>1</v>
      </c>
      <c r="J1777" s="8" t="s">
        <v>1804</v>
      </c>
      <c r="K1777" s="9">
        <v>45371</v>
      </c>
      <c r="L1777" s="9">
        <v>46023</v>
      </c>
      <c r="M1777" s="8" t="s">
        <v>16</v>
      </c>
      <c r="P1777" s="16" t="s">
        <v>1541</v>
      </c>
      <c r="Q1777" s="2" t="s">
        <v>312</v>
      </c>
    </row>
    <row r="1778" spans="1:17" ht="60">
      <c r="A1778" s="8" t="s">
        <v>3886</v>
      </c>
      <c r="B1778" s="8" t="s">
        <v>1803</v>
      </c>
      <c r="C1778" s="8" t="s">
        <v>2197</v>
      </c>
      <c r="D1778" s="8" t="s">
        <v>18</v>
      </c>
      <c r="E1778" s="8" t="s">
        <v>16</v>
      </c>
      <c r="F1778" s="8" t="s">
        <v>2228</v>
      </c>
      <c r="G1778" s="8" t="s">
        <v>3887</v>
      </c>
      <c r="H1778" s="8">
        <v>23271</v>
      </c>
      <c r="I1778" s="8">
        <v>23270</v>
      </c>
      <c r="J1778" s="8" t="s">
        <v>1805</v>
      </c>
      <c r="K1778" s="9">
        <v>45433</v>
      </c>
      <c r="L1778" s="9">
        <v>46113</v>
      </c>
      <c r="M1778" s="8" t="s">
        <v>16</v>
      </c>
      <c r="P1778" s="16" t="s">
        <v>1541</v>
      </c>
      <c r="Q1778" s="2" t="s">
        <v>312</v>
      </c>
    </row>
    <row r="1779" spans="1:17" ht="60">
      <c r="A1779" s="8" t="s">
        <v>3888</v>
      </c>
      <c r="B1779" s="8" t="s">
        <v>1806</v>
      </c>
      <c r="C1779" s="8" t="s">
        <v>2197</v>
      </c>
      <c r="D1779" s="8" t="s">
        <v>18</v>
      </c>
      <c r="E1779" s="8" t="s">
        <v>16</v>
      </c>
      <c r="F1779" s="8" t="s">
        <v>2228</v>
      </c>
      <c r="G1779" s="8" t="s">
        <v>3887</v>
      </c>
      <c r="H1779" s="8">
        <v>7380</v>
      </c>
      <c r="I1779" s="8">
        <v>7380</v>
      </c>
      <c r="J1779" s="8" t="s">
        <v>1807</v>
      </c>
      <c r="K1779" s="9">
        <v>45426</v>
      </c>
      <c r="L1779" s="9">
        <v>46113</v>
      </c>
      <c r="M1779" s="8" t="s">
        <v>16</v>
      </c>
      <c r="P1779" s="16" t="s">
        <v>1541</v>
      </c>
      <c r="Q1779" s="2" t="s">
        <v>312</v>
      </c>
    </row>
    <row r="1780" spans="1:17" ht="48.75">
      <c r="A1780" s="8" t="s">
        <v>3889</v>
      </c>
      <c r="B1780" s="8" t="s">
        <v>1808</v>
      </c>
      <c r="C1780" s="8" t="s">
        <v>2203</v>
      </c>
      <c r="D1780" s="8" t="s">
        <v>18</v>
      </c>
      <c r="E1780" s="8" t="s">
        <v>16</v>
      </c>
      <c r="F1780" s="8" t="s">
        <v>2204</v>
      </c>
      <c r="G1780" s="8" t="s">
        <v>3890</v>
      </c>
      <c r="H1780" s="8">
        <v>500</v>
      </c>
      <c r="I1780" s="8">
        <v>500</v>
      </c>
      <c r="J1780" s="8" t="s">
        <v>1809</v>
      </c>
      <c r="K1780" s="9">
        <v>45276</v>
      </c>
      <c r="L1780" s="9">
        <v>46235</v>
      </c>
      <c r="M1780" s="8" t="s">
        <v>16</v>
      </c>
      <c r="P1780" s="16" t="s">
        <v>1541</v>
      </c>
      <c r="Q1780" s="2" t="s">
        <v>312</v>
      </c>
    </row>
    <row r="1781" spans="1:17" ht="60">
      <c r="A1781" s="8" t="s">
        <v>3891</v>
      </c>
      <c r="B1781" s="8" t="s">
        <v>1810</v>
      </c>
      <c r="C1781" s="8" t="s">
        <v>2221</v>
      </c>
      <c r="D1781" s="8" t="s">
        <v>18</v>
      </c>
      <c r="E1781" s="8" t="s">
        <v>43</v>
      </c>
      <c r="F1781" s="8" t="s">
        <v>2217</v>
      </c>
      <c r="G1781" s="8" t="s">
        <v>2217</v>
      </c>
      <c r="H1781" s="8">
        <v>714</v>
      </c>
      <c r="I1781" s="8">
        <v>714</v>
      </c>
      <c r="J1781" s="8">
        <v>0</v>
      </c>
      <c r="K1781" s="9">
        <v>44160</v>
      </c>
      <c r="L1781" s="8" t="s">
        <v>2222</v>
      </c>
      <c r="M1781" s="8" t="s">
        <v>43</v>
      </c>
      <c r="P1781" s="16" t="s">
        <v>1542</v>
      </c>
      <c r="Q1781" s="2" t="s">
        <v>16</v>
      </c>
    </row>
    <row r="1782" spans="1:17" ht="60">
      <c r="A1782" s="8" t="s">
        <v>3892</v>
      </c>
      <c r="B1782" s="8" t="s">
        <v>1811</v>
      </c>
      <c r="C1782" s="8" t="s">
        <v>2203</v>
      </c>
      <c r="D1782" s="8" t="s">
        <v>18</v>
      </c>
      <c r="E1782" s="8" t="s">
        <v>16</v>
      </c>
      <c r="F1782" s="8" t="s">
        <v>2198</v>
      </c>
      <c r="G1782" s="8" t="s">
        <v>3893</v>
      </c>
      <c r="H1782" s="8">
        <v>4258</v>
      </c>
      <c r="I1782" s="8">
        <v>700</v>
      </c>
      <c r="J1782" s="8">
        <v>230815</v>
      </c>
      <c r="K1782" s="9">
        <v>45173</v>
      </c>
      <c r="L1782" s="9">
        <v>46600</v>
      </c>
      <c r="M1782" s="8" t="s">
        <v>16</v>
      </c>
      <c r="P1782" s="16" t="s">
        <v>1542</v>
      </c>
      <c r="Q1782" s="2" t="s">
        <v>16</v>
      </c>
    </row>
    <row r="1783" spans="1:17" ht="60">
      <c r="A1783" s="8" t="s">
        <v>3892</v>
      </c>
      <c r="B1783" s="8" t="s">
        <v>1811</v>
      </c>
      <c r="C1783" s="8" t="s">
        <v>2203</v>
      </c>
      <c r="D1783" s="8" t="s">
        <v>18</v>
      </c>
      <c r="E1783" s="8" t="s">
        <v>16</v>
      </c>
      <c r="F1783" s="8" t="s">
        <v>2198</v>
      </c>
      <c r="G1783" s="8" t="s">
        <v>3893</v>
      </c>
      <c r="H1783" s="8">
        <v>4258</v>
      </c>
      <c r="I1783" s="8">
        <v>1758</v>
      </c>
      <c r="J1783" s="8">
        <v>180322</v>
      </c>
      <c r="K1783" s="9">
        <v>44936</v>
      </c>
      <c r="L1783" s="9">
        <v>46082</v>
      </c>
      <c r="M1783" s="8" t="s">
        <v>16</v>
      </c>
      <c r="P1783" s="16" t="s">
        <v>1542</v>
      </c>
      <c r="Q1783" s="2" t="s">
        <v>16</v>
      </c>
    </row>
    <row r="1784" spans="1:17" ht="60">
      <c r="A1784" s="8" t="s">
        <v>3892</v>
      </c>
      <c r="B1784" s="8" t="s">
        <v>1811</v>
      </c>
      <c r="C1784" s="8" t="s">
        <v>2203</v>
      </c>
      <c r="D1784" s="8" t="s">
        <v>18</v>
      </c>
      <c r="E1784" s="8" t="s">
        <v>16</v>
      </c>
      <c r="F1784" s="8" t="s">
        <v>2198</v>
      </c>
      <c r="G1784" s="8" t="s">
        <v>3893</v>
      </c>
      <c r="H1784" s="8">
        <v>4258</v>
      </c>
      <c r="I1784" s="8">
        <v>1800</v>
      </c>
      <c r="J1784" s="8">
        <v>1600322</v>
      </c>
      <c r="K1784" s="9">
        <v>45173</v>
      </c>
      <c r="L1784" s="9">
        <v>46082</v>
      </c>
      <c r="M1784" s="8" t="s">
        <v>16</v>
      </c>
      <c r="P1784" s="16" t="s">
        <v>1546</v>
      </c>
      <c r="Q1784" s="2" t="s">
        <v>16</v>
      </c>
    </row>
    <row r="1785" spans="1:17" ht="60">
      <c r="A1785" s="8" t="s">
        <v>3894</v>
      </c>
      <c r="B1785" s="8" t="s">
        <v>1812</v>
      </c>
      <c r="C1785" s="8" t="s">
        <v>2203</v>
      </c>
      <c r="D1785" s="8" t="s">
        <v>18</v>
      </c>
      <c r="E1785" s="8" t="s">
        <v>16</v>
      </c>
      <c r="F1785" s="8" t="s">
        <v>2198</v>
      </c>
      <c r="G1785" s="8" t="s">
        <v>3893</v>
      </c>
      <c r="H1785" s="8">
        <v>1250</v>
      </c>
      <c r="I1785" s="8">
        <v>25</v>
      </c>
      <c r="J1785" s="8">
        <v>220222</v>
      </c>
      <c r="K1785" s="9">
        <v>45085</v>
      </c>
      <c r="L1785" s="9">
        <v>46054</v>
      </c>
      <c r="M1785" s="8" t="s">
        <v>16</v>
      </c>
      <c r="P1785" s="16" t="s">
        <v>1546</v>
      </c>
      <c r="Q1785" s="2" t="s">
        <v>16</v>
      </c>
    </row>
    <row r="1786" spans="1:17" ht="60">
      <c r="A1786" s="8" t="s">
        <v>3894</v>
      </c>
      <c r="B1786" s="8" t="s">
        <v>1812</v>
      </c>
      <c r="C1786" s="8" t="s">
        <v>2203</v>
      </c>
      <c r="D1786" s="8" t="s">
        <v>18</v>
      </c>
      <c r="E1786" s="8" t="s">
        <v>16</v>
      </c>
      <c r="F1786" s="8" t="s">
        <v>2198</v>
      </c>
      <c r="G1786" s="8" t="s">
        <v>3893</v>
      </c>
      <c r="H1786" s="8">
        <v>1250</v>
      </c>
      <c r="I1786" s="8">
        <v>450</v>
      </c>
      <c r="J1786" s="8">
        <v>230907</v>
      </c>
      <c r="K1786" s="9">
        <v>45191</v>
      </c>
      <c r="L1786" s="9">
        <v>46631</v>
      </c>
      <c r="M1786" s="8" t="s">
        <v>16</v>
      </c>
      <c r="P1786" s="16" t="s">
        <v>1548</v>
      </c>
      <c r="Q1786" s="2" t="s">
        <v>16</v>
      </c>
    </row>
    <row r="1787" spans="1:17" ht="60">
      <c r="A1787" s="8" t="s">
        <v>3894</v>
      </c>
      <c r="B1787" s="8" t="s">
        <v>1812</v>
      </c>
      <c r="C1787" s="8" t="s">
        <v>2203</v>
      </c>
      <c r="D1787" s="8" t="s">
        <v>18</v>
      </c>
      <c r="E1787" s="8" t="s">
        <v>16</v>
      </c>
      <c r="F1787" s="8" t="s">
        <v>2198</v>
      </c>
      <c r="G1787" s="8" t="s">
        <v>3893</v>
      </c>
      <c r="H1787" s="8">
        <v>1250</v>
      </c>
      <c r="I1787" s="8">
        <v>775</v>
      </c>
      <c r="J1787" s="8">
        <v>230731</v>
      </c>
      <c r="K1787" s="9">
        <v>45173</v>
      </c>
      <c r="L1787" s="9">
        <v>46569</v>
      </c>
      <c r="M1787" s="8" t="s">
        <v>16</v>
      </c>
      <c r="P1787" s="16" t="s">
        <v>1550</v>
      </c>
      <c r="Q1787" s="2" t="s">
        <v>16</v>
      </c>
    </row>
    <row r="1788" spans="1:17" ht="60">
      <c r="A1788" s="8" t="s">
        <v>3895</v>
      </c>
      <c r="B1788" s="8" t="s">
        <v>1813</v>
      </c>
      <c r="C1788" s="8" t="s">
        <v>2203</v>
      </c>
      <c r="D1788" s="8" t="s">
        <v>18</v>
      </c>
      <c r="E1788" s="8" t="s">
        <v>16</v>
      </c>
      <c r="F1788" s="8" t="s">
        <v>2204</v>
      </c>
      <c r="G1788" s="8" t="s">
        <v>3896</v>
      </c>
      <c r="H1788" s="8">
        <v>2214</v>
      </c>
      <c r="I1788" s="8">
        <v>114</v>
      </c>
      <c r="J1788" s="8">
        <v>0</v>
      </c>
      <c r="K1788" s="9">
        <v>44943</v>
      </c>
      <c r="L1788" s="9">
        <v>45992</v>
      </c>
      <c r="M1788" s="8" t="s">
        <v>16</v>
      </c>
      <c r="P1788" s="16" t="s">
        <v>1550</v>
      </c>
      <c r="Q1788" s="2" t="s">
        <v>16</v>
      </c>
    </row>
    <row r="1789" spans="1:17" ht="60">
      <c r="A1789" s="8" t="s">
        <v>3895</v>
      </c>
      <c r="B1789" s="8" t="s">
        <v>1813</v>
      </c>
      <c r="C1789" s="8" t="s">
        <v>2203</v>
      </c>
      <c r="D1789" s="8" t="s">
        <v>18</v>
      </c>
      <c r="E1789" s="8" t="s">
        <v>16</v>
      </c>
      <c r="F1789" s="8" t="s">
        <v>2204</v>
      </c>
      <c r="G1789" s="8" t="s">
        <v>3896</v>
      </c>
      <c r="H1789" s="8">
        <v>2214</v>
      </c>
      <c r="I1789" s="8">
        <v>2100</v>
      </c>
      <c r="J1789" s="8">
        <v>301221</v>
      </c>
      <c r="K1789" s="9">
        <v>45085</v>
      </c>
      <c r="L1789" s="9">
        <v>45992</v>
      </c>
      <c r="M1789" s="8" t="s">
        <v>16</v>
      </c>
      <c r="P1789" s="16" t="s">
        <v>1550</v>
      </c>
      <c r="Q1789" s="2" t="s">
        <v>16</v>
      </c>
    </row>
    <row r="1790" spans="1:17" ht="60">
      <c r="A1790" s="8" t="s">
        <v>3897</v>
      </c>
      <c r="B1790" s="8" t="s">
        <v>1814</v>
      </c>
      <c r="C1790" s="8" t="s">
        <v>2197</v>
      </c>
      <c r="D1790" s="8" t="s">
        <v>18</v>
      </c>
      <c r="E1790" s="8" t="s">
        <v>16</v>
      </c>
      <c r="F1790" s="8" t="s">
        <v>2204</v>
      </c>
      <c r="G1790" s="8" t="s">
        <v>3896</v>
      </c>
      <c r="H1790" s="8">
        <v>1362</v>
      </c>
      <c r="I1790" s="8">
        <v>12</v>
      </c>
      <c r="J1790" s="8">
        <v>0</v>
      </c>
      <c r="K1790" s="9">
        <v>44943</v>
      </c>
      <c r="L1790" s="9">
        <v>46113</v>
      </c>
      <c r="M1790" s="8" t="s">
        <v>16</v>
      </c>
      <c r="P1790" s="16" t="s">
        <v>1550</v>
      </c>
      <c r="Q1790" s="2" t="s">
        <v>16</v>
      </c>
    </row>
    <row r="1791" spans="1:17" ht="60">
      <c r="A1791" s="8" t="s">
        <v>3897</v>
      </c>
      <c r="B1791" s="8" t="s">
        <v>1814</v>
      </c>
      <c r="C1791" s="8" t="s">
        <v>2197</v>
      </c>
      <c r="D1791" s="8" t="s">
        <v>18</v>
      </c>
      <c r="E1791" s="8" t="s">
        <v>16</v>
      </c>
      <c r="F1791" s="8" t="s">
        <v>2204</v>
      </c>
      <c r="G1791" s="8" t="s">
        <v>3896</v>
      </c>
      <c r="H1791" s="8">
        <v>1362</v>
      </c>
      <c r="I1791" s="8">
        <v>675</v>
      </c>
      <c r="J1791" s="8">
        <v>60422</v>
      </c>
      <c r="K1791" s="9">
        <v>45145</v>
      </c>
      <c r="L1791" s="9">
        <v>46113</v>
      </c>
      <c r="M1791" s="8" t="s">
        <v>16</v>
      </c>
      <c r="P1791" s="16" t="s">
        <v>1554</v>
      </c>
      <c r="Q1791" s="2" t="s">
        <v>16</v>
      </c>
    </row>
    <row r="1792" spans="1:17" ht="60">
      <c r="A1792" s="8" t="s">
        <v>3897</v>
      </c>
      <c r="B1792" s="8" t="s">
        <v>1814</v>
      </c>
      <c r="C1792" s="8" t="s">
        <v>2197</v>
      </c>
      <c r="D1792" s="8" t="s">
        <v>18</v>
      </c>
      <c r="E1792" s="8" t="s">
        <v>16</v>
      </c>
      <c r="F1792" s="8" t="s">
        <v>2204</v>
      </c>
      <c r="G1792" s="8" t="s">
        <v>3896</v>
      </c>
      <c r="H1792" s="8">
        <v>1362</v>
      </c>
      <c r="I1792" s="8">
        <v>675</v>
      </c>
      <c r="J1792" s="8">
        <v>70422</v>
      </c>
      <c r="K1792" s="9">
        <v>45085</v>
      </c>
      <c r="L1792" s="9">
        <v>46113</v>
      </c>
      <c r="M1792" s="8" t="s">
        <v>16</v>
      </c>
      <c r="P1792" s="16" t="s">
        <v>1554</v>
      </c>
      <c r="Q1792" s="2" t="s">
        <v>16</v>
      </c>
    </row>
    <row r="1793" spans="1:17" ht="75">
      <c r="A1793" s="8" t="s">
        <v>3898</v>
      </c>
      <c r="B1793" s="8" t="s">
        <v>1815</v>
      </c>
      <c r="C1793" s="8" t="s">
        <v>2197</v>
      </c>
      <c r="D1793" s="8" t="s">
        <v>18</v>
      </c>
      <c r="E1793" s="8" t="s">
        <v>16</v>
      </c>
      <c r="F1793" s="8" t="s">
        <v>2228</v>
      </c>
      <c r="G1793" s="8" t="s">
        <v>3899</v>
      </c>
      <c r="H1793" s="8">
        <v>907</v>
      </c>
      <c r="I1793" s="8">
        <v>7</v>
      </c>
      <c r="J1793" s="8">
        <v>221109</v>
      </c>
      <c r="K1793" s="9">
        <v>44936</v>
      </c>
      <c r="L1793" s="9">
        <v>46327</v>
      </c>
      <c r="M1793" s="8" t="s">
        <v>16</v>
      </c>
      <c r="P1793" s="16" t="s">
        <v>1554</v>
      </c>
      <c r="Q1793" s="2" t="s">
        <v>16</v>
      </c>
    </row>
    <row r="1794" spans="1:17" ht="75">
      <c r="A1794" s="8" t="s">
        <v>3898</v>
      </c>
      <c r="B1794" s="8" t="s">
        <v>1815</v>
      </c>
      <c r="C1794" s="8" t="s">
        <v>2197</v>
      </c>
      <c r="D1794" s="8" t="s">
        <v>18</v>
      </c>
      <c r="E1794" s="8" t="s">
        <v>16</v>
      </c>
      <c r="F1794" s="8" t="s">
        <v>2228</v>
      </c>
      <c r="G1794" s="8" t="s">
        <v>3899</v>
      </c>
      <c r="H1794" s="8">
        <v>907</v>
      </c>
      <c r="I1794" s="8">
        <v>900</v>
      </c>
      <c r="J1794" s="8">
        <v>231004</v>
      </c>
      <c r="K1794" s="9">
        <v>45303</v>
      </c>
      <c r="L1794" s="9">
        <v>46661</v>
      </c>
      <c r="M1794" s="8" t="s">
        <v>16</v>
      </c>
      <c r="P1794" s="16" t="s">
        <v>1554</v>
      </c>
      <c r="Q1794" s="2" t="s">
        <v>16</v>
      </c>
    </row>
    <row r="1795" spans="1:17" ht="75">
      <c r="A1795" s="8" t="s">
        <v>3900</v>
      </c>
      <c r="B1795" s="8" t="s">
        <v>1816</v>
      </c>
      <c r="C1795" s="8" t="s">
        <v>2197</v>
      </c>
      <c r="D1795" s="8" t="s">
        <v>18</v>
      </c>
      <c r="E1795" s="8" t="s">
        <v>16</v>
      </c>
      <c r="F1795" s="8" t="s">
        <v>2228</v>
      </c>
      <c r="G1795" s="8" t="s">
        <v>3899</v>
      </c>
      <c r="H1795" s="8">
        <v>740</v>
      </c>
      <c r="I1795" s="8">
        <v>740</v>
      </c>
      <c r="J1795" s="8">
        <v>231023</v>
      </c>
      <c r="K1795" s="9">
        <v>45383</v>
      </c>
      <c r="L1795" s="9">
        <v>46661</v>
      </c>
      <c r="M1795" s="8" t="s">
        <v>16</v>
      </c>
      <c r="P1795" s="16" t="s">
        <v>1554</v>
      </c>
      <c r="Q1795" s="2" t="s">
        <v>16</v>
      </c>
    </row>
    <row r="1796" spans="1:17" ht="75">
      <c r="A1796" s="8" t="s">
        <v>3901</v>
      </c>
      <c r="B1796" s="8" t="s">
        <v>1817</v>
      </c>
      <c r="C1796" s="8" t="s">
        <v>2197</v>
      </c>
      <c r="D1796" s="8" t="s">
        <v>18</v>
      </c>
      <c r="E1796" s="8" t="s">
        <v>2217</v>
      </c>
      <c r="F1796" s="8" t="s">
        <v>2217</v>
      </c>
      <c r="G1796" s="8" t="s">
        <v>2217</v>
      </c>
      <c r="H1796" s="8">
        <v>5</v>
      </c>
      <c r="I1796" s="8">
        <v>5</v>
      </c>
      <c r="J1796" s="8" t="s">
        <v>1818</v>
      </c>
      <c r="K1796" s="9">
        <v>44980</v>
      </c>
      <c r="L1796" s="9">
        <v>46296</v>
      </c>
      <c r="M1796" s="8" t="s">
        <v>16</v>
      </c>
      <c r="P1796" s="16" t="s">
        <v>1554</v>
      </c>
      <c r="Q1796" s="2" t="s">
        <v>16</v>
      </c>
    </row>
    <row r="1797" spans="1:17" ht="75">
      <c r="A1797" s="8" t="s">
        <v>3902</v>
      </c>
      <c r="B1797" s="8" t="s">
        <v>1817</v>
      </c>
      <c r="C1797" s="8" t="s">
        <v>2197</v>
      </c>
      <c r="D1797" s="8" t="s">
        <v>18</v>
      </c>
      <c r="E1797" s="8" t="s">
        <v>16</v>
      </c>
      <c r="F1797" s="8" t="s">
        <v>2228</v>
      </c>
      <c r="G1797" s="8" t="s">
        <v>3899</v>
      </c>
      <c r="H1797" s="8">
        <v>761</v>
      </c>
      <c r="I1797" s="8">
        <v>761</v>
      </c>
      <c r="J1797" s="8">
        <v>221024</v>
      </c>
      <c r="K1797" s="9">
        <v>44865</v>
      </c>
      <c r="L1797" s="9">
        <v>46296</v>
      </c>
      <c r="M1797" s="8" t="s">
        <v>16</v>
      </c>
      <c r="P1797" s="16" t="s">
        <v>1554</v>
      </c>
      <c r="Q1797" s="2" t="s">
        <v>16</v>
      </c>
    </row>
    <row r="1798" spans="1:17" ht="36.75">
      <c r="A1798" s="8" t="s">
        <v>3903</v>
      </c>
      <c r="B1798" s="8" t="s">
        <v>1819</v>
      </c>
      <c r="C1798" s="8" t="s">
        <v>2221</v>
      </c>
      <c r="D1798" s="8" t="s">
        <v>18</v>
      </c>
      <c r="E1798" s="8" t="s">
        <v>43</v>
      </c>
      <c r="F1798" s="8" t="s">
        <v>2217</v>
      </c>
      <c r="G1798" s="8" t="s">
        <v>2217</v>
      </c>
      <c r="H1798" s="8">
        <v>10</v>
      </c>
      <c r="I1798" s="8">
        <v>10</v>
      </c>
      <c r="J1798" s="8">
        <v>0</v>
      </c>
      <c r="K1798" s="9">
        <v>44160</v>
      </c>
      <c r="L1798" s="8" t="s">
        <v>2222</v>
      </c>
      <c r="M1798" s="8" t="s">
        <v>43</v>
      </c>
      <c r="P1798" s="16" t="s">
        <v>1554</v>
      </c>
      <c r="Q1798" s="2" t="s">
        <v>16</v>
      </c>
    </row>
    <row r="1799" spans="1:17" ht="90">
      <c r="A1799" s="8" t="s">
        <v>3904</v>
      </c>
      <c r="B1799" s="8" t="s">
        <v>1820</v>
      </c>
      <c r="C1799" s="8" t="s">
        <v>2221</v>
      </c>
      <c r="D1799" s="8" t="s">
        <v>18</v>
      </c>
      <c r="E1799" s="8" t="s">
        <v>101</v>
      </c>
      <c r="F1799" s="8" t="s">
        <v>101</v>
      </c>
      <c r="G1799" s="8" t="s">
        <v>2217</v>
      </c>
      <c r="H1799" s="8">
        <v>100</v>
      </c>
      <c r="I1799" s="8">
        <v>100</v>
      </c>
      <c r="J1799" s="8">
        <v>0</v>
      </c>
      <c r="K1799" s="9">
        <v>44145</v>
      </c>
      <c r="L1799" s="8" t="s">
        <v>2222</v>
      </c>
      <c r="M1799" s="8" t="s">
        <v>41</v>
      </c>
      <c r="P1799" s="16" t="s">
        <v>1555</v>
      </c>
      <c r="Q1799" s="2" t="s">
        <v>16</v>
      </c>
    </row>
    <row r="1800" spans="1:17" ht="60">
      <c r="A1800" s="8" t="s">
        <v>3905</v>
      </c>
      <c r="B1800" s="8" t="s">
        <v>1821</v>
      </c>
      <c r="C1800" s="8" t="s">
        <v>2221</v>
      </c>
      <c r="D1800" s="8" t="s">
        <v>18</v>
      </c>
      <c r="E1800" s="8" t="s">
        <v>101</v>
      </c>
      <c r="F1800" s="8" t="s">
        <v>101</v>
      </c>
      <c r="G1800" s="8" t="s">
        <v>1821</v>
      </c>
      <c r="H1800" s="8">
        <v>3</v>
      </c>
      <c r="I1800" s="8">
        <v>3</v>
      </c>
      <c r="J1800" s="8">
        <v>0</v>
      </c>
      <c r="K1800" s="9">
        <v>44161</v>
      </c>
      <c r="L1800" s="8" t="s">
        <v>2222</v>
      </c>
      <c r="M1800" s="8" t="s">
        <v>41</v>
      </c>
      <c r="P1800" s="16" t="s">
        <v>1555</v>
      </c>
      <c r="Q1800" s="2" t="s">
        <v>16</v>
      </c>
    </row>
    <row r="1801" spans="1:17" ht="36.75">
      <c r="A1801" s="8" t="s">
        <v>3906</v>
      </c>
      <c r="B1801" s="8" t="s">
        <v>1822</v>
      </c>
      <c r="C1801" s="8" t="s">
        <v>2221</v>
      </c>
      <c r="D1801" s="8" t="s">
        <v>18</v>
      </c>
      <c r="E1801" s="8" t="s">
        <v>43</v>
      </c>
      <c r="F1801" s="8" t="s">
        <v>2217</v>
      </c>
      <c r="G1801" s="8" t="s">
        <v>2217</v>
      </c>
      <c r="H1801" s="8">
        <v>864</v>
      </c>
      <c r="I1801" s="8">
        <v>864</v>
      </c>
      <c r="J1801" s="8">
        <v>0</v>
      </c>
      <c r="K1801" s="9">
        <v>44160</v>
      </c>
      <c r="L1801" s="8" t="s">
        <v>2222</v>
      </c>
      <c r="M1801" s="8" t="s">
        <v>43</v>
      </c>
      <c r="P1801" s="16" t="s">
        <v>1555</v>
      </c>
      <c r="Q1801" s="2" t="s">
        <v>16</v>
      </c>
    </row>
    <row r="1802" spans="1:17" ht="45">
      <c r="A1802" s="8" t="s">
        <v>3907</v>
      </c>
      <c r="B1802" s="8" t="s">
        <v>1823</v>
      </c>
      <c r="C1802" s="8" t="s">
        <v>2221</v>
      </c>
      <c r="D1802" s="8" t="s">
        <v>18</v>
      </c>
      <c r="E1802" s="8" t="s">
        <v>2217</v>
      </c>
      <c r="F1802" s="8" t="s">
        <v>2217</v>
      </c>
      <c r="G1802" s="8" t="s">
        <v>2217</v>
      </c>
      <c r="H1802" s="8">
        <v>589</v>
      </c>
      <c r="I1802" s="8">
        <v>589</v>
      </c>
      <c r="J1802" s="8">
        <v>0</v>
      </c>
      <c r="K1802" s="9">
        <v>45386</v>
      </c>
      <c r="L1802" s="8" t="s">
        <v>2222</v>
      </c>
      <c r="M1802" s="8" t="s">
        <v>43</v>
      </c>
      <c r="P1802" s="16" t="s">
        <v>1555</v>
      </c>
      <c r="Q1802" s="2" t="s">
        <v>16</v>
      </c>
    </row>
    <row r="1803" spans="1:17" ht="45">
      <c r="A1803" s="8" t="s">
        <v>3908</v>
      </c>
      <c r="B1803" s="8" t="s">
        <v>1824</v>
      </c>
      <c r="C1803" s="8" t="s">
        <v>2221</v>
      </c>
      <c r="D1803" s="8" t="s">
        <v>18</v>
      </c>
      <c r="E1803" s="8" t="s">
        <v>2217</v>
      </c>
      <c r="F1803" s="8" t="s">
        <v>2217</v>
      </c>
      <c r="G1803" s="8" t="s">
        <v>2217</v>
      </c>
      <c r="H1803" s="8">
        <v>23</v>
      </c>
      <c r="I1803" s="8">
        <v>23</v>
      </c>
      <c r="J1803" s="8">
        <v>0</v>
      </c>
      <c r="K1803" s="9">
        <v>45020</v>
      </c>
      <c r="L1803" s="8" t="s">
        <v>2222</v>
      </c>
      <c r="M1803" s="8" t="s">
        <v>43</v>
      </c>
      <c r="P1803" s="16" t="s">
        <v>1555</v>
      </c>
      <c r="Q1803" s="2" t="s">
        <v>16</v>
      </c>
    </row>
    <row r="1804" spans="1:17" ht="36.75">
      <c r="A1804" s="8" t="s">
        <v>3909</v>
      </c>
      <c r="B1804" s="8" t="s">
        <v>1825</v>
      </c>
      <c r="C1804" s="8" t="s">
        <v>2221</v>
      </c>
      <c r="D1804" s="8" t="s">
        <v>18</v>
      </c>
      <c r="E1804" s="8" t="s">
        <v>43</v>
      </c>
      <c r="F1804" s="8" t="s">
        <v>1822</v>
      </c>
      <c r="G1804" s="8" t="s">
        <v>2217</v>
      </c>
      <c r="H1804" s="8">
        <v>2925</v>
      </c>
      <c r="I1804" s="8">
        <v>2925</v>
      </c>
      <c r="J1804" s="8">
        <v>0</v>
      </c>
      <c r="K1804" s="9">
        <v>44160</v>
      </c>
      <c r="L1804" s="8" t="s">
        <v>2222</v>
      </c>
      <c r="M1804" s="8" t="s">
        <v>43</v>
      </c>
      <c r="P1804" s="16" t="s">
        <v>1555</v>
      </c>
      <c r="Q1804" s="2" t="s">
        <v>16</v>
      </c>
    </row>
    <row r="1805" spans="1:17" ht="45">
      <c r="A1805" s="8" t="s">
        <v>3910</v>
      </c>
      <c r="B1805" s="8" t="s">
        <v>1826</v>
      </c>
      <c r="C1805" s="8" t="s">
        <v>2221</v>
      </c>
      <c r="D1805" s="8" t="s">
        <v>18</v>
      </c>
      <c r="E1805" s="8" t="s">
        <v>43</v>
      </c>
      <c r="F1805" s="8" t="s">
        <v>1822</v>
      </c>
      <c r="G1805" s="8" t="s">
        <v>2217</v>
      </c>
      <c r="H1805" s="8">
        <v>477</v>
      </c>
      <c r="I1805" s="8">
        <v>160</v>
      </c>
      <c r="J1805" s="8">
        <v>0</v>
      </c>
      <c r="K1805" s="9">
        <v>45364</v>
      </c>
      <c r="L1805" s="8" t="s">
        <v>2222</v>
      </c>
      <c r="M1805" s="8" t="s">
        <v>43</v>
      </c>
      <c r="P1805" s="16" t="s">
        <v>1555</v>
      </c>
      <c r="Q1805" s="2" t="s">
        <v>16</v>
      </c>
    </row>
    <row r="1806" spans="1:17" ht="45">
      <c r="A1806" s="8" t="s">
        <v>3910</v>
      </c>
      <c r="B1806" s="8" t="s">
        <v>1826</v>
      </c>
      <c r="C1806" s="8" t="s">
        <v>2221</v>
      </c>
      <c r="D1806" s="8" t="s">
        <v>18</v>
      </c>
      <c r="E1806" s="8" t="s">
        <v>43</v>
      </c>
      <c r="F1806" s="8" t="s">
        <v>1822</v>
      </c>
      <c r="G1806" s="8" t="s">
        <v>2217</v>
      </c>
      <c r="H1806" s="8">
        <v>477</v>
      </c>
      <c r="I1806" s="8">
        <v>317</v>
      </c>
      <c r="J1806" s="8">
        <v>0</v>
      </c>
      <c r="K1806" s="9">
        <v>44282</v>
      </c>
      <c r="L1806" s="9">
        <v>44282</v>
      </c>
      <c r="M1806" s="8" t="s">
        <v>43</v>
      </c>
      <c r="P1806" s="16" t="s">
        <v>1556</v>
      </c>
      <c r="Q1806" s="2" t="s">
        <v>16</v>
      </c>
    </row>
    <row r="1807" spans="1:17" ht="45">
      <c r="A1807" s="8" t="s">
        <v>3911</v>
      </c>
      <c r="B1807" s="8" t="s">
        <v>1827</v>
      </c>
      <c r="C1807" s="8" t="s">
        <v>2221</v>
      </c>
      <c r="D1807" s="8" t="s">
        <v>18</v>
      </c>
      <c r="E1807" s="8" t="s">
        <v>43</v>
      </c>
      <c r="F1807" s="8" t="s">
        <v>1822</v>
      </c>
      <c r="G1807" s="8" t="s">
        <v>2217</v>
      </c>
      <c r="H1807" s="8">
        <v>46</v>
      </c>
      <c r="I1807" s="8">
        <v>46</v>
      </c>
      <c r="J1807" s="8">
        <v>0</v>
      </c>
      <c r="K1807" s="9">
        <v>44160</v>
      </c>
      <c r="L1807" s="8" t="s">
        <v>2222</v>
      </c>
      <c r="M1807" s="8" t="s">
        <v>43</v>
      </c>
      <c r="P1807" s="16" t="s">
        <v>1557</v>
      </c>
      <c r="Q1807" s="2" t="s">
        <v>43</v>
      </c>
    </row>
    <row r="1808" spans="1:17" ht="45">
      <c r="A1808" s="8" t="s">
        <v>3912</v>
      </c>
      <c r="B1808" s="8" t="s">
        <v>1828</v>
      </c>
      <c r="C1808" s="8" t="s">
        <v>2221</v>
      </c>
      <c r="D1808" s="8" t="s">
        <v>18</v>
      </c>
      <c r="E1808" s="8" t="s">
        <v>43</v>
      </c>
      <c r="F1808" s="8" t="s">
        <v>1822</v>
      </c>
      <c r="G1808" s="8" t="s">
        <v>2217</v>
      </c>
      <c r="H1808" s="8">
        <v>36</v>
      </c>
      <c r="I1808" s="8">
        <v>36</v>
      </c>
      <c r="J1808" s="8">
        <v>0</v>
      </c>
      <c r="K1808" s="8" t="s">
        <v>2222</v>
      </c>
      <c r="L1808" s="8" t="s">
        <v>2222</v>
      </c>
      <c r="M1808" s="8" t="s">
        <v>43</v>
      </c>
      <c r="P1808" s="16" t="s">
        <v>1558</v>
      </c>
      <c r="Q1808" s="2" t="s">
        <v>43</v>
      </c>
    </row>
    <row r="1809" spans="1:17" ht="48.75">
      <c r="A1809" s="8" t="s">
        <v>3913</v>
      </c>
      <c r="B1809" s="8" t="s">
        <v>1829</v>
      </c>
      <c r="C1809" s="8" t="s">
        <v>2221</v>
      </c>
      <c r="D1809" s="8" t="s">
        <v>18</v>
      </c>
      <c r="E1809" s="8" t="s">
        <v>2217</v>
      </c>
      <c r="F1809" s="8" t="s">
        <v>2217</v>
      </c>
      <c r="G1809" s="8" t="s">
        <v>2217</v>
      </c>
      <c r="H1809" s="8">
        <v>541</v>
      </c>
      <c r="I1809" s="8">
        <v>541</v>
      </c>
      <c r="J1809" s="8">
        <v>0</v>
      </c>
      <c r="K1809" s="9">
        <v>45378</v>
      </c>
      <c r="L1809" s="8" t="s">
        <v>2222</v>
      </c>
      <c r="M1809" s="8" t="s">
        <v>43</v>
      </c>
      <c r="P1809" s="16" t="s">
        <v>1559</v>
      </c>
      <c r="Q1809" s="2" t="s">
        <v>16</v>
      </c>
    </row>
    <row r="1810" spans="1:17" ht="48.75">
      <c r="A1810" s="8" t="s">
        <v>3914</v>
      </c>
      <c r="B1810" s="8" t="s">
        <v>1830</v>
      </c>
      <c r="C1810" s="8" t="s">
        <v>2221</v>
      </c>
      <c r="D1810" s="8" t="s">
        <v>18</v>
      </c>
      <c r="E1810" s="8" t="s">
        <v>2217</v>
      </c>
      <c r="F1810" s="8" t="s">
        <v>2217</v>
      </c>
      <c r="G1810" s="8" t="s">
        <v>2217</v>
      </c>
      <c r="H1810" s="8">
        <v>10</v>
      </c>
      <c r="I1810" s="8">
        <v>10</v>
      </c>
      <c r="J1810" s="8">
        <v>0</v>
      </c>
      <c r="K1810" s="9">
        <v>45061</v>
      </c>
      <c r="L1810" s="8" t="s">
        <v>2222</v>
      </c>
      <c r="M1810" s="8" t="s">
        <v>43</v>
      </c>
      <c r="P1810" s="16" t="s">
        <v>1559</v>
      </c>
      <c r="Q1810" s="2" t="s">
        <v>16</v>
      </c>
    </row>
    <row r="1811" spans="1:17" ht="48.75">
      <c r="A1811" s="8" t="s">
        <v>3915</v>
      </c>
      <c r="B1811" s="8" t="s">
        <v>1831</v>
      </c>
      <c r="C1811" s="8" t="s">
        <v>2221</v>
      </c>
      <c r="D1811" s="8" t="s">
        <v>18</v>
      </c>
      <c r="E1811" s="8" t="s">
        <v>43</v>
      </c>
      <c r="F1811" s="8" t="s">
        <v>1822</v>
      </c>
      <c r="G1811" s="8" t="s">
        <v>2217</v>
      </c>
      <c r="H1811" s="8">
        <v>106</v>
      </c>
      <c r="I1811" s="8">
        <v>106</v>
      </c>
      <c r="J1811" s="8">
        <v>0</v>
      </c>
      <c r="K1811" s="9">
        <v>44160</v>
      </c>
      <c r="L1811" s="8" t="s">
        <v>2222</v>
      </c>
      <c r="M1811" s="8" t="s">
        <v>43</v>
      </c>
      <c r="P1811" s="16" t="s">
        <v>1559</v>
      </c>
      <c r="Q1811" s="2" t="s">
        <v>16</v>
      </c>
    </row>
    <row r="1812" spans="1:17" ht="48.75">
      <c r="A1812" s="8" t="s">
        <v>3916</v>
      </c>
      <c r="B1812" s="8" t="s">
        <v>1832</v>
      </c>
      <c r="C1812" s="8" t="s">
        <v>2221</v>
      </c>
      <c r="D1812" s="8" t="s">
        <v>18</v>
      </c>
      <c r="E1812" s="8" t="s">
        <v>43</v>
      </c>
      <c r="F1812" s="8" t="s">
        <v>1822</v>
      </c>
      <c r="G1812" s="8" t="s">
        <v>2217</v>
      </c>
      <c r="H1812" s="8">
        <v>165</v>
      </c>
      <c r="I1812" s="8">
        <v>165</v>
      </c>
      <c r="J1812" s="8">
        <v>0</v>
      </c>
      <c r="K1812" s="9">
        <v>44160</v>
      </c>
      <c r="L1812" s="8" t="s">
        <v>2222</v>
      </c>
      <c r="M1812" s="8" t="s">
        <v>43</v>
      </c>
      <c r="P1812" s="16" t="s">
        <v>1559</v>
      </c>
      <c r="Q1812" s="2" t="s">
        <v>16</v>
      </c>
    </row>
    <row r="1813" spans="1:17" ht="48.75">
      <c r="A1813" s="8" t="s">
        <v>3917</v>
      </c>
      <c r="B1813" s="8" t="s">
        <v>1833</v>
      </c>
      <c r="C1813" s="8" t="s">
        <v>2197</v>
      </c>
      <c r="D1813" s="8" t="s">
        <v>18</v>
      </c>
      <c r="E1813" s="8" t="s">
        <v>2217</v>
      </c>
      <c r="F1813" s="8" t="s">
        <v>2217</v>
      </c>
      <c r="G1813" s="8" t="s">
        <v>2217</v>
      </c>
      <c r="H1813" s="8">
        <v>760</v>
      </c>
      <c r="I1813" s="8">
        <v>760</v>
      </c>
      <c r="J1813" s="8">
        <v>48013011</v>
      </c>
      <c r="K1813" s="9">
        <v>45356</v>
      </c>
      <c r="L1813" s="9">
        <v>47119</v>
      </c>
      <c r="M1813" s="8" t="s">
        <v>16</v>
      </c>
      <c r="P1813" s="16" t="s">
        <v>1559</v>
      </c>
      <c r="Q1813" s="2" t="s">
        <v>16</v>
      </c>
    </row>
    <row r="1814" spans="1:17" ht="48.75">
      <c r="A1814" s="8" t="s">
        <v>3918</v>
      </c>
      <c r="B1814" s="8" t="s">
        <v>1834</v>
      </c>
      <c r="C1814" s="8" t="s">
        <v>2197</v>
      </c>
      <c r="D1814" s="8" t="s">
        <v>18</v>
      </c>
      <c r="E1814" s="8" t="s">
        <v>16</v>
      </c>
      <c r="F1814" s="8" t="s">
        <v>2228</v>
      </c>
      <c r="G1814" s="8" t="s">
        <v>3919</v>
      </c>
      <c r="H1814" s="8">
        <v>3242</v>
      </c>
      <c r="I1814" s="8">
        <v>2</v>
      </c>
      <c r="J1814" s="8">
        <v>47120811</v>
      </c>
      <c r="K1814" s="9">
        <v>45269</v>
      </c>
      <c r="L1814" s="9">
        <v>47088</v>
      </c>
      <c r="M1814" s="8" t="s">
        <v>16</v>
      </c>
      <c r="P1814" s="16" t="s">
        <v>1559</v>
      </c>
      <c r="Q1814" s="2" t="s">
        <v>16</v>
      </c>
    </row>
    <row r="1815" spans="1:17" ht="45">
      <c r="A1815" s="8" t="s">
        <v>3918</v>
      </c>
      <c r="B1815" s="8" t="s">
        <v>1834</v>
      </c>
      <c r="C1815" s="8" t="s">
        <v>2197</v>
      </c>
      <c r="D1815" s="8" t="s">
        <v>18</v>
      </c>
      <c r="E1815" s="8" t="s">
        <v>16</v>
      </c>
      <c r="F1815" s="8" t="s">
        <v>2228</v>
      </c>
      <c r="G1815" s="8" t="s">
        <v>3919</v>
      </c>
      <c r="H1815" s="8">
        <v>3242</v>
      </c>
      <c r="I1815" s="8">
        <v>3240</v>
      </c>
      <c r="J1815" s="8">
        <v>48042911</v>
      </c>
      <c r="K1815" s="9">
        <v>45427</v>
      </c>
      <c r="L1815" s="9">
        <v>47209</v>
      </c>
      <c r="M1815" s="8" t="s">
        <v>16</v>
      </c>
      <c r="P1815" s="16" t="s">
        <v>1566</v>
      </c>
      <c r="Q1815" s="2" t="s">
        <v>41</v>
      </c>
    </row>
    <row r="1816" spans="1:17" ht="45">
      <c r="A1816" s="8" t="s">
        <v>3920</v>
      </c>
      <c r="B1816" s="8" t="s">
        <v>1835</v>
      </c>
      <c r="C1816" s="8" t="s">
        <v>2197</v>
      </c>
      <c r="D1816" s="8" t="s">
        <v>18</v>
      </c>
      <c r="E1816" s="8" t="s">
        <v>16</v>
      </c>
      <c r="F1816" s="8" t="s">
        <v>2228</v>
      </c>
      <c r="G1816" s="8" t="s">
        <v>3919</v>
      </c>
      <c r="H1816" s="8">
        <v>4347</v>
      </c>
      <c r="I1816" s="8">
        <v>7</v>
      </c>
      <c r="J1816" s="8">
        <v>47120711</v>
      </c>
      <c r="K1816" s="9">
        <v>45269</v>
      </c>
      <c r="L1816" s="9">
        <v>47088</v>
      </c>
      <c r="M1816" s="8" t="s">
        <v>16</v>
      </c>
      <c r="P1816" s="16" t="s">
        <v>1567</v>
      </c>
      <c r="Q1816" s="2" t="s">
        <v>43</v>
      </c>
    </row>
    <row r="1817" spans="1:17" ht="45">
      <c r="A1817" s="8" t="s">
        <v>3920</v>
      </c>
      <c r="B1817" s="8" t="s">
        <v>1835</v>
      </c>
      <c r="C1817" s="8" t="s">
        <v>2197</v>
      </c>
      <c r="D1817" s="8" t="s">
        <v>18</v>
      </c>
      <c r="E1817" s="8" t="s">
        <v>16</v>
      </c>
      <c r="F1817" s="8" t="s">
        <v>2228</v>
      </c>
      <c r="G1817" s="8" t="s">
        <v>3919</v>
      </c>
      <c r="H1817" s="8">
        <v>4347</v>
      </c>
      <c r="I1817" s="8">
        <v>1740</v>
      </c>
      <c r="J1817" s="8">
        <v>48013111</v>
      </c>
      <c r="K1817" s="9">
        <v>45427</v>
      </c>
      <c r="L1817" s="9">
        <v>47119</v>
      </c>
      <c r="M1817" s="8" t="s">
        <v>16</v>
      </c>
      <c r="P1817" s="16" t="s">
        <v>1568</v>
      </c>
      <c r="Q1817" s="2" t="s">
        <v>16</v>
      </c>
    </row>
    <row r="1818" spans="1:17" ht="45">
      <c r="A1818" s="8" t="s">
        <v>3920</v>
      </c>
      <c r="B1818" s="8" t="s">
        <v>1835</v>
      </c>
      <c r="C1818" s="8" t="s">
        <v>2197</v>
      </c>
      <c r="D1818" s="8" t="s">
        <v>18</v>
      </c>
      <c r="E1818" s="8" t="s">
        <v>16</v>
      </c>
      <c r="F1818" s="8" t="s">
        <v>2228</v>
      </c>
      <c r="G1818" s="8" t="s">
        <v>3919</v>
      </c>
      <c r="H1818" s="8">
        <v>4347</v>
      </c>
      <c r="I1818" s="8">
        <v>2600</v>
      </c>
      <c r="J1818" s="8">
        <v>48042711</v>
      </c>
      <c r="K1818" s="9">
        <v>45412</v>
      </c>
      <c r="L1818" s="9">
        <v>47209</v>
      </c>
      <c r="M1818" s="8" t="s">
        <v>16</v>
      </c>
      <c r="P1818" s="16" t="s">
        <v>1570</v>
      </c>
      <c r="Q1818" s="2" t="s">
        <v>16</v>
      </c>
    </row>
    <row r="1819" spans="1:17" ht="45">
      <c r="A1819" s="8" t="s">
        <v>3921</v>
      </c>
      <c r="B1819" s="8" t="s">
        <v>1836</v>
      </c>
      <c r="C1819" s="8" t="s">
        <v>2203</v>
      </c>
      <c r="D1819" s="8" t="s">
        <v>18</v>
      </c>
      <c r="E1819" s="8" t="s">
        <v>16</v>
      </c>
      <c r="F1819" s="8" t="s">
        <v>2204</v>
      </c>
      <c r="G1819" s="8" t="s">
        <v>3922</v>
      </c>
      <c r="H1819" s="8">
        <v>945</v>
      </c>
      <c r="I1819" s="8">
        <v>945</v>
      </c>
      <c r="J1819" s="8" t="s">
        <v>1837</v>
      </c>
      <c r="K1819" s="9">
        <v>45005</v>
      </c>
      <c r="L1819" s="9">
        <v>46447</v>
      </c>
      <c r="M1819" s="8" t="s">
        <v>16</v>
      </c>
      <c r="P1819" s="16" t="s">
        <v>1572</v>
      </c>
      <c r="Q1819" s="2" t="s">
        <v>16</v>
      </c>
    </row>
    <row r="1820" spans="1:17" ht="45">
      <c r="A1820" s="8" t="s">
        <v>3928</v>
      </c>
      <c r="B1820" s="8" t="s">
        <v>1841</v>
      </c>
      <c r="C1820" s="8" t="s">
        <v>2197</v>
      </c>
      <c r="D1820" s="8" t="s">
        <v>18</v>
      </c>
      <c r="E1820" s="8" t="s">
        <v>16</v>
      </c>
      <c r="F1820" s="8" t="s">
        <v>2204</v>
      </c>
      <c r="G1820" s="8" t="s">
        <v>3929</v>
      </c>
      <c r="H1820" s="8">
        <v>89774</v>
      </c>
      <c r="I1820" s="8">
        <v>1</v>
      </c>
      <c r="J1820" s="8" t="s">
        <v>1842</v>
      </c>
      <c r="K1820" s="9">
        <v>44992</v>
      </c>
      <c r="L1820" s="9">
        <v>45992</v>
      </c>
      <c r="M1820" s="8" t="s">
        <v>16</v>
      </c>
      <c r="P1820" s="16" t="s">
        <v>1572</v>
      </c>
      <c r="Q1820" s="2" t="s">
        <v>16</v>
      </c>
    </row>
    <row r="1821" spans="1:17" ht="45">
      <c r="A1821" s="8" t="s">
        <v>3928</v>
      </c>
      <c r="B1821" s="8" t="s">
        <v>1841</v>
      </c>
      <c r="C1821" s="8" t="s">
        <v>2197</v>
      </c>
      <c r="D1821" s="8" t="s">
        <v>18</v>
      </c>
      <c r="E1821" s="8" t="s">
        <v>16</v>
      </c>
      <c r="F1821" s="8" t="s">
        <v>2204</v>
      </c>
      <c r="G1821" s="8" t="s">
        <v>3929</v>
      </c>
      <c r="H1821" s="8">
        <v>89774</v>
      </c>
      <c r="I1821" s="8">
        <v>2</v>
      </c>
      <c r="J1821" s="8" t="s">
        <v>1843</v>
      </c>
      <c r="K1821" s="9">
        <v>45297</v>
      </c>
      <c r="L1821" s="9">
        <v>45992</v>
      </c>
      <c r="M1821" s="8" t="s">
        <v>16</v>
      </c>
      <c r="P1821" s="16" t="s">
        <v>1573</v>
      </c>
      <c r="Q1821" s="2" t="s">
        <v>38</v>
      </c>
    </row>
    <row r="1822" spans="1:17" ht="45">
      <c r="A1822" s="8" t="s">
        <v>3928</v>
      </c>
      <c r="B1822" s="8" t="s">
        <v>1841</v>
      </c>
      <c r="C1822" s="8" t="s">
        <v>2197</v>
      </c>
      <c r="D1822" s="8" t="s">
        <v>18</v>
      </c>
      <c r="E1822" s="8" t="s">
        <v>16</v>
      </c>
      <c r="F1822" s="8" t="s">
        <v>2204</v>
      </c>
      <c r="G1822" s="8" t="s">
        <v>3929</v>
      </c>
      <c r="H1822" s="8">
        <v>89774</v>
      </c>
      <c r="I1822" s="8">
        <v>21</v>
      </c>
      <c r="J1822" s="8" t="s">
        <v>1844</v>
      </c>
      <c r="K1822" s="9">
        <v>45448</v>
      </c>
      <c r="L1822" s="9">
        <v>46082</v>
      </c>
      <c r="M1822" s="8" t="s">
        <v>16</v>
      </c>
      <c r="P1822" s="16" t="s">
        <v>1574</v>
      </c>
      <c r="Q1822" s="2" t="s">
        <v>38</v>
      </c>
    </row>
    <row r="1823" spans="1:17" ht="45">
      <c r="A1823" s="8" t="s">
        <v>3928</v>
      </c>
      <c r="B1823" s="8" t="s">
        <v>1841</v>
      </c>
      <c r="C1823" s="8" t="s">
        <v>2197</v>
      </c>
      <c r="D1823" s="8" t="s">
        <v>18</v>
      </c>
      <c r="E1823" s="8" t="s">
        <v>16</v>
      </c>
      <c r="F1823" s="8" t="s">
        <v>2204</v>
      </c>
      <c r="G1823" s="8" t="s">
        <v>3929</v>
      </c>
      <c r="H1823" s="8">
        <v>89774</v>
      </c>
      <c r="I1823" s="8">
        <v>70</v>
      </c>
      <c r="J1823" s="8" t="s">
        <v>1845</v>
      </c>
      <c r="K1823" s="9">
        <v>45313</v>
      </c>
      <c r="L1823" s="9">
        <v>45992</v>
      </c>
      <c r="M1823" s="8" t="s">
        <v>16</v>
      </c>
      <c r="P1823" s="16" t="s">
        <v>1575</v>
      </c>
      <c r="Q1823" s="2" t="s">
        <v>38</v>
      </c>
    </row>
    <row r="1824" spans="1:17" ht="45">
      <c r="A1824" s="8" t="s">
        <v>3928</v>
      </c>
      <c r="B1824" s="8" t="s">
        <v>1841</v>
      </c>
      <c r="C1824" s="8" t="s">
        <v>2197</v>
      </c>
      <c r="D1824" s="8" t="s">
        <v>18</v>
      </c>
      <c r="E1824" s="8" t="s">
        <v>16</v>
      </c>
      <c r="F1824" s="8" t="s">
        <v>2204</v>
      </c>
      <c r="G1824" s="8" t="s">
        <v>3929</v>
      </c>
      <c r="H1824" s="8">
        <v>89774</v>
      </c>
      <c r="I1824" s="8">
        <v>80</v>
      </c>
      <c r="J1824" s="8" t="s">
        <v>1846</v>
      </c>
      <c r="K1824" s="9">
        <v>45440</v>
      </c>
      <c r="L1824" s="9">
        <v>46113</v>
      </c>
      <c r="M1824" s="8" t="s">
        <v>16</v>
      </c>
      <c r="P1824" s="16" t="s">
        <v>1576</v>
      </c>
      <c r="Q1824" s="2" t="s">
        <v>16</v>
      </c>
    </row>
    <row r="1825" spans="1:17" ht="45">
      <c r="A1825" s="8" t="s">
        <v>3928</v>
      </c>
      <c r="B1825" s="8" t="s">
        <v>1841</v>
      </c>
      <c r="C1825" s="8" t="s">
        <v>2197</v>
      </c>
      <c r="D1825" s="8" t="s">
        <v>209</v>
      </c>
      <c r="E1825" s="8" t="s">
        <v>16</v>
      </c>
      <c r="F1825" s="8" t="s">
        <v>2204</v>
      </c>
      <c r="G1825" s="8" t="s">
        <v>3929</v>
      </c>
      <c r="H1825" s="8">
        <v>2000</v>
      </c>
      <c r="I1825" s="8">
        <v>2000</v>
      </c>
      <c r="J1825" s="8" t="s">
        <v>1847</v>
      </c>
      <c r="K1825" s="9">
        <v>45356</v>
      </c>
      <c r="L1825" s="9">
        <v>46023</v>
      </c>
      <c r="M1825" s="8" t="s">
        <v>16</v>
      </c>
      <c r="P1825" s="16" t="s">
        <v>1576</v>
      </c>
      <c r="Q1825" s="2" t="s">
        <v>16</v>
      </c>
    </row>
    <row r="1826" spans="1:17" ht="45">
      <c r="A1826" s="8" t="s">
        <v>3928</v>
      </c>
      <c r="B1826" s="8" t="s">
        <v>1841</v>
      </c>
      <c r="C1826" s="8" t="s">
        <v>2197</v>
      </c>
      <c r="D1826" s="8" t="s">
        <v>18</v>
      </c>
      <c r="E1826" s="8" t="s">
        <v>16</v>
      </c>
      <c r="F1826" s="8" t="s">
        <v>2204</v>
      </c>
      <c r="G1826" s="8" t="s">
        <v>3929</v>
      </c>
      <c r="H1826" s="8">
        <v>89774</v>
      </c>
      <c r="I1826" s="8">
        <v>4000</v>
      </c>
      <c r="J1826" s="8" t="s">
        <v>1848</v>
      </c>
      <c r="K1826" s="9">
        <v>45386</v>
      </c>
      <c r="L1826" s="9">
        <v>46054</v>
      </c>
      <c r="M1826" s="8" t="s">
        <v>16</v>
      </c>
      <c r="P1826" s="16" t="s">
        <v>1576</v>
      </c>
      <c r="Q1826" s="2" t="s">
        <v>16</v>
      </c>
    </row>
    <row r="1827" spans="1:17" ht="45">
      <c r="A1827" s="8" t="s">
        <v>3928</v>
      </c>
      <c r="B1827" s="8" t="s">
        <v>1841</v>
      </c>
      <c r="C1827" s="8" t="s">
        <v>2197</v>
      </c>
      <c r="D1827" s="8" t="s">
        <v>18</v>
      </c>
      <c r="E1827" s="8" t="s">
        <v>16</v>
      </c>
      <c r="F1827" s="8" t="s">
        <v>2204</v>
      </c>
      <c r="G1827" s="8" t="s">
        <v>3929</v>
      </c>
      <c r="H1827" s="8">
        <v>89774</v>
      </c>
      <c r="I1827" s="8">
        <v>4000</v>
      </c>
      <c r="J1827" s="8" t="s">
        <v>1849</v>
      </c>
      <c r="K1827" s="9">
        <v>45386</v>
      </c>
      <c r="L1827" s="9">
        <v>46054</v>
      </c>
      <c r="M1827" s="8" t="s">
        <v>16</v>
      </c>
      <c r="P1827" s="16" t="s">
        <v>1577</v>
      </c>
      <c r="Q1827" s="2" t="s">
        <v>16</v>
      </c>
    </row>
    <row r="1828" spans="1:17" ht="45">
      <c r="A1828" s="8" t="s">
        <v>3928</v>
      </c>
      <c r="B1828" s="8" t="s">
        <v>1841</v>
      </c>
      <c r="C1828" s="8" t="s">
        <v>2197</v>
      </c>
      <c r="D1828" s="8" t="s">
        <v>18</v>
      </c>
      <c r="E1828" s="8" t="s">
        <v>16</v>
      </c>
      <c r="F1828" s="8" t="s">
        <v>2204</v>
      </c>
      <c r="G1828" s="8" t="s">
        <v>3929</v>
      </c>
      <c r="H1828" s="8">
        <v>89774</v>
      </c>
      <c r="I1828" s="8">
        <v>5600</v>
      </c>
      <c r="J1828" s="8" t="s">
        <v>1850</v>
      </c>
      <c r="K1828" s="9">
        <v>45386</v>
      </c>
      <c r="L1828" s="9">
        <v>46054</v>
      </c>
      <c r="M1828" s="8" t="s">
        <v>16</v>
      </c>
      <c r="P1828" s="16" t="s">
        <v>1578</v>
      </c>
      <c r="Q1828" s="2" t="s">
        <v>16</v>
      </c>
    </row>
    <row r="1829" spans="1:17" ht="48.75">
      <c r="A1829" s="8" t="s">
        <v>3928</v>
      </c>
      <c r="B1829" s="8" t="s">
        <v>1841</v>
      </c>
      <c r="C1829" s="8" t="s">
        <v>2197</v>
      </c>
      <c r="D1829" s="8" t="s">
        <v>18</v>
      </c>
      <c r="E1829" s="8" t="s">
        <v>16</v>
      </c>
      <c r="F1829" s="8" t="s">
        <v>2204</v>
      </c>
      <c r="G1829" s="8" t="s">
        <v>3929</v>
      </c>
      <c r="H1829" s="8">
        <v>89774</v>
      </c>
      <c r="I1829" s="8">
        <v>7200</v>
      </c>
      <c r="J1829" s="8" t="s">
        <v>1851</v>
      </c>
      <c r="K1829" s="9">
        <v>45386</v>
      </c>
      <c r="L1829" s="9">
        <v>46054</v>
      </c>
      <c r="M1829" s="8" t="s">
        <v>16</v>
      </c>
      <c r="P1829" s="16" t="s">
        <v>1579</v>
      </c>
      <c r="Q1829" s="2" t="s">
        <v>16</v>
      </c>
    </row>
    <row r="1830" spans="1:17" ht="48.75">
      <c r="A1830" s="8" t="s">
        <v>3928</v>
      </c>
      <c r="B1830" s="8" t="s">
        <v>1841</v>
      </c>
      <c r="C1830" s="8" t="s">
        <v>2197</v>
      </c>
      <c r="D1830" s="8" t="s">
        <v>18</v>
      </c>
      <c r="E1830" s="8" t="s">
        <v>16</v>
      </c>
      <c r="F1830" s="8" t="s">
        <v>2204</v>
      </c>
      <c r="G1830" s="8" t="s">
        <v>3929</v>
      </c>
      <c r="H1830" s="8">
        <v>89774</v>
      </c>
      <c r="I1830" s="8">
        <v>7200</v>
      </c>
      <c r="J1830" s="8" t="s">
        <v>1852</v>
      </c>
      <c r="K1830" s="9">
        <v>45386</v>
      </c>
      <c r="L1830" s="9">
        <v>46054</v>
      </c>
      <c r="M1830" s="8" t="s">
        <v>16</v>
      </c>
      <c r="P1830" s="16" t="s">
        <v>1579</v>
      </c>
      <c r="Q1830" s="2" t="s">
        <v>16</v>
      </c>
    </row>
    <row r="1831" spans="1:17" ht="48.75">
      <c r="A1831" s="8" t="s">
        <v>3928</v>
      </c>
      <c r="B1831" s="8" t="s">
        <v>1841</v>
      </c>
      <c r="C1831" s="8" t="s">
        <v>2197</v>
      </c>
      <c r="D1831" s="8" t="s">
        <v>18</v>
      </c>
      <c r="E1831" s="8" t="s">
        <v>16</v>
      </c>
      <c r="F1831" s="8" t="s">
        <v>2204</v>
      </c>
      <c r="G1831" s="8" t="s">
        <v>3929</v>
      </c>
      <c r="H1831" s="8">
        <v>89774</v>
      </c>
      <c r="I1831" s="8">
        <v>7200</v>
      </c>
      <c r="J1831" s="8" t="s">
        <v>1853</v>
      </c>
      <c r="K1831" s="9">
        <v>45386</v>
      </c>
      <c r="L1831" s="9">
        <v>46054</v>
      </c>
      <c r="M1831" s="8" t="s">
        <v>16</v>
      </c>
      <c r="P1831" s="16" t="s">
        <v>1579</v>
      </c>
      <c r="Q1831" s="2" t="s">
        <v>16</v>
      </c>
    </row>
    <row r="1832" spans="1:17" ht="45">
      <c r="A1832" s="8" t="s">
        <v>3928</v>
      </c>
      <c r="B1832" s="8" t="s">
        <v>1841</v>
      </c>
      <c r="C1832" s="8" t="s">
        <v>2197</v>
      </c>
      <c r="D1832" s="8" t="s">
        <v>18</v>
      </c>
      <c r="E1832" s="8" t="s">
        <v>16</v>
      </c>
      <c r="F1832" s="8" t="s">
        <v>2204</v>
      </c>
      <c r="G1832" s="8" t="s">
        <v>3929</v>
      </c>
      <c r="H1832" s="8">
        <v>89774</v>
      </c>
      <c r="I1832" s="8">
        <v>9760</v>
      </c>
      <c r="J1832" s="8" t="s">
        <v>1854</v>
      </c>
      <c r="K1832" s="9">
        <v>45063</v>
      </c>
      <c r="L1832" s="9">
        <v>46023</v>
      </c>
      <c r="M1832" s="8" t="s">
        <v>16</v>
      </c>
      <c r="P1832" s="17" t="s">
        <v>1580</v>
      </c>
      <c r="Q1832" s="2" t="s">
        <v>16</v>
      </c>
    </row>
    <row r="1833" spans="1:17" ht="45">
      <c r="A1833" s="8" t="s">
        <v>3928</v>
      </c>
      <c r="B1833" s="8" t="s">
        <v>1841</v>
      </c>
      <c r="C1833" s="8" t="s">
        <v>2197</v>
      </c>
      <c r="D1833" s="8" t="s">
        <v>18</v>
      </c>
      <c r="E1833" s="8" t="s">
        <v>16</v>
      </c>
      <c r="F1833" s="8" t="s">
        <v>2204</v>
      </c>
      <c r="G1833" s="8" t="s">
        <v>3929</v>
      </c>
      <c r="H1833" s="8">
        <v>89774</v>
      </c>
      <c r="I1833" s="8">
        <v>9920</v>
      </c>
      <c r="J1833" s="8" t="s">
        <v>1855</v>
      </c>
      <c r="K1833" s="9">
        <v>45313</v>
      </c>
      <c r="L1833" s="9">
        <v>45992</v>
      </c>
      <c r="M1833" s="8" t="s">
        <v>16</v>
      </c>
      <c r="P1833" s="17" t="s">
        <v>1580</v>
      </c>
      <c r="Q1833" s="2" t="s">
        <v>16</v>
      </c>
    </row>
    <row r="1834" spans="1:17" ht="48.75">
      <c r="A1834" s="8" t="s">
        <v>3928</v>
      </c>
      <c r="B1834" s="8" t="s">
        <v>1841</v>
      </c>
      <c r="C1834" s="8" t="s">
        <v>2197</v>
      </c>
      <c r="D1834" s="8" t="s">
        <v>18</v>
      </c>
      <c r="E1834" s="8" t="s">
        <v>16</v>
      </c>
      <c r="F1834" s="8" t="s">
        <v>2204</v>
      </c>
      <c r="G1834" s="8" t="s">
        <v>3929</v>
      </c>
      <c r="H1834" s="8">
        <v>89774</v>
      </c>
      <c r="I1834" s="8">
        <v>17360</v>
      </c>
      <c r="J1834" s="8" t="s">
        <v>1856</v>
      </c>
      <c r="K1834" s="9">
        <v>45422</v>
      </c>
      <c r="L1834" s="9">
        <v>46113</v>
      </c>
      <c r="M1834" s="8" t="s">
        <v>16</v>
      </c>
      <c r="P1834" s="16" t="s">
        <v>1581</v>
      </c>
      <c r="Q1834" s="2" t="s">
        <v>16</v>
      </c>
    </row>
    <row r="1835" spans="1:17" ht="48.75">
      <c r="A1835" s="8" t="s">
        <v>3928</v>
      </c>
      <c r="B1835" s="8" t="s">
        <v>1841</v>
      </c>
      <c r="C1835" s="8" t="s">
        <v>2197</v>
      </c>
      <c r="D1835" s="8" t="s">
        <v>18</v>
      </c>
      <c r="E1835" s="8" t="s">
        <v>16</v>
      </c>
      <c r="F1835" s="8" t="s">
        <v>2204</v>
      </c>
      <c r="G1835" s="8" t="s">
        <v>3929</v>
      </c>
      <c r="H1835" s="8">
        <v>89774</v>
      </c>
      <c r="I1835" s="8">
        <v>17360</v>
      </c>
      <c r="J1835" s="8" t="s">
        <v>1857</v>
      </c>
      <c r="K1835" s="9">
        <v>45422</v>
      </c>
      <c r="L1835" s="9">
        <v>46113</v>
      </c>
      <c r="M1835" s="8" t="s">
        <v>16</v>
      </c>
      <c r="P1835" s="16" t="s">
        <v>1583</v>
      </c>
      <c r="Q1835" s="2" t="s">
        <v>16</v>
      </c>
    </row>
    <row r="1836" spans="1:17" ht="45">
      <c r="A1836" s="8" t="s">
        <v>3930</v>
      </c>
      <c r="B1836" s="8" t="s">
        <v>1858</v>
      </c>
      <c r="C1836" s="8" t="s">
        <v>2197</v>
      </c>
      <c r="D1836" s="8" t="s">
        <v>18</v>
      </c>
      <c r="E1836" s="8" t="s">
        <v>16</v>
      </c>
      <c r="F1836" s="8" t="s">
        <v>2204</v>
      </c>
      <c r="G1836" s="8" t="s">
        <v>2217</v>
      </c>
      <c r="H1836" s="8">
        <v>1</v>
      </c>
      <c r="I1836" s="8">
        <v>1</v>
      </c>
      <c r="J1836" s="8" t="s">
        <v>1859</v>
      </c>
      <c r="K1836" s="9">
        <v>45359</v>
      </c>
      <c r="L1836" s="9">
        <v>45992</v>
      </c>
      <c r="M1836" s="8" t="s">
        <v>16</v>
      </c>
      <c r="P1836" s="16" t="s">
        <v>1585</v>
      </c>
      <c r="Q1836" s="2" t="s">
        <v>38</v>
      </c>
    </row>
    <row r="1837" spans="1:17" ht="45">
      <c r="A1837" s="8" t="s">
        <v>3931</v>
      </c>
      <c r="B1837" s="8" t="s">
        <v>1858</v>
      </c>
      <c r="C1837" s="8" t="s">
        <v>2197</v>
      </c>
      <c r="D1837" s="8" t="s">
        <v>852</v>
      </c>
      <c r="E1837" s="8" t="s">
        <v>16</v>
      </c>
      <c r="F1837" s="8" t="s">
        <v>2204</v>
      </c>
      <c r="G1837" s="8" t="s">
        <v>3929</v>
      </c>
      <c r="H1837" s="8">
        <v>50</v>
      </c>
      <c r="I1837" s="8">
        <v>50</v>
      </c>
      <c r="J1837" s="8" t="s">
        <v>1860</v>
      </c>
      <c r="K1837" s="9">
        <v>45422</v>
      </c>
      <c r="L1837" s="9">
        <v>46113</v>
      </c>
      <c r="M1837" s="8" t="s">
        <v>16</v>
      </c>
      <c r="P1837" s="16" t="s">
        <v>1586</v>
      </c>
      <c r="Q1837" s="2" t="s">
        <v>151</v>
      </c>
    </row>
    <row r="1838" spans="1:17" ht="48.75">
      <c r="A1838" s="8" t="s">
        <v>3931</v>
      </c>
      <c r="B1838" s="8" t="s">
        <v>1858</v>
      </c>
      <c r="C1838" s="8" t="s">
        <v>2197</v>
      </c>
      <c r="D1838" s="8" t="s">
        <v>18</v>
      </c>
      <c r="E1838" s="8" t="s">
        <v>16</v>
      </c>
      <c r="F1838" s="8" t="s">
        <v>2204</v>
      </c>
      <c r="G1838" s="8" t="s">
        <v>3929</v>
      </c>
      <c r="H1838" s="8">
        <v>38480</v>
      </c>
      <c r="I1838" s="8">
        <v>6530</v>
      </c>
      <c r="J1838" s="8" t="s">
        <v>1861</v>
      </c>
      <c r="K1838" s="9">
        <v>45419</v>
      </c>
      <c r="L1838" s="9">
        <v>46113</v>
      </c>
      <c r="M1838" s="8" t="s">
        <v>16</v>
      </c>
      <c r="P1838" s="16" t="s">
        <v>1587</v>
      </c>
      <c r="Q1838" s="2" t="s">
        <v>16</v>
      </c>
    </row>
    <row r="1839" spans="1:17" ht="45">
      <c r="A1839" s="8" t="s">
        <v>3931</v>
      </c>
      <c r="B1839" s="8" t="s">
        <v>1858</v>
      </c>
      <c r="C1839" s="8" t="s">
        <v>2197</v>
      </c>
      <c r="D1839" s="8" t="s">
        <v>209</v>
      </c>
      <c r="E1839" s="8" t="s">
        <v>16</v>
      </c>
      <c r="F1839" s="8" t="s">
        <v>2204</v>
      </c>
      <c r="G1839" s="8" t="s">
        <v>3929</v>
      </c>
      <c r="H1839" s="8">
        <v>14150</v>
      </c>
      <c r="I1839" s="8">
        <v>14150</v>
      </c>
      <c r="J1839" s="8" t="s">
        <v>1862</v>
      </c>
      <c r="K1839" s="9">
        <v>45356</v>
      </c>
      <c r="L1839" s="9">
        <v>46023</v>
      </c>
      <c r="M1839" s="8" t="s">
        <v>16</v>
      </c>
      <c r="P1839" s="16" t="s">
        <v>1589</v>
      </c>
      <c r="Q1839" s="2" t="s">
        <v>38</v>
      </c>
    </row>
    <row r="1840" spans="1:17" ht="45">
      <c r="A1840" s="8" t="s">
        <v>3931</v>
      </c>
      <c r="B1840" s="8" t="s">
        <v>1858</v>
      </c>
      <c r="C1840" s="8" t="s">
        <v>2197</v>
      </c>
      <c r="D1840" s="8" t="s">
        <v>18</v>
      </c>
      <c r="E1840" s="8" t="s">
        <v>16</v>
      </c>
      <c r="F1840" s="8" t="s">
        <v>2204</v>
      </c>
      <c r="G1840" s="8" t="s">
        <v>3929</v>
      </c>
      <c r="H1840" s="8">
        <v>38480</v>
      </c>
      <c r="I1840" s="8">
        <v>15950</v>
      </c>
      <c r="J1840" s="8" t="s">
        <v>1863</v>
      </c>
      <c r="K1840" s="9">
        <v>45422</v>
      </c>
      <c r="L1840" s="9">
        <v>46113</v>
      </c>
      <c r="M1840" s="8" t="s">
        <v>16</v>
      </c>
      <c r="P1840" s="16" t="s">
        <v>1590</v>
      </c>
      <c r="Q1840" s="2" t="s">
        <v>16</v>
      </c>
    </row>
    <row r="1841" spans="1:17" ht="45">
      <c r="A1841" s="8" t="s">
        <v>3931</v>
      </c>
      <c r="B1841" s="8" t="s">
        <v>1858</v>
      </c>
      <c r="C1841" s="8" t="s">
        <v>2197</v>
      </c>
      <c r="D1841" s="8" t="s">
        <v>18</v>
      </c>
      <c r="E1841" s="8" t="s">
        <v>16</v>
      </c>
      <c r="F1841" s="8" t="s">
        <v>2204</v>
      </c>
      <c r="G1841" s="8" t="s">
        <v>3929</v>
      </c>
      <c r="H1841" s="8">
        <v>38480</v>
      </c>
      <c r="I1841" s="8">
        <v>16000</v>
      </c>
      <c r="J1841" s="8" t="s">
        <v>1860</v>
      </c>
      <c r="K1841" s="9">
        <v>45422</v>
      </c>
      <c r="L1841" s="9">
        <v>46113</v>
      </c>
      <c r="M1841" s="8" t="s">
        <v>16</v>
      </c>
      <c r="P1841" s="16" t="s">
        <v>1590</v>
      </c>
      <c r="Q1841" s="2" t="s">
        <v>16</v>
      </c>
    </row>
    <row r="1842" spans="1:17" ht="45">
      <c r="A1842" s="8" t="s">
        <v>3932</v>
      </c>
      <c r="B1842" s="8" t="s">
        <v>1864</v>
      </c>
      <c r="C1842" s="8" t="s">
        <v>2221</v>
      </c>
      <c r="D1842" s="8" t="s">
        <v>18</v>
      </c>
      <c r="E1842" s="8" t="s">
        <v>101</v>
      </c>
      <c r="F1842" s="8" t="s">
        <v>101</v>
      </c>
      <c r="G1842" s="8" t="s">
        <v>2217</v>
      </c>
      <c r="H1842" s="8">
        <v>20</v>
      </c>
      <c r="I1842" s="8">
        <v>20</v>
      </c>
      <c r="J1842" s="8">
        <v>0</v>
      </c>
      <c r="K1842" s="9">
        <v>44145</v>
      </c>
      <c r="L1842" s="8" t="s">
        <v>2222</v>
      </c>
      <c r="M1842" s="8" t="s">
        <v>41</v>
      </c>
      <c r="P1842" s="16" t="s">
        <v>1590</v>
      </c>
      <c r="Q1842" s="2" t="s">
        <v>16</v>
      </c>
    </row>
    <row r="1843" spans="1:17" ht="120">
      <c r="A1843" s="8" t="s">
        <v>3933</v>
      </c>
      <c r="B1843" s="8" t="s">
        <v>1865</v>
      </c>
      <c r="C1843" s="8" t="s">
        <v>2221</v>
      </c>
      <c r="D1843" s="8" t="s">
        <v>18</v>
      </c>
      <c r="E1843" s="8" t="s">
        <v>101</v>
      </c>
      <c r="F1843" s="8" t="s">
        <v>101</v>
      </c>
      <c r="G1843" s="8" t="s">
        <v>3934</v>
      </c>
      <c r="H1843" s="8">
        <v>34</v>
      </c>
      <c r="I1843" s="8">
        <v>34</v>
      </c>
      <c r="J1843" s="8">
        <v>0</v>
      </c>
      <c r="K1843" s="8" t="s">
        <v>2222</v>
      </c>
      <c r="L1843" s="8" t="s">
        <v>2222</v>
      </c>
      <c r="M1843" s="8" t="s">
        <v>101</v>
      </c>
      <c r="P1843" s="16" t="s">
        <v>1594</v>
      </c>
      <c r="Q1843" s="2" t="s">
        <v>16</v>
      </c>
    </row>
    <row r="1844" spans="1:17" ht="75">
      <c r="A1844" s="8" t="s">
        <v>3937</v>
      </c>
      <c r="B1844" s="8" t="s">
        <v>1867</v>
      </c>
      <c r="C1844" s="8" t="s">
        <v>2221</v>
      </c>
      <c r="D1844" s="8" t="s">
        <v>18</v>
      </c>
      <c r="E1844" s="8" t="s">
        <v>101</v>
      </c>
      <c r="F1844" s="8" t="s">
        <v>2536</v>
      </c>
      <c r="G1844" s="8" t="s">
        <v>2217</v>
      </c>
      <c r="H1844" s="8">
        <v>2</v>
      </c>
      <c r="I1844" s="8">
        <v>2</v>
      </c>
      <c r="J1844" s="8">
        <v>0</v>
      </c>
      <c r="K1844" s="9">
        <v>44161</v>
      </c>
      <c r="L1844" s="8" t="s">
        <v>2222</v>
      </c>
      <c r="M1844" s="8" t="s">
        <v>41</v>
      </c>
      <c r="P1844" s="16" t="s">
        <v>1594</v>
      </c>
      <c r="Q1844" s="2" t="s">
        <v>16</v>
      </c>
    </row>
    <row r="1845" spans="1:17" ht="105">
      <c r="A1845" s="8" t="s">
        <v>3938</v>
      </c>
      <c r="B1845" s="8" t="s">
        <v>1868</v>
      </c>
      <c r="C1845" s="8" t="s">
        <v>3417</v>
      </c>
      <c r="D1845" s="8" t="s">
        <v>18</v>
      </c>
      <c r="E1845" s="8" t="s">
        <v>101</v>
      </c>
      <c r="F1845" s="8" t="s">
        <v>1875</v>
      </c>
      <c r="G1845" s="8" t="s">
        <v>3939</v>
      </c>
      <c r="H1845" s="8">
        <v>1</v>
      </c>
      <c r="I1845" s="8">
        <v>1</v>
      </c>
      <c r="J1845" s="8">
        <v>0</v>
      </c>
      <c r="K1845" s="8" t="s">
        <v>2222</v>
      </c>
      <c r="L1845" s="8" t="s">
        <v>2222</v>
      </c>
      <c r="M1845" s="8" t="s">
        <v>38</v>
      </c>
      <c r="P1845" s="17" t="s">
        <v>1597</v>
      </c>
      <c r="Q1845" s="2" t="s">
        <v>16</v>
      </c>
    </row>
    <row r="1846" spans="1:17" ht="105">
      <c r="A1846" s="8" t="s">
        <v>3940</v>
      </c>
      <c r="B1846" s="8" t="s">
        <v>1869</v>
      </c>
      <c r="C1846" s="8" t="s">
        <v>3417</v>
      </c>
      <c r="D1846" s="8" t="s">
        <v>18</v>
      </c>
      <c r="E1846" s="8" t="s">
        <v>101</v>
      </c>
      <c r="F1846" s="8" t="s">
        <v>1875</v>
      </c>
      <c r="G1846" s="8" t="s">
        <v>3939</v>
      </c>
      <c r="H1846" s="8">
        <v>1</v>
      </c>
      <c r="I1846" s="8">
        <v>1</v>
      </c>
      <c r="J1846" s="8">
        <v>0</v>
      </c>
      <c r="K1846" s="8" t="s">
        <v>2222</v>
      </c>
      <c r="L1846" s="8" t="s">
        <v>2222</v>
      </c>
      <c r="M1846" s="8" t="s">
        <v>38</v>
      </c>
      <c r="P1846" s="17" t="s">
        <v>1599</v>
      </c>
      <c r="Q1846" s="2" t="s">
        <v>16</v>
      </c>
    </row>
    <row r="1847" spans="1:17" ht="105">
      <c r="A1847" s="8" t="s">
        <v>3941</v>
      </c>
      <c r="B1847" s="8" t="s">
        <v>1870</v>
      </c>
      <c r="C1847" s="8" t="s">
        <v>3417</v>
      </c>
      <c r="D1847" s="8" t="s">
        <v>18</v>
      </c>
      <c r="E1847" s="8" t="s">
        <v>101</v>
      </c>
      <c r="F1847" s="8" t="s">
        <v>1875</v>
      </c>
      <c r="G1847" s="8" t="s">
        <v>3939</v>
      </c>
      <c r="H1847" s="8">
        <v>1</v>
      </c>
      <c r="I1847" s="8">
        <v>1</v>
      </c>
      <c r="J1847" s="8">
        <v>0</v>
      </c>
      <c r="K1847" s="8" t="s">
        <v>2222</v>
      </c>
      <c r="L1847" s="8" t="s">
        <v>2222</v>
      </c>
      <c r="M1847" s="8" t="s">
        <v>38</v>
      </c>
      <c r="P1847" s="16" t="s">
        <v>1600</v>
      </c>
      <c r="Q1847" s="2" t="s">
        <v>16</v>
      </c>
    </row>
    <row r="1848" spans="1:17" ht="105">
      <c r="A1848" s="8" t="s">
        <v>3942</v>
      </c>
      <c r="B1848" s="8" t="s">
        <v>1871</v>
      </c>
      <c r="C1848" s="8" t="s">
        <v>3417</v>
      </c>
      <c r="D1848" s="8" t="s">
        <v>18</v>
      </c>
      <c r="E1848" s="8" t="s">
        <v>101</v>
      </c>
      <c r="F1848" s="8" t="s">
        <v>1875</v>
      </c>
      <c r="G1848" s="8" t="s">
        <v>3939</v>
      </c>
      <c r="H1848" s="8">
        <v>1</v>
      </c>
      <c r="I1848" s="8">
        <v>1</v>
      </c>
      <c r="J1848" s="8">
        <v>0</v>
      </c>
      <c r="K1848" s="8" t="s">
        <v>2222</v>
      </c>
      <c r="L1848" s="8" t="s">
        <v>2222</v>
      </c>
      <c r="M1848" s="8" t="s">
        <v>38</v>
      </c>
      <c r="P1848" s="17" t="s">
        <v>1602</v>
      </c>
      <c r="Q1848" s="2" t="s">
        <v>16</v>
      </c>
    </row>
    <row r="1849" spans="1:17" ht="105">
      <c r="A1849" s="8" t="s">
        <v>3943</v>
      </c>
      <c r="B1849" s="8" t="s">
        <v>1872</v>
      </c>
      <c r="C1849" s="8" t="s">
        <v>3417</v>
      </c>
      <c r="D1849" s="8" t="s">
        <v>18</v>
      </c>
      <c r="E1849" s="8" t="s">
        <v>101</v>
      </c>
      <c r="F1849" s="8" t="s">
        <v>1875</v>
      </c>
      <c r="G1849" s="8" t="s">
        <v>3939</v>
      </c>
      <c r="H1849" s="8">
        <v>1</v>
      </c>
      <c r="I1849" s="8">
        <v>1</v>
      </c>
      <c r="J1849" s="8">
        <v>0</v>
      </c>
      <c r="K1849" s="8" t="s">
        <v>2222</v>
      </c>
      <c r="L1849" s="8" t="s">
        <v>2222</v>
      </c>
      <c r="M1849" s="8" t="s">
        <v>38</v>
      </c>
      <c r="P1849" s="17" t="s">
        <v>1603</v>
      </c>
      <c r="Q1849" s="2" t="s">
        <v>41</v>
      </c>
    </row>
    <row r="1850" spans="1:17" ht="105">
      <c r="A1850" s="8" t="s">
        <v>3944</v>
      </c>
      <c r="B1850" s="8" t="s">
        <v>1873</v>
      </c>
      <c r="C1850" s="8" t="s">
        <v>3417</v>
      </c>
      <c r="D1850" s="8" t="s">
        <v>18</v>
      </c>
      <c r="E1850" s="8" t="s">
        <v>101</v>
      </c>
      <c r="F1850" s="8" t="s">
        <v>1875</v>
      </c>
      <c r="G1850" s="8" t="s">
        <v>3939</v>
      </c>
      <c r="H1850" s="8">
        <v>1</v>
      </c>
      <c r="I1850" s="8">
        <v>1</v>
      </c>
      <c r="J1850" s="8">
        <v>0</v>
      </c>
      <c r="K1850" s="8" t="s">
        <v>2222</v>
      </c>
      <c r="L1850" s="8" t="s">
        <v>2222</v>
      </c>
      <c r="M1850" s="8" t="s">
        <v>38</v>
      </c>
      <c r="P1850" s="17" t="s">
        <v>1604</v>
      </c>
      <c r="Q1850" s="2" t="s">
        <v>41</v>
      </c>
    </row>
    <row r="1851" spans="1:17" ht="90">
      <c r="A1851" s="8" t="s">
        <v>3945</v>
      </c>
      <c r="B1851" s="8" t="s">
        <v>1874</v>
      </c>
      <c r="C1851" s="8" t="s">
        <v>2221</v>
      </c>
      <c r="D1851" s="8" t="s">
        <v>18</v>
      </c>
      <c r="E1851" s="8" t="s">
        <v>101</v>
      </c>
      <c r="F1851" s="8" t="s">
        <v>2498</v>
      </c>
      <c r="G1851" s="8" t="s">
        <v>3946</v>
      </c>
      <c r="H1851" s="8">
        <v>35</v>
      </c>
      <c r="I1851" s="8">
        <v>35</v>
      </c>
      <c r="J1851" s="8">
        <v>0</v>
      </c>
      <c r="K1851" s="9">
        <v>44161</v>
      </c>
      <c r="L1851" s="8" t="s">
        <v>2222</v>
      </c>
      <c r="M1851" s="8" t="s">
        <v>41</v>
      </c>
      <c r="P1851" s="17" t="s">
        <v>1605</v>
      </c>
      <c r="Q1851" s="2" t="s">
        <v>41</v>
      </c>
    </row>
    <row r="1852" spans="1:17" ht="90">
      <c r="A1852" s="8" t="s">
        <v>3947</v>
      </c>
      <c r="B1852" s="8" t="s">
        <v>1874</v>
      </c>
      <c r="C1852" s="8" t="s">
        <v>2221</v>
      </c>
      <c r="D1852" s="8" t="s">
        <v>18</v>
      </c>
      <c r="E1852" s="8" t="s">
        <v>101</v>
      </c>
      <c r="F1852" s="8" t="s">
        <v>2498</v>
      </c>
      <c r="G1852" s="8" t="s">
        <v>3946</v>
      </c>
      <c r="H1852" s="8">
        <v>782</v>
      </c>
      <c r="I1852" s="8">
        <v>782</v>
      </c>
      <c r="J1852" s="8">
        <v>0</v>
      </c>
      <c r="K1852" s="9">
        <v>44146</v>
      </c>
      <c r="L1852" s="8" t="s">
        <v>2222</v>
      </c>
      <c r="M1852" s="8" t="s">
        <v>41</v>
      </c>
      <c r="P1852" s="17" t="s">
        <v>1605</v>
      </c>
      <c r="Q1852" s="2" t="s">
        <v>41</v>
      </c>
    </row>
    <row r="1853" spans="1:17" ht="30">
      <c r="A1853" s="8" t="s">
        <v>3948</v>
      </c>
      <c r="B1853" s="8" t="s">
        <v>1875</v>
      </c>
      <c r="C1853" s="8" t="s">
        <v>2221</v>
      </c>
      <c r="D1853" s="8" t="s">
        <v>18</v>
      </c>
      <c r="E1853" s="8" t="s">
        <v>2217</v>
      </c>
      <c r="F1853" s="8" t="s">
        <v>2217</v>
      </c>
      <c r="G1853" s="8" t="s">
        <v>2217</v>
      </c>
      <c r="H1853" s="8">
        <v>15</v>
      </c>
      <c r="I1853" s="8">
        <v>15</v>
      </c>
      <c r="J1853" s="8">
        <v>0</v>
      </c>
      <c r="K1853" s="9">
        <v>45090</v>
      </c>
      <c r="L1853" s="8" t="s">
        <v>2222</v>
      </c>
      <c r="M1853" s="8" t="s">
        <v>43</v>
      </c>
      <c r="P1853" s="16" t="s">
        <v>1606</v>
      </c>
      <c r="Q1853" s="2" t="s">
        <v>43</v>
      </c>
    </row>
    <row r="1854" spans="1:17" ht="48.75">
      <c r="A1854" s="8" t="s">
        <v>3949</v>
      </c>
      <c r="B1854" s="8" t="s">
        <v>1876</v>
      </c>
      <c r="C1854" s="8" t="s">
        <v>2221</v>
      </c>
      <c r="D1854" s="8" t="s">
        <v>18</v>
      </c>
      <c r="E1854" s="8" t="s">
        <v>101</v>
      </c>
      <c r="F1854" s="8" t="s">
        <v>2536</v>
      </c>
      <c r="G1854" s="8" t="s">
        <v>1876</v>
      </c>
      <c r="H1854" s="8">
        <v>185</v>
      </c>
      <c r="I1854" s="8">
        <v>185</v>
      </c>
      <c r="J1854" s="8">
        <v>0</v>
      </c>
      <c r="K1854" s="8" t="s">
        <v>2222</v>
      </c>
      <c r="L1854" s="8" t="s">
        <v>2222</v>
      </c>
      <c r="M1854" s="8" t="s">
        <v>41</v>
      </c>
      <c r="P1854" s="16" t="s">
        <v>1607</v>
      </c>
      <c r="Q1854" s="2" t="s">
        <v>16</v>
      </c>
    </row>
    <row r="1855" spans="1:17" ht="105">
      <c r="A1855" s="8" t="s">
        <v>3950</v>
      </c>
      <c r="B1855" s="8" t="s">
        <v>1877</v>
      </c>
      <c r="C1855" s="8" t="s">
        <v>2221</v>
      </c>
      <c r="D1855" s="8" t="s">
        <v>18</v>
      </c>
      <c r="E1855" s="8" t="s">
        <v>2217</v>
      </c>
      <c r="F1855" s="8" t="s">
        <v>2217</v>
      </c>
      <c r="G1855" s="8" t="s">
        <v>2217</v>
      </c>
      <c r="H1855" s="8">
        <v>1</v>
      </c>
      <c r="I1855" s="8">
        <v>1</v>
      </c>
      <c r="J1855" s="8">
        <v>0</v>
      </c>
      <c r="K1855" s="8" t="s">
        <v>2222</v>
      </c>
      <c r="L1855" s="8" t="s">
        <v>2222</v>
      </c>
      <c r="M1855" s="8" t="s">
        <v>273</v>
      </c>
      <c r="P1855" s="16" t="s">
        <v>1608</v>
      </c>
      <c r="Q1855" s="2" t="s">
        <v>16</v>
      </c>
    </row>
    <row r="1856" spans="1:17" ht="105">
      <c r="A1856" s="8" t="s">
        <v>3951</v>
      </c>
      <c r="B1856" s="8" t="s">
        <v>1878</v>
      </c>
      <c r="C1856" s="8" t="s">
        <v>2221</v>
      </c>
      <c r="D1856" s="8" t="s">
        <v>18</v>
      </c>
      <c r="E1856" s="8" t="s">
        <v>2217</v>
      </c>
      <c r="F1856" s="8" t="s">
        <v>2217</v>
      </c>
      <c r="G1856" s="8" t="s">
        <v>2217</v>
      </c>
      <c r="H1856" s="8">
        <v>1</v>
      </c>
      <c r="I1856" s="8">
        <v>1</v>
      </c>
      <c r="J1856" s="8">
        <v>0</v>
      </c>
      <c r="K1856" s="8" t="s">
        <v>2222</v>
      </c>
      <c r="L1856" s="8" t="s">
        <v>2222</v>
      </c>
      <c r="M1856" s="8" t="s">
        <v>273</v>
      </c>
      <c r="P1856" s="16" t="s">
        <v>1608</v>
      </c>
      <c r="Q1856" s="2" t="s">
        <v>16</v>
      </c>
    </row>
    <row r="1857" spans="1:17" ht="90">
      <c r="A1857" s="8" t="s">
        <v>3952</v>
      </c>
      <c r="B1857" s="8" t="s">
        <v>1879</v>
      </c>
      <c r="C1857" s="8" t="s">
        <v>2221</v>
      </c>
      <c r="D1857" s="8" t="s">
        <v>18</v>
      </c>
      <c r="E1857" s="8" t="s">
        <v>2217</v>
      </c>
      <c r="F1857" s="8" t="s">
        <v>2217</v>
      </c>
      <c r="G1857" s="8" t="s">
        <v>2217</v>
      </c>
      <c r="H1857" s="8">
        <v>1</v>
      </c>
      <c r="I1857" s="8">
        <v>1</v>
      </c>
      <c r="J1857" s="8">
        <v>0</v>
      </c>
      <c r="K1857" s="9">
        <v>45454</v>
      </c>
      <c r="L1857" s="8" t="s">
        <v>2222</v>
      </c>
      <c r="M1857" s="8" t="s">
        <v>273</v>
      </c>
      <c r="P1857" s="17" t="s">
        <v>1609</v>
      </c>
      <c r="Q1857" s="2" t="s">
        <v>38</v>
      </c>
    </row>
    <row r="1858" spans="1:17" ht="60">
      <c r="A1858" s="8" t="s">
        <v>3953</v>
      </c>
      <c r="B1858" s="8" t="s">
        <v>1880</v>
      </c>
      <c r="C1858" s="8" t="s">
        <v>2221</v>
      </c>
      <c r="D1858" s="8" t="s">
        <v>18</v>
      </c>
      <c r="E1858" s="8" t="s">
        <v>2217</v>
      </c>
      <c r="F1858" s="8" t="s">
        <v>2217</v>
      </c>
      <c r="G1858" s="8" t="s">
        <v>2217</v>
      </c>
      <c r="H1858" s="8">
        <v>1</v>
      </c>
      <c r="I1858" s="8">
        <v>1</v>
      </c>
      <c r="J1858" s="8">
        <v>0</v>
      </c>
      <c r="K1858" s="9">
        <v>45079</v>
      </c>
      <c r="L1858" s="8" t="s">
        <v>2222</v>
      </c>
      <c r="M1858" s="8" t="s">
        <v>273</v>
      </c>
      <c r="P1858" s="16" t="s">
        <v>1610</v>
      </c>
      <c r="Q1858" s="2" t="s">
        <v>43</v>
      </c>
    </row>
    <row r="1859" spans="1:17" ht="75">
      <c r="A1859" s="8" t="s">
        <v>3954</v>
      </c>
      <c r="B1859" s="8" t="s">
        <v>1881</v>
      </c>
      <c r="C1859" s="8" t="s">
        <v>2221</v>
      </c>
      <c r="D1859" s="8" t="s">
        <v>18</v>
      </c>
      <c r="E1859" s="8" t="s">
        <v>2217</v>
      </c>
      <c r="F1859" s="8" t="s">
        <v>2217</v>
      </c>
      <c r="G1859" s="8" t="s">
        <v>2217</v>
      </c>
      <c r="H1859" s="8">
        <v>2</v>
      </c>
      <c r="I1859" s="8">
        <v>2</v>
      </c>
      <c r="J1859" s="8">
        <v>0</v>
      </c>
      <c r="K1859" s="9">
        <v>45409</v>
      </c>
      <c r="L1859" s="8" t="s">
        <v>2222</v>
      </c>
      <c r="M1859" s="8" t="s">
        <v>273</v>
      </c>
      <c r="P1859" s="17" t="s">
        <v>1611</v>
      </c>
      <c r="Q1859" s="2" t="s">
        <v>101</v>
      </c>
    </row>
    <row r="1860" spans="1:17" ht="45">
      <c r="A1860" s="8" t="s">
        <v>3955</v>
      </c>
      <c r="B1860" s="8" t="s">
        <v>1882</v>
      </c>
      <c r="C1860" s="8" t="s">
        <v>2203</v>
      </c>
      <c r="D1860" s="8" t="s">
        <v>18</v>
      </c>
      <c r="E1860" s="8" t="s">
        <v>16</v>
      </c>
      <c r="F1860" s="8" t="s">
        <v>2198</v>
      </c>
      <c r="G1860" s="8" t="s">
        <v>3956</v>
      </c>
      <c r="H1860" s="8">
        <v>3235</v>
      </c>
      <c r="I1860" s="8">
        <v>35</v>
      </c>
      <c r="J1860" s="8" t="s">
        <v>1883</v>
      </c>
      <c r="K1860" s="9">
        <v>45412</v>
      </c>
      <c r="L1860" s="9">
        <v>46844</v>
      </c>
      <c r="M1860" s="8" t="s">
        <v>16</v>
      </c>
      <c r="P1860" s="17" t="s">
        <v>1612</v>
      </c>
      <c r="Q1860" s="2" t="s">
        <v>101</v>
      </c>
    </row>
    <row r="1861" spans="1:17" ht="45">
      <c r="A1861" s="8" t="s">
        <v>3955</v>
      </c>
      <c r="B1861" s="8" t="s">
        <v>1882</v>
      </c>
      <c r="C1861" s="8" t="s">
        <v>2203</v>
      </c>
      <c r="D1861" s="8" t="s">
        <v>18</v>
      </c>
      <c r="E1861" s="8" t="s">
        <v>16</v>
      </c>
      <c r="F1861" s="8" t="s">
        <v>2198</v>
      </c>
      <c r="G1861" s="8" t="s">
        <v>3956</v>
      </c>
      <c r="H1861" s="8">
        <v>3235</v>
      </c>
      <c r="I1861" s="8">
        <v>500</v>
      </c>
      <c r="J1861" s="8" t="s">
        <v>1884</v>
      </c>
      <c r="K1861" s="9">
        <v>45443</v>
      </c>
      <c r="L1861" s="9">
        <v>46844</v>
      </c>
      <c r="M1861" s="8" t="s">
        <v>16</v>
      </c>
      <c r="P1861" s="17" t="s">
        <v>1613</v>
      </c>
      <c r="Q1861" s="2" t="s">
        <v>101</v>
      </c>
    </row>
    <row r="1862" spans="1:17" ht="45">
      <c r="A1862" s="8" t="s">
        <v>3955</v>
      </c>
      <c r="B1862" s="8" t="s">
        <v>1882</v>
      </c>
      <c r="C1862" s="8" t="s">
        <v>2203</v>
      </c>
      <c r="D1862" s="8" t="s">
        <v>18</v>
      </c>
      <c r="E1862" s="8" t="s">
        <v>16</v>
      </c>
      <c r="F1862" s="8" t="s">
        <v>2198</v>
      </c>
      <c r="G1862" s="8" t="s">
        <v>3956</v>
      </c>
      <c r="H1862" s="8">
        <v>3235</v>
      </c>
      <c r="I1862" s="8">
        <v>1000</v>
      </c>
      <c r="J1862" s="8" t="s">
        <v>1885</v>
      </c>
      <c r="K1862" s="9">
        <v>45448</v>
      </c>
      <c r="L1862" s="9">
        <v>46844</v>
      </c>
      <c r="M1862" s="8" t="s">
        <v>16</v>
      </c>
      <c r="P1862" s="17" t="s">
        <v>1614</v>
      </c>
      <c r="Q1862" s="2" t="s">
        <v>101</v>
      </c>
    </row>
    <row r="1863" spans="1:17" ht="45">
      <c r="A1863" s="8" t="s">
        <v>3955</v>
      </c>
      <c r="B1863" s="8" t="s">
        <v>1882</v>
      </c>
      <c r="C1863" s="8" t="s">
        <v>2203</v>
      </c>
      <c r="D1863" s="8" t="s">
        <v>18</v>
      </c>
      <c r="E1863" s="8" t="s">
        <v>16</v>
      </c>
      <c r="F1863" s="8" t="s">
        <v>2198</v>
      </c>
      <c r="G1863" s="8" t="s">
        <v>3956</v>
      </c>
      <c r="H1863" s="8">
        <v>3235</v>
      </c>
      <c r="I1863" s="8">
        <v>1700</v>
      </c>
      <c r="J1863" s="8" t="s">
        <v>1886</v>
      </c>
      <c r="K1863" s="9">
        <v>45448</v>
      </c>
      <c r="L1863" s="9">
        <v>46844</v>
      </c>
      <c r="M1863" s="8" t="s">
        <v>16</v>
      </c>
      <c r="P1863" s="17" t="s">
        <v>1615</v>
      </c>
      <c r="Q1863" s="2" t="s">
        <v>101</v>
      </c>
    </row>
    <row r="1864" spans="1:17" ht="45">
      <c r="A1864" s="8" t="s">
        <v>3957</v>
      </c>
      <c r="B1864" s="8" t="s">
        <v>1887</v>
      </c>
      <c r="C1864" s="8" t="s">
        <v>2203</v>
      </c>
      <c r="D1864" s="8" t="s">
        <v>18</v>
      </c>
      <c r="E1864" s="8" t="s">
        <v>151</v>
      </c>
      <c r="F1864" s="8" t="s">
        <v>151</v>
      </c>
      <c r="G1864" s="8" t="s">
        <v>3958</v>
      </c>
      <c r="H1864" s="8">
        <v>1039</v>
      </c>
      <c r="I1864" s="8">
        <v>30</v>
      </c>
      <c r="J1864" s="8">
        <v>14133101</v>
      </c>
      <c r="K1864" s="9">
        <v>44771</v>
      </c>
      <c r="L1864" s="9">
        <v>45748</v>
      </c>
      <c r="M1864" s="8" t="s">
        <v>151</v>
      </c>
      <c r="P1864" s="17" t="s">
        <v>1616</v>
      </c>
      <c r="Q1864" s="2" t="s">
        <v>101</v>
      </c>
    </row>
    <row r="1865" spans="1:17" ht="45">
      <c r="A1865" s="8" t="s">
        <v>3957</v>
      </c>
      <c r="B1865" s="8" t="s">
        <v>1887</v>
      </c>
      <c r="C1865" s="8" t="s">
        <v>2203</v>
      </c>
      <c r="D1865" s="8" t="s">
        <v>18</v>
      </c>
      <c r="E1865" s="8" t="s">
        <v>151</v>
      </c>
      <c r="F1865" s="8" t="s">
        <v>151</v>
      </c>
      <c r="G1865" s="8" t="s">
        <v>3958</v>
      </c>
      <c r="H1865" s="8">
        <v>1039</v>
      </c>
      <c r="I1865" s="8">
        <v>120</v>
      </c>
      <c r="J1865" s="8">
        <v>34163101</v>
      </c>
      <c r="K1865" s="9">
        <v>44771</v>
      </c>
      <c r="L1865" s="9">
        <v>45839</v>
      </c>
      <c r="M1865" s="8" t="s">
        <v>151</v>
      </c>
      <c r="P1865" s="17" t="s">
        <v>1617</v>
      </c>
      <c r="Q1865" s="2" t="s">
        <v>101</v>
      </c>
    </row>
    <row r="1866" spans="1:17" ht="48.75">
      <c r="A1866" s="8" t="s">
        <v>3957</v>
      </c>
      <c r="B1866" s="8" t="s">
        <v>1887</v>
      </c>
      <c r="C1866" s="8" t="s">
        <v>2203</v>
      </c>
      <c r="D1866" s="8" t="s">
        <v>18</v>
      </c>
      <c r="E1866" s="8" t="s">
        <v>151</v>
      </c>
      <c r="F1866" s="8" t="s">
        <v>151</v>
      </c>
      <c r="G1866" s="8" t="s">
        <v>3958</v>
      </c>
      <c r="H1866" s="8">
        <v>1039</v>
      </c>
      <c r="I1866" s="8">
        <v>139</v>
      </c>
      <c r="J1866" s="8">
        <v>12213001</v>
      </c>
      <c r="K1866" s="9">
        <v>44608</v>
      </c>
      <c r="L1866" s="9">
        <v>45627</v>
      </c>
      <c r="M1866" s="8" t="s">
        <v>151</v>
      </c>
      <c r="P1866" s="16" t="s">
        <v>1618</v>
      </c>
      <c r="Q1866" s="2" t="s">
        <v>16</v>
      </c>
    </row>
    <row r="1867" spans="1:17" ht="45">
      <c r="A1867" s="8" t="s">
        <v>3957</v>
      </c>
      <c r="B1867" s="8" t="s">
        <v>1887</v>
      </c>
      <c r="C1867" s="8" t="s">
        <v>2203</v>
      </c>
      <c r="D1867" s="8" t="s">
        <v>18</v>
      </c>
      <c r="E1867" s="8" t="s">
        <v>151</v>
      </c>
      <c r="F1867" s="8" t="s">
        <v>151</v>
      </c>
      <c r="G1867" s="8" t="s">
        <v>3958</v>
      </c>
      <c r="H1867" s="8">
        <v>1039</v>
      </c>
      <c r="I1867" s="8">
        <v>750</v>
      </c>
      <c r="J1867" s="8">
        <v>20143101</v>
      </c>
      <c r="K1867" s="9">
        <v>44769</v>
      </c>
      <c r="L1867" s="9">
        <v>45778</v>
      </c>
      <c r="M1867" s="8" t="s">
        <v>151</v>
      </c>
      <c r="P1867" s="16" t="s">
        <v>1620</v>
      </c>
      <c r="Q1867" s="2" t="s">
        <v>16</v>
      </c>
    </row>
    <row r="1868" spans="1:17" ht="45">
      <c r="A1868" s="8" t="s">
        <v>3959</v>
      </c>
      <c r="B1868" s="8" t="s">
        <v>1888</v>
      </c>
      <c r="C1868" s="8" t="s">
        <v>2203</v>
      </c>
      <c r="D1868" s="8" t="s">
        <v>100</v>
      </c>
      <c r="E1868" s="8" t="s">
        <v>151</v>
      </c>
      <c r="F1868" s="8" t="s">
        <v>151</v>
      </c>
      <c r="G1868" s="8" t="s">
        <v>3960</v>
      </c>
      <c r="H1868" s="8">
        <v>980</v>
      </c>
      <c r="I1868" s="8">
        <v>200</v>
      </c>
      <c r="J1868" s="8" t="s">
        <v>1889</v>
      </c>
      <c r="K1868" s="9">
        <v>44079</v>
      </c>
      <c r="L1868" s="9">
        <v>44774</v>
      </c>
      <c r="M1868" s="8" t="s">
        <v>151</v>
      </c>
      <c r="P1868" s="16" t="s">
        <v>1620</v>
      </c>
      <c r="Q1868" s="2" t="s">
        <v>16</v>
      </c>
    </row>
    <row r="1869" spans="1:17" ht="45">
      <c r="A1869" s="8" t="s">
        <v>3959</v>
      </c>
      <c r="B1869" s="8" t="s">
        <v>1888</v>
      </c>
      <c r="C1869" s="8" t="s">
        <v>2203</v>
      </c>
      <c r="D1869" s="8" t="s">
        <v>100</v>
      </c>
      <c r="E1869" s="8" t="s">
        <v>151</v>
      </c>
      <c r="F1869" s="8" t="s">
        <v>151</v>
      </c>
      <c r="G1869" s="8" t="s">
        <v>3960</v>
      </c>
      <c r="H1869" s="8">
        <v>980</v>
      </c>
      <c r="I1869" s="8">
        <v>780</v>
      </c>
      <c r="J1869" s="8" t="s">
        <v>1890</v>
      </c>
      <c r="K1869" s="9">
        <v>44867</v>
      </c>
      <c r="L1869" s="9">
        <v>45870</v>
      </c>
      <c r="M1869" s="8" t="s">
        <v>151</v>
      </c>
      <c r="P1869" s="16" t="s">
        <v>1620</v>
      </c>
      <c r="Q1869" s="2" t="s">
        <v>16</v>
      </c>
    </row>
    <row r="1870" spans="1:17" ht="45">
      <c r="A1870" s="8" t="s">
        <v>3959</v>
      </c>
      <c r="B1870" s="8" t="s">
        <v>1888</v>
      </c>
      <c r="C1870" s="8" t="s">
        <v>2203</v>
      </c>
      <c r="D1870" s="8" t="s">
        <v>18</v>
      </c>
      <c r="E1870" s="8" t="s">
        <v>151</v>
      </c>
      <c r="F1870" s="8" t="s">
        <v>151</v>
      </c>
      <c r="G1870" s="8" t="s">
        <v>3960</v>
      </c>
      <c r="H1870" s="8">
        <v>3910</v>
      </c>
      <c r="I1870" s="8">
        <v>3910</v>
      </c>
      <c r="J1870" s="8" t="s">
        <v>1890</v>
      </c>
      <c r="K1870" s="9">
        <v>44867</v>
      </c>
      <c r="L1870" s="9">
        <v>45870</v>
      </c>
      <c r="M1870" s="8" t="s">
        <v>151</v>
      </c>
      <c r="P1870" s="16" t="s">
        <v>1620</v>
      </c>
      <c r="Q1870" s="2" t="s">
        <v>16</v>
      </c>
    </row>
    <row r="1871" spans="1:17" ht="45">
      <c r="A1871" s="8" t="s">
        <v>3961</v>
      </c>
      <c r="B1871" s="8" t="s">
        <v>1891</v>
      </c>
      <c r="C1871" s="8" t="s">
        <v>2203</v>
      </c>
      <c r="D1871" s="8" t="s">
        <v>18</v>
      </c>
      <c r="E1871" s="8" t="s">
        <v>151</v>
      </c>
      <c r="F1871" s="8" t="s">
        <v>151</v>
      </c>
      <c r="G1871" s="8" t="s">
        <v>3960</v>
      </c>
      <c r="H1871" s="8">
        <v>404</v>
      </c>
      <c r="I1871" s="8">
        <v>14</v>
      </c>
      <c r="J1871" s="8">
        <v>33153101</v>
      </c>
      <c r="K1871" s="9">
        <v>44769</v>
      </c>
      <c r="L1871" s="9">
        <v>45809</v>
      </c>
      <c r="M1871" s="8" t="s">
        <v>151</v>
      </c>
      <c r="P1871" s="16" t="s">
        <v>1620</v>
      </c>
      <c r="Q1871" s="2" t="s">
        <v>16</v>
      </c>
    </row>
    <row r="1872" spans="1:17" ht="45">
      <c r="A1872" s="8" t="s">
        <v>3961</v>
      </c>
      <c r="B1872" s="8" t="s">
        <v>1891</v>
      </c>
      <c r="C1872" s="8" t="s">
        <v>2203</v>
      </c>
      <c r="D1872" s="8" t="s">
        <v>18</v>
      </c>
      <c r="E1872" s="8" t="s">
        <v>151</v>
      </c>
      <c r="F1872" s="8" t="s">
        <v>151</v>
      </c>
      <c r="G1872" s="8" t="s">
        <v>3960</v>
      </c>
      <c r="H1872" s="8">
        <v>404</v>
      </c>
      <c r="I1872" s="8">
        <v>390</v>
      </c>
      <c r="J1872" s="8">
        <v>34163101</v>
      </c>
      <c r="K1872" s="9">
        <v>44771</v>
      </c>
      <c r="L1872" s="9">
        <v>45839</v>
      </c>
      <c r="M1872" s="8" t="s">
        <v>151</v>
      </c>
      <c r="P1872" s="16" t="s">
        <v>1620</v>
      </c>
      <c r="Q1872" s="2" t="s">
        <v>16</v>
      </c>
    </row>
    <row r="1873" spans="1:17" ht="60">
      <c r="A1873" s="8" t="s">
        <v>3962</v>
      </c>
      <c r="B1873" s="8" t="s">
        <v>1892</v>
      </c>
      <c r="C1873" s="8" t="s">
        <v>2197</v>
      </c>
      <c r="D1873" s="8" t="s">
        <v>18</v>
      </c>
      <c r="E1873" s="8" t="s">
        <v>16</v>
      </c>
      <c r="F1873" s="8" t="s">
        <v>2925</v>
      </c>
      <c r="G1873" s="8" t="s">
        <v>3963</v>
      </c>
      <c r="H1873" s="8">
        <v>40</v>
      </c>
      <c r="I1873" s="8">
        <v>40</v>
      </c>
      <c r="J1873" s="8">
        <v>92002</v>
      </c>
      <c r="K1873" s="9">
        <v>44098</v>
      </c>
      <c r="L1873" s="8" t="s">
        <v>2222</v>
      </c>
      <c r="M1873" s="8" t="s">
        <v>38</v>
      </c>
      <c r="P1873" s="16" t="s">
        <v>1620</v>
      </c>
      <c r="Q1873" s="2" t="s">
        <v>16</v>
      </c>
    </row>
    <row r="1874" spans="1:17" ht="60">
      <c r="A1874" s="8" t="s">
        <v>3964</v>
      </c>
      <c r="B1874" s="8" t="s">
        <v>1893</v>
      </c>
      <c r="C1874" s="8" t="s">
        <v>2221</v>
      </c>
      <c r="D1874" s="8" t="s">
        <v>18</v>
      </c>
      <c r="E1874" s="8" t="s">
        <v>43</v>
      </c>
      <c r="F1874" s="8" t="s">
        <v>2217</v>
      </c>
      <c r="G1874" s="8" t="s">
        <v>2217</v>
      </c>
      <c r="H1874" s="8">
        <v>175</v>
      </c>
      <c r="I1874" s="8">
        <v>175</v>
      </c>
      <c r="J1874" s="8">
        <v>0</v>
      </c>
      <c r="K1874" s="9">
        <v>44160</v>
      </c>
      <c r="L1874" s="8" t="s">
        <v>2222</v>
      </c>
      <c r="M1874" s="8" t="s">
        <v>43</v>
      </c>
      <c r="P1874" s="16" t="s">
        <v>1627</v>
      </c>
      <c r="Q1874" s="2" t="s">
        <v>16</v>
      </c>
    </row>
    <row r="1875" spans="1:17" ht="60">
      <c r="A1875" s="8" t="s">
        <v>3965</v>
      </c>
      <c r="B1875" s="8" t="s">
        <v>1894</v>
      </c>
      <c r="C1875" s="8" t="s">
        <v>2203</v>
      </c>
      <c r="D1875" s="8" t="s">
        <v>18</v>
      </c>
      <c r="E1875" s="8" t="s">
        <v>16</v>
      </c>
      <c r="F1875" s="8" t="s">
        <v>2228</v>
      </c>
      <c r="G1875" s="8" t="s">
        <v>3966</v>
      </c>
      <c r="H1875" s="8">
        <v>3333</v>
      </c>
      <c r="I1875" s="8">
        <v>3333</v>
      </c>
      <c r="J1875" s="8">
        <v>2312016</v>
      </c>
      <c r="K1875" s="9">
        <v>45318</v>
      </c>
      <c r="L1875" s="9">
        <v>47088</v>
      </c>
      <c r="M1875" s="8" t="s">
        <v>16</v>
      </c>
      <c r="P1875" s="16" t="s">
        <v>1628</v>
      </c>
      <c r="Q1875" s="2" t="s">
        <v>43</v>
      </c>
    </row>
    <row r="1876" spans="1:17" ht="60">
      <c r="A1876" s="8" t="s">
        <v>3967</v>
      </c>
      <c r="B1876" s="8" t="s">
        <v>1895</v>
      </c>
      <c r="C1876" s="8" t="s">
        <v>2197</v>
      </c>
      <c r="D1876" s="8" t="s">
        <v>18</v>
      </c>
      <c r="E1876" s="8" t="s">
        <v>2217</v>
      </c>
      <c r="F1876" s="8" t="s">
        <v>2217</v>
      </c>
      <c r="G1876" s="8" t="s">
        <v>2217</v>
      </c>
      <c r="H1876" s="8">
        <v>291</v>
      </c>
      <c r="I1876" s="8">
        <v>41</v>
      </c>
      <c r="J1876" s="8" t="s">
        <v>1896</v>
      </c>
      <c r="K1876" s="9">
        <v>45405</v>
      </c>
      <c r="L1876" s="9">
        <v>46447</v>
      </c>
      <c r="M1876" s="8" t="s">
        <v>16</v>
      </c>
      <c r="P1876" s="17" t="s">
        <v>1629</v>
      </c>
      <c r="Q1876" s="2" t="s">
        <v>101</v>
      </c>
    </row>
    <row r="1877" spans="1:17" ht="60">
      <c r="A1877" s="8" t="s">
        <v>3967</v>
      </c>
      <c r="B1877" s="8" t="s">
        <v>1895</v>
      </c>
      <c r="C1877" s="8" t="s">
        <v>2197</v>
      </c>
      <c r="D1877" s="8" t="s">
        <v>18</v>
      </c>
      <c r="E1877" s="8" t="s">
        <v>2217</v>
      </c>
      <c r="F1877" s="8" t="s">
        <v>2217</v>
      </c>
      <c r="G1877" s="8" t="s">
        <v>2217</v>
      </c>
      <c r="H1877" s="8">
        <v>291</v>
      </c>
      <c r="I1877" s="8">
        <v>250</v>
      </c>
      <c r="J1877" s="8" t="s">
        <v>1897</v>
      </c>
      <c r="K1877" s="9">
        <v>45453</v>
      </c>
      <c r="L1877" s="9">
        <v>46478</v>
      </c>
      <c r="M1877" s="8" t="s">
        <v>16</v>
      </c>
      <c r="P1877" s="17" t="s">
        <v>1630</v>
      </c>
      <c r="Q1877" s="2" t="s">
        <v>101</v>
      </c>
    </row>
    <row r="1878" spans="1:17" ht="60">
      <c r="A1878" s="8" t="s">
        <v>3967</v>
      </c>
      <c r="B1878" s="8" t="s">
        <v>1895</v>
      </c>
      <c r="C1878" s="8" t="s">
        <v>2197</v>
      </c>
      <c r="D1878" s="8" t="s">
        <v>1899</v>
      </c>
      <c r="E1878" s="8" t="s">
        <v>2217</v>
      </c>
      <c r="F1878" s="8" t="s">
        <v>2217</v>
      </c>
      <c r="G1878" s="8" t="s">
        <v>2217</v>
      </c>
      <c r="H1878" s="8">
        <v>1250</v>
      </c>
      <c r="I1878" s="8">
        <v>1250</v>
      </c>
      <c r="J1878" s="8" t="s">
        <v>1898</v>
      </c>
      <c r="K1878" s="9">
        <v>45440</v>
      </c>
      <c r="L1878" s="9">
        <v>46478</v>
      </c>
      <c r="M1878" s="8" t="s">
        <v>16</v>
      </c>
      <c r="P1878" s="17" t="s">
        <v>1630</v>
      </c>
      <c r="Q1878" s="2" t="s">
        <v>101</v>
      </c>
    </row>
    <row r="1879" spans="1:17" ht="60">
      <c r="A1879" s="8" t="s">
        <v>3968</v>
      </c>
      <c r="B1879" s="8" t="s">
        <v>1900</v>
      </c>
      <c r="C1879" s="8" t="s">
        <v>3969</v>
      </c>
      <c r="D1879" s="8" t="s">
        <v>18</v>
      </c>
      <c r="E1879" s="8" t="s">
        <v>151</v>
      </c>
      <c r="F1879" s="8" t="s">
        <v>2258</v>
      </c>
      <c r="G1879" s="8" t="s">
        <v>3970</v>
      </c>
      <c r="H1879" s="8">
        <v>8470</v>
      </c>
      <c r="I1879" s="8">
        <v>8470</v>
      </c>
      <c r="J1879" s="8">
        <v>0</v>
      </c>
      <c r="K1879" s="9">
        <v>44618</v>
      </c>
      <c r="L1879" s="9">
        <v>46204</v>
      </c>
      <c r="M1879" s="8" t="s">
        <v>151</v>
      </c>
      <c r="P1879" s="17" t="s">
        <v>1631</v>
      </c>
      <c r="Q1879" s="2" t="s">
        <v>101</v>
      </c>
    </row>
    <row r="1880" spans="1:17" ht="45">
      <c r="A1880" s="8" t="s">
        <v>3971</v>
      </c>
      <c r="B1880" s="8" t="s">
        <v>1901</v>
      </c>
      <c r="C1880" s="8" t="s">
        <v>2197</v>
      </c>
      <c r="D1880" s="8" t="s">
        <v>18</v>
      </c>
      <c r="E1880" s="8" t="s">
        <v>16</v>
      </c>
      <c r="F1880" s="8" t="s">
        <v>2425</v>
      </c>
      <c r="G1880" s="8" t="s">
        <v>3972</v>
      </c>
      <c r="H1880" s="8">
        <v>3045</v>
      </c>
      <c r="I1880" s="8">
        <v>285</v>
      </c>
      <c r="J1880" s="8">
        <v>20230619</v>
      </c>
      <c r="K1880" s="9">
        <v>45152</v>
      </c>
      <c r="L1880" s="9">
        <v>46905</v>
      </c>
      <c r="M1880" s="8" t="s">
        <v>16</v>
      </c>
      <c r="P1880" s="17" t="s">
        <v>1632</v>
      </c>
      <c r="Q1880" s="2" t="s">
        <v>101</v>
      </c>
    </row>
    <row r="1881" spans="1:17" ht="45">
      <c r="A1881" s="8" t="s">
        <v>3971</v>
      </c>
      <c r="B1881" s="8" t="s">
        <v>1901</v>
      </c>
      <c r="C1881" s="8" t="s">
        <v>2197</v>
      </c>
      <c r="D1881" s="8" t="s">
        <v>18</v>
      </c>
      <c r="E1881" s="8" t="s">
        <v>16</v>
      </c>
      <c r="F1881" s="8" t="s">
        <v>2425</v>
      </c>
      <c r="G1881" s="8" t="s">
        <v>3972</v>
      </c>
      <c r="H1881" s="8">
        <v>3045</v>
      </c>
      <c r="I1881" s="8">
        <v>2760</v>
      </c>
      <c r="J1881" s="8">
        <v>20230727</v>
      </c>
      <c r="K1881" s="9">
        <v>45276</v>
      </c>
      <c r="L1881" s="9">
        <v>46935</v>
      </c>
      <c r="M1881" s="8" t="s">
        <v>16</v>
      </c>
      <c r="P1881" s="17" t="s">
        <v>1633</v>
      </c>
      <c r="Q1881" s="2" t="s">
        <v>101</v>
      </c>
    </row>
    <row r="1882" spans="1:17" ht="60">
      <c r="A1882" s="8" t="s">
        <v>3973</v>
      </c>
      <c r="B1882" s="8" t="s">
        <v>1902</v>
      </c>
      <c r="C1882" s="8" t="s">
        <v>2197</v>
      </c>
      <c r="D1882" s="8" t="s">
        <v>18</v>
      </c>
      <c r="E1882" s="8" t="s">
        <v>2217</v>
      </c>
      <c r="F1882" s="8" t="s">
        <v>2217</v>
      </c>
      <c r="G1882" s="8" t="s">
        <v>2217</v>
      </c>
      <c r="H1882" s="8">
        <v>6</v>
      </c>
      <c r="I1882" s="8">
        <v>6</v>
      </c>
      <c r="J1882" s="8">
        <v>20230619</v>
      </c>
      <c r="K1882" s="9">
        <v>45152</v>
      </c>
      <c r="L1882" s="9">
        <v>46905</v>
      </c>
      <c r="M1882" s="8" t="s">
        <v>38</v>
      </c>
      <c r="P1882" s="17" t="s">
        <v>1634</v>
      </c>
      <c r="Q1882" s="2" t="s">
        <v>101</v>
      </c>
    </row>
    <row r="1883" spans="1:17" ht="45">
      <c r="A1883" s="8" t="s">
        <v>3974</v>
      </c>
      <c r="B1883" s="8" t="s">
        <v>1903</v>
      </c>
      <c r="C1883" s="8" t="s">
        <v>2197</v>
      </c>
      <c r="D1883" s="8" t="s">
        <v>18</v>
      </c>
      <c r="E1883" s="8" t="s">
        <v>16</v>
      </c>
      <c r="F1883" s="8" t="s">
        <v>2204</v>
      </c>
      <c r="G1883" s="8" t="s">
        <v>3975</v>
      </c>
      <c r="H1883" s="8">
        <v>10687</v>
      </c>
      <c r="I1883" s="8">
        <v>1</v>
      </c>
      <c r="J1883" s="8">
        <v>2307016</v>
      </c>
      <c r="K1883" s="9">
        <v>45206</v>
      </c>
      <c r="L1883" s="9">
        <v>46935</v>
      </c>
      <c r="M1883" s="8" t="s">
        <v>16</v>
      </c>
      <c r="P1883" s="17" t="s">
        <v>1635</v>
      </c>
      <c r="Q1883" s="2" t="s">
        <v>101</v>
      </c>
    </row>
    <row r="1884" spans="1:17" ht="45">
      <c r="A1884" s="8" t="s">
        <v>3974</v>
      </c>
      <c r="B1884" s="8" t="s">
        <v>1903</v>
      </c>
      <c r="C1884" s="8" t="s">
        <v>2197</v>
      </c>
      <c r="D1884" s="8" t="s">
        <v>18</v>
      </c>
      <c r="E1884" s="8" t="s">
        <v>16</v>
      </c>
      <c r="F1884" s="8" t="s">
        <v>2204</v>
      </c>
      <c r="G1884" s="8" t="s">
        <v>3975</v>
      </c>
      <c r="H1884" s="8">
        <v>10687</v>
      </c>
      <c r="I1884" s="8">
        <v>3</v>
      </c>
      <c r="J1884" s="8">
        <v>2302007</v>
      </c>
      <c r="K1884" s="9">
        <v>44992</v>
      </c>
      <c r="L1884" s="9">
        <v>46784</v>
      </c>
      <c r="M1884" s="8" t="s">
        <v>16</v>
      </c>
      <c r="P1884" s="17" t="s">
        <v>1636</v>
      </c>
      <c r="Q1884" s="2" t="s">
        <v>101</v>
      </c>
    </row>
    <row r="1885" spans="1:17" ht="45">
      <c r="A1885" s="8" t="s">
        <v>3974</v>
      </c>
      <c r="B1885" s="8" t="s">
        <v>1903</v>
      </c>
      <c r="C1885" s="8" t="s">
        <v>2197</v>
      </c>
      <c r="D1885" s="8" t="s">
        <v>18</v>
      </c>
      <c r="E1885" s="8" t="s">
        <v>16</v>
      </c>
      <c r="F1885" s="8" t="s">
        <v>2204</v>
      </c>
      <c r="G1885" s="8" t="s">
        <v>3975</v>
      </c>
      <c r="H1885" s="8">
        <v>10687</v>
      </c>
      <c r="I1885" s="8">
        <v>40</v>
      </c>
      <c r="J1885" s="8">
        <v>2308017</v>
      </c>
      <c r="K1885" s="9">
        <v>45206</v>
      </c>
      <c r="L1885" s="9">
        <v>46966</v>
      </c>
      <c r="M1885" s="8" t="s">
        <v>16</v>
      </c>
      <c r="P1885" s="17" t="s">
        <v>1637</v>
      </c>
      <c r="Q1885" s="2" t="s">
        <v>101</v>
      </c>
    </row>
    <row r="1886" spans="1:17" ht="45">
      <c r="A1886" s="8" t="s">
        <v>3974</v>
      </c>
      <c r="B1886" s="8" t="s">
        <v>1903</v>
      </c>
      <c r="C1886" s="8" t="s">
        <v>2197</v>
      </c>
      <c r="D1886" s="8" t="s">
        <v>18</v>
      </c>
      <c r="E1886" s="8" t="s">
        <v>16</v>
      </c>
      <c r="F1886" s="8" t="s">
        <v>2204</v>
      </c>
      <c r="G1886" s="8" t="s">
        <v>3975</v>
      </c>
      <c r="H1886" s="8">
        <v>10687</v>
      </c>
      <c r="I1886" s="8">
        <v>243</v>
      </c>
      <c r="J1886" s="8">
        <v>2310019</v>
      </c>
      <c r="K1886" s="9">
        <v>45226</v>
      </c>
      <c r="L1886" s="9">
        <v>47027</v>
      </c>
      <c r="M1886" s="8" t="s">
        <v>16</v>
      </c>
      <c r="P1886" s="17" t="s">
        <v>1638</v>
      </c>
      <c r="Q1886" s="2" t="s">
        <v>101</v>
      </c>
    </row>
    <row r="1887" spans="1:17" ht="45">
      <c r="A1887" s="8" t="s">
        <v>3974</v>
      </c>
      <c r="B1887" s="8" t="s">
        <v>1903</v>
      </c>
      <c r="C1887" s="8" t="s">
        <v>2197</v>
      </c>
      <c r="D1887" s="8" t="s">
        <v>18</v>
      </c>
      <c r="E1887" s="8" t="s">
        <v>16</v>
      </c>
      <c r="F1887" s="8" t="s">
        <v>2204</v>
      </c>
      <c r="G1887" s="8" t="s">
        <v>3975</v>
      </c>
      <c r="H1887" s="8">
        <v>10687</v>
      </c>
      <c r="I1887" s="8">
        <v>1800</v>
      </c>
      <c r="J1887" s="8">
        <v>2405005</v>
      </c>
      <c r="K1887" s="9">
        <v>45461</v>
      </c>
      <c r="L1887" s="9">
        <v>47239</v>
      </c>
      <c r="M1887" s="8" t="s">
        <v>16</v>
      </c>
      <c r="P1887" s="17" t="s">
        <v>1639</v>
      </c>
      <c r="Q1887" s="2" t="s">
        <v>1640</v>
      </c>
    </row>
    <row r="1888" spans="1:17" ht="45">
      <c r="A1888" s="8" t="s">
        <v>3974</v>
      </c>
      <c r="B1888" s="8" t="s">
        <v>1903</v>
      </c>
      <c r="C1888" s="8" t="s">
        <v>2197</v>
      </c>
      <c r="D1888" s="8" t="s">
        <v>18</v>
      </c>
      <c r="E1888" s="8" t="s">
        <v>16</v>
      </c>
      <c r="F1888" s="8" t="s">
        <v>2204</v>
      </c>
      <c r="G1888" s="8" t="s">
        <v>3975</v>
      </c>
      <c r="H1888" s="8">
        <v>10687</v>
      </c>
      <c r="I1888" s="8">
        <v>3720</v>
      </c>
      <c r="J1888" s="8">
        <v>2406007</v>
      </c>
      <c r="K1888" s="9">
        <v>45461</v>
      </c>
      <c r="L1888" s="9">
        <v>47270</v>
      </c>
      <c r="M1888" s="8" t="s">
        <v>16</v>
      </c>
      <c r="P1888" s="17" t="s">
        <v>1641</v>
      </c>
      <c r="Q1888" s="2" t="s">
        <v>1640</v>
      </c>
    </row>
    <row r="1889" spans="1:17" ht="45">
      <c r="A1889" s="8" t="s">
        <v>3974</v>
      </c>
      <c r="B1889" s="8" t="s">
        <v>1903</v>
      </c>
      <c r="C1889" s="8" t="s">
        <v>2197</v>
      </c>
      <c r="D1889" s="8" t="s">
        <v>18</v>
      </c>
      <c r="E1889" s="8" t="s">
        <v>16</v>
      </c>
      <c r="F1889" s="8" t="s">
        <v>2204</v>
      </c>
      <c r="G1889" s="8" t="s">
        <v>3975</v>
      </c>
      <c r="H1889" s="8">
        <v>10687</v>
      </c>
      <c r="I1889" s="8">
        <v>4880</v>
      </c>
      <c r="J1889" s="8">
        <v>2403003</v>
      </c>
      <c r="K1889" s="9">
        <v>45461</v>
      </c>
      <c r="L1889" s="9">
        <v>47178</v>
      </c>
      <c r="M1889" s="8" t="s">
        <v>16</v>
      </c>
      <c r="P1889" s="17" t="s">
        <v>1642</v>
      </c>
      <c r="Q1889" s="2" t="s">
        <v>1640</v>
      </c>
    </row>
    <row r="1890" spans="1:17" ht="45">
      <c r="A1890" s="8" t="s">
        <v>3976</v>
      </c>
      <c r="B1890" s="8" t="s">
        <v>1904</v>
      </c>
      <c r="C1890" s="8" t="s">
        <v>2197</v>
      </c>
      <c r="D1890" s="8" t="s">
        <v>18</v>
      </c>
      <c r="E1890" s="8" t="s">
        <v>16</v>
      </c>
      <c r="F1890" s="8" t="s">
        <v>2204</v>
      </c>
      <c r="G1890" s="8" t="s">
        <v>3975</v>
      </c>
      <c r="H1890" s="8">
        <v>6285</v>
      </c>
      <c r="I1890" s="8">
        <v>35</v>
      </c>
      <c r="J1890" s="8">
        <v>2305012</v>
      </c>
      <c r="K1890" s="9">
        <v>45083</v>
      </c>
      <c r="L1890" s="9">
        <v>46874</v>
      </c>
      <c r="M1890" s="8" t="s">
        <v>16</v>
      </c>
      <c r="P1890" s="17" t="s">
        <v>1643</v>
      </c>
      <c r="Q1890" s="2" t="s">
        <v>1640</v>
      </c>
    </row>
    <row r="1891" spans="1:17" ht="45">
      <c r="A1891" s="8" t="s">
        <v>3976</v>
      </c>
      <c r="B1891" s="8" t="s">
        <v>1904</v>
      </c>
      <c r="C1891" s="8" t="s">
        <v>2197</v>
      </c>
      <c r="D1891" s="8" t="s">
        <v>18</v>
      </c>
      <c r="E1891" s="8" t="s">
        <v>16</v>
      </c>
      <c r="F1891" s="8" t="s">
        <v>2204</v>
      </c>
      <c r="G1891" s="8" t="s">
        <v>3975</v>
      </c>
      <c r="H1891" s="8">
        <v>6285</v>
      </c>
      <c r="I1891" s="8">
        <v>650</v>
      </c>
      <c r="J1891" s="8">
        <v>2405004</v>
      </c>
      <c r="K1891" s="9">
        <v>45461</v>
      </c>
      <c r="L1891" s="9">
        <v>47239</v>
      </c>
      <c r="M1891" s="8" t="s">
        <v>16</v>
      </c>
      <c r="P1891" s="17" t="s">
        <v>1644</v>
      </c>
      <c r="Q1891" s="2" t="s">
        <v>1640</v>
      </c>
    </row>
    <row r="1892" spans="1:17" ht="45">
      <c r="A1892" s="8" t="s">
        <v>3976</v>
      </c>
      <c r="B1892" s="8" t="s">
        <v>1904</v>
      </c>
      <c r="C1892" s="8" t="s">
        <v>2197</v>
      </c>
      <c r="D1892" s="8" t="s">
        <v>18</v>
      </c>
      <c r="E1892" s="8" t="s">
        <v>16</v>
      </c>
      <c r="F1892" s="8" t="s">
        <v>2204</v>
      </c>
      <c r="G1892" s="8" t="s">
        <v>3975</v>
      </c>
      <c r="H1892" s="8">
        <v>6285</v>
      </c>
      <c r="I1892" s="8">
        <v>5600</v>
      </c>
      <c r="J1892" s="8">
        <v>2406006</v>
      </c>
      <c r="K1892" s="9">
        <v>45461</v>
      </c>
      <c r="L1892" s="9">
        <v>47270</v>
      </c>
      <c r="M1892" s="8" t="s">
        <v>16</v>
      </c>
      <c r="P1892" s="17" t="s">
        <v>1645</v>
      </c>
      <c r="Q1892" s="2" t="s">
        <v>1640</v>
      </c>
    </row>
    <row r="1893" spans="1:17" ht="75">
      <c r="A1893" s="8" t="s">
        <v>3977</v>
      </c>
      <c r="B1893" s="8" t="s">
        <v>1905</v>
      </c>
      <c r="C1893" s="8" t="s">
        <v>2197</v>
      </c>
      <c r="D1893" s="8" t="s">
        <v>18</v>
      </c>
      <c r="E1893" s="8" t="s">
        <v>16</v>
      </c>
      <c r="F1893" s="8" t="s">
        <v>2198</v>
      </c>
      <c r="G1893" s="8" t="s">
        <v>3978</v>
      </c>
      <c r="H1893" s="8">
        <v>3274</v>
      </c>
      <c r="I1893" s="8">
        <v>3274</v>
      </c>
      <c r="J1893" s="8" t="s">
        <v>1906</v>
      </c>
      <c r="K1893" s="9">
        <v>45371</v>
      </c>
      <c r="L1893" s="9">
        <v>46054</v>
      </c>
      <c r="M1893" s="8" t="s">
        <v>16</v>
      </c>
      <c r="P1893" s="17" t="s">
        <v>1646</v>
      </c>
      <c r="Q1893" s="2" t="s">
        <v>1640</v>
      </c>
    </row>
    <row r="1894" spans="1:17" ht="30">
      <c r="A1894" s="8" t="s">
        <v>3979</v>
      </c>
      <c r="B1894" s="8" t="s">
        <v>1907</v>
      </c>
      <c r="C1894" s="8" t="s">
        <v>2303</v>
      </c>
      <c r="D1894" s="8" t="s">
        <v>18</v>
      </c>
      <c r="E1894" s="8" t="s">
        <v>2217</v>
      </c>
      <c r="F1894" s="8" t="s">
        <v>2217</v>
      </c>
      <c r="G1894" s="8" t="s">
        <v>2217</v>
      </c>
      <c r="H1894" s="8">
        <v>20</v>
      </c>
      <c r="I1894" s="8">
        <v>20</v>
      </c>
      <c r="J1894" s="8">
        <v>0</v>
      </c>
      <c r="K1894" s="9">
        <v>45215</v>
      </c>
      <c r="L1894" s="9">
        <v>46174</v>
      </c>
      <c r="M1894" s="8" t="s">
        <v>16</v>
      </c>
      <c r="P1894" s="17" t="s">
        <v>1647</v>
      </c>
      <c r="Q1894" s="2" t="s">
        <v>1640</v>
      </c>
    </row>
    <row r="1895" spans="1:17" ht="30">
      <c r="A1895" s="8" t="s">
        <v>3980</v>
      </c>
      <c r="B1895" s="8" t="s">
        <v>1908</v>
      </c>
      <c r="C1895" s="8" t="s">
        <v>2307</v>
      </c>
      <c r="D1895" s="8" t="s">
        <v>18</v>
      </c>
      <c r="E1895" s="8" t="s">
        <v>2217</v>
      </c>
      <c r="F1895" s="8" t="s">
        <v>2217</v>
      </c>
      <c r="G1895" s="8" t="s">
        <v>2217</v>
      </c>
      <c r="H1895" s="8">
        <v>92</v>
      </c>
      <c r="I1895" s="8">
        <v>92</v>
      </c>
      <c r="J1895" s="8">
        <v>0</v>
      </c>
      <c r="K1895" s="9">
        <v>45215</v>
      </c>
      <c r="L1895" s="9">
        <v>45748</v>
      </c>
      <c r="M1895" s="8" t="s">
        <v>16</v>
      </c>
      <c r="P1895" s="17" t="s">
        <v>1648</v>
      </c>
      <c r="Q1895" s="2" t="s">
        <v>1640</v>
      </c>
    </row>
    <row r="1896" spans="1:17" ht="60">
      <c r="A1896" s="8" t="s">
        <v>3993</v>
      </c>
      <c r="B1896" s="8" t="s">
        <v>1914</v>
      </c>
      <c r="C1896" s="8" t="s">
        <v>2197</v>
      </c>
      <c r="D1896" s="8" t="s">
        <v>18</v>
      </c>
      <c r="E1896" s="8" t="s">
        <v>16</v>
      </c>
      <c r="F1896" s="8" t="s">
        <v>2198</v>
      </c>
      <c r="G1896" s="8" t="s">
        <v>3994</v>
      </c>
      <c r="H1896" s="8">
        <v>7</v>
      </c>
      <c r="I1896" s="8">
        <v>7</v>
      </c>
      <c r="J1896" s="8">
        <v>0</v>
      </c>
      <c r="K1896" s="9">
        <v>44016</v>
      </c>
      <c r="L1896" s="8" t="s">
        <v>2222</v>
      </c>
      <c r="M1896" s="8" t="s">
        <v>38</v>
      </c>
      <c r="P1896" s="16" t="s">
        <v>1649</v>
      </c>
      <c r="Q1896" s="2" t="s">
        <v>41</v>
      </c>
    </row>
    <row r="1897" spans="1:17" ht="60">
      <c r="A1897" s="8" t="s">
        <v>3995</v>
      </c>
      <c r="B1897" s="8" t="s">
        <v>1915</v>
      </c>
      <c r="C1897" s="8" t="s">
        <v>2197</v>
      </c>
      <c r="D1897" s="8" t="s">
        <v>18</v>
      </c>
      <c r="E1897" s="8" t="s">
        <v>16</v>
      </c>
      <c r="F1897" s="8" t="s">
        <v>2228</v>
      </c>
      <c r="G1897" s="8" t="s">
        <v>3996</v>
      </c>
      <c r="H1897" s="8">
        <v>7</v>
      </c>
      <c r="I1897" s="8">
        <v>7</v>
      </c>
      <c r="J1897" s="8">
        <v>60705004</v>
      </c>
      <c r="K1897" s="9">
        <v>44830</v>
      </c>
      <c r="L1897" s="9">
        <v>46631</v>
      </c>
      <c r="M1897" s="8" t="s">
        <v>16</v>
      </c>
      <c r="P1897" s="16" t="s">
        <v>1650</v>
      </c>
      <c r="Q1897" s="2" t="s">
        <v>16</v>
      </c>
    </row>
    <row r="1898" spans="1:17" ht="60">
      <c r="A1898" s="8" t="s">
        <v>3997</v>
      </c>
      <c r="B1898" s="8" t="s">
        <v>1916</v>
      </c>
      <c r="C1898" s="8" t="s">
        <v>2197</v>
      </c>
      <c r="D1898" s="8" t="s">
        <v>18</v>
      </c>
      <c r="E1898" s="8" t="s">
        <v>16</v>
      </c>
      <c r="F1898" s="8" t="s">
        <v>2228</v>
      </c>
      <c r="G1898" s="8" t="s">
        <v>3996</v>
      </c>
      <c r="H1898" s="8">
        <v>841</v>
      </c>
      <c r="I1898" s="8">
        <v>137</v>
      </c>
      <c r="J1898" s="8">
        <v>60722040</v>
      </c>
      <c r="K1898" s="9">
        <v>44803</v>
      </c>
      <c r="L1898" s="9">
        <v>46447</v>
      </c>
      <c r="M1898" s="8" t="s">
        <v>16</v>
      </c>
      <c r="P1898" s="16" t="s">
        <v>1650</v>
      </c>
      <c r="Q1898" s="2" t="s">
        <v>16</v>
      </c>
    </row>
    <row r="1899" spans="1:17" ht="60">
      <c r="A1899" s="8" t="s">
        <v>3997</v>
      </c>
      <c r="B1899" s="8" t="s">
        <v>1916</v>
      </c>
      <c r="C1899" s="8" t="s">
        <v>2197</v>
      </c>
      <c r="D1899" s="8" t="s">
        <v>18</v>
      </c>
      <c r="E1899" s="8" t="s">
        <v>16</v>
      </c>
      <c r="F1899" s="8" t="s">
        <v>2228</v>
      </c>
      <c r="G1899" s="8" t="s">
        <v>3996</v>
      </c>
      <c r="H1899" s="8">
        <v>841</v>
      </c>
      <c r="I1899" s="8">
        <v>704</v>
      </c>
      <c r="J1899" s="8">
        <v>60722080</v>
      </c>
      <c r="K1899" s="9">
        <v>44803</v>
      </c>
      <c r="L1899" s="9">
        <v>46600</v>
      </c>
      <c r="M1899" s="8" t="s">
        <v>16</v>
      </c>
      <c r="P1899" s="16" t="s">
        <v>1653</v>
      </c>
      <c r="Q1899" s="2" t="s">
        <v>16</v>
      </c>
    </row>
    <row r="1900" spans="1:17" ht="60">
      <c r="A1900" s="8" t="s">
        <v>3998</v>
      </c>
      <c r="B1900" s="8" t="s">
        <v>1917</v>
      </c>
      <c r="C1900" s="8" t="s">
        <v>2197</v>
      </c>
      <c r="D1900" s="8" t="s">
        <v>18</v>
      </c>
      <c r="E1900" s="8" t="s">
        <v>16</v>
      </c>
      <c r="F1900" s="8" t="s">
        <v>2228</v>
      </c>
      <c r="G1900" s="8" t="s">
        <v>3996</v>
      </c>
      <c r="H1900" s="8">
        <v>2455</v>
      </c>
      <c r="I1900" s="8">
        <v>2</v>
      </c>
      <c r="J1900" s="8">
        <v>60705006</v>
      </c>
      <c r="K1900" s="9">
        <v>44830</v>
      </c>
      <c r="L1900" s="9">
        <v>46631</v>
      </c>
      <c r="M1900" s="8" t="s">
        <v>16</v>
      </c>
      <c r="P1900" s="16" t="s">
        <v>1653</v>
      </c>
      <c r="Q1900" s="2" t="s">
        <v>16</v>
      </c>
    </row>
    <row r="1901" spans="1:17" ht="60">
      <c r="A1901" s="8" t="s">
        <v>3998</v>
      </c>
      <c r="B1901" s="8" t="s">
        <v>1917</v>
      </c>
      <c r="C1901" s="8" t="s">
        <v>2197</v>
      </c>
      <c r="D1901" s="8" t="s">
        <v>18</v>
      </c>
      <c r="E1901" s="8" t="s">
        <v>16</v>
      </c>
      <c r="F1901" s="8" t="s">
        <v>2228</v>
      </c>
      <c r="G1901" s="8" t="s">
        <v>3996</v>
      </c>
      <c r="H1901" s="8">
        <v>2455</v>
      </c>
      <c r="I1901" s="8">
        <v>224</v>
      </c>
      <c r="J1901" s="8">
        <v>60705009</v>
      </c>
      <c r="K1901" s="9">
        <v>44876</v>
      </c>
      <c r="L1901" s="9">
        <v>46692</v>
      </c>
      <c r="M1901" s="8" t="s">
        <v>16</v>
      </c>
      <c r="P1901" s="16" t="s">
        <v>1656</v>
      </c>
      <c r="Q1901" s="2" t="s">
        <v>43</v>
      </c>
    </row>
    <row r="1902" spans="1:17" ht="60">
      <c r="A1902" s="8" t="s">
        <v>3998</v>
      </c>
      <c r="B1902" s="8" t="s">
        <v>1917</v>
      </c>
      <c r="C1902" s="8" t="s">
        <v>2197</v>
      </c>
      <c r="D1902" s="8" t="s">
        <v>18</v>
      </c>
      <c r="E1902" s="8" t="s">
        <v>16</v>
      </c>
      <c r="F1902" s="8" t="s">
        <v>2228</v>
      </c>
      <c r="G1902" s="8" t="s">
        <v>3996</v>
      </c>
      <c r="H1902" s="8">
        <v>2455</v>
      </c>
      <c r="I1902" s="8">
        <v>288</v>
      </c>
      <c r="J1902" s="8">
        <v>60722105001</v>
      </c>
      <c r="K1902" s="9">
        <v>44879</v>
      </c>
      <c r="L1902" s="9">
        <v>46722</v>
      </c>
      <c r="M1902" s="8" t="s">
        <v>16</v>
      </c>
      <c r="P1902" s="16" t="s">
        <v>1657</v>
      </c>
      <c r="Q1902" s="2" t="s">
        <v>38</v>
      </c>
    </row>
    <row r="1903" spans="1:17" ht="60">
      <c r="A1903" s="8" t="s">
        <v>3998</v>
      </c>
      <c r="B1903" s="8" t="s">
        <v>1917</v>
      </c>
      <c r="C1903" s="8" t="s">
        <v>2197</v>
      </c>
      <c r="D1903" s="8" t="s">
        <v>18</v>
      </c>
      <c r="E1903" s="8" t="s">
        <v>16</v>
      </c>
      <c r="F1903" s="8" t="s">
        <v>2228</v>
      </c>
      <c r="G1903" s="8" t="s">
        <v>3996</v>
      </c>
      <c r="H1903" s="8">
        <v>2455</v>
      </c>
      <c r="I1903" s="8">
        <v>968</v>
      </c>
      <c r="J1903" s="8">
        <v>60705010</v>
      </c>
      <c r="K1903" s="9">
        <v>44876</v>
      </c>
      <c r="L1903" s="9">
        <v>46692</v>
      </c>
      <c r="M1903" s="8" t="s">
        <v>16</v>
      </c>
      <c r="P1903" s="16" t="s">
        <v>1658</v>
      </c>
      <c r="Q1903" s="2" t="s">
        <v>38</v>
      </c>
    </row>
    <row r="1904" spans="1:17" ht="60">
      <c r="A1904" s="8" t="s">
        <v>3998</v>
      </c>
      <c r="B1904" s="8" t="s">
        <v>1917</v>
      </c>
      <c r="C1904" s="8" t="s">
        <v>2197</v>
      </c>
      <c r="D1904" s="8" t="s">
        <v>18</v>
      </c>
      <c r="E1904" s="8" t="s">
        <v>16</v>
      </c>
      <c r="F1904" s="8" t="s">
        <v>2228</v>
      </c>
      <c r="G1904" s="8" t="s">
        <v>3996</v>
      </c>
      <c r="H1904" s="8">
        <v>2455</v>
      </c>
      <c r="I1904" s="8">
        <v>973</v>
      </c>
      <c r="J1904" s="10">
        <v>607000000000</v>
      </c>
      <c r="K1904" s="9">
        <v>44879</v>
      </c>
      <c r="L1904" s="9">
        <v>46631</v>
      </c>
      <c r="M1904" s="8" t="s">
        <v>16</v>
      </c>
      <c r="P1904" s="16" t="s">
        <v>1659</v>
      </c>
      <c r="Q1904" s="2" t="s">
        <v>38</v>
      </c>
    </row>
    <row r="1905" spans="1:17" ht="60">
      <c r="A1905" s="8" t="s">
        <v>3999</v>
      </c>
      <c r="B1905" s="8" t="s">
        <v>1918</v>
      </c>
      <c r="C1905" s="8" t="s">
        <v>2197</v>
      </c>
      <c r="D1905" s="8" t="s">
        <v>18</v>
      </c>
      <c r="E1905" s="8" t="s">
        <v>16</v>
      </c>
      <c r="F1905" s="8" t="s">
        <v>2228</v>
      </c>
      <c r="G1905" s="8" t="s">
        <v>4000</v>
      </c>
      <c r="H1905" s="8">
        <v>1</v>
      </c>
      <c r="I1905" s="8">
        <v>1</v>
      </c>
      <c r="J1905" s="8">
        <v>312122</v>
      </c>
      <c r="K1905" s="9">
        <v>44167</v>
      </c>
      <c r="L1905" s="8" t="s">
        <v>2222</v>
      </c>
      <c r="M1905" s="8" t="s">
        <v>38</v>
      </c>
      <c r="P1905" s="16" t="s">
        <v>1660</v>
      </c>
      <c r="Q1905" s="2" t="s">
        <v>38</v>
      </c>
    </row>
    <row r="1906" spans="1:17" ht="60">
      <c r="A1906" s="8" t="s">
        <v>4001</v>
      </c>
      <c r="B1906" s="8" t="s">
        <v>1919</v>
      </c>
      <c r="C1906" s="8" t="s">
        <v>2197</v>
      </c>
      <c r="D1906" s="8" t="s">
        <v>18</v>
      </c>
      <c r="E1906" s="8" t="s">
        <v>16</v>
      </c>
      <c r="F1906" s="8" t="s">
        <v>2204</v>
      </c>
      <c r="G1906" s="8" t="s">
        <v>4002</v>
      </c>
      <c r="H1906" s="8">
        <v>94</v>
      </c>
      <c r="I1906" s="8">
        <v>94</v>
      </c>
      <c r="J1906" s="8">
        <v>18153001</v>
      </c>
      <c r="K1906" s="9">
        <v>44992</v>
      </c>
      <c r="L1906" s="9">
        <v>46023</v>
      </c>
      <c r="M1906" s="8" t="s">
        <v>16</v>
      </c>
      <c r="P1906" s="16" t="s">
        <v>1661</v>
      </c>
      <c r="Q1906" s="2" t="s">
        <v>38</v>
      </c>
    </row>
    <row r="1907" spans="1:17" ht="36.75">
      <c r="A1907" s="8" t="s">
        <v>4003</v>
      </c>
      <c r="B1907" s="8" t="s">
        <v>1920</v>
      </c>
      <c r="C1907" s="8" t="s">
        <v>2221</v>
      </c>
      <c r="D1907" s="8" t="s">
        <v>18</v>
      </c>
      <c r="E1907" s="8" t="s">
        <v>43</v>
      </c>
      <c r="F1907" s="8" t="s">
        <v>2217</v>
      </c>
      <c r="G1907" s="8" t="s">
        <v>2217</v>
      </c>
      <c r="H1907" s="8">
        <v>22</v>
      </c>
      <c r="I1907" s="8">
        <v>22</v>
      </c>
      <c r="J1907" s="8">
        <v>0</v>
      </c>
      <c r="K1907" s="9">
        <v>44160</v>
      </c>
      <c r="L1907" s="8" t="s">
        <v>2222</v>
      </c>
      <c r="M1907" s="8" t="s">
        <v>43</v>
      </c>
      <c r="P1907" s="16" t="s">
        <v>1662</v>
      </c>
      <c r="Q1907" s="2" t="s">
        <v>38</v>
      </c>
    </row>
    <row r="1908" spans="1:17" ht="45">
      <c r="A1908" s="8" t="s">
        <v>4004</v>
      </c>
      <c r="B1908" s="8" t="s">
        <v>1921</v>
      </c>
      <c r="C1908" s="8" t="s">
        <v>2221</v>
      </c>
      <c r="D1908" s="8" t="s">
        <v>18</v>
      </c>
      <c r="E1908" s="8" t="s">
        <v>43</v>
      </c>
      <c r="F1908" s="8" t="s">
        <v>2217</v>
      </c>
      <c r="G1908" s="8" t="s">
        <v>2217</v>
      </c>
      <c r="H1908" s="8">
        <v>13</v>
      </c>
      <c r="I1908" s="8">
        <v>13</v>
      </c>
      <c r="J1908" s="8">
        <v>0</v>
      </c>
      <c r="K1908" s="9">
        <v>44160</v>
      </c>
      <c r="L1908" s="8" t="s">
        <v>2222</v>
      </c>
      <c r="M1908" s="8" t="s">
        <v>43</v>
      </c>
      <c r="P1908" s="16" t="s">
        <v>1663</v>
      </c>
      <c r="Q1908" s="2" t="s">
        <v>38</v>
      </c>
    </row>
    <row r="1909" spans="1:17" ht="48.75">
      <c r="A1909" s="8" t="s">
        <v>4005</v>
      </c>
      <c r="B1909" s="8" t="s">
        <v>1922</v>
      </c>
      <c r="C1909" s="8" t="s">
        <v>2221</v>
      </c>
      <c r="D1909" s="8" t="s">
        <v>18</v>
      </c>
      <c r="E1909" s="8" t="s">
        <v>101</v>
      </c>
      <c r="F1909" s="8" t="s">
        <v>2498</v>
      </c>
      <c r="G1909" s="8" t="s">
        <v>2217</v>
      </c>
      <c r="H1909" s="8">
        <v>24</v>
      </c>
      <c r="I1909" s="8">
        <v>24</v>
      </c>
      <c r="J1909" s="8">
        <v>0</v>
      </c>
      <c r="K1909" s="9">
        <v>44145</v>
      </c>
      <c r="L1909" s="8" t="s">
        <v>2222</v>
      </c>
      <c r="M1909" s="8" t="s">
        <v>41</v>
      </c>
      <c r="P1909" s="16" t="s">
        <v>1664</v>
      </c>
      <c r="Q1909" s="2" t="s">
        <v>101</v>
      </c>
    </row>
    <row r="1910" spans="1:17" ht="48.75">
      <c r="A1910" s="8" t="s">
        <v>4006</v>
      </c>
      <c r="B1910" s="8" t="s">
        <v>1923</v>
      </c>
      <c r="C1910" s="8" t="s">
        <v>2221</v>
      </c>
      <c r="D1910" s="8" t="s">
        <v>18</v>
      </c>
      <c r="E1910" s="8" t="s">
        <v>101</v>
      </c>
      <c r="F1910" s="8" t="s">
        <v>2498</v>
      </c>
      <c r="G1910" s="8" t="s">
        <v>2217</v>
      </c>
      <c r="H1910" s="8">
        <v>115</v>
      </c>
      <c r="I1910" s="8">
        <v>115</v>
      </c>
      <c r="J1910" s="8">
        <v>0</v>
      </c>
      <c r="K1910" s="9">
        <v>44145</v>
      </c>
      <c r="L1910" s="8" t="s">
        <v>2222</v>
      </c>
      <c r="M1910" s="8" t="s">
        <v>41</v>
      </c>
      <c r="P1910" s="16" t="s">
        <v>1665</v>
      </c>
      <c r="Q1910" s="2" t="s">
        <v>101</v>
      </c>
    </row>
    <row r="1911" spans="1:17" ht="48.75">
      <c r="A1911" s="8" t="s">
        <v>4007</v>
      </c>
      <c r="B1911" s="8" t="s">
        <v>1924</v>
      </c>
      <c r="C1911" s="8" t="s">
        <v>2197</v>
      </c>
      <c r="D1911" s="8" t="s">
        <v>18</v>
      </c>
      <c r="E1911" s="8" t="s">
        <v>16</v>
      </c>
      <c r="F1911" s="8" t="s">
        <v>2198</v>
      </c>
      <c r="G1911" s="8" t="s">
        <v>4008</v>
      </c>
      <c r="H1911" s="8">
        <v>12671</v>
      </c>
      <c r="I1911" s="8">
        <v>1</v>
      </c>
      <c r="J1911" s="8" t="s">
        <v>1925</v>
      </c>
      <c r="K1911" s="9">
        <v>45272</v>
      </c>
      <c r="L1911" s="9">
        <v>46692</v>
      </c>
      <c r="M1911" s="8" t="s">
        <v>16</v>
      </c>
      <c r="P1911" s="16" t="s">
        <v>1666</v>
      </c>
      <c r="Q1911" s="2" t="s">
        <v>101</v>
      </c>
    </row>
    <row r="1912" spans="1:17" ht="48.75">
      <c r="A1912" s="8" t="s">
        <v>4007</v>
      </c>
      <c r="B1912" s="8" t="s">
        <v>1924</v>
      </c>
      <c r="C1912" s="8" t="s">
        <v>2197</v>
      </c>
      <c r="D1912" s="8" t="s">
        <v>18</v>
      </c>
      <c r="E1912" s="8" t="s">
        <v>16</v>
      </c>
      <c r="F1912" s="8" t="s">
        <v>2198</v>
      </c>
      <c r="G1912" s="8" t="s">
        <v>4008</v>
      </c>
      <c r="H1912" s="8">
        <v>12671</v>
      </c>
      <c r="I1912" s="8">
        <v>670</v>
      </c>
      <c r="J1912" s="8" t="s">
        <v>1926</v>
      </c>
      <c r="K1912" s="9">
        <v>45448</v>
      </c>
      <c r="L1912" s="9">
        <v>46844</v>
      </c>
      <c r="M1912" s="8" t="s">
        <v>16</v>
      </c>
      <c r="P1912" s="16" t="s">
        <v>1667</v>
      </c>
      <c r="Q1912" s="2" t="s">
        <v>101</v>
      </c>
    </row>
    <row r="1913" spans="1:17" ht="45">
      <c r="A1913" s="8" t="s">
        <v>4007</v>
      </c>
      <c r="B1913" s="8" t="s">
        <v>1924</v>
      </c>
      <c r="C1913" s="8" t="s">
        <v>2197</v>
      </c>
      <c r="D1913" s="8" t="s">
        <v>18</v>
      </c>
      <c r="E1913" s="8" t="s">
        <v>16</v>
      </c>
      <c r="F1913" s="8" t="s">
        <v>2198</v>
      </c>
      <c r="G1913" s="8" t="s">
        <v>4008</v>
      </c>
      <c r="H1913" s="8">
        <v>12671</v>
      </c>
      <c r="I1913" s="8">
        <v>1200</v>
      </c>
      <c r="J1913" s="8" t="s">
        <v>1927</v>
      </c>
      <c r="K1913" s="9">
        <v>45448</v>
      </c>
      <c r="L1913" s="9">
        <v>46844</v>
      </c>
      <c r="M1913" s="8" t="s">
        <v>16</v>
      </c>
      <c r="P1913" s="16" t="s">
        <v>1668</v>
      </c>
      <c r="Q1913" s="2" t="s">
        <v>16</v>
      </c>
    </row>
    <row r="1914" spans="1:17" ht="45">
      <c r="A1914" s="8" t="s">
        <v>4007</v>
      </c>
      <c r="B1914" s="8" t="s">
        <v>1924</v>
      </c>
      <c r="C1914" s="8" t="s">
        <v>2197</v>
      </c>
      <c r="D1914" s="8" t="s">
        <v>18</v>
      </c>
      <c r="E1914" s="8" t="s">
        <v>16</v>
      </c>
      <c r="F1914" s="8" t="s">
        <v>2198</v>
      </c>
      <c r="G1914" s="8" t="s">
        <v>4008</v>
      </c>
      <c r="H1914" s="8">
        <v>12671</v>
      </c>
      <c r="I1914" s="8">
        <v>1200</v>
      </c>
      <c r="J1914" s="8" t="s">
        <v>1928</v>
      </c>
      <c r="K1914" s="9">
        <v>45448</v>
      </c>
      <c r="L1914" s="9">
        <v>46844</v>
      </c>
      <c r="M1914" s="8" t="s">
        <v>16</v>
      </c>
      <c r="P1914" s="16" t="s">
        <v>1669</v>
      </c>
      <c r="Q1914" s="2" t="s">
        <v>16</v>
      </c>
    </row>
    <row r="1915" spans="1:17" ht="45">
      <c r="A1915" s="8" t="s">
        <v>4007</v>
      </c>
      <c r="B1915" s="8" t="s">
        <v>1924</v>
      </c>
      <c r="C1915" s="8" t="s">
        <v>2197</v>
      </c>
      <c r="D1915" s="8" t="s">
        <v>18</v>
      </c>
      <c r="E1915" s="8" t="s">
        <v>16</v>
      </c>
      <c r="F1915" s="8" t="s">
        <v>2198</v>
      </c>
      <c r="G1915" s="8" t="s">
        <v>4008</v>
      </c>
      <c r="H1915" s="8">
        <v>12671</v>
      </c>
      <c r="I1915" s="8">
        <v>1200</v>
      </c>
      <c r="J1915" s="8" t="s">
        <v>1929</v>
      </c>
      <c r="K1915" s="9">
        <v>45463</v>
      </c>
      <c r="L1915" s="9">
        <v>46874</v>
      </c>
      <c r="M1915" s="8" t="s">
        <v>16</v>
      </c>
      <c r="P1915" s="16" t="s">
        <v>1670</v>
      </c>
      <c r="Q1915" s="2" t="s">
        <v>41</v>
      </c>
    </row>
    <row r="1916" spans="1:17" ht="45">
      <c r="A1916" s="8" t="s">
        <v>4007</v>
      </c>
      <c r="B1916" s="8" t="s">
        <v>1924</v>
      </c>
      <c r="C1916" s="8" t="s">
        <v>2197</v>
      </c>
      <c r="D1916" s="8" t="s">
        <v>18</v>
      </c>
      <c r="E1916" s="8" t="s">
        <v>16</v>
      </c>
      <c r="F1916" s="8" t="s">
        <v>2198</v>
      </c>
      <c r="G1916" s="8" t="s">
        <v>4008</v>
      </c>
      <c r="H1916" s="8">
        <v>12671</v>
      </c>
      <c r="I1916" s="8">
        <v>1200</v>
      </c>
      <c r="J1916" s="8" t="s">
        <v>1930</v>
      </c>
      <c r="K1916" s="9">
        <v>45463</v>
      </c>
      <c r="L1916" s="9">
        <v>46874</v>
      </c>
      <c r="M1916" s="8" t="s">
        <v>16</v>
      </c>
      <c r="P1916" s="16" t="s">
        <v>1671</v>
      </c>
      <c r="Q1916" s="2" t="s">
        <v>16</v>
      </c>
    </row>
    <row r="1917" spans="1:17" ht="48.75">
      <c r="A1917" s="8" t="s">
        <v>4007</v>
      </c>
      <c r="B1917" s="8" t="s">
        <v>1924</v>
      </c>
      <c r="C1917" s="8" t="s">
        <v>2197</v>
      </c>
      <c r="D1917" s="8" t="s">
        <v>18</v>
      </c>
      <c r="E1917" s="8" t="s">
        <v>16</v>
      </c>
      <c r="F1917" s="8" t="s">
        <v>2198</v>
      </c>
      <c r="G1917" s="8" t="s">
        <v>4008</v>
      </c>
      <c r="H1917" s="8">
        <v>12671</v>
      </c>
      <c r="I1917" s="8">
        <v>1800</v>
      </c>
      <c r="J1917" s="8" t="s">
        <v>1931</v>
      </c>
      <c r="K1917" s="9">
        <v>45463</v>
      </c>
      <c r="L1917" s="9">
        <v>46874</v>
      </c>
      <c r="M1917" s="8" t="s">
        <v>16</v>
      </c>
      <c r="P1917" s="16" t="s">
        <v>1672</v>
      </c>
      <c r="Q1917" s="2" t="s">
        <v>16</v>
      </c>
    </row>
    <row r="1918" spans="1:17" ht="45">
      <c r="A1918" s="8" t="s">
        <v>4007</v>
      </c>
      <c r="B1918" s="8" t="s">
        <v>1924</v>
      </c>
      <c r="C1918" s="8" t="s">
        <v>2197</v>
      </c>
      <c r="D1918" s="8" t="s">
        <v>18</v>
      </c>
      <c r="E1918" s="8" t="s">
        <v>16</v>
      </c>
      <c r="F1918" s="8" t="s">
        <v>2198</v>
      </c>
      <c r="G1918" s="8" t="s">
        <v>4008</v>
      </c>
      <c r="H1918" s="8">
        <v>12671</v>
      </c>
      <c r="I1918" s="8">
        <v>1800</v>
      </c>
      <c r="J1918" s="8" t="s">
        <v>1932</v>
      </c>
      <c r="K1918" s="9">
        <v>45463</v>
      </c>
      <c r="L1918" s="9">
        <v>46874</v>
      </c>
      <c r="M1918" s="8" t="s">
        <v>16</v>
      </c>
      <c r="P1918" s="16" t="s">
        <v>1674</v>
      </c>
      <c r="Q1918" s="2" t="s">
        <v>16</v>
      </c>
    </row>
    <row r="1919" spans="1:17" ht="45">
      <c r="A1919" s="8" t="s">
        <v>4007</v>
      </c>
      <c r="B1919" s="8" t="s">
        <v>1924</v>
      </c>
      <c r="C1919" s="8" t="s">
        <v>2197</v>
      </c>
      <c r="D1919" s="8" t="s">
        <v>18</v>
      </c>
      <c r="E1919" s="8" t="s">
        <v>16</v>
      </c>
      <c r="F1919" s="8" t="s">
        <v>2198</v>
      </c>
      <c r="G1919" s="8" t="s">
        <v>4008</v>
      </c>
      <c r="H1919" s="8">
        <v>12671</v>
      </c>
      <c r="I1919" s="8">
        <v>3600</v>
      </c>
      <c r="J1919" s="8" t="s">
        <v>1933</v>
      </c>
      <c r="K1919" s="9">
        <v>45453</v>
      </c>
      <c r="L1919" s="9">
        <v>46874</v>
      </c>
      <c r="M1919" s="8" t="s">
        <v>16</v>
      </c>
      <c r="P1919" s="16" t="s">
        <v>1676</v>
      </c>
      <c r="Q1919" s="2" t="s">
        <v>16</v>
      </c>
    </row>
    <row r="1920" spans="1:17" ht="45">
      <c r="A1920" s="8" t="s">
        <v>4009</v>
      </c>
      <c r="B1920" s="8" t="s">
        <v>1934</v>
      </c>
      <c r="C1920" s="8" t="s">
        <v>2197</v>
      </c>
      <c r="D1920" s="8" t="s">
        <v>18</v>
      </c>
      <c r="E1920" s="8" t="s">
        <v>16</v>
      </c>
      <c r="F1920" s="8" t="s">
        <v>2198</v>
      </c>
      <c r="G1920" s="8" t="s">
        <v>4008</v>
      </c>
      <c r="H1920" s="8">
        <v>7150</v>
      </c>
      <c r="I1920" s="8">
        <v>145</v>
      </c>
      <c r="J1920" s="8" t="s">
        <v>1935</v>
      </c>
      <c r="K1920" s="9">
        <v>45448</v>
      </c>
      <c r="L1920" s="9">
        <v>46844</v>
      </c>
      <c r="M1920" s="8" t="s">
        <v>16</v>
      </c>
      <c r="P1920" s="16" t="s">
        <v>1677</v>
      </c>
      <c r="Q1920" s="2" t="s">
        <v>16</v>
      </c>
    </row>
    <row r="1921" spans="1:17" ht="45">
      <c r="A1921" s="8" t="s">
        <v>4009</v>
      </c>
      <c r="B1921" s="8" t="s">
        <v>1934</v>
      </c>
      <c r="C1921" s="8" t="s">
        <v>2197</v>
      </c>
      <c r="D1921" s="8" t="s">
        <v>18</v>
      </c>
      <c r="E1921" s="8" t="s">
        <v>16</v>
      </c>
      <c r="F1921" s="8" t="s">
        <v>2198</v>
      </c>
      <c r="G1921" s="8" t="s">
        <v>4008</v>
      </c>
      <c r="H1921" s="8">
        <v>7150</v>
      </c>
      <c r="I1921" s="8">
        <v>1005</v>
      </c>
      <c r="J1921" s="8" t="s">
        <v>1936</v>
      </c>
      <c r="K1921" s="9">
        <v>45448</v>
      </c>
      <c r="L1921" s="9">
        <v>46844</v>
      </c>
      <c r="M1921" s="8" t="s">
        <v>16</v>
      </c>
      <c r="P1921" s="16" t="s">
        <v>1678</v>
      </c>
      <c r="Q1921" s="2" t="s">
        <v>16</v>
      </c>
    </row>
    <row r="1922" spans="1:17" ht="45">
      <c r="A1922" s="8" t="s">
        <v>4009</v>
      </c>
      <c r="B1922" s="8" t="s">
        <v>1934</v>
      </c>
      <c r="C1922" s="8" t="s">
        <v>2197</v>
      </c>
      <c r="D1922" s="8" t="s">
        <v>18</v>
      </c>
      <c r="E1922" s="8" t="s">
        <v>16</v>
      </c>
      <c r="F1922" s="8" t="s">
        <v>2198</v>
      </c>
      <c r="G1922" s="8" t="s">
        <v>4008</v>
      </c>
      <c r="H1922" s="8">
        <v>7150</v>
      </c>
      <c r="I1922" s="8">
        <v>2000</v>
      </c>
      <c r="J1922" s="8" t="s">
        <v>1937</v>
      </c>
      <c r="K1922" s="9">
        <v>45453</v>
      </c>
      <c r="L1922" s="9">
        <v>46844</v>
      </c>
      <c r="M1922" s="8" t="s">
        <v>16</v>
      </c>
      <c r="P1922" s="16" t="s">
        <v>1678</v>
      </c>
      <c r="Q1922" s="2" t="s">
        <v>16</v>
      </c>
    </row>
    <row r="1923" spans="1:17" ht="48.75">
      <c r="A1923" s="8" t="s">
        <v>4009</v>
      </c>
      <c r="B1923" s="8" t="s">
        <v>1934</v>
      </c>
      <c r="C1923" s="8" t="s">
        <v>2197</v>
      </c>
      <c r="D1923" s="8" t="s">
        <v>18</v>
      </c>
      <c r="E1923" s="8" t="s">
        <v>16</v>
      </c>
      <c r="F1923" s="8" t="s">
        <v>2198</v>
      </c>
      <c r="G1923" s="8" t="s">
        <v>4008</v>
      </c>
      <c r="H1923" s="8">
        <v>7150</v>
      </c>
      <c r="I1923" s="8">
        <v>2000</v>
      </c>
      <c r="J1923" s="8" t="s">
        <v>1938</v>
      </c>
      <c r="K1923" s="9">
        <v>45463</v>
      </c>
      <c r="L1923" s="9">
        <v>46874</v>
      </c>
      <c r="M1923" s="8" t="s">
        <v>16</v>
      </c>
      <c r="P1923" s="16" t="s">
        <v>1681</v>
      </c>
      <c r="Q1923" s="2" t="s">
        <v>16</v>
      </c>
    </row>
    <row r="1924" spans="1:17" ht="48.75">
      <c r="A1924" s="8" t="s">
        <v>4009</v>
      </c>
      <c r="B1924" s="8" t="s">
        <v>1934</v>
      </c>
      <c r="C1924" s="8" t="s">
        <v>2197</v>
      </c>
      <c r="D1924" s="8" t="s">
        <v>18</v>
      </c>
      <c r="E1924" s="8" t="s">
        <v>16</v>
      </c>
      <c r="F1924" s="8" t="s">
        <v>2198</v>
      </c>
      <c r="G1924" s="8" t="s">
        <v>4008</v>
      </c>
      <c r="H1924" s="8">
        <v>7150</v>
      </c>
      <c r="I1924" s="8">
        <v>2000</v>
      </c>
      <c r="J1924" s="8" t="s">
        <v>1939</v>
      </c>
      <c r="K1924" s="9">
        <v>45463</v>
      </c>
      <c r="L1924" s="9">
        <v>46874</v>
      </c>
      <c r="M1924" s="8" t="s">
        <v>16</v>
      </c>
      <c r="P1924" s="16" t="s">
        <v>1681</v>
      </c>
      <c r="Q1924" s="2" t="s">
        <v>16</v>
      </c>
    </row>
    <row r="1925" spans="1:17" ht="48.75">
      <c r="A1925" s="8" t="s">
        <v>4010</v>
      </c>
      <c r="B1925" s="8" t="s">
        <v>1940</v>
      </c>
      <c r="C1925" s="8" t="s">
        <v>2197</v>
      </c>
      <c r="D1925" s="8" t="s">
        <v>18</v>
      </c>
      <c r="E1925" s="8" t="s">
        <v>16</v>
      </c>
      <c r="F1925" s="8" t="s">
        <v>2198</v>
      </c>
      <c r="G1925" s="8" t="s">
        <v>4008</v>
      </c>
      <c r="H1925" s="8">
        <v>19585</v>
      </c>
      <c r="I1925" s="8">
        <v>2000</v>
      </c>
      <c r="J1925" s="8" t="s">
        <v>1941</v>
      </c>
      <c r="K1925" s="9">
        <v>45463</v>
      </c>
      <c r="L1925" s="9">
        <v>46874</v>
      </c>
      <c r="M1925" s="8" t="s">
        <v>16</v>
      </c>
      <c r="P1925" s="16" t="s">
        <v>1682</v>
      </c>
      <c r="Q1925" s="2" t="s">
        <v>16</v>
      </c>
    </row>
    <row r="1926" spans="1:17" ht="48.75">
      <c r="A1926" s="8" t="s">
        <v>4010</v>
      </c>
      <c r="B1926" s="8" t="s">
        <v>1940</v>
      </c>
      <c r="C1926" s="8" t="s">
        <v>2197</v>
      </c>
      <c r="D1926" s="8" t="s">
        <v>18</v>
      </c>
      <c r="E1926" s="8" t="s">
        <v>16</v>
      </c>
      <c r="F1926" s="8" t="s">
        <v>2198</v>
      </c>
      <c r="G1926" s="8" t="s">
        <v>4008</v>
      </c>
      <c r="H1926" s="8">
        <v>19585</v>
      </c>
      <c r="I1926" s="8">
        <v>3000</v>
      </c>
      <c r="J1926" s="8" t="s">
        <v>1942</v>
      </c>
      <c r="K1926" s="9">
        <v>45463</v>
      </c>
      <c r="L1926" s="9">
        <v>46874</v>
      </c>
      <c r="M1926" s="8" t="s">
        <v>16</v>
      </c>
      <c r="P1926" s="16" t="s">
        <v>1682</v>
      </c>
      <c r="Q1926" s="2" t="s">
        <v>16</v>
      </c>
    </row>
    <row r="1927" spans="1:17" ht="48.75">
      <c r="A1927" s="8" t="s">
        <v>4010</v>
      </c>
      <c r="B1927" s="8" t="s">
        <v>1940</v>
      </c>
      <c r="C1927" s="8" t="s">
        <v>2197</v>
      </c>
      <c r="D1927" s="8" t="s">
        <v>18</v>
      </c>
      <c r="E1927" s="8" t="s">
        <v>16</v>
      </c>
      <c r="F1927" s="8" t="s">
        <v>2198</v>
      </c>
      <c r="G1927" s="8" t="s">
        <v>4008</v>
      </c>
      <c r="H1927" s="8">
        <v>19585</v>
      </c>
      <c r="I1927" s="8">
        <v>5000</v>
      </c>
      <c r="J1927" s="8" t="s">
        <v>1943</v>
      </c>
      <c r="K1927" s="9">
        <v>45463</v>
      </c>
      <c r="L1927" s="9">
        <v>46874</v>
      </c>
      <c r="M1927" s="8" t="s">
        <v>16</v>
      </c>
      <c r="P1927" s="16" t="s">
        <v>1683</v>
      </c>
      <c r="Q1927" s="2" t="s">
        <v>16</v>
      </c>
    </row>
    <row r="1928" spans="1:17" ht="48.75">
      <c r="A1928" s="8" t="s">
        <v>4010</v>
      </c>
      <c r="B1928" s="8" t="s">
        <v>1940</v>
      </c>
      <c r="C1928" s="8" t="s">
        <v>2197</v>
      </c>
      <c r="D1928" s="8" t="s">
        <v>18</v>
      </c>
      <c r="E1928" s="8" t="s">
        <v>16</v>
      </c>
      <c r="F1928" s="8" t="s">
        <v>2198</v>
      </c>
      <c r="G1928" s="8" t="s">
        <v>4008</v>
      </c>
      <c r="H1928" s="8">
        <v>19585</v>
      </c>
      <c r="I1928" s="8">
        <v>9585</v>
      </c>
      <c r="J1928" s="8" t="s">
        <v>1944</v>
      </c>
      <c r="K1928" s="9">
        <v>45453</v>
      </c>
      <c r="L1928" s="9">
        <v>46874</v>
      </c>
      <c r="M1928" s="8" t="s">
        <v>16</v>
      </c>
      <c r="P1928" s="16" t="s">
        <v>1684</v>
      </c>
      <c r="Q1928" s="2" t="s">
        <v>16</v>
      </c>
    </row>
    <row r="1929" spans="1:17" ht="48.75">
      <c r="A1929" s="8" t="s">
        <v>4011</v>
      </c>
      <c r="B1929" s="8" t="s">
        <v>1945</v>
      </c>
      <c r="C1929" s="8" t="s">
        <v>2197</v>
      </c>
      <c r="D1929" s="8" t="s">
        <v>18</v>
      </c>
      <c r="E1929" s="8" t="s">
        <v>16</v>
      </c>
      <c r="F1929" s="8" t="s">
        <v>2198</v>
      </c>
      <c r="G1929" s="8" t="s">
        <v>4012</v>
      </c>
      <c r="H1929" s="8">
        <v>20</v>
      </c>
      <c r="I1929" s="8">
        <v>20</v>
      </c>
      <c r="J1929" s="8">
        <v>301240211004</v>
      </c>
      <c r="K1929" s="9">
        <v>45353</v>
      </c>
      <c r="L1929" s="9">
        <v>47150</v>
      </c>
      <c r="M1929" s="8" t="s">
        <v>16</v>
      </c>
      <c r="P1929" s="16" t="s">
        <v>1684</v>
      </c>
      <c r="Q1929" s="2" t="s">
        <v>16</v>
      </c>
    </row>
    <row r="1930" spans="1:17" ht="48.75">
      <c r="A1930" s="8" t="s">
        <v>4013</v>
      </c>
      <c r="B1930" s="8" t="s">
        <v>1946</v>
      </c>
      <c r="C1930" s="8" t="s">
        <v>2197</v>
      </c>
      <c r="D1930" s="8" t="s">
        <v>18</v>
      </c>
      <c r="E1930" s="8" t="s">
        <v>16</v>
      </c>
      <c r="F1930" s="8" t="s">
        <v>2198</v>
      </c>
      <c r="G1930" s="8" t="s">
        <v>4012</v>
      </c>
      <c r="H1930" s="8">
        <v>779</v>
      </c>
      <c r="I1930" s="8">
        <v>779</v>
      </c>
      <c r="J1930" s="10">
        <v>301000000000</v>
      </c>
      <c r="K1930" s="9">
        <v>44989</v>
      </c>
      <c r="L1930" s="9">
        <v>46753</v>
      </c>
      <c r="M1930" s="8" t="s">
        <v>16</v>
      </c>
      <c r="P1930" s="16" t="s">
        <v>1685</v>
      </c>
      <c r="Q1930" s="2" t="s">
        <v>16</v>
      </c>
    </row>
    <row r="1931" spans="1:17" ht="48.75">
      <c r="A1931" s="8" t="s">
        <v>4014</v>
      </c>
      <c r="B1931" s="8" t="s">
        <v>1947</v>
      </c>
      <c r="C1931" s="8" t="s">
        <v>2197</v>
      </c>
      <c r="D1931" s="8" t="s">
        <v>18</v>
      </c>
      <c r="E1931" s="8" t="s">
        <v>16</v>
      </c>
      <c r="F1931" s="8" t="s">
        <v>2198</v>
      </c>
      <c r="G1931" s="8" t="s">
        <v>4012</v>
      </c>
      <c r="H1931" s="8">
        <v>595</v>
      </c>
      <c r="I1931" s="8">
        <v>595</v>
      </c>
      <c r="J1931" s="10">
        <v>301000000000</v>
      </c>
      <c r="K1931" s="9">
        <v>44954</v>
      </c>
      <c r="L1931" s="9">
        <v>46722</v>
      </c>
      <c r="M1931" s="8" t="s">
        <v>16</v>
      </c>
      <c r="P1931" s="16" t="s">
        <v>1686</v>
      </c>
      <c r="Q1931" s="2" t="s">
        <v>41</v>
      </c>
    </row>
    <row r="1932" spans="1:17" ht="60">
      <c r="A1932" s="8" t="s">
        <v>4015</v>
      </c>
      <c r="B1932" s="8" t="s">
        <v>1948</v>
      </c>
      <c r="C1932" s="8" t="s">
        <v>2197</v>
      </c>
      <c r="D1932" s="8" t="s">
        <v>18</v>
      </c>
      <c r="E1932" s="8" t="s">
        <v>16</v>
      </c>
      <c r="F1932" s="8" t="s">
        <v>2198</v>
      </c>
      <c r="G1932" s="8" t="s">
        <v>4016</v>
      </c>
      <c r="H1932" s="8">
        <v>1430</v>
      </c>
      <c r="I1932" s="8">
        <v>1430</v>
      </c>
      <c r="J1932" s="8">
        <v>20200204</v>
      </c>
      <c r="K1932" s="9">
        <v>44523</v>
      </c>
      <c r="L1932" s="9">
        <v>45748</v>
      </c>
      <c r="M1932" s="8" t="s">
        <v>16</v>
      </c>
      <c r="P1932" s="16" t="s">
        <v>1687</v>
      </c>
      <c r="Q1932" s="2" t="s">
        <v>151</v>
      </c>
    </row>
    <row r="1933" spans="1:17" ht="45">
      <c r="A1933" s="8" t="s">
        <v>4017</v>
      </c>
      <c r="B1933" s="8" t="s">
        <v>1949</v>
      </c>
      <c r="C1933" s="8" t="s">
        <v>2197</v>
      </c>
      <c r="D1933" s="8" t="s">
        <v>18</v>
      </c>
      <c r="E1933" s="8" t="s">
        <v>16</v>
      </c>
      <c r="F1933" s="8" t="s">
        <v>2198</v>
      </c>
      <c r="G1933" s="8" t="s">
        <v>4016</v>
      </c>
      <c r="H1933" s="8">
        <v>121</v>
      </c>
      <c r="I1933" s="8">
        <v>121</v>
      </c>
      <c r="J1933" s="8" t="s">
        <v>1950</v>
      </c>
      <c r="K1933" s="9">
        <v>44011</v>
      </c>
      <c r="L1933" s="9">
        <v>45689</v>
      </c>
      <c r="M1933" s="8" t="s">
        <v>16</v>
      </c>
      <c r="P1933" s="16" t="s">
        <v>1687</v>
      </c>
      <c r="Q1933" s="2" t="s">
        <v>151</v>
      </c>
    </row>
    <row r="1934" spans="1:17" ht="48.75">
      <c r="A1934" s="8" t="s">
        <v>4018</v>
      </c>
      <c r="B1934" s="8" t="s">
        <v>1951</v>
      </c>
      <c r="C1934" s="8" t="s">
        <v>2197</v>
      </c>
      <c r="D1934" s="8" t="s">
        <v>18</v>
      </c>
      <c r="E1934" s="8" t="s">
        <v>16</v>
      </c>
      <c r="F1934" s="8" t="s">
        <v>2198</v>
      </c>
      <c r="G1934" s="8" t="s">
        <v>4016</v>
      </c>
      <c r="H1934" s="8">
        <v>561</v>
      </c>
      <c r="I1934" s="8">
        <v>561</v>
      </c>
      <c r="J1934" s="8">
        <v>20200204</v>
      </c>
      <c r="K1934" s="9">
        <v>43993</v>
      </c>
      <c r="L1934" s="9">
        <v>45692</v>
      </c>
      <c r="M1934" s="8" t="s">
        <v>16</v>
      </c>
      <c r="P1934" s="16" t="s">
        <v>1688</v>
      </c>
      <c r="Q1934" s="2" t="s">
        <v>151</v>
      </c>
    </row>
    <row r="1935" spans="1:17" ht="48.75">
      <c r="A1935" s="8" t="s">
        <v>4019</v>
      </c>
      <c r="B1935" s="8" t="s">
        <v>1952</v>
      </c>
      <c r="C1935" s="8" t="s">
        <v>2197</v>
      </c>
      <c r="D1935" s="8" t="s">
        <v>18</v>
      </c>
      <c r="E1935" s="8" t="s">
        <v>16</v>
      </c>
      <c r="F1935" s="8" t="s">
        <v>2198</v>
      </c>
      <c r="G1935" s="8" t="s">
        <v>4016</v>
      </c>
      <c r="H1935" s="8">
        <v>165</v>
      </c>
      <c r="I1935" s="8">
        <v>165</v>
      </c>
      <c r="J1935" s="8">
        <v>20200204</v>
      </c>
      <c r="K1935" s="9">
        <v>43993</v>
      </c>
      <c r="L1935" s="9">
        <v>45692</v>
      </c>
      <c r="M1935" s="8" t="s">
        <v>16</v>
      </c>
      <c r="P1935" s="16" t="s">
        <v>1690</v>
      </c>
      <c r="Q1935" s="2" t="s">
        <v>151</v>
      </c>
    </row>
    <row r="1936" spans="1:17" ht="48.75">
      <c r="A1936" s="8" t="s">
        <v>4020</v>
      </c>
      <c r="B1936" s="8" t="s">
        <v>1953</v>
      </c>
      <c r="C1936" s="8" t="s">
        <v>2221</v>
      </c>
      <c r="D1936" s="8" t="s">
        <v>18</v>
      </c>
      <c r="E1936" s="8" t="s">
        <v>2217</v>
      </c>
      <c r="F1936" s="8" t="s">
        <v>2217</v>
      </c>
      <c r="G1936" s="8" t="s">
        <v>2217</v>
      </c>
      <c r="H1936" s="8">
        <v>10</v>
      </c>
      <c r="I1936" s="8">
        <v>10</v>
      </c>
      <c r="J1936" s="8">
        <v>0</v>
      </c>
      <c r="K1936" s="8" t="s">
        <v>2222</v>
      </c>
      <c r="L1936" s="8" t="s">
        <v>2222</v>
      </c>
      <c r="M1936" s="8" t="s">
        <v>101</v>
      </c>
      <c r="P1936" s="16" t="s">
        <v>1691</v>
      </c>
      <c r="Q1936" s="2" t="s">
        <v>151</v>
      </c>
    </row>
    <row r="1937" spans="1:17" ht="48.75">
      <c r="A1937" s="8" t="s">
        <v>4021</v>
      </c>
      <c r="B1937" s="8" t="s">
        <v>1954</v>
      </c>
      <c r="C1937" s="8" t="s">
        <v>2221</v>
      </c>
      <c r="D1937" s="8" t="s">
        <v>18</v>
      </c>
      <c r="E1937" s="8" t="s">
        <v>101</v>
      </c>
      <c r="F1937" s="8" t="s">
        <v>4022</v>
      </c>
      <c r="G1937" s="8" t="s">
        <v>4023</v>
      </c>
      <c r="H1937" s="8">
        <v>5</v>
      </c>
      <c r="I1937" s="8">
        <v>5</v>
      </c>
      <c r="J1937" s="8">
        <v>0</v>
      </c>
      <c r="K1937" s="8" t="s">
        <v>2222</v>
      </c>
      <c r="L1937" s="8" t="s">
        <v>2222</v>
      </c>
      <c r="M1937" s="8" t="s">
        <v>101</v>
      </c>
      <c r="P1937" s="16" t="s">
        <v>1692</v>
      </c>
      <c r="Q1937" s="2" t="s">
        <v>151</v>
      </c>
    </row>
    <row r="1938" spans="1:17" ht="48.75">
      <c r="A1938" s="8" t="s">
        <v>4024</v>
      </c>
      <c r="B1938" s="8" t="s">
        <v>1955</v>
      </c>
      <c r="C1938" s="8" t="s">
        <v>2221</v>
      </c>
      <c r="D1938" s="8" t="s">
        <v>18</v>
      </c>
      <c r="E1938" s="8" t="s">
        <v>101</v>
      </c>
      <c r="F1938" s="8" t="s">
        <v>101</v>
      </c>
      <c r="G1938" s="8" t="s">
        <v>4025</v>
      </c>
      <c r="H1938" s="8">
        <v>1</v>
      </c>
      <c r="I1938" s="8">
        <v>1</v>
      </c>
      <c r="J1938" s="8">
        <v>0</v>
      </c>
      <c r="K1938" s="8" t="s">
        <v>2222</v>
      </c>
      <c r="L1938" s="8" t="s">
        <v>2222</v>
      </c>
      <c r="M1938" s="8" t="s">
        <v>101</v>
      </c>
      <c r="P1938" s="16" t="s">
        <v>1693</v>
      </c>
      <c r="Q1938" s="2" t="s">
        <v>16</v>
      </c>
    </row>
    <row r="1939" spans="1:17" ht="75">
      <c r="A1939" s="8" t="s">
        <v>4026</v>
      </c>
      <c r="B1939" s="8" t="s">
        <v>1956</v>
      </c>
      <c r="C1939" s="8" t="s">
        <v>2221</v>
      </c>
      <c r="D1939" s="8" t="s">
        <v>18</v>
      </c>
      <c r="E1939" s="8" t="s">
        <v>101</v>
      </c>
      <c r="F1939" s="8" t="s">
        <v>4022</v>
      </c>
      <c r="G1939" s="8" t="s">
        <v>4027</v>
      </c>
      <c r="H1939" s="8">
        <v>190</v>
      </c>
      <c r="I1939" s="8">
        <v>190</v>
      </c>
      <c r="J1939" s="8">
        <v>0</v>
      </c>
      <c r="K1939" s="9">
        <v>44951</v>
      </c>
      <c r="L1939" s="8" t="s">
        <v>2222</v>
      </c>
      <c r="M1939" s="8" t="s">
        <v>101</v>
      </c>
      <c r="P1939" s="16" t="s">
        <v>1695</v>
      </c>
      <c r="Q1939" s="2" t="s">
        <v>16</v>
      </c>
    </row>
    <row r="1940" spans="1:17" ht="90">
      <c r="A1940" s="8" t="s">
        <v>4028</v>
      </c>
      <c r="B1940" s="8" t="s">
        <v>1957</v>
      </c>
      <c r="C1940" s="8" t="s">
        <v>2221</v>
      </c>
      <c r="D1940" s="8" t="s">
        <v>18</v>
      </c>
      <c r="E1940" s="8" t="s">
        <v>101</v>
      </c>
      <c r="F1940" s="8" t="s">
        <v>4022</v>
      </c>
      <c r="G1940" s="8" t="s">
        <v>4029</v>
      </c>
      <c r="H1940" s="8">
        <v>176</v>
      </c>
      <c r="I1940" s="8">
        <v>176</v>
      </c>
      <c r="J1940" s="8">
        <v>0</v>
      </c>
      <c r="K1940" s="8" t="s">
        <v>2222</v>
      </c>
      <c r="L1940" s="8" t="s">
        <v>2222</v>
      </c>
      <c r="M1940" s="8" t="s">
        <v>101</v>
      </c>
      <c r="P1940" s="16" t="s">
        <v>1696</v>
      </c>
      <c r="Q1940" s="2" t="s">
        <v>16</v>
      </c>
    </row>
    <row r="1941" spans="1:17" ht="75">
      <c r="A1941" s="8" t="s">
        <v>4030</v>
      </c>
      <c r="B1941" s="8" t="s">
        <v>1958</v>
      </c>
      <c r="C1941" s="8" t="s">
        <v>2221</v>
      </c>
      <c r="D1941" s="8" t="s">
        <v>18</v>
      </c>
      <c r="E1941" s="8" t="s">
        <v>101</v>
      </c>
      <c r="F1941" s="8" t="s">
        <v>4022</v>
      </c>
      <c r="G1941" s="8" t="s">
        <v>4031</v>
      </c>
      <c r="H1941" s="8">
        <v>700</v>
      </c>
      <c r="I1941" s="8">
        <v>700</v>
      </c>
      <c r="J1941" s="8">
        <v>0</v>
      </c>
      <c r="K1941" s="9">
        <v>45306</v>
      </c>
      <c r="L1941" s="8" t="s">
        <v>2222</v>
      </c>
      <c r="M1941" s="8" t="s">
        <v>101</v>
      </c>
      <c r="P1941" s="16" t="s">
        <v>1696</v>
      </c>
      <c r="Q1941" s="2" t="s">
        <v>16</v>
      </c>
    </row>
    <row r="1942" spans="1:17" ht="90">
      <c r="A1942" s="8" t="s">
        <v>4032</v>
      </c>
      <c r="B1942" s="8" t="s">
        <v>1959</v>
      </c>
      <c r="C1942" s="8" t="s">
        <v>2221</v>
      </c>
      <c r="D1942" s="8" t="s">
        <v>18</v>
      </c>
      <c r="E1942" s="8" t="s">
        <v>2217</v>
      </c>
      <c r="F1942" s="8" t="s">
        <v>2217</v>
      </c>
      <c r="G1942" s="8" t="s">
        <v>2217</v>
      </c>
      <c r="H1942" s="8">
        <v>6</v>
      </c>
      <c r="I1942" s="8">
        <v>6</v>
      </c>
      <c r="J1942" s="8">
        <v>0</v>
      </c>
      <c r="K1942" s="9">
        <v>45026</v>
      </c>
      <c r="L1942" s="8" t="s">
        <v>2222</v>
      </c>
      <c r="M1942" s="8" t="s">
        <v>101</v>
      </c>
      <c r="P1942" s="16" t="s">
        <v>1698</v>
      </c>
      <c r="Q1942" s="2" t="s">
        <v>16</v>
      </c>
    </row>
    <row r="1943" spans="1:17" ht="90">
      <c r="A1943" s="8" t="s">
        <v>4033</v>
      </c>
      <c r="B1943" s="8" t="s">
        <v>1959</v>
      </c>
      <c r="C1943" s="8" t="s">
        <v>2221</v>
      </c>
      <c r="D1943" s="8" t="s">
        <v>18</v>
      </c>
      <c r="E1943" s="8" t="s">
        <v>101</v>
      </c>
      <c r="F1943" s="8" t="s">
        <v>4022</v>
      </c>
      <c r="G1943" s="8" t="s">
        <v>4029</v>
      </c>
      <c r="H1943" s="8">
        <v>621</v>
      </c>
      <c r="I1943" s="8">
        <v>621</v>
      </c>
      <c r="J1943" s="8">
        <v>0</v>
      </c>
      <c r="K1943" s="8" t="s">
        <v>2222</v>
      </c>
      <c r="L1943" s="8" t="s">
        <v>2222</v>
      </c>
      <c r="M1943" s="8" t="s">
        <v>101</v>
      </c>
      <c r="P1943" s="16" t="s">
        <v>1699</v>
      </c>
      <c r="Q1943" s="2" t="s">
        <v>16</v>
      </c>
    </row>
    <row r="1944" spans="1:17" ht="45">
      <c r="A1944" s="8" t="s">
        <v>4034</v>
      </c>
      <c r="B1944" s="8" t="s">
        <v>1960</v>
      </c>
      <c r="C1944" s="8" t="s">
        <v>2221</v>
      </c>
      <c r="D1944" s="8" t="s">
        <v>18</v>
      </c>
      <c r="E1944" s="8" t="s">
        <v>101</v>
      </c>
      <c r="F1944" s="8" t="s">
        <v>4022</v>
      </c>
      <c r="G1944" s="8" t="s">
        <v>4035</v>
      </c>
      <c r="H1944" s="8">
        <v>2462</v>
      </c>
      <c r="I1944" s="8">
        <v>2462</v>
      </c>
      <c r="J1944" s="8">
        <v>0</v>
      </c>
      <c r="K1944" s="9">
        <v>44162</v>
      </c>
      <c r="L1944" s="8" t="s">
        <v>2222</v>
      </c>
      <c r="M1944" s="8" t="s">
        <v>101</v>
      </c>
      <c r="P1944" s="17" t="s">
        <v>1700</v>
      </c>
      <c r="Q1944" s="2" t="s">
        <v>38</v>
      </c>
    </row>
    <row r="1945" spans="1:17" ht="90">
      <c r="A1945" s="8" t="s">
        <v>4036</v>
      </c>
      <c r="B1945" s="8" t="s">
        <v>1961</v>
      </c>
      <c r="C1945" s="8" t="s">
        <v>2221</v>
      </c>
      <c r="D1945" s="8" t="s">
        <v>18</v>
      </c>
      <c r="E1945" s="8" t="s">
        <v>101</v>
      </c>
      <c r="F1945" s="8" t="s">
        <v>4022</v>
      </c>
      <c r="G1945" s="8" t="s">
        <v>4037</v>
      </c>
      <c r="H1945" s="8">
        <v>1378</v>
      </c>
      <c r="I1945" s="8">
        <v>1378</v>
      </c>
      <c r="J1945" s="8">
        <v>0</v>
      </c>
      <c r="K1945" s="9">
        <v>45108</v>
      </c>
      <c r="L1945" s="8" t="s">
        <v>2222</v>
      </c>
      <c r="M1945" s="8" t="s">
        <v>101</v>
      </c>
      <c r="P1945" s="17" t="s">
        <v>1701</v>
      </c>
      <c r="Q1945" s="2" t="s">
        <v>38</v>
      </c>
    </row>
    <row r="1946" spans="1:17" ht="48.75">
      <c r="A1946" s="8" t="s">
        <v>4038</v>
      </c>
      <c r="B1946" s="8" t="s">
        <v>1962</v>
      </c>
      <c r="C1946" s="8" t="s">
        <v>2221</v>
      </c>
      <c r="D1946" s="8" t="s">
        <v>18</v>
      </c>
      <c r="E1946" s="8" t="s">
        <v>101</v>
      </c>
      <c r="F1946" s="8" t="s">
        <v>4022</v>
      </c>
      <c r="G1946" s="8" t="s">
        <v>1962</v>
      </c>
      <c r="H1946" s="8">
        <v>28</v>
      </c>
      <c r="I1946" s="8">
        <v>28</v>
      </c>
      <c r="J1946" s="8">
        <v>0</v>
      </c>
      <c r="K1946" s="9">
        <v>44162</v>
      </c>
      <c r="L1946" s="8" t="s">
        <v>2222</v>
      </c>
      <c r="M1946" s="8" t="s">
        <v>101</v>
      </c>
      <c r="P1946" s="16" t="s">
        <v>1702</v>
      </c>
      <c r="Q1946" s="2" t="s">
        <v>38</v>
      </c>
    </row>
    <row r="1947" spans="1:17" ht="75">
      <c r="A1947" s="8" t="s">
        <v>4039</v>
      </c>
      <c r="B1947" s="8" t="s">
        <v>1963</v>
      </c>
      <c r="C1947" s="8" t="s">
        <v>2221</v>
      </c>
      <c r="D1947" s="8" t="s">
        <v>18</v>
      </c>
      <c r="E1947" s="8" t="s">
        <v>2217</v>
      </c>
      <c r="F1947" s="8" t="s">
        <v>2217</v>
      </c>
      <c r="G1947" s="8" t="s">
        <v>2217</v>
      </c>
      <c r="H1947" s="8">
        <v>2</v>
      </c>
      <c r="I1947" s="8">
        <v>2</v>
      </c>
      <c r="J1947" s="8">
        <v>0</v>
      </c>
      <c r="K1947" s="9">
        <v>45307</v>
      </c>
      <c r="L1947" s="8" t="s">
        <v>2222</v>
      </c>
      <c r="M1947" s="8" t="s">
        <v>101</v>
      </c>
      <c r="P1947" s="16" t="s">
        <v>1703</v>
      </c>
      <c r="Q1947" s="2" t="s">
        <v>16</v>
      </c>
    </row>
    <row r="1948" spans="1:17" ht="75">
      <c r="A1948" s="8" t="s">
        <v>4040</v>
      </c>
      <c r="B1948" s="8" t="s">
        <v>1963</v>
      </c>
      <c r="C1948" s="8" t="s">
        <v>2221</v>
      </c>
      <c r="D1948" s="8" t="s">
        <v>18</v>
      </c>
      <c r="E1948" s="8" t="s">
        <v>101</v>
      </c>
      <c r="F1948" s="8" t="s">
        <v>4022</v>
      </c>
      <c r="G1948" s="8" t="s">
        <v>4041</v>
      </c>
      <c r="H1948" s="8">
        <v>113</v>
      </c>
      <c r="I1948" s="8">
        <v>113</v>
      </c>
      <c r="J1948" s="8">
        <v>0</v>
      </c>
      <c r="K1948" s="8" t="s">
        <v>2222</v>
      </c>
      <c r="L1948" s="8" t="s">
        <v>2222</v>
      </c>
      <c r="M1948" s="8" t="s">
        <v>101</v>
      </c>
      <c r="P1948" s="16" t="s">
        <v>1704</v>
      </c>
      <c r="Q1948" s="2" t="s">
        <v>16</v>
      </c>
    </row>
    <row r="1949" spans="1:17" ht="75">
      <c r="A1949" s="8" t="s">
        <v>4042</v>
      </c>
      <c r="B1949" s="8" t="s">
        <v>1964</v>
      </c>
      <c r="C1949" s="8" t="s">
        <v>2221</v>
      </c>
      <c r="D1949" s="8" t="s">
        <v>18</v>
      </c>
      <c r="E1949" s="8" t="s">
        <v>101</v>
      </c>
      <c r="F1949" s="8" t="s">
        <v>4022</v>
      </c>
      <c r="G1949" s="8" t="s">
        <v>4041</v>
      </c>
      <c r="H1949" s="8">
        <v>44</v>
      </c>
      <c r="I1949" s="8">
        <v>44</v>
      </c>
      <c r="J1949" s="8">
        <v>0</v>
      </c>
      <c r="K1949" s="9">
        <v>45303</v>
      </c>
      <c r="L1949" s="8" t="s">
        <v>2222</v>
      </c>
      <c r="M1949" s="8" t="s">
        <v>101</v>
      </c>
      <c r="P1949" s="16" t="s">
        <v>1704</v>
      </c>
      <c r="Q1949" s="2" t="s">
        <v>16</v>
      </c>
    </row>
    <row r="1950" spans="1:17" ht="45">
      <c r="A1950" s="8" t="s">
        <v>4043</v>
      </c>
      <c r="B1950" s="8" t="s">
        <v>1965</v>
      </c>
      <c r="C1950" s="8" t="s">
        <v>2221</v>
      </c>
      <c r="D1950" s="8" t="s">
        <v>18</v>
      </c>
      <c r="E1950" s="8" t="s">
        <v>101</v>
      </c>
      <c r="F1950" s="8" t="s">
        <v>4044</v>
      </c>
      <c r="G1950" s="8" t="s">
        <v>2217</v>
      </c>
      <c r="H1950" s="8">
        <v>1</v>
      </c>
      <c r="I1950" s="8">
        <v>1</v>
      </c>
      <c r="J1950" s="8">
        <v>0</v>
      </c>
      <c r="K1950" s="9">
        <v>44145</v>
      </c>
      <c r="L1950" s="8" t="s">
        <v>2222</v>
      </c>
      <c r="M1950" s="8" t="s">
        <v>41</v>
      </c>
      <c r="P1950" s="16" t="s">
        <v>1705</v>
      </c>
      <c r="Q1950" s="2" t="s">
        <v>16</v>
      </c>
    </row>
    <row r="1951" spans="1:17" ht="45">
      <c r="A1951" s="8" t="s">
        <v>4045</v>
      </c>
      <c r="B1951" s="8" t="s">
        <v>1966</v>
      </c>
      <c r="C1951" s="8" t="s">
        <v>2221</v>
      </c>
      <c r="D1951" s="8" t="s">
        <v>18</v>
      </c>
      <c r="E1951" s="8" t="s">
        <v>101</v>
      </c>
      <c r="F1951" s="8" t="s">
        <v>4044</v>
      </c>
      <c r="G1951" s="8" t="s">
        <v>2217</v>
      </c>
      <c r="H1951" s="8">
        <v>1</v>
      </c>
      <c r="I1951" s="8">
        <v>1</v>
      </c>
      <c r="J1951" s="8">
        <v>0</v>
      </c>
      <c r="K1951" s="9">
        <v>44145</v>
      </c>
      <c r="L1951" s="8" t="s">
        <v>2222</v>
      </c>
      <c r="M1951" s="8" t="s">
        <v>41</v>
      </c>
      <c r="P1951" s="16" t="s">
        <v>1705</v>
      </c>
      <c r="Q1951" s="2" t="s">
        <v>16</v>
      </c>
    </row>
    <row r="1952" spans="1:17" ht="48.75">
      <c r="A1952" s="8" t="s">
        <v>4046</v>
      </c>
      <c r="B1952" s="8" t="s">
        <v>1967</v>
      </c>
      <c r="C1952" s="8" t="s">
        <v>2221</v>
      </c>
      <c r="D1952" s="8" t="s">
        <v>18</v>
      </c>
      <c r="E1952" s="8" t="s">
        <v>101</v>
      </c>
      <c r="F1952" s="8" t="s">
        <v>4044</v>
      </c>
      <c r="G1952" s="8" t="s">
        <v>2217</v>
      </c>
      <c r="H1952" s="8">
        <v>12</v>
      </c>
      <c r="I1952" s="8">
        <v>12</v>
      </c>
      <c r="J1952" s="8">
        <v>0</v>
      </c>
      <c r="K1952" s="9">
        <v>44145</v>
      </c>
      <c r="L1952" s="8" t="s">
        <v>2222</v>
      </c>
      <c r="M1952" s="8" t="s">
        <v>41</v>
      </c>
      <c r="P1952" s="16" t="s">
        <v>1706</v>
      </c>
      <c r="Q1952" s="2" t="s">
        <v>38</v>
      </c>
    </row>
    <row r="1953" spans="1:17" ht="75">
      <c r="A1953" s="8" t="s">
        <v>4047</v>
      </c>
      <c r="B1953" s="8" t="s">
        <v>1968</v>
      </c>
      <c r="C1953" s="8" t="s">
        <v>2221</v>
      </c>
      <c r="D1953" s="8" t="s">
        <v>18</v>
      </c>
      <c r="E1953" s="8" t="s">
        <v>101</v>
      </c>
      <c r="F1953" s="8" t="s">
        <v>4044</v>
      </c>
      <c r="G1953" s="8" t="s">
        <v>2217</v>
      </c>
      <c r="H1953" s="8">
        <v>54</v>
      </c>
      <c r="I1953" s="8">
        <v>54</v>
      </c>
      <c r="J1953" s="8">
        <v>0</v>
      </c>
      <c r="K1953" s="9">
        <v>44161</v>
      </c>
      <c r="L1953" s="8" t="s">
        <v>2222</v>
      </c>
      <c r="M1953" s="8" t="s">
        <v>41</v>
      </c>
      <c r="P1953" s="16" t="s">
        <v>1707</v>
      </c>
      <c r="Q1953" s="2" t="s">
        <v>16</v>
      </c>
    </row>
    <row r="1954" spans="1:17" ht="45">
      <c r="A1954" s="8" t="s">
        <v>4048</v>
      </c>
      <c r="B1954" s="8" t="s">
        <v>1969</v>
      </c>
      <c r="C1954" s="8" t="s">
        <v>2303</v>
      </c>
      <c r="D1954" s="8" t="s">
        <v>18</v>
      </c>
      <c r="E1954" s="8" t="s">
        <v>2217</v>
      </c>
      <c r="F1954" s="8" t="s">
        <v>2217</v>
      </c>
      <c r="G1954" s="8" t="s">
        <v>2217</v>
      </c>
      <c r="H1954" s="8">
        <v>194</v>
      </c>
      <c r="I1954" s="8">
        <v>194</v>
      </c>
      <c r="J1954" s="8" t="s">
        <v>1970</v>
      </c>
      <c r="K1954" s="9">
        <v>45443</v>
      </c>
      <c r="L1954" s="9">
        <v>47239</v>
      </c>
      <c r="M1954" s="8" t="s">
        <v>16</v>
      </c>
      <c r="P1954" s="16" t="s">
        <v>1708</v>
      </c>
      <c r="Q1954" s="2" t="s">
        <v>16</v>
      </c>
    </row>
    <row r="1955" spans="1:17" ht="45">
      <c r="A1955" s="8" t="s">
        <v>4049</v>
      </c>
      <c r="B1955" s="8" t="s">
        <v>1971</v>
      </c>
      <c r="C1955" s="8" t="s">
        <v>2197</v>
      </c>
      <c r="D1955" s="8" t="s">
        <v>18</v>
      </c>
      <c r="E1955" s="8" t="s">
        <v>2217</v>
      </c>
      <c r="F1955" s="8" t="s">
        <v>2217</v>
      </c>
      <c r="G1955" s="8" t="s">
        <v>2217</v>
      </c>
      <c r="H1955" s="8">
        <v>3348</v>
      </c>
      <c r="I1955" s="8">
        <v>8</v>
      </c>
      <c r="J1955" s="8" t="s">
        <v>1972</v>
      </c>
      <c r="K1955" s="9">
        <v>45384</v>
      </c>
      <c r="L1955" s="9">
        <v>46753</v>
      </c>
      <c r="M1955" s="8" t="s">
        <v>16</v>
      </c>
      <c r="P1955" s="16" t="s">
        <v>1708</v>
      </c>
      <c r="Q1955" s="2" t="s">
        <v>16</v>
      </c>
    </row>
    <row r="1956" spans="1:17" ht="45">
      <c r="A1956" s="8" t="s">
        <v>4049</v>
      </c>
      <c r="B1956" s="8" t="s">
        <v>1971</v>
      </c>
      <c r="C1956" s="8" t="s">
        <v>2197</v>
      </c>
      <c r="D1956" s="8" t="s">
        <v>18</v>
      </c>
      <c r="E1956" s="8" t="s">
        <v>2217</v>
      </c>
      <c r="F1956" s="8" t="s">
        <v>2217</v>
      </c>
      <c r="G1956" s="8" t="s">
        <v>2217</v>
      </c>
      <c r="H1956" s="8">
        <v>3348</v>
      </c>
      <c r="I1956" s="8">
        <v>500</v>
      </c>
      <c r="J1956" s="8" t="s">
        <v>1973</v>
      </c>
      <c r="K1956" s="9">
        <v>45434</v>
      </c>
      <c r="L1956" s="9">
        <v>47239</v>
      </c>
      <c r="M1956" s="8" t="s">
        <v>16</v>
      </c>
      <c r="P1956" s="16" t="s">
        <v>1709</v>
      </c>
      <c r="Q1956" s="2" t="s">
        <v>16</v>
      </c>
    </row>
    <row r="1957" spans="1:17" ht="48.75">
      <c r="A1957" s="8" t="s">
        <v>4049</v>
      </c>
      <c r="B1957" s="8" t="s">
        <v>1971</v>
      </c>
      <c r="C1957" s="8" t="s">
        <v>2197</v>
      </c>
      <c r="D1957" s="8" t="s">
        <v>18</v>
      </c>
      <c r="E1957" s="8" t="s">
        <v>2217</v>
      </c>
      <c r="F1957" s="8" t="s">
        <v>2217</v>
      </c>
      <c r="G1957" s="8" t="s">
        <v>2217</v>
      </c>
      <c r="H1957" s="8">
        <v>3348</v>
      </c>
      <c r="I1957" s="8">
        <v>2840</v>
      </c>
      <c r="J1957" s="8" t="s">
        <v>1974</v>
      </c>
      <c r="K1957" s="9">
        <v>45428</v>
      </c>
      <c r="L1957" s="9">
        <v>47239</v>
      </c>
      <c r="M1957" s="8" t="s">
        <v>16</v>
      </c>
      <c r="P1957" s="16" t="s">
        <v>1710</v>
      </c>
      <c r="Q1957" s="2" t="s">
        <v>16</v>
      </c>
    </row>
    <row r="1958" spans="1:17" ht="45">
      <c r="A1958" s="8" t="s">
        <v>4050</v>
      </c>
      <c r="B1958" s="8" t="s">
        <v>1975</v>
      </c>
      <c r="C1958" s="8" t="s">
        <v>2307</v>
      </c>
      <c r="D1958" s="8" t="s">
        <v>18</v>
      </c>
      <c r="E1958" s="8" t="s">
        <v>2217</v>
      </c>
      <c r="F1958" s="8" t="s">
        <v>2217</v>
      </c>
      <c r="G1958" s="8" t="s">
        <v>2217</v>
      </c>
      <c r="H1958" s="8">
        <v>168</v>
      </c>
      <c r="I1958" s="8">
        <v>168</v>
      </c>
      <c r="J1958" s="8" t="s">
        <v>1974</v>
      </c>
      <c r="K1958" s="9">
        <v>45434</v>
      </c>
      <c r="L1958" s="9">
        <v>47239</v>
      </c>
      <c r="M1958" s="8" t="s">
        <v>16</v>
      </c>
      <c r="P1958" s="16" t="s">
        <v>1711</v>
      </c>
      <c r="Q1958" s="2" t="s">
        <v>16</v>
      </c>
    </row>
    <row r="1959" spans="1:17" ht="60">
      <c r="A1959" s="8" t="s">
        <v>4051</v>
      </c>
      <c r="B1959" s="8" t="s">
        <v>1976</v>
      </c>
      <c r="C1959" s="8" t="s">
        <v>2221</v>
      </c>
      <c r="D1959" s="8" t="s">
        <v>18</v>
      </c>
      <c r="E1959" s="8" t="s">
        <v>101</v>
      </c>
      <c r="F1959" s="8" t="s">
        <v>101</v>
      </c>
      <c r="G1959" s="8" t="s">
        <v>2217</v>
      </c>
      <c r="H1959" s="8">
        <v>81</v>
      </c>
      <c r="I1959" s="8">
        <v>81</v>
      </c>
      <c r="J1959" s="8">
        <v>0</v>
      </c>
      <c r="K1959" s="9">
        <v>44145</v>
      </c>
      <c r="L1959" s="8" t="s">
        <v>2222</v>
      </c>
      <c r="M1959" s="8" t="s">
        <v>41</v>
      </c>
      <c r="P1959" s="16" t="s">
        <v>1711</v>
      </c>
      <c r="Q1959" s="2" t="s">
        <v>16</v>
      </c>
    </row>
    <row r="1960" spans="1:17" ht="45">
      <c r="A1960" s="8" t="s">
        <v>4052</v>
      </c>
      <c r="B1960" s="8" t="s">
        <v>1977</v>
      </c>
      <c r="C1960" s="8" t="s">
        <v>2221</v>
      </c>
      <c r="D1960" s="8" t="s">
        <v>18</v>
      </c>
      <c r="E1960" s="8" t="s">
        <v>43</v>
      </c>
      <c r="F1960" s="8" t="s">
        <v>2217</v>
      </c>
      <c r="G1960" s="8" t="s">
        <v>2217</v>
      </c>
      <c r="H1960" s="8">
        <v>14</v>
      </c>
      <c r="I1960" s="8">
        <v>14</v>
      </c>
      <c r="J1960" s="8">
        <v>0</v>
      </c>
      <c r="K1960" s="9">
        <v>44160</v>
      </c>
      <c r="L1960" s="8" t="s">
        <v>2222</v>
      </c>
      <c r="M1960" s="8" t="s">
        <v>43</v>
      </c>
      <c r="P1960" s="16" t="s">
        <v>1712</v>
      </c>
      <c r="Q1960" s="2" t="s">
        <v>16</v>
      </c>
    </row>
    <row r="1961" spans="1:17" ht="45">
      <c r="A1961" s="8" t="s">
        <v>4053</v>
      </c>
      <c r="B1961" s="8" t="s">
        <v>1978</v>
      </c>
      <c r="C1961" s="8" t="s">
        <v>2203</v>
      </c>
      <c r="D1961" s="8" t="s">
        <v>18</v>
      </c>
      <c r="E1961" s="8" t="s">
        <v>16</v>
      </c>
      <c r="F1961" s="8" t="s">
        <v>2198</v>
      </c>
      <c r="G1961" s="8" t="s">
        <v>4054</v>
      </c>
      <c r="H1961" s="8">
        <v>9</v>
      </c>
      <c r="I1961" s="8">
        <v>9</v>
      </c>
      <c r="J1961" s="8">
        <v>0</v>
      </c>
      <c r="K1961" s="9">
        <v>44018</v>
      </c>
      <c r="L1961" s="8" t="s">
        <v>2222</v>
      </c>
      <c r="M1961" s="8" t="s">
        <v>38</v>
      </c>
      <c r="P1961" s="16" t="s">
        <v>1713</v>
      </c>
      <c r="Q1961" s="2" t="s">
        <v>16</v>
      </c>
    </row>
    <row r="1962" spans="1:17" ht="45">
      <c r="A1962" s="8" t="s">
        <v>4055</v>
      </c>
      <c r="B1962" s="8" t="s">
        <v>1979</v>
      </c>
      <c r="C1962" s="8" t="s">
        <v>2203</v>
      </c>
      <c r="D1962" s="8" t="s">
        <v>18</v>
      </c>
      <c r="E1962" s="8" t="s">
        <v>16</v>
      </c>
      <c r="F1962" s="8" t="s">
        <v>2198</v>
      </c>
      <c r="G1962" s="8" t="s">
        <v>4056</v>
      </c>
      <c r="H1962" s="8">
        <v>1469</v>
      </c>
      <c r="I1962" s="8">
        <v>669</v>
      </c>
      <c r="J1962" s="8">
        <v>125401</v>
      </c>
      <c r="K1962" s="9">
        <v>44902</v>
      </c>
      <c r="L1962" s="9">
        <v>45931</v>
      </c>
      <c r="M1962" s="8" t="s">
        <v>16</v>
      </c>
      <c r="P1962" s="16" t="s">
        <v>1714</v>
      </c>
      <c r="Q1962" s="2" t="s">
        <v>16</v>
      </c>
    </row>
    <row r="1963" spans="1:17" ht="45">
      <c r="A1963" s="8" t="s">
        <v>4055</v>
      </c>
      <c r="B1963" s="8" t="s">
        <v>1979</v>
      </c>
      <c r="C1963" s="8" t="s">
        <v>2203</v>
      </c>
      <c r="D1963" s="8" t="s">
        <v>18</v>
      </c>
      <c r="E1963" s="8" t="s">
        <v>16</v>
      </c>
      <c r="F1963" s="8" t="s">
        <v>2198</v>
      </c>
      <c r="G1963" s="8" t="s">
        <v>4056</v>
      </c>
      <c r="H1963" s="8">
        <v>1469</v>
      </c>
      <c r="I1963" s="8">
        <v>800</v>
      </c>
      <c r="J1963" s="8">
        <v>125399</v>
      </c>
      <c r="K1963" s="9">
        <v>44902</v>
      </c>
      <c r="L1963" s="9">
        <v>45931</v>
      </c>
      <c r="M1963" s="8" t="s">
        <v>16</v>
      </c>
      <c r="P1963" s="16" t="s">
        <v>1714</v>
      </c>
      <c r="Q1963" s="2" t="s">
        <v>16</v>
      </c>
    </row>
    <row r="1964" spans="1:17" ht="45">
      <c r="A1964" s="8" t="s">
        <v>4057</v>
      </c>
      <c r="B1964" s="8" t="s">
        <v>1980</v>
      </c>
      <c r="C1964" s="8" t="s">
        <v>2307</v>
      </c>
      <c r="D1964" s="8" t="s">
        <v>18</v>
      </c>
      <c r="E1964" s="8" t="s">
        <v>16</v>
      </c>
      <c r="F1964" s="8" t="s">
        <v>2228</v>
      </c>
      <c r="G1964" s="8" t="s">
        <v>4058</v>
      </c>
      <c r="H1964" s="8">
        <v>539</v>
      </c>
      <c r="I1964" s="8">
        <v>21</v>
      </c>
      <c r="J1964" s="8">
        <v>102090508</v>
      </c>
      <c r="K1964" s="9">
        <v>45428</v>
      </c>
      <c r="L1964" s="9">
        <v>47027</v>
      </c>
      <c r="M1964" s="8" t="s">
        <v>16</v>
      </c>
      <c r="P1964" s="16" t="s">
        <v>1715</v>
      </c>
      <c r="Q1964" s="2" t="s">
        <v>16</v>
      </c>
    </row>
    <row r="1965" spans="1:17" ht="45">
      <c r="A1965" s="8" t="s">
        <v>4057</v>
      </c>
      <c r="B1965" s="8" t="s">
        <v>1980</v>
      </c>
      <c r="C1965" s="8" t="s">
        <v>2307</v>
      </c>
      <c r="D1965" s="8" t="s">
        <v>18</v>
      </c>
      <c r="E1965" s="8" t="s">
        <v>16</v>
      </c>
      <c r="F1965" s="8" t="s">
        <v>2228</v>
      </c>
      <c r="G1965" s="8" t="s">
        <v>4058</v>
      </c>
      <c r="H1965" s="8">
        <v>539</v>
      </c>
      <c r="I1965" s="8">
        <v>238</v>
      </c>
      <c r="J1965" s="8">
        <v>102090516</v>
      </c>
      <c r="K1965" s="9">
        <v>45428</v>
      </c>
      <c r="L1965" s="9">
        <v>46419</v>
      </c>
      <c r="M1965" s="8" t="s">
        <v>16</v>
      </c>
      <c r="P1965" s="16" t="s">
        <v>1715</v>
      </c>
      <c r="Q1965" s="2" t="s">
        <v>16</v>
      </c>
    </row>
    <row r="1966" spans="1:17" ht="45">
      <c r="A1966" s="8" t="s">
        <v>4057</v>
      </c>
      <c r="B1966" s="8" t="s">
        <v>1980</v>
      </c>
      <c r="C1966" s="8" t="s">
        <v>2307</v>
      </c>
      <c r="D1966" s="8" t="s">
        <v>18</v>
      </c>
      <c r="E1966" s="8" t="s">
        <v>16</v>
      </c>
      <c r="F1966" s="8" t="s">
        <v>2228</v>
      </c>
      <c r="G1966" s="8" t="s">
        <v>4058</v>
      </c>
      <c r="H1966" s="8">
        <v>539</v>
      </c>
      <c r="I1966" s="8">
        <v>280</v>
      </c>
      <c r="J1966" s="8">
        <v>102090522</v>
      </c>
      <c r="K1966" s="9">
        <v>45428</v>
      </c>
      <c r="L1966" s="9">
        <v>46508</v>
      </c>
      <c r="M1966" s="8" t="s">
        <v>16</v>
      </c>
      <c r="P1966" s="16" t="s">
        <v>1715</v>
      </c>
      <c r="Q1966" s="2" t="s">
        <v>16</v>
      </c>
    </row>
    <row r="1967" spans="1:17" ht="45">
      <c r="A1967" s="8" t="s">
        <v>4059</v>
      </c>
      <c r="B1967" s="8" t="s">
        <v>1981</v>
      </c>
      <c r="C1967" s="8" t="s">
        <v>2197</v>
      </c>
      <c r="D1967" s="8" t="s">
        <v>18</v>
      </c>
      <c r="E1967" s="8" t="s">
        <v>16</v>
      </c>
      <c r="F1967" s="8" t="s">
        <v>2228</v>
      </c>
      <c r="G1967" s="8" t="s">
        <v>4058</v>
      </c>
      <c r="H1967" s="8">
        <v>10570</v>
      </c>
      <c r="I1967" s="8">
        <v>10</v>
      </c>
      <c r="J1967" s="8">
        <v>102090502</v>
      </c>
      <c r="K1967" s="9">
        <v>45190</v>
      </c>
      <c r="L1967" s="9">
        <v>46935</v>
      </c>
      <c r="M1967" s="8" t="s">
        <v>16</v>
      </c>
      <c r="P1967" s="16" t="s">
        <v>1716</v>
      </c>
      <c r="Q1967" s="2" t="s">
        <v>48</v>
      </c>
    </row>
    <row r="1968" spans="1:17" ht="45">
      <c r="A1968" s="8" t="s">
        <v>4059</v>
      </c>
      <c r="B1968" s="8" t="s">
        <v>1981</v>
      </c>
      <c r="C1968" s="8" t="s">
        <v>2197</v>
      </c>
      <c r="D1968" s="8" t="s">
        <v>18</v>
      </c>
      <c r="E1968" s="8" t="s">
        <v>16</v>
      </c>
      <c r="F1968" s="8" t="s">
        <v>2228</v>
      </c>
      <c r="G1968" s="8" t="s">
        <v>4058</v>
      </c>
      <c r="H1968" s="8">
        <v>10570</v>
      </c>
      <c r="I1968" s="8">
        <v>1500</v>
      </c>
      <c r="J1968" s="8">
        <v>102090523</v>
      </c>
      <c r="K1968" s="9">
        <v>45432</v>
      </c>
      <c r="L1968" s="9">
        <v>46508</v>
      </c>
      <c r="M1968" s="8" t="s">
        <v>16</v>
      </c>
      <c r="P1968" s="16" t="s">
        <v>1716</v>
      </c>
      <c r="Q1968" s="2" t="s">
        <v>48</v>
      </c>
    </row>
    <row r="1969" spans="1:17" ht="45">
      <c r="A1969" s="8" t="s">
        <v>4059</v>
      </c>
      <c r="B1969" s="8" t="s">
        <v>1981</v>
      </c>
      <c r="C1969" s="8" t="s">
        <v>2197</v>
      </c>
      <c r="D1969" s="8" t="s">
        <v>18</v>
      </c>
      <c r="E1969" s="8" t="s">
        <v>16</v>
      </c>
      <c r="F1969" s="8" t="s">
        <v>2228</v>
      </c>
      <c r="G1969" s="8" t="s">
        <v>4058</v>
      </c>
      <c r="H1969" s="8">
        <v>10570</v>
      </c>
      <c r="I1969" s="8">
        <v>2800</v>
      </c>
      <c r="J1969" s="8">
        <v>102090510</v>
      </c>
      <c r="K1969" s="9">
        <v>45293</v>
      </c>
      <c r="L1969" s="9">
        <v>47088</v>
      </c>
      <c r="M1969" s="8" t="s">
        <v>16</v>
      </c>
      <c r="P1969" s="17" t="s">
        <v>1717</v>
      </c>
      <c r="Q1969" s="2" t="s">
        <v>38</v>
      </c>
    </row>
    <row r="1970" spans="1:17" ht="48.75">
      <c r="A1970" s="8" t="s">
        <v>4059</v>
      </c>
      <c r="B1970" s="8" t="s">
        <v>1981</v>
      </c>
      <c r="C1970" s="8" t="s">
        <v>2197</v>
      </c>
      <c r="D1970" s="8" t="s">
        <v>18</v>
      </c>
      <c r="E1970" s="8" t="s">
        <v>16</v>
      </c>
      <c r="F1970" s="8" t="s">
        <v>2228</v>
      </c>
      <c r="G1970" s="8" t="s">
        <v>4058</v>
      </c>
      <c r="H1970" s="8">
        <v>10570</v>
      </c>
      <c r="I1970" s="8">
        <v>6260</v>
      </c>
      <c r="J1970" s="8">
        <v>102090511</v>
      </c>
      <c r="K1970" s="9">
        <v>45293</v>
      </c>
      <c r="L1970" s="9">
        <v>47088</v>
      </c>
      <c r="M1970" s="8" t="s">
        <v>16</v>
      </c>
      <c r="P1970" s="16" t="s">
        <v>1718</v>
      </c>
      <c r="Q1970" s="2" t="s">
        <v>16</v>
      </c>
    </row>
    <row r="1971" spans="1:17" ht="48.75">
      <c r="A1971" s="8" t="s">
        <v>4060</v>
      </c>
      <c r="B1971" s="8" t="s">
        <v>1982</v>
      </c>
      <c r="C1971" s="8" t="s">
        <v>2197</v>
      </c>
      <c r="D1971" s="8" t="s">
        <v>18</v>
      </c>
      <c r="E1971" s="8" t="s">
        <v>16</v>
      </c>
      <c r="F1971" s="8" t="s">
        <v>2228</v>
      </c>
      <c r="G1971" s="8" t="s">
        <v>4058</v>
      </c>
      <c r="H1971" s="8">
        <v>1448</v>
      </c>
      <c r="I1971" s="8">
        <v>128</v>
      </c>
      <c r="J1971" s="8">
        <v>102090519</v>
      </c>
      <c r="K1971" s="9">
        <v>45428</v>
      </c>
      <c r="L1971" s="9">
        <v>46478</v>
      </c>
      <c r="M1971" s="8" t="s">
        <v>16</v>
      </c>
      <c r="P1971" s="16" t="s">
        <v>1718</v>
      </c>
      <c r="Q1971" s="2" t="s">
        <v>16</v>
      </c>
    </row>
    <row r="1972" spans="1:17" ht="48.75">
      <c r="A1972" s="8" t="s">
        <v>4060</v>
      </c>
      <c r="B1972" s="8" t="s">
        <v>1982</v>
      </c>
      <c r="C1972" s="8" t="s">
        <v>2197</v>
      </c>
      <c r="D1972" s="8" t="s">
        <v>18</v>
      </c>
      <c r="E1972" s="8" t="s">
        <v>16</v>
      </c>
      <c r="F1972" s="8" t="s">
        <v>2228</v>
      </c>
      <c r="G1972" s="8" t="s">
        <v>4058</v>
      </c>
      <c r="H1972" s="8">
        <v>1448</v>
      </c>
      <c r="I1972" s="8">
        <v>264</v>
      </c>
      <c r="J1972" s="8">
        <v>102090520</v>
      </c>
      <c r="K1972" s="9">
        <v>45428</v>
      </c>
      <c r="L1972" s="9">
        <v>46478</v>
      </c>
      <c r="M1972" s="8" t="s">
        <v>16</v>
      </c>
      <c r="P1972" s="16" t="s">
        <v>1719</v>
      </c>
      <c r="Q1972" s="2" t="s">
        <v>16</v>
      </c>
    </row>
    <row r="1973" spans="1:17" ht="48.75">
      <c r="A1973" s="8" t="s">
        <v>4060</v>
      </c>
      <c r="B1973" s="8" t="s">
        <v>1982</v>
      </c>
      <c r="C1973" s="8" t="s">
        <v>2197</v>
      </c>
      <c r="D1973" s="8" t="s">
        <v>18</v>
      </c>
      <c r="E1973" s="8" t="s">
        <v>16</v>
      </c>
      <c r="F1973" s="8" t="s">
        <v>2228</v>
      </c>
      <c r="G1973" s="8" t="s">
        <v>4058</v>
      </c>
      <c r="H1973" s="8">
        <v>1448</v>
      </c>
      <c r="I1973" s="8">
        <v>1056</v>
      </c>
      <c r="J1973" s="8">
        <v>102090505</v>
      </c>
      <c r="K1973" s="9">
        <v>45243</v>
      </c>
      <c r="L1973" s="9">
        <v>46966</v>
      </c>
      <c r="M1973" s="8" t="s">
        <v>16</v>
      </c>
      <c r="P1973" s="16" t="s">
        <v>1719</v>
      </c>
      <c r="Q1973" s="2" t="s">
        <v>16</v>
      </c>
    </row>
    <row r="1974" spans="1:17" ht="48.75">
      <c r="A1974" s="8" t="s">
        <v>4061</v>
      </c>
      <c r="B1974" s="8" t="s">
        <v>1983</v>
      </c>
      <c r="C1974" s="8" t="s">
        <v>2197</v>
      </c>
      <c r="D1974" s="8" t="s">
        <v>18</v>
      </c>
      <c r="E1974" s="8" t="s">
        <v>151</v>
      </c>
      <c r="F1974" s="8" t="s">
        <v>151</v>
      </c>
      <c r="G1974" s="8" t="s">
        <v>4062</v>
      </c>
      <c r="H1974" s="8">
        <v>93</v>
      </c>
      <c r="I1974" s="8">
        <v>17</v>
      </c>
      <c r="J1974" s="8">
        <v>0</v>
      </c>
      <c r="K1974" s="9">
        <v>45083</v>
      </c>
      <c r="L1974" s="9">
        <v>46905</v>
      </c>
      <c r="M1974" s="8" t="s">
        <v>16</v>
      </c>
      <c r="P1974" s="16" t="s">
        <v>1719</v>
      </c>
      <c r="Q1974" s="2" t="s">
        <v>16</v>
      </c>
    </row>
    <row r="1975" spans="1:17" ht="48.75">
      <c r="A1975" s="8" t="s">
        <v>4061</v>
      </c>
      <c r="B1975" s="8" t="s">
        <v>1983</v>
      </c>
      <c r="C1975" s="8" t="s">
        <v>2197</v>
      </c>
      <c r="D1975" s="8" t="s">
        <v>18</v>
      </c>
      <c r="E1975" s="8" t="s">
        <v>151</v>
      </c>
      <c r="F1975" s="8" t="s">
        <v>151</v>
      </c>
      <c r="G1975" s="8" t="s">
        <v>4062</v>
      </c>
      <c r="H1975" s="8">
        <v>93</v>
      </c>
      <c r="I1975" s="8">
        <v>76</v>
      </c>
      <c r="J1975" s="8">
        <v>0</v>
      </c>
      <c r="K1975" s="9">
        <v>45371</v>
      </c>
      <c r="L1975" s="9">
        <v>47150</v>
      </c>
      <c r="M1975" s="8" t="s">
        <v>16</v>
      </c>
      <c r="P1975" s="16" t="s">
        <v>1720</v>
      </c>
      <c r="Q1975" s="2" t="s">
        <v>16</v>
      </c>
    </row>
    <row r="1976" spans="1:17" ht="45">
      <c r="A1976" s="8" t="s">
        <v>4063</v>
      </c>
      <c r="B1976" s="8" t="s">
        <v>1984</v>
      </c>
      <c r="C1976" s="8" t="s">
        <v>2221</v>
      </c>
      <c r="D1976" s="8" t="s">
        <v>18</v>
      </c>
      <c r="E1976" s="8" t="s">
        <v>101</v>
      </c>
      <c r="F1976" s="8" t="s">
        <v>4064</v>
      </c>
      <c r="G1976" s="8" t="s">
        <v>2217</v>
      </c>
      <c r="H1976" s="8">
        <v>21</v>
      </c>
      <c r="I1976" s="8">
        <v>21</v>
      </c>
      <c r="J1976" s="8">
        <v>0</v>
      </c>
      <c r="K1976" s="9">
        <v>44145</v>
      </c>
      <c r="L1976" s="8" t="s">
        <v>2222</v>
      </c>
      <c r="M1976" s="8" t="s">
        <v>41</v>
      </c>
      <c r="P1976" s="17" t="s">
        <v>1721</v>
      </c>
      <c r="Q1976" s="2" t="s">
        <v>38</v>
      </c>
    </row>
    <row r="1977" spans="1:17" ht="75">
      <c r="A1977" s="8" t="s">
        <v>4065</v>
      </c>
      <c r="B1977" s="8" t="s">
        <v>1985</v>
      </c>
      <c r="C1977" s="8" t="s">
        <v>2203</v>
      </c>
      <c r="D1977" s="8" t="s">
        <v>18</v>
      </c>
      <c r="E1977" s="8" t="s">
        <v>2217</v>
      </c>
      <c r="F1977" s="8" t="s">
        <v>2217</v>
      </c>
      <c r="G1977" s="8" t="s">
        <v>2217</v>
      </c>
      <c r="H1977" s="8">
        <v>500</v>
      </c>
      <c r="I1977" s="8">
        <v>500</v>
      </c>
      <c r="J1977" s="8">
        <v>103535</v>
      </c>
      <c r="K1977" s="9">
        <v>45414</v>
      </c>
      <c r="L1977" s="9">
        <v>46296</v>
      </c>
      <c r="M1977" s="8" t="s">
        <v>16</v>
      </c>
      <c r="P1977" s="16" t="s">
        <v>1722</v>
      </c>
      <c r="Q1977" s="2" t="s">
        <v>151</v>
      </c>
    </row>
    <row r="1978" spans="1:17" ht="60.75">
      <c r="A1978" s="8" t="s">
        <v>4066</v>
      </c>
      <c r="B1978" s="8" t="s">
        <v>1986</v>
      </c>
      <c r="C1978" s="8" t="s">
        <v>2203</v>
      </c>
      <c r="D1978" s="8" t="s">
        <v>18</v>
      </c>
      <c r="E1978" s="8" t="s">
        <v>2217</v>
      </c>
      <c r="F1978" s="8" t="s">
        <v>2217</v>
      </c>
      <c r="G1978" s="8" t="s">
        <v>2217</v>
      </c>
      <c r="H1978" s="8">
        <v>203</v>
      </c>
      <c r="I1978" s="8">
        <v>203</v>
      </c>
      <c r="J1978" s="8">
        <v>173405</v>
      </c>
      <c r="K1978" s="9">
        <v>45337</v>
      </c>
      <c r="L1978" s="9">
        <v>46296</v>
      </c>
      <c r="M1978" s="8" t="s">
        <v>16</v>
      </c>
      <c r="P1978" s="16" t="s">
        <v>1722</v>
      </c>
      <c r="Q1978" s="2" t="s">
        <v>151</v>
      </c>
    </row>
    <row r="1979" spans="1:17" ht="60.75">
      <c r="A1979" s="8" t="s">
        <v>4067</v>
      </c>
      <c r="B1979" s="8" t="s">
        <v>1987</v>
      </c>
      <c r="C1979" s="8" t="s">
        <v>2203</v>
      </c>
      <c r="D1979" s="8" t="s">
        <v>18</v>
      </c>
      <c r="E1979" s="8" t="s">
        <v>16</v>
      </c>
      <c r="F1979" s="8" t="s">
        <v>2204</v>
      </c>
      <c r="G1979" s="8" t="s">
        <v>4068</v>
      </c>
      <c r="H1979" s="8">
        <v>480</v>
      </c>
      <c r="I1979" s="8">
        <v>480</v>
      </c>
      <c r="J1979" s="8" t="s">
        <v>1988</v>
      </c>
      <c r="K1979" s="9">
        <v>45150</v>
      </c>
      <c r="L1979" s="9">
        <v>46722</v>
      </c>
      <c r="M1979" s="8" t="s">
        <v>16</v>
      </c>
      <c r="P1979" s="16" t="s">
        <v>1723</v>
      </c>
      <c r="Q1979" s="2" t="s">
        <v>151</v>
      </c>
    </row>
    <row r="1980" spans="1:17" ht="60.75">
      <c r="A1980" s="8" t="s">
        <v>4069</v>
      </c>
      <c r="B1980" s="8" t="s">
        <v>1989</v>
      </c>
      <c r="C1980" s="8" t="s">
        <v>2203</v>
      </c>
      <c r="D1980" s="8" t="s">
        <v>18</v>
      </c>
      <c r="E1980" s="8" t="s">
        <v>16</v>
      </c>
      <c r="F1980" s="8" t="s">
        <v>2198</v>
      </c>
      <c r="G1980" s="8" t="s">
        <v>4070</v>
      </c>
      <c r="H1980" s="8">
        <v>1444</v>
      </c>
      <c r="I1980" s="8">
        <v>1444</v>
      </c>
      <c r="J1980" s="8" t="s">
        <v>1990</v>
      </c>
      <c r="K1980" s="9">
        <v>44900</v>
      </c>
      <c r="L1980" s="9">
        <v>46569</v>
      </c>
      <c r="M1980" s="8" t="s">
        <v>16</v>
      </c>
      <c r="P1980" s="16" t="s">
        <v>1723</v>
      </c>
      <c r="Q1980" s="2" t="s">
        <v>151</v>
      </c>
    </row>
    <row r="1981" spans="1:17" ht="60.75">
      <c r="A1981" s="8" t="s">
        <v>4071</v>
      </c>
      <c r="B1981" s="8" t="s">
        <v>1991</v>
      </c>
      <c r="C1981" s="8" t="s">
        <v>2197</v>
      </c>
      <c r="D1981" s="8" t="s">
        <v>18</v>
      </c>
      <c r="E1981" s="8" t="s">
        <v>16</v>
      </c>
      <c r="F1981" s="8" t="s">
        <v>2198</v>
      </c>
      <c r="G1981" s="8" t="s">
        <v>4070</v>
      </c>
      <c r="H1981" s="8">
        <v>2364</v>
      </c>
      <c r="I1981" s="8">
        <v>2364</v>
      </c>
      <c r="J1981" s="8">
        <v>41231221</v>
      </c>
      <c r="K1981" s="9">
        <v>45337</v>
      </c>
      <c r="L1981" s="9">
        <v>47088</v>
      </c>
      <c r="M1981" s="8" t="s">
        <v>16</v>
      </c>
      <c r="P1981" s="16" t="s">
        <v>1723</v>
      </c>
      <c r="Q1981" s="2" t="s">
        <v>151</v>
      </c>
    </row>
    <row r="1982" spans="1:17" ht="60.75">
      <c r="A1982" s="8" t="s">
        <v>4072</v>
      </c>
      <c r="B1982" s="8" t="s">
        <v>1992</v>
      </c>
      <c r="C1982" s="8" t="s">
        <v>2203</v>
      </c>
      <c r="D1982" s="8" t="s">
        <v>18</v>
      </c>
      <c r="E1982" s="8" t="s">
        <v>16</v>
      </c>
      <c r="F1982" s="8" t="s">
        <v>2198</v>
      </c>
      <c r="G1982" s="8" t="s">
        <v>4070</v>
      </c>
      <c r="H1982" s="8">
        <v>3</v>
      </c>
      <c r="I1982" s="8">
        <v>3</v>
      </c>
      <c r="J1982" s="8" t="s">
        <v>1990</v>
      </c>
      <c r="K1982" s="9">
        <v>45359</v>
      </c>
      <c r="L1982" s="9">
        <v>46569</v>
      </c>
      <c r="M1982" s="8" t="s">
        <v>16</v>
      </c>
      <c r="P1982" s="16" t="s">
        <v>1723</v>
      </c>
      <c r="Q1982" s="2" t="s">
        <v>151</v>
      </c>
    </row>
    <row r="1983" spans="1:17" ht="60">
      <c r="A1983" s="8" t="s">
        <v>4073</v>
      </c>
      <c r="B1983" s="8" t="s">
        <v>1993</v>
      </c>
      <c r="C1983" s="8" t="s">
        <v>2197</v>
      </c>
      <c r="D1983" s="8" t="s">
        <v>18</v>
      </c>
      <c r="E1983" s="8" t="s">
        <v>16</v>
      </c>
      <c r="F1983" s="8" t="s">
        <v>2198</v>
      </c>
      <c r="G1983" s="8" t="s">
        <v>4074</v>
      </c>
      <c r="H1983" s="8">
        <v>1920</v>
      </c>
      <c r="I1983" s="8">
        <v>160</v>
      </c>
      <c r="J1983" s="8" t="s">
        <v>1994</v>
      </c>
      <c r="K1983" s="9">
        <v>44392</v>
      </c>
      <c r="L1983" s="9">
        <v>45992</v>
      </c>
      <c r="M1983" s="8" t="s">
        <v>16</v>
      </c>
      <c r="P1983" s="16" t="s">
        <v>1724</v>
      </c>
      <c r="Q1983" s="2" t="s">
        <v>151</v>
      </c>
    </row>
    <row r="1984" spans="1:17" ht="60">
      <c r="A1984" s="8" t="s">
        <v>4073</v>
      </c>
      <c r="B1984" s="8" t="s">
        <v>1993</v>
      </c>
      <c r="C1984" s="8" t="s">
        <v>2197</v>
      </c>
      <c r="D1984" s="8" t="s">
        <v>18</v>
      </c>
      <c r="E1984" s="8" t="s">
        <v>16</v>
      </c>
      <c r="F1984" s="8" t="s">
        <v>2198</v>
      </c>
      <c r="G1984" s="8" t="s">
        <v>4074</v>
      </c>
      <c r="H1984" s="8">
        <v>1920</v>
      </c>
      <c r="I1984" s="8">
        <v>1760</v>
      </c>
      <c r="J1984" s="8" t="s">
        <v>1995</v>
      </c>
      <c r="K1984" s="9">
        <v>45146</v>
      </c>
      <c r="L1984" s="9">
        <v>46478</v>
      </c>
      <c r="M1984" s="8" t="s">
        <v>16</v>
      </c>
      <c r="P1984" s="16" t="s">
        <v>1725</v>
      </c>
      <c r="Q1984" s="2" t="s">
        <v>151</v>
      </c>
    </row>
    <row r="1985" spans="1:17" ht="60">
      <c r="A1985" s="8" t="s">
        <v>4075</v>
      </c>
      <c r="B1985" s="8" t="s">
        <v>1996</v>
      </c>
      <c r="C1985" s="8" t="s">
        <v>2197</v>
      </c>
      <c r="D1985" s="8" t="s">
        <v>18</v>
      </c>
      <c r="E1985" s="8" t="s">
        <v>16</v>
      </c>
      <c r="F1985" s="8" t="s">
        <v>2198</v>
      </c>
      <c r="G1985" s="8" t="s">
        <v>4074</v>
      </c>
      <c r="H1985" s="8">
        <v>2881</v>
      </c>
      <c r="I1985" s="8">
        <v>1200</v>
      </c>
      <c r="J1985" s="8" t="s">
        <v>1997</v>
      </c>
      <c r="K1985" s="9">
        <v>45327</v>
      </c>
      <c r="L1985" s="9">
        <v>46539</v>
      </c>
      <c r="M1985" s="8" t="s">
        <v>16</v>
      </c>
      <c r="P1985" s="16" t="s">
        <v>1725</v>
      </c>
      <c r="Q1985" s="2" t="s">
        <v>151</v>
      </c>
    </row>
    <row r="1986" spans="1:17" ht="60">
      <c r="A1986" s="8" t="s">
        <v>4075</v>
      </c>
      <c r="B1986" s="8" t="s">
        <v>1996</v>
      </c>
      <c r="C1986" s="8" t="s">
        <v>2197</v>
      </c>
      <c r="D1986" s="8" t="s">
        <v>18</v>
      </c>
      <c r="E1986" s="8" t="s">
        <v>16</v>
      </c>
      <c r="F1986" s="8" t="s">
        <v>2198</v>
      </c>
      <c r="G1986" s="8" t="s">
        <v>4074</v>
      </c>
      <c r="H1986" s="8">
        <v>2881</v>
      </c>
      <c r="I1986" s="8">
        <v>1681</v>
      </c>
      <c r="J1986" s="8" t="s">
        <v>1994</v>
      </c>
      <c r="K1986" s="9">
        <v>44496</v>
      </c>
      <c r="L1986" s="9">
        <v>45992</v>
      </c>
      <c r="M1986" s="8" t="s">
        <v>16</v>
      </c>
      <c r="P1986" s="16" t="s">
        <v>1726</v>
      </c>
      <c r="Q1986" s="2" t="s">
        <v>151</v>
      </c>
    </row>
    <row r="1987" spans="1:17" ht="36.75">
      <c r="A1987" s="8" t="s">
        <v>4076</v>
      </c>
      <c r="B1987" s="8" t="s">
        <v>1998</v>
      </c>
      <c r="C1987" s="8" t="s">
        <v>2221</v>
      </c>
      <c r="D1987" s="8" t="s">
        <v>18</v>
      </c>
      <c r="E1987" s="8" t="s">
        <v>2217</v>
      </c>
      <c r="F1987" s="8" t="s">
        <v>2217</v>
      </c>
      <c r="G1987" s="8" t="s">
        <v>2217</v>
      </c>
      <c r="H1987" s="8">
        <v>10</v>
      </c>
      <c r="I1987" s="8">
        <v>10</v>
      </c>
      <c r="J1987" s="8">
        <v>0</v>
      </c>
      <c r="K1987" s="9">
        <v>45108</v>
      </c>
      <c r="L1987" s="8" t="s">
        <v>2222</v>
      </c>
      <c r="M1987" s="8" t="s">
        <v>43</v>
      </c>
      <c r="P1987" s="16" t="s">
        <v>1727</v>
      </c>
      <c r="Q1987" s="2" t="s">
        <v>151</v>
      </c>
    </row>
    <row r="1988" spans="1:17" ht="60">
      <c r="A1988" s="8" t="s">
        <v>4077</v>
      </c>
      <c r="B1988" s="8" t="s">
        <v>1999</v>
      </c>
      <c r="C1988" s="8" t="s">
        <v>2221</v>
      </c>
      <c r="D1988" s="8" t="s">
        <v>18</v>
      </c>
      <c r="E1988" s="8" t="s">
        <v>101</v>
      </c>
      <c r="F1988" s="8" t="s">
        <v>101</v>
      </c>
      <c r="G1988" s="8" t="s">
        <v>4078</v>
      </c>
      <c r="H1988" s="8">
        <v>1</v>
      </c>
      <c r="I1988" s="8">
        <v>1</v>
      </c>
      <c r="J1988" s="8">
        <v>0</v>
      </c>
      <c r="K1988" s="9">
        <v>44145</v>
      </c>
      <c r="L1988" s="8" t="s">
        <v>2222</v>
      </c>
      <c r="M1988" s="8" t="s">
        <v>41</v>
      </c>
      <c r="P1988" s="17" t="s">
        <v>1728</v>
      </c>
      <c r="Q1988" s="2" t="s">
        <v>151</v>
      </c>
    </row>
    <row r="1989" spans="1:17" ht="45">
      <c r="A1989" s="8" t="s">
        <v>4079</v>
      </c>
      <c r="B1989" s="8" t="s">
        <v>2000</v>
      </c>
      <c r="C1989" s="8" t="s">
        <v>2221</v>
      </c>
      <c r="D1989" s="8" t="s">
        <v>18</v>
      </c>
      <c r="E1989" s="8" t="s">
        <v>101</v>
      </c>
      <c r="F1989" s="8" t="s">
        <v>101</v>
      </c>
      <c r="G1989" s="8" t="s">
        <v>2000</v>
      </c>
      <c r="H1989" s="8">
        <v>10</v>
      </c>
      <c r="I1989" s="8">
        <v>10</v>
      </c>
      <c r="J1989" s="8">
        <v>0</v>
      </c>
      <c r="K1989" s="8" t="s">
        <v>2222</v>
      </c>
      <c r="L1989" s="8" t="s">
        <v>2222</v>
      </c>
      <c r="M1989" s="8" t="s">
        <v>41</v>
      </c>
      <c r="P1989" s="17" t="s">
        <v>1728</v>
      </c>
      <c r="Q1989" s="2" t="s">
        <v>151</v>
      </c>
    </row>
    <row r="1990" spans="1:17" ht="60">
      <c r="A1990" s="8" t="s">
        <v>4080</v>
      </c>
      <c r="B1990" s="8" t="s">
        <v>2001</v>
      </c>
      <c r="C1990" s="8" t="s">
        <v>4081</v>
      </c>
      <c r="D1990" s="8" t="s">
        <v>18</v>
      </c>
      <c r="E1990" s="8" t="s">
        <v>101</v>
      </c>
      <c r="F1990" s="8" t="s">
        <v>101</v>
      </c>
      <c r="G1990" s="8" t="s">
        <v>4082</v>
      </c>
      <c r="H1990" s="8">
        <v>410</v>
      </c>
      <c r="I1990" s="8">
        <v>410</v>
      </c>
      <c r="J1990" s="8">
        <v>0</v>
      </c>
      <c r="K1990" s="8" t="s">
        <v>2222</v>
      </c>
      <c r="L1990" s="8" t="s">
        <v>2222</v>
      </c>
      <c r="M1990" s="8" t="s">
        <v>101</v>
      </c>
      <c r="P1990" s="17" t="s">
        <v>1728</v>
      </c>
      <c r="Q1990" s="2" t="s">
        <v>151</v>
      </c>
    </row>
    <row r="1991" spans="1:17" ht="60.75">
      <c r="A1991" s="8" t="s">
        <v>4083</v>
      </c>
      <c r="B1991" s="8" t="s">
        <v>2002</v>
      </c>
      <c r="C1991" s="8" t="s">
        <v>2221</v>
      </c>
      <c r="D1991" s="8" t="s">
        <v>18</v>
      </c>
      <c r="E1991" s="8" t="s">
        <v>2217</v>
      </c>
      <c r="F1991" s="8" t="s">
        <v>2217</v>
      </c>
      <c r="G1991" s="8" t="s">
        <v>2217</v>
      </c>
      <c r="H1991" s="8">
        <v>10</v>
      </c>
      <c r="I1991" s="8">
        <v>10</v>
      </c>
      <c r="J1991" s="8">
        <v>0</v>
      </c>
      <c r="K1991" s="9">
        <v>45090</v>
      </c>
      <c r="L1991" s="8" t="s">
        <v>2222</v>
      </c>
      <c r="M1991" s="8" t="s">
        <v>41</v>
      </c>
      <c r="P1991" s="16" t="s">
        <v>1729</v>
      </c>
      <c r="Q1991" s="2" t="s">
        <v>151</v>
      </c>
    </row>
    <row r="1992" spans="1:17" ht="60.75">
      <c r="A1992" s="8" t="s">
        <v>4084</v>
      </c>
      <c r="B1992" s="8" t="s">
        <v>2003</v>
      </c>
      <c r="C1992" s="8" t="s">
        <v>2221</v>
      </c>
      <c r="D1992" s="8" t="s">
        <v>18</v>
      </c>
      <c r="E1992" s="8" t="s">
        <v>101</v>
      </c>
      <c r="F1992" s="8" t="s">
        <v>2498</v>
      </c>
      <c r="G1992" s="8" t="s">
        <v>2217</v>
      </c>
      <c r="H1992" s="8">
        <v>1</v>
      </c>
      <c r="I1992" s="8">
        <v>1</v>
      </c>
      <c r="J1992" s="8">
        <v>0</v>
      </c>
      <c r="K1992" s="9">
        <v>44161</v>
      </c>
      <c r="L1992" s="8" t="s">
        <v>2222</v>
      </c>
      <c r="M1992" s="8" t="s">
        <v>41</v>
      </c>
      <c r="P1992" s="16" t="s">
        <v>1729</v>
      </c>
      <c r="Q1992" s="2" t="s">
        <v>151</v>
      </c>
    </row>
    <row r="1993" spans="1:17" ht="75">
      <c r="A1993" s="8" t="s">
        <v>4085</v>
      </c>
      <c r="B1993" s="8" t="s">
        <v>2004</v>
      </c>
      <c r="C1993" s="8" t="s">
        <v>2221</v>
      </c>
      <c r="D1993" s="8" t="s">
        <v>18</v>
      </c>
      <c r="E1993" s="8" t="s">
        <v>101</v>
      </c>
      <c r="F1993" s="8" t="s">
        <v>2498</v>
      </c>
      <c r="G1993" s="8" t="s">
        <v>2217</v>
      </c>
      <c r="H1993" s="8">
        <v>28</v>
      </c>
      <c r="I1993" s="8">
        <v>28</v>
      </c>
      <c r="J1993" s="8">
        <v>0</v>
      </c>
      <c r="K1993" s="9">
        <v>44145</v>
      </c>
      <c r="L1993" s="8" t="s">
        <v>2222</v>
      </c>
      <c r="M1993" s="8" t="s">
        <v>41</v>
      </c>
      <c r="P1993" s="16" t="s">
        <v>1729</v>
      </c>
      <c r="Q1993" s="2" t="s">
        <v>151</v>
      </c>
    </row>
    <row r="1994" spans="1:17" ht="90">
      <c r="A1994" s="8" t="s">
        <v>4086</v>
      </c>
      <c r="B1994" s="8" t="s">
        <v>2005</v>
      </c>
      <c r="C1994" s="8" t="s">
        <v>2994</v>
      </c>
      <c r="D1994" s="8" t="s">
        <v>18</v>
      </c>
      <c r="E1994" s="8" t="s">
        <v>101</v>
      </c>
      <c r="F1994" s="8" t="s">
        <v>101</v>
      </c>
      <c r="G1994" s="8" t="s">
        <v>4087</v>
      </c>
      <c r="H1994" s="8">
        <v>242</v>
      </c>
      <c r="I1994" s="8">
        <v>242</v>
      </c>
      <c r="J1994" s="8">
        <v>0</v>
      </c>
      <c r="K1994" s="9">
        <v>44162</v>
      </c>
      <c r="L1994" s="8" t="s">
        <v>2222</v>
      </c>
      <c r="M1994" s="8" t="s">
        <v>101</v>
      </c>
      <c r="P1994" s="17" t="s">
        <v>1730</v>
      </c>
      <c r="Q1994" s="2" t="s">
        <v>151</v>
      </c>
    </row>
    <row r="1995" spans="1:17" ht="90">
      <c r="A1995" s="8" t="s">
        <v>4088</v>
      </c>
      <c r="B1995" s="8" t="s">
        <v>2006</v>
      </c>
      <c r="C1995" s="8" t="s">
        <v>2994</v>
      </c>
      <c r="D1995" s="8" t="s">
        <v>18</v>
      </c>
      <c r="E1995" s="8" t="s">
        <v>101</v>
      </c>
      <c r="F1995" s="8" t="s">
        <v>101</v>
      </c>
      <c r="G1995" s="8" t="s">
        <v>4087</v>
      </c>
      <c r="H1995" s="8">
        <v>103</v>
      </c>
      <c r="I1995" s="8">
        <v>103</v>
      </c>
      <c r="J1995" s="8">
        <v>0</v>
      </c>
      <c r="K1995" s="8" t="s">
        <v>2222</v>
      </c>
      <c r="L1995" s="8" t="s">
        <v>2222</v>
      </c>
      <c r="M1995" s="8" t="s">
        <v>101</v>
      </c>
      <c r="P1995" s="17" t="s">
        <v>1730</v>
      </c>
      <c r="Q1995" s="2" t="s">
        <v>151</v>
      </c>
    </row>
    <row r="1996" spans="1:17" ht="45">
      <c r="A1996" s="8" t="s">
        <v>4089</v>
      </c>
      <c r="B1996" s="8" t="s">
        <v>2007</v>
      </c>
      <c r="C1996" s="8" t="s">
        <v>2493</v>
      </c>
      <c r="D1996" s="8" t="s">
        <v>18</v>
      </c>
      <c r="E1996" s="8" t="s">
        <v>101</v>
      </c>
      <c r="F1996" s="8" t="s">
        <v>101</v>
      </c>
      <c r="G1996" s="8" t="s">
        <v>2007</v>
      </c>
      <c r="H1996" s="8">
        <v>3331.2</v>
      </c>
      <c r="I1996" s="8">
        <v>3331.2</v>
      </c>
      <c r="J1996" s="8">
        <v>0</v>
      </c>
      <c r="K1996" s="9">
        <v>44160</v>
      </c>
      <c r="L1996" s="8" t="s">
        <v>2222</v>
      </c>
      <c r="M1996" s="8" t="s">
        <v>101</v>
      </c>
      <c r="P1996" s="17" t="s">
        <v>1730</v>
      </c>
      <c r="Q1996" s="2" t="s">
        <v>151</v>
      </c>
    </row>
    <row r="1997" spans="1:17" ht="45">
      <c r="A1997" s="8" t="s">
        <v>4090</v>
      </c>
      <c r="B1997" s="8" t="s">
        <v>2008</v>
      </c>
      <c r="C1997" s="8" t="s">
        <v>2197</v>
      </c>
      <c r="D1997" s="8" t="s">
        <v>18</v>
      </c>
      <c r="E1997" s="8" t="s">
        <v>2217</v>
      </c>
      <c r="F1997" s="8" t="s">
        <v>2217</v>
      </c>
      <c r="G1997" s="8" t="s">
        <v>2217</v>
      </c>
      <c r="H1997" s="8">
        <v>120</v>
      </c>
      <c r="I1997" s="8">
        <v>120</v>
      </c>
      <c r="J1997" s="8">
        <v>0</v>
      </c>
      <c r="K1997" s="9">
        <v>45386</v>
      </c>
      <c r="L1997" s="9">
        <v>46600</v>
      </c>
      <c r="M1997" s="8" t="s">
        <v>16</v>
      </c>
      <c r="P1997" s="17" t="s">
        <v>1730</v>
      </c>
      <c r="Q1997" s="2" t="s">
        <v>151</v>
      </c>
    </row>
    <row r="1998" spans="1:17" ht="60">
      <c r="A1998" s="8" t="s">
        <v>4091</v>
      </c>
      <c r="B1998" s="8" t="s">
        <v>2009</v>
      </c>
      <c r="C1998" s="8" t="s">
        <v>2203</v>
      </c>
      <c r="D1998" s="8" t="s">
        <v>18</v>
      </c>
      <c r="E1998" s="8" t="s">
        <v>16</v>
      </c>
      <c r="F1998" s="8" t="s">
        <v>2204</v>
      </c>
      <c r="G1998" s="8" t="s">
        <v>4092</v>
      </c>
      <c r="H1998" s="8">
        <v>20</v>
      </c>
      <c r="I1998" s="8">
        <v>20</v>
      </c>
      <c r="J1998" s="8">
        <v>0</v>
      </c>
      <c r="K1998" s="9">
        <v>45169</v>
      </c>
      <c r="L1998" s="9">
        <v>45658</v>
      </c>
      <c r="M1998" s="8" t="s">
        <v>16</v>
      </c>
      <c r="P1998" s="17" t="s">
        <v>1730</v>
      </c>
      <c r="Q1998" s="2" t="s">
        <v>151</v>
      </c>
    </row>
    <row r="1999" spans="1:17" ht="60">
      <c r="A1999" s="8" t="s">
        <v>4093</v>
      </c>
      <c r="B1999" s="8" t="s">
        <v>2010</v>
      </c>
      <c r="C1999" s="8" t="s">
        <v>2197</v>
      </c>
      <c r="D1999" s="8" t="s">
        <v>18</v>
      </c>
      <c r="E1999" s="8" t="s">
        <v>16</v>
      </c>
      <c r="F1999" s="8" t="s">
        <v>2198</v>
      </c>
      <c r="G1999" s="8" t="s">
        <v>4094</v>
      </c>
      <c r="H1999" s="8">
        <v>70</v>
      </c>
      <c r="I1999" s="8">
        <v>70</v>
      </c>
      <c r="J1999" s="8" t="s">
        <v>2011</v>
      </c>
      <c r="K1999" s="9">
        <v>45169</v>
      </c>
      <c r="L1999" s="9">
        <v>46905</v>
      </c>
      <c r="M1999" s="8" t="s">
        <v>16</v>
      </c>
      <c r="P1999" s="17" t="s">
        <v>1730</v>
      </c>
      <c r="Q1999" s="2" t="s">
        <v>151</v>
      </c>
    </row>
    <row r="2000" spans="1:17" ht="60">
      <c r="A2000" s="8" t="s">
        <v>4095</v>
      </c>
      <c r="B2000" s="8" t="s">
        <v>2012</v>
      </c>
      <c r="C2000" s="8" t="s">
        <v>2197</v>
      </c>
      <c r="D2000" s="8" t="s">
        <v>18</v>
      </c>
      <c r="E2000" s="8" t="s">
        <v>2217</v>
      </c>
      <c r="F2000" s="8" t="s">
        <v>2217</v>
      </c>
      <c r="G2000" s="8" t="s">
        <v>2217</v>
      </c>
      <c r="H2000" s="8">
        <v>197</v>
      </c>
      <c r="I2000" s="8">
        <v>197</v>
      </c>
      <c r="J2000" s="8">
        <v>0</v>
      </c>
      <c r="K2000" s="9">
        <v>45386</v>
      </c>
      <c r="L2000" s="9">
        <v>46905</v>
      </c>
      <c r="M2000" s="8" t="s">
        <v>16</v>
      </c>
      <c r="P2000" s="17" t="s">
        <v>1730</v>
      </c>
      <c r="Q2000" s="2" t="s">
        <v>151</v>
      </c>
    </row>
    <row r="2001" spans="1:17" ht="60">
      <c r="A2001" s="8" t="s">
        <v>4096</v>
      </c>
      <c r="B2001" s="8" t="s">
        <v>2013</v>
      </c>
      <c r="C2001" s="8" t="s">
        <v>2203</v>
      </c>
      <c r="D2001" s="8" t="s">
        <v>18</v>
      </c>
      <c r="E2001" s="8" t="s">
        <v>16</v>
      </c>
      <c r="F2001" s="8" t="s">
        <v>2198</v>
      </c>
      <c r="G2001" s="8" t="s">
        <v>4097</v>
      </c>
      <c r="H2001" s="8">
        <v>1695</v>
      </c>
      <c r="I2001" s="8">
        <v>195</v>
      </c>
      <c r="J2001" s="8" t="s">
        <v>2014</v>
      </c>
      <c r="K2001" s="9">
        <v>45169</v>
      </c>
      <c r="L2001" s="9">
        <v>45566</v>
      </c>
      <c r="M2001" s="8" t="s">
        <v>16</v>
      </c>
      <c r="P2001" s="17" t="s">
        <v>1730</v>
      </c>
      <c r="Q2001" s="2" t="s">
        <v>151</v>
      </c>
    </row>
    <row r="2002" spans="1:17" ht="60">
      <c r="A2002" s="8" t="s">
        <v>4096</v>
      </c>
      <c r="B2002" s="8" t="s">
        <v>2013</v>
      </c>
      <c r="C2002" s="8" t="s">
        <v>2203</v>
      </c>
      <c r="D2002" s="8" t="s">
        <v>18</v>
      </c>
      <c r="E2002" s="8" t="s">
        <v>16</v>
      </c>
      <c r="F2002" s="8" t="s">
        <v>2198</v>
      </c>
      <c r="G2002" s="8" t="s">
        <v>4097</v>
      </c>
      <c r="H2002" s="8">
        <v>1695</v>
      </c>
      <c r="I2002" s="8">
        <v>1500</v>
      </c>
      <c r="J2002" s="8" t="s">
        <v>2015</v>
      </c>
      <c r="K2002" s="9">
        <v>45269</v>
      </c>
      <c r="L2002" s="9">
        <v>45566</v>
      </c>
      <c r="M2002" s="8" t="s">
        <v>16</v>
      </c>
      <c r="P2002" s="17" t="s">
        <v>1731</v>
      </c>
      <c r="Q2002" s="2" t="s">
        <v>151</v>
      </c>
    </row>
    <row r="2003" spans="1:17" ht="60">
      <c r="A2003" s="8" t="s">
        <v>4098</v>
      </c>
      <c r="B2003" s="8" t="s">
        <v>2016</v>
      </c>
      <c r="C2003" s="8" t="s">
        <v>2197</v>
      </c>
      <c r="D2003" s="8" t="s">
        <v>18</v>
      </c>
      <c r="E2003" s="8" t="s">
        <v>16</v>
      </c>
      <c r="F2003" s="8" t="s">
        <v>2198</v>
      </c>
      <c r="G2003" s="8" t="s">
        <v>4099</v>
      </c>
      <c r="H2003" s="8">
        <v>100</v>
      </c>
      <c r="I2003" s="8">
        <v>100</v>
      </c>
      <c r="J2003" s="8" t="s">
        <v>2017</v>
      </c>
      <c r="K2003" s="9">
        <v>45169</v>
      </c>
      <c r="L2003" s="9">
        <v>45870</v>
      </c>
      <c r="M2003" s="8" t="s">
        <v>16</v>
      </c>
      <c r="P2003" s="17" t="s">
        <v>1731</v>
      </c>
      <c r="Q2003" s="2" t="s">
        <v>151</v>
      </c>
    </row>
    <row r="2004" spans="1:17" ht="60">
      <c r="A2004" s="8" t="s">
        <v>4100</v>
      </c>
      <c r="B2004" s="8" t="s">
        <v>2018</v>
      </c>
      <c r="C2004" s="8" t="s">
        <v>2197</v>
      </c>
      <c r="D2004" s="8" t="s">
        <v>18</v>
      </c>
      <c r="E2004" s="8" t="s">
        <v>16</v>
      </c>
      <c r="F2004" s="8" t="s">
        <v>2198</v>
      </c>
      <c r="G2004" s="8" t="s">
        <v>4099</v>
      </c>
      <c r="H2004" s="8">
        <v>100</v>
      </c>
      <c r="I2004" s="8">
        <v>100</v>
      </c>
      <c r="J2004" s="8" t="s">
        <v>2019</v>
      </c>
      <c r="K2004" s="9">
        <v>45169</v>
      </c>
      <c r="L2004" s="9">
        <v>45870</v>
      </c>
      <c r="M2004" s="8" t="s">
        <v>16</v>
      </c>
      <c r="P2004" s="17" t="s">
        <v>1731</v>
      </c>
      <c r="Q2004" s="2" t="s">
        <v>151</v>
      </c>
    </row>
    <row r="2005" spans="1:17" ht="36.75">
      <c r="A2005" s="8" t="s">
        <v>4101</v>
      </c>
      <c r="B2005" s="8" t="s">
        <v>2020</v>
      </c>
      <c r="C2005" s="8" t="s">
        <v>2221</v>
      </c>
      <c r="D2005" s="8" t="s">
        <v>18</v>
      </c>
      <c r="E2005" s="8" t="s">
        <v>43</v>
      </c>
      <c r="F2005" s="8" t="s">
        <v>2217</v>
      </c>
      <c r="G2005" s="8" t="s">
        <v>2217</v>
      </c>
      <c r="H2005" s="8">
        <v>10</v>
      </c>
      <c r="I2005" s="8">
        <v>10</v>
      </c>
      <c r="J2005" s="8">
        <v>0</v>
      </c>
      <c r="K2005" s="9">
        <v>44160</v>
      </c>
      <c r="L2005" s="8" t="s">
        <v>2222</v>
      </c>
      <c r="M2005" s="8" t="s">
        <v>43</v>
      </c>
      <c r="P2005" s="16" t="s">
        <v>1732</v>
      </c>
      <c r="Q2005" s="2" t="s">
        <v>16</v>
      </c>
    </row>
    <row r="2006" spans="1:17" ht="60">
      <c r="A2006" s="8" t="s">
        <v>4102</v>
      </c>
      <c r="B2006" s="8" t="s">
        <v>2021</v>
      </c>
      <c r="C2006" s="8" t="s">
        <v>2221</v>
      </c>
      <c r="D2006" s="8" t="s">
        <v>18</v>
      </c>
      <c r="E2006" s="8" t="s">
        <v>101</v>
      </c>
      <c r="F2006" s="8" t="s">
        <v>4103</v>
      </c>
      <c r="G2006" s="8" t="s">
        <v>4104</v>
      </c>
      <c r="H2006" s="8">
        <v>18</v>
      </c>
      <c r="I2006" s="8">
        <v>18</v>
      </c>
      <c r="J2006" s="8">
        <v>0</v>
      </c>
      <c r="K2006" s="9">
        <v>45227</v>
      </c>
      <c r="L2006" s="8" t="s">
        <v>2222</v>
      </c>
      <c r="M2006" s="8" t="s">
        <v>101</v>
      </c>
      <c r="P2006" s="16" t="s">
        <v>1732</v>
      </c>
      <c r="Q2006" s="2" t="s">
        <v>16</v>
      </c>
    </row>
    <row r="2007" spans="1:17" ht="48.75">
      <c r="A2007" s="8" t="s">
        <v>4105</v>
      </c>
      <c r="B2007" s="8" t="s">
        <v>2022</v>
      </c>
      <c r="C2007" s="8" t="s">
        <v>2221</v>
      </c>
      <c r="D2007" s="8" t="s">
        <v>18</v>
      </c>
      <c r="E2007" s="8" t="s">
        <v>101</v>
      </c>
      <c r="F2007" s="8" t="s">
        <v>4103</v>
      </c>
      <c r="G2007" s="8" t="s">
        <v>2022</v>
      </c>
      <c r="H2007" s="8">
        <v>14</v>
      </c>
      <c r="I2007" s="8">
        <v>14</v>
      </c>
      <c r="J2007" s="8">
        <v>0</v>
      </c>
      <c r="K2007" s="9">
        <v>44018</v>
      </c>
      <c r="L2007" s="8" t="s">
        <v>2222</v>
      </c>
      <c r="M2007" s="8" t="s">
        <v>101</v>
      </c>
      <c r="P2007" s="16" t="s">
        <v>1735</v>
      </c>
      <c r="Q2007" s="2" t="s">
        <v>101</v>
      </c>
    </row>
    <row r="2008" spans="1:17" ht="90">
      <c r="A2008" s="8" t="s">
        <v>4106</v>
      </c>
      <c r="B2008" s="8" t="s">
        <v>2023</v>
      </c>
      <c r="C2008" s="8" t="s">
        <v>2221</v>
      </c>
      <c r="D2008" s="8" t="s">
        <v>18</v>
      </c>
      <c r="E2008" s="8" t="s">
        <v>101</v>
      </c>
      <c r="F2008" s="8" t="s">
        <v>4103</v>
      </c>
      <c r="G2008" s="8" t="s">
        <v>4107</v>
      </c>
      <c r="H2008" s="8">
        <v>672</v>
      </c>
      <c r="I2008" s="8">
        <v>672</v>
      </c>
      <c r="J2008" s="8">
        <v>0</v>
      </c>
      <c r="K2008" s="8" t="s">
        <v>2222</v>
      </c>
      <c r="L2008" s="8" t="s">
        <v>2222</v>
      </c>
      <c r="M2008" s="8" t="s">
        <v>101</v>
      </c>
      <c r="P2008" s="16" t="s">
        <v>1736</v>
      </c>
      <c r="Q2008" s="2" t="s">
        <v>101</v>
      </c>
    </row>
    <row r="2009" spans="1:17" ht="90">
      <c r="A2009" s="8" t="s">
        <v>4108</v>
      </c>
      <c r="B2009" s="8" t="s">
        <v>2024</v>
      </c>
      <c r="C2009" s="8" t="s">
        <v>2221</v>
      </c>
      <c r="D2009" s="8" t="s">
        <v>18</v>
      </c>
      <c r="E2009" s="8" t="s">
        <v>101</v>
      </c>
      <c r="F2009" s="8" t="s">
        <v>4103</v>
      </c>
      <c r="G2009" s="8" t="s">
        <v>4107</v>
      </c>
      <c r="H2009" s="8">
        <v>562</v>
      </c>
      <c r="I2009" s="8">
        <v>562</v>
      </c>
      <c r="J2009" s="8">
        <v>0</v>
      </c>
      <c r="K2009" s="8" t="s">
        <v>2222</v>
      </c>
      <c r="L2009" s="8" t="s">
        <v>2222</v>
      </c>
      <c r="M2009" s="8" t="s">
        <v>101</v>
      </c>
      <c r="P2009" s="16" t="s">
        <v>1737</v>
      </c>
      <c r="Q2009" s="2" t="s">
        <v>38</v>
      </c>
    </row>
    <row r="2010" spans="1:17" ht="60">
      <c r="A2010" s="8" t="s">
        <v>4109</v>
      </c>
      <c r="B2010" s="8" t="s">
        <v>2025</v>
      </c>
      <c r="C2010" s="8" t="s">
        <v>2221</v>
      </c>
      <c r="D2010" s="8" t="s">
        <v>18</v>
      </c>
      <c r="E2010" s="8" t="s">
        <v>101</v>
      </c>
      <c r="F2010" s="8" t="s">
        <v>4103</v>
      </c>
      <c r="G2010" s="8" t="s">
        <v>4110</v>
      </c>
      <c r="H2010" s="8">
        <v>42</v>
      </c>
      <c r="I2010" s="8">
        <v>42</v>
      </c>
      <c r="J2010" s="8">
        <v>0</v>
      </c>
      <c r="K2010" s="9">
        <v>44592</v>
      </c>
      <c r="L2010" s="8" t="s">
        <v>2222</v>
      </c>
      <c r="M2010" s="8" t="s">
        <v>101</v>
      </c>
      <c r="P2010" s="16" t="s">
        <v>1738</v>
      </c>
      <c r="Q2010" s="2" t="s">
        <v>16</v>
      </c>
    </row>
    <row r="2011" spans="1:17" ht="45">
      <c r="A2011" s="8" t="s">
        <v>4111</v>
      </c>
      <c r="B2011" s="8" t="s">
        <v>2026</v>
      </c>
      <c r="C2011" s="8" t="s">
        <v>2221</v>
      </c>
      <c r="D2011" s="8" t="s">
        <v>18</v>
      </c>
      <c r="E2011" s="8" t="s">
        <v>101</v>
      </c>
      <c r="F2011" s="8" t="s">
        <v>4103</v>
      </c>
      <c r="G2011" s="8" t="s">
        <v>4112</v>
      </c>
      <c r="H2011" s="8">
        <v>8</v>
      </c>
      <c r="I2011" s="8">
        <v>8</v>
      </c>
      <c r="J2011" s="8">
        <v>0</v>
      </c>
      <c r="K2011" s="8" t="s">
        <v>2222</v>
      </c>
      <c r="L2011" s="8" t="s">
        <v>2222</v>
      </c>
      <c r="M2011" s="8" t="s">
        <v>2027</v>
      </c>
      <c r="P2011" s="16" t="s">
        <v>1738</v>
      </c>
      <c r="Q2011" s="2" t="s">
        <v>16</v>
      </c>
    </row>
    <row r="2012" spans="1:17" ht="60">
      <c r="A2012" s="8" t="s">
        <v>4113</v>
      </c>
      <c r="B2012" s="8" t="s">
        <v>2030</v>
      </c>
      <c r="C2012" s="8" t="s">
        <v>2221</v>
      </c>
      <c r="D2012" s="8" t="s">
        <v>18</v>
      </c>
      <c r="E2012" s="8" t="s">
        <v>101</v>
      </c>
      <c r="F2012" s="8" t="s">
        <v>4103</v>
      </c>
      <c r="G2012" s="8" t="s">
        <v>2029</v>
      </c>
      <c r="H2012" s="8">
        <v>2</v>
      </c>
      <c r="I2012" s="8">
        <v>2</v>
      </c>
      <c r="J2012" s="8">
        <v>0</v>
      </c>
      <c r="K2012" s="9">
        <v>45279</v>
      </c>
      <c r="L2012" s="8" t="s">
        <v>2222</v>
      </c>
      <c r="M2012" s="8" t="s">
        <v>101</v>
      </c>
      <c r="P2012" s="16" t="s">
        <v>1741</v>
      </c>
      <c r="Q2012" s="2" t="s">
        <v>16</v>
      </c>
    </row>
    <row r="2013" spans="1:17" ht="60">
      <c r="A2013" s="8" t="s">
        <v>4114</v>
      </c>
      <c r="B2013" s="8" t="s">
        <v>2030</v>
      </c>
      <c r="C2013" s="8" t="s">
        <v>2221</v>
      </c>
      <c r="D2013" s="8" t="s">
        <v>18</v>
      </c>
      <c r="E2013" s="8" t="s">
        <v>101</v>
      </c>
      <c r="F2013" s="8" t="s">
        <v>4103</v>
      </c>
      <c r="G2013" s="8" t="s">
        <v>2029</v>
      </c>
      <c r="H2013" s="8">
        <v>2</v>
      </c>
      <c r="I2013" s="8">
        <v>2</v>
      </c>
      <c r="J2013" s="8">
        <v>0</v>
      </c>
      <c r="K2013" s="8" t="s">
        <v>2222</v>
      </c>
      <c r="L2013" s="8" t="s">
        <v>2222</v>
      </c>
      <c r="M2013" s="8" t="s">
        <v>101</v>
      </c>
      <c r="P2013" s="16" t="s">
        <v>1741</v>
      </c>
      <c r="Q2013" s="2" t="s">
        <v>16</v>
      </c>
    </row>
    <row r="2014" spans="1:17" ht="75">
      <c r="A2014" s="8" t="s">
        <v>4115</v>
      </c>
      <c r="B2014" s="8" t="s">
        <v>2031</v>
      </c>
      <c r="C2014" s="8" t="s">
        <v>2221</v>
      </c>
      <c r="D2014" s="8" t="s">
        <v>18</v>
      </c>
      <c r="E2014" s="8" t="s">
        <v>2217</v>
      </c>
      <c r="F2014" s="8" t="s">
        <v>2217</v>
      </c>
      <c r="G2014" s="8" t="s">
        <v>2217</v>
      </c>
      <c r="H2014" s="8">
        <v>46</v>
      </c>
      <c r="I2014" s="8">
        <v>46</v>
      </c>
      <c r="J2014" s="8">
        <v>0</v>
      </c>
      <c r="K2014" s="9">
        <v>45400</v>
      </c>
      <c r="L2014" s="8" t="s">
        <v>2222</v>
      </c>
      <c r="M2014" s="8" t="s">
        <v>101</v>
      </c>
      <c r="P2014" s="16" t="s">
        <v>1744</v>
      </c>
      <c r="Q2014" s="2" t="s">
        <v>16</v>
      </c>
    </row>
    <row r="2015" spans="1:17" ht="90">
      <c r="A2015" s="8" t="s">
        <v>4116</v>
      </c>
      <c r="B2015" s="8" t="s">
        <v>2032</v>
      </c>
      <c r="C2015" s="8" t="s">
        <v>2221</v>
      </c>
      <c r="D2015" s="8" t="s">
        <v>18</v>
      </c>
      <c r="E2015" s="8" t="s">
        <v>101</v>
      </c>
      <c r="F2015" s="8" t="s">
        <v>4103</v>
      </c>
      <c r="G2015" s="8" t="s">
        <v>2029</v>
      </c>
      <c r="H2015" s="8">
        <v>4</v>
      </c>
      <c r="I2015" s="8">
        <v>4</v>
      </c>
      <c r="J2015" s="8">
        <v>0</v>
      </c>
      <c r="K2015" s="8" t="s">
        <v>2222</v>
      </c>
      <c r="L2015" s="8" t="s">
        <v>2222</v>
      </c>
      <c r="M2015" s="8" t="s">
        <v>101</v>
      </c>
      <c r="P2015" s="16" t="s">
        <v>1745</v>
      </c>
      <c r="Q2015" s="2" t="s">
        <v>16</v>
      </c>
    </row>
    <row r="2016" spans="1:17" ht="90">
      <c r="A2016" s="8" t="s">
        <v>4117</v>
      </c>
      <c r="B2016" s="8" t="s">
        <v>2032</v>
      </c>
      <c r="C2016" s="8" t="s">
        <v>2221</v>
      </c>
      <c r="D2016" s="8" t="s">
        <v>18</v>
      </c>
      <c r="E2016" s="8" t="s">
        <v>2217</v>
      </c>
      <c r="F2016" s="8" t="s">
        <v>2217</v>
      </c>
      <c r="G2016" s="8" t="s">
        <v>2217</v>
      </c>
      <c r="H2016" s="8">
        <v>18</v>
      </c>
      <c r="I2016" s="8">
        <v>18</v>
      </c>
      <c r="J2016" s="8">
        <v>0</v>
      </c>
      <c r="K2016" s="8" t="s">
        <v>2222</v>
      </c>
      <c r="L2016" s="8" t="s">
        <v>2222</v>
      </c>
      <c r="M2016" s="8" t="s">
        <v>101</v>
      </c>
      <c r="P2016" s="16" t="s">
        <v>1745</v>
      </c>
      <c r="Q2016" s="2" t="s">
        <v>16</v>
      </c>
    </row>
    <row r="2017" spans="1:17" ht="105">
      <c r="A2017" s="8" t="s">
        <v>4118</v>
      </c>
      <c r="B2017" s="8" t="s">
        <v>2033</v>
      </c>
      <c r="C2017" s="8" t="s">
        <v>2221</v>
      </c>
      <c r="D2017" s="8" t="s">
        <v>18</v>
      </c>
      <c r="E2017" s="8" t="s">
        <v>101</v>
      </c>
      <c r="F2017" s="8" t="s">
        <v>4103</v>
      </c>
      <c r="G2017" s="8" t="s">
        <v>4119</v>
      </c>
      <c r="H2017" s="8">
        <v>54</v>
      </c>
      <c r="I2017" s="8">
        <v>54</v>
      </c>
      <c r="J2017" s="8">
        <v>0</v>
      </c>
      <c r="K2017" s="8" t="s">
        <v>2222</v>
      </c>
      <c r="L2017" s="8" t="s">
        <v>2222</v>
      </c>
      <c r="M2017" s="8" t="s">
        <v>101</v>
      </c>
      <c r="P2017" s="16" t="s">
        <v>1746</v>
      </c>
      <c r="Q2017" s="2" t="s">
        <v>16</v>
      </c>
    </row>
    <row r="2018" spans="1:17" ht="105">
      <c r="A2018" s="8" t="s">
        <v>4120</v>
      </c>
      <c r="B2018" s="8" t="s">
        <v>2034</v>
      </c>
      <c r="C2018" s="8" t="s">
        <v>2221</v>
      </c>
      <c r="D2018" s="8" t="s">
        <v>18</v>
      </c>
      <c r="E2018" s="8" t="s">
        <v>2217</v>
      </c>
      <c r="F2018" s="8" t="s">
        <v>2217</v>
      </c>
      <c r="G2018" s="8" t="s">
        <v>2217</v>
      </c>
      <c r="H2018" s="8">
        <v>28</v>
      </c>
      <c r="I2018" s="8">
        <v>28</v>
      </c>
      <c r="J2018" s="8">
        <v>0</v>
      </c>
      <c r="K2018" s="9">
        <v>45252</v>
      </c>
      <c r="L2018" s="8" t="s">
        <v>2222</v>
      </c>
      <c r="M2018" s="8" t="s">
        <v>101</v>
      </c>
      <c r="P2018" s="16" t="s">
        <v>1748</v>
      </c>
      <c r="Q2018" s="2" t="s">
        <v>16</v>
      </c>
    </row>
    <row r="2019" spans="1:17" ht="45">
      <c r="A2019" s="8" t="s">
        <v>4121</v>
      </c>
      <c r="B2019" s="8" t="s">
        <v>2037</v>
      </c>
      <c r="C2019" s="8" t="s">
        <v>2221</v>
      </c>
      <c r="D2019" s="8" t="s">
        <v>18</v>
      </c>
      <c r="E2019" s="8" t="s">
        <v>101</v>
      </c>
      <c r="F2019" s="8" t="s">
        <v>4103</v>
      </c>
      <c r="G2019" s="8" t="s">
        <v>4122</v>
      </c>
      <c r="H2019" s="8">
        <v>1</v>
      </c>
      <c r="I2019" s="8">
        <v>1</v>
      </c>
      <c r="J2019" s="8">
        <v>0</v>
      </c>
      <c r="K2019" s="8" t="s">
        <v>2222</v>
      </c>
      <c r="L2019" s="8" t="s">
        <v>2222</v>
      </c>
      <c r="M2019" s="8" t="s">
        <v>101</v>
      </c>
      <c r="P2019" s="16" t="s">
        <v>1750</v>
      </c>
      <c r="Q2019" s="2" t="s">
        <v>16</v>
      </c>
    </row>
    <row r="2020" spans="1:17" ht="60">
      <c r="A2020" s="8" t="s">
        <v>4123</v>
      </c>
      <c r="B2020" s="8" t="s">
        <v>2038</v>
      </c>
      <c r="C2020" s="8" t="s">
        <v>2197</v>
      </c>
      <c r="D2020" s="8" t="s">
        <v>18</v>
      </c>
      <c r="E2020" s="8" t="s">
        <v>16</v>
      </c>
      <c r="F2020" s="8" t="s">
        <v>4124</v>
      </c>
      <c r="G2020" s="8" t="s">
        <v>4125</v>
      </c>
      <c r="H2020" s="8">
        <v>5419</v>
      </c>
      <c r="I2020" s="8">
        <v>19</v>
      </c>
      <c r="J2020" s="8">
        <v>47111711</v>
      </c>
      <c r="K2020" s="9">
        <v>45269</v>
      </c>
      <c r="L2020" s="9">
        <v>47058</v>
      </c>
      <c r="M2020" s="8" t="s">
        <v>16</v>
      </c>
      <c r="P2020" s="16" t="s">
        <v>1752</v>
      </c>
      <c r="Q2020" s="2" t="s">
        <v>16</v>
      </c>
    </row>
    <row r="2021" spans="1:17" ht="60">
      <c r="A2021" s="8" t="s">
        <v>4123</v>
      </c>
      <c r="B2021" s="8" t="s">
        <v>2038</v>
      </c>
      <c r="C2021" s="8" t="s">
        <v>2197</v>
      </c>
      <c r="D2021" s="8" t="s">
        <v>18</v>
      </c>
      <c r="E2021" s="8" t="s">
        <v>16</v>
      </c>
      <c r="F2021" s="8" t="s">
        <v>4124</v>
      </c>
      <c r="G2021" s="8" t="s">
        <v>4125</v>
      </c>
      <c r="H2021" s="8">
        <v>5419</v>
      </c>
      <c r="I2021" s="8">
        <v>400</v>
      </c>
      <c r="J2021" s="8">
        <v>48030511</v>
      </c>
      <c r="K2021" s="9">
        <v>45365</v>
      </c>
      <c r="L2021" s="9">
        <v>47178</v>
      </c>
      <c r="M2021" s="8" t="s">
        <v>16</v>
      </c>
      <c r="P2021" s="16" t="s">
        <v>1753</v>
      </c>
      <c r="Q2021" s="2" t="s">
        <v>16</v>
      </c>
    </row>
    <row r="2022" spans="1:17" ht="60">
      <c r="A2022" s="8" t="s">
        <v>4123</v>
      </c>
      <c r="B2022" s="8" t="s">
        <v>2038</v>
      </c>
      <c r="C2022" s="8" t="s">
        <v>2197</v>
      </c>
      <c r="D2022" s="8" t="s">
        <v>18</v>
      </c>
      <c r="E2022" s="8" t="s">
        <v>16</v>
      </c>
      <c r="F2022" s="8" t="s">
        <v>4124</v>
      </c>
      <c r="G2022" s="8" t="s">
        <v>4125</v>
      </c>
      <c r="H2022" s="8">
        <v>5419</v>
      </c>
      <c r="I2022" s="8">
        <v>1000</v>
      </c>
      <c r="J2022" s="8">
        <v>48030611</v>
      </c>
      <c r="K2022" s="9">
        <v>45365</v>
      </c>
      <c r="L2022" s="9">
        <v>47178</v>
      </c>
      <c r="M2022" s="8" t="s">
        <v>16</v>
      </c>
      <c r="P2022" s="16" t="s">
        <v>1753</v>
      </c>
      <c r="Q2022" s="2" t="s">
        <v>16</v>
      </c>
    </row>
    <row r="2023" spans="1:17" ht="60">
      <c r="A2023" s="8" t="s">
        <v>4123</v>
      </c>
      <c r="B2023" s="8" t="s">
        <v>2038</v>
      </c>
      <c r="C2023" s="8" t="s">
        <v>2197</v>
      </c>
      <c r="D2023" s="8" t="s">
        <v>18</v>
      </c>
      <c r="E2023" s="8" t="s">
        <v>16</v>
      </c>
      <c r="F2023" s="8" t="s">
        <v>4124</v>
      </c>
      <c r="G2023" s="8" t="s">
        <v>4125</v>
      </c>
      <c r="H2023" s="8">
        <v>5419</v>
      </c>
      <c r="I2023" s="8">
        <v>4000</v>
      </c>
      <c r="J2023" s="8">
        <v>48031911</v>
      </c>
      <c r="K2023" s="9">
        <v>45412</v>
      </c>
      <c r="L2023" s="9">
        <v>47178</v>
      </c>
      <c r="M2023" s="8" t="s">
        <v>16</v>
      </c>
      <c r="P2023" s="16" t="s">
        <v>1753</v>
      </c>
      <c r="Q2023" s="2" t="s">
        <v>16</v>
      </c>
    </row>
    <row r="2024" spans="1:17" ht="60">
      <c r="A2024" s="8" t="s">
        <v>4126</v>
      </c>
      <c r="B2024" s="8" t="s">
        <v>2039</v>
      </c>
      <c r="C2024" s="8" t="s">
        <v>2197</v>
      </c>
      <c r="D2024" s="8" t="s">
        <v>18</v>
      </c>
      <c r="E2024" s="8" t="s">
        <v>16</v>
      </c>
      <c r="F2024" s="8" t="s">
        <v>4124</v>
      </c>
      <c r="G2024" s="8" t="s">
        <v>4125</v>
      </c>
      <c r="H2024" s="8">
        <v>7352</v>
      </c>
      <c r="I2024" s="8">
        <v>7352</v>
      </c>
      <c r="J2024" s="8">
        <v>48031811</v>
      </c>
      <c r="K2024" s="9">
        <v>45400</v>
      </c>
      <c r="L2024" s="9">
        <v>47178</v>
      </c>
      <c r="M2024" s="8" t="s">
        <v>16</v>
      </c>
      <c r="P2024" s="16" t="s">
        <v>1753</v>
      </c>
      <c r="Q2024" s="2" t="s">
        <v>16</v>
      </c>
    </row>
    <row r="2025" spans="1:17" ht="60">
      <c r="A2025" s="8" t="s">
        <v>4127</v>
      </c>
      <c r="B2025" s="8" t="s">
        <v>2040</v>
      </c>
      <c r="C2025" s="8" t="s">
        <v>2197</v>
      </c>
      <c r="D2025" s="8" t="s">
        <v>18</v>
      </c>
      <c r="E2025" s="8" t="s">
        <v>16</v>
      </c>
      <c r="F2025" s="8" t="s">
        <v>4128</v>
      </c>
      <c r="G2025" s="8" t="s">
        <v>4129</v>
      </c>
      <c r="H2025" s="8">
        <v>410</v>
      </c>
      <c r="I2025" s="8">
        <v>410</v>
      </c>
      <c r="J2025" s="8" t="s">
        <v>2041</v>
      </c>
      <c r="K2025" s="9">
        <v>45167</v>
      </c>
      <c r="L2025" s="9">
        <v>46054</v>
      </c>
      <c r="M2025" s="8" t="s">
        <v>16</v>
      </c>
      <c r="P2025" s="16" t="s">
        <v>1754</v>
      </c>
      <c r="Q2025" s="2" t="s">
        <v>16</v>
      </c>
    </row>
    <row r="2026" spans="1:17" ht="60">
      <c r="A2026" s="8" t="s">
        <v>4130</v>
      </c>
      <c r="B2026" s="8" t="s">
        <v>2042</v>
      </c>
      <c r="C2026" s="8" t="s">
        <v>2197</v>
      </c>
      <c r="D2026" s="8" t="s">
        <v>18</v>
      </c>
      <c r="E2026" s="8" t="s">
        <v>16</v>
      </c>
      <c r="F2026" s="8" t="s">
        <v>4128</v>
      </c>
      <c r="G2026" s="8" t="s">
        <v>4129</v>
      </c>
      <c r="H2026" s="8">
        <v>547</v>
      </c>
      <c r="I2026" s="8">
        <v>27</v>
      </c>
      <c r="J2026" s="8" t="s">
        <v>2043</v>
      </c>
      <c r="K2026" s="9">
        <v>45167</v>
      </c>
      <c r="L2026" s="9">
        <v>46753</v>
      </c>
      <c r="M2026" s="8" t="s">
        <v>16</v>
      </c>
      <c r="P2026" s="16" t="s">
        <v>1754</v>
      </c>
      <c r="Q2026" s="2" t="s">
        <v>16</v>
      </c>
    </row>
    <row r="2027" spans="1:17" ht="60">
      <c r="A2027" s="8" t="s">
        <v>4130</v>
      </c>
      <c r="B2027" s="8" t="s">
        <v>2042</v>
      </c>
      <c r="C2027" s="8" t="s">
        <v>2197</v>
      </c>
      <c r="D2027" s="8" t="s">
        <v>18</v>
      </c>
      <c r="E2027" s="8" t="s">
        <v>16</v>
      </c>
      <c r="F2027" s="8" t="s">
        <v>4128</v>
      </c>
      <c r="G2027" s="8" t="s">
        <v>4129</v>
      </c>
      <c r="H2027" s="8">
        <v>547</v>
      </c>
      <c r="I2027" s="8">
        <v>520</v>
      </c>
      <c r="J2027" s="8" t="s">
        <v>2044</v>
      </c>
      <c r="K2027" s="9">
        <v>45296</v>
      </c>
      <c r="L2027" s="9">
        <v>47027</v>
      </c>
      <c r="M2027" s="8" t="s">
        <v>16</v>
      </c>
      <c r="P2027" s="16" t="s">
        <v>1754</v>
      </c>
      <c r="Q2027" s="2" t="s">
        <v>16</v>
      </c>
    </row>
    <row r="2028" spans="1:17" ht="48.75">
      <c r="A2028" s="8" t="s">
        <v>4140</v>
      </c>
      <c r="B2028" s="8" t="s">
        <v>2049</v>
      </c>
      <c r="C2028" s="8" t="s">
        <v>2197</v>
      </c>
      <c r="D2028" s="8" t="s">
        <v>18</v>
      </c>
      <c r="E2028" s="8" t="s">
        <v>16</v>
      </c>
      <c r="F2028" s="8" t="s">
        <v>2204</v>
      </c>
      <c r="G2028" s="8" t="s">
        <v>4141</v>
      </c>
      <c r="H2028" s="8">
        <v>350</v>
      </c>
      <c r="I2028" s="8">
        <v>350</v>
      </c>
      <c r="J2028" s="8" t="s">
        <v>2050</v>
      </c>
      <c r="K2028" s="9">
        <v>45378</v>
      </c>
      <c r="L2028" s="9">
        <v>46813</v>
      </c>
      <c r="M2028" s="8" t="s">
        <v>16</v>
      </c>
      <c r="P2028" s="16" t="s">
        <v>1755</v>
      </c>
      <c r="Q2028" s="2" t="s">
        <v>16</v>
      </c>
    </row>
    <row r="2029" spans="1:17" ht="48.75">
      <c r="A2029" s="8" t="s">
        <v>4142</v>
      </c>
      <c r="B2029" s="8" t="s">
        <v>2051</v>
      </c>
      <c r="C2029" s="8" t="s">
        <v>2197</v>
      </c>
      <c r="D2029" s="8" t="s">
        <v>18</v>
      </c>
      <c r="E2029" s="8" t="s">
        <v>16</v>
      </c>
      <c r="F2029" s="8" t="s">
        <v>2204</v>
      </c>
      <c r="G2029" s="8" t="s">
        <v>4141</v>
      </c>
      <c r="H2029" s="8">
        <v>440</v>
      </c>
      <c r="I2029" s="8">
        <v>40</v>
      </c>
      <c r="J2029" s="8" t="s">
        <v>2052</v>
      </c>
      <c r="K2029" s="9">
        <v>45337</v>
      </c>
      <c r="L2029" s="9">
        <v>46569</v>
      </c>
      <c r="M2029" s="8" t="s">
        <v>16</v>
      </c>
      <c r="P2029" s="16" t="s">
        <v>1757</v>
      </c>
      <c r="Q2029" s="2" t="s">
        <v>16</v>
      </c>
    </row>
    <row r="2030" spans="1:17" ht="48.75">
      <c r="A2030" s="8" t="s">
        <v>4142</v>
      </c>
      <c r="B2030" s="8" t="s">
        <v>2051</v>
      </c>
      <c r="C2030" s="8" t="s">
        <v>2197</v>
      </c>
      <c r="D2030" s="8" t="s">
        <v>18</v>
      </c>
      <c r="E2030" s="8" t="s">
        <v>16</v>
      </c>
      <c r="F2030" s="8" t="s">
        <v>2204</v>
      </c>
      <c r="G2030" s="8" t="s">
        <v>4141</v>
      </c>
      <c r="H2030" s="8">
        <v>440</v>
      </c>
      <c r="I2030" s="8">
        <v>400</v>
      </c>
      <c r="J2030" s="8" t="s">
        <v>2050</v>
      </c>
      <c r="K2030" s="9">
        <v>45412</v>
      </c>
      <c r="L2030" s="9">
        <v>46813</v>
      </c>
      <c r="M2030" s="8" t="s">
        <v>16</v>
      </c>
      <c r="P2030" s="16" t="s">
        <v>1757</v>
      </c>
      <c r="Q2030" s="2" t="s">
        <v>16</v>
      </c>
    </row>
    <row r="2031" spans="1:17" ht="48.75">
      <c r="A2031" s="8" t="s">
        <v>4160</v>
      </c>
      <c r="B2031" s="8" t="s">
        <v>2061</v>
      </c>
      <c r="C2031" s="8" t="s">
        <v>2221</v>
      </c>
      <c r="D2031" s="8" t="s">
        <v>18</v>
      </c>
      <c r="E2031" s="8" t="s">
        <v>101</v>
      </c>
      <c r="F2031" s="8" t="s">
        <v>101</v>
      </c>
      <c r="G2031" s="8" t="s">
        <v>2061</v>
      </c>
      <c r="H2031" s="8">
        <v>10</v>
      </c>
      <c r="I2031" s="8">
        <v>10</v>
      </c>
      <c r="J2031" s="8">
        <v>0</v>
      </c>
      <c r="K2031" s="8" t="s">
        <v>2222</v>
      </c>
      <c r="L2031" s="8" t="s">
        <v>2222</v>
      </c>
      <c r="M2031" s="8" t="s">
        <v>41</v>
      </c>
      <c r="P2031" s="16" t="s">
        <v>1757</v>
      </c>
      <c r="Q2031" s="2" t="s">
        <v>16</v>
      </c>
    </row>
    <row r="2032" spans="1:17" ht="45">
      <c r="A2032" s="8" t="s">
        <v>4161</v>
      </c>
      <c r="B2032" s="8" t="s">
        <v>2062</v>
      </c>
      <c r="C2032" s="8" t="s">
        <v>2197</v>
      </c>
      <c r="D2032" s="8" t="s">
        <v>18</v>
      </c>
      <c r="E2032" s="8" t="s">
        <v>16</v>
      </c>
      <c r="F2032" s="8" t="s">
        <v>2228</v>
      </c>
      <c r="G2032" s="8" t="s">
        <v>4162</v>
      </c>
      <c r="H2032" s="8">
        <v>312</v>
      </c>
      <c r="I2032" s="8">
        <v>312</v>
      </c>
      <c r="J2032" s="8">
        <v>604240105002</v>
      </c>
      <c r="K2032" s="9">
        <v>45322</v>
      </c>
      <c r="L2032" s="9">
        <v>47119</v>
      </c>
      <c r="M2032" s="8" t="s">
        <v>16</v>
      </c>
      <c r="P2032" s="17" t="s">
        <v>1761</v>
      </c>
      <c r="Q2032" s="2" t="s">
        <v>16</v>
      </c>
    </row>
    <row r="2033" spans="1:17" ht="45">
      <c r="A2033" s="8" t="s">
        <v>4163</v>
      </c>
      <c r="B2033" s="8" t="s">
        <v>2063</v>
      </c>
      <c r="C2033" s="8" t="s">
        <v>2197</v>
      </c>
      <c r="D2033" s="8" t="s">
        <v>18</v>
      </c>
      <c r="E2033" s="8" t="s">
        <v>16</v>
      </c>
      <c r="F2033" s="8" t="s">
        <v>2228</v>
      </c>
      <c r="G2033" s="8" t="s">
        <v>4162</v>
      </c>
      <c r="H2033" s="8">
        <v>194</v>
      </c>
      <c r="I2033" s="8">
        <v>194</v>
      </c>
      <c r="J2033" s="8">
        <v>604231205008</v>
      </c>
      <c r="K2033" s="9">
        <v>45322</v>
      </c>
      <c r="L2033" s="9">
        <v>47088</v>
      </c>
      <c r="M2033" s="8" t="s">
        <v>16</v>
      </c>
      <c r="P2033" s="17" t="s">
        <v>1761</v>
      </c>
      <c r="Q2033" s="2" t="s">
        <v>16</v>
      </c>
    </row>
    <row r="2034" spans="1:17" ht="30">
      <c r="A2034" s="8" t="s">
        <v>4164</v>
      </c>
      <c r="B2034" s="8" t="s">
        <v>2064</v>
      </c>
      <c r="C2034" s="8" t="s">
        <v>2221</v>
      </c>
      <c r="D2034" s="8" t="s">
        <v>18</v>
      </c>
      <c r="E2034" s="8" t="s">
        <v>43</v>
      </c>
      <c r="F2034" s="8" t="s">
        <v>2217</v>
      </c>
      <c r="G2034" s="8" t="s">
        <v>2217</v>
      </c>
      <c r="H2034" s="8">
        <v>7626</v>
      </c>
      <c r="I2034" s="8">
        <v>7626</v>
      </c>
      <c r="J2034" s="8">
        <v>0</v>
      </c>
      <c r="K2034" s="9">
        <v>44160</v>
      </c>
      <c r="L2034" s="8" t="s">
        <v>2222</v>
      </c>
      <c r="M2034" s="8" t="s">
        <v>43</v>
      </c>
      <c r="P2034" s="17" t="s">
        <v>1761</v>
      </c>
      <c r="Q2034" s="2" t="s">
        <v>16</v>
      </c>
    </row>
    <row r="2035" spans="1:17" ht="30">
      <c r="A2035" s="8" t="s">
        <v>4165</v>
      </c>
      <c r="B2035" s="8" t="s">
        <v>2065</v>
      </c>
      <c r="C2035" s="8" t="s">
        <v>2221</v>
      </c>
      <c r="D2035" s="8" t="s">
        <v>18</v>
      </c>
      <c r="E2035" s="8" t="s">
        <v>43</v>
      </c>
      <c r="F2035" s="8" t="s">
        <v>2217</v>
      </c>
      <c r="G2035" s="8" t="s">
        <v>2217</v>
      </c>
      <c r="H2035" s="8">
        <v>150</v>
      </c>
      <c r="I2035" s="8">
        <v>150</v>
      </c>
      <c r="J2035" s="8">
        <v>0</v>
      </c>
      <c r="K2035" s="9">
        <v>44160</v>
      </c>
      <c r="L2035" s="8" t="s">
        <v>2222</v>
      </c>
      <c r="M2035" s="8" t="s">
        <v>43</v>
      </c>
      <c r="P2035" s="17" t="s">
        <v>1761</v>
      </c>
      <c r="Q2035" s="2" t="s">
        <v>16</v>
      </c>
    </row>
    <row r="2036" spans="1:17" ht="45">
      <c r="A2036" s="8" t="s">
        <v>4166</v>
      </c>
      <c r="B2036" s="8" t="s">
        <v>2066</v>
      </c>
      <c r="C2036" s="8" t="s">
        <v>2221</v>
      </c>
      <c r="D2036" s="8" t="s">
        <v>18</v>
      </c>
      <c r="E2036" s="8" t="s">
        <v>43</v>
      </c>
      <c r="F2036" s="8" t="s">
        <v>2217</v>
      </c>
      <c r="G2036" s="8" t="s">
        <v>2217</v>
      </c>
      <c r="H2036" s="8">
        <v>30</v>
      </c>
      <c r="I2036" s="8">
        <v>30</v>
      </c>
      <c r="J2036" s="8">
        <v>0</v>
      </c>
      <c r="K2036" s="9">
        <v>44160</v>
      </c>
      <c r="L2036" s="8" t="s">
        <v>2222</v>
      </c>
      <c r="M2036" s="8" t="s">
        <v>43</v>
      </c>
      <c r="P2036" s="17" t="s">
        <v>1761</v>
      </c>
      <c r="Q2036" s="2" t="s">
        <v>16</v>
      </c>
    </row>
    <row r="2037" spans="1:17" ht="60">
      <c r="A2037" s="8" t="s">
        <v>4167</v>
      </c>
      <c r="B2037" s="8" t="s">
        <v>2067</v>
      </c>
      <c r="C2037" s="8" t="s">
        <v>2221</v>
      </c>
      <c r="D2037" s="8" t="s">
        <v>18</v>
      </c>
      <c r="E2037" s="8" t="s">
        <v>43</v>
      </c>
      <c r="F2037" s="8" t="s">
        <v>2217</v>
      </c>
      <c r="G2037" s="8" t="s">
        <v>2217</v>
      </c>
      <c r="H2037" s="8">
        <v>8</v>
      </c>
      <c r="I2037" s="8">
        <v>8</v>
      </c>
      <c r="J2037" s="8">
        <v>0</v>
      </c>
      <c r="K2037" s="9">
        <v>44146</v>
      </c>
      <c r="L2037" s="8" t="s">
        <v>2222</v>
      </c>
      <c r="M2037" s="8" t="s">
        <v>43</v>
      </c>
      <c r="P2037" s="17" t="s">
        <v>1767</v>
      </c>
      <c r="Q2037" s="2" t="s">
        <v>16</v>
      </c>
    </row>
    <row r="2038" spans="1:17" ht="30">
      <c r="A2038" s="8" t="s">
        <v>4168</v>
      </c>
      <c r="B2038" s="8" t="s">
        <v>2068</v>
      </c>
      <c r="C2038" s="8" t="s">
        <v>2221</v>
      </c>
      <c r="D2038" s="8" t="s">
        <v>18</v>
      </c>
      <c r="E2038" s="8" t="s">
        <v>43</v>
      </c>
      <c r="F2038" s="8" t="s">
        <v>2217</v>
      </c>
      <c r="G2038" s="8" t="s">
        <v>2217</v>
      </c>
      <c r="H2038" s="8">
        <v>175</v>
      </c>
      <c r="I2038" s="8">
        <v>175</v>
      </c>
      <c r="J2038" s="8">
        <v>0</v>
      </c>
      <c r="K2038" s="9">
        <v>44160</v>
      </c>
      <c r="L2038" s="8" t="s">
        <v>2222</v>
      </c>
      <c r="M2038" s="8" t="s">
        <v>43</v>
      </c>
      <c r="P2038" s="17" t="s">
        <v>1767</v>
      </c>
      <c r="Q2038" s="2" t="s">
        <v>16</v>
      </c>
    </row>
    <row r="2039" spans="1:17" ht="30">
      <c r="A2039" s="8" t="s">
        <v>4169</v>
      </c>
      <c r="B2039" s="8" t="s">
        <v>2069</v>
      </c>
      <c r="C2039" s="8" t="s">
        <v>2221</v>
      </c>
      <c r="D2039" s="8" t="s">
        <v>18</v>
      </c>
      <c r="E2039" s="8" t="s">
        <v>43</v>
      </c>
      <c r="F2039" s="8" t="s">
        <v>2217</v>
      </c>
      <c r="G2039" s="8" t="s">
        <v>2217</v>
      </c>
      <c r="H2039" s="8">
        <v>50</v>
      </c>
      <c r="I2039" s="8">
        <v>50</v>
      </c>
      <c r="J2039" s="8">
        <v>0</v>
      </c>
      <c r="K2039" s="9">
        <v>44160</v>
      </c>
      <c r="L2039" s="8" t="s">
        <v>2222</v>
      </c>
      <c r="M2039" s="8" t="s">
        <v>43</v>
      </c>
      <c r="P2039" s="17" t="s">
        <v>1767</v>
      </c>
      <c r="Q2039" s="2" t="s">
        <v>16</v>
      </c>
    </row>
    <row r="2040" spans="1:17" ht="30">
      <c r="A2040" s="8" t="s">
        <v>4170</v>
      </c>
      <c r="B2040" s="8" t="s">
        <v>2070</v>
      </c>
      <c r="C2040" s="8" t="s">
        <v>2221</v>
      </c>
      <c r="D2040" s="8" t="s">
        <v>18</v>
      </c>
      <c r="E2040" s="8" t="s">
        <v>43</v>
      </c>
      <c r="F2040" s="8" t="s">
        <v>2217</v>
      </c>
      <c r="G2040" s="8" t="s">
        <v>2217</v>
      </c>
      <c r="H2040" s="8">
        <v>100</v>
      </c>
      <c r="I2040" s="8">
        <v>100</v>
      </c>
      <c r="J2040" s="8">
        <v>0</v>
      </c>
      <c r="K2040" s="9">
        <v>44160</v>
      </c>
      <c r="L2040" s="8" t="s">
        <v>2222</v>
      </c>
      <c r="M2040" s="8" t="s">
        <v>43</v>
      </c>
      <c r="P2040" s="17" t="s">
        <v>1767</v>
      </c>
      <c r="Q2040" s="2" t="s">
        <v>16</v>
      </c>
    </row>
    <row r="2041" spans="1:17" ht="45">
      <c r="A2041" s="8" t="s">
        <v>4171</v>
      </c>
      <c r="B2041" s="8" t="s">
        <v>2071</v>
      </c>
      <c r="C2041" s="8" t="s">
        <v>2221</v>
      </c>
      <c r="D2041" s="8" t="s">
        <v>18</v>
      </c>
      <c r="E2041" s="8" t="s">
        <v>43</v>
      </c>
      <c r="F2041" s="8" t="s">
        <v>2217</v>
      </c>
      <c r="G2041" s="8" t="s">
        <v>2217</v>
      </c>
      <c r="H2041" s="8">
        <v>70</v>
      </c>
      <c r="I2041" s="8">
        <v>70</v>
      </c>
      <c r="J2041" s="8">
        <v>0</v>
      </c>
      <c r="K2041" s="9">
        <v>44160</v>
      </c>
      <c r="L2041" s="8" t="s">
        <v>2222</v>
      </c>
      <c r="M2041" s="8" t="s">
        <v>43</v>
      </c>
      <c r="P2041" s="17" t="s">
        <v>1771</v>
      </c>
      <c r="Q2041" s="2" t="s">
        <v>16</v>
      </c>
    </row>
    <row r="2042" spans="1:17" ht="30">
      <c r="A2042" s="8" t="s">
        <v>4172</v>
      </c>
      <c r="B2042" s="8" t="s">
        <v>2072</v>
      </c>
      <c r="C2042" s="8" t="s">
        <v>2221</v>
      </c>
      <c r="D2042" s="8" t="s">
        <v>18</v>
      </c>
      <c r="E2042" s="8" t="s">
        <v>43</v>
      </c>
      <c r="F2042" s="8" t="s">
        <v>2217</v>
      </c>
      <c r="G2042" s="8" t="s">
        <v>2217</v>
      </c>
      <c r="H2042" s="8">
        <v>232</v>
      </c>
      <c r="I2042" s="8">
        <v>232</v>
      </c>
      <c r="J2042" s="8">
        <v>0</v>
      </c>
      <c r="K2042" s="9">
        <v>44160</v>
      </c>
      <c r="L2042" s="8" t="s">
        <v>2222</v>
      </c>
      <c r="M2042" s="8" t="s">
        <v>43</v>
      </c>
      <c r="P2042" s="17" t="s">
        <v>1771</v>
      </c>
      <c r="Q2042" s="2" t="s">
        <v>16</v>
      </c>
    </row>
    <row r="2043" spans="1:17" ht="60">
      <c r="A2043" s="8" t="s">
        <v>4173</v>
      </c>
      <c r="B2043" s="8" t="s">
        <v>2073</v>
      </c>
      <c r="C2043" s="8" t="s">
        <v>2203</v>
      </c>
      <c r="D2043" s="8" t="s">
        <v>18</v>
      </c>
      <c r="E2043" s="8" t="s">
        <v>16</v>
      </c>
      <c r="F2043" s="8" t="s">
        <v>2198</v>
      </c>
      <c r="G2043" s="8" t="s">
        <v>2217</v>
      </c>
      <c r="H2043" s="8">
        <v>17</v>
      </c>
      <c r="I2043" s="8">
        <v>17</v>
      </c>
      <c r="J2043" s="8">
        <v>23082413</v>
      </c>
      <c r="K2043" s="9">
        <v>45359</v>
      </c>
      <c r="L2043" s="9">
        <v>46935</v>
      </c>
      <c r="M2043" s="8" t="s">
        <v>16</v>
      </c>
      <c r="P2043" s="17" t="s">
        <v>1771</v>
      </c>
      <c r="Q2043" s="2" t="s">
        <v>16</v>
      </c>
    </row>
    <row r="2044" spans="1:17" ht="60">
      <c r="A2044" s="8" t="s">
        <v>4174</v>
      </c>
      <c r="B2044" s="8" t="s">
        <v>2073</v>
      </c>
      <c r="C2044" s="8" t="s">
        <v>2203</v>
      </c>
      <c r="D2044" s="8" t="s">
        <v>18</v>
      </c>
      <c r="E2044" s="8" t="s">
        <v>16</v>
      </c>
      <c r="F2044" s="8" t="s">
        <v>2198</v>
      </c>
      <c r="G2044" s="8" t="s">
        <v>4175</v>
      </c>
      <c r="H2044" s="8">
        <v>807</v>
      </c>
      <c r="I2044" s="8">
        <v>807</v>
      </c>
      <c r="J2044" s="8">
        <v>23082413</v>
      </c>
      <c r="K2044" s="9">
        <v>45174</v>
      </c>
      <c r="L2044" s="9">
        <v>46935</v>
      </c>
      <c r="M2044" s="8" t="s">
        <v>16</v>
      </c>
      <c r="P2044" s="16" t="s">
        <v>1775</v>
      </c>
      <c r="Q2044" s="2" t="s">
        <v>41</v>
      </c>
    </row>
    <row r="2045" spans="1:17" ht="45">
      <c r="A2045" s="8" t="s">
        <v>4176</v>
      </c>
      <c r="B2045" s="8" t="s">
        <v>2074</v>
      </c>
      <c r="C2045" s="8" t="s">
        <v>2203</v>
      </c>
      <c r="D2045" s="8" t="s">
        <v>18</v>
      </c>
      <c r="E2045" s="8" t="s">
        <v>2217</v>
      </c>
      <c r="F2045" s="8" t="s">
        <v>2217</v>
      </c>
      <c r="G2045" s="8" t="s">
        <v>2217</v>
      </c>
      <c r="H2045" s="8">
        <v>2400</v>
      </c>
      <c r="I2045" s="8">
        <v>800</v>
      </c>
      <c r="J2045" s="8">
        <v>24022603</v>
      </c>
      <c r="K2045" s="9">
        <v>45409</v>
      </c>
      <c r="L2045" s="9">
        <v>47453</v>
      </c>
      <c r="M2045" s="8" t="s">
        <v>16</v>
      </c>
      <c r="P2045" s="16" t="s">
        <v>1776</v>
      </c>
      <c r="Q2045" s="2" t="s">
        <v>41</v>
      </c>
    </row>
    <row r="2046" spans="1:17" ht="48.75">
      <c r="A2046" s="8" t="s">
        <v>4176</v>
      </c>
      <c r="B2046" s="8" t="s">
        <v>2074</v>
      </c>
      <c r="C2046" s="8" t="s">
        <v>2203</v>
      </c>
      <c r="D2046" s="8" t="s">
        <v>18</v>
      </c>
      <c r="E2046" s="8" t="s">
        <v>2217</v>
      </c>
      <c r="F2046" s="8" t="s">
        <v>2217</v>
      </c>
      <c r="G2046" s="8" t="s">
        <v>2217</v>
      </c>
      <c r="H2046" s="8">
        <v>2400</v>
      </c>
      <c r="I2046" s="8">
        <v>1600</v>
      </c>
      <c r="J2046" s="8">
        <v>24022604</v>
      </c>
      <c r="K2046" s="9">
        <v>45409</v>
      </c>
      <c r="L2046" s="9">
        <v>47453</v>
      </c>
      <c r="M2046" s="8" t="s">
        <v>16</v>
      </c>
      <c r="P2046" s="16" t="s">
        <v>1777</v>
      </c>
      <c r="Q2046" s="2" t="s">
        <v>41</v>
      </c>
    </row>
    <row r="2047" spans="1:17" ht="48.75">
      <c r="A2047" s="8" t="s">
        <v>4177</v>
      </c>
      <c r="B2047" s="8" t="s">
        <v>2075</v>
      </c>
      <c r="C2047" s="8" t="s">
        <v>2197</v>
      </c>
      <c r="D2047" s="8" t="s">
        <v>15</v>
      </c>
      <c r="E2047" s="8" t="s">
        <v>2217</v>
      </c>
      <c r="F2047" s="8" t="s">
        <v>2217</v>
      </c>
      <c r="G2047" s="8" t="s">
        <v>2217</v>
      </c>
      <c r="H2047" s="8">
        <v>40</v>
      </c>
      <c r="I2047" s="8">
        <v>40</v>
      </c>
      <c r="J2047" s="8">
        <v>40328003</v>
      </c>
      <c r="K2047" s="9">
        <v>45386</v>
      </c>
      <c r="L2047" s="9">
        <v>47178</v>
      </c>
      <c r="M2047" s="8" t="s">
        <v>16</v>
      </c>
      <c r="P2047" s="16" t="s">
        <v>1778</v>
      </c>
      <c r="Q2047" s="2" t="s">
        <v>41</v>
      </c>
    </row>
    <row r="2048" spans="1:17" ht="48.75">
      <c r="A2048" s="8" t="s">
        <v>4177</v>
      </c>
      <c r="B2048" s="8" t="s">
        <v>2075</v>
      </c>
      <c r="C2048" s="8" t="s">
        <v>2197</v>
      </c>
      <c r="D2048" s="8" t="s">
        <v>18</v>
      </c>
      <c r="E2048" s="8" t="s">
        <v>2217</v>
      </c>
      <c r="F2048" s="8" t="s">
        <v>2217</v>
      </c>
      <c r="G2048" s="8" t="s">
        <v>2217</v>
      </c>
      <c r="H2048" s="8">
        <v>9175</v>
      </c>
      <c r="I2048" s="8">
        <v>2215</v>
      </c>
      <c r="J2048" s="8">
        <v>40328003</v>
      </c>
      <c r="K2048" s="9">
        <v>45386</v>
      </c>
      <c r="L2048" s="9">
        <v>47178</v>
      </c>
      <c r="M2048" s="8" t="s">
        <v>16</v>
      </c>
      <c r="P2048" s="16" t="s">
        <v>1779</v>
      </c>
      <c r="Q2048" s="2" t="s">
        <v>16</v>
      </c>
    </row>
    <row r="2049" spans="1:17" ht="48.75">
      <c r="A2049" s="8" t="s">
        <v>4177</v>
      </c>
      <c r="B2049" s="8" t="s">
        <v>2075</v>
      </c>
      <c r="C2049" s="8" t="s">
        <v>2197</v>
      </c>
      <c r="D2049" s="8" t="s">
        <v>18</v>
      </c>
      <c r="E2049" s="8" t="s">
        <v>2217</v>
      </c>
      <c r="F2049" s="8" t="s">
        <v>2217</v>
      </c>
      <c r="G2049" s="8" t="s">
        <v>2217</v>
      </c>
      <c r="H2049" s="8">
        <v>9175</v>
      </c>
      <c r="I2049" s="8">
        <v>6960</v>
      </c>
      <c r="J2049" s="8">
        <v>40329004</v>
      </c>
      <c r="K2049" s="9">
        <v>45386</v>
      </c>
      <c r="L2049" s="9">
        <v>47209</v>
      </c>
      <c r="M2049" s="8" t="s">
        <v>16</v>
      </c>
      <c r="P2049" s="16" t="s">
        <v>1779</v>
      </c>
      <c r="Q2049" s="2" t="s">
        <v>16</v>
      </c>
    </row>
    <row r="2050" spans="1:17" ht="48.75">
      <c r="A2050" s="8" t="s">
        <v>4178</v>
      </c>
      <c r="B2050" s="8" t="s">
        <v>2076</v>
      </c>
      <c r="C2050" s="8" t="s">
        <v>2203</v>
      </c>
      <c r="D2050" s="8" t="s">
        <v>18</v>
      </c>
      <c r="E2050" s="8" t="s">
        <v>151</v>
      </c>
      <c r="F2050" s="8" t="s">
        <v>151</v>
      </c>
      <c r="G2050" s="8" t="s">
        <v>4179</v>
      </c>
      <c r="H2050" s="8">
        <v>3006</v>
      </c>
      <c r="I2050" s="8">
        <v>3006</v>
      </c>
      <c r="J2050" s="8">
        <v>1230513</v>
      </c>
      <c r="K2050" s="9">
        <v>45066</v>
      </c>
      <c r="L2050" s="9">
        <v>46143</v>
      </c>
      <c r="M2050" s="8" t="s">
        <v>151</v>
      </c>
      <c r="P2050" s="16" t="s">
        <v>1782</v>
      </c>
      <c r="Q2050" s="2" t="s">
        <v>16</v>
      </c>
    </row>
    <row r="2051" spans="1:17" ht="45">
      <c r="A2051" s="8" t="s">
        <v>4180</v>
      </c>
      <c r="B2051" s="8" t="s">
        <v>2077</v>
      </c>
      <c r="C2051" s="8" t="s">
        <v>2203</v>
      </c>
      <c r="D2051" s="8" t="s">
        <v>18</v>
      </c>
      <c r="E2051" s="8" t="s">
        <v>16</v>
      </c>
      <c r="F2051" s="8" t="s">
        <v>2204</v>
      </c>
      <c r="G2051" s="8" t="s">
        <v>4181</v>
      </c>
      <c r="H2051" s="8">
        <v>144</v>
      </c>
      <c r="I2051" s="8">
        <v>4</v>
      </c>
      <c r="J2051" s="8">
        <v>88033</v>
      </c>
      <c r="K2051" s="9">
        <v>44880</v>
      </c>
      <c r="L2051" s="9">
        <v>45505</v>
      </c>
      <c r="M2051" s="8" t="s">
        <v>16</v>
      </c>
      <c r="P2051" s="16" t="s">
        <v>1783</v>
      </c>
      <c r="Q2051" s="2" t="s">
        <v>16</v>
      </c>
    </row>
    <row r="2052" spans="1:17" ht="45">
      <c r="A2052" s="8" t="s">
        <v>4180</v>
      </c>
      <c r="B2052" s="8" t="s">
        <v>2077</v>
      </c>
      <c r="C2052" s="8" t="s">
        <v>2203</v>
      </c>
      <c r="D2052" s="8" t="s">
        <v>100</v>
      </c>
      <c r="E2052" s="8" t="s">
        <v>16</v>
      </c>
      <c r="F2052" s="8" t="s">
        <v>2204</v>
      </c>
      <c r="G2052" s="8" t="s">
        <v>4181</v>
      </c>
      <c r="H2052" s="8">
        <v>22</v>
      </c>
      <c r="I2052" s="8">
        <v>22</v>
      </c>
      <c r="J2052" s="8">
        <v>88041</v>
      </c>
      <c r="K2052" s="9">
        <v>45414</v>
      </c>
      <c r="L2052" s="9">
        <v>47209</v>
      </c>
      <c r="M2052" s="8" t="s">
        <v>16</v>
      </c>
      <c r="P2052" s="16" t="s">
        <v>1783</v>
      </c>
      <c r="Q2052" s="2" t="s">
        <v>16</v>
      </c>
    </row>
    <row r="2053" spans="1:17" ht="45">
      <c r="A2053" s="8" t="s">
        <v>4180</v>
      </c>
      <c r="B2053" s="8" t="s">
        <v>2077</v>
      </c>
      <c r="C2053" s="8" t="s">
        <v>2203</v>
      </c>
      <c r="D2053" s="8" t="s">
        <v>18</v>
      </c>
      <c r="E2053" s="8" t="s">
        <v>16</v>
      </c>
      <c r="F2053" s="8" t="s">
        <v>2204</v>
      </c>
      <c r="G2053" s="8" t="s">
        <v>4181</v>
      </c>
      <c r="H2053" s="8">
        <v>144</v>
      </c>
      <c r="I2053" s="8">
        <v>140</v>
      </c>
      <c r="J2053" s="8">
        <v>88041</v>
      </c>
      <c r="K2053" s="9">
        <v>45414</v>
      </c>
      <c r="L2053" s="9">
        <v>47209</v>
      </c>
      <c r="M2053" s="8" t="s">
        <v>16</v>
      </c>
      <c r="P2053" s="16" t="s">
        <v>1783</v>
      </c>
      <c r="Q2053" s="2" t="s">
        <v>16</v>
      </c>
    </row>
    <row r="2054" spans="1:17" ht="60">
      <c r="A2054" s="8" t="s">
        <v>4182</v>
      </c>
      <c r="B2054" s="8" t="s">
        <v>2078</v>
      </c>
      <c r="C2054" s="8" t="s">
        <v>2203</v>
      </c>
      <c r="D2054" s="8" t="s">
        <v>18</v>
      </c>
      <c r="E2054" s="8" t="s">
        <v>16</v>
      </c>
      <c r="F2054" s="8" t="s">
        <v>2198</v>
      </c>
      <c r="G2054" s="8" t="s">
        <v>4183</v>
      </c>
      <c r="H2054" s="8">
        <v>23</v>
      </c>
      <c r="I2054" s="8">
        <v>23</v>
      </c>
      <c r="J2054" s="8">
        <v>0</v>
      </c>
      <c r="K2054" s="9">
        <v>44018</v>
      </c>
      <c r="L2054" s="8" t="s">
        <v>2222</v>
      </c>
      <c r="M2054" s="8" t="s">
        <v>38</v>
      </c>
      <c r="P2054" s="16" t="s">
        <v>1784</v>
      </c>
      <c r="Q2054" s="2" t="s">
        <v>16</v>
      </c>
    </row>
    <row r="2055" spans="1:17" ht="60">
      <c r="A2055" s="8" t="s">
        <v>4184</v>
      </c>
      <c r="B2055" s="8" t="s">
        <v>2079</v>
      </c>
      <c r="C2055" s="8" t="s">
        <v>2203</v>
      </c>
      <c r="D2055" s="8" t="s">
        <v>18</v>
      </c>
      <c r="E2055" s="8" t="s">
        <v>16</v>
      </c>
      <c r="F2055" s="8" t="s">
        <v>2198</v>
      </c>
      <c r="G2055" s="8" t="s">
        <v>4185</v>
      </c>
      <c r="H2055" s="8">
        <v>3980</v>
      </c>
      <c r="I2055" s="8">
        <v>1980</v>
      </c>
      <c r="J2055" s="8" t="s">
        <v>2080</v>
      </c>
      <c r="K2055" s="9">
        <v>44994</v>
      </c>
      <c r="L2055" s="9">
        <v>45901</v>
      </c>
      <c r="M2055" s="8" t="s">
        <v>16</v>
      </c>
      <c r="P2055" s="16" t="s">
        <v>1784</v>
      </c>
      <c r="Q2055" s="2" t="s">
        <v>16</v>
      </c>
    </row>
    <row r="2056" spans="1:17" ht="60">
      <c r="A2056" s="8" t="s">
        <v>4184</v>
      </c>
      <c r="B2056" s="8" t="s">
        <v>2079</v>
      </c>
      <c r="C2056" s="8" t="s">
        <v>2203</v>
      </c>
      <c r="D2056" s="8" t="s">
        <v>18</v>
      </c>
      <c r="E2056" s="8" t="s">
        <v>16</v>
      </c>
      <c r="F2056" s="8" t="s">
        <v>2198</v>
      </c>
      <c r="G2056" s="8" t="s">
        <v>4185</v>
      </c>
      <c r="H2056" s="8">
        <v>3980</v>
      </c>
      <c r="I2056" s="8">
        <v>2000</v>
      </c>
      <c r="J2056" s="8" t="s">
        <v>2081</v>
      </c>
      <c r="K2056" s="9">
        <v>45017</v>
      </c>
      <c r="L2056" s="9">
        <v>45901</v>
      </c>
      <c r="M2056" s="8" t="s">
        <v>16</v>
      </c>
      <c r="P2056" s="16" t="s">
        <v>1785</v>
      </c>
      <c r="Q2056" s="2" t="s">
        <v>16</v>
      </c>
    </row>
    <row r="2057" spans="1:17" ht="60">
      <c r="A2057" s="8" t="s">
        <v>4186</v>
      </c>
      <c r="B2057" s="8" t="s">
        <v>2082</v>
      </c>
      <c r="C2057" s="8" t="s">
        <v>2203</v>
      </c>
      <c r="D2057" s="8" t="s">
        <v>18</v>
      </c>
      <c r="E2057" s="8" t="s">
        <v>16</v>
      </c>
      <c r="F2057" s="8" t="s">
        <v>2198</v>
      </c>
      <c r="G2057" s="8" t="s">
        <v>4185</v>
      </c>
      <c r="H2057" s="8">
        <v>2850</v>
      </c>
      <c r="I2057" s="8">
        <v>2850</v>
      </c>
      <c r="J2057" s="8" t="s">
        <v>2083</v>
      </c>
      <c r="K2057" s="9">
        <v>45111</v>
      </c>
      <c r="L2057" s="9">
        <v>46054</v>
      </c>
      <c r="M2057" s="8" t="s">
        <v>16</v>
      </c>
      <c r="P2057" s="16" t="s">
        <v>1785</v>
      </c>
      <c r="Q2057" s="2" t="s">
        <v>16</v>
      </c>
    </row>
    <row r="2058" spans="1:17" ht="45">
      <c r="A2058" s="8" t="s">
        <v>4187</v>
      </c>
      <c r="B2058" s="8" t="s">
        <v>2084</v>
      </c>
      <c r="C2058" s="8" t="s">
        <v>2197</v>
      </c>
      <c r="D2058" s="8" t="s">
        <v>18</v>
      </c>
      <c r="E2058" s="8" t="s">
        <v>16</v>
      </c>
      <c r="F2058" s="8" t="s">
        <v>2198</v>
      </c>
      <c r="G2058" s="8" t="s">
        <v>4188</v>
      </c>
      <c r="H2058" s="8">
        <v>2470</v>
      </c>
      <c r="I2058" s="8">
        <v>1000</v>
      </c>
      <c r="J2058" s="8">
        <v>2023111605</v>
      </c>
      <c r="K2058" s="9">
        <v>45286</v>
      </c>
      <c r="L2058" s="9">
        <v>47058</v>
      </c>
      <c r="M2058" s="8" t="s">
        <v>16</v>
      </c>
      <c r="P2058" s="16" t="s">
        <v>1788</v>
      </c>
      <c r="Q2058" s="2" t="s">
        <v>16</v>
      </c>
    </row>
    <row r="2059" spans="1:17" ht="48.75">
      <c r="A2059" s="8" t="s">
        <v>4187</v>
      </c>
      <c r="B2059" s="8" t="s">
        <v>2084</v>
      </c>
      <c r="C2059" s="8" t="s">
        <v>2197</v>
      </c>
      <c r="D2059" s="8" t="s">
        <v>18</v>
      </c>
      <c r="E2059" s="8" t="s">
        <v>16</v>
      </c>
      <c r="F2059" s="8" t="s">
        <v>2198</v>
      </c>
      <c r="G2059" s="8" t="s">
        <v>4188</v>
      </c>
      <c r="H2059" s="8">
        <v>2470</v>
      </c>
      <c r="I2059" s="8">
        <v>1470</v>
      </c>
      <c r="J2059" s="8">
        <v>20230504</v>
      </c>
      <c r="K2059" s="9">
        <v>45059</v>
      </c>
      <c r="L2059" s="9">
        <v>46874</v>
      </c>
      <c r="M2059" s="8" t="s">
        <v>16</v>
      </c>
      <c r="P2059" s="16" t="s">
        <v>1790</v>
      </c>
      <c r="Q2059" s="2" t="s">
        <v>16</v>
      </c>
    </row>
    <row r="2060" spans="1:17" ht="48.75">
      <c r="A2060" s="8" t="s">
        <v>4189</v>
      </c>
      <c r="B2060" s="8" t="s">
        <v>2085</v>
      </c>
      <c r="C2060" s="8" t="s">
        <v>2197</v>
      </c>
      <c r="D2060" s="8" t="s">
        <v>18</v>
      </c>
      <c r="E2060" s="8" t="s">
        <v>151</v>
      </c>
      <c r="F2060" s="8" t="s">
        <v>151</v>
      </c>
      <c r="G2060" s="8" t="s">
        <v>4190</v>
      </c>
      <c r="H2060" s="8">
        <v>140</v>
      </c>
      <c r="I2060" s="8">
        <v>140</v>
      </c>
      <c r="J2060" s="8">
        <v>0</v>
      </c>
      <c r="K2060" s="9">
        <v>45098</v>
      </c>
      <c r="L2060" s="9">
        <v>46905</v>
      </c>
      <c r="M2060" s="8" t="s">
        <v>16</v>
      </c>
      <c r="P2060" s="16" t="s">
        <v>1791</v>
      </c>
      <c r="Q2060" s="2" t="s">
        <v>16</v>
      </c>
    </row>
    <row r="2061" spans="1:17" ht="48.75">
      <c r="A2061" s="8" t="s">
        <v>4191</v>
      </c>
      <c r="B2061" s="8" t="s">
        <v>2086</v>
      </c>
      <c r="C2061" s="8" t="s">
        <v>2197</v>
      </c>
      <c r="D2061" s="8" t="s">
        <v>18</v>
      </c>
      <c r="E2061" s="8" t="s">
        <v>16</v>
      </c>
      <c r="F2061" s="8" t="s">
        <v>2228</v>
      </c>
      <c r="G2061" s="8" t="s">
        <v>4192</v>
      </c>
      <c r="H2061" s="8">
        <v>1913</v>
      </c>
      <c r="I2061" s="8">
        <v>33</v>
      </c>
      <c r="J2061" s="8">
        <v>106240135012</v>
      </c>
      <c r="K2061" s="9">
        <v>45322</v>
      </c>
      <c r="L2061" s="9">
        <v>47119</v>
      </c>
      <c r="M2061" s="8" t="s">
        <v>16</v>
      </c>
      <c r="P2061" s="16" t="s">
        <v>1791</v>
      </c>
      <c r="Q2061" s="2" t="s">
        <v>16</v>
      </c>
    </row>
    <row r="2062" spans="1:17" ht="45">
      <c r="A2062" s="8" t="s">
        <v>4191</v>
      </c>
      <c r="B2062" s="8" t="s">
        <v>2086</v>
      </c>
      <c r="C2062" s="8" t="s">
        <v>2197</v>
      </c>
      <c r="D2062" s="8" t="s">
        <v>18</v>
      </c>
      <c r="E2062" s="8" t="s">
        <v>16</v>
      </c>
      <c r="F2062" s="8" t="s">
        <v>2228</v>
      </c>
      <c r="G2062" s="8" t="s">
        <v>4192</v>
      </c>
      <c r="H2062" s="8">
        <v>1913</v>
      </c>
      <c r="I2062" s="8">
        <v>1880</v>
      </c>
      <c r="J2062" s="8">
        <v>106240635072</v>
      </c>
      <c r="K2062" s="9">
        <v>45450</v>
      </c>
      <c r="L2062" s="9">
        <v>47270</v>
      </c>
      <c r="M2062" s="8" t="s">
        <v>16</v>
      </c>
      <c r="P2062" s="16" t="s">
        <v>1792</v>
      </c>
      <c r="Q2062" s="2" t="s">
        <v>16</v>
      </c>
    </row>
    <row r="2063" spans="1:17" ht="45">
      <c r="A2063" s="8" t="s">
        <v>4193</v>
      </c>
      <c r="B2063" s="8" t="s">
        <v>2087</v>
      </c>
      <c r="C2063" s="8" t="s">
        <v>2197</v>
      </c>
      <c r="D2063" s="8" t="s">
        <v>18</v>
      </c>
      <c r="E2063" s="8" t="s">
        <v>16</v>
      </c>
      <c r="F2063" s="8" t="s">
        <v>2198</v>
      </c>
      <c r="G2063" s="8" t="s">
        <v>4194</v>
      </c>
      <c r="H2063" s="8">
        <v>41</v>
      </c>
      <c r="I2063" s="8">
        <v>41</v>
      </c>
      <c r="J2063" s="8" t="s">
        <v>2088</v>
      </c>
      <c r="K2063" s="9">
        <v>44904</v>
      </c>
      <c r="L2063" s="9">
        <v>46661</v>
      </c>
      <c r="M2063" s="8" t="s">
        <v>16</v>
      </c>
      <c r="P2063" s="16" t="s">
        <v>1792</v>
      </c>
      <c r="Q2063" s="2" t="s">
        <v>16</v>
      </c>
    </row>
    <row r="2064" spans="1:17" ht="60">
      <c r="A2064" s="8" t="s">
        <v>4195</v>
      </c>
      <c r="B2064" s="8" t="s">
        <v>2089</v>
      </c>
      <c r="C2064" s="8" t="s">
        <v>2221</v>
      </c>
      <c r="D2064" s="8" t="s">
        <v>18</v>
      </c>
      <c r="E2064" s="8" t="s">
        <v>43</v>
      </c>
      <c r="F2064" s="8" t="s">
        <v>3095</v>
      </c>
      <c r="G2064" s="8" t="s">
        <v>2217</v>
      </c>
      <c r="H2064" s="8">
        <v>40</v>
      </c>
      <c r="I2064" s="8">
        <v>40</v>
      </c>
      <c r="J2064" s="8">
        <v>0</v>
      </c>
      <c r="K2064" s="9">
        <v>44160</v>
      </c>
      <c r="L2064" s="8" t="s">
        <v>2222</v>
      </c>
      <c r="M2064" s="8" t="s">
        <v>43</v>
      </c>
      <c r="P2064" s="16" t="s">
        <v>1792</v>
      </c>
      <c r="Q2064" s="2" t="s">
        <v>16</v>
      </c>
    </row>
    <row r="2065" spans="1:17" ht="60">
      <c r="A2065" s="8" t="s">
        <v>4196</v>
      </c>
      <c r="B2065" s="8" t="s">
        <v>2090</v>
      </c>
      <c r="C2065" s="8" t="s">
        <v>2221</v>
      </c>
      <c r="D2065" s="8" t="s">
        <v>18</v>
      </c>
      <c r="E2065" s="8" t="s">
        <v>43</v>
      </c>
      <c r="F2065" s="8" t="s">
        <v>3095</v>
      </c>
      <c r="G2065" s="8" t="s">
        <v>2217</v>
      </c>
      <c r="H2065" s="8">
        <v>40</v>
      </c>
      <c r="I2065" s="8">
        <v>40</v>
      </c>
      <c r="J2065" s="8">
        <v>0</v>
      </c>
      <c r="K2065" s="9">
        <v>44160</v>
      </c>
      <c r="L2065" s="8" t="s">
        <v>2222</v>
      </c>
      <c r="M2065" s="8" t="s">
        <v>43</v>
      </c>
      <c r="P2065" s="16" t="s">
        <v>1793</v>
      </c>
      <c r="Q2065" s="2" t="s">
        <v>16</v>
      </c>
    </row>
    <row r="2066" spans="1:17" ht="60">
      <c r="A2066" s="8" t="s">
        <v>4197</v>
      </c>
      <c r="B2066" s="8" t="s">
        <v>2091</v>
      </c>
      <c r="C2066" s="8" t="s">
        <v>2197</v>
      </c>
      <c r="D2066" s="8" t="s">
        <v>18</v>
      </c>
      <c r="E2066" s="8" t="s">
        <v>16</v>
      </c>
      <c r="F2066" s="8" t="s">
        <v>2228</v>
      </c>
      <c r="G2066" s="8" t="s">
        <v>4198</v>
      </c>
      <c r="H2066" s="8">
        <v>7080</v>
      </c>
      <c r="I2066" s="8">
        <v>120</v>
      </c>
      <c r="J2066" s="8">
        <v>40510035</v>
      </c>
      <c r="K2066" s="9">
        <v>45429</v>
      </c>
      <c r="L2066" s="9">
        <v>47239</v>
      </c>
      <c r="M2066" s="8" t="s">
        <v>16</v>
      </c>
      <c r="P2066" s="16" t="s">
        <v>1793</v>
      </c>
      <c r="Q2066" s="2" t="s">
        <v>16</v>
      </c>
    </row>
    <row r="2067" spans="1:17" ht="60">
      <c r="A2067" s="8" t="s">
        <v>4197</v>
      </c>
      <c r="B2067" s="8" t="s">
        <v>2091</v>
      </c>
      <c r="C2067" s="8" t="s">
        <v>2197</v>
      </c>
      <c r="D2067" s="8" t="s">
        <v>18</v>
      </c>
      <c r="E2067" s="8" t="s">
        <v>16</v>
      </c>
      <c r="F2067" s="8" t="s">
        <v>2228</v>
      </c>
      <c r="G2067" s="8" t="s">
        <v>4198</v>
      </c>
      <c r="H2067" s="8">
        <v>7080</v>
      </c>
      <c r="I2067" s="8">
        <v>260</v>
      </c>
      <c r="J2067" s="8">
        <v>40318017</v>
      </c>
      <c r="K2067" s="9">
        <v>45409</v>
      </c>
      <c r="L2067" s="9">
        <v>47178</v>
      </c>
      <c r="M2067" s="8" t="s">
        <v>16</v>
      </c>
      <c r="P2067" s="16" t="s">
        <v>1794</v>
      </c>
      <c r="Q2067" s="2" t="s">
        <v>16</v>
      </c>
    </row>
    <row r="2068" spans="1:17" ht="60">
      <c r="A2068" s="8" t="s">
        <v>4197</v>
      </c>
      <c r="B2068" s="8" t="s">
        <v>2091</v>
      </c>
      <c r="C2068" s="8" t="s">
        <v>2197</v>
      </c>
      <c r="D2068" s="8" t="s">
        <v>18</v>
      </c>
      <c r="E2068" s="8" t="s">
        <v>16</v>
      </c>
      <c r="F2068" s="8" t="s">
        <v>2228</v>
      </c>
      <c r="G2068" s="8" t="s">
        <v>4198</v>
      </c>
      <c r="H2068" s="8">
        <v>7080</v>
      </c>
      <c r="I2068" s="8">
        <v>300</v>
      </c>
      <c r="J2068" s="8">
        <v>40503031</v>
      </c>
      <c r="K2068" s="9">
        <v>45429</v>
      </c>
      <c r="L2068" s="9">
        <v>47239</v>
      </c>
      <c r="M2068" s="8" t="s">
        <v>16</v>
      </c>
      <c r="P2068" s="16" t="s">
        <v>1795</v>
      </c>
      <c r="Q2068" s="2" t="s">
        <v>16</v>
      </c>
    </row>
    <row r="2069" spans="1:17" ht="60">
      <c r="A2069" s="8" t="s">
        <v>4197</v>
      </c>
      <c r="B2069" s="8" t="s">
        <v>2091</v>
      </c>
      <c r="C2069" s="8" t="s">
        <v>2197</v>
      </c>
      <c r="D2069" s="8" t="s">
        <v>18</v>
      </c>
      <c r="E2069" s="8" t="s">
        <v>16</v>
      </c>
      <c r="F2069" s="8" t="s">
        <v>2228</v>
      </c>
      <c r="G2069" s="8" t="s">
        <v>4198</v>
      </c>
      <c r="H2069" s="8">
        <v>7080</v>
      </c>
      <c r="I2069" s="8">
        <v>460</v>
      </c>
      <c r="J2069" s="8">
        <v>40227013</v>
      </c>
      <c r="K2069" s="9">
        <v>45360</v>
      </c>
      <c r="L2069" s="9">
        <v>47178</v>
      </c>
      <c r="M2069" s="8" t="s">
        <v>16</v>
      </c>
      <c r="P2069" s="16" t="s">
        <v>1795</v>
      </c>
      <c r="Q2069" s="2" t="s">
        <v>16</v>
      </c>
    </row>
    <row r="2070" spans="1:17" ht="60">
      <c r="A2070" s="8" t="s">
        <v>4197</v>
      </c>
      <c r="B2070" s="8" t="s">
        <v>2091</v>
      </c>
      <c r="C2070" s="8" t="s">
        <v>2197</v>
      </c>
      <c r="D2070" s="8" t="s">
        <v>18</v>
      </c>
      <c r="E2070" s="8" t="s">
        <v>16</v>
      </c>
      <c r="F2070" s="8" t="s">
        <v>2228</v>
      </c>
      <c r="G2070" s="8" t="s">
        <v>4198</v>
      </c>
      <c r="H2070" s="8">
        <v>7080</v>
      </c>
      <c r="I2070" s="8">
        <v>800</v>
      </c>
      <c r="J2070" s="8">
        <v>40508033</v>
      </c>
      <c r="K2070" s="9">
        <v>45429</v>
      </c>
      <c r="L2070" s="9">
        <v>47239</v>
      </c>
      <c r="M2070" s="8" t="s">
        <v>16</v>
      </c>
      <c r="P2070" s="16" t="s">
        <v>1796</v>
      </c>
      <c r="Q2070" s="18" t="s">
        <v>16</v>
      </c>
    </row>
    <row r="2071" spans="1:17" ht="60">
      <c r="A2071" s="8" t="s">
        <v>4197</v>
      </c>
      <c r="B2071" s="8" t="s">
        <v>2091</v>
      </c>
      <c r="C2071" s="8" t="s">
        <v>2197</v>
      </c>
      <c r="D2071" s="8" t="s">
        <v>18</v>
      </c>
      <c r="E2071" s="8" t="s">
        <v>16</v>
      </c>
      <c r="F2071" s="8" t="s">
        <v>2228</v>
      </c>
      <c r="G2071" s="8" t="s">
        <v>4198</v>
      </c>
      <c r="H2071" s="8">
        <v>7080</v>
      </c>
      <c r="I2071" s="8">
        <v>1000</v>
      </c>
      <c r="J2071" s="8">
        <v>40425027</v>
      </c>
      <c r="K2071" s="9">
        <v>45418</v>
      </c>
      <c r="L2071" s="9">
        <v>47209</v>
      </c>
      <c r="M2071" s="8" t="s">
        <v>16</v>
      </c>
      <c r="P2071" s="16" t="s">
        <v>1797</v>
      </c>
      <c r="Q2071" s="2" t="s">
        <v>16</v>
      </c>
    </row>
    <row r="2072" spans="1:17" ht="60">
      <c r="A2072" s="8" t="s">
        <v>4197</v>
      </c>
      <c r="B2072" s="8" t="s">
        <v>2091</v>
      </c>
      <c r="C2072" s="8" t="s">
        <v>2197</v>
      </c>
      <c r="D2072" s="8" t="s">
        <v>18</v>
      </c>
      <c r="E2072" s="8" t="s">
        <v>16</v>
      </c>
      <c r="F2072" s="8" t="s">
        <v>2228</v>
      </c>
      <c r="G2072" s="8" t="s">
        <v>4198</v>
      </c>
      <c r="H2072" s="8">
        <v>7080</v>
      </c>
      <c r="I2072" s="8">
        <v>1640</v>
      </c>
      <c r="J2072" s="8">
        <v>40513036</v>
      </c>
      <c r="K2072" s="9">
        <v>45429</v>
      </c>
      <c r="L2072" s="9">
        <v>47239</v>
      </c>
      <c r="M2072" s="8" t="s">
        <v>16</v>
      </c>
      <c r="P2072" s="16" t="s">
        <v>1797</v>
      </c>
      <c r="Q2072" s="2" t="s">
        <v>16</v>
      </c>
    </row>
    <row r="2073" spans="1:17" ht="60">
      <c r="A2073" s="8" t="s">
        <v>4197</v>
      </c>
      <c r="B2073" s="8" t="s">
        <v>2091</v>
      </c>
      <c r="C2073" s="8" t="s">
        <v>2197</v>
      </c>
      <c r="D2073" s="8" t="s">
        <v>18</v>
      </c>
      <c r="E2073" s="8" t="s">
        <v>16</v>
      </c>
      <c r="F2073" s="8" t="s">
        <v>2228</v>
      </c>
      <c r="G2073" s="8" t="s">
        <v>4198</v>
      </c>
      <c r="H2073" s="8">
        <v>7080</v>
      </c>
      <c r="I2073" s="8">
        <v>2500</v>
      </c>
      <c r="J2073" s="8">
        <v>40507032</v>
      </c>
      <c r="K2073" s="9">
        <v>45429</v>
      </c>
      <c r="L2073" s="9">
        <v>47239</v>
      </c>
      <c r="M2073" s="8" t="s">
        <v>16</v>
      </c>
      <c r="P2073" s="16" t="s">
        <v>1799</v>
      </c>
      <c r="Q2073" s="2" t="s">
        <v>16</v>
      </c>
    </row>
    <row r="2074" spans="1:17" ht="60">
      <c r="A2074" s="8" t="s">
        <v>4199</v>
      </c>
      <c r="B2074" s="8" t="s">
        <v>2092</v>
      </c>
      <c r="C2074" s="8" t="s">
        <v>2197</v>
      </c>
      <c r="D2074" s="8" t="s">
        <v>18</v>
      </c>
      <c r="E2074" s="8" t="s">
        <v>16</v>
      </c>
      <c r="F2074" s="8" t="s">
        <v>2228</v>
      </c>
      <c r="G2074" s="8" t="s">
        <v>4198</v>
      </c>
      <c r="H2074" s="8">
        <v>535</v>
      </c>
      <c r="I2074" s="8">
        <v>5</v>
      </c>
      <c r="J2074" s="8">
        <v>30505028</v>
      </c>
      <c r="K2074" s="9">
        <v>45070</v>
      </c>
      <c r="L2074" s="9">
        <v>46874</v>
      </c>
      <c r="M2074" s="8" t="s">
        <v>16</v>
      </c>
      <c r="P2074" s="16" t="s">
        <v>1799</v>
      </c>
      <c r="Q2074" s="2" t="s">
        <v>16</v>
      </c>
    </row>
    <row r="2075" spans="1:17" ht="60">
      <c r="A2075" s="8" t="s">
        <v>4199</v>
      </c>
      <c r="B2075" s="8" t="s">
        <v>2092</v>
      </c>
      <c r="C2075" s="8" t="s">
        <v>2197</v>
      </c>
      <c r="D2075" s="8" t="s">
        <v>18</v>
      </c>
      <c r="E2075" s="8" t="s">
        <v>16</v>
      </c>
      <c r="F2075" s="8" t="s">
        <v>2228</v>
      </c>
      <c r="G2075" s="8" t="s">
        <v>4198</v>
      </c>
      <c r="H2075" s="8">
        <v>535</v>
      </c>
      <c r="I2075" s="8">
        <v>10</v>
      </c>
      <c r="J2075" s="8">
        <v>40109002</v>
      </c>
      <c r="K2075" s="9">
        <v>45420</v>
      </c>
      <c r="L2075" s="9">
        <v>47119</v>
      </c>
      <c r="M2075" s="8" t="s">
        <v>16</v>
      </c>
      <c r="P2075" s="16" t="s">
        <v>1801</v>
      </c>
      <c r="Q2075" s="2" t="s">
        <v>16</v>
      </c>
    </row>
    <row r="2076" spans="1:17" ht="60">
      <c r="A2076" s="8" t="s">
        <v>4199</v>
      </c>
      <c r="B2076" s="8" t="s">
        <v>2092</v>
      </c>
      <c r="C2076" s="8" t="s">
        <v>2197</v>
      </c>
      <c r="D2076" s="8" t="s">
        <v>18</v>
      </c>
      <c r="E2076" s="8" t="s">
        <v>16</v>
      </c>
      <c r="F2076" s="8" t="s">
        <v>2228</v>
      </c>
      <c r="G2076" s="8" t="s">
        <v>4198</v>
      </c>
      <c r="H2076" s="8">
        <v>535</v>
      </c>
      <c r="I2076" s="8">
        <v>520</v>
      </c>
      <c r="J2076" s="8">
        <v>40426028</v>
      </c>
      <c r="K2076" s="9">
        <v>45418</v>
      </c>
      <c r="L2076" s="9">
        <v>47209</v>
      </c>
      <c r="M2076" s="8" t="s">
        <v>16</v>
      </c>
      <c r="P2076" s="16" t="s">
        <v>1801</v>
      </c>
      <c r="Q2076" s="2" t="s">
        <v>16</v>
      </c>
    </row>
    <row r="2077" spans="1:17" ht="48.75">
      <c r="A2077" s="8" t="s">
        <v>4200</v>
      </c>
      <c r="B2077" s="8" t="s">
        <v>2093</v>
      </c>
      <c r="C2077" s="8" t="s">
        <v>2221</v>
      </c>
      <c r="D2077" s="8" t="s">
        <v>18</v>
      </c>
      <c r="E2077" s="8" t="s">
        <v>101</v>
      </c>
      <c r="F2077" s="8" t="s">
        <v>101</v>
      </c>
      <c r="G2077" s="8" t="s">
        <v>4201</v>
      </c>
      <c r="H2077" s="8">
        <v>9</v>
      </c>
      <c r="I2077" s="8">
        <v>9</v>
      </c>
      <c r="J2077" s="8">
        <v>0</v>
      </c>
      <c r="K2077" s="9">
        <v>44145</v>
      </c>
      <c r="L2077" s="8" t="s">
        <v>2222</v>
      </c>
      <c r="M2077" s="8" t="s">
        <v>41</v>
      </c>
      <c r="P2077" s="16" t="s">
        <v>1803</v>
      </c>
      <c r="Q2077" s="2" t="s">
        <v>16</v>
      </c>
    </row>
    <row r="2078" spans="1:17" ht="75">
      <c r="A2078" s="8" t="s">
        <v>4202</v>
      </c>
      <c r="B2078" s="8" t="s">
        <v>2094</v>
      </c>
      <c r="C2078" s="8" t="s">
        <v>2221</v>
      </c>
      <c r="D2078" s="8" t="s">
        <v>18</v>
      </c>
      <c r="E2078" s="8" t="s">
        <v>101</v>
      </c>
      <c r="F2078" s="8" t="s">
        <v>101</v>
      </c>
      <c r="G2078" s="8" t="s">
        <v>2217</v>
      </c>
      <c r="H2078" s="8">
        <v>104</v>
      </c>
      <c r="I2078" s="8">
        <v>104</v>
      </c>
      <c r="J2078" s="8">
        <v>0</v>
      </c>
      <c r="K2078" s="9">
        <v>44145</v>
      </c>
      <c r="L2078" s="8" t="s">
        <v>2222</v>
      </c>
      <c r="M2078" s="8" t="s">
        <v>41</v>
      </c>
      <c r="P2078" s="16" t="s">
        <v>1803</v>
      </c>
      <c r="Q2078" s="2" t="s">
        <v>16</v>
      </c>
    </row>
    <row r="2079" spans="1:17" ht="75">
      <c r="A2079" s="8" t="s">
        <v>4203</v>
      </c>
      <c r="B2079" s="8" t="s">
        <v>2095</v>
      </c>
      <c r="C2079" s="8" t="s">
        <v>2221</v>
      </c>
      <c r="D2079" s="8" t="s">
        <v>18</v>
      </c>
      <c r="E2079" s="8" t="s">
        <v>101</v>
      </c>
      <c r="F2079" s="8" t="s">
        <v>101</v>
      </c>
      <c r="G2079" s="8" t="s">
        <v>2217</v>
      </c>
      <c r="H2079" s="8">
        <v>45</v>
      </c>
      <c r="I2079" s="8">
        <v>45</v>
      </c>
      <c r="J2079" s="8">
        <v>0</v>
      </c>
      <c r="K2079" s="9">
        <v>44145</v>
      </c>
      <c r="L2079" s="8" t="s">
        <v>2222</v>
      </c>
      <c r="M2079" s="8" t="s">
        <v>41</v>
      </c>
      <c r="P2079" s="16" t="s">
        <v>1806</v>
      </c>
      <c r="Q2079" s="2" t="s">
        <v>16</v>
      </c>
    </row>
    <row r="2080" spans="1:17" ht="45">
      <c r="A2080" s="8" t="s">
        <v>4204</v>
      </c>
      <c r="B2080" s="8" t="s">
        <v>2096</v>
      </c>
      <c r="C2080" s="8" t="s">
        <v>2221</v>
      </c>
      <c r="D2080" s="8" t="s">
        <v>18</v>
      </c>
      <c r="E2080" s="8" t="s">
        <v>101</v>
      </c>
      <c r="F2080" s="8" t="s">
        <v>101</v>
      </c>
      <c r="G2080" s="8" t="s">
        <v>4205</v>
      </c>
      <c r="H2080" s="8">
        <v>1</v>
      </c>
      <c r="I2080" s="8">
        <v>1</v>
      </c>
      <c r="J2080" s="8">
        <v>0</v>
      </c>
      <c r="K2080" s="9">
        <v>44145</v>
      </c>
      <c r="L2080" s="8" t="s">
        <v>2222</v>
      </c>
      <c r="M2080" s="8" t="s">
        <v>41</v>
      </c>
      <c r="P2080" s="16" t="s">
        <v>1808</v>
      </c>
      <c r="Q2080" s="2" t="s">
        <v>16</v>
      </c>
    </row>
    <row r="2081" spans="1:17" ht="75">
      <c r="A2081" s="8" t="s">
        <v>4206</v>
      </c>
      <c r="B2081" s="8" t="s">
        <v>2097</v>
      </c>
      <c r="C2081" s="8" t="s">
        <v>2221</v>
      </c>
      <c r="D2081" s="8" t="s">
        <v>18</v>
      </c>
      <c r="E2081" s="8" t="s">
        <v>101</v>
      </c>
      <c r="F2081" s="8" t="s">
        <v>101</v>
      </c>
      <c r="G2081" s="8" t="s">
        <v>2217</v>
      </c>
      <c r="H2081" s="8">
        <v>9</v>
      </c>
      <c r="I2081" s="8">
        <v>9</v>
      </c>
      <c r="J2081" s="8">
        <v>0</v>
      </c>
      <c r="K2081" s="9">
        <v>44161</v>
      </c>
      <c r="L2081" s="8" t="s">
        <v>2222</v>
      </c>
      <c r="M2081" s="8" t="s">
        <v>41</v>
      </c>
      <c r="P2081" s="16" t="s">
        <v>1810</v>
      </c>
      <c r="Q2081" s="2" t="s">
        <v>43</v>
      </c>
    </row>
    <row r="2082" spans="1:17" ht="60">
      <c r="A2082" s="8" t="s">
        <v>4207</v>
      </c>
      <c r="B2082" s="8" t="s">
        <v>2098</v>
      </c>
      <c r="C2082" s="8" t="s">
        <v>2221</v>
      </c>
      <c r="D2082" s="8" t="s">
        <v>18</v>
      </c>
      <c r="E2082" s="8" t="s">
        <v>2217</v>
      </c>
      <c r="F2082" s="8" t="s">
        <v>2217</v>
      </c>
      <c r="G2082" s="8" t="s">
        <v>2217</v>
      </c>
      <c r="H2082" s="8">
        <v>1</v>
      </c>
      <c r="I2082" s="8">
        <v>1</v>
      </c>
      <c r="J2082" s="8">
        <v>0</v>
      </c>
      <c r="K2082" s="8" t="s">
        <v>2222</v>
      </c>
      <c r="L2082" s="8" t="s">
        <v>2222</v>
      </c>
      <c r="M2082" s="8" t="s">
        <v>43</v>
      </c>
      <c r="P2082" s="16" t="s">
        <v>1811</v>
      </c>
      <c r="Q2082" s="2" t="s">
        <v>16</v>
      </c>
    </row>
    <row r="2083" spans="1:17" ht="48.75">
      <c r="A2083" s="8" t="s">
        <v>4208</v>
      </c>
      <c r="B2083" s="8" t="s">
        <v>2099</v>
      </c>
      <c r="C2083" s="8" t="s">
        <v>2221</v>
      </c>
      <c r="D2083" s="8" t="s">
        <v>18</v>
      </c>
      <c r="E2083" s="8" t="s">
        <v>43</v>
      </c>
      <c r="F2083" s="8" t="s">
        <v>2217</v>
      </c>
      <c r="G2083" s="8" t="s">
        <v>2217</v>
      </c>
      <c r="H2083" s="8">
        <v>1</v>
      </c>
      <c r="I2083" s="8">
        <v>1</v>
      </c>
      <c r="J2083" s="8">
        <v>0</v>
      </c>
      <c r="K2083" s="9">
        <v>44161</v>
      </c>
      <c r="L2083" s="8" t="s">
        <v>2222</v>
      </c>
      <c r="M2083" s="8" t="s">
        <v>43</v>
      </c>
      <c r="P2083" s="16" t="s">
        <v>1811</v>
      </c>
      <c r="Q2083" s="2" t="s">
        <v>16</v>
      </c>
    </row>
    <row r="2084" spans="1:17" ht="48.75">
      <c r="A2084" s="8" t="s">
        <v>4209</v>
      </c>
      <c r="B2084" s="8" t="s">
        <v>2100</v>
      </c>
      <c r="C2084" s="8" t="s">
        <v>2221</v>
      </c>
      <c r="D2084" s="8" t="s">
        <v>18</v>
      </c>
      <c r="E2084" s="8" t="s">
        <v>43</v>
      </c>
      <c r="F2084" s="8" t="s">
        <v>2217</v>
      </c>
      <c r="G2084" s="8" t="s">
        <v>2217</v>
      </c>
      <c r="H2084" s="8">
        <v>1</v>
      </c>
      <c r="I2084" s="8">
        <v>1</v>
      </c>
      <c r="J2084" s="8">
        <v>0</v>
      </c>
      <c r="K2084" s="9">
        <v>44646</v>
      </c>
      <c r="L2084" s="8" t="s">
        <v>2222</v>
      </c>
      <c r="M2084" s="8" t="s">
        <v>43</v>
      </c>
      <c r="P2084" s="16" t="s">
        <v>1811</v>
      </c>
      <c r="Q2084" s="2" t="s">
        <v>16</v>
      </c>
    </row>
    <row r="2085" spans="1:17" ht="60">
      <c r="A2085" s="8" t="s">
        <v>4210</v>
      </c>
      <c r="B2085" s="8" t="s">
        <v>2101</v>
      </c>
      <c r="C2085" s="8" t="s">
        <v>2221</v>
      </c>
      <c r="D2085" s="8" t="s">
        <v>18</v>
      </c>
      <c r="E2085" s="8" t="s">
        <v>2217</v>
      </c>
      <c r="F2085" s="8" t="s">
        <v>2217</v>
      </c>
      <c r="G2085" s="8" t="s">
        <v>2217</v>
      </c>
      <c r="H2085" s="8">
        <v>3</v>
      </c>
      <c r="I2085" s="8">
        <v>3</v>
      </c>
      <c r="J2085" s="8">
        <v>0</v>
      </c>
      <c r="K2085" s="9">
        <v>45246</v>
      </c>
      <c r="L2085" s="8" t="s">
        <v>2222</v>
      </c>
      <c r="M2085" s="8" t="s">
        <v>43</v>
      </c>
      <c r="P2085" s="16" t="s">
        <v>1812</v>
      </c>
      <c r="Q2085" s="2" t="s">
        <v>16</v>
      </c>
    </row>
    <row r="2086" spans="1:17" ht="75">
      <c r="A2086" s="8" t="s">
        <v>4211</v>
      </c>
      <c r="B2086" s="8" t="s">
        <v>2102</v>
      </c>
      <c r="C2086" s="8" t="s">
        <v>2221</v>
      </c>
      <c r="D2086" s="8" t="s">
        <v>18</v>
      </c>
      <c r="E2086" s="8" t="s">
        <v>2217</v>
      </c>
      <c r="F2086" s="8" t="s">
        <v>2217</v>
      </c>
      <c r="G2086" s="8" t="s">
        <v>2217</v>
      </c>
      <c r="H2086" s="8">
        <v>1</v>
      </c>
      <c r="I2086" s="8">
        <v>1</v>
      </c>
      <c r="J2086" s="8">
        <v>0</v>
      </c>
      <c r="K2086" s="9">
        <v>44853</v>
      </c>
      <c r="L2086" s="8" t="s">
        <v>2222</v>
      </c>
      <c r="M2086" s="8" t="s">
        <v>43</v>
      </c>
      <c r="P2086" s="16" t="s">
        <v>1812</v>
      </c>
      <c r="Q2086" s="2" t="s">
        <v>16</v>
      </c>
    </row>
    <row r="2087" spans="1:17" ht="48.75">
      <c r="A2087" s="8" t="s">
        <v>4212</v>
      </c>
      <c r="B2087" s="8" t="s">
        <v>2103</v>
      </c>
      <c r="C2087" s="8" t="s">
        <v>2203</v>
      </c>
      <c r="D2087" s="8" t="s">
        <v>18</v>
      </c>
      <c r="E2087" s="8" t="s">
        <v>2217</v>
      </c>
      <c r="F2087" s="8" t="s">
        <v>2217</v>
      </c>
      <c r="G2087" s="8" t="s">
        <v>2217</v>
      </c>
      <c r="H2087" s="8">
        <v>400</v>
      </c>
      <c r="I2087" s="8">
        <v>100</v>
      </c>
      <c r="J2087" s="8">
        <v>1</v>
      </c>
      <c r="K2087" s="9">
        <v>45422</v>
      </c>
      <c r="L2087" s="9">
        <v>46388</v>
      </c>
      <c r="M2087" s="8" t="s">
        <v>151</v>
      </c>
      <c r="P2087" s="16" t="s">
        <v>1812</v>
      </c>
      <c r="Q2087" s="2" t="s">
        <v>16</v>
      </c>
    </row>
    <row r="2088" spans="1:17" ht="48.75">
      <c r="A2088" s="8" t="s">
        <v>4212</v>
      </c>
      <c r="B2088" s="8" t="s">
        <v>2103</v>
      </c>
      <c r="C2088" s="8" t="s">
        <v>2203</v>
      </c>
      <c r="D2088" s="8" t="s">
        <v>18</v>
      </c>
      <c r="E2088" s="8" t="s">
        <v>2217</v>
      </c>
      <c r="F2088" s="8" t="s">
        <v>2217</v>
      </c>
      <c r="G2088" s="8" t="s">
        <v>2217</v>
      </c>
      <c r="H2088" s="8">
        <v>400</v>
      </c>
      <c r="I2088" s="8">
        <v>300</v>
      </c>
      <c r="J2088" s="8">
        <v>0</v>
      </c>
      <c r="K2088" s="9">
        <v>45342</v>
      </c>
      <c r="L2088" s="9">
        <v>46388</v>
      </c>
      <c r="M2088" s="8" t="s">
        <v>151</v>
      </c>
      <c r="P2088" s="16" t="s">
        <v>1813</v>
      </c>
      <c r="Q2088" s="2" t="s">
        <v>16</v>
      </c>
    </row>
    <row r="2089" spans="1:17" ht="48.75">
      <c r="A2089" s="8" t="s">
        <v>4213</v>
      </c>
      <c r="B2089" s="8" t="s">
        <v>2104</v>
      </c>
      <c r="C2089" s="8" t="s">
        <v>2221</v>
      </c>
      <c r="D2089" s="8" t="s">
        <v>18</v>
      </c>
      <c r="E2089" s="8" t="s">
        <v>43</v>
      </c>
      <c r="F2089" s="8" t="s">
        <v>2217</v>
      </c>
      <c r="G2089" s="8" t="s">
        <v>2217</v>
      </c>
      <c r="H2089" s="8">
        <v>6</v>
      </c>
      <c r="I2089" s="8">
        <v>6</v>
      </c>
      <c r="J2089" s="8">
        <v>0</v>
      </c>
      <c r="K2089" s="9">
        <v>44758</v>
      </c>
      <c r="L2089" s="8" t="s">
        <v>2222</v>
      </c>
      <c r="M2089" s="8" t="s">
        <v>43</v>
      </c>
      <c r="P2089" s="16" t="s">
        <v>1813</v>
      </c>
      <c r="Q2089" s="2" t="s">
        <v>16</v>
      </c>
    </row>
    <row r="2090" spans="1:17" ht="60">
      <c r="A2090" s="8" t="s">
        <v>4214</v>
      </c>
      <c r="B2090" s="8" t="s">
        <v>2105</v>
      </c>
      <c r="C2090" s="8" t="s">
        <v>2197</v>
      </c>
      <c r="D2090" s="8" t="s">
        <v>852</v>
      </c>
      <c r="E2090" s="8" t="s">
        <v>2217</v>
      </c>
      <c r="F2090" s="8" t="s">
        <v>2217</v>
      </c>
      <c r="G2090" s="8" t="s">
        <v>2217</v>
      </c>
      <c r="H2090" s="8">
        <v>250</v>
      </c>
      <c r="I2090" s="8">
        <v>250</v>
      </c>
      <c r="J2090" s="8">
        <v>20240318011</v>
      </c>
      <c r="K2090" s="9">
        <v>45457</v>
      </c>
      <c r="L2090" s="9">
        <v>46082</v>
      </c>
      <c r="M2090" s="8" t="s">
        <v>16</v>
      </c>
      <c r="P2090" s="16" t="s">
        <v>1814</v>
      </c>
      <c r="Q2090" s="2" t="s">
        <v>16</v>
      </c>
    </row>
    <row r="2091" spans="1:17" ht="60">
      <c r="A2091" s="8" t="s">
        <v>4215</v>
      </c>
      <c r="B2091" s="8" t="s">
        <v>2106</v>
      </c>
      <c r="C2091" s="8" t="s">
        <v>2197</v>
      </c>
      <c r="D2091" s="8" t="s">
        <v>852</v>
      </c>
      <c r="E2091" s="8" t="s">
        <v>2217</v>
      </c>
      <c r="F2091" s="8" t="s">
        <v>2217</v>
      </c>
      <c r="G2091" s="8" t="s">
        <v>2217</v>
      </c>
      <c r="H2091" s="8">
        <v>500</v>
      </c>
      <c r="I2091" s="8">
        <v>500</v>
      </c>
      <c r="J2091" s="8">
        <v>20240318011</v>
      </c>
      <c r="K2091" s="9">
        <v>45457</v>
      </c>
      <c r="L2091" s="9">
        <v>46082</v>
      </c>
      <c r="M2091" s="8" t="s">
        <v>16</v>
      </c>
      <c r="P2091" s="16" t="s">
        <v>1814</v>
      </c>
      <c r="Q2091" s="2" t="s">
        <v>16</v>
      </c>
    </row>
    <row r="2092" spans="1:17" ht="60">
      <c r="A2092" s="8" t="s">
        <v>4216</v>
      </c>
      <c r="B2092" s="8" t="s">
        <v>2107</v>
      </c>
      <c r="C2092" s="8" t="s">
        <v>2197</v>
      </c>
      <c r="D2092" s="8" t="s">
        <v>18</v>
      </c>
      <c r="E2092" s="8" t="s">
        <v>16</v>
      </c>
      <c r="F2092" s="8" t="s">
        <v>2198</v>
      </c>
      <c r="G2092" s="8" t="s">
        <v>4217</v>
      </c>
      <c r="H2092" s="8">
        <v>2466</v>
      </c>
      <c r="I2092" s="8">
        <v>2466</v>
      </c>
      <c r="J2092" s="8">
        <v>20231218011</v>
      </c>
      <c r="K2092" s="9">
        <v>45328</v>
      </c>
      <c r="L2092" s="9">
        <v>46357</v>
      </c>
      <c r="M2092" s="8" t="s">
        <v>16</v>
      </c>
      <c r="P2092" s="16" t="s">
        <v>1814</v>
      </c>
      <c r="Q2092" s="2" t="s">
        <v>16</v>
      </c>
    </row>
    <row r="2093" spans="1:17" ht="75">
      <c r="A2093" s="8" t="s">
        <v>4218</v>
      </c>
      <c r="B2093" s="8" t="s">
        <v>2108</v>
      </c>
      <c r="C2093" s="8" t="s">
        <v>2197</v>
      </c>
      <c r="D2093" s="8" t="s">
        <v>18</v>
      </c>
      <c r="E2093" s="8" t="s">
        <v>2217</v>
      </c>
      <c r="F2093" s="8" t="s">
        <v>2217</v>
      </c>
      <c r="G2093" s="8" t="s">
        <v>2217</v>
      </c>
      <c r="H2093" s="8">
        <v>80</v>
      </c>
      <c r="I2093" s="8">
        <v>80</v>
      </c>
      <c r="J2093" s="8">
        <v>20230620011</v>
      </c>
      <c r="K2093" s="9">
        <v>45415</v>
      </c>
      <c r="L2093" s="9">
        <v>46174</v>
      </c>
      <c r="M2093" s="8" t="s">
        <v>38</v>
      </c>
      <c r="P2093" s="17" t="s">
        <v>1815</v>
      </c>
      <c r="Q2093" s="2" t="s">
        <v>16</v>
      </c>
    </row>
    <row r="2094" spans="1:17" ht="45">
      <c r="A2094" s="8" t="s">
        <v>4219</v>
      </c>
      <c r="B2094" s="8" t="s">
        <v>2109</v>
      </c>
      <c r="C2094" s="8" t="s">
        <v>2197</v>
      </c>
      <c r="D2094" s="8" t="s">
        <v>18</v>
      </c>
      <c r="E2094" s="8" t="s">
        <v>16</v>
      </c>
      <c r="F2094" s="8" t="s">
        <v>2198</v>
      </c>
      <c r="G2094" s="8" t="s">
        <v>4217</v>
      </c>
      <c r="H2094" s="8">
        <v>308</v>
      </c>
      <c r="I2094" s="8">
        <v>308</v>
      </c>
      <c r="J2094" s="8">
        <v>20231012011</v>
      </c>
      <c r="K2094" s="9">
        <v>45262</v>
      </c>
      <c r="L2094" s="9">
        <v>46296</v>
      </c>
      <c r="M2094" s="8" t="s">
        <v>16</v>
      </c>
      <c r="P2094" s="17" t="s">
        <v>1815</v>
      </c>
      <c r="Q2094" s="2" t="s">
        <v>16</v>
      </c>
    </row>
    <row r="2095" spans="1:17" ht="45">
      <c r="A2095" s="8" t="s">
        <v>4220</v>
      </c>
      <c r="B2095" s="8" t="s">
        <v>2110</v>
      </c>
      <c r="C2095" s="8" t="s">
        <v>2197</v>
      </c>
      <c r="D2095" s="8" t="s">
        <v>18</v>
      </c>
      <c r="E2095" s="8" t="s">
        <v>16</v>
      </c>
      <c r="F2095" s="8" t="s">
        <v>2198</v>
      </c>
      <c r="G2095" s="8" t="s">
        <v>4217</v>
      </c>
      <c r="H2095" s="8">
        <v>932</v>
      </c>
      <c r="I2095" s="8">
        <v>932</v>
      </c>
      <c r="J2095" s="8">
        <v>20231218011</v>
      </c>
      <c r="K2095" s="9">
        <v>45325</v>
      </c>
      <c r="L2095" s="9">
        <v>46357</v>
      </c>
      <c r="M2095" s="8" t="s">
        <v>16</v>
      </c>
      <c r="P2095" s="17" t="s">
        <v>1816</v>
      </c>
      <c r="Q2095" s="2" t="s">
        <v>16</v>
      </c>
    </row>
    <row r="2096" spans="1:17" ht="60">
      <c r="A2096" s="8" t="s">
        <v>4221</v>
      </c>
      <c r="B2096" s="8" t="s">
        <v>2111</v>
      </c>
      <c r="C2096" s="8" t="s">
        <v>2197</v>
      </c>
      <c r="D2096" s="8" t="s">
        <v>18</v>
      </c>
      <c r="E2096" s="8" t="s">
        <v>16</v>
      </c>
      <c r="F2096" s="8" t="s">
        <v>2198</v>
      </c>
      <c r="G2096" s="8" t="s">
        <v>4222</v>
      </c>
      <c r="H2096" s="8">
        <v>2853</v>
      </c>
      <c r="I2096" s="8">
        <v>853</v>
      </c>
      <c r="J2096" s="8">
        <v>204003</v>
      </c>
      <c r="K2096" s="9">
        <v>45019</v>
      </c>
      <c r="L2096" s="9">
        <v>46631</v>
      </c>
      <c r="M2096" s="8" t="s">
        <v>16</v>
      </c>
      <c r="P2096" s="17" t="s">
        <v>1817</v>
      </c>
      <c r="Q2096" s="2" t="s">
        <v>16</v>
      </c>
    </row>
    <row r="2097" spans="1:17" ht="60">
      <c r="A2097" s="8" t="s">
        <v>4221</v>
      </c>
      <c r="B2097" s="8" t="s">
        <v>2111</v>
      </c>
      <c r="C2097" s="8" t="s">
        <v>2197</v>
      </c>
      <c r="D2097" s="8" t="s">
        <v>18</v>
      </c>
      <c r="E2097" s="8" t="s">
        <v>16</v>
      </c>
      <c r="F2097" s="8" t="s">
        <v>2198</v>
      </c>
      <c r="G2097" s="8" t="s">
        <v>4222</v>
      </c>
      <c r="H2097" s="8">
        <v>2853</v>
      </c>
      <c r="I2097" s="8">
        <v>2000</v>
      </c>
      <c r="J2097" s="8">
        <v>204006</v>
      </c>
      <c r="K2097" s="9">
        <v>45310</v>
      </c>
      <c r="L2097" s="9">
        <v>46935</v>
      </c>
      <c r="M2097" s="8" t="s">
        <v>16</v>
      </c>
      <c r="P2097" s="17" t="s">
        <v>1817</v>
      </c>
      <c r="Q2097" s="2" t="s">
        <v>16</v>
      </c>
    </row>
    <row r="2098" spans="1:17" ht="60">
      <c r="A2098" s="8" t="s">
        <v>4223</v>
      </c>
      <c r="B2098" s="8" t="s">
        <v>2112</v>
      </c>
      <c r="C2098" s="8" t="s">
        <v>2197</v>
      </c>
      <c r="D2098" s="8" t="s">
        <v>18</v>
      </c>
      <c r="E2098" s="8" t="s">
        <v>16</v>
      </c>
      <c r="F2098" s="8" t="s">
        <v>2198</v>
      </c>
      <c r="G2098" s="8" t="s">
        <v>4222</v>
      </c>
      <c r="H2098" s="8">
        <v>930</v>
      </c>
      <c r="I2098" s="8">
        <v>30</v>
      </c>
      <c r="J2098" s="8">
        <v>204001</v>
      </c>
      <c r="K2098" s="9">
        <v>45022</v>
      </c>
      <c r="L2098" s="9">
        <v>46388</v>
      </c>
      <c r="M2098" s="8" t="s">
        <v>16</v>
      </c>
      <c r="P2098" s="16" t="s">
        <v>1819</v>
      </c>
      <c r="Q2098" s="2" t="s">
        <v>43</v>
      </c>
    </row>
    <row r="2099" spans="1:17" ht="60">
      <c r="A2099" s="8" t="s">
        <v>4223</v>
      </c>
      <c r="B2099" s="8" t="s">
        <v>2112</v>
      </c>
      <c r="C2099" s="8" t="s">
        <v>2197</v>
      </c>
      <c r="D2099" s="8" t="s">
        <v>18</v>
      </c>
      <c r="E2099" s="8" t="s">
        <v>16</v>
      </c>
      <c r="F2099" s="8" t="s">
        <v>2198</v>
      </c>
      <c r="G2099" s="8" t="s">
        <v>4222</v>
      </c>
      <c r="H2099" s="8">
        <v>930</v>
      </c>
      <c r="I2099" s="8">
        <v>900</v>
      </c>
      <c r="J2099" s="8">
        <v>204005</v>
      </c>
      <c r="K2099" s="9">
        <v>45194</v>
      </c>
      <c r="L2099" s="9">
        <v>46905</v>
      </c>
      <c r="M2099" s="8" t="s">
        <v>16</v>
      </c>
      <c r="P2099" s="17" t="s">
        <v>1820</v>
      </c>
      <c r="Q2099" s="2" t="s">
        <v>41</v>
      </c>
    </row>
    <row r="2100" spans="1:17" ht="60">
      <c r="A2100" s="8" t="s">
        <v>4224</v>
      </c>
      <c r="B2100" s="8" t="s">
        <v>2113</v>
      </c>
      <c r="C2100" s="8" t="s">
        <v>2197</v>
      </c>
      <c r="D2100" s="8" t="s">
        <v>18</v>
      </c>
      <c r="E2100" s="8" t="s">
        <v>16</v>
      </c>
      <c r="F2100" s="8" t="s">
        <v>2198</v>
      </c>
      <c r="G2100" s="8" t="s">
        <v>4222</v>
      </c>
      <c r="H2100" s="8">
        <v>3350</v>
      </c>
      <c r="I2100" s="8">
        <v>350</v>
      </c>
      <c r="J2100" s="8">
        <v>204002</v>
      </c>
      <c r="K2100" s="9">
        <v>45082</v>
      </c>
      <c r="L2100" s="9">
        <v>46569</v>
      </c>
      <c r="M2100" s="8" t="s">
        <v>16</v>
      </c>
      <c r="P2100" s="16" t="s">
        <v>1821</v>
      </c>
      <c r="Q2100" s="2" t="s">
        <v>41</v>
      </c>
    </row>
    <row r="2101" spans="1:17" ht="60">
      <c r="A2101" s="8" t="s">
        <v>4224</v>
      </c>
      <c r="B2101" s="8" t="s">
        <v>2113</v>
      </c>
      <c r="C2101" s="8" t="s">
        <v>2197</v>
      </c>
      <c r="D2101" s="8" t="s">
        <v>18</v>
      </c>
      <c r="E2101" s="8" t="s">
        <v>16</v>
      </c>
      <c r="F2101" s="8" t="s">
        <v>2198</v>
      </c>
      <c r="G2101" s="8" t="s">
        <v>4222</v>
      </c>
      <c r="H2101" s="8">
        <v>3350</v>
      </c>
      <c r="I2101" s="8">
        <v>700</v>
      </c>
      <c r="J2101" s="8">
        <v>200407</v>
      </c>
      <c r="K2101" s="9">
        <v>45453</v>
      </c>
      <c r="L2101" s="9">
        <v>47239</v>
      </c>
      <c r="M2101" s="8" t="s">
        <v>16</v>
      </c>
      <c r="P2101" s="16" t="s">
        <v>1822</v>
      </c>
      <c r="Q2101" s="2" t="s">
        <v>43</v>
      </c>
    </row>
    <row r="2102" spans="1:17" ht="60">
      <c r="A2102" s="8" t="s">
        <v>4224</v>
      </c>
      <c r="B2102" s="8" t="s">
        <v>2113</v>
      </c>
      <c r="C2102" s="8" t="s">
        <v>2197</v>
      </c>
      <c r="D2102" s="8" t="s">
        <v>18</v>
      </c>
      <c r="E2102" s="8" t="s">
        <v>16</v>
      </c>
      <c r="F2102" s="8" t="s">
        <v>2198</v>
      </c>
      <c r="G2102" s="8" t="s">
        <v>4222</v>
      </c>
      <c r="H2102" s="8">
        <v>3350</v>
      </c>
      <c r="I2102" s="8">
        <v>2300</v>
      </c>
      <c r="J2102" s="8">
        <v>204006</v>
      </c>
      <c r="K2102" s="9">
        <v>45194</v>
      </c>
      <c r="L2102" s="9">
        <v>46935</v>
      </c>
      <c r="M2102" s="8" t="s">
        <v>16</v>
      </c>
      <c r="P2102" s="16" t="s">
        <v>1823</v>
      </c>
      <c r="Q2102" s="2" t="s">
        <v>43</v>
      </c>
    </row>
    <row r="2103" spans="1:17" ht="45">
      <c r="A2103" s="8" t="s">
        <v>4225</v>
      </c>
      <c r="B2103" s="8" t="s">
        <v>2114</v>
      </c>
      <c r="C2103" s="8" t="s">
        <v>2197</v>
      </c>
      <c r="D2103" s="8" t="s">
        <v>18</v>
      </c>
      <c r="E2103" s="8" t="s">
        <v>2217</v>
      </c>
      <c r="F2103" s="8" t="s">
        <v>2217</v>
      </c>
      <c r="G2103" s="8" t="s">
        <v>2217</v>
      </c>
      <c r="H2103" s="8">
        <v>100</v>
      </c>
      <c r="I2103" s="8">
        <v>100</v>
      </c>
      <c r="J2103" s="8">
        <v>20240215011</v>
      </c>
      <c r="K2103" s="9">
        <v>45457</v>
      </c>
      <c r="L2103" s="9">
        <v>46419</v>
      </c>
      <c r="M2103" s="8" t="s">
        <v>16</v>
      </c>
      <c r="P2103" s="16" t="s">
        <v>1824</v>
      </c>
      <c r="Q2103" s="2" t="s">
        <v>43</v>
      </c>
    </row>
    <row r="2104" spans="1:17" ht="45">
      <c r="A2104" s="8" t="s">
        <v>4226</v>
      </c>
      <c r="B2104" s="8" t="s">
        <v>2115</v>
      </c>
      <c r="C2104" s="8" t="s">
        <v>2197</v>
      </c>
      <c r="D2104" s="8" t="s">
        <v>18</v>
      </c>
      <c r="E2104" s="8" t="s">
        <v>2217</v>
      </c>
      <c r="F2104" s="8" t="s">
        <v>2217</v>
      </c>
      <c r="G2104" s="8" t="s">
        <v>2217</v>
      </c>
      <c r="H2104" s="8">
        <v>480</v>
      </c>
      <c r="I2104" s="8">
        <v>480</v>
      </c>
      <c r="J2104" s="8">
        <v>20240215011</v>
      </c>
      <c r="K2104" s="9">
        <v>45412</v>
      </c>
      <c r="L2104" s="9">
        <v>46419</v>
      </c>
      <c r="M2104" s="8" t="s">
        <v>16</v>
      </c>
      <c r="P2104" s="16" t="s">
        <v>1825</v>
      </c>
      <c r="Q2104" s="2" t="s">
        <v>43</v>
      </c>
    </row>
    <row r="2105" spans="1:17" ht="60">
      <c r="A2105" s="8" t="s">
        <v>4227</v>
      </c>
      <c r="B2105" s="8" t="s">
        <v>2116</v>
      </c>
      <c r="C2105" s="8" t="s">
        <v>2197</v>
      </c>
      <c r="D2105" s="8" t="s">
        <v>18</v>
      </c>
      <c r="E2105" s="8" t="s">
        <v>2217</v>
      </c>
      <c r="F2105" s="8" t="s">
        <v>2217</v>
      </c>
      <c r="G2105" s="8" t="s">
        <v>2217</v>
      </c>
      <c r="H2105" s="8">
        <v>9</v>
      </c>
      <c r="I2105" s="8">
        <v>9</v>
      </c>
      <c r="J2105" s="8">
        <v>2023062011</v>
      </c>
      <c r="K2105" s="9">
        <v>45415</v>
      </c>
      <c r="L2105" s="9">
        <v>46174</v>
      </c>
      <c r="M2105" s="8" t="s">
        <v>38</v>
      </c>
      <c r="P2105" s="16" t="s">
        <v>1826</v>
      </c>
      <c r="Q2105" s="2" t="s">
        <v>43</v>
      </c>
    </row>
    <row r="2106" spans="1:17" ht="36.75">
      <c r="A2106" s="8" t="s">
        <v>4228</v>
      </c>
      <c r="B2106" s="8" t="s">
        <v>2117</v>
      </c>
      <c r="C2106" s="8" t="s">
        <v>2197</v>
      </c>
      <c r="D2106" s="8" t="s">
        <v>18</v>
      </c>
      <c r="E2106" s="8" t="s">
        <v>151</v>
      </c>
      <c r="F2106" s="8" t="s">
        <v>151</v>
      </c>
      <c r="G2106" s="8" t="s">
        <v>4229</v>
      </c>
      <c r="H2106" s="8">
        <v>4959</v>
      </c>
      <c r="I2106" s="8">
        <v>4959</v>
      </c>
      <c r="J2106" s="8">
        <v>0</v>
      </c>
      <c r="K2106" s="9">
        <v>45402</v>
      </c>
      <c r="L2106" s="9">
        <v>45839</v>
      </c>
      <c r="M2106" s="8" t="s">
        <v>16</v>
      </c>
      <c r="P2106" s="16" t="s">
        <v>1826</v>
      </c>
      <c r="Q2106" s="2" t="s">
        <v>43</v>
      </c>
    </row>
    <row r="2107" spans="1:17" ht="60">
      <c r="A2107" s="8" t="s">
        <v>4230</v>
      </c>
      <c r="B2107" s="8" t="s">
        <v>2118</v>
      </c>
      <c r="C2107" s="8" t="s">
        <v>2197</v>
      </c>
      <c r="D2107" s="8" t="s">
        <v>18</v>
      </c>
      <c r="E2107" s="8" t="s">
        <v>16</v>
      </c>
      <c r="F2107" s="8" t="s">
        <v>2198</v>
      </c>
      <c r="G2107" s="8" t="s">
        <v>4231</v>
      </c>
      <c r="H2107" s="8">
        <v>45</v>
      </c>
      <c r="I2107" s="8">
        <v>45</v>
      </c>
      <c r="J2107" s="8" t="s">
        <v>2119</v>
      </c>
      <c r="K2107" s="9">
        <v>45104</v>
      </c>
      <c r="L2107" s="9">
        <v>45689</v>
      </c>
      <c r="M2107" s="8" t="s">
        <v>16</v>
      </c>
      <c r="P2107" s="16" t="s">
        <v>1827</v>
      </c>
      <c r="Q2107" s="2" t="s">
        <v>43</v>
      </c>
    </row>
    <row r="2108" spans="1:17" ht="45">
      <c r="A2108" s="8" t="s">
        <v>4232</v>
      </c>
      <c r="B2108" s="8" t="s">
        <v>2120</v>
      </c>
      <c r="C2108" s="8" t="s">
        <v>2197</v>
      </c>
      <c r="D2108" s="8" t="s">
        <v>18</v>
      </c>
      <c r="E2108" s="8" t="s">
        <v>16</v>
      </c>
      <c r="F2108" s="8" t="s">
        <v>2198</v>
      </c>
      <c r="G2108" s="8" t="s">
        <v>4231</v>
      </c>
      <c r="H2108" s="8">
        <v>215</v>
      </c>
      <c r="I2108" s="8">
        <v>15</v>
      </c>
      <c r="J2108" s="8" t="s">
        <v>2121</v>
      </c>
      <c r="K2108" s="9">
        <v>45412</v>
      </c>
      <c r="L2108" s="9">
        <v>46844</v>
      </c>
      <c r="M2108" s="8" t="s">
        <v>16</v>
      </c>
      <c r="P2108" s="16" t="s">
        <v>1828</v>
      </c>
      <c r="Q2108" s="2" t="s">
        <v>43</v>
      </c>
    </row>
    <row r="2109" spans="1:17" ht="45">
      <c r="A2109" s="8" t="s">
        <v>4232</v>
      </c>
      <c r="B2109" s="8" t="s">
        <v>2120</v>
      </c>
      <c r="C2109" s="8" t="s">
        <v>2197</v>
      </c>
      <c r="D2109" s="8" t="s">
        <v>18</v>
      </c>
      <c r="E2109" s="8" t="s">
        <v>16</v>
      </c>
      <c r="F2109" s="8" t="s">
        <v>2198</v>
      </c>
      <c r="G2109" s="8" t="s">
        <v>4231</v>
      </c>
      <c r="H2109" s="8">
        <v>215</v>
      </c>
      <c r="I2109" s="8">
        <v>200</v>
      </c>
      <c r="J2109" s="8" t="s">
        <v>2122</v>
      </c>
      <c r="K2109" s="9">
        <v>45446</v>
      </c>
      <c r="L2109" s="9">
        <v>46874</v>
      </c>
      <c r="M2109" s="8" t="s">
        <v>16</v>
      </c>
      <c r="P2109" s="16" t="s">
        <v>1829</v>
      </c>
      <c r="Q2109" s="2" t="s">
        <v>43</v>
      </c>
    </row>
    <row r="2110" spans="1:17" ht="45">
      <c r="A2110" s="8" t="s">
        <v>4233</v>
      </c>
      <c r="B2110" s="8" t="s">
        <v>2123</v>
      </c>
      <c r="C2110" s="8" t="s">
        <v>2203</v>
      </c>
      <c r="D2110" s="8" t="s">
        <v>18</v>
      </c>
      <c r="E2110" s="8" t="s">
        <v>16</v>
      </c>
      <c r="F2110" s="8" t="s">
        <v>2228</v>
      </c>
      <c r="G2110" s="8" t="s">
        <v>2217</v>
      </c>
      <c r="H2110" s="8">
        <v>1</v>
      </c>
      <c r="I2110" s="8">
        <v>1</v>
      </c>
      <c r="J2110" s="8">
        <v>0</v>
      </c>
      <c r="K2110" s="9">
        <v>44018</v>
      </c>
      <c r="L2110" s="9">
        <v>40452</v>
      </c>
      <c r="M2110" s="8" t="s">
        <v>38</v>
      </c>
      <c r="P2110" s="16" t="s">
        <v>1830</v>
      </c>
      <c r="Q2110" s="2" t="s">
        <v>43</v>
      </c>
    </row>
    <row r="2111" spans="1:17" ht="45">
      <c r="A2111" s="8" t="s">
        <v>4234</v>
      </c>
      <c r="B2111" s="8" t="s">
        <v>2124</v>
      </c>
      <c r="C2111" s="8" t="s">
        <v>2203</v>
      </c>
      <c r="D2111" s="8" t="s">
        <v>18</v>
      </c>
      <c r="E2111" s="8" t="s">
        <v>16</v>
      </c>
      <c r="F2111" s="8" t="s">
        <v>2204</v>
      </c>
      <c r="G2111" s="8" t="s">
        <v>4235</v>
      </c>
      <c r="H2111" s="8">
        <v>195</v>
      </c>
      <c r="I2111" s="8">
        <v>95</v>
      </c>
      <c r="J2111" s="8" t="s">
        <v>2125</v>
      </c>
      <c r="K2111" s="9">
        <v>45356</v>
      </c>
      <c r="L2111" s="9">
        <v>46054</v>
      </c>
      <c r="M2111" s="8" t="s">
        <v>16</v>
      </c>
      <c r="P2111" s="16" t="s">
        <v>1831</v>
      </c>
      <c r="Q2111" s="2" t="s">
        <v>43</v>
      </c>
    </row>
    <row r="2112" spans="1:17" ht="45">
      <c r="A2112" s="8" t="s">
        <v>4234</v>
      </c>
      <c r="B2112" s="8" t="s">
        <v>2124</v>
      </c>
      <c r="C2112" s="8" t="s">
        <v>2203</v>
      </c>
      <c r="D2112" s="8" t="s">
        <v>18</v>
      </c>
      <c r="E2112" s="8" t="s">
        <v>16</v>
      </c>
      <c r="F2112" s="8" t="s">
        <v>2204</v>
      </c>
      <c r="G2112" s="8" t="s">
        <v>4235</v>
      </c>
      <c r="H2112" s="8">
        <v>195</v>
      </c>
      <c r="I2112" s="8">
        <v>100</v>
      </c>
      <c r="J2112" s="8">
        <v>0</v>
      </c>
      <c r="K2112" s="9">
        <v>45450</v>
      </c>
      <c r="L2112" s="9">
        <v>46054</v>
      </c>
      <c r="M2112" s="8" t="s">
        <v>16</v>
      </c>
      <c r="P2112" s="16" t="s">
        <v>1832</v>
      </c>
      <c r="Q2112" s="2" t="s">
        <v>43</v>
      </c>
    </row>
    <row r="2113" spans="1:17" ht="45">
      <c r="A2113" s="8" t="s">
        <v>4236</v>
      </c>
      <c r="B2113" s="8" t="s">
        <v>2126</v>
      </c>
      <c r="C2113" s="8" t="s">
        <v>2203</v>
      </c>
      <c r="D2113" s="8" t="s">
        <v>18</v>
      </c>
      <c r="E2113" s="8" t="s">
        <v>16</v>
      </c>
      <c r="F2113" s="8" t="s">
        <v>2228</v>
      </c>
      <c r="G2113" s="8" t="s">
        <v>4237</v>
      </c>
      <c r="H2113" s="8">
        <v>866</v>
      </c>
      <c r="I2113" s="8">
        <v>16</v>
      </c>
      <c r="J2113" s="8">
        <v>30810073</v>
      </c>
      <c r="K2113" s="9">
        <v>45162</v>
      </c>
      <c r="L2113" s="9">
        <v>46966</v>
      </c>
      <c r="M2113" s="8" t="s">
        <v>16</v>
      </c>
      <c r="P2113" s="16" t="s">
        <v>1833</v>
      </c>
      <c r="Q2113" s="2" t="s">
        <v>16</v>
      </c>
    </row>
    <row r="2114" spans="1:17" ht="45">
      <c r="A2114" s="8" t="s">
        <v>4236</v>
      </c>
      <c r="B2114" s="8" t="s">
        <v>2126</v>
      </c>
      <c r="C2114" s="8" t="s">
        <v>2203</v>
      </c>
      <c r="D2114" s="8" t="s">
        <v>18</v>
      </c>
      <c r="E2114" s="8" t="s">
        <v>16</v>
      </c>
      <c r="F2114" s="8" t="s">
        <v>2228</v>
      </c>
      <c r="G2114" s="8" t="s">
        <v>4237</v>
      </c>
      <c r="H2114" s="8">
        <v>866</v>
      </c>
      <c r="I2114" s="8">
        <v>30</v>
      </c>
      <c r="J2114" s="8">
        <v>40419021</v>
      </c>
      <c r="K2114" s="9">
        <v>45409</v>
      </c>
      <c r="L2114" s="9">
        <v>47209</v>
      </c>
      <c r="M2114" s="8" t="s">
        <v>16</v>
      </c>
      <c r="P2114" s="16" t="s">
        <v>1834</v>
      </c>
      <c r="Q2114" s="2" t="s">
        <v>16</v>
      </c>
    </row>
    <row r="2115" spans="1:17" ht="45">
      <c r="A2115" s="8" t="s">
        <v>4236</v>
      </c>
      <c r="B2115" s="8" t="s">
        <v>2126</v>
      </c>
      <c r="C2115" s="8" t="s">
        <v>2203</v>
      </c>
      <c r="D2115" s="8" t="s">
        <v>18</v>
      </c>
      <c r="E2115" s="8" t="s">
        <v>16</v>
      </c>
      <c r="F2115" s="8" t="s">
        <v>2228</v>
      </c>
      <c r="G2115" s="8" t="s">
        <v>4237</v>
      </c>
      <c r="H2115" s="8">
        <v>866</v>
      </c>
      <c r="I2115" s="8">
        <v>60</v>
      </c>
      <c r="J2115" s="8">
        <v>30819078</v>
      </c>
      <c r="K2115" s="9">
        <v>45162</v>
      </c>
      <c r="L2115" s="9">
        <v>46966</v>
      </c>
      <c r="M2115" s="8" t="s">
        <v>16</v>
      </c>
      <c r="P2115" s="16" t="s">
        <v>1834</v>
      </c>
      <c r="Q2115" s="2" t="s">
        <v>16</v>
      </c>
    </row>
    <row r="2116" spans="1:17" ht="45">
      <c r="A2116" s="8" t="s">
        <v>4236</v>
      </c>
      <c r="B2116" s="8" t="s">
        <v>2126</v>
      </c>
      <c r="C2116" s="8" t="s">
        <v>2203</v>
      </c>
      <c r="D2116" s="8" t="s">
        <v>18</v>
      </c>
      <c r="E2116" s="8" t="s">
        <v>16</v>
      </c>
      <c r="F2116" s="8" t="s">
        <v>2228</v>
      </c>
      <c r="G2116" s="8" t="s">
        <v>4237</v>
      </c>
      <c r="H2116" s="8">
        <v>866</v>
      </c>
      <c r="I2116" s="8">
        <v>60</v>
      </c>
      <c r="J2116" s="8">
        <v>40521033</v>
      </c>
      <c r="K2116" s="9">
        <v>45456</v>
      </c>
      <c r="L2116" s="9">
        <v>47239</v>
      </c>
      <c r="M2116" s="8" t="s">
        <v>16</v>
      </c>
      <c r="P2116" s="16" t="s">
        <v>1835</v>
      </c>
      <c r="Q2116" s="2" t="s">
        <v>16</v>
      </c>
    </row>
    <row r="2117" spans="1:17" ht="45">
      <c r="A2117" s="8" t="s">
        <v>4236</v>
      </c>
      <c r="B2117" s="8" t="s">
        <v>2126</v>
      </c>
      <c r="C2117" s="8" t="s">
        <v>2203</v>
      </c>
      <c r="D2117" s="8" t="s">
        <v>18</v>
      </c>
      <c r="E2117" s="8" t="s">
        <v>16</v>
      </c>
      <c r="F2117" s="8" t="s">
        <v>2228</v>
      </c>
      <c r="G2117" s="8" t="s">
        <v>4237</v>
      </c>
      <c r="H2117" s="8">
        <v>866</v>
      </c>
      <c r="I2117" s="8">
        <v>60</v>
      </c>
      <c r="J2117" s="8">
        <v>40521035</v>
      </c>
      <c r="K2117" s="9">
        <v>45456</v>
      </c>
      <c r="L2117" s="9">
        <v>47239</v>
      </c>
      <c r="M2117" s="8" t="s">
        <v>16</v>
      </c>
      <c r="P2117" s="16" t="s">
        <v>1835</v>
      </c>
      <c r="Q2117" s="2" t="s">
        <v>16</v>
      </c>
    </row>
    <row r="2118" spans="1:17" ht="45">
      <c r="A2118" s="8" t="s">
        <v>4236</v>
      </c>
      <c r="B2118" s="8" t="s">
        <v>2126</v>
      </c>
      <c r="C2118" s="8" t="s">
        <v>2203</v>
      </c>
      <c r="D2118" s="8" t="s">
        <v>18</v>
      </c>
      <c r="E2118" s="8" t="s">
        <v>16</v>
      </c>
      <c r="F2118" s="8" t="s">
        <v>2228</v>
      </c>
      <c r="G2118" s="8" t="s">
        <v>4237</v>
      </c>
      <c r="H2118" s="8">
        <v>866</v>
      </c>
      <c r="I2118" s="8">
        <v>160</v>
      </c>
      <c r="J2118" s="8">
        <v>40509030</v>
      </c>
      <c r="K2118" s="9">
        <v>45429</v>
      </c>
      <c r="L2118" s="9">
        <v>47239</v>
      </c>
      <c r="M2118" s="8" t="s">
        <v>16</v>
      </c>
      <c r="P2118" s="16" t="s">
        <v>1835</v>
      </c>
      <c r="Q2118" s="2" t="s">
        <v>16</v>
      </c>
    </row>
    <row r="2119" spans="1:17" ht="45">
      <c r="A2119" s="8" t="s">
        <v>4236</v>
      </c>
      <c r="B2119" s="8" t="s">
        <v>2126</v>
      </c>
      <c r="C2119" s="8" t="s">
        <v>2203</v>
      </c>
      <c r="D2119" s="8" t="s">
        <v>18</v>
      </c>
      <c r="E2119" s="8" t="s">
        <v>16</v>
      </c>
      <c r="F2119" s="8" t="s">
        <v>2228</v>
      </c>
      <c r="G2119" s="8" t="s">
        <v>4237</v>
      </c>
      <c r="H2119" s="8">
        <v>866</v>
      </c>
      <c r="I2119" s="8">
        <v>240</v>
      </c>
      <c r="J2119" s="8">
        <v>40314017</v>
      </c>
      <c r="K2119" s="9">
        <v>45409</v>
      </c>
      <c r="L2119" s="9">
        <v>47209</v>
      </c>
      <c r="M2119" s="8" t="s">
        <v>16</v>
      </c>
      <c r="P2119" s="16" t="s">
        <v>1836</v>
      </c>
      <c r="Q2119" s="2" t="s">
        <v>16</v>
      </c>
    </row>
    <row r="2120" spans="1:17" ht="45">
      <c r="A2120" s="8" t="s">
        <v>4236</v>
      </c>
      <c r="B2120" s="8" t="s">
        <v>2126</v>
      </c>
      <c r="C2120" s="8" t="s">
        <v>2203</v>
      </c>
      <c r="D2120" s="8" t="s">
        <v>18</v>
      </c>
      <c r="E2120" s="8" t="s">
        <v>16</v>
      </c>
      <c r="F2120" s="8" t="s">
        <v>2228</v>
      </c>
      <c r="G2120" s="8" t="s">
        <v>4237</v>
      </c>
      <c r="H2120" s="8">
        <v>866</v>
      </c>
      <c r="I2120" s="8">
        <v>240</v>
      </c>
      <c r="J2120" s="8">
        <v>40318018</v>
      </c>
      <c r="K2120" s="9">
        <v>45409</v>
      </c>
      <c r="L2120" s="9">
        <v>47209</v>
      </c>
      <c r="M2120" s="8" t="s">
        <v>16</v>
      </c>
      <c r="P2120" s="16" t="s">
        <v>1838</v>
      </c>
      <c r="Q2120" s="2" t="s">
        <v>312</v>
      </c>
    </row>
    <row r="2121" spans="1:17" ht="45">
      <c r="A2121" s="8" t="s">
        <v>4238</v>
      </c>
      <c r="B2121" s="8" t="s">
        <v>2127</v>
      </c>
      <c r="C2121" s="8" t="s">
        <v>2203</v>
      </c>
      <c r="D2121" s="8" t="s">
        <v>18</v>
      </c>
      <c r="E2121" s="8" t="s">
        <v>16</v>
      </c>
      <c r="F2121" s="8" t="s">
        <v>2228</v>
      </c>
      <c r="G2121" s="8" t="s">
        <v>4237</v>
      </c>
      <c r="H2121" s="8">
        <v>3665</v>
      </c>
      <c r="I2121" s="8">
        <v>1000</v>
      </c>
      <c r="J2121" s="8">
        <v>30314020</v>
      </c>
      <c r="K2121" s="9">
        <v>45005</v>
      </c>
      <c r="L2121" s="9">
        <v>46813</v>
      </c>
      <c r="M2121" s="8" t="s">
        <v>16</v>
      </c>
      <c r="P2121" s="16" t="s">
        <v>1838</v>
      </c>
      <c r="Q2121" s="2" t="s">
        <v>312</v>
      </c>
    </row>
    <row r="2122" spans="1:17" ht="45">
      <c r="A2122" s="8" t="s">
        <v>4238</v>
      </c>
      <c r="B2122" s="8" t="s">
        <v>2127</v>
      </c>
      <c r="C2122" s="8" t="s">
        <v>2203</v>
      </c>
      <c r="D2122" s="8" t="s">
        <v>18</v>
      </c>
      <c r="E2122" s="8" t="s">
        <v>16</v>
      </c>
      <c r="F2122" s="8" t="s">
        <v>2228</v>
      </c>
      <c r="G2122" s="8" t="s">
        <v>4237</v>
      </c>
      <c r="H2122" s="8">
        <v>3665</v>
      </c>
      <c r="I2122" s="8">
        <v>2665</v>
      </c>
      <c r="J2122" s="8">
        <v>30313019</v>
      </c>
      <c r="K2122" s="9">
        <v>45005</v>
      </c>
      <c r="L2122" s="9">
        <v>46813</v>
      </c>
      <c r="M2122" s="8" t="s">
        <v>16</v>
      </c>
      <c r="P2122" s="16" t="s">
        <v>1838</v>
      </c>
      <c r="Q2122" s="2" t="s">
        <v>312</v>
      </c>
    </row>
    <row r="2123" spans="1:17" ht="48.75">
      <c r="A2123" s="8" t="s">
        <v>4239</v>
      </c>
      <c r="B2123" s="8" t="s">
        <v>2128</v>
      </c>
      <c r="C2123" s="8" t="s">
        <v>2203</v>
      </c>
      <c r="D2123" s="8" t="s">
        <v>18</v>
      </c>
      <c r="E2123" s="8" t="s">
        <v>16</v>
      </c>
      <c r="F2123" s="8" t="s">
        <v>2204</v>
      </c>
      <c r="G2123" s="8" t="s">
        <v>4240</v>
      </c>
      <c r="H2123" s="8">
        <v>1300</v>
      </c>
      <c r="I2123" s="8">
        <v>120</v>
      </c>
      <c r="J2123" s="8" t="s">
        <v>2129</v>
      </c>
      <c r="K2123" s="9">
        <v>45275</v>
      </c>
      <c r="L2123" s="9">
        <v>45931</v>
      </c>
      <c r="M2123" s="8" t="s">
        <v>16</v>
      </c>
      <c r="P2123" s="16" t="s">
        <v>1839</v>
      </c>
      <c r="Q2123" s="2" t="s">
        <v>312</v>
      </c>
    </row>
    <row r="2124" spans="1:17" ht="48.75">
      <c r="A2124" s="8" t="s">
        <v>4239</v>
      </c>
      <c r="B2124" s="8" t="s">
        <v>2128</v>
      </c>
      <c r="C2124" s="8" t="s">
        <v>2203</v>
      </c>
      <c r="D2124" s="8" t="s">
        <v>18</v>
      </c>
      <c r="E2124" s="8" t="s">
        <v>16</v>
      </c>
      <c r="F2124" s="8" t="s">
        <v>2204</v>
      </c>
      <c r="G2124" s="8" t="s">
        <v>4240</v>
      </c>
      <c r="H2124" s="8">
        <v>1300</v>
      </c>
      <c r="I2124" s="8">
        <v>140</v>
      </c>
      <c r="J2124" s="8" t="s">
        <v>2130</v>
      </c>
      <c r="K2124" s="9">
        <v>45419</v>
      </c>
      <c r="L2124" s="9">
        <v>46054</v>
      </c>
      <c r="M2124" s="8" t="s">
        <v>16</v>
      </c>
      <c r="P2124" s="16" t="s">
        <v>1839</v>
      </c>
      <c r="Q2124" s="2" t="s">
        <v>312</v>
      </c>
    </row>
    <row r="2125" spans="1:17" ht="48.75">
      <c r="A2125" s="8" t="s">
        <v>4239</v>
      </c>
      <c r="B2125" s="8" t="s">
        <v>2128</v>
      </c>
      <c r="C2125" s="8" t="s">
        <v>2203</v>
      </c>
      <c r="D2125" s="8" t="s">
        <v>18</v>
      </c>
      <c r="E2125" s="8" t="s">
        <v>16</v>
      </c>
      <c r="F2125" s="8" t="s">
        <v>2204</v>
      </c>
      <c r="G2125" s="8" t="s">
        <v>4240</v>
      </c>
      <c r="H2125" s="8">
        <v>1300</v>
      </c>
      <c r="I2125" s="8">
        <v>160</v>
      </c>
      <c r="J2125" s="8" t="s">
        <v>2131</v>
      </c>
      <c r="K2125" s="9">
        <v>45419</v>
      </c>
      <c r="L2125" s="9">
        <v>46054</v>
      </c>
      <c r="M2125" s="8" t="s">
        <v>16</v>
      </c>
      <c r="P2125" s="16" t="s">
        <v>1839</v>
      </c>
      <c r="Q2125" s="2" t="s">
        <v>312</v>
      </c>
    </row>
    <row r="2126" spans="1:17" ht="48.75">
      <c r="A2126" s="8" t="s">
        <v>4239</v>
      </c>
      <c r="B2126" s="8" t="s">
        <v>2128</v>
      </c>
      <c r="C2126" s="8" t="s">
        <v>2203</v>
      </c>
      <c r="D2126" s="8" t="s">
        <v>18</v>
      </c>
      <c r="E2126" s="8" t="s">
        <v>16</v>
      </c>
      <c r="F2126" s="8" t="s">
        <v>2204</v>
      </c>
      <c r="G2126" s="8" t="s">
        <v>4240</v>
      </c>
      <c r="H2126" s="8">
        <v>1300</v>
      </c>
      <c r="I2126" s="8">
        <v>400</v>
      </c>
      <c r="J2126" s="8" t="s">
        <v>2132</v>
      </c>
      <c r="K2126" s="9">
        <v>45234</v>
      </c>
      <c r="L2126" s="9">
        <v>45931</v>
      </c>
      <c r="M2126" s="8" t="s">
        <v>16</v>
      </c>
      <c r="P2126" s="16" t="s">
        <v>1839</v>
      </c>
      <c r="Q2126" s="2" t="s">
        <v>312</v>
      </c>
    </row>
    <row r="2127" spans="1:17" ht="48.75">
      <c r="A2127" s="8" t="s">
        <v>4239</v>
      </c>
      <c r="B2127" s="8" t="s">
        <v>2128</v>
      </c>
      <c r="C2127" s="8" t="s">
        <v>2203</v>
      </c>
      <c r="D2127" s="8" t="s">
        <v>18</v>
      </c>
      <c r="E2127" s="8" t="s">
        <v>16</v>
      </c>
      <c r="F2127" s="8" t="s">
        <v>2204</v>
      </c>
      <c r="G2127" s="8" t="s">
        <v>4240</v>
      </c>
      <c r="H2127" s="8">
        <v>1300</v>
      </c>
      <c r="I2127" s="8">
        <v>480</v>
      </c>
      <c r="J2127" s="8" t="s">
        <v>2133</v>
      </c>
      <c r="K2127" s="9">
        <v>45293</v>
      </c>
      <c r="L2127" s="9">
        <v>45992</v>
      </c>
      <c r="M2127" s="8" t="s">
        <v>16</v>
      </c>
      <c r="P2127" s="16" t="s">
        <v>1839</v>
      </c>
      <c r="Q2127" s="2" t="s">
        <v>312</v>
      </c>
    </row>
    <row r="2128" spans="1:17" ht="48.75">
      <c r="A2128" s="8" t="s">
        <v>4241</v>
      </c>
      <c r="B2128" s="8" t="s">
        <v>2134</v>
      </c>
      <c r="C2128" s="8" t="s">
        <v>2203</v>
      </c>
      <c r="D2128" s="8" t="s">
        <v>18</v>
      </c>
      <c r="E2128" s="8" t="s">
        <v>16</v>
      </c>
      <c r="F2128" s="8" t="s">
        <v>2204</v>
      </c>
      <c r="G2128" s="8" t="s">
        <v>4242</v>
      </c>
      <c r="H2128" s="8">
        <v>512</v>
      </c>
      <c r="I2128" s="8">
        <v>512</v>
      </c>
      <c r="J2128" s="8" t="s">
        <v>2135</v>
      </c>
      <c r="K2128" s="9">
        <v>45275</v>
      </c>
      <c r="L2128" s="9">
        <v>45992</v>
      </c>
      <c r="M2128" s="8" t="s">
        <v>16</v>
      </c>
      <c r="P2128" s="16" t="s">
        <v>1840</v>
      </c>
      <c r="Q2128" s="2" t="s">
        <v>312</v>
      </c>
    </row>
    <row r="2129" spans="1:17" ht="60">
      <c r="A2129" s="8" t="s">
        <v>4243</v>
      </c>
      <c r="B2129" s="8" t="s">
        <v>2136</v>
      </c>
      <c r="C2129" s="8" t="s">
        <v>2197</v>
      </c>
      <c r="D2129" s="8" t="s">
        <v>18</v>
      </c>
      <c r="E2129" s="8" t="s">
        <v>16</v>
      </c>
      <c r="F2129" s="8" t="s">
        <v>2198</v>
      </c>
      <c r="G2129" s="8" t="s">
        <v>4244</v>
      </c>
      <c r="H2129" s="8">
        <v>35365</v>
      </c>
      <c r="I2129" s="8">
        <v>5</v>
      </c>
      <c r="J2129" s="8" t="s">
        <v>2137</v>
      </c>
      <c r="K2129" s="9">
        <v>45020</v>
      </c>
      <c r="L2129" s="9">
        <v>45809</v>
      </c>
      <c r="M2129" s="8" t="s">
        <v>16</v>
      </c>
      <c r="P2129" s="16" t="s">
        <v>1841</v>
      </c>
      <c r="Q2129" s="2" t="s">
        <v>16</v>
      </c>
    </row>
    <row r="2130" spans="1:17" ht="60">
      <c r="A2130" s="8" t="s">
        <v>4243</v>
      </c>
      <c r="B2130" s="8" t="s">
        <v>2136</v>
      </c>
      <c r="C2130" s="8" t="s">
        <v>2197</v>
      </c>
      <c r="D2130" s="8" t="s">
        <v>18</v>
      </c>
      <c r="E2130" s="8" t="s">
        <v>16</v>
      </c>
      <c r="F2130" s="8" t="s">
        <v>2198</v>
      </c>
      <c r="G2130" s="8" t="s">
        <v>4244</v>
      </c>
      <c r="H2130" s="8">
        <v>35365</v>
      </c>
      <c r="I2130" s="8">
        <v>160</v>
      </c>
      <c r="J2130" s="8" t="s">
        <v>2138</v>
      </c>
      <c r="K2130" s="9">
        <v>45299</v>
      </c>
      <c r="L2130" s="9">
        <v>46143</v>
      </c>
      <c r="M2130" s="8" t="s">
        <v>16</v>
      </c>
      <c r="P2130" s="16" t="s">
        <v>1841</v>
      </c>
      <c r="Q2130" s="2" t="s">
        <v>16</v>
      </c>
    </row>
    <row r="2131" spans="1:17" ht="60">
      <c r="A2131" s="8" t="s">
        <v>4243</v>
      </c>
      <c r="B2131" s="8" t="s">
        <v>2136</v>
      </c>
      <c r="C2131" s="8" t="s">
        <v>2197</v>
      </c>
      <c r="D2131" s="8" t="s">
        <v>18</v>
      </c>
      <c r="E2131" s="8" t="s">
        <v>16</v>
      </c>
      <c r="F2131" s="8" t="s">
        <v>2198</v>
      </c>
      <c r="G2131" s="8" t="s">
        <v>4244</v>
      </c>
      <c r="H2131" s="8">
        <v>35365</v>
      </c>
      <c r="I2131" s="8">
        <v>15200</v>
      </c>
      <c r="J2131" s="8" t="s">
        <v>2139</v>
      </c>
      <c r="K2131" s="9">
        <v>45311</v>
      </c>
      <c r="L2131" s="9">
        <v>46143</v>
      </c>
      <c r="M2131" s="8" t="s">
        <v>16</v>
      </c>
      <c r="P2131" s="16" t="s">
        <v>1841</v>
      </c>
      <c r="Q2131" s="2" t="s">
        <v>16</v>
      </c>
    </row>
    <row r="2132" spans="1:17" ht="60">
      <c r="A2132" s="8" t="s">
        <v>4243</v>
      </c>
      <c r="B2132" s="8" t="s">
        <v>2136</v>
      </c>
      <c r="C2132" s="8" t="s">
        <v>2197</v>
      </c>
      <c r="D2132" s="8" t="s">
        <v>18</v>
      </c>
      <c r="E2132" s="8" t="s">
        <v>16</v>
      </c>
      <c r="F2132" s="8" t="s">
        <v>2198</v>
      </c>
      <c r="G2132" s="8" t="s">
        <v>4244</v>
      </c>
      <c r="H2132" s="8">
        <v>35365</v>
      </c>
      <c r="I2132" s="8">
        <v>20000</v>
      </c>
      <c r="J2132" s="8" t="s">
        <v>2140</v>
      </c>
      <c r="K2132" s="9">
        <v>45419</v>
      </c>
      <c r="L2132" s="9">
        <v>46143</v>
      </c>
      <c r="M2132" s="8" t="s">
        <v>16</v>
      </c>
      <c r="P2132" s="16" t="s">
        <v>1841</v>
      </c>
      <c r="Q2132" s="2" t="s">
        <v>16</v>
      </c>
    </row>
    <row r="2133" spans="1:17" ht="60">
      <c r="A2133" s="8" t="s">
        <v>4245</v>
      </c>
      <c r="B2133" s="8" t="s">
        <v>2141</v>
      </c>
      <c r="C2133" s="8" t="s">
        <v>2197</v>
      </c>
      <c r="D2133" s="8" t="s">
        <v>18</v>
      </c>
      <c r="E2133" s="8" t="s">
        <v>16</v>
      </c>
      <c r="F2133" s="8" t="s">
        <v>2198</v>
      </c>
      <c r="G2133" s="8" t="s">
        <v>2217</v>
      </c>
      <c r="H2133" s="8">
        <v>1</v>
      </c>
      <c r="I2133" s="8">
        <v>1</v>
      </c>
      <c r="J2133" s="8" t="s">
        <v>2142</v>
      </c>
      <c r="K2133" s="9">
        <v>45412</v>
      </c>
      <c r="L2133" s="9">
        <v>46143</v>
      </c>
      <c r="M2133" s="8" t="s">
        <v>16</v>
      </c>
      <c r="P2133" s="16" t="s">
        <v>1841</v>
      </c>
      <c r="Q2133" s="2" t="s">
        <v>16</v>
      </c>
    </row>
    <row r="2134" spans="1:17" ht="60">
      <c r="A2134" s="8" t="s">
        <v>4246</v>
      </c>
      <c r="B2134" s="8" t="s">
        <v>2141</v>
      </c>
      <c r="C2134" s="8" t="s">
        <v>2197</v>
      </c>
      <c r="D2134" s="8" t="s">
        <v>18</v>
      </c>
      <c r="E2134" s="8" t="s">
        <v>16</v>
      </c>
      <c r="F2134" s="8" t="s">
        <v>2198</v>
      </c>
      <c r="G2134" s="8" t="s">
        <v>4244</v>
      </c>
      <c r="H2134" s="8">
        <v>27947</v>
      </c>
      <c r="I2134" s="8">
        <v>95</v>
      </c>
      <c r="J2134" s="8" t="s">
        <v>2143</v>
      </c>
      <c r="K2134" s="9">
        <v>45110</v>
      </c>
      <c r="L2134" s="9">
        <v>46082</v>
      </c>
      <c r="M2134" s="8" t="s">
        <v>16</v>
      </c>
      <c r="P2134" s="16" t="s">
        <v>1841</v>
      </c>
      <c r="Q2134" s="2" t="s">
        <v>16</v>
      </c>
    </row>
    <row r="2135" spans="1:17" ht="60">
      <c r="A2135" s="8" t="s">
        <v>4246</v>
      </c>
      <c r="B2135" s="8" t="s">
        <v>2141</v>
      </c>
      <c r="C2135" s="8" t="s">
        <v>2197</v>
      </c>
      <c r="D2135" s="8" t="s">
        <v>18</v>
      </c>
      <c r="E2135" s="8" t="s">
        <v>16</v>
      </c>
      <c r="F2135" s="8" t="s">
        <v>2198</v>
      </c>
      <c r="G2135" s="8" t="s">
        <v>4244</v>
      </c>
      <c r="H2135" s="8">
        <v>27947</v>
      </c>
      <c r="I2135" s="8">
        <v>2500</v>
      </c>
      <c r="J2135" s="8" t="s">
        <v>2144</v>
      </c>
      <c r="K2135" s="9">
        <v>45299</v>
      </c>
      <c r="L2135" s="9">
        <v>46143</v>
      </c>
      <c r="M2135" s="8" t="s">
        <v>16</v>
      </c>
      <c r="P2135" s="16" t="s">
        <v>1841</v>
      </c>
      <c r="Q2135" s="2" t="s">
        <v>16</v>
      </c>
    </row>
    <row r="2136" spans="1:17" ht="60">
      <c r="A2136" s="8" t="s">
        <v>4246</v>
      </c>
      <c r="B2136" s="8" t="s">
        <v>2141</v>
      </c>
      <c r="C2136" s="8" t="s">
        <v>2197</v>
      </c>
      <c r="D2136" s="8" t="s">
        <v>18</v>
      </c>
      <c r="E2136" s="8" t="s">
        <v>16</v>
      </c>
      <c r="F2136" s="8" t="s">
        <v>2198</v>
      </c>
      <c r="G2136" s="8" t="s">
        <v>4244</v>
      </c>
      <c r="H2136" s="8">
        <v>27947</v>
      </c>
      <c r="I2136" s="8">
        <v>2900</v>
      </c>
      <c r="J2136" s="8" t="s">
        <v>2145</v>
      </c>
      <c r="K2136" s="9">
        <v>45266</v>
      </c>
      <c r="L2136" s="9">
        <v>46143</v>
      </c>
      <c r="M2136" s="8" t="s">
        <v>16</v>
      </c>
      <c r="P2136" s="16" t="s">
        <v>1841</v>
      </c>
      <c r="Q2136" s="2" t="s">
        <v>16</v>
      </c>
    </row>
    <row r="2137" spans="1:17" ht="60">
      <c r="A2137" s="8" t="s">
        <v>4246</v>
      </c>
      <c r="B2137" s="8" t="s">
        <v>2141</v>
      </c>
      <c r="C2137" s="8" t="s">
        <v>2197</v>
      </c>
      <c r="D2137" s="8" t="s">
        <v>18</v>
      </c>
      <c r="E2137" s="8" t="s">
        <v>16</v>
      </c>
      <c r="F2137" s="8" t="s">
        <v>2198</v>
      </c>
      <c r="G2137" s="8" t="s">
        <v>4244</v>
      </c>
      <c r="H2137" s="8">
        <v>27947</v>
      </c>
      <c r="I2137" s="8">
        <v>7452</v>
      </c>
      <c r="J2137" s="8" t="s">
        <v>2142</v>
      </c>
      <c r="K2137" s="9">
        <v>45356</v>
      </c>
      <c r="L2137" s="9">
        <v>46143</v>
      </c>
      <c r="M2137" s="8" t="s">
        <v>16</v>
      </c>
      <c r="P2137" s="16" t="s">
        <v>1841</v>
      </c>
      <c r="Q2137" s="2" t="s">
        <v>16</v>
      </c>
    </row>
    <row r="2138" spans="1:17" ht="60">
      <c r="A2138" s="8" t="s">
        <v>4246</v>
      </c>
      <c r="B2138" s="8" t="s">
        <v>2141</v>
      </c>
      <c r="C2138" s="8" t="s">
        <v>2197</v>
      </c>
      <c r="D2138" s="8" t="s">
        <v>15</v>
      </c>
      <c r="E2138" s="8" t="s">
        <v>16</v>
      </c>
      <c r="F2138" s="8" t="s">
        <v>2198</v>
      </c>
      <c r="G2138" s="8" t="s">
        <v>4244</v>
      </c>
      <c r="H2138" s="8">
        <v>10000</v>
      </c>
      <c r="I2138" s="8">
        <v>10000</v>
      </c>
      <c r="J2138" s="8" t="s">
        <v>2146</v>
      </c>
      <c r="K2138" s="9">
        <v>45422</v>
      </c>
      <c r="L2138" s="9">
        <v>46143</v>
      </c>
      <c r="M2138" s="8" t="s">
        <v>16</v>
      </c>
      <c r="P2138" s="16" t="s">
        <v>1841</v>
      </c>
      <c r="Q2138" s="2" t="s">
        <v>16</v>
      </c>
    </row>
    <row r="2139" spans="1:17" ht="60">
      <c r="A2139" s="8" t="s">
        <v>4246</v>
      </c>
      <c r="B2139" s="8" t="s">
        <v>2141</v>
      </c>
      <c r="C2139" s="8" t="s">
        <v>2197</v>
      </c>
      <c r="D2139" s="8" t="s">
        <v>18</v>
      </c>
      <c r="E2139" s="8" t="s">
        <v>16</v>
      </c>
      <c r="F2139" s="8" t="s">
        <v>2198</v>
      </c>
      <c r="G2139" s="8" t="s">
        <v>4244</v>
      </c>
      <c r="H2139" s="8">
        <v>27947</v>
      </c>
      <c r="I2139" s="8">
        <v>15000</v>
      </c>
      <c r="J2139" s="8" t="s">
        <v>2147</v>
      </c>
      <c r="K2139" s="9">
        <v>45299</v>
      </c>
      <c r="L2139" s="9">
        <v>46143</v>
      </c>
      <c r="M2139" s="8" t="s">
        <v>16</v>
      </c>
      <c r="P2139" s="16" t="s">
        <v>1841</v>
      </c>
      <c r="Q2139" s="2" t="s">
        <v>16</v>
      </c>
    </row>
    <row r="2140" spans="1:17" ht="45">
      <c r="A2140" s="8" t="s">
        <v>4247</v>
      </c>
      <c r="B2140" s="8" t="s">
        <v>2148</v>
      </c>
      <c r="C2140" s="8" t="s">
        <v>2197</v>
      </c>
      <c r="D2140" s="8" t="s">
        <v>18</v>
      </c>
      <c r="E2140" s="8" t="s">
        <v>16</v>
      </c>
      <c r="F2140" s="8" t="s">
        <v>2198</v>
      </c>
      <c r="G2140" s="8" t="s">
        <v>4244</v>
      </c>
      <c r="H2140" s="8">
        <v>14277</v>
      </c>
      <c r="I2140" s="8">
        <v>527</v>
      </c>
      <c r="J2140" s="8" t="s">
        <v>2149</v>
      </c>
      <c r="K2140" s="9">
        <v>45299</v>
      </c>
      <c r="L2140" s="9">
        <v>46204</v>
      </c>
      <c r="M2140" s="8" t="s">
        <v>16</v>
      </c>
      <c r="P2140" s="16" t="s">
        <v>1841</v>
      </c>
      <c r="Q2140" s="2" t="s">
        <v>16</v>
      </c>
    </row>
    <row r="2141" spans="1:17" ht="45">
      <c r="A2141" s="8" t="s">
        <v>4247</v>
      </c>
      <c r="B2141" s="8" t="s">
        <v>2148</v>
      </c>
      <c r="C2141" s="8" t="s">
        <v>2197</v>
      </c>
      <c r="D2141" s="8" t="s">
        <v>18</v>
      </c>
      <c r="E2141" s="8" t="s">
        <v>16</v>
      </c>
      <c r="F2141" s="8" t="s">
        <v>2198</v>
      </c>
      <c r="G2141" s="8" t="s">
        <v>4244</v>
      </c>
      <c r="H2141" s="8">
        <v>14277</v>
      </c>
      <c r="I2141" s="8">
        <v>5000</v>
      </c>
      <c r="J2141" s="8" t="s">
        <v>2150</v>
      </c>
      <c r="K2141" s="9">
        <v>45419</v>
      </c>
      <c r="L2141" s="9">
        <v>46204</v>
      </c>
      <c r="M2141" s="8" t="s">
        <v>16</v>
      </c>
      <c r="P2141" s="16" t="s">
        <v>1841</v>
      </c>
      <c r="Q2141" s="2" t="s">
        <v>16</v>
      </c>
    </row>
    <row r="2142" spans="1:17" ht="45">
      <c r="A2142" s="8" t="s">
        <v>4247</v>
      </c>
      <c r="B2142" s="8" t="s">
        <v>2148</v>
      </c>
      <c r="C2142" s="8" t="s">
        <v>2197</v>
      </c>
      <c r="D2142" s="8" t="s">
        <v>18</v>
      </c>
      <c r="E2142" s="8" t="s">
        <v>16</v>
      </c>
      <c r="F2142" s="8" t="s">
        <v>2198</v>
      </c>
      <c r="G2142" s="8" t="s">
        <v>4244</v>
      </c>
      <c r="H2142" s="8">
        <v>14277</v>
      </c>
      <c r="I2142" s="8">
        <v>8750</v>
      </c>
      <c r="J2142" s="8" t="s">
        <v>2151</v>
      </c>
      <c r="K2142" s="9">
        <v>45356</v>
      </c>
      <c r="L2142" s="9">
        <v>46204</v>
      </c>
      <c r="M2142" s="8" t="s">
        <v>16</v>
      </c>
      <c r="P2142" s="16" t="s">
        <v>1841</v>
      </c>
      <c r="Q2142" s="2" t="s">
        <v>16</v>
      </c>
    </row>
    <row r="2143" spans="1:17" ht="45">
      <c r="A2143" s="8" t="s">
        <v>4248</v>
      </c>
      <c r="B2143" s="8" t="s">
        <v>2152</v>
      </c>
      <c r="C2143" s="8" t="s">
        <v>2197</v>
      </c>
      <c r="D2143" s="8" t="s">
        <v>18</v>
      </c>
      <c r="E2143" s="8" t="s">
        <v>16</v>
      </c>
      <c r="F2143" s="8" t="s">
        <v>2198</v>
      </c>
      <c r="G2143" s="8" t="s">
        <v>4249</v>
      </c>
      <c r="H2143" s="8">
        <v>4</v>
      </c>
      <c r="I2143" s="8">
        <v>4</v>
      </c>
      <c r="J2143" s="8">
        <v>191224</v>
      </c>
      <c r="K2143" s="9">
        <v>44198</v>
      </c>
      <c r="L2143" s="9">
        <v>45778</v>
      </c>
      <c r="M2143" s="8" t="s">
        <v>16</v>
      </c>
      <c r="P2143" s="16" t="s">
        <v>1841</v>
      </c>
      <c r="Q2143" s="2" t="s">
        <v>16</v>
      </c>
    </row>
    <row r="2144" spans="1:17" ht="45">
      <c r="A2144" s="8" t="s">
        <v>4250</v>
      </c>
      <c r="B2144" s="8" t="s">
        <v>2152</v>
      </c>
      <c r="C2144" s="8" t="s">
        <v>2197</v>
      </c>
      <c r="D2144" s="8" t="s">
        <v>18</v>
      </c>
      <c r="E2144" s="8" t="s">
        <v>16</v>
      </c>
      <c r="F2144" s="8" t="s">
        <v>2198</v>
      </c>
      <c r="G2144" s="8" t="s">
        <v>4249</v>
      </c>
      <c r="H2144" s="8">
        <v>3079</v>
      </c>
      <c r="I2144" s="8">
        <v>3079</v>
      </c>
      <c r="J2144" s="8">
        <v>191224</v>
      </c>
      <c r="K2144" s="9">
        <v>44000</v>
      </c>
      <c r="L2144" s="9">
        <v>45778</v>
      </c>
      <c r="M2144" s="8" t="s">
        <v>16</v>
      </c>
      <c r="P2144" s="16" t="s">
        <v>1841</v>
      </c>
      <c r="Q2144" s="2" t="s">
        <v>16</v>
      </c>
    </row>
    <row r="2145" spans="1:17" ht="45">
      <c r="A2145" s="8" t="s">
        <v>4251</v>
      </c>
      <c r="B2145" s="8" t="s">
        <v>2153</v>
      </c>
      <c r="C2145" s="8" t="s">
        <v>2197</v>
      </c>
      <c r="D2145" s="8" t="s">
        <v>18</v>
      </c>
      <c r="E2145" s="8" t="s">
        <v>16</v>
      </c>
      <c r="F2145" s="8" t="s">
        <v>2198</v>
      </c>
      <c r="G2145" s="8" t="s">
        <v>4252</v>
      </c>
      <c r="H2145" s="8">
        <v>36</v>
      </c>
      <c r="I2145" s="8">
        <v>36</v>
      </c>
      <c r="J2145" s="8">
        <v>0</v>
      </c>
      <c r="K2145" s="9">
        <v>44018</v>
      </c>
      <c r="L2145" s="8" t="s">
        <v>2222</v>
      </c>
      <c r="M2145" s="8" t="s">
        <v>38</v>
      </c>
      <c r="P2145" s="16" t="s">
        <v>1858</v>
      </c>
      <c r="Q2145" s="2" t="s">
        <v>16</v>
      </c>
    </row>
    <row r="2146" spans="1:17" ht="45">
      <c r="A2146" s="8" t="s">
        <v>4253</v>
      </c>
      <c r="B2146" s="8" t="s">
        <v>2154</v>
      </c>
      <c r="C2146" s="8" t="s">
        <v>2197</v>
      </c>
      <c r="D2146" s="8" t="s">
        <v>18</v>
      </c>
      <c r="E2146" s="8" t="s">
        <v>16</v>
      </c>
      <c r="F2146" s="8" t="s">
        <v>2198</v>
      </c>
      <c r="G2146" s="8" t="s">
        <v>4252</v>
      </c>
      <c r="H2146" s="8">
        <v>1087</v>
      </c>
      <c r="I2146" s="8">
        <v>15</v>
      </c>
      <c r="J2146" s="8">
        <v>30524013</v>
      </c>
      <c r="K2146" s="9">
        <v>45075</v>
      </c>
      <c r="L2146" s="9">
        <v>46874</v>
      </c>
      <c r="M2146" s="8" t="s">
        <v>16</v>
      </c>
      <c r="P2146" s="16" t="s">
        <v>1858</v>
      </c>
      <c r="Q2146" s="2" t="s">
        <v>16</v>
      </c>
    </row>
    <row r="2147" spans="1:17" ht="45">
      <c r="A2147" s="8" t="s">
        <v>4253</v>
      </c>
      <c r="B2147" s="8" t="s">
        <v>2154</v>
      </c>
      <c r="C2147" s="8" t="s">
        <v>2197</v>
      </c>
      <c r="D2147" s="8" t="s">
        <v>18</v>
      </c>
      <c r="E2147" s="8" t="s">
        <v>16</v>
      </c>
      <c r="F2147" s="8" t="s">
        <v>2198</v>
      </c>
      <c r="G2147" s="8" t="s">
        <v>4252</v>
      </c>
      <c r="H2147" s="8">
        <v>1087</v>
      </c>
      <c r="I2147" s="8">
        <v>32</v>
      </c>
      <c r="J2147" s="8">
        <v>40321005</v>
      </c>
      <c r="K2147" s="9">
        <v>45414</v>
      </c>
      <c r="L2147" s="9">
        <v>47209</v>
      </c>
      <c r="M2147" s="8" t="s">
        <v>16</v>
      </c>
      <c r="P2147" s="16" t="s">
        <v>1858</v>
      </c>
      <c r="Q2147" s="2" t="s">
        <v>16</v>
      </c>
    </row>
    <row r="2148" spans="1:17" ht="45">
      <c r="A2148" s="8" t="s">
        <v>4253</v>
      </c>
      <c r="B2148" s="8" t="s">
        <v>2154</v>
      </c>
      <c r="C2148" s="8" t="s">
        <v>2197</v>
      </c>
      <c r="D2148" s="8" t="s">
        <v>18</v>
      </c>
      <c r="E2148" s="8" t="s">
        <v>16</v>
      </c>
      <c r="F2148" s="8" t="s">
        <v>2198</v>
      </c>
      <c r="G2148" s="8" t="s">
        <v>4252</v>
      </c>
      <c r="H2148" s="8">
        <v>1087</v>
      </c>
      <c r="I2148" s="8">
        <v>80</v>
      </c>
      <c r="J2148" s="8">
        <v>40321005</v>
      </c>
      <c r="K2148" s="9">
        <v>45463</v>
      </c>
      <c r="L2148" s="9">
        <v>46813</v>
      </c>
      <c r="M2148" s="8" t="s">
        <v>16</v>
      </c>
      <c r="P2148" s="16" t="s">
        <v>1858</v>
      </c>
      <c r="Q2148" s="2" t="s">
        <v>16</v>
      </c>
    </row>
    <row r="2149" spans="1:17" ht="45">
      <c r="A2149" s="8" t="s">
        <v>4253</v>
      </c>
      <c r="B2149" s="8" t="s">
        <v>2154</v>
      </c>
      <c r="C2149" s="8" t="s">
        <v>2197</v>
      </c>
      <c r="D2149" s="8" t="s">
        <v>18</v>
      </c>
      <c r="E2149" s="8" t="s">
        <v>16</v>
      </c>
      <c r="F2149" s="8" t="s">
        <v>2198</v>
      </c>
      <c r="G2149" s="8" t="s">
        <v>4252</v>
      </c>
      <c r="H2149" s="8">
        <v>1087</v>
      </c>
      <c r="I2149" s="8">
        <v>192</v>
      </c>
      <c r="J2149" s="8">
        <v>40226003</v>
      </c>
      <c r="K2149" s="9">
        <v>45374</v>
      </c>
      <c r="L2149" s="9">
        <v>47150</v>
      </c>
      <c r="M2149" s="8" t="s">
        <v>16</v>
      </c>
      <c r="P2149" s="16" t="s">
        <v>1858</v>
      </c>
      <c r="Q2149" s="2" t="s">
        <v>16</v>
      </c>
    </row>
    <row r="2150" spans="1:17" ht="45">
      <c r="A2150" s="8" t="s">
        <v>4253</v>
      </c>
      <c r="B2150" s="8" t="s">
        <v>2154</v>
      </c>
      <c r="C2150" s="8" t="s">
        <v>2197</v>
      </c>
      <c r="D2150" s="8" t="s">
        <v>18</v>
      </c>
      <c r="E2150" s="8" t="s">
        <v>16</v>
      </c>
      <c r="F2150" s="8" t="s">
        <v>2198</v>
      </c>
      <c r="G2150" s="8" t="s">
        <v>4252</v>
      </c>
      <c r="H2150" s="8">
        <v>1087</v>
      </c>
      <c r="I2150" s="8">
        <v>768</v>
      </c>
      <c r="J2150" s="8">
        <v>40418006</v>
      </c>
      <c r="K2150" s="9">
        <v>45414</v>
      </c>
      <c r="L2150" s="9">
        <v>47209</v>
      </c>
      <c r="M2150" s="8" t="s">
        <v>16</v>
      </c>
      <c r="P2150" s="16" t="s">
        <v>1858</v>
      </c>
      <c r="Q2150" s="2" t="s">
        <v>16</v>
      </c>
    </row>
    <row r="2151" spans="1:17" ht="45">
      <c r="A2151" s="8" t="s">
        <v>4254</v>
      </c>
      <c r="B2151" s="8" t="s">
        <v>2155</v>
      </c>
      <c r="C2151" s="8" t="s">
        <v>2197</v>
      </c>
      <c r="D2151" s="8" t="s">
        <v>18</v>
      </c>
      <c r="E2151" s="8" t="s">
        <v>16</v>
      </c>
      <c r="F2151" s="8" t="s">
        <v>2198</v>
      </c>
      <c r="G2151" s="8" t="s">
        <v>4252</v>
      </c>
      <c r="H2151" s="8">
        <v>400</v>
      </c>
      <c r="I2151" s="8">
        <v>20</v>
      </c>
      <c r="J2151" s="8">
        <v>40228004</v>
      </c>
      <c r="K2151" s="9">
        <v>45414</v>
      </c>
      <c r="L2151" s="9">
        <v>47209</v>
      </c>
      <c r="M2151" s="8" t="s">
        <v>16</v>
      </c>
      <c r="P2151" s="16" t="s">
        <v>1864</v>
      </c>
      <c r="Q2151" s="2" t="s">
        <v>41</v>
      </c>
    </row>
    <row r="2152" spans="1:17" ht="45">
      <c r="A2152" s="8" t="s">
        <v>4254</v>
      </c>
      <c r="B2152" s="8" t="s">
        <v>2155</v>
      </c>
      <c r="C2152" s="8" t="s">
        <v>2197</v>
      </c>
      <c r="D2152" s="8" t="s">
        <v>18</v>
      </c>
      <c r="E2152" s="8" t="s">
        <v>16</v>
      </c>
      <c r="F2152" s="8" t="s">
        <v>2198</v>
      </c>
      <c r="G2152" s="8" t="s">
        <v>4252</v>
      </c>
      <c r="H2152" s="8">
        <v>400</v>
      </c>
      <c r="I2152" s="8">
        <v>380</v>
      </c>
      <c r="J2152" s="8">
        <v>40228004</v>
      </c>
      <c r="K2152" s="9">
        <v>45386</v>
      </c>
      <c r="L2152" s="9">
        <v>47178</v>
      </c>
      <c r="M2152" s="8" t="s">
        <v>16</v>
      </c>
      <c r="P2152" s="17" t="s">
        <v>1865</v>
      </c>
      <c r="Q2152" s="2" t="s">
        <v>101</v>
      </c>
    </row>
    <row r="2153" spans="1:17" ht="48.75">
      <c r="A2153" s="8" t="s">
        <v>4255</v>
      </c>
      <c r="B2153" s="8" t="s">
        <v>2156</v>
      </c>
      <c r="C2153" s="8" t="s">
        <v>2197</v>
      </c>
      <c r="D2153" s="8" t="s">
        <v>18</v>
      </c>
      <c r="E2153" s="8" t="s">
        <v>16</v>
      </c>
      <c r="F2153" s="8" t="s">
        <v>2198</v>
      </c>
      <c r="G2153" s="8" t="s">
        <v>4252</v>
      </c>
      <c r="H2153" s="8">
        <v>2222</v>
      </c>
      <c r="I2153" s="8">
        <v>872</v>
      </c>
      <c r="J2153" s="8">
        <v>40321005</v>
      </c>
      <c r="K2153" s="9">
        <v>45386</v>
      </c>
      <c r="L2153" s="9">
        <v>47178</v>
      </c>
      <c r="M2153" s="8" t="s">
        <v>16</v>
      </c>
      <c r="P2153" s="16" t="s">
        <v>1866</v>
      </c>
      <c r="Q2153" s="2" t="s">
        <v>426</v>
      </c>
    </row>
    <row r="2154" spans="1:17" ht="48.75">
      <c r="A2154" s="8" t="s">
        <v>4255</v>
      </c>
      <c r="B2154" s="8" t="s">
        <v>2156</v>
      </c>
      <c r="C2154" s="8" t="s">
        <v>2197</v>
      </c>
      <c r="D2154" s="8" t="s">
        <v>18</v>
      </c>
      <c r="E2154" s="8" t="s">
        <v>16</v>
      </c>
      <c r="F2154" s="8" t="s">
        <v>2198</v>
      </c>
      <c r="G2154" s="8" t="s">
        <v>4252</v>
      </c>
      <c r="H2154" s="8">
        <v>2222</v>
      </c>
      <c r="I2154" s="8">
        <v>1350</v>
      </c>
      <c r="J2154" s="8">
        <v>40321005</v>
      </c>
      <c r="K2154" s="9">
        <v>45414</v>
      </c>
      <c r="L2154" s="9">
        <v>47209</v>
      </c>
      <c r="M2154" s="8" t="s">
        <v>16</v>
      </c>
      <c r="P2154" s="16" t="s">
        <v>1867</v>
      </c>
      <c r="Q2154" s="2" t="s">
        <v>41</v>
      </c>
    </row>
    <row r="2155" spans="1:17" ht="45">
      <c r="A2155" s="8" t="s">
        <v>4256</v>
      </c>
      <c r="B2155" s="8" t="s">
        <v>2157</v>
      </c>
      <c r="C2155" s="8" t="s">
        <v>2221</v>
      </c>
      <c r="D2155" s="8" t="s">
        <v>18</v>
      </c>
      <c r="E2155" s="8" t="s">
        <v>101</v>
      </c>
      <c r="F2155" s="8" t="s">
        <v>101</v>
      </c>
      <c r="G2155" s="8" t="s">
        <v>2217</v>
      </c>
      <c r="H2155" s="8">
        <v>5</v>
      </c>
      <c r="I2155" s="8">
        <v>5</v>
      </c>
      <c r="J2155" s="8">
        <v>0</v>
      </c>
      <c r="K2155" s="9">
        <v>44145</v>
      </c>
      <c r="L2155" s="8" t="s">
        <v>2222</v>
      </c>
      <c r="M2155" s="8" t="s">
        <v>41</v>
      </c>
      <c r="P2155" s="17" t="s">
        <v>1868</v>
      </c>
      <c r="Q2155" s="2" t="s">
        <v>38</v>
      </c>
    </row>
    <row r="2156" spans="1:17" ht="45">
      <c r="A2156" s="8" t="s">
        <v>4257</v>
      </c>
      <c r="B2156" s="8" t="s">
        <v>2158</v>
      </c>
      <c r="C2156" s="8" t="s">
        <v>2197</v>
      </c>
      <c r="D2156" s="8" t="s">
        <v>18</v>
      </c>
      <c r="E2156" s="8" t="s">
        <v>16</v>
      </c>
      <c r="F2156" s="8" t="s">
        <v>2198</v>
      </c>
      <c r="G2156" s="8" t="s">
        <v>4258</v>
      </c>
      <c r="H2156" s="8">
        <v>2380</v>
      </c>
      <c r="I2156" s="8">
        <v>2380</v>
      </c>
      <c r="J2156" s="8">
        <v>23100208</v>
      </c>
      <c r="K2156" s="9">
        <v>45206</v>
      </c>
      <c r="L2156" s="9">
        <v>46997</v>
      </c>
      <c r="M2156" s="8" t="s">
        <v>16</v>
      </c>
      <c r="P2156" s="17" t="s">
        <v>1869</v>
      </c>
      <c r="Q2156" s="2" t="s">
        <v>38</v>
      </c>
    </row>
    <row r="2157" spans="1:17" ht="45">
      <c r="A2157" s="8" t="s">
        <v>4259</v>
      </c>
      <c r="B2157" s="8" t="s">
        <v>2159</v>
      </c>
      <c r="C2157" s="8" t="s">
        <v>2197</v>
      </c>
      <c r="D2157" s="8" t="s">
        <v>18</v>
      </c>
      <c r="E2157" s="8" t="s">
        <v>16</v>
      </c>
      <c r="F2157" s="8" t="s">
        <v>2198</v>
      </c>
      <c r="G2157" s="8" t="s">
        <v>4258</v>
      </c>
      <c r="H2157" s="8">
        <v>1415</v>
      </c>
      <c r="I2157" s="8">
        <v>15</v>
      </c>
      <c r="J2157" s="8">
        <v>22011207</v>
      </c>
      <c r="K2157" s="9">
        <v>44579</v>
      </c>
      <c r="L2157" s="9">
        <v>46357</v>
      </c>
      <c r="M2157" s="8" t="s">
        <v>16</v>
      </c>
      <c r="P2157" s="17" t="s">
        <v>1870</v>
      </c>
      <c r="Q2157" s="2" t="s">
        <v>38</v>
      </c>
    </row>
    <row r="2158" spans="1:17" ht="45">
      <c r="A2158" s="8" t="s">
        <v>4259</v>
      </c>
      <c r="B2158" s="8" t="s">
        <v>2159</v>
      </c>
      <c r="C2158" s="8" t="s">
        <v>2197</v>
      </c>
      <c r="D2158" s="8" t="s">
        <v>18</v>
      </c>
      <c r="E2158" s="8" t="s">
        <v>16</v>
      </c>
      <c r="F2158" s="8" t="s">
        <v>2198</v>
      </c>
      <c r="G2158" s="8" t="s">
        <v>4258</v>
      </c>
      <c r="H2158" s="8">
        <v>1415</v>
      </c>
      <c r="I2158" s="8">
        <v>1400</v>
      </c>
      <c r="J2158" s="8">
        <v>23100207</v>
      </c>
      <c r="K2158" s="9">
        <v>45206</v>
      </c>
      <c r="L2158" s="9">
        <v>46997</v>
      </c>
      <c r="M2158" s="8" t="s">
        <v>16</v>
      </c>
      <c r="P2158" s="17" t="s">
        <v>1871</v>
      </c>
      <c r="Q2158" s="2" t="s">
        <v>38</v>
      </c>
    </row>
    <row r="2159" spans="1:17" ht="60">
      <c r="A2159" s="8" t="s">
        <v>4260</v>
      </c>
      <c r="B2159" s="8" t="s">
        <v>2160</v>
      </c>
      <c r="C2159" s="8" t="s">
        <v>2203</v>
      </c>
      <c r="D2159" s="8" t="s">
        <v>18</v>
      </c>
      <c r="E2159" s="8" t="s">
        <v>16</v>
      </c>
      <c r="F2159" s="8" t="s">
        <v>2204</v>
      </c>
      <c r="G2159" s="8" t="s">
        <v>4261</v>
      </c>
      <c r="H2159" s="8">
        <v>593</v>
      </c>
      <c r="I2159" s="8">
        <v>593</v>
      </c>
      <c r="J2159" s="8">
        <v>10193101</v>
      </c>
      <c r="K2159" s="9">
        <v>45061</v>
      </c>
      <c r="L2159" s="9">
        <v>46143</v>
      </c>
      <c r="M2159" s="8" t="s">
        <v>16</v>
      </c>
      <c r="P2159" s="17" t="s">
        <v>1872</v>
      </c>
      <c r="Q2159" s="2" t="s">
        <v>38</v>
      </c>
    </row>
    <row r="2160" spans="1:17" ht="60">
      <c r="A2160" s="8" t="s">
        <v>4262</v>
      </c>
      <c r="B2160" s="8" t="s">
        <v>2161</v>
      </c>
      <c r="C2160" s="8" t="s">
        <v>2203</v>
      </c>
      <c r="D2160" s="8" t="s">
        <v>18</v>
      </c>
      <c r="E2160" s="8" t="s">
        <v>16</v>
      </c>
      <c r="F2160" s="8" t="s">
        <v>2204</v>
      </c>
      <c r="G2160" s="8" t="s">
        <v>4261</v>
      </c>
      <c r="H2160" s="8">
        <v>3405</v>
      </c>
      <c r="I2160" s="8">
        <v>240</v>
      </c>
      <c r="J2160" s="8">
        <v>16183201</v>
      </c>
      <c r="K2160" s="9">
        <v>45411</v>
      </c>
      <c r="L2160" s="9">
        <v>46478</v>
      </c>
      <c r="M2160" s="8" t="s">
        <v>16</v>
      </c>
      <c r="P2160" s="17" t="s">
        <v>1873</v>
      </c>
      <c r="Q2160" s="2" t="s">
        <v>38</v>
      </c>
    </row>
    <row r="2161" spans="1:17" ht="60">
      <c r="A2161" s="8" t="s">
        <v>4263</v>
      </c>
      <c r="B2161" s="8" t="s">
        <v>2161</v>
      </c>
      <c r="C2161" s="8" t="s">
        <v>2203</v>
      </c>
      <c r="D2161" s="8" t="s">
        <v>18</v>
      </c>
      <c r="E2161" s="8" t="s">
        <v>16</v>
      </c>
      <c r="F2161" s="8" t="s">
        <v>2204</v>
      </c>
      <c r="G2161" s="8" t="s">
        <v>4261</v>
      </c>
      <c r="H2161" s="8">
        <v>480</v>
      </c>
      <c r="I2161" s="8">
        <v>480</v>
      </c>
      <c r="J2161" s="8">
        <v>16183201</v>
      </c>
      <c r="K2161" s="9">
        <v>45378</v>
      </c>
      <c r="L2161" s="9">
        <v>46478</v>
      </c>
      <c r="M2161" s="8" t="s">
        <v>16</v>
      </c>
      <c r="P2161" s="17" t="s">
        <v>1874</v>
      </c>
      <c r="Q2161" s="2" t="s">
        <v>41</v>
      </c>
    </row>
    <row r="2162" spans="1:17" ht="60">
      <c r="A2162" s="8" t="s">
        <v>4262</v>
      </c>
      <c r="B2162" s="8" t="s">
        <v>2161</v>
      </c>
      <c r="C2162" s="8" t="s">
        <v>2203</v>
      </c>
      <c r="D2162" s="8" t="s">
        <v>18</v>
      </c>
      <c r="E2162" s="8" t="s">
        <v>16</v>
      </c>
      <c r="F2162" s="8" t="s">
        <v>2204</v>
      </c>
      <c r="G2162" s="8" t="s">
        <v>4261</v>
      </c>
      <c r="H2162" s="8">
        <v>3405</v>
      </c>
      <c r="I2162" s="8">
        <v>3165</v>
      </c>
      <c r="J2162" s="8">
        <v>32173208</v>
      </c>
      <c r="K2162" s="9">
        <v>45334</v>
      </c>
      <c r="L2162" s="9">
        <v>46388</v>
      </c>
      <c r="M2162" s="8" t="s">
        <v>16</v>
      </c>
      <c r="P2162" s="17" t="s">
        <v>1874</v>
      </c>
      <c r="Q2162" s="2" t="s">
        <v>41</v>
      </c>
    </row>
    <row r="2163" spans="1:17" ht="45">
      <c r="A2163" s="8" t="s">
        <v>4264</v>
      </c>
      <c r="B2163" s="8" t="s">
        <v>2162</v>
      </c>
      <c r="C2163" s="8" t="s">
        <v>2203</v>
      </c>
      <c r="D2163" s="8" t="s">
        <v>18</v>
      </c>
      <c r="E2163" s="8" t="s">
        <v>16</v>
      </c>
      <c r="F2163" s="8" t="s">
        <v>2228</v>
      </c>
      <c r="G2163" s="8" t="s">
        <v>4265</v>
      </c>
      <c r="H2163" s="8">
        <v>35940</v>
      </c>
      <c r="I2163" s="8">
        <v>440</v>
      </c>
      <c r="J2163" s="8" t="s">
        <v>2163</v>
      </c>
      <c r="K2163" s="9">
        <v>45240</v>
      </c>
      <c r="L2163" s="9">
        <v>46569</v>
      </c>
      <c r="M2163" s="8" t="s">
        <v>16</v>
      </c>
      <c r="P2163" s="16" t="s">
        <v>1875</v>
      </c>
      <c r="Q2163" s="2" t="s">
        <v>43</v>
      </c>
    </row>
    <row r="2164" spans="1:17" ht="45">
      <c r="A2164" s="8" t="s">
        <v>4264</v>
      </c>
      <c r="B2164" s="8" t="s">
        <v>2162</v>
      </c>
      <c r="C2164" s="8" t="s">
        <v>2203</v>
      </c>
      <c r="D2164" s="8" t="s">
        <v>18</v>
      </c>
      <c r="E2164" s="8" t="s">
        <v>16</v>
      </c>
      <c r="F2164" s="8" t="s">
        <v>2228</v>
      </c>
      <c r="G2164" s="8" t="s">
        <v>4265</v>
      </c>
      <c r="H2164" s="8">
        <v>35940</v>
      </c>
      <c r="I2164" s="8">
        <v>2000</v>
      </c>
      <c r="J2164" s="8" t="s">
        <v>2164</v>
      </c>
      <c r="K2164" s="9">
        <v>45385</v>
      </c>
      <c r="L2164" s="9">
        <v>46813</v>
      </c>
      <c r="M2164" s="8" t="s">
        <v>16</v>
      </c>
      <c r="P2164" s="16" t="s">
        <v>1876</v>
      </c>
      <c r="Q2164" s="2" t="s">
        <v>41</v>
      </c>
    </row>
    <row r="2165" spans="1:17" ht="45">
      <c r="A2165" s="8" t="s">
        <v>4264</v>
      </c>
      <c r="B2165" s="8" t="s">
        <v>2162</v>
      </c>
      <c r="C2165" s="8" t="s">
        <v>2203</v>
      </c>
      <c r="D2165" s="8" t="s">
        <v>18</v>
      </c>
      <c r="E2165" s="8" t="s">
        <v>16</v>
      </c>
      <c r="F2165" s="8" t="s">
        <v>2228</v>
      </c>
      <c r="G2165" s="8" t="s">
        <v>4265</v>
      </c>
      <c r="H2165" s="8">
        <v>35940</v>
      </c>
      <c r="I2165" s="8">
        <v>33500</v>
      </c>
      <c r="J2165" s="8" t="s">
        <v>2165</v>
      </c>
      <c r="K2165" s="9">
        <v>45461</v>
      </c>
      <c r="L2165" s="9">
        <v>46722</v>
      </c>
      <c r="M2165" s="8" t="s">
        <v>16</v>
      </c>
      <c r="P2165" s="17" t="s">
        <v>1877</v>
      </c>
      <c r="Q2165" s="2" t="s">
        <v>273</v>
      </c>
    </row>
    <row r="2166" spans="1:17" ht="45">
      <c r="A2166" s="8" t="s">
        <v>4266</v>
      </c>
      <c r="B2166" s="8" t="s">
        <v>2166</v>
      </c>
      <c r="C2166" s="8" t="s">
        <v>2197</v>
      </c>
      <c r="D2166" s="8" t="s">
        <v>18</v>
      </c>
      <c r="E2166" s="8" t="s">
        <v>151</v>
      </c>
      <c r="F2166" s="8" t="s">
        <v>2258</v>
      </c>
      <c r="G2166" s="8" t="s">
        <v>4267</v>
      </c>
      <c r="H2166" s="8">
        <v>112</v>
      </c>
      <c r="I2166" s="8">
        <v>12</v>
      </c>
      <c r="J2166" s="10">
        <v>502000000000</v>
      </c>
      <c r="K2166" s="9">
        <v>44989</v>
      </c>
      <c r="L2166" s="9">
        <v>46508</v>
      </c>
      <c r="M2166" s="8" t="s">
        <v>151</v>
      </c>
      <c r="P2166" s="17" t="s">
        <v>1878</v>
      </c>
      <c r="Q2166" s="2" t="s">
        <v>273</v>
      </c>
    </row>
    <row r="2167" spans="1:17" ht="45">
      <c r="A2167" s="8" t="s">
        <v>4266</v>
      </c>
      <c r="B2167" s="8" t="s">
        <v>2166</v>
      </c>
      <c r="C2167" s="8" t="s">
        <v>2197</v>
      </c>
      <c r="D2167" s="8" t="s">
        <v>18</v>
      </c>
      <c r="E2167" s="8" t="s">
        <v>151</v>
      </c>
      <c r="F2167" s="8" t="s">
        <v>2258</v>
      </c>
      <c r="G2167" s="8" t="s">
        <v>4267</v>
      </c>
      <c r="H2167" s="8">
        <v>112</v>
      </c>
      <c r="I2167" s="8">
        <v>100</v>
      </c>
      <c r="J2167" s="8">
        <v>602240406002</v>
      </c>
      <c r="K2167" s="9">
        <v>45443</v>
      </c>
      <c r="L2167" s="9">
        <v>46508</v>
      </c>
      <c r="M2167" s="8" t="s">
        <v>151</v>
      </c>
      <c r="P2167" s="17" t="s">
        <v>1879</v>
      </c>
      <c r="Q2167" s="2" t="s">
        <v>273</v>
      </c>
    </row>
    <row r="2168" spans="1:17" ht="48.75">
      <c r="A2168" s="8" t="s">
        <v>4268</v>
      </c>
      <c r="B2168" s="8" t="s">
        <v>2167</v>
      </c>
      <c r="C2168" s="8" t="s">
        <v>2197</v>
      </c>
      <c r="D2168" s="8" t="s">
        <v>18</v>
      </c>
      <c r="E2168" s="8" t="s">
        <v>151</v>
      </c>
      <c r="F2168" s="8" t="s">
        <v>2258</v>
      </c>
      <c r="G2168" s="8" t="s">
        <v>4267</v>
      </c>
      <c r="H2168" s="8">
        <v>45</v>
      </c>
      <c r="I2168" s="8">
        <v>5</v>
      </c>
      <c r="J2168" s="8">
        <v>502230706005</v>
      </c>
      <c r="K2168" s="9">
        <v>45304</v>
      </c>
      <c r="L2168" s="9">
        <v>46508</v>
      </c>
      <c r="M2168" s="8" t="s">
        <v>151</v>
      </c>
      <c r="P2168" s="16" t="s">
        <v>1880</v>
      </c>
      <c r="Q2168" s="2" t="s">
        <v>273</v>
      </c>
    </row>
    <row r="2169" spans="1:17" ht="45">
      <c r="A2169" s="8" t="s">
        <v>4268</v>
      </c>
      <c r="B2169" s="8" t="s">
        <v>2167</v>
      </c>
      <c r="C2169" s="8" t="s">
        <v>2197</v>
      </c>
      <c r="D2169" s="8" t="s">
        <v>18</v>
      </c>
      <c r="E2169" s="8" t="s">
        <v>151</v>
      </c>
      <c r="F2169" s="8" t="s">
        <v>2258</v>
      </c>
      <c r="G2169" s="8" t="s">
        <v>4267</v>
      </c>
      <c r="H2169" s="8">
        <v>45</v>
      </c>
      <c r="I2169" s="8">
        <v>40</v>
      </c>
      <c r="J2169" s="8">
        <v>502240506003</v>
      </c>
      <c r="K2169" s="9">
        <v>45443</v>
      </c>
      <c r="L2169" s="9">
        <v>46508</v>
      </c>
      <c r="M2169" s="8" t="s">
        <v>151</v>
      </c>
      <c r="P2169" s="17" t="s">
        <v>1881</v>
      </c>
      <c r="Q2169" s="2" t="s">
        <v>273</v>
      </c>
    </row>
    <row r="2170" spans="1:17" ht="45">
      <c r="A2170" s="8" t="s">
        <v>4269</v>
      </c>
      <c r="B2170" s="8" t="s">
        <v>2168</v>
      </c>
      <c r="C2170" s="8" t="s">
        <v>2197</v>
      </c>
      <c r="D2170" s="8" t="s">
        <v>18</v>
      </c>
      <c r="E2170" s="8" t="s">
        <v>151</v>
      </c>
      <c r="F2170" s="8" t="s">
        <v>2258</v>
      </c>
      <c r="G2170" s="8" t="s">
        <v>4267</v>
      </c>
      <c r="H2170" s="8">
        <v>433</v>
      </c>
      <c r="I2170" s="8">
        <v>433</v>
      </c>
      <c r="J2170" s="10">
        <v>502000000000</v>
      </c>
      <c r="K2170" s="9">
        <v>45127</v>
      </c>
      <c r="L2170" s="9">
        <v>46935</v>
      </c>
      <c r="M2170" s="8" t="s">
        <v>151</v>
      </c>
      <c r="P2170" s="16" t="s">
        <v>1882</v>
      </c>
      <c r="Q2170" s="2" t="s">
        <v>16</v>
      </c>
    </row>
    <row r="2171" spans="1:17" ht="60">
      <c r="A2171" s="8" t="s">
        <v>4270</v>
      </c>
      <c r="B2171" s="8" t="s">
        <v>2169</v>
      </c>
      <c r="C2171" s="8" t="s">
        <v>2197</v>
      </c>
      <c r="D2171" s="8" t="s">
        <v>18</v>
      </c>
      <c r="E2171" s="8" t="s">
        <v>16</v>
      </c>
      <c r="F2171" s="8" t="s">
        <v>2198</v>
      </c>
      <c r="G2171" s="8" t="s">
        <v>4271</v>
      </c>
      <c r="H2171" s="8">
        <v>264</v>
      </c>
      <c r="I2171" s="8">
        <v>264</v>
      </c>
      <c r="J2171" s="8">
        <v>173427</v>
      </c>
      <c r="K2171" s="9">
        <v>45414</v>
      </c>
      <c r="L2171" s="9">
        <v>46296</v>
      </c>
      <c r="M2171" s="8" t="s">
        <v>16</v>
      </c>
      <c r="P2171" s="16" t="s">
        <v>1882</v>
      </c>
      <c r="Q2171" s="2" t="s">
        <v>16</v>
      </c>
    </row>
    <row r="2172" spans="1:17" ht="60">
      <c r="A2172" s="8" t="s">
        <v>4272</v>
      </c>
      <c r="B2172" s="8" t="s">
        <v>2170</v>
      </c>
      <c r="C2172" s="8" t="s">
        <v>2197</v>
      </c>
      <c r="D2172" s="8" t="s">
        <v>18</v>
      </c>
      <c r="E2172" s="8" t="s">
        <v>16</v>
      </c>
      <c r="F2172" s="8" t="s">
        <v>2198</v>
      </c>
      <c r="G2172" s="8" t="s">
        <v>4271</v>
      </c>
      <c r="H2172" s="8">
        <v>40</v>
      </c>
      <c r="I2172" s="8">
        <v>40</v>
      </c>
      <c r="J2172" s="8">
        <v>173334</v>
      </c>
      <c r="K2172" s="9">
        <v>45181</v>
      </c>
      <c r="L2172" s="9">
        <v>45931</v>
      </c>
      <c r="M2172" s="8" t="s">
        <v>16</v>
      </c>
      <c r="P2172" s="16" t="s">
        <v>1882</v>
      </c>
      <c r="Q2172" s="2" t="s">
        <v>16</v>
      </c>
    </row>
    <row r="2173" spans="1:17" ht="75">
      <c r="A2173" s="8" t="s">
        <v>4273</v>
      </c>
      <c r="B2173" s="8" t="s">
        <v>2171</v>
      </c>
      <c r="C2173" s="8" t="s">
        <v>2197</v>
      </c>
      <c r="D2173" s="8" t="s">
        <v>18</v>
      </c>
      <c r="E2173" s="8" t="s">
        <v>16</v>
      </c>
      <c r="F2173" s="8" t="s">
        <v>4274</v>
      </c>
      <c r="G2173" s="8" t="s">
        <v>4275</v>
      </c>
      <c r="H2173" s="8">
        <v>103</v>
      </c>
      <c r="I2173" s="8">
        <v>103</v>
      </c>
      <c r="J2173" s="8" t="s">
        <v>2172</v>
      </c>
      <c r="K2173" s="9">
        <v>45227</v>
      </c>
      <c r="L2173" s="9">
        <v>45231</v>
      </c>
      <c r="M2173" s="8" t="s">
        <v>16</v>
      </c>
      <c r="P2173" s="16" t="s">
        <v>1882</v>
      </c>
      <c r="Q2173" s="2" t="s">
        <v>16</v>
      </c>
    </row>
    <row r="2174" spans="1:17" ht="45">
      <c r="A2174" s="8" t="s">
        <v>4276</v>
      </c>
      <c r="B2174" s="8" t="s">
        <v>2173</v>
      </c>
      <c r="C2174" s="8" t="s">
        <v>2197</v>
      </c>
      <c r="D2174" s="8" t="s">
        <v>18</v>
      </c>
      <c r="E2174" s="8" t="s">
        <v>16</v>
      </c>
      <c r="F2174" s="8" t="s">
        <v>2925</v>
      </c>
      <c r="G2174" s="8" t="s">
        <v>4277</v>
      </c>
      <c r="H2174" s="8">
        <v>900</v>
      </c>
      <c r="I2174" s="8">
        <v>900</v>
      </c>
      <c r="J2174" s="8">
        <v>0</v>
      </c>
      <c r="K2174" s="9">
        <v>45302</v>
      </c>
      <c r="L2174" s="9">
        <v>47119</v>
      </c>
      <c r="M2174" s="8" t="s">
        <v>16</v>
      </c>
      <c r="P2174" s="16" t="s">
        <v>1887</v>
      </c>
      <c r="Q2174" s="2" t="s">
        <v>151</v>
      </c>
    </row>
    <row r="2175" spans="1:17" ht="45">
      <c r="A2175" s="8" t="s">
        <v>4278</v>
      </c>
      <c r="B2175" s="8" t="s">
        <v>2174</v>
      </c>
      <c r="C2175" s="8" t="s">
        <v>2197</v>
      </c>
      <c r="D2175" s="8" t="s">
        <v>18</v>
      </c>
      <c r="E2175" s="8" t="s">
        <v>151</v>
      </c>
      <c r="F2175" s="8" t="s">
        <v>151</v>
      </c>
      <c r="G2175" s="8" t="s">
        <v>4279</v>
      </c>
      <c r="H2175" s="8">
        <v>600</v>
      </c>
      <c r="I2175" s="8">
        <v>264</v>
      </c>
      <c r="J2175" s="8">
        <v>23122405</v>
      </c>
      <c r="K2175" s="9">
        <v>45286</v>
      </c>
      <c r="L2175" s="9">
        <v>47088</v>
      </c>
      <c r="M2175" s="8" t="s">
        <v>16</v>
      </c>
      <c r="P2175" s="16" t="s">
        <v>1887</v>
      </c>
      <c r="Q2175" s="2" t="s">
        <v>151</v>
      </c>
    </row>
    <row r="2176" spans="1:17" ht="45">
      <c r="A2176" s="8" t="s">
        <v>4278</v>
      </c>
      <c r="B2176" s="8" t="s">
        <v>2174</v>
      </c>
      <c r="C2176" s="8" t="s">
        <v>2197</v>
      </c>
      <c r="D2176" s="8" t="s">
        <v>18</v>
      </c>
      <c r="E2176" s="8" t="s">
        <v>151</v>
      </c>
      <c r="F2176" s="8" t="s">
        <v>151</v>
      </c>
      <c r="G2176" s="8" t="s">
        <v>4279</v>
      </c>
      <c r="H2176" s="8">
        <v>600</v>
      </c>
      <c r="I2176" s="8">
        <v>336</v>
      </c>
      <c r="J2176" s="8">
        <v>424038401</v>
      </c>
      <c r="K2176" s="9">
        <v>45407</v>
      </c>
      <c r="L2176" s="9">
        <v>47178</v>
      </c>
      <c r="M2176" s="8" t="s">
        <v>16</v>
      </c>
      <c r="P2176" s="16" t="s">
        <v>1887</v>
      </c>
      <c r="Q2176" s="2" t="s">
        <v>151</v>
      </c>
    </row>
    <row r="2177" spans="1:17" ht="45">
      <c r="A2177" s="8" t="s">
        <v>4280</v>
      </c>
      <c r="B2177" s="8" t="s">
        <v>2175</v>
      </c>
      <c r="C2177" s="8" t="s">
        <v>2197</v>
      </c>
      <c r="D2177" s="8" t="s">
        <v>18</v>
      </c>
      <c r="E2177" s="8" t="s">
        <v>151</v>
      </c>
      <c r="F2177" s="8" t="s">
        <v>151</v>
      </c>
      <c r="G2177" s="8" t="s">
        <v>4279</v>
      </c>
      <c r="H2177" s="8">
        <v>1915</v>
      </c>
      <c r="I2177" s="8">
        <v>715</v>
      </c>
      <c r="J2177" s="8">
        <v>23122403</v>
      </c>
      <c r="K2177" s="9">
        <v>45286</v>
      </c>
      <c r="L2177" s="9">
        <v>47088</v>
      </c>
      <c r="M2177" s="8" t="s">
        <v>16</v>
      </c>
      <c r="P2177" s="16" t="s">
        <v>1887</v>
      </c>
      <c r="Q2177" s="2" t="s">
        <v>151</v>
      </c>
    </row>
    <row r="2178" spans="1:17" ht="45">
      <c r="A2178" s="8" t="s">
        <v>4280</v>
      </c>
      <c r="B2178" s="8" t="s">
        <v>2175</v>
      </c>
      <c r="C2178" s="8" t="s">
        <v>2197</v>
      </c>
      <c r="D2178" s="8" t="s">
        <v>18</v>
      </c>
      <c r="E2178" s="8" t="s">
        <v>151</v>
      </c>
      <c r="F2178" s="8" t="s">
        <v>151</v>
      </c>
      <c r="G2178" s="8" t="s">
        <v>4279</v>
      </c>
      <c r="H2178" s="8">
        <v>1915</v>
      </c>
      <c r="I2178" s="8">
        <v>1200</v>
      </c>
      <c r="J2178" s="8">
        <v>424038401</v>
      </c>
      <c r="K2178" s="9">
        <v>45407</v>
      </c>
      <c r="L2178" s="9">
        <v>47178</v>
      </c>
      <c r="M2178" s="8" t="s">
        <v>16</v>
      </c>
      <c r="P2178" s="16" t="s">
        <v>1888</v>
      </c>
      <c r="Q2178" s="2" t="s">
        <v>151</v>
      </c>
    </row>
    <row r="2179" spans="1:17" ht="45">
      <c r="A2179" s="8" t="s">
        <v>4281</v>
      </c>
      <c r="B2179" s="8" t="s">
        <v>2176</v>
      </c>
      <c r="C2179" s="8" t="s">
        <v>2197</v>
      </c>
      <c r="D2179" s="8" t="s">
        <v>18</v>
      </c>
      <c r="E2179" s="8" t="s">
        <v>151</v>
      </c>
      <c r="F2179" s="8" t="s">
        <v>151</v>
      </c>
      <c r="G2179" s="8" t="s">
        <v>4279</v>
      </c>
      <c r="H2179" s="8">
        <v>2970</v>
      </c>
      <c r="I2179" s="8">
        <v>1230</v>
      </c>
      <c r="J2179" s="8">
        <v>23122403</v>
      </c>
      <c r="K2179" s="9">
        <v>45302</v>
      </c>
      <c r="L2179" s="9">
        <v>47088</v>
      </c>
      <c r="M2179" s="8" t="s">
        <v>16</v>
      </c>
      <c r="P2179" s="16" t="s">
        <v>1888</v>
      </c>
      <c r="Q2179" s="2" t="s">
        <v>151</v>
      </c>
    </row>
    <row r="2180" spans="1:17" ht="45">
      <c r="A2180" s="8" t="s">
        <v>4281</v>
      </c>
      <c r="B2180" s="8" t="s">
        <v>2176</v>
      </c>
      <c r="C2180" s="8" t="s">
        <v>2197</v>
      </c>
      <c r="D2180" s="8" t="s">
        <v>18</v>
      </c>
      <c r="E2180" s="8" t="s">
        <v>151</v>
      </c>
      <c r="F2180" s="8" t="s">
        <v>151</v>
      </c>
      <c r="G2180" s="8" t="s">
        <v>4279</v>
      </c>
      <c r="H2180" s="8">
        <v>2970</v>
      </c>
      <c r="I2180" s="8">
        <v>1740</v>
      </c>
      <c r="J2180" s="8">
        <v>424038401</v>
      </c>
      <c r="K2180" s="9">
        <v>45407</v>
      </c>
      <c r="L2180" s="9">
        <v>47178</v>
      </c>
      <c r="M2180" s="8" t="s">
        <v>16</v>
      </c>
      <c r="P2180" s="16" t="s">
        <v>1888</v>
      </c>
      <c r="Q2180" s="2" t="s">
        <v>151</v>
      </c>
    </row>
    <row r="2181" spans="1:17" ht="45">
      <c r="A2181" s="8" t="s">
        <v>4282</v>
      </c>
      <c r="B2181" s="8" t="s">
        <v>2177</v>
      </c>
      <c r="C2181" s="8" t="s">
        <v>2197</v>
      </c>
      <c r="D2181" s="8" t="s">
        <v>18</v>
      </c>
      <c r="E2181" s="8" t="s">
        <v>151</v>
      </c>
      <c r="F2181" s="8" t="s">
        <v>2325</v>
      </c>
      <c r="G2181" s="8" t="s">
        <v>4283</v>
      </c>
      <c r="H2181" s="8">
        <v>98</v>
      </c>
      <c r="I2181" s="8">
        <v>98</v>
      </c>
      <c r="J2181" s="8">
        <v>1910103</v>
      </c>
      <c r="K2181" s="9">
        <v>44390</v>
      </c>
      <c r="L2181" s="9">
        <v>45566</v>
      </c>
      <c r="M2181" s="8" t="s">
        <v>151</v>
      </c>
      <c r="P2181" s="16" t="s">
        <v>1891</v>
      </c>
      <c r="Q2181" s="2" t="s">
        <v>151</v>
      </c>
    </row>
    <row r="2182" spans="1:17" ht="45">
      <c r="A2182" s="8" t="s">
        <v>4284</v>
      </c>
      <c r="B2182" s="8" t="s">
        <v>2178</v>
      </c>
      <c r="C2182" s="8" t="s">
        <v>2197</v>
      </c>
      <c r="D2182" s="8" t="s">
        <v>18</v>
      </c>
      <c r="E2182" s="8" t="s">
        <v>151</v>
      </c>
      <c r="F2182" s="8" t="s">
        <v>2325</v>
      </c>
      <c r="G2182" s="8" t="s">
        <v>4283</v>
      </c>
      <c r="H2182" s="8">
        <v>350</v>
      </c>
      <c r="I2182" s="8">
        <v>350</v>
      </c>
      <c r="J2182" s="8">
        <v>1910103</v>
      </c>
      <c r="K2182" s="9">
        <v>44390</v>
      </c>
      <c r="L2182" s="9">
        <v>45566</v>
      </c>
      <c r="M2182" s="8" t="s">
        <v>151</v>
      </c>
      <c r="P2182" s="16" t="s">
        <v>1891</v>
      </c>
      <c r="Q2182" s="2" t="s">
        <v>151</v>
      </c>
    </row>
    <row r="2183" spans="1:17" ht="45">
      <c r="A2183" s="8" t="s">
        <v>4285</v>
      </c>
      <c r="B2183" s="8" t="s">
        <v>2179</v>
      </c>
      <c r="C2183" s="8" t="s">
        <v>2197</v>
      </c>
      <c r="D2183" s="8" t="s">
        <v>192</v>
      </c>
      <c r="E2183" s="8" t="s">
        <v>151</v>
      </c>
      <c r="F2183" s="8" t="s">
        <v>2325</v>
      </c>
      <c r="G2183" s="8" t="s">
        <v>4283</v>
      </c>
      <c r="H2183" s="8">
        <v>1099</v>
      </c>
      <c r="I2183" s="8">
        <v>1099</v>
      </c>
      <c r="J2183" s="8">
        <v>1907103</v>
      </c>
      <c r="K2183" s="9">
        <v>44390</v>
      </c>
      <c r="L2183" s="9">
        <v>45474</v>
      </c>
      <c r="M2183" s="8" t="s">
        <v>151</v>
      </c>
      <c r="P2183" s="17" t="s">
        <v>1892</v>
      </c>
      <c r="Q2183" s="2" t="s">
        <v>38</v>
      </c>
    </row>
    <row r="2184" spans="1:17" ht="45">
      <c r="A2184" s="8" t="s">
        <v>4286</v>
      </c>
      <c r="B2184" s="8" t="s">
        <v>2180</v>
      </c>
      <c r="C2184" s="8" t="s">
        <v>2197</v>
      </c>
      <c r="D2184" s="8" t="s">
        <v>18</v>
      </c>
      <c r="E2184" s="8" t="s">
        <v>151</v>
      </c>
      <c r="F2184" s="8" t="s">
        <v>3543</v>
      </c>
      <c r="G2184" s="8" t="s">
        <v>4287</v>
      </c>
      <c r="H2184" s="8">
        <v>1485</v>
      </c>
      <c r="I2184" s="8">
        <v>45</v>
      </c>
      <c r="J2184" s="8">
        <v>23022405</v>
      </c>
      <c r="K2184" s="9">
        <v>45264</v>
      </c>
      <c r="L2184" s="9">
        <v>46966</v>
      </c>
      <c r="M2184" s="8" t="s">
        <v>151</v>
      </c>
      <c r="P2184" s="16" t="s">
        <v>1893</v>
      </c>
      <c r="Q2184" s="2" t="s">
        <v>43</v>
      </c>
    </row>
    <row r="2185" spans="1:17" ht="45">
      <c r="A2185" s="8" t="s">
        <v>4286</v>
      </c>
      <c r="B2185" s="8" t="s">
        <v>2180</v>
      </c>
      <c r="C2185" s="8" t="s">
        <v>2197</v>
      </c>
      <c r="D2185" s="8" t="s">
        <v>18</v>
      </c>
      <c r="E2185" s="8" t="s">
        <v>151</v>
      </c>
      <c r="F2185" s="8" t="s">
        <v>3543</v>
      </c>
      <c r="G2185" s="8" t="s">
        <v>4287</v>
      </c>
      <c r="H2185" s="8">
        <v>1485</v>
      </c>
      <c r="I2185" s="8">
        <v>1440</v>
      </c>
      <c r="J2185" s="8">
        <v>23082406</v>
      </c>
      <c r="K2185" s="9">
        <v>45264</v>
      </c>
      <c r="L2185" s="9">
        <v>46966</v>
      </c>
      <c r="M2185" s="8" t="s">
        <v>151</v>
      </c>
      <c r="P2185" s="16" t="s">
        <v>1894</v>
      </c>
      <c r="Q2185" s="2" t="s">
        <v>16</v>
      </c>
    </row>
    <row r="2186" spans="1:17" ht="112.5">
      <c r="A2186" s="12" t="s">
        <v>4288</v>
      </c>
      <c r="B2186" s="12" t="s">
        <v>2181</v>
      </c>
      <c r="C2186" s="12" t="s">
        <v>2221</v>
      </c>
      <c r="D2186" s="12" t="s">
        <v>18</v>
      </c>
      <c r="E2186" s="12" t="s">
        <v>43</v>
      </c>
      <c r="F2186" s="12" t="s">
        <v>3731</v>
      </c>
      <c r="G2186" s="12" t="s">
        <v>2217</v>
      </c>
      <c r="H2186" s="12">
        <v>40</v>
      </c>
      <c r="I2186" s="12">
        <v>40</v>
      </c>
      <c r="J2186" s="12">
        <v>0</v>
      </c>
      <c r="K2186" s="13">
        <v>44656</v>
      </c>
      <c r="L2186" s="12" t="s">
        <v>2222</v>
      </c>
      <c r="M2186" s="8" t="s">
        <v>43</v>
      </c>
      <c r="P2186" s="16" t="s">
        <v>1895</v>
      </c>
      <c r="Q2186" s="2" t="s">
        <v>16</v>
      </c>
    </row>
    <row r="2187" spans="1:17" ht="48.75">
      <c r="A2187" s="8" t="s">
        <v>4289</v>
      </c>
      <c r="B2187" s="8" t="s">
        <v>2182</v>
      </c>
      <c r="C2187" s="8" t="s">
        <v>2203</v>
      </c>
      <c r="D2187" s="8" t="s">
        <v>18</v>
      </c>
      <c r="E2187" s="8" t="s">
        <v>151</v>
      </c>
      <c r="F2187" s="8" t="s">
        <v>151</v>
      </c>
      <c r="G2187" s="8" t="s">
        <v>4290</v>
      </c>
      <c r="H2187" s="8">
        <v>66414</v>
      </c>
      <c r="I2187" s="8">
        <v>150</v>
      </c>
      <c r="J2187" s="8">
        <v>0</v>
      </c>
      <c r="K2187" s="9">
        <v>45359</v>
      </c>
      <c r="L2187" s="9">
        <v>46569</v>
      </c>
      <c r="M2187" s="8" t="s">
        <v>151</v>
      </c>
      <c r="P2187" s="16" t="s">
        <v>1895</v>
      </c>
      <c r="Q2187" s="2" t="s">
        <v>16</v>
      </c>
    </row>
    <row r="2188" spans="1:17" ht="48.75">
      <c r="A2188" s="8" t="s">
        <v>4291</v>
      </c>
      <c r="B2188" s="8" t="s">
        <v>2182</v>
      </c>
      <c r="C2188" s="8" t="s">
        <v>2203</v>
      </c>
      <c r="D2188" s="8" t="s">
        <v>18</v>
      </c>
      <c r="E2188" s="8" t="s">
        <v>151</v>
      </c>
      <c r="F2188" s="8" t="s">
        <v>151</v>
      </c>
      <c r="G2188" s="8" t="s">
        <v>4290</v>
      </c>
      <c r="H2188" s="8">
        <v>1144</v>
      </c>
      <c r="I2188" s="8">
        <v>1144</v>
      </c>
      <c r="J2188" s="8">
        <v>0</v>
      </c>
      <c r="K2188" s="9">
        <v>45359</v>
      </c>
      <c r="L2188" s="9">
        <v>47453</v>
      </c>
      <c r="M2188" s="8" t="s">
        <v>151</v>
      </c>
      <c r="P2188" s="16" t="s">
        <v>1895</v>
      </c>
      <c r="Q2188" s="2" t="s">
        <v>16</v>
      </c>
    </row>
    <row r="2189" spans="1:17" ht="48.75">
      <c r="A2189" s="8" t="s">
        <v>4289</v>
      </c>
      <c r="B2189" s="8" t="s">
        <v>2182</v>
      </c>
      <c r="C2189" s="8" t="s">
        <v>2203</v>
      </c>
      <c r="D2189" s="8" t="s">
        <v>18</v>
      </c>
      <c r="E2189" s="8" t="s">
        <v>151</v>
      </c>
      <c r="F2189" s="8" t="s">
        <v>151</v>
      </c>
      <c r="G2189" s="8" t="s">
        <v>4290</v>
      </c>
      <c r="H2189" s="8">
        <v>66414</v>
      </c>
      <c r="I2189" s="8">
        <v>66264</v>
      </c>
      <c r="J2189" s="8">
        <v>0</v>
      </c>
      <c r="K2189" s="9">
        <v>45359</v>
      </c>
      <c r="L2189" s="9">
        <v>47453</v>
      </c>
      <c r="M2189" s="8" t="s">
        <v>151</v>
      </c>
      <c r="P2189" s="16" t="s">
        <v>1900</v>
      </c>
      <c r="Q2189" s="2" t="s">
        <v>151</v>
      </c>
    </row>
    <row r="2190" spans="1:17" ht="48.75">
      <c r="A2190" s="8" t="s">
        <v>4292</v>
      </c>
      <c r="B2190" s="8" t="s">
        <v>2183</v>
      </c>
      <c r="C2190" s="8" t="s">
        <v>2994</v>
      </c>
      <c r="D2190" s="8" t="s">
        <v>18</v>
      </c>
      <c r="E2190" s="8" t="s">
        <v>2217</v>
      </c>
      <c r="F2190" s="8" t="s">
        <v>2217</v>
      </c>
      <c r="G2190" s="8" t="s">
        <v>2217</v>
      </c>
      <c r="H2190" s="8">
        <v>18</v>
      </c>
      <c r="I2190" s="8">
        <v>18</v>
      </c>
      <c r="J2190" s="8">
        <v>0</v>
      </c>
      <c r="K2190" s="9">
        <v>45428</v>
      </c>
      <c r="L2190" s="9">
        <v>46508</v>
      </c>
      <c r="M2190" s="8" t="s">
        <v>151</v>
      </c>
      <c r="P2190" s="16" t="s">
        <v>1901</v>
      </c>
      <c r="Q2190" s="2" t="s">
        <v>16</v>
      </c>
    </row>
    <row r="2191" spans="1:17" ht="48.75">
      <c r="P2191" s="16" t="s">
        <v>1901</v>
      </c>
      <c r="Q2191" s="2" t="s">
        <v>16</v>
      </c>
    </row>
    <row r="2192" spans="1:17">
      <c r="P2192" s="17" t="s">
        <v>1902</v>
      </c>
      <c r="Q2192" s="2" t="s">
        <v>38</v>
      </c>
    </row>
    <row r="2193" spans="16:17" ht="48.75">
      <c r="P2193" s="16" t="s">
        <v>1903</v>
      </c>
      <c r="Q2193" s="2" t="s">
        <v>16</v>
      </c>
    </row>
    <row r="2194" spans="16:17" ht="48.75">
      <c r="P2194" s="16" t="s">
        <v>1903</v>
      </c>
      <c r="Q2194" s="2" t="s">
        <v>16</v>
      </c>
    </row>
    <row r="2195" spans="16:17" ht="48.75">
      <c r="P2195" s="16" t="s">
        <v>1903</v>
      </c>
      <c r="Q2195" s="2" t="s">
        <v>16</v>
      </c>
    </row>
    <row r="2196" spans="16:17" ht="48.75">
      <c r="P2196" s="16" t="s">
        <v>1903</v>
      </c>
      <c r="Q2196" s="2" t="s">
        <v>16</v>
      </c>
    </row>
    <row r="2197" spans="16:17" ht="48.75">
      <c r="P2197" s="16" t="s">
        <v>1903</v>
      </c>
      <c r="Q2197" s="2" t="s">
        <v>16</v>
      </c>
    </row>
    <row r="2198" spans="16:17" ht="48.75">
      <c r="P2198" s="16" t="s">
        <v>1903</v>
      </c>
      <c r="Q2198" s="2" t="s">
        <v>16</v>
      </c>
    </row>
    <row r="2199" spans="16:17" ht="48.75">
      <c r="P2199" s="16" t="s">
        <v>1903</v>
      </c>
      <c r="Q2199" s="2" t="s">
        <v>16</v>
      </c>
    </row>
    <row r="2200" spans="16:17" ht="48.75">
      <c r="P2200" s="16" t="s">
        <v>1904</v>
      </c>
      <c r="Q2200" s="2" t="s">
        <v>16</v>
      </c>
    </row>
    <row r="2201" spans="16:17" ht="48.75">
      <c r="P2201" s="16" t="s">
        <v>1904</v>
      </c>
      <c r="Q2201" s="2" t="s">
        <v>16</v>
      </c>
    </row>
    <row r="2202" spans="16:17" ht="48.75">
      <c r="P2202" s="16" t="s">
        <v>1904</v>
      </c>
      <c r="Q2202" s="2" t="s">
        <v>16</v>
      </c>
    </row>
    <row r="2203" spans="16:17">
      <c r="P2203" s="17" t="s">
        <v>1905</v>
      </c>
      <c r="Q2203" s="2" t="s">
        <v>16</v>
      </c>
    </row>
    <row r="2204" spans="16:17" ht="24.75">
      <c r="P2204" s="16" t="s">
        <v>1907</v>
      </c>
      <c r="Q2204" s="2" t="s">
        <v>16</v>
      </c>
    </row>
    <row r="2205" spans="16:17" ht="24.75">
      <c r="P2205" s="16" t="s">
        <v>1908</v>
      </c>
      <c r="Q2205" s="2" t="s">
        <v>16</v>
      </c>
    </row>
    <row r="2206" spans="16:17" ht="24.75">
      <c r="P2206" s="17" t="s">
        <v>1909</v>
      </c>
      <c r="Q2206" s="2" t="s">
        <v>312</v>
      </c>
    </row>
    <row r="2207" spans="16:17" ht="48.75">
      <c r="P2207" s="16" t="s">
        <v>1910</v>
      </c>
      <c r="Q2207" s="2" t="s">
        <v>312</v>
      </c>
    </row>
    <row r="2208" spans="16:17" ht="48.75">
      <c r="P2208" s="16" t="s">
        <v>1910</v>
      </c>
      <c r="Q2208" s="2" t="s">
        <v>312</v>
      </c>
    </row>
    <row r="2209" spans="16:17" ht="48.75">
      <c r="P2209" s="16" t="s">
        <v>1911</v>
      </c>
      <c r="Q2209" s="2" t="s">
        <v>312</v>
      </c>
    </row>
    <row r="2210" spans="16:17" ht="24.75">
      <c r="P2210" s="17" t="s">
        <v>1912</v>
      </c>
      <c r="Q2210" s="2" t="s">
        <v>312</v>
      </c>
    </row>
    <row r="2211" spans="16:17" ht="24.75">
      <c r="P2211" s="17" t="s">
        <v>1913</v>
      </c>
      <c r="Q2211" s="2" t="s">
        <v>312</v>
      </c>
    </row>
    <row r="2212" spans="16:17" ht="48.75">
      <c r="P2212" s="16" t="s">
        <v>1914</v>
      </c>
      <c r="Q2212" s="2" t="s">
        <v>38</v>
      </c>
    </row>
    <row r="2213" spans="16:17" ht="48.75">
      <c r="P2213" s="16" t="s">
        <v>1915</v>
      </c>
      <c r="Q2213" s="2" t="s">
        <v>16</v>
      </c>
    </row>
    <row r="2214" spans="16:17" ht="48.75">
      <c r="P2214" s="16" t="s">
        <v>1916</v>
      </c>
      <c r="Q2214" s="2" t="s">
        <v>16</v>
      </c>
    </row>
    <row r="2215" spans="16:17" ht="48.75">
      <c r="P2215" s="16" t="s">
        <v>1916</v>
      </c>
      <c r="Q2215" s="2" t="s">
        <v>16</v>
      </c>
    </row>
    <row r="2216" spans="16:17" ht="48.75">
      <c r="P2216" s="16" t="s">
        <v>1917</v>
      </c>
      <c r="Q2216" s="2" t="s">
        <v>16</v>
      </c>
    </row>
    <row r="2217" spans="16:17" ht="48.75">
      <c r="P2217" s="16" t="s">
        <v>1917</v>
      </c>
      <c r="Q2217" s="2" t="s">
        <v>16</v>
      </c>
    </row>
    <row r="2218" spans="16:17" ht="48.75">
      <c r="P2218" s="16" t="s">
        <v>1917</v>
      </c>
      <c r="Q2218" s="2" t="s">
        <v>16</v>
      </c>
    </row>
    <row r="2219" spans="16:17" ht="48.75">
      <c r="P2219" s="16" t="s">
        <v>1917</v>
      </c>
      <c r="Q2219" s="2" t="s">
        <v>16</v>
      </c>
    </row>
    <row r="2220" spans="16:17" ht="48.75">
      <c r="P2220" s="16" t="s">
        <v>1917</v>
      </c>
      <c r="Q2220" s="2" t="s">
        <v>16</v>
      </c>
    </row>
    <row r="2221" spans="16:17" ht="48.75">
      <c r="P2221" s="16" t="s">
        <v>1918</v>
      </c>
      <c r="Q2221" s="2" t="s">
        <v>38</v>
      </c>
    </row>
    <row r="2222" spans="16:17" ht="48.75">
      <c r="P2222" s="16" t="s">
        <v>1919</v>
      </c>
      <c r="Q2222" s="2" t="s">
        <v>16</v>
      </c>
    </row>
    <row r="2223" spans="16:17" ht="24.75">
      <c r="P2223" s="16" t="s">
        <v>1920</v>
      </c>
      <c r="Q2223" s="2" t="s">
        <v>43</v>
      </c>
    </row>
    <row r="2224" spans="16:17" ht="36.75">
      <c r="P2224" s="16" t="s">
        <v>1921</v>
      </c>
      <c r="Q2224" s="2" t="s">
        <v>43</v>
      </c>
    </row>
    <row r="2225" spans="16:17">
      <c r="P2225" s="16" t="s">
        <v>1922</v>
      </c>
      <c r="Q2225" s="2" t="s">
        <v>41</v>
      </c>
    </row>
    <row r="2226" spans="16:17" ht="36.75">
      <c r="P2226" s="16" t="s">
        <v>1923</v>
      </c>
      <c r="Q2226" s="2" t="s">
        <v>41</v>
      </c>
    </row>
    <row r="2227" spans="16:17" ht="36.75">
      <c r="P2227" s="16" t="s">
        <v>1924</v>
      </c>
      <c r="Q2227" s="2" t="s">
        <v>16</v>
      </c>
    </row>
    <row r="2228" spans="16:17" ht="36.75">
      <c r="P2228" s="16" t="s">
        <v>1924</v>
      </c>
      <c r="Q2228" s="2" t="s">
        <v>16</v>
      </c>
    </row>
    <row r="2229" spans="16:17" ht="36.75">
      <c r="P2229" s="16" t="s">
        <v>1924</v>
      </c>
      <c r="Q2229" s="2" t="s">
        <v>16</v>
      </c>
    </row>
    <row r="2230" spans="16:17" ht="36.75">
      <c r="P2230" s="16" t="s">
        <v>1924</v>
      </c>
      <c r="Q2230" s="2" t="s">
        <v>16</v>
      </c>
    </row>
    <row r="2231" spans="16:17" ht="36.75">
      <c r="P2231" s="16" t="s">
        <v>1924</v>
      </c>
      <c r="Q2231" s="2" t="s">
        <v>16</v>
      </c>
    </row>
    <row r="2232" spans="16:17" ht="36.75">
      <c r="P2232" s="16" t="s">
        <v>1924</v>
      </c>
      <c r="Q2232" s="2" t="s">
        <v>16</v>
      </c>
    </row>
    <row r="2233" spans="16:17" ht="36.75">
      <c r="P2233" s="16" t="s">
        <v>1924</v>
      </c>
      <c r="Q2233" s="2" t="s">
        <v>16</v>
      </c>
    </row>
    <row r="2234" spans="16:17" ht="36.75">
      <c r="P2234" s="16" t="s">
        <v>1924</v>
      </c>
      <c r="Q2234" s="2" t="s">
        <v>16</v>
      </c>
    </row>
    <row r="2235" spans="16:17" ht="36.75">
      <c r="P2235" s="16" t="s">
        <v>1924</v>
      </c>
      <c r="Q2235" s="2" t="s">
        <v>16</v>
      </c>
    </row>
    <row r="2236" spans="16:17" ht="36.75">
      <c r="P2236" s="16" t="s">
        <v>1934</v>
      </c>
      <c r="Q2236" s="2" t="s">
        <v>16</v>
      </c>
    </row>
    <row r="2237" spans="16:17" ht="36.75">
      <c r="P2237" s="16" t="s">
        <v>1934</v>
      </c>
      <c r="Q2237" s="2" t="s">
        <v>16</v>
      </c>
    </row>
    <row r="2238" spans="16:17" ht="36.75">
      <c r="P2238" s="16" t="s">
        <v>1934</v>
      </c>
      <c r="Q2238" s="2" t="s">
        <v>16</v>
      </c>
    </row>
    <row r="2239" spans="16:17" ht="36.75">
      <c r="P2239" s="16" t="s">
        <v>1934</v>
      </c>
      <c r="Q2239" s="2" t="s">
        <v>16</v>
      </c>
    </row>
    <row r="2240" spans="16:17" ht="36.75">
      <c r="P2240" s="16" t="s">
        <v>1934</v>
      </c>
      <c r="Q2240" s="2" t="s">
        <v>16</v>
      </c>
    </row>
    <row r="2241" spans="16:17" ht="36.75">
      <c r="P2241" s="16" t="s">
        <v>1940</v>
      </c>
      <c r="Q2241" s="2" t="s">
        <v>16</v>
      </c>
    </row>
    <row r="2242" spans="16:17" ht="36.75">
      <c r="P2242" s="16" t="s">
        <v>1940</v>
      </c>
      <c r="Q2242" s="2" t="s">
        <v>16</v>
      </c>
    </row>
    <row r="2243" spans="16:17" ht="36.75">
      <c r="P2243" s="16" t="s">
        <v>1940</v>
      </c>
      <c r="Q2243" s="2" t="s">
        <v>16</v>
      </c>
    </row>
    <row r="2244" spans="16:17" ht="36.75">
      <c r="P2244" s="16" t="s">
        <v>1940</v>
      </c>
      <c r="Q2244" s="2" t="s">
        <v>16</v>
      </c>
    </row>
    <row r="2245" spans="16:17" ht="36.75">
      <c r="P2245" s="16" t="s">
        <v>1945</v>
      </c>
      <c r="Q2245" s="2" t="s">
        <v>16</v>
      </c>
    </row>
    <row r="2246" spans="16:17" ht="36.75">
      <c r="P2246" s="16" t="s">
        <v>1946</v>
      </c>
      <c r="Q2246" s="2" t="s">
        <v>16</v>
      </c>
    </row>
    <row r="2247" spans="16:17" ht="36.75">
      <c r="P2247" s="16" t="s">
        <v>1947</v>
      </c>
      <c r="Q2247" s="2" t="s">
        <v>16</v>
      </c>
    </row>
    <row r="2248" spans="16:17" ht="36.75">
      <c r="P2248" s="16" t="s">
        <v>1948</v>
      </c>
      <c r="Q2248" s="2" t="s">
        <v>16</v>
      </c>
    </row>
    <row r="2249" spans="16:17" ht="36.75">
      <c r="P2249" s="16" t="s">
        <v>1949</v>
      </c>
      <c r="Q2249" s="2" t="s">
        <v>16</v>
      </c>
    </row>
    <row r="2250" spans="16:17" ht="36.75">
      <c r="P2250" s="16" t="s">
        <v>1951</v>
      </c>
      <c r="Q2250" s="2" t="s">
        <v>16</v>
      </c>
    </row>
    <row r="2251" spans="16:17" ht="36.75">
      <c r="P2251" s="16" t="s">
        <v>1952</v>
      </c>
      <c r="Q2251" s="2" t="s">
        <v>16</v>
      </c>
    </row>
    <row r="2252" spans="16:17" ht="36.75">
      <c r="P2252" s="16" t="s">
        <v>1953</v>
      </c>
      <c r="Q2252" s="2" t="s">
        <v>101</v>
      </c>
    </row>
    <row r="2253" spans="16:17" ht="36.75">
      <c r="P2253" s="16" t="s">
        <v>1954</v>
      </c>
      <c r="Q2253" s="2" t="s">
        <v>101</v>
      </c>
    </row>
    <row r="2254" spans="16:17" ht="36.75">
      <c r="P2254" s="16" t="s">
        <v>1955</v>
      </c>
      <c r="Q2254" s="2" t="s">
        <v>101</v>
      </c>
    </row>
    <row r="2255" spans="16:17" ht="24.75">
      <c r="P2255" s="17" t="s">
        <v>1956</v>
      </c>
      <c r="Q2255" s="2" t="s">
        <v>101</v>
      </c>
    </row>
    <row r="2256" spans="16:17" ht="24.75">
      <c r="P2256" s="17" t="s">
        <v>1957</v>
      </c>
      <c r="Q2256" s="2" t="s">
        <v>101</v>
      </c>
    </row>
    <row r="2257" spans="16:17" ht="24.75">
      <c r="P2257" s="17" t="s">
        <v>1958</v>
      </c>
      <c r="Q2257" s="2" t="s">
        <v>101</v>
      </c>
    </row>
    <row r="2258" spans="16:17" ht="24.75">
      <c r="P2258" s="17" t="s">
        <v>1959</v>
      </c>
      <c r="Q2258" s="2" t="s">
        <v>101</v>
      </c>
    </row>
    <row r="2259" spans="16:17" ht="24.75">
      <c r="P2259" s="17" t="s">
        <v>1959</v>
      </c>
      <c r="Q2259" s="2" t="s">
        <v>101</v>
      </c>
    </row>
    <row r="2260" spans="16:17" ht="36.75">
      <c r="P2260" s="16" t="s">
        <v>1960</v>
      </c>
      <c r="Q2260" s="2" t="s">
        <v>101</v>
      </c>
    </row>
    <row r="2261" spans="16:17" ht="24.75">
      <c r="P2261" s="17" t="s">
        <v>1961</v>
      </c>
      <c r="Q2261" s="2" t="s">
        <v>101</v>
      </c>
    </row>
    <row r="2262" spans="16:17" ht="36.75">
      <c r="P2262" s="16" t="s">
        <v>1962</v>
      </c>
      <c r="Q2262" s="2" t="s">
        <v>101</v>
      </c>
    </row>
    <row r="2263" spans="16:17" ht="24.75">
      <c r="P2263" s="17" t="s">
        <v>1963</v>
      </c>
      <c r="Q2263" s="2" t="s">
        <v>101</v>
      </c>
    </row>
    <row r="2264" spans="16:17" ht="24.75">
      <c r="P2264" s="17" t="s">
        <v>1963</v>
      </c>
      <c r="Q2264" s="2" t="s">
        <v>101</v>
      </c>
    </row>
    <row r="2265" spans="16:17" ht="24.75">
      <c r="P2265" s="17" t="s">
        <v>1964</v>
      </c>
      <c r="Q2265" s="2" t="s">
        <v>101</v>
      </c>
    </row>
    <row r="2266" spans="16:17" ht="24.75">
      <c r="P2266" s="16" t="s">
        <v>1965</v>
      </c>
      <c r="Q2266" s="2" t="s">
        <v>41</v>
      </c>
    </row>
    <row r="2267" spans="16:17" ht="24.75">
      <c r="P2267" s="16" t="s">
        <v>1966</v>
      </c>
      <c r="Q2267" s="2" t="s">
        <v>41</v>
      </c>
    </row>
    <row r="2268" spans="16:17" ht="24.75">
      <c r="P2268" s="16" t="s">
        <v>1967</v>
      </c>
      <c r="Q2268" s="2" t="s">
        <v>41</v>
      </c>
    </row>
    <row r="2269" spans="16:17">
      <c r="P2269" s="17" t="s">
        <v>1968</v>
      </c>
      <c r="Q2269" s="2" t="s">
        <v>41</v>
      </c>
    </row>
    <row r="2270" spans="16:17" ht="36.75">
      <c r="P2270" s="16" t="s">
        <v>1969</v>
      </c>
      <c r="Q2270" s="2" t="s">
        <v>16</v>
      </c>
    </row>
    <row r="2271" spans="16:17" ht="36.75">
      <c r="P2271" s="16" t="s">
        <v>1971</v>
      </c>
      <c r="Q2271" s="2" t="s">
        <v>16</v>
      </c>
    </row>
    <row r="2272" spans="16:17" ht="36.75">
      <c r="P2272" s="16" t="s">
        <v>1971</v>
      </c>
      <c r="Q2272" s="2" t="s">
        <v>16</v>
      </c>
    </row>
    <row r="2273" spans="16:17" ht="36.75">
      <c r="P2273" s="16" t="s">
        <v>1971</v>
      </c>
      <c r="Q2273" s="2" t="s">
        <v>16</v>
      </c>
    </row>
    <row r="2274" spans="16:17" ht="36.75">
      <c r="P2274" s="16" t="s">
        <v>1975</v>
      </c>
      <c r="Q2274" s="2" t="s">
        <v>16</v>
      </c>
    </row>
    <row r="2275" spans="16:17" ht="36.75">
      <c r="P2275" s="16" t="s">
        <v>1976</v>
      </c>
      <c r="Q2275" s="2" t="s">
        <v>41</v>
      </c>
    </row>
    <row r="2276" spans="16:17" ht="24.75">
      <c r="P2276" s="16" t="s">
        <v>1977</v>
      </c>
      <c r="Q2276" s="2" t="s">
        <v>43</v>
      </c>
    </row>
    <row r="2277" spans="16:17" ht="36.75">
      <c r="P2277" s="16" t="s">
        <v>1978</v>
      </c>
      <c r="Q2277" s="2" t="s">
        <v>38</v>
      </c>
    </row>
    <row r="2278" spans="16:17" ht="36.75">
      <c r="P2278" s="16" t="s">
        <v>1979</v>
      </c>
      <c r="Q2278" s="2" t="s">
        <v>16</v>
      </c>
    </row>
    <row r="2279" spans="16:17" ht="36.75">
      <c r="P2279" s="16" t="s">
        <v>1979</v>
      </c>
      <c r="Q2279" s="2" t="s">
        <v>16</v>
      </c>
    </row>
    <row r="2280" spans="16:17" ht="36.75">
      <c r="P2280" s="16" t="s">
        <v>1980</v>
      </c>
      <c r="Q2280" s="2" t="s">
        <v>16</v>
      </c>
    </row>
    <row r="2281" spans="16:17" ht="36.75">
      <c r="P2281" s="16" t="s">
        <v>1980</v>
      </c>
      <c r="Q2281" s="2" t="s">
        <v>16</v>
      </c>
    </row>
    <row r="2282" spans="16:17" ht="36.75">
      <c r="P2282" s="16" t="s">
        <v>1980</v>
      </c>
      <c r="Q2282" s="2" t="s">
        <v>16</v>
      </c>
    </row>
    <row r="2283" spans="16:17" ht="36.75">
      <c r="P2283" s="16" t="s">
        <v>1981</v>
      </c>
      <c r="Q2283" s="2" t="s">
        <v>16</v>
      </c>
    </row>
    <row r="2284" spans="16:17" ht="36.75">
      <c r="P2284" s="16" t="s">
        <v>1981</v>
      </c>
      <c r="Q2284" s="2" t="s">
        <v>16</v>
      </c>
    </row>
    <row r="2285" spans="16:17" ht="36.75">
      <c r="P2285" s="16" t="s">
        <v>1981</v>
      </c>
      <c r="Q2285" s="2" t="s">
        <v>16</v>
      </c>
    </row>
    <row r="2286" spans="16:17" ht="36.75">
      <c r="P2286" s="16" t="s">
        <v>1981</v>
      </c>
      <c r="Q2286" s="2" t="s">
        <v>16</v>
      </c>
    </row>
    <row r="2287" spans="16:17" ht="36.75">
      <c r="P2287" s="16" t="s">
        <v>1982</v>
      </c>
      <c r="Q2287" s="2" t="s">
        <v>16</v>
      </c>
    </row>
    <row r="2288" spans="16:17" ht="36.75">
      <c r="P2288" s="16" t="s">
        <v>1982</v>
      </c>
      <c r="Q2288" s="2" t="s">
        <v>16</v>
      </c>
    </row>
    <row r="2289" spans="16:17" ht="36.75">
      <c r="P2289" s="16" t="s">
        <v>1982</v>
      </c>
      <c r="Q2289" s="2" t="s">
        <v>16</v>
      </c>
    </row>
    <row r="2290" spans="16:17" ht="36.75">
      <c r="P2290" s="16" t="s">
        <v>1983</v>
      </c>
      <c r="Q2290" s="2" t="s">
        <v>16</v>
      </c>
    </row>
    <row r="2291" spans="16:17" ht="36.75">
      <c r="P2291" s="16" t="s">
        <v>1983</v>
      </c>
      <c r="Q2291" s="2" t="s">
        <v>16</v>
      </c>
    </row>
    <row r="2292" spans="16:17" ht="36.75">
      <c r="P2292" s="16" t="s">
        <v>1984</v>
      </c>
      <c r="Q2292" s="2" t="s">
        <v>41</v>
      </c>
    </row>
    <row r="2293" spans="16:17" ht="48.75">
      <c r="P2293" s="16" t="s">
        <v>1985</v>
      </c>
      <c r="Q2293" s="2" t="s">
        <v>16</v>
      </c>
    </row>
    <row r="2294" spans="16:17" ht="48.75">
      <c r="P2294" s="16" t="s">
        <v>1986</v>
      </c>
      <c r="Q2294" s="2" t="s">
        <v>16</v>
      </c>
    </row>
    <row r="2295" spans="16:17">
      <c r="P2295" s="17" t="s">
        <v>1987</v>
      </c>
      <c r="Q2295" s="2" t="s">
        <v>16</v>
      </c>
    </row>
    <row r="2296" spans="16:17" ht="48.75">
      <c r="P2296" s="16" t="s">
        <v>1989</v>
      </c>
      <c r="Q2296" s="2" t="s">
        <v>16</v>
      </c>
    </row>
    <row r="2297" spans="16:17" ht="48.75">
      <c r="P2297" s="16" t="s">
        <v>1991</v>
      </c>
      <c r="Q2297" s="2" t="s">
        <v>16</v>
      </c>
    </row>
    <row r="2298" spans="16:17" ht="48.75">
      <c r="P2298" s="16" t="s">
        <v>1992</v>
      </c>
      <c r="Q2298" s="2" t="s">
        <v>16</v>
      </c>
    </row>
    <row r="2299" spans="16:17" ht="36.75">
      <c r="P2299" s="16" t="s">
        <v>1993</v>
      </c>
      <c r="Q2299" s="2" t="s">
        <v>16</v>
      </c>
    </row>
    <row r="2300" spans="16:17" ht="36.75">
      <c r="P2300" s="16" t="s">
        <v>1993</v>
      </c>
      <c r="Q2300" s="2" t="s">
        <v>16</v>
      </c>
    </row>
    <row r="2301" spans="16:17" ht="36.75">
      <c r="P2301" s="16" t="s">
        <v>1996</v>
      </c>
      <c r="Q2301" s="2" t="s">
        <v>16</v>
      </c>
    </row>
    <row r="2302" spans="16:17" ht="36.75">
      <c r="P2302" s="16" t="s">
        <v>1996</v>
      </c>
      <c r="Q2302" s="2" t="s">
        <v>16</v>
      </c>
    </row>
    <row r="2303" spans="16:17" ht="24.75">
      <c r="P2303" s="16" t="s">
        <v>1998</v>
      </c>
      <c r="Q2303" s="2" t="s">
        <v>43</v>
      </c>
    </row>
    <row r="2304" spans="16:17" ht="48.75">
      <c r="P2304" s="16" t="s">
        <v>1999</v>
      </c>
      <c r="Q2304" s="2" t="s">
        <v>41</v>
      </c>
    </row>
    <row r="2305" spans="16:17" ht="24.75">
      <c r="P2305" s="16" t="s">
        <v>2000</v>
      </c>
      <c r="Q2305" s="2" t="s">
        <v>41</v>
      </c>
    </row>
    <row r="2306" spans="16:17" ht="48.75">
      <c r="P2306" s="16" t="s">
        <v>2001</v>
      </c>
      <c r="Q2306" s="2" t="s">
        <v>101</v>
      </c>
    </row>
    <row r="2307" spans="16:17" ht="24.75">
      <c r="P2307" s="16" t="s">
        <v>2002</v>
      </c>
      <c r="Q2307" s="2" t="s">
        <v>41</v>
      </c>
    </row>
    <row r="2308" spans="16:17" ht="36.75">
      <c r="P2308" s="16" t="s">
        <v>2003</v>
      </c>
      <c r="Q2308" s="2" t="s">
        <v>41</v>
      </c>
    </row>
    <row r="2309" spans="16:17" ht="48.75">
      <c r="P2309" s="16" t="s">
        <v>2004</v>
      </c>
      <c r="Q2309" s="2" t="s">
        <v>41</v>
      </c>
    </row>
    <row r="2310" spans="16:17" ht="24.75">
      <c r="P2310" s="17" t="s">
        <v>2005</v>
      </c>
      <c r="Q2310" s="2" t="s">
        <v>101</v>
      </c>
    </row>
    <row r="2311" spans="16:17" ht="24.75">
      <c r="P2311" s="17" t="s">
        <v>2006</v>
      </c>
      <c r="Q2311" s="2" t="s">
        <v>101</v>
      </c>
    </row>
    <row r="2312" spans="16:17" ht="24.75">
      <c r="P2312" s="16" t="s">
        <v>2007</v>
      </c>
      <c r="Q2312" s="2" t="s">
        <v>101</v>
      </c>
    </row>
    <row r="2313" spans="16:17" ht="48.75">
      <c r="P2313" s="16" t="s">
        <v>2008</v>
      </c>
      <c r="Q2313" s="2" t="s">
        <v>16</v>
      </c>
    </row>
    <row r="2314" spans="16:17" ht="48.75">
      <c r="P2314" s="16" t="s">
        <v>2009</v>
      </c>
      <c r="Q2314" s="2" t="s">
        <v>16</v>
      </c>
    </row>
    <row r="2315" spans="16:17" ht="36.75">
      <c r="P2315" s="16" t="s">
        <v>2010</v>
      </c>
      <c r="Q2315" s="2" t="s">
        <v>16</v>
      </c>
    </row>
    <row r="2316" spans="16:17" ht="36.75">
      <c r="P2316" s="16" t="s">
        <v>2012</v>
      </c>
      <c r="Q2316" s="2" t="s">
        <v>16</v>
      </c>
    </row>
    <row r="2317" spans="16:17" ht="48.75">
      <c r="P2317" s="16" t="s">
        <v>2013</v>
      </c>
      <c r="Q2317" s="2" t="s">
        <v>16</v>
      </c>
    </row>
    <row r="2318" spans="16:17" ht="48.75">
      <c r="P2318" s="16" t="s">
        <v>2013</v>
      </c>
      <c r="Q2318" s="2" t="s">
        <v>16</v>
      </c>
    </row>
    <row r="2319" spans="16:17" ht="36.75">
      <c r="P2319" s="16" t="s">
        <v>2016</v>
      </c>
      <c r="Q2319" s="2" t="s">
        <v>16</v>
      </c>
    </row>
    <row r="2320" spans="16:17" ht="36.75">
      <c r="P2320" s="16" t="s">
        <v>2018</v>
      </c>
      <c r="Q2320" s="2" t="s">
        <v>16</v>
      </c>
    </row>
    <row r="2321" spans="16:17" ht="24.75">
      <c r="P2321" s="16" t="s">
        <v>2020</v>
      </c>
      <c r="Q2321" s="2" t="s">
        <v>43</v>
      </c>
    </row>
    <row r="2322" spans="16:17" ht="48.75">
      <c r="P2322" s="16" t="s">
        <v>2021</v>
      </c>
      <c r="Q2322" s="2" t="s">
        <v>101</v>
      </c>
    </row>
    <row r="2323" spans="16:17" ht="36.75">
      <c r="P2323" s="16" t="s">
        <v>2022</v>
      </c>
      <c r="Q2323" s="2" t="s">
        <v>101</v>
      </c>
    </row>
    <row r="2324" spans="16:17" ht="24.75">
      <c r="P2324" s="17" t="s">
        <v>2023</v>
      </c>
      <c r="Q2324" s="2" t="s">
        <v>101</v>
      </c>
    </row>
    <row r="2325" spans="16:17" ht="24.75">
      <c r="P2325" s="17" t="s">
        <v>2024</v>
      </c>
      <c r="Q2325" s="2" t="s">
        <v>101</v>
      </c>
    </row>
    <row r="2326" spans="16:17" ht="36.75">
      <c r="P2326" s="16" t="s">
        <v>2025</v>
      </c>
      <c r="Q2326" s="2" t="s">
        <v>101</v>
      </c>
    </row>
    <row r="2327" spans="16:17" ht="36.75">
      <c r="P2327" s="16" t="s">
        <v>2026</v>
      </c>
      <c r="Q2327" s="2" t="s">
        <v>2027</v>
      </c>
    </row>
    <row r="2328" spans="16:17" ht="24.75">
      <c r="P2328" s="17" t="s">
        <v>2028</v>
      </c>
      <c r="Q2328" s="2" t="s">
        <v>101</v>
      </c>
    </row>
    <row r="2329" spans="16:17" ht="36.75">
      <c r="P2329" s="16" t="s">
        <v>2029</v>
      </c>
      <c r="Q2329" s="2" t="s">
        <v>101</v>
      </c>
    </row>
    <row r="2330" spans="16:17" ht="36.75">
      <c r="P2330" s="16" t="s">
        <v>2030</v>
      </c>
      <c r="Q2330" s="2" t="s">
        <v>101</v>
      </c>
    </row>
    <row r="2331" spans="16:17" ht="36.75">
      <c r="P2331" s="16" t="s">
        <v>2030</v>
      </c>
      <c r="Q2331" s="2" t="s">
        <v>101</v>
      </c>
    </row>
    <row r="2332" spans="16:17" ht="48.75">
      <c r="P2332" s="16" t="s">
        <v>2031</v>
      </c>
      <c r="Q2332" s="2" t="s">
        <v>101</v>
      </c>
    </row>
    <row r="2333" spans="16:17" ht="24.75">
      <c r="P2333" s="17" t="s">
        <v>2032</v>
      </c>
      <c r="Q2333" s="2" t="s">
        <v>101</v>
      </c>
    </row>
    <row r="2334" spans="16:17" ht="24.75">
      <c r="P2334" s="17" t="s">
        <v>2032</v>
      </c>
      <c r="Q2334" s="2" t="s">
        <v>101</v>
      </c>
    </row>
    <row r="2335" spans="16:17" ht="24.75">
      <c r="P2335" s="17" t="s">
        <v>2033</v>
      </c>
      <c r="Q2335" s="2" t="s">
        <v>101</v>
      </c>
    </row>
    <row r="2336" spans="16:17" ht="24.75">
      <c r="P2336" s="17" t="s">
        <v>2034</v>
      </c>
      <c r="Q2336" s="2" t="s">
        <v>101</v>
      </c>
    </row>
    <row r="2337" spans="16:17" ht="48.75">
      <c r="P2337" s="16" t="s">
        <v>2035</v>
      </c>
      <c r="Q2337" s="2" t="s">
        <v>2036</v>
      </c>
    </row>
    <row r="2338" spans="16:17" ht="36.75">
      <c r="P2338" s="16" t="s">
        <v>2037</v>
      </c>
      <c r="Q2338" s="2" t="s">
        <v>101</v>
      </c>
    </row>
    <row r="2339" spans="16:17" ht="36.75">
      <c r="P2339" s="16" t="s">
        <v>2038</v>
      </c>
      <c r="Q2339" s="2" t="s">
        <v>16</v>
      </c>
    </row>
    <row r="2340" spans="16:17" ht="36.75">
      <c r="P2340" s="16" t="s">
        <v>2038</v>
      </c>
      <c r="Q2340" s="2" t="s">
        <v>16</v>
      </c>
    </row>
    <row r="2341" spans="16:17" ht="36.75">
      <c r="P2341" s="16" t="s">
        <v>2038</v>
      </c>
      <c r="Q2341" s="2" t="s">
        <v>16</v>
      </c>
    </row>
    <row r="2342" spans="16:17" ht="36.75">
      <c r="P2342" s="16" t="s">
        <v>2038</v>
      </c>
      <c r="Q2342" s="2" t="s">
        <v>16</v>
      </c>
    </row>
    <row r="2343" spans="16:17" ht="36.75">
      <c r="P2343" s="16" t="s">
        <v>2039</v>
      </c>
      <c r="Q2343" s="2" t="s">
        <v>16</v>
      </c>
    </row>
    <row r="2344" spans="16:17" ht="48.75">
      <c r="P2344" s="16" t="s">
        <v>2040</v>
      </c>
      <c r="Q2344" s="2" t="s">
        <v>16</v>
      </c>
    </row>
    <row r="2345" spans="16:17" ht="48.75">
      <c r="P2345" s="16" t="s">
        <v>2042</v>
      </c>
      <c r="Q2345" s="2" t="s">
        <v>16</v>
      </c>
    </row>
    <row r="2346" spans="16:17" ht="48.75">
      <c r="P2346" s="16" t="s">
        <v>2042</v>
      </c>
      <c r="Q2346" s="2" t="s">
        <v>16</v>
      </c>
    </row>
    <row r="2347" spans="16:17" ht="48.75">
      <c r="P2347" s="16" t="s">
        <v>2045</v>
      </c>
      <c r="Q2347" s="2" t="s">
        <v>312</v>
      </c>
    </row>
    <row r="2348" spans="16:17" ht="36.75">
      <c r="P2348" s="16" t="s">
        <v>2046</v>
      </c>
      <c r="Q2348" s="2" t="s">
        <v>312</v>
      </c>
    </row>
    <row r="2349" spans="16:17" ht="36.75">
      <c r="P2349" s="16" t="s">
        <v>2046</v>
      </c>
      <c r="Q2349" s="2" t="s">
        <v>312</v>
      </c>
    </row>
    <row r="2350" spans="16:17" ht="48.75">
      <c r="P2350" s="16" t="s">
        <v>2047</v>
      </c>
      <c r="Q2350" s="2" t="s">
        <v>312</v>
      </c>
    </row>
    <row r="2351" spans="16:17" ht="48.75">
      <c r="P2351" s="16" t="s">
        <v>2047</v>
      </c>
      <c r="Q2351" s="2" t="s">
        <v>312</v>
      </c>
    </row>
    <row r="2352" spans="16:17" ht="48.75">
      <c r="P2352" s="16" t="s">
        <v>2048</v>
      </c>
      <c r="Q2352" s="2" t="s">
        <v>312</v>
      </c>
    </row>
    <row r="2353" spans="16:17" ht="48.75">
      <c r="P2353" s="16" t="s">
        <v>2048</v>
      </c>
      <c r="Q2353" s="2" t="s">
        <v>312</v>
      </c>
    </row>
    <row r="2354" spans="16:17" ht="48.75">
      <c r="P2354" s="16" t="s">
        <v>2049</v>
      </c>
      <c r="Q2354" s="2" t="s">
        <v>16</v>
      </c>
    </row>
    <row r="2355" spans="16:17" ht="48.75">
      <c r="P2355" s="16" t="s">
        <v>2051</v>
      </c>
      <c r="Q2355" s="2" t="s">
        <v>16</v>
      </c>
    </row>
    <row r="2356" spans="16:17" ht="48.75">
      <c r="P2356" s="16" t="s">
        <v>2051</v>
      </c>
      <c r="Q2356" s="2" t="s">
        <v>16</v>
      </c>
    </row>
    <row r="2357" spans="16:17" ht="48.75">
      <c r="P2357" s="16" t="s">
        <v>2053</v>
      </c>
      <c r="Q2357" s="2" t="s">
        <v>312</v>
      </c>
    </row>
    <row r="2358" spans="16:17" ht="48.75">
      <c r="P2358" s="16" t="s">
        <v>2054</v>
      </c>
      <c r="Q2358" s="2" t="s">
        <v>312</v>
      </c>
    </row>
    <row r="2359" spans="16:17" ht="48.75">
      <c r="P2359" s="16" t="s">
        <v>2055</v>
      </c>
      <c r="Q2359" s="2" t="s">
        <v>312</v>
      </c>
    </row>
    <row r="2360" spans="16:17" ht="48.75">
      <c r="P2360" s="16" t="s">
        <v>2055</v>
      </c>
      <c r="Q2360" s="2" t="s">
        <v>312</v>
      </c>
    </row>
    <row r="2361" spans="16:17" ht="48.75">
      <c r="P2361" s="16" t="s">
        <v>2056</v>
      </c>
      <c r="Q2361" s="2" t="s">
        <v>312</v>
      </c>
    </row>
    <row r="2362" spans="16:17" ht="48.75">
      <c r="P2362" s="16" t="s">
        <v>2056</v>
      </c>
      <c r="Q2362" s="2" t="s">
        <v>312</v>
      </c>
    </row>
    <row r="2363" spans="16:17" ht="48.75">
      <c r="P2363" s="16" t="s">
        <v>2056</v>
      </c>
      <c r="Q2363" s="2" t="s">
        <v>312</v>
      </c>
    </row>
    <row r="2364" spans="16:17" ht="48.75">
      <c r="P2364" s="16" t="s">
        <v>2056</v>
      </c>
      <c r="Q2364" s="2" t="s">
        <v>312</v>
      </c>
    </row>
    <row r="2365" spans="16:17" ht="48.75">
      <c r="P2365" s="16" t="s">
        <v>2056</v>
      </c>
      <c r="Q2365" s="2" t="s">
        <v>312</v>
      </c>
    </row>
    <row r="2366" spans="16:17" ht="48.75">
      <c r="P2366" s="16" t="s">
        <v>2056</v>
      </c>
      <c r="Q2366" s="2" t="s">
        <v>312</v>
      </c>
    </row>
    <row r="2367" spans="16:17" ht="48.75">
      <c r="P2367" s="16" t="s">
        <v>2056</v>
      </c>
      <c r="Q2367" s="2" t="s">
        <v>312</v>
      </c>
    </row>
    <row r="2368" spans="16:17" ht="48.75">
      <c r="P2368" s="16" t="s">
        <v>2056</v>
      </c>
      <c r="Q2368" s="2" t="s">
        <v>312</v>
      </c>
    </row>
    <row r="2369" spans="16:17" ht="48.75">
      <c r="P2369" s="16" t="s">
        <v>2056</v>
      </c>
      <c r="Q2369" s="2" t="s">
        <v>312</v>
      </c>
    </row>
    <row r="2370" spans="16:17" ht="48.75">
      <c r="P2370" s="16" t="s">
        <v>2056</v>
      </c>
      <c r="Q2370" s="2" t="s">
        <v>312</v>
      </c>
    </row>
    <row r="2371" spans="16:17" ht="48.75">
      <c r="P2371" s="16" t="s">
        <v>2056</v>
      </c>
      <c r="Q2371" s="2" t="s">
        <v>312</v>
      </c>
    </row>
    <row r="2372" spans="16:17" ht="48.75">
      <c r="P2372" s="16" t="s">
        <v>2056</v>
      </c>
      <c r="Q2372" s="2" t="s">
        <v>312</v>
      </c>
    </row>
    <row r="2373" spans="16:17" ht="48.75">
      <c r="P2373" s="16" t="s">
        <v>2056</v>
      </c>
      <c r="Q2373" s="2" t="s">
        <v>312</v>
      </c>
    </row>
    <row r="2374" spans="16:17" ht="48.75">
      <c r="P2374" s="16" t="s">
        <v>2056</v>
      </c>
      <c r="Q2374" s="2" t="s">
        <v>312</v>
      </c>
    </row>
    <row r="2375" spans="16:17" ht="48.75">
      <c r="P2375" s="16" t="s">
        <v>2056</v>
      </c>
      <c r="Q2375" s="2" t="s">
        <v>312</v>
      </c>
    </row>
    <row r="2376" spans="16:17" ht="48.75">
      <c r="P2376" s="16" t="s">
        <v>2056</v>
      </c>
      <c r="Q2376" s="2" t="s">
        <v>312</v>
      </c>
    </row>
    <row r="2377" spans="16:17" ht="48.75">
      <c r="P2377" s="16" t="s">
        <v>2056</v>
      </c>
      <c r="Q2377" s="2" t="s">
        <v>312</v>
      </c>
    </row>
    <row r="2378" spans="16:17" ht="48.75">
      <c r="P2378" s="16" t="s">
        <v>2056</v>
      </c>
      <c r="Q2378" s="2" t="s">
        <v>312</v>
      </c>
    </row>
    <row r="2379" spans="16:17" ht="48.75">
      <c r="P2379" s="16" t="s">
        <v>2056</v>
      </c>
      <c r="Q2379" s="2" t="s">
        <v>312</v>
      </c>
    </row>
    <row r="2380" spans="16:17" ht="48.75">
      <c r="P2380" s="16" t="s">
        <v>2056</v>
      </c>
      <c r="Q2380" s="2" t="s">
        <v>312</v>
      </c>
    </row>
    <row r="2381" spans="16:17" ht="48.75">
      <c r="P2381" s="16" t="s">
        <v>2056</v>
      </c>
      <c r="Q2381" s="2" t="s">
        <v>312</v>
      </c>
    </row>
    <row r="2382" spans="16:17" ht="48.75">
      <c r="P2382" s="16" t="s">
        <v>2056</v>
      </c>
      <c r="Q2382" s="2" t="s">
        <v>312</v>
      </c>
    </row>
    <row r="2383" spans="16:17" ht="48.75">
      <c r="P2383" s="16" t="s">
        <v>2056</v>
      </c>
      <c r="Q2383" s="2" t="s">
        <v>312</v>
      </c>
    </row>
    <row r="2384" spans="16:17" ht="48.75">
      <c r="P2384" s="16" t="s">
        <v>2056</v>
      </c>
      <c r="Q2384" s="2" t="s">
        <v>312</v>
      </c>
    </row>
    <row r="2385" spans="16:17" ht="48.75">
      <c r="P2385" s="16" t="s">
        <v>2056</v>
      </c>
      <c r="Q2385" s="2" t="s">
        <v>312</v>
      </c>
    </row>
    <row r="2386" spans="16:17" ht="48.75">
      <c r="P2386" s="16" t="s">
        <v>2056</v>
      </c>
      <c r="Q2386" s="2" t="s">
        <v>312</v>
      </c>
    </row>
    <row r="2387" spans="16:17" ht="48.75">
      <c r="P2387" s="16" t="s">
        <v>2056</v>
      </c>
      <c r="Q2387" s="2" t="s">
        <v>312</v>
      </c>
    </row>
    <row r="2388" spans="16:17" ht="48.75">
      <c r="P2388" s="16" t="s">
        <v>2056</v>
      </c>
      <c r="Q2388" s="2" t="s">
        <v>312</v>
      </c>
    </row>
    <row r="2389" spans="16:17" ht="48.75">
      <c r="P2389" s="16" t="s">
        <v>2057</v>
      </c>
      <c r="Q2389" s="2" t="s">
        <v>312</v>
      </c>
    </row>
    <row r="2390" spans="16:17" ht="48.75">
      <c r="P2390" s="16" t="s">
        <v>2057</v>
      </c>
      <c r="Q2390" s="2" t="s">
        <v>312</v>
      </c>
    </row>
    <row r="2391" spans="16:17" ht="48.75">
      <c r="P2391" s="16" t="s">
        <v>2057</v>
      </c>
      <c r="Q2391" s="2" t="s">
        <v>312</v>
      </c>
    </row>
    <row r="2392" spans="16:17" ht="48.75">
      <c r="P2392" s="16" t="s">
        <v>2057</v>
      </c>
      <c r="Q2392" s="2" t="s">
        <v>312</v>
      </c>
    </row>
    <row r="2393" spans="16:17" ht="48.75">
      <c r="P2393" s="16" t="s">
        <v>2057</v>
      </c>
      <c r="Q2393" s="2" t="s">
        <v>312</v>
      </c>
    </row>
    <row r="2394" spans="16:17" ht="48.75">
      <c r="P2394" s="16" t="s">
        <v>2057</v>
      </c>
      <c r="Q2394" s="2" t="s">
        <v>312</v>
      </c>
    </row>
    <row r="2395" spans="16:17" ht="48.75">
      <c r="P2395" s="16" t="s">
        <v>2057</v>
      </c>
      <c r="Q2395" s="2" t="s">
        <v>312</v>
      </c>
    </row>
    <row r="2396" spans="16:17" ht="48.75">
      <c r="P2396" s="16" t="s">
        <v>2057</v>
      </c>
      <c r="Q2396" s="2" t="s">
        <v>312</v>
      </c>
    </row>
    <row r="2397" spans="16:17" ht="48.75">
      <c r="P2397" s="16" t="s">
        <v>2058</v>
      </c>
      <c r="Q2397" s="2" t="s">
        <v>312</v>
      </c>
    </row>
    <row r="2398" spans="16:17" ht="48.75">
      <c r="P2398" s="16" t="s">
        <v>2059</v>
      </c>
      <c r="Q2398" s="2" t="s">
        <v>312</v>
      </c>
    </row>
    <row r="2399" spans="16:17" ht="48.75">
      <c r="P2399" s="16" t="s">
        <v>2060</v>
      </c>
      <c r="Q2399" s="2" t="s">
        <v>312</v>
      </c>
    </row>
    <row r="2400" spans="16:17" ht="48.75">
      <c r="P2400" s="16" t="s">
        <v>2060</v>
      </c>
      <c r="Q2400" s="2" t="s">
        <v>312</v>
      </c>
    </row>
    <row r="2401" spans="16:17" ht="48.75">
      <c r="P2401" s="16" t="s">
        <v>2060</v>
      </c>
      <c r="Q2401" s="2" t="s">
        <v>312</v>
      </c>
    </row>
    <row r="2402" spans="16:17" ht="48.75">
      <c r="P2402" s="16" t="s">
        <v>2060</v>
      </c>
      <c r="Q2402" s="2" t="s">
        <v>312</v>
      </c>
    </row>
    <row r="2403" spans="16:17" ht="48.75">
      <c r="P2403" s="16" t="s">
        <v>2060</v>
      </c>
      <c r="Q2403" s="2" t="s">
        <v>312</v>
      </c>
    </row>
    <row r="2404" spans="16:17" ht="24.75">
      <c r="P2404" s="16" t="s">
        <v>2061</v>
      </c>
      <c r="Q2404" s="2" t="s">
        <v>41</v>
      </c>
    </row>
    <row r="2405" spans="16:17" ht="48.75">
      <c r="P2405" s="16" t="s">
        <v>2062</v>
      </c>
      <c r="Q2405" s="2" t="s">
        <v>16</v>
      </c>
    </row>
    <row r="2406" spans="16:17" ht="48.75">
      <c r="P2406" s="16" t="s">
        <v>2063</v>
      </c>
      <c r="Q2406" s="2" t="s">
        <v>16</v>
      </c>
    </row>
    <row r="2407" spans="16:17" ht="24.75">
      <c r="P2407" s="16" t="s">
        <v>2064</v>
      </c>
      <c r="Q2407" s="2" t="s">
        <v>43</v>
      </c>
    </row>
    <row r="2408" spans="16:17" ht="24.75">
      <c r="P2408" s="16" t="s">
        <v>2065</v>
      </c>
      <c r="Q2408" s="2" t="s">
        <v>43</v>
      </c>
    </row>
    <row r="2409" spans="16:17" ht="36.75">
      <c r="P2409" s="16" t="s">
        <v>2066</v>
      </c>
      <c r="Q2409" s="2" t="s">
        <v>43</v>
      </c>
    </row>
    <row r="2410" spans="16:17" ht="36.75">
      <c r="P2410" s="16" t="s">
        <v>2067</v>
      </c>
      <c r="Q2410" s="2" t="s">
        <v>43</v>
      </c>
    </row>
    <row r="2411" spans="16:17" ht="24.75">
      <c r="P2411" s="16" t="s">
        <v>2068</v>
      </c>
      <c r="Q2411" s="2" t="s">
        <v>43</v>
      </c>
    </row>
    <row r="2412" spans="16:17" ht="24.75">
      <c r="P2412" s="16" t="s">
        <v>2069</v>
      </c>
      <c r="Q2412" s="2" t="s">
        <v>43</v>
      </c>
    </row>
    <row r="2413" spans="16:17" ht="24.75">
      <c r="P2413" s="16" t="s">
        <v>2070</v>
      </c>
      <c r="Q2413" s="2" t="s">
        <v>43</v>
      </c>
    </row>
    <row r="2414" spans="16:17" ht="36.75">
      <c r="P2414" s="16" t="s">
        <v>2071</v>
      </c>
      <c r="Q2414" s="2" t="s">
        <v>43</v>
      </c>
    </row>
    <row r="2415" spans="16:17" ht="24.75">
      <c r="P2415" s="16" t="s">
        <v>2072</v>
      </c>
      <c r="Q2415" s="2" t="s">
        <v>43</v>
      </c>
    </row>
    <row r="2416" spans="16:17" ht="36.75">
      <c r="P2416" s="16" t="s">
        <v>2073</v>
      </c>
      <c r="Q2416" s="2" t="s">
        <v>16</v>
      </c>
    </row>
    <row r="2417" spans="16:17" ht="36.75">
      <c r="P2417" s="16" t="s">
        <v>2073</v>
      </c>
      <c r="Q2417" s="2" t="s">
        <v>16</v>
      </c>
    </row>
    <row r="2418" spans="16:17" ht="36.75">
      <c r="P2418" s="16" t="s">
        <v>2074</v>
      </c>
      <c r="Q2418" s="2" t="s">
        <v>16</v>
      </c>
    </row>
    <row r="2419" spans="16:17" ht="36.75">
      <c r="P2419" s="16" t="s">
        <v>2074</v>
      </c>
      <c r="Q2419" s="2" t="s">
        <v>16</v>
      </c>
    </row>
    <row r="2420" spans="16:17" ht="36.75">
      <c r="P2420" s="16" t="s">
        <v>2075</v>
      </c>
      <c r="Q2420" s="2" t="s">
        <v>16</v>
      </c>
    </row>
    <row r="2421" spans="16:17" ht="36.75">
      <c r="P2421" s="16" t="s">
        <v>2075</v>
      </c>
      <c r="Q2421" s="2" t="s">
        <v>16</v>
      </c>
    </row>
    <row r="2422" spans="16:17" ht="36.75">
      <c r="P2422" s="16" t="s">
        <v>2075</v>
      </c>
      <c r="Q2422" s="2" t="s">
        <v>16</v>
      </c>
    </row>
    <row r="2423" spans="16:17" ht="36.75">
      <c r="P2423" s="16" t="s">
        <v>2076</v>
      </c>
      <c r="Q2423" s="2" t="s">
        <v>151</v>
      </c>
    </row>
    <row r="2424" spans="16:17" ht="36.75">
      <c r="P2424" s="16" t="s">
        <v>2077</v>
      </c>
      <c r="Q2424" s="2" t="s">
        <v>16</v>
      </c>
    </row>
    <row r="2425" spans="16:17" ht="36.75">
      <c r="P2425" s="16" t="s">
        <v>2077</v>
      </c>
      <c r="Q2425" s="2" t="s">
        <v>16</v>
      </c>
    </row>
    <row r="2426" spans="16:17" ht="36.75">
      <c r="P2426" s="16" t="s">
        <v>2077</v>
      </c>
      <c r="Q2426" s="2" t="s">
        <v>16</v>
      </c>
    </row>
    <row r="2427" spans="16:17" ht="48.75">
      <c r="P2427" s="16" t="s">
        <v>2078</v>
      </c>
      <c r="Q2427" s="2" t="s">
        <v>38</v>
      </c>
    </row>
    <row r="2428" spans="16:17" ht="36.75">
      <c r="P2428" s="16" t="s">
        <v>2079</v>
      </c>
      <c r="Q2428" s="2" t="s">
        <v>16</v>
      </c>
    </row>
    <row r="2429" spans="16:17" ht="36.75">
      <c r="P2429" s="16" t="s">
        <v>2079</v>
      </c>
      <c r="Q2429" s="2" t="s">
        <v>16</v>
      </c>
    </row>
    <row r="2430" spans="16:17" ht="36.75">
      <c r="P2430" s="16" t="s">
        <v>2082</v>
      </c>
      <c r="Q2430" s="2" t="s">
        <v>16</v>
      </c>
    </row>
    <row r="2431" spans="16:17" ht="36.75">
      <c r="P2431" s="16" t="s">
        <v>2084</v>
      </c>
      <c r="Q2431" s="2" t="s">
        <v>16</v>
      </c>
    </row>
    <row r="2432" spans="16:17" ht="36.75">
      <c r="P2432" s="16" t="s">
        <v>2084</v>
      </c>
      <c r="Q2432" s="2" t="s">
        <v>16</v>
      </c>
    </row>
    <row r="2433" spans="16:17" ht="24.75">
      <c r="P2433" s="16" t="s">
        <v>2085</v>
      </c>
      <c r="Q2433" s="2" t="s">
        <v>16</v>
      </c>
    </row>
    <row r="2434" spans="16:17" ht="36.75">
      <c r="P2434" s="16" t="s">
        <v>2086</v>
      </c>
      <c r="Q2434" s="2" t="s">
        <v>16</v>
      </c>
    </row>
    <row r="2435" spans="16:17" ht="36.75">
      <c r="P2435" s="16" t="s">
        <v>2086</v>
      </c>
      <c r="Q2435" s="2" t="s">
        <v>16</v>
      </c>
    </row>
    <row r="2436" spans="16:17" ht="36.75">
      <c r="P2436" s="16" t="s">
        <v>2087</v>
      </c>
      <c r="Q2436" s="2" t="s">
        <v>16</v>
      </c>
    </row>
    <row r="2437" spans="16:17" ht="48.75">
      <c r="P2437" s="16" t="s">
        <v>2089</v>
      </c>
      <c r="Q2437" s="2" t="s">
        <v>43</v>
      </c>
    </row>
    <row r="2438" spans="16:17" ht="48.75">
      <c r="P2438" s="16" t="s">
        <v>2090</v>
      </c>
      <c r="Q2438" s="2" t="s">
        <v>43</v>
      </c>
    </row>
    <row r="2439" spans="16:17" ht="48.75">
      <c r="P2439" s="16" t="s">
        <v>2091</v>
      </c>
      <c r="Q2439" s="2" t="s">
        <v>16</v>
      </c>
    </row>
    <row r="2440" spans="16:17" ht="48.75">
      <c r="P2440" s="16" t="s">
        <v>2091</v>
      </c>
      <c r="Q2440" s="2" t="s">
        <v>16</v>
      </c>
    </row>
    <row r="2441" spans="16:17" ht="48.75">
      <c r="P2441" s="16" t="s">
        <v>2091</v>
      </c>
      <c r="Q2441" s="2" t="s">
        <v>16</v>
      </c>
    </row>
    <row r="2442" spans="16:17" ht="48.75">
      <c r="P2442" s="16" t="s">
        <v>2091</v>
      </c>
      <c r="Q2442" s="2" t="s">
        <v>16</v>
      </c>
    </row>
    <row r="2443" spans="16:17" ht="48.75">
      <c r="P2443" s="16" t="s">
        <v>2091</v>
      </c>
      <c r="Q2443" s="2" t="s">
        <v>16</v>
      </c>
    </row>
    <row r="2444" spans="16:17" ht="48.75">
      <c r="P2444" s="16" t="s">
        <v>2091</v>
      </c>
      <c r="Q2444" s="2" t="s">
        <v>16</v>
      </c>
    </row>
    <row r="2445" spans="16:17" ht="48.75">
      <c r="P2445" s="16" t="s">
        <v>2091</v>
      </c>
      <c r="Q2445" s="2" t="s">
        <v>16</v>
      </c>
    </row>
    <row r="2446" spans="16:17" ht="48.75">
      <c r="P2446" s="16" t="s">
        <v>2091</v>
      </c>
      <c r="Q2446" s="2" t="s">
        <v>16</v>
      </c>
    </row>
    <row r="2447" spans="16:17" ht="48.75">
      <c r="P2447" s="16" t="s">
        <v>2092</v>
      </c>
      <c r="Q2447" s="2" t="s">
        <v>16</v>
      </c>
    </row>
    <row r="2448" spans="16:17" ht="48.75">
      <c r="P2448" s="16" t="s">
        <v>2092</v>
      </c>
      <c r="Q2448" s="2" t="s">
        <v>16</v>
      </c>
    </row>
    <row r="2449" spans="16:17" ht="48.75">
      <c r="P2449" s="16" t="s">
        <v>2092</v>
      </c>
      <c r="Q2449" s="2" t="s">
        <v>16</v>
      </c>
    </row>
    <row r="2450" spans="16:17" ht="36.75">
      <c r="P2450" s="16" t="s">
        <v>2093</v>
      </c>
      <c r="Q2450" s="2" t="s">
        <v>41</v>
      </c>
    </row>
    <row r="2451" spans="16:17" ht="48.75">
      <c r="P2451" s="16" t="s">
        <v>2094</v>
      </c>
      <c r="Q2451" s="2" t="s">
        <v>41</v>
      </c>
    </row>
    <row r="2452" spans="16:17" ht="48.75">
      <c r="P2452" s="16" t="s">
        <v>2095</v>
      </c>
      <c r="Q2452" s="2" t="s">
        <v>41</v>
      </c>
    </row>
    <row r="2453" spans="16:17" ht="36.75">
      <c r="P2453" s="16" t="s">
        <v>2096</v>
      </c>
      <c r="Q2453" s="2" t="s">
        <v>41</v>
      </c>
    </row>
    <row r="2454" spans="16:17" ht="48.75">
      <c r="P2454" s="16" t="s">
        <v>2097</v>
      </c>
      <c r="Q2454" s="2" t="s">
        <v>41</v>
      </c>
    </row>
    <row r="2455" spans="16:17" ht="36.75">
      <c r="P2455" s="16" t="s">
        <v>2098</v>
      </c>
      <c r="Q2455" s="2" t="s">
        <v>43</v>
      </c>
    </row>
    <row r="2456" spans="16:17" ht="24.75">
      <c r="P2456" s="16" t="s">
        <v>2099</v>
      </c>
      <c r="Q2456" s="2" t="s">
        <v>43</v>
      </c>
    </row>
    <row r="2457" spans="16:17" ht="36.75">
      <c r="P2457" s="16" t="s">
        <v>2100</v>
      </c>
      <c r="Q2457" s="2" t="s">
        <v>43</v>
      </c>
    </row>
    <row r="2458" spans="16:17" ht="36.75">
      <c r="P2458" s="16" t="s">
        <v>2101</v>
      </c>
      <c r="Q2458" s="2" t="s">
        <v>43</v>
      </c>
    </row>
    <row r="2459" spans="16:17" ht="24.75">
      <c r="P2459" s="17" t="s">
        <v>2102</v>
      </c>
      <c r="Q2459" s="2" t="s">
        <v>43</v>
      </c>
    </row>
    <row r="2460" spans="16:17" ht="36.75">
      <c r="P2460" s="16" t="s">
        <v>2103</v>
      </c>
      <c r="Q2460" s="2" t="s">
        <v>151</v>
      </c>
    </row>
    <row r="2461" spans="16:17" ht="36.75">
      <c r="P2461" s="16" t="s">
        <v>2103</v>
      </c>
      <c r="Q2461" s="2" t="s">
        <v>151</v>
      </c>
    </row>
    <row r="2462" spans="16:17" ht="36.75">
      <c r="P2462" s="16" t="s">
        <v>2104</v>
      </c>
      <c r="Q2462" s="2" t="s">
        <v>43</v>
      </c>
    </row>
    <row r="2463" spans="16:17" ht="48.75">
      <c r="P2463" s="16" t="s">
        <v>2105</v>
      </c>
      <c r="Q2463" s="2" t="s">
        <v>16</v>
      </c>
    </row>
    <row r="2464" spans="16:17" ht="48.75">
      <c r="P2464" s="16" t="s">
        <v>2106</v>
      </c>
      <c r="Q2464" s="2" t="s">
        <v>16</v>
      </c>
    </row>
    <row r="2465" spans="16:17" ht="36.75">
      <c r="P2465" s="16" t="s">
        <v>2107</v>
      </c>
      <c r="Q2465" s="2" t="s">
        <v>16</v>
      </c>
    </row>
    <row r="2466" spans="16:17">
      <c r="P2466" s="17" t="s">
        <v>2108</v>
      </c>
      <c r="Q2466" s="2" t="s">
        <v>38</v>
      </c>
    </row>
    <row r="2467" spans="16:17" ht="36.75">
      <c r="P2467" s="16" t="s">
        <v>2109</v>
      </c>
      <c r="Q2467" s="2" t="s">
        <v>16</v>
      </c>
    </row>
    <row r="2468" spans="16:17" ht="36.75">
      <c r="P2468" s="16" t="s">
        <v>2110</v>
      </c>
      <c r="Q2468" s="2" t="s">
        <v>16</v>
      </c>
    </row>
    <row r="2469" spans="16:17" ht="48.75">
      <c r="P2469" s="16" t="s">
        <v>2111</v>
      </c>
      <c r="Q2469" s="2" t="s">
        <v>16</v>
      </c>
    </row>
    <row r="2470" spans="16:17" ht="48.75">
      <c r="P2470" s="16" t="s">
        <v>2111</v>
      </c>
      <c r="Q2470" s="2" t="s">
        <v>16</v>
      </c>
    </row>
    <row r="2471" spans="16:17" ht="48.75">
      <c r="P2471" s="16" t="s">
        <v>2112</v>
      </c>
      <c r="Q2471" s="2" t="s">
        <v>16</v>
      </c>
    </row>
    <row r="2472" spans="16:17" ht="48.75">
      <c r="P2472" s="16" t="s">
        <v>2112</v>
      </c>
      <c r="Q2472" s="2" t="s">
        <v>16</v>
      </c>
    </row>
    <row r="2473" spans="16:17" ht="48.75">
      <c r="P2473" s="16" t="s">
        <v>2113</v>
      </c>
      <c r="Q2473" s="2" t="s">
        <v>16</v>
      </c>
    </row>
    <row r="2474" spans="16:17" ht="48.75">
      <c r="P2474" s="16" t="s">
        <v>2113</v>
      </c>
      <c r="Q2474" s="2" t="s">
        <v>16</v>
      </c>
    </row>
    <row r="2475" spans="16:17" ht="48.75">
      <c r="P2475" s="16" t="s">
        <v>2113</v>
      </c>
      <c r="Q2475" s="2" t="s">
        <v>16</v>
      </c>
    </row>
    <row r="2476" spans="16:17" ht="36.75">
      <c r="P2476" s="16" t="s">
        <v>2114</v>
      </c>
      <c r="Q2476" s="2" t="s">
        <v>16</v>
      </c>
    </row>
    <row r="2477" spans="16:17" ht="48.75">
      <c r="P2477" s="16" t="s">
        <v>2115</v>
      </c>
      <c r="Q2477" s="2" t="s">
        <v>16</v>
      </c>
    </row>
    <row r="2478" spans="16:17">
      <c r="P2478" s="17" t="s">
        <v>2116</v>
      </c>
      <c r="Q2478" s="2" t="s">
        <v>38</v>
      </c>
    </row>
    <row r="2479" spans="16:17" ht="24.75">
      <c r="P2479" s="16" t="s">
        <v>2117</v>
      </c>
      <c r="Q2479" s="2" t="s">
        <v>16</v>
      </c>
    </row>
    <row r="2480" spans="16:17" ht="48.75">
      <c r="P2480" s="16" t="s">
        <v>2118</v>
      </c>
      <c r="Q2480" s="2" t="s">
        <v>16</v>
      </c>
    </row>
    <row r="2481" spans="16:17" ht="48.75">
      <c r="P2481" s="16" t="s">
        <v>2120</v>
      </c>
      <c r="Q2481" s="2" t="s">
        <v>16</v>
      </c>
    </row>
    <row r="2482" spans="16:17" ht="48.75">
      <c r="P2482" s="16" t="s">
        <v>2120</v>
      </c>
      <c r="Q2482" s="2" t="s">
        <v>16</v>
      </c>
    </row>
    <row r="2483" spans="16:17" ht="36.75">
      <c r="P2483" s="16" t="s">
        <v>2123</v>
      </c>
      <c r="Q2483" s="2" t="s">
        <v>38</v>
      </c>
    </row>
    <row r="2484" spans="16:17" ht="36.75">
      <c r="P2484" s="16" t="s">
        <v>2124</v>
      </c>
      <c r="Q2484" s="2" t="s">
        <v>16</v>
      </c>
    </row>
    <row r="2485" spans="16:17" ht="36.75">
      <c r="P2485" s="16" t="s">
        <v>2124</v>
      </c>
      <c r="Q2485" s="2" t="s">
        <v>16</v>
      </c>
    </row>
    <row r="2486" spans="16:17" ht="36.75">
      <c r="P2486" s="16" t="s">
        <v>2124</v>
      </c>
      <c r="Q2486" s="2" t="s">
        <v>16</v>
      </c>
    </row>
    <row r="2487" spans="16:17" ht="36.75">
      <c r="P2487" s="16" t="s">
        <v>2126</v>
      </c>
      <c r="Q2487" s="2" t="s">
        <v>16</v>
      </c>
    </row>
    <row r="2488" spans="16:17" ht="36.75">
      <c r="P2488" s="16" t="s">
        <v>2126</v>
      </c>
      <c r="Q2488" s="2" t="s">
        <v>16</v>
      </c>
    </row>
    <row r="2489" spans="16:17" ht="36.75">
      <c r="P2489" s="16" t="s">
        <v>2126</v>
      </c>
      <c r="Q2489" s="2" t="s">
        <v>16</v>
      </c>
    </row>
    <row r="2490" spans="16:17" ht="36.75">
      <c r="P2490" s="16" t="s">
        <v>2126</v>
      </c>
      <c r="Q2490" s="2" t="s">
        <v>16</v>
      </c>
    </row>
    <row r="2491" spans="16:17" ht="36.75">
      <c r="P2491" s="16" t="s">
        <v>2126</v>
      </c>
      <c r="Q2491" s="2" t="s">
        <v>16</v>
      </c>
    </row>
    <row r="2492" spans="16:17" ht="36.75">
      <c r="P2492" s="16" t="s">
        <v>2126</v>
      </c>
      <c r="Q2492" s="2" t="s">
        <v>16</v>
      </c>
    </row>
    <row r="2493" spans="16:17" ht="36.75">
      <c r="P2493" s="16" t="s">
        <v>2126</v>
      </c>
      <c r="Q2493" s="2" t="s">
        <v>16</v>
      </c>
    </row>
    <row r="2494" spans="16:17" ht="36.75">
      <c r="P2494" s="16" t="s">
        <v>2126</v>
      </c>
      <c r="Q2494" s="2" t="s">
        <v>16</v>
      </c>
    </row>
    <row r="2495" spans="16:17" ht="36.75">
      <c r="P2495" s="16" t="s">
        <v>2127</v>
      </c>
      <c r="Q2495" s="2" t="s">
        <v>16</v>
      </c>
    </row>
    <row r="2496" spans="16:17" ht="36.75">
      <c r="P2496" s="16" t="s">
        <v>2127</v>
      </c>
      <c r="Q2496" s="2" t="s">
        <v>16</v>
      </c>
    </row>
    <row r="2497" spans="16:17" ht="36.75">
      <c r="P2497" s="16" t="s">
        <v>2128</v>
      </c>
      <c r="Q2497" s="2" t="s">
        <v>16</v>
      </c>
    </row>
    <row r="2498" spans="16:17" ht="36.75">
      <c r="P2498" s="16" t="s">
        <v>2128</v>
      </c>
      <c r="Q2498" s="2" t="s">
        <v>16</v>
      </c>
    </row>
    <row r="2499" spans="16:17" ht="36.75">
      <c r="P2499" s="16" t="s">
        <v>2128</v>
      </c>
      <c r="Q2499" s="2" t="s">
        <v>16</v>
      </c>
    </row>
    <row r="2500" spans="16:17" ht="36.75">
      <c r="P2500" s="16" t="s">
        <v>2128</v>
      </c>
      <c r="Q2500" s="2" t="s">
        <v>16</v>
      </c>
    </row>
    <row r="2501" spans="16:17" ht="36.75">
      <c r="P2501" s="16" t="s">
        <v>2128</v>
      </c>
      <c r="Q2501" s="2" t="s">
        <v>16</v>
      </c>
    </row>
    <row r="2502" spans="16:17" ht="36.75">
      <c r="P2502" s="16" t="s">
        <v>2134</v>
      </c>
      <c r="Q2502" s="2" t="s">
        <v>16</v>
      </c>
    </row>
    <row r="2503" spans="16:17" ht="48.75">
      <c r="P2503" s="16" t="s">
        <v>2136</v>
      </c>
      <c r="Q2503" s="2" t="s">
        <v>16</v>
      </c>
    </row>
    <row r="2504" spans="16:17" ht="48.75">
      <c r="P2504" s="16" t="s">
        <v>2136</v>
      </c>
      <c r="Q2504" s="2" t="s">
        <v>16</v>
      </c>
    </row>
    <row r="2505" spans="16:17" ht="48.75">
      <c r="P2505" s="16" t="s">
        <v>2136</v>
      </c>
      <c r="Q2505" s="2" t="s">
        <v>16</v>
      </c>
    </row>
    <row r="2506" spans="16:17" ht="48.75">
      <c r="P2506" s="16" t="s">
        <v>2136</v>
      </c>
      <c r="Q2506" s="2" t="s">
        <v>16</v>
      </c>
    </row>
    <row r="2507" spans="16:17" ht="48.75">
      <c r="P2507" s="16" t="s">
        <v>2141</v>
      </c>
      <c r="Q2507" s="2" t="s">
        <v>16</v>
      </c>
    </row>
    <row r="2508" spans="16:17" ht="48.75">
      <c r="P2508" s="16" t="s">
        <v>2141</v>
      </c>
      <c r="Q2508" s="2" t="s">
        <v>16</v>
      </c>
    </row>
    <row r="2509" spans="16:17" ht="48.75">
      <c r="P2509" s="16" t="s">
        <v>2141</v>
      </c>
      <c r="Q2509" s="2" t="s">
        <v>16</v>
      </c>
    </row>
    <row r="2510" spans="16:17" ht="48.75">
      <c r="P2510" s="16" t="s">
        <v>2141</v>
      </c>
      <c r="Q2510" s="2" t="s">
        <v>16</v>
      </c>
    </row>
    <row r="2511" spans="16:17" ht="48.75">
      <c r="P2511" s="16" t="s">
        <v>2141</v>
      </c>
      <c r="Q2511" s="2" t="s">
        <v>16</v>
      </c>
    </row>
    <row r="2512" spans="16:17" ht="48.75">
      <c r="P2512" s="16" t="s">
        <v>2141</v>
      </c>
      <c r="Q2512" s="2" t="s">
        <v>16</v>
      </c>
    </row>
    <row r="2513" spans="16:17" ht="48.75">
      <c r="P2513" s="16" t="s">
        <v>2141</v>
      </c>
      <c r="Q2513" s="2" t="s">
        <v>16</v>
      </c>
    </row>
    <row r="2514" spans="16:17" ht="48.75">
      <c r="P2514" s="16" t="s">
        <v>2148</v>
      </c>
      <c r="Q2514" s="2" t="s">
        <v>16</v>
      </c>
    </row>
    <row r="2515" spans="16:17" ht="48.75">
      <c r="P2515" s="16" t="s">
        <v>2148</v>
      </c>
      <c r="Q2515" s="2" t="s">
        <v>16</v>
      </c>
    </row>
    <row r="2516" spans="16:17" ht="48.75">
      <c r="P2516" s="16" t="s">
        <v>2148</v>
      </c>
      <c r="Q2516" s="2" t="s">
        <v>16</v>
      </c>
    </row>
    <row r="2517" spans="16:17" ht="48.75">
      <c r="P2517" s="16" t="s">
        <v>2152</v>
      </c>
      <c r="Q2517" s="2" t="s">
        <v>16</v>
      </c>
    </row>
    <row r="2518" spans="16:17" ht="48.75">
      <c r="P2518" s="16" t="s">
        <v>2152</v>
      </c>
      <c r="Q2518" s="2" t="s">
        <v>16</v>
      </c>
    </row>
    <row r="2519" spans="16:17" ht="36.75">
      <c r="P2519" s="16" t="s">
        <v>2153</v>
      </c>
      <c r="Q2519" s="2" t="s">
        <v>38</v>
      </c>
    </row>
    <row r="2520" spans="16:17" ht="36.75">
      <c r="P2520" s="16" t="s">
        <v>2154</v>
      </c>
      <c r="Q2520" s="2" t="s">
        <v>16</v>
      </c>
    </row>
    <row r="2521" spans="16:17" ht="36.75">
      <c r="P2521" s="16" t="s">
        <v>2154</v>
      </c>
      <c r="Q2521" s="2" t="s">
        <v>16</v>
      </c>
    </row>
    <row r="2522" spans="16:17" ht="36.75">
      <c r="P2522" s="16" t="s">
        <v>2154</v>
      </c>
      <c r="Q2522" s="2" t="s">
        <v>16</v>
      </c>
    </row>
    <row r="2523" spans="16:17" ht="36.75">
      <c r="P2523" s="16" t="s">
        <v>2154</v>
      </c>
      <c r="Q2523" s="2" t="s">
        <v>16</v>
      </c>
    </row>
    <row r="2524" spans="16:17" ht="36.75">
      <c r="P2524" s="16" t="s">
        <v>2154</v>
      </c>
      <c r="Q2524" s="2" t="s">
        <v>16</v>
      </c>
    </row>
    <row r="2525" spans="16:17" ht="36.75">
      <c r="P2525" s="16" t="s">
        <v>2155</v>
      </c>
      <c r="Q2525" s="2" t="s">
        <v>16</v>
      </c>
    </row>
    <row r="2526" spans="16:17" ht="36.75">
      <c r="P2526" s="16" t="s">
        <v>2155</v>
      </c>
      <c r="Q2526" s="2" t="s">
        <v>16</v>
      </c>
    </row>
    <row r="2527" spans="16:17" ht="36.75">
      <c r="P2527" s="16" t="s">
        <v>2156</v>
      </c>
      <c r="Q2527" s="2" t="s">
        <v>16</v>
      </c>
    </row>
    <row r="2528" spans="16:17" ht="36.75">
      <c r="P2528" s="16" t="s">
        <v>2156</v>
      </c>
      <c r="Q2528" s="2" t="s">
        <v>16</v>
      </c>
    </row>
    <row r="2529" spans="16:17" ht="24.75">
      <c r="P2529" s="16" t="s">
        <v>2157</v>
      </c>
      <c r="Q2529" s="2" t="s">
        <v>41</v>
      </c>
    </row>
    <row r="2530" spans="16:17" ht="36.75">
      <c r="P2530" s="16" t="s">
        <v>2158</v>
      </c>
      <c r="Q2530" s="2" t="s">
        <v>16</v>
      </c>
    </row>
    <row r="2531" spans="16:17" ht="36.75">
      <c r="P2531" s="16" t="s">
        <v>2159</v>
      </c>
      <c r="Q2531" s="2" t="s">
        <v>16</v>
      </c>
    </row>
    <row r="2532" spans="16:17" ht="36.75">
      <c r="P2532" s="16" t="s">
        <v>2159</v>
      </c>
      <c r="Q2532" s="2" t="s">
        <v>16</v>
      </c>
    </row>
    <row r="2533" spans="16:17">
      <c r="P2533" s="17" t="s">
        <v>2160</v>
      </c>
      <c r="Q2533" s="2" t="s">
        <v>16</v>
      </c>
    </row>
    <row r="2534" spans="16:17" ht="48.75">
      <c r="P2534" s="16" t="s">
        <v>2161</v>
      </c>
      <c r="Q2534" s="2" t="s">
        <v>16</v>
      </c>
    </row>
    <row r="2535" spans="16:17" ht="48.75">
      <c r="P2535" s="16" t="s">
        <v>2161</v>
      </c>
      <c r="Q2535" s="2" t="s">
        <v>16</v>
      </c>
    </row>
    <row r="2536" spans="16:17" ht="48.75">
      <c r="P2536" s="16" t="s">
        <v>2161</v>
      </c>
      <c r="Q2536" s="2" t="s">
        <v>16</v>
      </c>
    </row>
    <row r="2537" spans="16:17" ht="36.75">
      <c r="P2537" s="16" t="s">
        <v>2162</v>
      </c>
      <c r="Q2537" s="2" t="s">
        <v>16</v>
      </c>
    </row>
    <row r="2538" spans="16:17" ht="36.75">
      <c r="P2538" s="16" t="s">
        <v>2162</v>
      </c>
      <c r="Q2538" s="2" t="s">
        <v>16</v>
      </c>
    </row>
    <row r="2539" spans="16:17" ht="36.75">
      <c r="P2539" s="16" t="s">
        <v>2162</v>
      </c>
      <c r="Q2539" s="2" t="s">
        <v>16</v>
      </c>
    </row>
    <row r="2540" spans="16:17" ht="48.75">
      <c r="P2540" s="16" t="s">
        <v>2166</v>
      </c>
      <c r="Q2540" s="2" t="s">
        <v>151</v>
      </c>
    </row>
    <row r="2541" spans="16:17" ht="48.75">
      <c r="P2541" s="16" t="s">
        <v>2166</v>
      </c>
      <c r="Q2541" s="2" t="s">
        <v>151</v>
      </c>
    </row>
    <row r="2542" spans="16:17" ht="48.75">
      <c r="P2542" s="16" t="s">
        <v>2167</v>
      </c>
      <c r="Q2542" s="2" t="s">
        <v>151</v>
      </c>
    </row>
    <row r="2543" spans="16:17" ht="48.75">
      <c r="P2543" s="16" t="s">
        <v>2167</v>
      </c>
      <c r="Q2543" s="2" t="s">
        <v>151</v>
      </c>
    </row>
    <row r="2544" spans="16:17" ht="48.75">
      <c r="P2544" s="16" t="s">
        <v>2168</v>
      </c>
      <c r="Q2544" s="2" t="s">
        <v>151</v>
      </c>
    </row>
    <row r="2545" spans="16:17" ht="48.75">
      <c r="P2545" s="16" t="s">
        <v>2169</v>
      </c>
      <c r="Q2545" s="2" t="s">
        <v>16</v>
      </c>
    </row>
    <row r="2546" spans="16:17" ht="48.75">
      <c r="P2546" s="16" t="s">
        <v>2170</v>
      </c>
      <c r="Q2546" s="2" t="s">
        <v>16</v>
      </c>
    </row>
    <row r="2547" spans="16:17" ht="48.75">
      <c r="P2547" s="16" t="s">
        <v>2171</v>
      </c>
      <c r="Q2547" s="2" t="s">
        <v>16</v>
      </c>
    </row>
    <row r="2548" spans="16:17" ht="36.75">
      <c r="P2548" s="16" t="s">
        <v>2173</v>
      </c>
      <c r="Q2548" s="2" t="s">
        <v>16</v>
      </c>
    </row>
    <row r="2549" spans="16:17" ht="36.75">
      <c r="P2549" s="16" t="s">
        <v>2174</v>
      </c>
      <c r="Q2549" s="2" t="s">
        <v>16</v>
      </c>
    </row>
    <row r="2550" spans="16:17" ht="36.75">
      <c r="P2550" s="16" t="s">
        <v>2174</v>
      </c>
      <c r="Q2550" s="2" t="s">
        <v>16</v>
      </c>
    </row>
    <row r="2551" spans="16:17" ht="36.75">
      <c r="P2551" s="16" t="s">
        <v>2175</v>
      </c>
      <c r="Q2551" s="2" t="s">
        <v>16</v>
      </c>
    </row>
    <row r="2552" spans="16:17" ht="36.75">
      <c r="P2552" s="16" t="s">
        <v>2175</v>
      </c>
      <c r="Q2552" s="2" t="s">
        <v>16</v>
      </c>
    </row>
    <row r="2553" spans="16:17" ht="36.75">
      <c r="P2553" s="16" t="s">
        <v>2176</v>
      </c>
      <c r="Q2553" s="2" t="s">
        <v>16</v>
      </c>
    </row>
    <row r="2554" spans="16:17" ht="36.75">
      <c r="P2554" s="16" t="s">
        <v>2176</v>
      </c>
      <c r="Q2554" s="2" t="s">
        <v>16</v>
      </c>
    </row>
    <row r="2555" spans="16:17" ht="36.75">
      <c r="P2555" s="16" t="s">
        <v>2177</v>
      </c>
      <c r="Q2555" s="2" t="s">
        <v>151</v>
      </c>
    </row>
    <row r="2556" spans="16:17" ht="36.75">
      <c r="P2556" s="16" t="s">
        <v>2178</v>
      </c>
      <c r="Q2556" s="2" t="s">
        <v>151</v>
      </c>
    </row>
    <row r="2557" spans="16:17" ht="36.75">
      <c r="P2557" s="16" t="s">
        <v>2179</v>
      </c>
      <c r="Q2557" s="2" t="s">
        <v>151</v>
      </c>
    </row>
    <row r="2558" spans="16:17" ht="36.75">
      <c r="P2558" s="16" t="s">
        <v>2180</v>
      </c>
      <c r="Q2558" s="2" t="s">
        <v>151</v>
      </c>
    </row>
    <row r="2559" spans="16:17" ht="36.75">
      <c r="P2559" s="16" t="s">
        <v>2180</v>
      </c>
      <c r="Q2559" s="2" t="s">
        <v>151</v>
      </c>
    </row>
    <row r="2560" spans="16:17" ht="24.75">
      <c r="P2560" s="17" t="s">
        <v>2181</v>
      </c>
      <c r="Q2560" s="2" t="s">
        <v>43</v>
      </c>
    </row>
    <row r="2561" spans="16:17" ht="24.75">
      <c r="P2561" s="16" t="s">
        <v>2182</v>
      </c>
      <c r="Q2561" s="2" t="s">
        <v>151</v>
      </c>
    </row>
    <row r="2562" spans="16:17" ht="24.75">
      <c r="P2562" s="16" t="s">
        <v>2182</v>
      </c>
      <c r="Q2562" s="2" t="s">
        <v>151</v>
      </c>
    </row>
    <row r="2563" spans="16:17" ht="24.75">
      <c r="P2563" s="16" t="s">
        <v>2182</v>
      </c>
      <c r="Q2563" s="2" t="s">
        <v>151</v>
      </c>
    </row>
    <row r="2564" spans="16:17" ht="24.75">
      <c r="P2564" s="16" t="s">
        <v>2183</v>
      </c>
      <c r="Q2564" s="2" t="s">
        <v>151</v>
      </c>
    </row>
  </sheetData>
  <autoFilter ref="S1:W1772"/>
  <pageMargins left="0.7" right="0.7" top="0.75" bottom="0.75" header="0.3" footer="0.3"/>
  <pageSetup orientation="portrait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2"/>
  <sheetViews>
    <sheetView topLeftCell="B309" workbookViewId="0">
      <selection activeCell="S805" sqref="S805:U805"/>
    </sheetView>
  </sheetViews>
  <sheetFormatPr defaultRowHeight="15"/>
  <cols>
    <col min="10" max="10" width="11.5703125" bestFit="1" customWidth="1"/>
    <col min="11" max="12" width="10.7109375" bestFit="1" customWidth="1"/>
    <col min="16" max="16" width="10.7109375" style="3" bestFit="1" customWidth="1"/>
    <col min="17" max="17" width="11.5703125" style="6" bestFit="1" customWidth="1"/>
  </cols>
  <sheetData>
    <row r="1" spans="1:18" ht="30">
      <c r="A1" s="7" t="s">
        <v>2184</v>
      </c>
      <c r="B1" s="7" t="s">
        <v>2185</v>
      </c>
      <c r="C1" s="7" t="s">
        <v>2186</v>
      </c>
      <c r="D1" s="7" t="s">
        <v>2187</v>
      </c>
      <c r="E1" s="7" t="s">
        <v>2188</v>
      </c>
      <c r="F1" s="7" t="s">
        <v>2189</v>
      </c>
      <c r="G1" s="7" t="s">
        <v>2190</v>
      </c>
      <c r="H1" s="7" t="s">
        <v>2191</v>
      </c>
      <c r="I1" s="7" t="s">
        <v>2192</v>
      </c>
      <c r="J1" s="7" t="s">
        <v>2193</v>
      </c>
      <c r="K1" s="7" t="s">
        <v>2194</v>
      </c>
      <c r="L1" s="7" t="s">
        <v>2195</v>
      </c>
      <c r="M1" s="7" t="s">
        <v>2189</v>
      </c>
      <c r="O1" s="7" t="s">
        <v>2185</v>
      </c>
      <c r="P1" s="22" t="s">
        <v>2195</v>
      </c>
      <c r="Q1" s="23" t="s">
        <v>2193</v>
      </c>
      <c r="R1" s="7" t="s">
        <v>2192</v>
      </c>
    </row>
    <row r="2" spans="1:18" ht="60">
      <c r="A2" s="8" t="s">
        <v>2464</v>
      </c>
      <c r="B2" s="8" t="s">
        <v>311</v>
      </c>
      <c r="C2" s="8" t="s">
        <v>2203</v>
      </c>
      <c r="D2" s="8" t="s">
        <v>18</v>
      </c>
      <c r="E2" s="8" t="s">
        <v>312</v>
      </c>
      <c r="F2" s="8" t="s">
        <v>2465</v>
      </c>
      <c r="G2" s="8" t="s">
        <v>2466</v>
      </c>
      <c r="H2" s="8">
        <v>20</v>
      </c>
      <c r="I2" s="8">
        <v>20</v>
      </c>
      <c r="J2" s="8">
        <v>411230717</v>
      </c>
      <c r="K2" s="9">
        <v>45243</v>
      </c>
      <c r="L2" s="9">
        <v>45565</v>
      </c>
      <c r="M2" s="8" t="s">
        <v>312</v>
      </c>
      <c r="O2" s="8" t="s">
        <v>311</v>
      </c>
      <c r="P2" s="9">
        <v>45565</v>
      </c>
      <c r="Q2" s="24">
        <v>411230717</v>
      </c>
      <c r="R2" s="8">
        <v>20</v>
      </c>
    </row>
    <row r="3" spans="1:18" ht="60">
      <c r="A3" s="8" t="s">
        <v>2467</v>
      </c>
      <c r="B3" s="8" t="s">
        <v>313</v>
      </c>
      <c r="C3" s="8" t="s">
        <v>2203</v>
      </c>
      <c r="D3" s="8" t="s">
        <v>18</v>
      </c>
      <c r="E3" s="8" t="s">
        <v>312</v>
      </c>
      <c r="F3" s="8" t="s">
        <v>2468</v>
      </c>
      <c r="G3" s="8" t="s">
        <v>2469</v>
      </c>
      <c r="H3" s="8">
        <v>524</v>
      </c>
      <c r="I3" s="8">
        <v>35</v>
      </c>
      <c r="J3" s="8">
        <v>67102320</v>
      </c>
      <c r="K3" s="9">
        <v>45293</v>
      </c>
      <c r="L3" s="9">
        <v>45792</v>
      </c>
      <c r="M3" s="8" t="s">
        <v>312</v>
      </c>
      <c r="O3" s="8" t="s">
        <v>313</v>
      </c>
      <c r="P3" s="9">
        <v>45792</v>
      </c>
      <c r="Q3" s="24">
        <v>67102320</v>
      </c>
      <c r="R3" s="8">
        <v>35</v>
      </c>
    </row>
    <row r="4" spans="1:18" ht="60">
      <c r="A4" s="8" t="s">
        <v>2467</v>
      </c>
      <c r="B4" s="8" t="s">
        <v>313</v>
      </c>
      <c r="C4" s="8" t="s">
        <v>2203</v>
      </c>
      <c r="D4" s="8" t="s">
        <v>18</v>
      </c>
      <c r="E4" s="8" t="s">
        <v>312</v>
      </c>
      <c r="F4" s="8" t="s">
        <v>2468</v>
      </c>
      <c r="G4" s="8" t="s">
        <v>2469</v>
      </c>
      <c r="H4" s="8">
        <v>524</v>
      </c>
      <c r="I4" s="8">
        <v>139</v>
      </c>
      <c r="J4" s="8">
        <v>67082309</v>
      </c>
      <c r="K4" s="9">
        <v>45205</v>
      </c>
      <c r="L4" s="9">
        <v>45730</v>
      </c>
      <c r="M4" s="8" t="s">
        <v>312</v>
      </c>
      <c r="O4" s="8" t="s">
        <v>313</v>
      </c>
      <c r="P4" s="9">
        <v>45730</v>
      </c>
      <c r="Q4" s="24">
        <v>67082309</v>
      </c>
      <c r="R4" s="8">
        <v>139</v>
      </c>
    </row>
    <row r="5" spans="1:18" ht="60">
      <c r="A5" s="8" t="s">
        <v>2467</v>
      </c>
      <c r="B5" s="8" t="s">
        <v>313</v>
      </c>
      <c r="C5" s="8" t="s">
        <v>2203</v>
      </c>
      <c r="D5" s="8" t="s">
        <v>18</v>
      </c>
      <c r="E5" s="8" t="s">
        <v>312</v>
      </c>
      <c r="F5" s="8" t="s">
        <v>2468</v>
      </c>
      <c r="G5" s="8" t="s">
        <v>2469</v>
      </c>
      <c r="H5" s="8">
        <v>524</v>
      </c>
      <c r="I5" s="8">
        <v>350</v>
      </c>
      <c r="J5" s="8">
        <v>67092310</v>
      </c>
      <c r="K5" s="9">
        <v>45206</v>
      </c>
      <c r="L5" s="9">
        <v>45745</v>
      </c>
      <c r="M5" s="8" t="s">
        <v>312</v>
      </c>
      <c r="O5" s="8" t="s">
        <v>313</v>
      </c>
      <c r="P5" s="9">
        <v>45745</v>
      </c>
      <c r="Q5" s="24">
        <v>67092310</v>
      </c>
      <c r="R5" s="8">
        <v>350</v>
      </c>
    </row>
    <row r="6" spans="1:18" ht="60">
      <c r="A6" s="8" t="s">
        <v>2470</v>
      </c>
      <c r="B6" s="8" t="s">
        <v>314</v>
      </c>
      <c r="C6" s="8" t="s">
        <v>2203</v>
      </c>
      <c r="D6" s="8" t="s">
        <v>18</v>
      </c>
      <c r="E6" s="8" t="s">
        <v>312</v>
      </c>
      <c r="F6" s="8" t="s">
        <v>2468</v>
      </c>
      <c r="G6" s="8" t="s">
        <v>2469</v>
      </c>
      <c r="H6" s="8">
        <v>206</v>
      </c>
      <c r="I6" s="8">
        <v>206</v>
      </c>
      <c r="J6" s="8">
        <v>67072306</v>
      </c>
      <c r="K6" s="9">
        <v>45142</v>
      </c>
      <c r="L6" s="9">
        <v>45689</v>
      </c>
      <c r="M6" s="8" t="s">
        <v>312</v>
      </c>
      <c r="O6" s="8" t="s">
        <v>314</v>
      </c>
      <c r="P6" s="9">
        <v>45689</v>
      </c>
      <c r="Q6" s="24">
        <v>67072306</v>
      </c>
      <c r="R6" s="8">
        <v>206</v>
      </c>
    </row>
    <row r="7" spans="1:18" ht="45">
      <c r="A7" s="8" t="s">
        <v>2585</v>
      </c>
      <c r="B7" s="8" t="s">
        <v>409</v>
      </c>
      <c r="C7" s="8" t="s">
        <v>2203</v>
      </c>
      <c r="D7" s="8" t="s">
        <v>18</v>
      </c>
      <c r="E7" s="8" t="s">
        <v>312</v>
      </c>
      <c r="F7" s="8" t="s">
        <v>2586</v>
      </c>
      <c r="G7" s="8" t="s">
        <v>2587</v>
      </c>
      <c r="H7" s="8">
        <v>300</v>
      </c>
      <c r="I7" s="8">
        <v>300</v>
      </c>
      <c r="J7" s="8">
        <v>384102301</v>
      </c>
      <c r="K7" s="9">
        <v>45442</v>
      </c>
      <c r="L7" s="9">
        <v>45964</v>
      </c>
      <c r="M7" s="8" t="s">
        <v>312</v>
      </c>
      <c r="O7" s="8" t="s">
        <v>409</v>
      </c>
      <c r="P7" s="9">
        <v>45964</v>
      </c>
      <c r="Q7" s="24">
        <v>384102301</v>
      </c>
      <c r="R7" s="8">
        <v>300</v>
      </c>
    </row>
    <row r="8" spans="1:18" ht="60">
      <c r="A8" s="8" t="s">
        <v>2592</v>
      </c>
      <c r="B8" s="8" t="s">
        <v>412</v>
      </c>
      <c r="C8" s="8" t="s">
        <v>2203</v>
      </c>
      <c r="D8" s="8" t="s">
        <v>18</v>
      </c>
      <c r="E8" s="8" t="s">
        <v>312</v>
      </c>
      <c r="F8" s="8" t="s">
        <v>2593</v>
      </c>
      <c r="G8" s="8" t="s">
        <v>2594</v>
      </c>
      <c r="H8" s="8">
        <v>268</v>
      </c>
      <c r="I8" s="8">
        <v>268</v>
      </c>
      <c r="J8" s="8">
        <v>188052301</v>
      </c>
      <c r="K8" s="9">
        <v>45157</v>
      </c>
      <c r="L8" s="9">
        <v>45660</v>
      </c>
      <c r="M8" s="8" t="s">
        <v>312</v>
      </c>
      <c r="O8" s="8" t="s">
        <v>412</v>
      </c>
      <c r="P8" s="9">
        <v>45660</v>
      </c>
      <c r="Q8" s="24">
        <v>188052301</v>
      </c>
      <c r="R8" s="8">
        <v>268</v>
      </c>
    </row>
    <row r="9" spans="1:18" ht="60">
      <c r="A9" s="8" t="s">
        <v>2595</v>
      </c>
      <c r="B9" s="8" t="s">
        <v>413</v>
      </c>
      <c r="C9" s="8" t="s">
        <v>2203</v>
      </c>
      <c r="D9" s="8" t="s">
        <v>18</v>
      </c>
      <c r="E9" s="8" t="s">
        <v>312</v>
      </c>
      <c r="F9" s="8" t="s">
        <v>2593</v>
      </c>
      <c r="G9" s="8" t="s">
        <v>2596</v>
      </c>
      <c r="H9" s="8">
        <v>381</v>
      </c>
      <c r="I9" s="8">
        <v>72</v>
      </c>
      <c r="J9" s="8">
        <v>318344</v>
      </c>
      <c r="K9" s="9">
        <v>45304</v>
      </c>
      <c r="L9" s="9">
        <v>45843</v>
      </c>
      <c r="M9" s="8" t="s">
        <v>312</v>
      </c>
      <c r="O9" s="8" t="s">
        <v>413</v>
      </c>
      <c r="P9" s="9">
        <v>45843</v>
      </c>
      <c r="Q9" s="24">
        <v>318344</v>
      </c>
      <c r="R9" s="8">
        <v>72</v>
      </c>
    </row>
    <row r="10" spans="1:18" ht="60">
      <c r="A10" s="8" t="s">
        <v>2595</v>
      </c>
      <c r="B10" s="8" t="s">
        <v>413</v>
      </c>
      <c r="C10" s="8" t="s">
        <v>2203</v>
      </c>
      <c r="D10" s="8" t="s">
        <v>18</v>
      </c>
      <c r="E10" s="8" t="s">
        <v>312</v>
      </c>
      <c r="F10" s="8" t="s">
        <v>2593</v>
      </c>
      <c r="G10" s="8" t="s">
        <v>2596</v>
      </c>
      <c r="H10" s="8">
        <v>381</v>
      </c>
      <c r="I10" s="8">
        <v>132</v>
      </c>
      <c r="J10" s="8">
        <v>418442</v>
      </c>
      <c r="K10" s="9">
        <v>45353</v>
      </c>
      <c r="L10" s="9">
        <v>45896</v>
      </c>
      <c r="M10" s="8" t="s">
        <v>312</v>
      </c>
      <c r="O10" s="8" t="s">
        <v>413</v>
      </c>
      <c r="P10" s="9">
        <v>45896</v>
      </c>
      <c r="Q10" s="24">
        <v>418442</v>
      </c>
      <c r="R10" s="8">
        <v>132</v>
      </c>
    </row>
    <row r="11" spans="1:18" ht="60">
      <c r="A11" s="8" t="s">
        <v>2595</v>
      </c>
      <c r="B11" s="8" t="s">
        <v>413</v>
      </c>
      <c r="C11" s="8" t="s">
        <v>2203</v>
      </c>
      <c r="D11" s="8" t="s">
        <v>18</v>
      </c>
      <c r="E11" s="8" t="s">
        <v>312</v>
      </c>
      <c r="F11" s="8" t="s">
        <v>2593</v>
      </c>
      <c r="G11" s="8" t="s">
        <v>2596</v>
      </c>
      <c r="H11" s="8">
        <v>381</v>
      </c>
      <c r="I11" s="8">
        <v>177</v>
      </c>
      <c r="J11" s="8">
        <v>317532</v>
      </c>
      <c r="K11" s="9">
        <v>45279</v>
      </c>
      <c r="L11" s="9">
        <v>45809</v>
      </c>
      <c r="M11" s="8" t="s">
        <v>312</v>
      </c>
      <c r="O11" s="8" t="s">
        <v>413</v>
      </c>
      <c r="P11" s="9">
        <v>45809</v>
      </c>
      <c r="Q11" s="24">
        <v>317532</v>
      </c>
      <c r="R11" s="8">
        <v>177</v>
      </c>
    </row>
    <row r="12" spans="1:18" ht="60">
      <c r="A12" s="8" t="s">
        <v>2597</v>
      </c>
      <c r="B12" s="8" t="s">
        <v>414</v>
      </c>
      <c r="C12" s="8" t="s">
        <v>2203</v>
      </c>
      <c r="D12" s="8" t="s">
        <v>18</v>
      </c>
      <c r="E12" s="8" t="s">
        <v>312</v>
      </c>
      <c r="F12" s="8" t="s">
        <v>2598</v>
      </c>
      <c r="G12" s="8" t="s">
        <v>2599</v>
      </c>
      <c r="H12" s="8">
        <v>3874</v>
      </c>
      <c r="I12" s="8">
        <v>65</v>
      </c>
      <c r="J12" s="8">
        <v>27122350</v>
      </c>
      <c r="K12" s="9">
        <v>45299</v>
      </c>
      <c r="L12" s="9">
        <v>45834</v>
      </c>
      <c r="M12" s="8" t="s">
        <v>312</v>
      </c>
      <c r="O12" s="8" t="s">
        <v>414</v>
      </c>
      <c r="P12" s="9">
        <v>45834</v>
      </c>
      <c r="Q12" s="24">
        <v>27122350</v>
      </c>
      <c r="R12" s="8">
        <v>65</v>
      </c>
    </row>
    <row r="13" spans="1:18" ht="60">
      <c r="A13" s="8" t="s">
        <v>2597</v>
      </c>
      <c r="B13" s="8" t="s">
        <v>414</v>
      </c>
      <c r="C13" s="8" t="s">
        <v>2203</v>
      </c>
      <c r="D13" s="8" t="s">
        <v>18</v>
      </c>
      <c r="E13" s="8" t="s">
        <v>312</v>
      </c>
      <c r="F13" s="8" t="s">
        <v>2598</v>
      </c>
      <c r="G13" s="8" t="s">
        <v>2599</v>
      </c>
      <c r="H13" s="8">
        <v>3874</v>
      </c>
      <c r="I13" s="8">
        <v>115</v>
      </c>
      <c r="J13" s="8">
        <v>27122349</v>
      </c>
      <c r="K13" s="9">
        <v>45299</v>
      </c>
      <c r="L13" s="9">
        <v>45831</v>
      </c>
      <c r="M13" s="8" t="s">
        <v>312</v>
      </c>
      <c r="O13" s="8" t="s">
        <v>414</v>
      </c>
      <c r="P13" s="9">
        <v>45831</v>
      </c>
      <c r="Q13" s="24">
        <v>27122349</v>
      </c>
      <c r="R13" s="8">
        <v>115</v>
      </c>
    </row>
    <row r="14" spans="1:18" ht="60">
      <c r="A14" s="8" t="s">
        <v>2597</v>
      </c>
      <c r="B14" s="8" t="s">
        <v>414</v>
      </c>
      <c r="C14" s="8" t="s">
        <v>2203</v>
      </c>
      <c r="D14" s="8" t="s">
        <v>18</v>
      </c>
      <c r="E14" s="8" t="s">
        <v>312</v>
      </c>
      <c r="F14" s="8" t="s">
        <v>2598</v>
      </c>
      <c r="G14" s="8" t="s">
        <v>2599</v>
      </c>
      <c r="H14" s="8">
        <v>3874</v>
      </c>
      <c r="I14" s="8">
        <v>360</v>
      </c>
      <c r="J14" s="8">
        <v>272308138</v>
      </c>
      <c r="K14" s="9">
        <v>45299</v>
      </c>
      <c r="L14" s="9">
        <v>45830</v>
      </c>
      <c r="M14" s="8" t="s">
        <v>312</v>
      </c>
      <c r="O14" s="8" t="s">
        <v>414</v>
      </c>
      <c r="P14" s="9">
        <v>45830</v>
      </c>
      <c r="Q14" s="24">
        <v>272308138</v>
      </c>
      <c r="R14" s="8">
        <v>360</v>
      </c>
    </row>
    <row r="15" spans="1:18" ht="60">
      <c r="A15" s="8" t="s">
        <v>2597</v>
      </c>
      <c r="B15" s="8" t="s">
        <v>414</v>
      </c>
      <c r="C15" s="8" t="s">
        <v>2203</v>
      </c>
      <c r="D15" s="8" t="s">
        <v>18</v>
      </c>
      <c r="E15" s="8" t="s">
        <v>312</v>
      </c>
      <c r="F15" s="8" t="s">
        <v>2598</v>
      </c>
      <c r="G15" s="8" t="s">
        <v>2599</v>
      </c>
      <c r="H15" s="8">
        <v>3874</v>
      </c>
      <c r="I15" s="8">
        <v>815</v>
      </c>
      <c r="J15" s="8">
        <v>27092337</v>
      </c>
      <c r="K15" s="9">
        <v>45266</v>
      </c>
      <c r="L15" s="9">
        <v>45804</v>
      </c>
      <c r="M15" s="8" t="s">
        <v>312</v>
      </c>
      <c r="O15" s="8" t="s">
        <v>414</v>
      </c>
      <c r="P15" s="9">
        <v>45804</v>
      </c>
      <c r="Q15" s="24">
        <v>27092337</v>
      </c>
      <c r="R15" s="8">
        <v>815</v>
      </c>
    </row>
    <row r="16" spans="1:18" ht="60">
      <c r="A16" s="8" t="s">
        <v>2597</v>
      </c>
      <c r="B16" s="8" t="s">
        <v>414</v>
      </c>
      <c r="C16" s="8" t="s">
        <v>2203</v>
      </c>
      <c r="D16" s="8" t="s">
        <v>18</v>
      </c>
      <c r="E16" s="8" t="s">
        <v>312</v>
      </c>
      <c r="F16" s="8" t="s">
        <v>2598</v>
      </c>
      <c r="G16" s="8" t="s">
        <v>2599</v>
      </c>
      <c r="H16" s="8">
        <v>3874</v>
      </c>
      <c r="I16" s="8">
        <v>2520</v>
      </c>
      <c r="J16" s="8">
        <v>27092336</v>
      </c>
      <c r="K16" s="9">
        <v>45266</v>
      </c>
      <c r="L16" s="9">
        <v>45807</v>
      </c>
      <c r="M16" s="8" t="s">
        <v>312</v>
      </c>
      <c r="O16" s="8" t="s">
        <v>414</v>
      </c>
      <c r="P16" s="9">
        <v>45807</v>
      </c>
      <c r="Q16" s="24">
        <v>27092336</v>
      </c>
      <c r="R16" s="8">
        <v>2520</v>
      </c>
    </row>
    <row r="17" spans="1:18" ht="45">
      <c r="A17" s="8" t="s">
        <v>2600</v>
      </c>
      <c r="B17" s="8" t="s">
        <v>415</v>
      </c>
      <c r="C17" s="8" t="s">
        <v>2203</v>
      </c>
      <c r="D17" s="8" t="s">
        <v>18</v>
      </c>
      <c r="E17" s="8" t="s">
        <v>2217</v>
      </c>
      <c r="F17" s="8" t="s">
        <v>2217</v>
      </c>
      <c r="G17" s="8" t="s">
        <v>2217</v>
      </c>
      <c r="H17" s="8">
        <v>2</v>
      </c>
      <c r="I17" s="8">
        <v>2</v>
      </c>
      <c r="J17" s="8">
        <v>27042412</v>
      </c>
      <c r="K17" s="9">
        <v>45451</v>
      </c>
      <c r="L17" s="9">
        <v>45967</v>
      </c>
      <c r="M17" s="8" t="s">
        <v>312</v>
      </c>
      <c r="O17" s="8" t="s">
        <v>415</v>
      </c>
      <c r="P17" s="9">
        <v>45967</v>
      </c>
      <c r="Q17" s="24">
        <v>27042412</v>
      </c>
      <c r="R17" s="8">
        <v>2</v>
      </c>
    </row>
    <row r="18" spans="1:18" ht="60">
      <c r="A18" s="8" t="s">
        <v>2601</v>
      </c>
      <c r="B18" s="8" t="s">
        <v>416</v>
      </c>
      <c r="C18" s="8" t="s">
        <v>2203</v>
      </c>
      <c r="D18" s="8" t="s">
        <v>18</v>
      </c>
      <c r="E18" s="8" t="s">
        <v>312</v>
      </c>
      <c r="F18" s="8" t="s">
        <v>2593</v>
      </c>
      <c r="G18" s="8" t="s">
        <v>2602</v>
      </c>
      <c r="H18" s="8">
        <v>1490</v>
      </c>
      <c r="I18" s="8">
        <v>1490</v>
      </c>
      <c r="J18" s="8">
        <v>216646</v>
      </c>
      <c r="K18" s="9">
        <v>45387</v>
      </c>
      <c r="L18" s="9">
        <v>45931</v>
      </c>
      <c r="M18" s="8" t="s">
        <v>312</v>
      </c>
      <c r="O18" s="8" t="s">
        <v>416</v>
      </c>
      <c r="P18" s="9">
        <v>45931</v>
      </c>
      <c r="Q18" s="24">
        <v>216646</v>
      </c>
      <c r="R18" s="8">
        <v>1490</v>
      </c>
    </row>
    <row r="19" spans="1:18" ht="60">
      <c r="A19" s="8" t="s">
        <v>2603</v>
      </c>
      <c r="B19" s="8" t="s">
        <v>417</v>
      </c>
      <c r="C19" s="8" t="s">
        <v>2203</v>
      </c>
      <c r="D19" s="8" t="s">
        <v>18</v>
      </c>
      <c r="E19" s="8" t="s">
        <v>312</v>
      </c>
      <c r="F19" s="8" t="s">
        <v>2593</v>
      </c>
      <c r="G19" s="8" t="s">
        <v>2604</v>
      </c>
      <c r="H19" s="8">
        <v>1454</v>
      </c>
      <c r="I19" s="8">
        <v>240</v>
      </c>
      <c r="J19" s="8">
        <v>417694</v>
      </c>
      <c r="K19" s="9">
        <v>45462</v>
      </c>
      <c r="L19" s="9">
        <v>45992</v>
      </c>
      <c r="M19" s="8" t="s">
        <v>312</v>
      </c>
      <c r="O19" s="8" t="s">
        <v>417</v>
      </c>
      <c r="P19" s="9">
        <v>45992</v>
      </c>
      <c r="Q19" s="24">
        <v>417694</v>
      </c>
      <c r="R19" s="8">
        <v>240</v>
      </c>
    </row>
    <row r="20" spans="1:18" ht="60">
      <c r="A20" s="8" t="s">
        <v>2603</v>
      </c>
      <c r="B20" s="8" t="s">
        <v>417</v>
      </c>
      <c r="C20" s="8" t="s">
        <v>2203</v>
      </c>
      <c r="D20" s="8" t="s">
        <v>18</v>
      </c>
      <c r="E20" s="8" t="s">
        <v>312</v>
      </c>
      <c r="F20" s="8" t="s">
        <v>2593</v>
      </c>
      <c r="G20" s="8" t="s">
        <v>2604</v>
      </c>
      <c r="H20" s="8">
        <v>1454</v>
      </c>
      <c r="I20" s="8">
        <v>254</v>
      </c>
      <c r="J20" s="8">
        <v>313663</v>
      </c>
      <c r="K20" s="9">
        <v>45345</v>
      </c>
      <c r="L20" s="9">
        <v>45870</v>
      </c>
      <c r="M20" s="8" t="s">
        <v>312</v>
      </c>
      <c r="O20" s="8" t="s">
        <v>417</v>
      </c>
      <c r="P20" s="9">
        <v>45870</v>
      </c>
      <c r="Q20" s="24">
        <v>313663</v>
      </c>
      <c r="R20" s="8">
        <v>254</v>
      </c>
    </row>
    <row r="21" spans="1:18" ht="60">
      <c r="A21" s="8" t="s">
        <v>2603</v>
      </c>
      <c r="B21" s="8" t="s">
        <v>417</v>
      </c>
      <c r="C21" s="8" t="s">
        <v>2203</v>
      </c>
      <c r="D21" s="8" t="s">
        <v>18</v>
      </c>
      <c r="E21" s="8" t="s">
        <v>312</v>
      </c>
      <c r="F21" s="8" t="s">
        <v>2593</v>
      </c>
      <c r="G21" s="8" t="s">
        <v>2604</v>
      </c>
      <c r="H21" s="8">
        <v>1454</v>
      </c>
      <c r="I21" s="8">
        <v>960</v>
      </c>
      <c r="J21" s="8">
        <v>417690</v>
      </c>
      <c r="K21" s="9">
        <v>45463</v>
      </c>
      <c r="L21" s="9">
        <v>45992</v>
      </c>
      <c r="M21" s="8" t="s">
        <v>312</v>
      </c>
      <c r="O21" s="8" t="s">
        <v>417</v>
      </c>
      <c r="P21" s="9">
        <v>45992</v>
      </c>
      <c r="Q21" s="24">
        <v>417690</v>
      </c>
      <c r="R21" s="8">
        <v>960</v>
      </c>
    </row>
    <row r="22" spans="1:18" ht="60">
      <c r="A22" s="8" t="s">
        <v>2605</v>
      </c>
      <c r="B22" s="8" t="s">
        <v>418</v>
      </c>
      <c r="C22" s="8" t="s">
        <v>2203</v>
      </c>
      <c r="D22" s="8" t="s">
        <v>18</v>
      </c>
      <c r="E22" s="8" t="s">
        <v>2217</v>
      </c>
      <c r="F22" s="8" t="s">
        <v>2217</v>
      </c>
      <c r="G22" s="8" t="s">
        <v>2217</v>
      </c>
      <c r="H22" s="8">
        <v>120</v>
      </c>
      <c r="I22" s="8">
        <v>120</v>
      </c>
      <c r="J22" s="8">
        <v>9032401</v>
      </c>
      <c r="K22" s="9">
        <v>45453</v>
      </c>
      <c r="L22" s="9">
        <v>45722</v>
      </c>
      <c r="M22" s="8" t="s">
        <v>312</v>
      </c>
      <c r="O22" s="8" t="s">
        <v>418</v>
      </c>
      <c r="P22" s="9">
        <v>45722</v>
      </c>
      <c r="Q22" s="24">
        <v>9032401</v>
      </c>
      <c r="R22" s="8">
        <v>120</v>
      </c>
    </row>
    <row r="23" spans="1:18" ht="45">
      <c r="A23" s="8" t="s">
        <v>2606</v>
      </c>
      <c r="B23" s="8" t="s">
        <v>419</v>
      </c>
      <c r="C23" s="8" t="s">
        <v>2203</v>
      </c>
      <c r="D23" s="8" t="s">
        <v>18</v>
      </c>
      <c r="E23" s="8" t="s">
        <v>312</v>
      </c>
      <c r="F23" s="8" t="s">
        <v>2598</v>
      </c>
      <c r="G23" s="8" t="s">
        <v>2607</v>
      </c>
      <c r="H23" s="8">
        <v>664</v>
      </c>
      <c r="I23" s="8">
        <v>664</v>
      </c>
      <c r="J23" s="8">
        <v>823200723305</v>
      </c>
      <c r="K23" s="9">
        <v>45293</v>
      </c>
      <c r="L23" s="9">
        <v>45812</v>
      </c>
      <c r="M23" s="8" t="s">
        <v>312</v>
      </c>
      <c r="O23" s="8" t="s">
        <v>419</v>
      </c>
      <c r="P23" s="9">
        <v>45812</v>
      </c>
      <c r="Q23" s="24">
        <v>823200723305</v>
      </c>
      <c r="R23" s="8">
        <v>664</v>
      </c>
    </row>
    <row r="24" spans="1:18" ht="75">
      <c r="A24" s="8" t="s">
        <v>2608</v>
      </c>
      <c r="B24" s="8" t="s">
        <v>420</v>
      </c>
      <c r="C24" s="8" t="s">
        <v>2203</v>
      </c>
      <c r="D24" s="8" t="s">
        <v>18</v>
      </c>
      <c r="E24" s="8" t="s">
        <v>2217</v>
      </c>
      <c r="F24" s="8" t="s">
        <v>2217</v>
      </c>
      <c r="G24" s="8" t="s">
        <v>2217</v>
      </c>
      <c r="H24" s="8">
        <v>240</v>
      </c>
      <c r="I24" s="8">
        <v>240</v>
      </c>
      <c r="J24" s="8">
        <v>2052401</v>
      </c>
      <c r="K24" s="9">
        <v>45453</v>
      </c>
      <c r="L24" s="9">
        <v>45804</v>
      </c>
      <c r="M24" s="8" t="s">
        <v>312</v>
      </c>
      <c r="O24" s="8" t="s">
        <v>420</v>
      </c>
      <c r="P24" s="9">
        <v>45804</v>
      </c>
      <c r="Q24" s="24">
        <v>2052401</v>
      </c>
      <c r="R24" s="8">
        <v>240</v>
      </c>
    </row>
    <row r="25" spans="1:18" ht="75">
      <c r="A25" s="8" t="s">
        <v>2609</v>
      </c>
      <c r="B25" s="8" t="s">
        <v>421</v>
      </c>
      <c r="C25" s="8" t="s">
        <v>2203</v>
      </c>
      <c r="D25" s="8" t="s">
        <v>18</v>
      </c>
      <c r="E25" s="8" t="s">
        <v>2217</v>
      </c>
      <c r="F25" s="8" t="s">
        <v>2217</v>
      </c>
      <c r="G25" s="8" t="s">
        <v>2217</v>
      </c>
      <c r="H25" s="8">
        <v>270</v>
      </c>
      <c r="I25" s="8">
        <v>270</v>
      </c>
      <c r="J25" s="8">
        <v>2052401</v>
      </c>
      <c r="K25" s="9">
        <v>45453</v>
      </c>
      <c r="L25" s="9">
        <v>45804</v>
      </c>
      <c r="M25" s="8" t="s">
        <v>312</v>
      </c>
      <c r="O25" s="8" t="s">
        <v>421</v>
      </c>
      <c r="P25" s="9">
        <v>45804</v>
      </c>
      <c r="Q25" s="24">
        <v>2052401</v>
      </c>
      <c r="R25" s="8">
        <v>270</v>
      </c>
    </row>
    <row r="26" spans="1:18" ht="60">
      <c r="A26" s="8" t="s">
        <v>2610</v>
      </c>
      <c r="B26" s="8" t="s">
        <v>422</v>
      </c>
      <c r="C26" s="8" t="s">
        <v>2203</v>
      </c>
      <c r="D26" s="8" t="s">
        <v>18</v>
      </c>
      <c r="E26" s="8" t="s">
        <v>312</v>
      </c>
      <c r="F26" s="8" t="s">
        <v>2611</v>
      </c>
      <c r="G26" s="8" t="s">
        <v>2612</v>
      </c>
      <c r="H26" s="8">
        <v>548</v>
      </c>
      <c r="I26" s="8">
        <v>18</v>
      </c>
      <c r="J26" s="8">
        <v>118062301</v>
      </c>
      <c r="K26" s="9">
        <v>45299</v>
      </c>
      <c r="L26" s="9">
        <v>45831</v>
      </c>
      <c r="M26" s="8" t="s">
        <v>312</v>
      </c>
      <c r="O26" s="8" t="s">
        <v>422</v>
      </c>
      <c r="P26" s="9">
        <v>45831</v>
      </c>
      <c r="Q26" s="24">
        <v>118062301</v>
      </c>
      <c r="R26" s="8">
        <v>18</v>
      </c>
    </row>
    <row r="27" spans="1:18" ht="60">
      <c r="A27" s="8" t="s">
        <v>2610</v>
      </c>
      <c r="B27" s="8" t="s">
        <v>422</v>
      </c>
      <c r="C27" s="8" t="s">
        <v>2203</v>
      </c>
      <c r="D27" s="8" t="s">
        <v>18</v>
      </c>
      <c r="E27" s="8" t="s">
        <v>312</v>
      </c>
      <c r="F27" s="8" t="s">
        <v>2611</v>
      </c>
      <c r="G27" s="8" t="s">
        <v>2612</v>
      </c>
      <c r="H27" s="8">
        <v>548</v>
      </c>
      <c r="I27" s="8">
        <v>530</v>
      </c>
      <c r="J27" s="8">
        <v>118230948</v>
      </c>
      <c r="K27" s="9">
        <v>45209</v>
      </c>
      <c r="L27" s="9">
        <v>45741</v>
      </c>
      <c r="M27" s="8" t="s">
        <v>312</v>
      </c>
      <c r="O27" s="8" t="s">
        <v>422</v>
      </c>
      <c r="P27" s="9">
        <v>45741</v>
      </c>
      <c r="Q27" s="24">
        <v>118230948</v>
      </c>
      <c r="R27" s="8">
        <v>530</v>
      </c>
    </row>
    <row r="28" spans="1:18" ht="45">
      <c r="A28" s="8" t="s">
        <v>2613</v>
      </c>
      <c r="B28" s="8" t="s">
        <v>423</v>
      </c>
      <c r="C28" s="8" t="s">
        <v>2203</v>
      </c>
      <c r="D28" s="8" t="s">
        <v>18</v>
      </c>
      <c r="E28" s="8" t="s">
        <v>312</v>
      </c>
      <c r="F28" s="8" t="s">
        <v>2598</v>
      </c>
      <c r="G28" s="8" t="s">
        <v>2614</v>
      </c>
      <c r="H28" s="8">
        <v>1211</v>
      </c>
      <c r="I28" s="8">
        <v>270</v>
      </c>
      <c r="J28" s="8">
        <v>282311102</v>
      </c>
      <c r="K28" s="9">
        <v>45299</v>
      </c>
      <c r="L28" s="9">
        <v>45824</v>
      </c>
      <c r="M28" s="8" t="s">
        <v>312</v>
      </c>
      <c r="O28" s="8" t="s">
        <v>423</v>
      </c>
      <c r="P28" s="9">
        <v>45824</v>
      </c>
      <c r="Q28" s="24">
        <v>282311102</v>
      </c>
      <c r="R28" s="8">
        <v>270</v>
      </c>
    </row>
    <row r="29" spans="1:18" ht="45">
      <c r="A29" s="8" t="s">
        <v>2613</v>
      </c>
      <c r="B29" s="8" t="s">
        <v>423</v>
      </c>
      <c r="C29" s="8" t="s">
        <v>2203</v>
      </c>
      <c r="D29" s="8" t="s">
        <v>18</v>
      </c>
      <c r="E29" s="8" t="s">
        <v>312</v>
      </c>
      <c r="F29" s="8" t="s">
        <v>2598</v>
      </c>
      <c r="G29" s="8" t="s">
        <v>2614</v>
      </c>
      <c r="H29" s="8">
        <v>1211</v>
      </c>
      <c r="I29" s="8">
        <v>941</v>
      </c>
      <c r="J29" s="8">
        <v>28112302</v>
      </c>
      <c r="K29" s="9">
        <v>45279</v>
      </c>
      <c r="L29" s="9">
        <v>45794</v>
      </c>
      <c r="M29" s="8" t="s">
        <v>312</v>
      </c>
      <c r="O29" s="8" t="s">
        <v>423</v>
      </c>
      <c r="P29" s="9">
        <v>45794</v>
      </c>
      <c r="Q29" s="24">
        <v>28112302</v>
      </c>
      <c r="R29" s="8">
        <v>941</v>
      </c>
    </row>
    <row r="30" spans="1:18" ht="60">
      <c r="A30" s="8" t="s">
        <v>2615</v>
      </c>
      <c r="B30" s="8" t="s">
        <v>425</v>
      </c>
      <c r="C30" s="8" t="s">
        <v>2203</v>
      </c>
      <c r="D30" s="8" t="s">
        <v>18</v>
      </c>
      <c r="E30" s="8" t="s">
        <v>312</v>
      </c>
      <c r="F30" s="8" t="s">
        <v>2598</v>
      </c>
      <c r="G30" s="8" t="s">
        <v>2616</v>
      </c>
      <c r="H30" s="8">
        <v>60</v>
      </c>
      <c r="I30" s="8">
        <v>60</v>
      </c>
      <c r="J30" s="8">
        <v>365221203</v>
      </c>
      <c r="K30" s="9">
        <v>45189</v>
      </c>
      <c r="L30" s="9">
        <v>45660</v>
      </c>
      <c r="M30" s="8" t="s">
        <v>426</v>
      </c>
      <c r="O30" s="8" t="s">
        <v>425</v>
      </c>
      <c r="P30" s="9">
        <v>45660</v>
      </c>
      <c r="Q30" s="24">
        <v>365221203</v>
      </c>
      <c r="R30" s="8">
        <v>60</v>
      </c>
    </row>
    <row r="31" spans="1:18" ht="75">
      <c r="A31" s="8" t="s">
        <v>2642</v>
      </c>
      <c r="B31" s="8" t="s">
        <v>479</v>
      </c>
      <c r="C31" s="8" t="s">
        <v>2203</v>
      </c>
      <c r="D31" s="8" t="s">
        <v>18</v>
      </c>
      <c r="E31" s="8" t="s">
        <v>312</v>
      </c>
      <c r="F31" s="8" t="s">
        <v>2643</v>
      </c>
      <c r="G31" s="8" t="s">
        <v>2644</v>
      </c>
      <c r="H31" s="8">
        <v>2125</v>
      </c>
      <c r="I31" s="8">
        <v>2125</v>
      </c>
      <c r="J31" s="8">
        <v>782408</v>
      </c>
      <c r="K31" s="9">
        <v>45453</v>
      </c>
      <c r="L31" s="9">
        <v>45992</v>
      </c>
      <c r="M31" s="8" t="s">
        <v>312</v>
      </c>
      <c r="O31" s="8" t="s">
        <v>479</v>
      </c>
      <c r="P31" s="9">
        <v>45992</v>
      </c>
      <c r="Q31" s="24">
        <v>782408</v>
      </c>
      <c r="R31" s="8">
        <v>2125</v>
      </c>
    </row>
    <row r="32" spans="1:18" ht="75">
      <c r="A32" s="8" t="s">
        <v>2645</v>
      </c>
      <c r="B32" s="8" t="s">
        <v>480</v>
      </c>
      <c r="C32" s="8" t="s">
        <v>2203</v>
      </c>
      <c r="D32" s="8" t="s">
        <v>18</v>
      </c>
      <c r="E32" s="8" t="s">
        <v>312</v>
      </c>
      <c r="F32" s="8" t="s">
        <v>2643</v>
      </c>
      <c r="G32" s="8" t="s">
        <v>2646</v>
      </c>
      <c r="H32" s="8">
        <v>165</v>
      </c>
      <c r="I32" s="8">
        <v>165</v>
      </c>
      <c r="J32" s="8">
        <v>10013423</v>
      </c>
      <c r="K32" s="9">
        <v>45453</v>
      </c>
      <c r="L32" s="9">
        <v>45919</v>
      </c>
      <c r="M32" s="8" t="s">
        <v>312</v>
      </c>
      <c r="O32" s="8" t="s">
        <v>480</v>
      </c>
      <c r="P32" s="9">
        <v>45919</v>
      </c>
      <c r="Q32" s="24">
        <v>10013423</v>
      </c>
      <c r="R32" s="8">
        <v>165</v>
      </c>
    </row>
    <row r="33" spans="1:18" ht="45">
      <c r="A33" s="8" t="s">
        <v>3011</v>
      </c>
      <c r="B33" s="8" t="s">
        <v>836</v>
      </c>
      <c r="C33" s="8" t="s">
        <v>2203</v>
      </c>
      <c r="D33" s="8" t="s">
        <v>18</v>
      </c>
      <c r="E33" s="8" t="s">
        <v>838</v>
      </c>
      <c r="F33" s="8" t="s">
        <v>3012</v>
      </c>
      <c r="G33" s="8" t="s">
        <v>3013</v>
      </c>
      <c r="H33" s="8">
        <v>23996</v>
      </c>
      <c r="I33" s="8">
        <v>16</v>
      </c>
      <c r="J33" s="8" t="s">
        <v>837</v>
      </c>
      <c r="K33" s="9">
        <v>45261</v>
      </c>
      <c r="L33" s="9">
        <v>45503</v>
      </c>
      <c r="M33" s="8" t="s">
        <v>838</v>
      </c>
      <c r="O33" s="8" t="s">
        <v>836</v>
      </c>
      <c r="P33" s="9">
        <v>45503</v>
      </c>
      <c r="Q33" s="24" t="s">
        <v>837</v>
      </c>
      <c r="R33" s="8">
        <v>16</v>
      </c>
    </row>
    <row r="34" spans="1:18" ht="45">
      <c r="A34" s="8" t="s">
        <v>3011</v>
      </c>
      <c r="B34" s="8" t="s">
        <v>836</v>
      </c>
      <c r="C34" s="8" t="s">
        <v>2203</v>
      </c>
      <c r="D34" s="8" t="s">
        <v>18</v>
      </c>
      <c r="E34" s="8" t="s">
        <v>838</v>
      </c>
      <c r="F34" s="8" t="s">
        <v>3012</v>
      </c>
      <c r="G34" s="8" t="s">
        <v>3013</v>
      </c>
      <c r="H34" s="8">
        <v>23996</v>
      </c>
      <c r="I34" s="8">
        <v>140</v>
      </c>
      <c r="J34" s="8" t="s">
        <v>839</v>
      </c>
      <c r="K34" s="9">
        <v>45428</v>
      </c>
      <c r="L34" s="9">
        <v>45654</v>
      </c>
      <c r="M34" s="8" t="s">
        <v>838</v>
      </c>
      <c r="O34" s="8" t="s">
        <v>836</v>
      </c>
      <c r="P34" s="9">
        <v>45654</v>
      </c>
      <c r="Q34" s="24" t="s">
        <v>839</v>
      </c>
      <c r="R34" s="8">
        <v>140</v>
      </c>
    </row>
    <row r="35" spans="1:18" ht="45">
      <c r="A35" s="8" t="s">
        <v>3011</v>
      </c>
      <c r="B35" s="8" t="s">
        <v>836</v>
      </c>
      <c r="C35" s="8" t="s">
        <v>2203</v>
      </c>
      <c r="D35" s="8" t="s">
        <v>18</v>
      </c>
      <c r="E35" s="8" t="s">
        <v>838</v>
      </c>
      <c r="F35" s="8" t="s">
        <v>3012</v>
      </c>
      <c r="G35" s="8" t="s">
        <v>3013</v>
      </c>
      <c r="H35" s="8">
        <v>23996</v>
      </c>
      <c r="I35" s="8">
        <v>2860</v>
      </c>
      <c r="J35" s="8" t="s">
        <v>840</v>
      </c>
      <c r="K35" s="9">
        <v>45379</v>
      </c>
      <c r="L35" s="9">
        <v>45638</v>
      </c>
      <c r="M35" s="8" t="s">
        <v>838</v>
      </c>
      <c r="O35" s="8" t="s">
        <v>836</v>
      </c>
      <c r="P35" s="9">
        <v>45638</v>
      </c>
      <c r="Q35" s="24" t="s">
        <v>840</v>
      </c>
      <c r="R35" s="8">
        <v>2860</v>
      </c>
    </row>
    <row r="36" spans="1:18" ht="45">
      <c r="A36" s="8" t="s">
        <v>3011</v>
      </c>
      <c r="B36" s="8" t="s">
        <v>836</v>
      </c>
      <c r="C36" s="8" t="s">
        <v>2203</v>
      </c>
      <c r="D36" s="8" t="s">
        <v>18</v>
      </c>
      <c r="E36" s="8" t="s">
        <v>838</v>
      </c>
      <c r="F36" s="8" t="s">
        <v>3012</v>
      </c>
      <c r="G36" s="8" t="s">
        <v>3013</v>
      </c>
      <c r="H36" s="8">
        <v>23996</v>
      </c>
      <c r="I36" s="8">
        <v>3980</v>
      </c>
      <c r="J36" s="8" t="s">
        <v>841</v>
      </c>
      <c r="K36" s="9">
        <v>45377</v>
      </c>
      <c r="L36" s="9">
        <v>45514</v>
      </c>
      <c r="M36" s="8" t="s">
        <v>838</v>
      </c>
      <c r="O36" s="8" t="s">
        <v>836</v>
      </c>
      <c r="P36" s="9">
        <v>45514</v>
      </c>
      <c r="Q36" s="24" t="s">
        <v>841</v>
      </c>
      <c r="R36" s="8">
        <v>3980</v>
      </c>
    </row>
    <row r="37" spans="1:18" ht="45">
      <c r="A37" s="8" t="s">
        <v>3011</v>
      </c>
      <c r="B37" s="8" t="s">
        <v>836</v>
      </c>
      <c r="C37" s="8" t="s">
        <v>2203</v>
      </c>
      <c r="D37" s="8" t="s">
        <v>18</v>
      </c>
      <c r="E37" s="8" t="s">
        <v>838</v>
      </c>
      <c r="F37" s="8" t="s">
        <v>3012</v>
      </c>
      <c r="G37" s="8" t="s">
        <v>3013</v>
      </c>
      <c r="H37" s="8">
        <v>23996</v>
      </c>
      <c r="I37" s="8">
        <v>4860</v>
      </c>
      <c r="J37" s="8" t="s">
        <v>842</v>
      </c>
      <c r="K37" s="9">
        <v>45428</v>
      </c>
      <c r="L37" s="9">
        <v>45654</v>
      </c>
      <c r="M37" s="8" t="s">
        <v>838</v>
      </c>
      <c r="O37" s="8" t="s">
        <v>836</v>
      </c>
      <c r="P37" s="9">
        <v>45654</v>
      </c>
      <c r="Q37" s="24" t="s">
        <v>842</v>
      </c>
      <c r="R37" s="8">
        <v>4860</v>
      </c>
    </row>
    <row r="38" spans="1:18" ht="45">
      <c r="A38" s="8" t="s">
        <v>3011</v>
      </c>
      <c r="B38" s="8" t="s">
        <v>836</v>
      </c>
      <c r="C38" s="8" t="s">
        <v>2203</v>
      </c>
      <c r="D38" s="8" t="s">
        <v>18</v>
      </c>
      <c r="E38" s="8" t="s">
        <v>838</v>
      </c>
      <c r="F38" s="8" t="s">
        <v>3012</v>
      </c>
      <c r="G38" s="8" t="s">
        <v>3013</v>
      </c>
      <c r="H38" s="8">
        <v>23996</v>
      </c>
      <c r="I38" s="8">
        <v>12140</v>
      </c>
      <c r="J38" s="8" t="s">
        <v>843</v>
      </c>
      <c r="K38" s="9">
        <v>45378</v>
      </c>
      <c r="L38" s="9">
        <v>45638</v>
      </c>
      <c r="M38" s="8" t="s">
        <v>838</v>
      </c>
      <c r="O38" s="8" t="s">
        <v>836</v>
      </c>
      <c r="P38" s="9">
        <v>45638</v>
      </c>
      <c r="Q38" s="24" t="s">
        <v>843</v>
      </c>
      <c r="R38" s="8">
        <v>12140</v>
      </c>
    </row>
    <row r="39" spans="1:18" ht="45">
      <c r="A39" s="8" t="s">
        <v>3014</v>
      </c>
      <c r="B39" s="8" t="s">
        <v>845</v>
      </c>
      <c r="C39" s="8" t="s">
        <v>2203</v>
      </c>
      <c r="D39" s="8" t="s">
        <v>18</v>
      </c>
      <c r="E39" s="8" t="s">
        <v>838</v>
      </c>
      <c r="F39" s="8" t="s">
        <v>3012</v>
      </c>
      <c r="G39" s="8" t="s">
        <v>3015</v>
      </c>
      <c r="H39" s="8">
        <v>1518</v>
      </c>
      <c r="I39" s="8">
        <v>18</v>
      </c>
      <c r="J39" s="8" t="s">
        <v>846</v>
      </c>
      <c r="K39" s="9">
        <v>45236</v>
      </c>
      <c r="L39" s="9">
        <v>45571</v>
      </c>
      <c r="M39" s="8" t="s">
        <v>838</v>
      </c>
      <c r="O39" s="8" t="s">
        <v>845</v>
      </c>
      <c r="P39" s="9">
        <v>45571</v>
      </c>
      <c r="Q39" s="24" t="s">
        <v>846</v>
      </c>
      <c r="R39" s="8">
        <v>18</v>
      </c>
    </row>
    <row r="40" spans="1:18" ht="45">
      <c r="A40" s="8" t="s">
        <v>3014</v>
      </c>
      <c r="B40" s="8" t="s">
        <v>845</v>
      </c>
      <c r="C40" s="8" t="s">
        <v>2203</v>
      </c>
      <c r="D40" s="8" t="s">
        <v>848</v>
      </c>
      <c r="E40" s="8" t="s">
        <v>838</v>
      </c>
      <c r="F40" s="8" t="s">
        <v>3012</v>
      </c>
      <c r="G40" s="8" t="s">
        <v>3015</v>
      </c>
      <c r="H40" s="8">
        <v>249500</v>
      </c>
      <c r="I40" s="8">
        <v>120</v>
      </c>
      <c r="J40" s="8" t="s">
        <v>847</v>
      </c>
      <c r="K40" s="9">
        <v>45247</v>
      </c>
      <c r="L40" s="9">
        <v>45596</v>
      </c>
      <c r="M40" s="8" t="s">
        <v>838</v>
      </c>
      <c r="O40" s="8" t="s">
        <v>845</v>
      </c>
      <c r="P40" s="9">
        <v>45596</v>
      </c>
      <c r="Q40" s="24" t="s">
        <v>847</v>
      </c>
      <c r="R40" s="8">
        <v>120</v>
      </c>
    </row>
    <row r="41" spans="1:18" ht="45">
      <c r="A41" s="8" t="s">
        <v>3014</v>
      </c>
      <c r="B41" s="8" t="s">
        <v>845</v>
      </c>
      <c r="C41" s="8" t="s">
        <v>2203</v>
      </c>
      <c r="D41" s="8" t="s">
        <v>850</v>
      </c>
      <c r="E41" s="8" t="s">
        <v>838</v>
      </c>
      <c r="F41" s="8" t="s">
        <v>3012</v>
      </c>
      <c r="G41" s="8" t="s">
        <v>3015</v>
      </c>
      <c r="H41" s="8">
        <v>218760</v>
      </c>
      <c r="I41" s="8">
        <v>160</v>
      </c>
      <c r="J41" s="8" t="s">
        <v>849</v>
      </c>
      <c r="K41" s="9">
        <v>45283</v>
      </c>
      <c r="L41" s="9">
        <v>45638</v>
      </c>
      <c r="M41" s="8" t="s">
        <v>838</v>
      </c>
      <c r="O41" s="8" t="s">
        <v>845</v>
      </c>
      <c r="P41" s="9">
        <v>45638</v>
      </c>
      <c r="Q41" s="24" t="s">
        <v>849</v>
      </c>
      <c r="R41" s="8">
        <v>1200</v>
      </c>
    </row>
    <row r="42" spans="1:18" ht="45">
      <c r="A42" s="8" t="s">
        <v>3014</v>
      </c>
      <c r="B42" s="8" t="s">
        <v>845</v>
      </c>
      <c r="C42" s="8" t="s">
        <v>2203</v>
      </c>
      <c r="D42" s="8" t="s">
        <v>852</v>
      </c>
      <c r="E42" s="8" t="s">
        <v>838</v>
      </c>
      <c r="F42" s="8" t="s">
        <v>3012</v>
      </c>
      <c r="G42" s="8" t="s">
        <v>3015</v>
      </c>
      <c r="H42" s="8">
        <v>307680</v>
      </c>
      <c r="I42" s="8">
        <v>220</v>
      </c>
      <c r="J42" s="8" t="s">
        <v>851</v>
      </c>
      <c r="K42" s="9">
        <v>45247</v>
      </c>
      <c r="L42" s="9">
        <v>45585</v>
      </c>
      <c r="M42" s="8" t="s">
        <v>838</v>
      </c>
      <c r="O42" s="8" t="s">
        <v>845</v>
      </c>
      <c r="P42" s="9">
        <v>45585</v>
      </c>
      <c r="Q42" s="24" t="s">
        <v>851</v>
      </c>
      <c r="R42" s="8">
        <v>21440</v>
      </c>
    </row>
    <row r="43" spans="1:18" ht="45">
      <c r="A43" s="8" t="s">
        <v>3014</v>
      </c>
      <c r="B43" s="8" t="s">
        <v>845</v>
      </c>
      <c r="C43" s="8" t="s">
        <v>2203</v>
      </c>
      <c r="D43" s="8" t="s">
        <v>848</v>
      </c>
      <c r="E43" s="8" t="s">
        <v>838</v>
      </c>
      <c r="F43" s="8" t="s">
        <v>3012</v>
      </c>
      <c r="G43" s="8" t="s">
        <v>3015</v>
      </c>
      <c r="H43" s="8">
        <v>249500</v>
      </c>
      <c r="I43" s="8">
        <v>220</v>
      </c>
      <c r="J43" s="8" t="s">
        <v>853</v>
      </c>
      <c r="K43" s="9">
        <v>45247</v>
      </c>
      <c r="L43" s="9">
        <v>45596</v>
      </c>
      <c r="M43" s="8" t="s">
        <v>838</v>
      </c>
      <c r="O43" s="8" t="s">
        <v>845</v>
      </c>
      <c r="P43" s="9">
        <v>45596</v>
      </c>
      <c r="Q43" s="24" t="s">
        <v>853</v>
      </c>
      <c r="R43" s="8">
        <v>15220</v>
      </c>
    </row>
    <row r="44" spans="1:18" ht="45">
      <c r="A44" s="8" t="s">
        <v>3014</v>
      </c>
      <c r="B44" s="8" t="s">
        <v>845</v>
      </c>
      <c r="C44" s="8" t="s">
        <v>2203</v>
      </c>
      <c r="D44" s="8" t="s">
        <v>850</v>
      </c>
      <c r="E44" s="8" t="s">
        <v>838</v>
      </c>
      <c r="F44" s="8" t="s">
        <v>3012</v>
      </c>
      <c r="G44" s="8" t="s">
        <v>3015</v>
      </c>
      <c r="H44" s="8">
        <v>218760</v>
      </c>
      <c r="I44" s="8">
        <v>400</v>
      </c>
      <c r="J44" s="8" t="s">
        <v>854</v>
      </c>
      <c r="K44" s="9">
        <v>45283</v>
      </c>
      <c r="L44" s="9">
        <v>45635</v>
      </c>
      <c r="M44" s="8" t="s">
        <v>838</v>
      </c>
      <c r="O44" s="8" t="s">
        <v>845</v>
      </c>
      <c r="P44" s="9">
        <v>45635</v>
      </c>
      <c r="Q44" s="24" t="s">
        <v>854</v>
      </c>
      <c r="R44" s="8">
        <v>400</v>
      </c>
    </row>
    <row r="45" spans="1:18" ht="45">
      <c r="A45" s="8" t="s">
        <v>3014</v>
      </c>
      <c r="B45" s="8" t="s">
        <v>845</v>
      </c>
      <c r="C45" s="8" t="s">
        <v>2203</v>
      </c>
      <c r="D45" s="8" t="s">
        <v>848</v>
      </c>
      <c r="E45" s="8" t="s">
        <v>838</v>
      </c>
      <c r="F45" s="8" t="s">
        <v>3012</v>
      </c>
      <c r="G45" s="8" t="s">
        <v>3015</v>
      </c>
      <c r="H45" s="8">
        <v>249500</v>
      </c>
      <c r="I45" s="8">
        <v>420</v>
      </c>
      <c r="J45" s="8" t="s">
        <v>855</v>
      </c>
      <c r="K45" s="9">
        <v>45247</v>
      </c>
      <c r="L45" s="9">
        <v>45596</v>
      </c>
      <c r="M45" s="8" t="s">
        <v>838</v>
      </c>
      <c r="O45" s="8" t="s">
        <v>845</v>
      </c>
      <c r="P45" s="9">
        <v>45596</v>
      </c>
      <c r="Q45" s="24" t="s">
        <v>855</v>
      </c>
      <c r="R45" s="8">
        <v>3140</v>
      </c>
    </row>
    <row r="46" spans="1:18" ht="45">
      <c r="A46" s="8" t="s">
        <v>3014</v>
      </c>
      <c r="B46" s="8" t="s">
        <v>845</v>
      </c>
      <c r="C46" s="8" t="s">
        <v>2203</v>
      </c>
      <c r="D46" s="8" t="s">
        <v>850</v>
      </c>
      <c r="E46" s="8" t="s">
        <v>838</v>
      </c>
      <c r="F46" s="8" t="s">
        <v>3012</v>
      </c>
      <c r="G46" s="8" t="s">
        <v>3015</v>
      </c>
      <c r="H46" s="8">
        <v>218760</v>
      </c>
      <c r="I46" s="8">
        <v>700</v>
      </c>
      <c r="J46" s="8" t="s">
        <v>856</v>
      </c>
      <c r="K46" s="9">
        <v>45283</v>
      </c>
      <c r="L46" s="9">
        <v>45637</v>
      </c>
      <c r="M46" s="8" t="s">
        <v>838</v>
      </c>
      <c r="O46" s="8" t="s">
        <v>845</v>
      </c>
      <c r="P46" s="9">
        <v>45637</v>
      </c>
      <c r="Q46" s="24" t="s">
        <v>856</v>
      </c>
      <c r="R46" s="8">
        <v>31000</v>
      </c>
    </row>
    <row r="47" spans="1:18" ht="45">
      <c r="A47" s="8" t="s">
        <v>3014</v>
      </c>
      <c r="B47" s="8" t="s">
        <v>845</v>
      </c>
      <c r="C47" s="8" t="s">
        <v>2203</v>
      </c>
      <c r="D47" s="8" t="s">
        <v>857</v>
      </c>
      <c r="E47" s="8" t="s">
        <v>838</v>
      </c>
      <c r="F47" s="8" t="s">
        <v>3012</v>
      </c>
      <c r="G47" s="8" t="s">
        <v>3015</v>
      </c>
      <c r="H47" s="8">
        <v>300000</v>
      </c>
      <c r="I47" s="8">
        <v>1040</v>
      </c>
      <c r="J47" s="8" t="s">
        <v>849</v>
      </c>
      <c r="K47" s="9">
        <v>45283</v>
      </c>
      <c r="L47" s="9">
        <v>45638</v>
      </c>
      <c r="M47" s="8" t="s">
        <v>838</v>
      </c>
      <c r="O47" s="8" t="s">
        <v>845</v>
      </c>
      <c r="P47" s="9">
        <v>45574</v>
      </c>
      <c r="Q47" s="24" t="s">
        <v>858</v>
      </c>
      <c r="R47" s="8">
        <v>1360</v>
      </c>
    </row>
    <row r="48" spans="1:18" ht="45">
      <c r="A48" s="8" t="s">
        <v>3014</v>
      </c>
      <c r="B48" s="8" t="s">
        <v>845</v>
      </c>
      <c r="C48" s="8" t="s">
        <v>2203</v>
      </c>
      <c r="D48" s="8" t="s">
        <v>850</v>
      </c>
      <c r="E48" s="8" t="s">
        <v>838</v>
      </c>
      <c r="F48" s="8" t="s">
        <v>3012</v>
      </c>
      <c r="G48" s="8" t="s">
        <v>3015</v>
      </c>
      <c r="H48" s="8">
        <v>218760</v>
      </c>
      <c r="I48" s="8">
        <v>1360</v>
      </c>
      <c r="J48" s="8" t="s">
        <v>858</v>
      </c>
      <c r="K48" s="9">
        <v>45234</v>
      </c>
      <c r="L48" s="9">
        <v>45574</v>
      </c>
      <c r="M48" s="8" t="s">
        <v>838</v>
      </c>
      <c r="O48" s="8" t="s">
        <v>845</v>
      </c>
      <c r="P48" s="9">
        <v>45618</v>
      </c>
      <c r="Q48" s="24" t="s">
        <v>859</v>
      </c>
      <c r="R48" s="8">
        <v>8180</v>
      </c>
    </row>
    <row r="49" spans="1:18" ht="45">
      <c r="A49" s="8" t="s">
        <v>3014</v>
      </c>
      <c r="B49" s="8" t="s">
        <v>845</v>
      </c>
      <c r="C49" s="8" t="s">
        <v>2203</v>
      </c>
      <c r="D49" s="8" t="s">
        <v>850</v>
      </c>
      <c r="E49" s="8" t="s">
        <v>838</v>
      </c>
      <c r="F49" s="8" t="s">
        <v>3012</v>
      </c>
      <c r="G49" s="8" t="s">
        <v>3015</v>
      </c>
      <c r="H49" s="8">
        <v>218760</v>
      </c>
      <c r="I49" s="8">
        <v>1460</v>
      </c>
      <c r="J49" s="8" t="s">
        <v>859</v>
      </c>
      <c r="K49" s="9">
        <v>45269</v>
      </c>
      <c r="L49" s="9">
        <v>45618</v>
      </c>
      <c r="M49" s="8" t="s">
        <v>838</v>
      </c>
      <c r="O49" s="8" t="s">
        <v>845</v>
      </c>
      <c r="P49" s="9">
        <v>45577</v>
      </c>
      <c r="Q49" s="24" t="s">
        <v>860</v>
      </c>
      <c r="R49" s="8">
        <v>5960</v>
      </c>
    </row>
    <row r="50" spans="1:18" ht="45">
      <c r="A50" s="8" t="s">
        <v>3014</v>
      </c>
      <c r="B50" s="8" t="s">
        <v>845</v>
      </c>
      <c r="C50" s="8" t="s">
        <v>2203</v>
      </c>
      <c r="D50" s="8" t="s">
        <v>18</v>
      </c>
      <c r="E50" s="8" t="s">
        <v>838</v>
      </c>
      <c r="F50" s="8" t="s">
        <v>3012</v>
      </c>
      <c r="G50" s="8" t="s">
        <v>3015</v>
      </c>
      <c r="H50" s="8">
        <v>1518</v>
      </c>
      <c r="I50" s="8">
        <v>1500</v>
      </c>
      <c r="J50" s="8" t="s">
        <v>860</v>
      </c>
      <c r="K50" s="9">
        <v>45234</v>
      </c>
      <c r="L50" s="9">
        <v>45577</v>
      </c>
      <c r="M50" s="8" t="s">
        <v>838</v>
      </c>
      <c r="O50" s="8" t="s">
        <v>845</v>
      </c>
      <c r="P50" s="9">
        <v>45597</v>
      </c>
      <c r="Q50" s="24" t="s">
        <v>861</v>
      </c>
      <c r="R50" s="8">
        <v>3900</v>
      </c>
    </row>
    <row r="51" spans="1:18" ht="45">
      <c r="A51" s="8" t="s">
        <v>3014</v>
      </c>
      <c r="B51" s="8" t="s">
        <v>845</v>
      </c>
      <c r="C51" s="8" t="s">
        <v>2203</v>
      </c>
      <c r="D51" s="8" t="s">
        <v>852</v>
      </c>
      <c r="E51" s="8" t="s">
        <v>838</v>
      </c>
      <c r="F51" s="8" t="s">
        <v>3012</v>
      </c>
      <c r="G51" s="8" t="s">
        <v>3015</v>
      </c>
      <c r="H51" s="8">
        <v>307680</v>
      </c>
      <c r="I51" s="8">
        <v>1520</v>
      </c>
      <c r="J51" s="8" t="s">
        <v>861</v>
      </c>
      <c r="K51" s="9">
        <v>45247</v>
      </c>
      <c r="L51" s="9">
        <v>45597</v>
      </c>
      <c r="M51" s="8" t="s">
        <v>838</v>
      </c>
      <c r="O51" s="8" t="s">
        <v>845</v>
      </c>
      <c r="P51" s="9">
        <v>45597</v>
      </c>
      <c r="Q51" s="24" t="s">
        <v>862</v>
      </c>
      <c r="R51" s="8">
        <v>28760</v>
      </c>
    </row>
    <row r="52" spans="1:18" ht="45">
      <c r="A52" s="8" t="s">
        <v>3014</v>
      </c>
      <c r="B52" s="8" t="s">
        <v>845</v>
      </c>
      <c r="C52" s="8" t="s">
        <v>2203</v>
      </c>
      <c r="D52" s="8" t="s">
        <v>848</v>
      </c>
      <c r="E52" s="8" t="s">
        <v>838</v>
      </c>
      <c r="F52" s="8" t="s">
        <v>3012</v>
      </c>
      <c r="G52" s="8" t="s">
        <v>3015</v>
      </c>
      <c r="H52" s="8">
        <v>249500</v>
      </c>
      <c r="I52" s="8">
        <v>1760</v>
      </c>
      <c r="J52" s="8" t="s">
        <v>862</v>
      </c>
      <c r="K52" s="9">
        <v>45246</v>
      </c>
      <c r="L52" s="9">
        <v>45597</v>
      </c>
      <c r="M52" s="8" t="s">
        <v>838</v>
      </c>
      <c r="O52" s="8" t="s">
        <v>845</v>
      </c>
      <c r="P52" s="9">
        <v>45630</v>
      </c>
      <c r="Q52" s="24" t="s">
        <v>863</v>
      </c>
      <c r="R52" s="8">
        <v>2400</v>
      </c>
    </row>
    <row r="53" spans="1:18" ht="45">
      <c r="A53" s="8" t="s">
        <v>3014</v>
      </c>
      <c r="B53" s="8" t="s">
        <v>845</v>
      </c>
      <c r="C53" s="8" t="s">
        <v>2203</v>
      </c>
      <c r="D53" s="8" t="s">
        <v>848</v>
      </c>
      <c r="E53" s="8" t="s">
        <v>838</v>
      </c>
      <c r="F53" s="8" t="s">
        <v>3012</v>
      </c>
      <c r="G53" s="8" t="s">
        <v>3015</v>
      </c>
      <c r="H53" s="8">
        <v>249500</v>
      </c>
      <c r="I53" s="8">
        <v>2380</v>
      </c>
      <c r="J53" s="8" t="s">
        <v>861</v>
      </c>
      <c r="K53" s="9">
        <v>45247</v>
      </c>
      <c r="L53" s="9">
        <v>45597</v>
      </c>
      <c r="M53" s="8" t="s">
        <v>838</v>
      </c>
      <c r="O53" s="8" t="s">
        <v>845</v>
      </c>
      <c r="P53" s="9">
        <v>45595</v>
      </c>
      <c r="Q53" s="24" t="s">
        <v>864</v>
      </c>
      <c r="R53" s="8">
        <v>3280</v>
      </c>
    </row>
    <row r="54" spans="1:18" ht="45">
      <c r="A54" s="8" t="s">
        <v>3014</v>
      </c>
      <c r="B54" s="8" t="s">
        <v>845</v>
      </c>
      <c r="C54" s="8" t="s">
        <v>2203</v>
      </c>
      <c r="D54" s="8" t="s">
        <v>857</v>
      </c>
      <c r="E54" s="8" t="s">
        <v>838</v>
      </c>
      <c r="F54" s="8" t="s">
        <v>3012</v>
      </c>
      <c r="G54" s="8" t="s">
        <v>3015</v>
      </c>
      <c r="H54" s="8">
        <v>300000</v>
      </c>
      <c r="I54" s="8">
        <v>2400</v>
      </c>
      <c r="J54" s="8" t="s">
        <v>863</v>
      </c>
      <c r="K54" s="9">
        <v>45280</v>
      </c>
      <c r="L54" s="9">
        <v>45630</v>
      </c>
      <c r="M54" s="8" t="s">
        <v>838</v>
      </c>
      <c r="O54" s="8" t="s">
        <v>845</v>
      </c>
      <c r="P54" s="9">
        <v>45596</v>
      </c>
      <c r="Q54" s="24" t="s">
        <v>865</v>
      </c>
      <c r="R54" s="8">
        <v>3500</v>
      </c>
    </row>
    <row r="55" spans="1:18" ht="45">
      <c r="A55" s="8" t="s">
        <v>3014</v>
      </c>
      <c r="B55" s="8" t="s">
        <v>845</v>
      </c>
      <c r="C55" s="8" t="s">
        <v>2203</v>
      </c>
      <c r="D55" s="8" t="s">
        <v>852</v>
      </c>
      <c r="E55" s="8" t="s">
        <v>838</v>
      </c>
      <c r="F55" s="8" t="s">
        <v>3012</v>
      </c>
      <c r="G55" s="8" t="s">
        <v>3015</v>
      </c>
      <c r="H55" s="8">
        <v>307680</v>
      </c>
      <c r="I55" s="8">
        <v>2720</v>
      </c>
      <c r="J55" s="8" t="s">
        <v>855</v>
      </c>
      <c r="K55" s="9">
        <v>45247</v>
      </c>
      <c r="L55" s="9">
        <v>45596</v>
      </c>
      <c r="M55" s="8" t="s">
        <v>838</v>
      </c>
      <c r="O55" s="8" t="s">
        <v>845</v>
      </c>
      <c r="P55" s="9">
        <v>45625</v>
      </c>
      <c r="Q55" s="24" t="s">
        <v>866</v>
      </c>
      <c r="R55" s="8">
        <v>3800</v>
      </c>
    </row>
    <row r="56" spans="1:18" ht="45">
      <c r="A56" s="8" t="s">
        <v>3014</v>
      </c>
      <c r="B56" s="8" t="s">
        <v>845</v>
      </c>
      <c r="C56" s="8" t="s">
        <v>2203</v>
      </c>
      <c r="D56" s="8" t="s">
        <v>15</v>
      </c>
      <c r="E56" s="8" t="s">
        <v>838</v>
      </c>
      <c r="F56" s="8" t="s">
        <v>3012</v>
      </c>
      <c r="G56" s="8" t="s">
        <v>3015</v>
      </c>
      <c r="H56" s="8">
        <v>3000</v>
      </c>
      <c r="I56" s="8">
        <v>3000</v>
      </c>
      <c r="J56" s="8" t="s">
        <v>859</v>
      </c>
      <c r="K56" s="9">
        <v>45269</v>
      </c>
      <c r="L56" s="9">
        <v>45618</v>
      </c>
      <c r="M56" s="8" t="s">
        <v>838</v>
      </c>
      <c r="O56" s="8" t="s">
        <v>845</v>
      </c>
      <c r="P56" s="9">
        <v>45630</v>
      </c>
      <c r="Q56" s="24" t="s">
        <v>868</v>
      </c>
      <c r="R56" s="8">
        <v>16400</v>
      </c>
    </row>
    <row r="57" spans="1:18" ht="45">
      <c r="A57" s="8" t="s">
        <v>3014</v>
      </c>
      <c r="B57" s="8" t="s">
        <v>845</v>
      </c>
      <c r="C57" s="8" t="s">
        <v>2203</v>
      </c>
      <c r="D57" s="8" t="s">
        <v>852</v>
      </c>
      <c r="E57" s="8" t="s">
        <v>838</v>
      </c>
      <c r="F57" s="8" t="s">
        <v>3012</v>
      </c>
      <c r="G57" s="8" t="s">
        <v>3015</v>
      </c>
      <c r="H57" s="8">
        <v>307680</v>
      </c>
      <c r="I57" s="8">
        <v>3280</v>
      </c>
      <c r="J57" s="8" t="s">
        <v>864</v>
      </c>
      <c r="K57" s="9">
        <v>45247</v>
      </c>
      <c r="L57" s="9">
        <v>45595</v>
      </c>
      <c r="M57" s="8" t="s">
        <v>838</v>
      </c>
      <c r="O57" s="8" t="s">
        <v>845</v>
      </c>
      <c r="P57" s="9">
        <v>45597</v>
      </c>
      <c r="Q57" s="24" t="s">
        <v>869</v>
      </c>
      <c r="R57" s="8">
        <v>22800</v>
      </c>
    </row>
    <row r="58" spans="1:18" ht="45">
      <c r="A58" s="8" t="s">
        <v>3014</v>
      </c>
      <c r="B58" s="8" t="s">
        <v>845</v>
      </c>
      <c r="C58" s="8" t="s">
        <v>2203</v>
      </c>
      <c r="D58" s="8" t="s">
        <v>848</v>
      </c>
      <c r="E58" s="8" t="s">
        <v>838</v>
      </c>
      <c r="F58" s="8" t="s">
        <v>3012</v>
      </c>
      <c r="G58" s="8" t="s">
        <v>3015</v>
      </c>
      <c r="H58" s="8">
        <v>249500</v>
      </c>
      <c r="I58" s="8">
        <v>3500</v>
      </c>
      <c r="J58" s="8" t="s">
        <v>865</v>
      </c>
      <c r="K58" s="9">
        <v>45247</v>
      </c>
      <c r="L58" s="9">
        <v>45596</v>
      </c>
      <c r="M58" s="8" t="s">
        <v>838</v>
      </c>
      <c r="O58" s="8" t="s">
        <v>845</v>
      </c>
      <c r="P58" s="9">
        <v>45617</v>
      </c>
      <c r="Q58" s="24" t="s">
        <v>870</v>
      </c>
      <c r="R58" s="8">
        <v>5000</v>
      </c>
    </row>
    <row r="59" spans="1:18" ht="45">
      <c r="A59" s="8" t="s">
        <v>3014</v>
      </c>
      <c r="B59" s="8" t="s">
        <v>845</v>
      </c>
      <c r="C59" s="8" t="s">
        <v>2203</v>
      </c>
      <c r="D59" s="8" t="s">
        <v>848</v>
      </c>
      <c r="E59" s="8" t="s">
        <v>838</v>
      </c>
      <c r="F59" s="8" t="s">
        <v>3012</v>
      </c>
      <c r="G59" s="8" t="s">
        <v>3015</v>
      </c>
      <c r="H59" s="8">
        <v>249500</v>
      </c>
      <c r="I59" s="8">
        <v>3720</v>
      </c>
      <c r="J59" s="8" t="s">
        <v>859</v>
      </c>
      <c r="K59" s="9">
        <v>45269</v>
      </c>
      <c r="L59" s="9">
        <v>45618</v>
      </c>
      <c r="M59" s="8" t="s">
        <v>838</v>
      </c>
      <c r="O59" s="8" t="s">
        <v>845</v>
      </c>
      <c r="P59" s="9">
        <v>45637</v>
      </c>
      <c r="Q59" s="24" t="s">
        <v>871</v>
      </c>
      <c r="R59" s="8">
        <v>20580</v>
      </c>
    </row>
    <row r="60" spans="1:18" ht="45">
      <c r="A60" s="8" t="s">
        <v>3014</v>
      </c>
      <c r="B60" s="8" t="s">
        <v>845</v>
      </c>
      <c r="C60" s="8" t="s">
        <v>2203</v>
      </c>
      <c r="D60" s="8" t="s">
        <v>867</v>
      </c>
      <c r="E60" s="8" t="s">
        <v>838</v>
      </c>
      <c r="F60" s="8" t="s">
        <v>3012</v>
      </c>
      <c r="G60" s="8" t="s">
        <v>3015</v>
      </c>
      <c r="H60" s="8">
        <v>578000</v>
      </c>
      <c r="I60" s="8">
        <v>3800</v>
      </c>
      <c r="J60" s="8" t="s">
        <v>866</v>
      </c>
      <c r="K60" s="9">
        <v>45272</v>
      </c>
      <c r="L60" s="9">
        <v>45625</v>
      </c>
      <c r="M60" s="8" t="s">
        <v>838</v>
      </c>
      <c r="O60" s="8" t="s">
        <v>845</v>
      </c>
      <c r="P60" s="9">
        <v>45618</v>
      </c>
      <c r="Q60" s="24" t="s">
        <v>872</v>
      </c>
      <c r="R60" s="8">
        <v>15800</v>
      </c>
    </row>
    <row r="61" spans="1:18" ht="45">
      <c r="A61" s="8" t="s">
        <v>3014</v>
      </c>
      <c r="B61" s="8" t="s">
        <v>845</v>
      </c>
      <c r="C61" s="8" t="s">
        <v>2203</v>
      </c>
      <c r="D61" s="8" t="s">
        <v>857</v>
      </c>
      <c r="E61" s="8" t="s">
        <v>838</v>
      </c>
      <c r="F61" s="8" t="s">
        <v>3012</v>
      </c>
      <c r="G61" s="8" t="s">
        <v>3015</v>
      </c>
      <c r="H61" s="8">
        <v>300000</v>
      </c>
      <c r="I61" s="8">
        <v>4200</v>
      </c>
      <c r="J61" s="8" t="s">
        <v>868</v>
      </c>
      <c r="K61" s="9">
        <v>45275</v>
      </c>
      <c r="L61" s="9">
        <v>45630</v>
      </c>
      <c r="M61" s="8" t="s">
        <v>838</v>
      </c>
      <c r="O61" s="8" t="s">
        <v>845</v>
      </c>
      <c r="P61" s="9">
        <v>45618</v>
      </c>
      <c r="Q61" s="24" t="s">
        <v>873</v>
      </c>
      <c r="R61" s="8">
        <v>6200</v>
      </c>
    </row>
    <row r="62" spans="1:18" ht="45">
      <c r="A62" s="8" t="s">
        <v>3014</v>
      </c>
      <c r="B62" s="8" t="s">
        <v>845</v>
      </c>
      <c r="C62" s="8" t="s">
        <v>2203</v>
      </c>
      <c r="D62" s="8" t="s">
        <v>850</v>
      </c>
      <c r="E62" s="8" t="s">
        <v>838</v>
      </c>
      <c r="F62" s="8" t="s">
        <v>3012</v>
      </c>
      <c r="G62" s="8" t="s">
        <v>3015</v>
      </c>
      <c r="H62" s="8">
        <v>218760</v>
      </c>
      <c r="I62" s="8">
        <v>4460</v>
      </c>
      <c r="J62" s="8" t="s">
        <v>860</v>
      </c>
      <c r="K62" s="9">
        <v>45234</v>
      </c>
      <c r="L62" s="9">
        <v>45577</v>
      </c>
      <c r="M62" s="8" t="s">
        <v>838</v>
      </c>
      <c r="O62" s="8" t="s">
        <v>845</v>
      </c>
      <c r="P62" s="9">
        <v>45628</v>
      </c>
      <c r="Q62" s="24" t="s">
        <v>874</v>
      </c>
      <c r="R62" s="8">
        <v>28940</v>
      </c>
    </row>
    <row r="63" spans="1:18" ht="45">
      <c r="A63" s="8" t="s">
        <v>3014</v>
      </c>
      <c r="B63" s="8" t="s">
        <v>845</v>
      </c>
      <c r="C63" s="8" t="s">
        <v>2203</v>
      </c>
      <c r="D63" s="8" t="s">
        <v>848</v>
      </c>
      <c r="E63" s="8" t="s">
        <v>838</v>
      </c>
      <c r="F63" s="8" t="s">
        <v>3012</v>
      </c>
      <c r="G63" s="8" t="s">
        <v>3015</v>
      </c>
      <c r="H63" s="8">
        <v>249500</v>
      </c>
      <c r="I63" s="8">
        <v>4800</v>
      </c>
      <c r="J63" s="8" t="s">
        <v>869</v>
      </c>
      <c r="K63" s="9">
        <v>45246</v>
      </c>
      <c r="L63" s="9">
        <v>45597</v>
      </c>
      <c r="M63" s="8" t="s">
        <v>838</v>
      </c>
      <c r="O63" s="8" t="s">
        <v>845</v>
      </c>
      <c r="P63" s="9">
        <v>45591</v>
      </c>
      <c r="Q63" s="24" t="s">
        <v>875</v>
      </c>
      <c r="R63" s="8">
        <v>8720</v>
      </c>
    </row>
    <row r="64" spans="1:18" ht="45">
      <c r="A64" s="8" t="s">
        <v>3014</v>
      </c>
      <c r="B64" s="8" t="s">
        <v>845</v>
      </c>
      <c r="C64" s="8" t="s">
        <v>2203</v>
      </c>
      <c r="D64" s="8" t="s">
        <v>867</v>
      </c>
      <c r="E64" s="8" t="s">
        <v>838</v>
      </c>
      <c r="F64" s="8" t="s">
        <v>3012</v>
      </c>
      <c r="G64" s="8" t="s">
        <v>3015</v>
      </c>
      <c r="H64" s="8">
        <v>578000</v>
      </c>
      <c r="I64" s="8">
        <v>5000</v>
      </c>
      <c r="J64" s="8" t="s">
        <v>870</v>
      </c>
      <c r="K64" s="9">
        <v>45271</v>
      </c>
      <c r="L64" s="9">
        <v>45617</v>
      </c>
      <c r="M64" s="8" t="s">
        <v>838</v>
      </c>
      <c r="O64" s="8" t="s">
        <v>845</v>
      </c>
      <c r="P64" s="9">
        <v>45591</v>
      </c>
      <c r="Q64" s="24" t="s">
        <v>876</v>
      </c>
      <c r="R64" s="8">
        <v>9000</v>
      </c>
    </row>
    <row r="65" spans="1:18" ht="45">
      <c r="A65" s="8" t="s">
        <v>3014</v>
      </c>
      <c r="B65" s="8" t="s">
        <v>845</v>
      </c>
      <c r="C65" s="8" t="s">
        <v>2203</v>
      </c>
      <c r="D65" s="8" t="s">
        <v>850</v>
      </c>
      <c r="E65" s="8" t="s">
        <v>838</v>
      </c>
      <c r="F65" s="8" t="s">
        <v>3012</v>
      </c>
      <c r="G65" s="8" t="s">
        <v>3015</v>
      </c>
      <c r="H65" s="8">
        <v>218760</v>
      </c>
      <c r="I65" s="8">
        <v>5380</v>
      </c>
      <c r="J65" s="8" t="s">
        <v>871</v>
      </c>
      <c r="K65" s="9">
        <v>45283</v>
      </c>
      <c r="L65" s="9">
        <v>45637</v>
      </c>
      <c r="M65" s="8" t="s">
        <v>838</v>
      </c>
      <c r="O65" s="8" t="s">
        <v>845</v>
      </c>
      <c r="P65" s="9">
        <v>45627</v>
      </c>
      <c r="Q65" s="24" t="s">
        <v>877</v>
      </c>
      <c r="R65" s="8">
        <v>9400</v>
      </c>
    </row>
    <row r="66" spans="1:18" ht="45">
      <c r="A66" s="8" t="s">
        <v>3014</v>
      </c>
      <c r="B66" s="8" t="s">
        <v>845</v>
      </c>
      <c r="C66" s="8" t="s">
        <v>2203</v>
      </c>
      <c r="D66" s="8" t="s">
        <v>867</v>
      </c>
      <c r="E66" s="8" t="s">
        <v>838</v>
      </c>
      <c r="F66" s="8" t="s">
        <v>3012</v>
      </c>
      <c r="G66" s="8" t="s">
        <v>3015</v>
      </c>
      <c r="H66" s="8">
        <v>578000</v>
      </c>
      <c r="I66" s="8">
        <v>5800</v>
      </c>
      <c r="J66" s="8" t="s">
        <v>872</v>
      </c>
      <c r="K66" s="9">
        <v>45269</v>
      </c>
      <c r="L66" s="9">
        <v>45618</v>
      </c>
      <c r="M66" s="8" t="s">
        <v>838</v>
      </c>
      <c r="O66" s="8" t="s">
        <v>845</v>
      </c>
      <c r="P66" s="9">
        <v>45625</v>
      </c>
      <c r="Q66" s="24" t="s">
        <v>878</v>
      </c>
      <c r="R66" s="8">
        <v>11000</v>
      </c>
    </row>
    <row r="67" spans="1:18" ht="45">
      <c r="A67" s="8" t="s">
        <v>3014</v>
      </c>
      <c r="B67" s="8" t="s">
        <v>845</v>
      </c>
      <c r="C67" s="8" t="s">
        <v>2203</v>
      </c>
      <c r="D67" s="8" t="s">
        <v>867</v>
      </c>
      <c r="E67" s="8" t="s">
        <v>838</v>
      </c>
      <c r="F67" s="8" t="s">
        <v>3012</v>
      </c>
      <c r="G67" s="8" t="s">
        <v>3015</v>
      </c>
      <c r="H67" s="8">
        <v>578000</v>
      </c>
      <c r="I67" s="8">
        <v>6200</v>
      </c>
      <c r="J67" s="8" t="s">
        <v>873</v>
      </c>
      <c r="K67" s="9">
        <v>45269</v>
      </c>
      <c r="L67" s="9">
        <v>45618</v>
      </c>
      <c r="M67" s="8" t="s">
        <v>838</v>
      </c>
      <c r="O67" s="8" t="s">
        <v>845</v>
      </c>
      <c r="P67" s="9">
        <v>45574</v>
      </c>
      <c r="Q67" s="24" t="s">
        <v>879</v>
      </c>
      <c r="R67" s="8">
        <v>11020</v>
      </c>
    </row>
    <row r="68" spans="1:18" ht="45">
      <c r="A68" s="8" t="s">
        <v>3014</v>
      </c>
      <c r="B68" s="8" t="s">
        <v>845</v>
      </c>
      <c r="C68" s="8" t="s">
        <v>2203</v>
      </c>
      <c r="D68" s="8" t="s">
        <v>857</v>
      </c>
      <c r="E68" s="8" t="s">
        <v>838</v>
      </c>
      <c r="F68" s="8" t="s">
        <v>3012</v>
      </c>
      <c r="G68" s="8" t="s">
        <v>3015</v>
      </c>
      <c r="H68" s="8">
        <v>300000</v>
      </c>
      <c r="I68" s="8">
        <v>6480</v>
      </c>
      <c r="J68" s="8" t="s">
        <v>874</v>
      </c>
      <c r="K68" s="9">
        <v>45280</v>
      </c>
      <c r="L68" s="9">
        <v>45628</v>
      </c>
      <c r="M68" s="8" t="s">
        <v>838</v>
      </c>
      <c r="O68" s="8" t="s">
        <v>845</v>
      </c>
      <c r="P68" s="9">
        <v>45631</v>
      </c>
      <c r="Q68" s="24" t="s">
        <v>880</v>
      </c>
      <c r="R68" s="8">
        <v>11060</v>
      </c>
    </row>
    <row r="69" spans="1:18" ht="45">
      <c r="A69" s="8" t="s">
        <v>3014</v>
      </c>
      <c r="B69" s="8" t="s">
        <v>845</v>
      </c>
      <c r="C69" s="8" t="s">
        <v>2203</v>
      </c>
      <c r="D69" s="8" t="s">
        <v>848</v>
      </c>
      <c r="E69" s="8" t="s">
        <v>838</v>
      </c>
      <c r="F69" s="8" t="s">
        <v>3012</v>
      </c>
      <c r="G69" s="8" t="s">
        <v>3015</v>
      </c>
      <c r="H69" s="8">
        <v>249500</v>
      </c>
      <c r="I69" s="8">
        <v>8720</v>
      </c>
      <c r="J69" s="8" t="s">
        <v>875</v>
      </c>
      <c r="K69" s="9">
        <v>45247</v>
      </c>
      <c r="L69" s="9">
        <v>45591</v>
      </c>
      <c r="M69" s="8" t="s">
        <v>838</v>
      </c>
      <c r="O69" s="8" t="s">
        <v>845</v>
      </c>
      <c r="P69" s="9">
        <v>45586</v>
      </c>
      <c r="Q69" s="24" t="s">
        <v>881</v>
      </c>
      <c r="R69" s="8">
        <v>11400</v>
      </c>
    </row>
    <row r="70" spans="1:18" ht="45">
      <c r="A70" s="8" t="s">
        <v>3014</v>
      </c>
      <c r="B70" s="8" t="s">
        <v>845</v>
      </c>
      <c r="C70" s="8" t="s">
        <v>2203</v>
      </c>
      <c r="D70" s="8" t="s">
        <v>848</v>
      </c>
      <c r="E70" s="8" t="s">
        <v>838</v>
      </c>
      <c r="F70" s="8" t="s">
        <v>3012</v>
      </c>
      <c r="G70" s="8" t="s">
        <v>3015</v>
      </c>
      <c r="H70" s="8">
        <v>249500</v>
      </c>
      <c r="I70" s="8">
        <v>9000</v>
      </c>
      <c r="J70" s="8" t="s">
        <v>876</v>
      </c>
      <c r="K70" s="9">
        <v>45247</v>
      </c>
      <c r="L70" s="9">
        <v>45591</v>
      </c>
      <c r="M70" s="8" t="s">
        <v>838</v>
      </c>
      <c r="O70" s="8" t="s">
        <v>845</v>
      </c>
      <c r="P70" s="9">
        <v>45632</v>
      </c>
      <c r="Q70" s="24" t="s">
        <v>882</v>
      </c>
      <c r="R70" s="8">
        <v>11440</v>
      </c>
    </row>
    <row r="71" spans="1:18" ht="45">
      <c r="A71" s="8" t="s">
        <v>3014</v>
      </c>
      <c r="B71" s="8" t="s">
        <v>845</v>
      </c>
      <c r="C71" s="8" t="s">
        <v>2203</v>
      </c>
      <c r="D71" s="8" t="s">
        <v>867</v>
      </c>
      <c r="E71" s="8" t="s">
        <v>838</v>
      </c>
      <c r="F71" s="8" t="s">
        <v>3012</v>
      </c>
      <c r="G71" s="8" t="s">
        <v>3015</v>
      </c>
      <c r="H71" s="8">
        <v>578000</v>
      </c>
      <c r="I71" s="8">
        <v>9400</v>
      </c>
      <c r="J71" s="8" t="s">
        <v>877</v>
      </c>
      <c r="K71" s="9">
        <v>45272</v>
      </c>
      <c r="L71" s="9">
        <v>45627</v>
      </c>
      <c r="M71" s="8" t="s">
        <v>838</v>
      </c>
      <c r="O71" s="8" t="s">
        <v>845</v>
      </c>
      <c r="P71" s="9">
        <v>45585</v>
      </c>
      <c r="Q71" s="24" t="s">
        <v>883</v>
      </c>
      <c r="R71" s="8">
        <v>11900</v>
      </c>
    </row>
    <row r="72" spans="1:18" ht="45">
      <c r="A72" s="8" t="s">
        <v>3014</v>
      </c>
      <c r="B72" s="8" t="s">
        <v>845</v>
      </c>
      <c r="C72" s="8" t="s">
        <v>2203</v>
      </c>
      <c r="D72" s="8" t="s">
        <v>850</v>
      </c>
      <c r="E72" s="8" t="s">
        <v>838</v>
      </c>
      <c r="F72" s="8" t="s">
        <v>3012</v>
      </c>
      <c r="G72" s="8" t="s">
        <v>3015</v>
      </c>
      <c r="H72" s="8">
        <v>218760</v>
      </c>
      <c r="I72" s="8">
        <v>10000</v>
      </c>
      <c r="J72" s="8" t="s">
        <v>872</v>
      </c>
      <c r="K72" s="9">
        <v>45269</v>
      </c>
      <c r="L72" s="9">
        <v>45618</v>
      </c>
      <c r="M72" s="8" t="s">
        <v>838</v>
      </c>
      <c r="O72" s="8" t="s">
        <v>845</v>
      </c>
      <c r="P72" s="9">
        <v>45626</v>
      </c>
      <c r="Q72" s="24" t="s">
        <v>884</v>
      </c>
      <c r="R72" s="8">
        <v>12300</v>
      </c>
    </row>
    <row r="73" spans="1:18" ht="45">
      <c r="A73" s="8" t="s">
        <v>3014</v>
      </c>
      <c r="B73" s="8" t="s">
        <v>845</v>
      </c>
      <c r="C73" s="8" t="s">
        <v>2203</v>
      </c>
      <c r="D73" s="8" t="s">
        <v>867</v>
      </c>
      <c r="E73" s="8" t="s">
        <v>838</v>
      </c>
      <c r="F73" s="8" t="s">
        <v>3012</v>
      </c>
      <c r="G73" s="8" t="s">
        <v>3015</v>
      </c>
      <c r="H73" s="8">
        <v>578000</v>
      </c>
      <c r="I73" s="8">
        <v>11000</v>
      </c>
      <c r="J73" s="8" t="s">
        <v>878</v>
      </c>
      <c r="K73" s="9">
        <v>45271</v>
      </c>
      <c r="L73" s="9">
        <v>45625</v>
      </c>
      <c r="M73" s="8" t="s">
        <v>838</v>
      </c>
      <c r="O73" s="8" t="s">
        <v>845</v>
      </c>
      <c r="P73" s="9">
        <v>45596</v>
      </c>
      <c r="Q73" s="24" t="s">
        <v>885</v>
      </c>
      <c r="R73" s="8">
        <v>12400</v>
      </c>
    </row>
    <row r="74" spans="1:18" ht="45">
      <c r="A74" s="8" t="s">
        <v>3014</v>
      </c>
      <c r="B74" s="8" t="s">
        <v>845</v>
      </c>
      <c r="C74" s="8" t="s">
        <v>2203</v>
      </c>
      <c r="D74" s="8" t="s">
        <v>852</v>
      </c>
      <c r="E74" s="8" t="s">
        <v>838</v>
      </c>
      <c r="F74" s="8" t="s">
        <v>3012</v>
      </c>
      <c r="G74" s="8" t="s">
        <v>3015</v>
      </c>
      <c r="H74" s="8">
        <v>307680</v>
      </c>
      <c r="I74" s="8">
        <v>11020</v>
      </c>
      <c r="J74" s="8" t="s">
        <v>879</v>
      </c>
      <c r="K74" s="9">
        <v>45246</v>
      </c>
      <c r="L74" s="9">
        <v>45574</v>
      </c>
      <c r="M74" s="8" t="s">
        <v>838</v>
      </c>
      <c r="O74" s="8" t="s">
        <v>845</v>
      </c>
      <c r="P74" s="9">
        <v>45618</v>
      </c>
      <c r="Q74" s="24" t="s">
        <v>886</v>
      </c>
      <c r="R74" s="8">
        <v>13000</v>
      </c>
    </row>
    <row r="75" spans="1:18" ht="45">
      <c r="A75" s="8" t="s">
        <v>3014</v>
      </c>
      <c r="B75" s="8" t="s">
        <v>845</v>
      </c>
      <c r="C75" s="8" t="s">
        <v>2203</v>
      </c>
      <c r="D75" s="8" t="s">
        <v>867</v>
      </c>
      <c r="E75" s="8" t="s">
        <v>838</v>
      </c>
      <c r="F75" s="8" t="s">
        <v>3012</v>
      </c>
      <c r="G75" s="8" t="s">
        <v>3015</v>
      </c>
      <c r="H75" s="8">
        <v>578000</v>
      </c>
      <c r="I75" s="8">
        <v>11060</v>
      </c>
      <c r="J75" s="8" t="s">
        <v>880</v>
      </c>
      <c r="K75" s="9">
        <v>45279</v>
      </c>
      <c r="L75" s="9">
        <v>45631</v>
      </c>
      <c r="M75" s="8" t="s">
        <v>838</v>
      </c>
      <c r="O75" s="8" t="s">
        <v>845</v>
      </c>
      <c r="P75" s="9">
        <v>45584</v>
      </c>
      <c r="Q75" s="24" t="s">
        <v>887</v>
      </c>
      <c r="R75" s="8">
        <v>13200</v>
      </c>
    </row>
    <row r="76" spans="1:18" ht="45">
      <c r="A76" s="8" t="s">
        <v>3014</v>
      </c>
      <c r="B76" s="8" t="s">
        <v>845</v>
      </c>
      <c r="C76" s="8" t="s">
        <v>2203</v>
      </c>
      <c r="D76" s="8" t="s">
        <v>852</v>
      </c>
      <c r="E76" s="8" t="s">
        <v>838</v>
      </c>
      <c r="F76" s="8" t="s">
        <v>3012</v>
      </c>
      <c r="G76" s="8" t="s">
        <v>3015</v>
      </c>
      <c r="H76" s="8">
        <v>307680</v>
      </c>
      <c r="I76" s="8">
        <v>11400</v>
      </c>
      <c r="J76" s="8" t="s">
        <v>881</v>
      </c>
      <c r="K76" s="9">
        <v>45236</v>
      </c>
      <c r="L76" s="9">
        <v>45586</v>
      </c>
      <c r="M76" s="8" t="s">
        <v>838</v>
      </c>
      <c r="O76" s="8" t="s">
        <v>845</v>
      </c>
      <c r="P76" s="9">
        <v>45579</v>
      </c>
      <c r="Q76" s="24" t="s">
        <v>888</v>
      </c>
      <c r="R76" s="8">
        <v>13940</v>
      </c>
    </row>
    <row r="77" spans="1:18" ht="45">
      <c r="A77" s="8" t="s">
        <v>3014</v>
      </c>
      <c r="B77" s="8" t="s">
        <v>845</v>
      </c>
      <c r="C77" s="8" t="s">
        <v>2203</v>
      </c>
      <c r="D77" s="8" t="s">
        <v>857</v>
      </c>
      <c r="E77" s="8" t="s">
        <v>838</v>
      </c>
      <c r="F77" s="8" t="s">
        <v>3012</v>
      </c>
      <c r="G77" s="8" t="s">
        <v>3015</v>
      </c>
      <c r="H77" s="8">
        <v>300000</v>
      </c>
      <c r="I77" s="8">
        <v>11440</v>
      </c>
      <c r="J77" s="8" t="s">
        <v>882</v>
      </c>
      <c r="K77" s="9">
        <v>45281</v>
      </c>
      <c r="L77" s="9">
        <v>45632</v>
      </c>
      <c r="M77" s="8" t="s">
        <v>838</v>
      </c>
      <c r="O77" s="8" t="s">
        <v>845</v>
      </c>
      <c r="P77" s="9">
        <v>45585</v>
      </c>
      <c r="Q77" s="24" t="s">
        <v>889</v>
      </c>
      <c r="R77" s="8">
        <v>14000</v>
      </c>
    </row>
    <row r="78" spans="1:18" ht="45">
      <c r="A78" s="8" t="s">
        <v>3014</v>
      </c>
      <c r="B78" s="8" t="s">
        <v>845</v>
      </c>
      <c r="C78" s="8" t="s">
        <v>2203</v>
      </c>
      <c r="D78" s="8" t="s">
        <v>852</v>
      </c>
      <c r="E78" s="8" t="s">
        <v>838</v>
      </c>
      <c r="F78" s="8" t="s">
        <v>3012</v>
      </c>
      <c r="G78" s="8" t="s">
        <v>3015</v>
      </c>
      <c r="H78" s="8">
        <v>307680</v>
      </c>
      <c r="I78" s="8">
        <v>11900</v>
      </c>
      <c r="J78" s="8" t="s">
        <v>883</v>
      </c>
      <c r="K78" s="9">
        <v>45246</v>
      </c>
      <c r="L78" s="9">
        <v>45585</v>
      </c>
      <c r="M78" s="8" t="s">
        <v>838</v>
      </c>
      <c r="O78" s="8" t="s">
        <v>845</v>
      </c>
      <c r="P78" s="9">
        <v>45584</v>
      </c>
      <c r="Q78" s="24" t="s">
        <v>890</v>
      </c>
      <c r="R78" s="8">
        <v>15960</v>
      </c>
    </row>
    <row r="79" spans="1:18" ht="45">
      <c r="A79" s="8" t="s">
        <v>3014</v>
      </c>
      <c r="B79" s="8" t="s">
        <v>845</v>
      </c>
      <c r="C79" s="8" t="s">
        <v>2203</v>
      </c>
      <c r="D79" s="8" t="s">
        <v>867</v>
      </c>
      <c r="E79" s="8" t="s">
        <v>838</v>
      </c>
      <c r="F79" s="8" t="s">
        <v>3012</v>
      </c>
      <c r="G79" s="8" t="s">
        <v>3015</v>
      </c>
      <c r="H79" s="8">
        <v>578000</v>
      </c>
      <c r="I79" s="8">
        <v>12200</v>
      </c>
      <c r="J79" s="8" t="s">
        <v>868</v>
      </c>
      <c r="K79" s="9">
        <v>45275</v>
      </c>
      <c r="L79" s="9">
        <v>45630</v>
      </c>
      <c r="M79" s="8" t="s">
        <v>838</v>
      </c>
      <c r="O79" s="8" t="s">
        <v>845</v>
      </c>
      <c r="P79" s="9">
        <v>45584</v>
      </c>
      <c r="Q79" s="24" t="s">
        <v>891</v>
      </c>
      <c r="R79" s="8">
        <v>16020</v>
      </c>
    </row>
    <row r="80" spans="1:18" ht="45">
      <c r="A80" s="8" t="s">
        <v>3014</v>
      </c>
      <c r="B80" s="8" t="s">
        <v>845</v>
      </c>
      <c r="C80" s="8" t="s">
        <v>2203</v>
      </c>
      <c r="D80" s="8" t="s">
        <v>867</v>
      </c>
      <c r="E80" s="8" t="s">
        <v>838</v>
      </c>
      <c r="F80" s="8" t="s">
        <v>3012</v>
      </c>
      <c r="G80" s="8" t="s">
        <v>3015</v>
      </c>
      <c r="H80" s="8">
        <v>578000</v>
      </c>
      <c r="I80" s="8">
        <v>12300</v>
      </c>
      <c r="J80" s="8" t="s">
        <v>884</v>
      </c>
      <c r="K80" s="9">
        <v>45275</v>
      </c>
      <c r="L80" s="9">
        <v>45626</v>
      </c>
      <c r="M80" s="8" t="s">
        <v>838</v>
      </c>
      <c r="O80" s="8" t="s">
        <v>845</v>
      </c>
      <c r="P80" s="9">
        <v>45631</v>
      </c>
      <c r="Q80" s="24" t="s">
        <v>892</v>
      </c>
      <c r="R80" s="8">
        <v>16640</v>
      </c>
    </row>
    <row r="81" spans="1:18" ht="45">
      <c r="A81" s="8" t="s">
        <v>3014</v>
      </c>
      <c r="B81" s="8" t="s">
        <v>845</v>
      </c>
      <c r="C81" s="8" t="s">
        <v>2203</v>
      </c>
      <c r="D81" s="8" t="s">
        <v>848</v>
      </c>
      <c r="E81" s="8" t="s">
        <v>838</v>
      </c>
      <c r="F81" s="8" t="s">
        <v>3012</v>
      </c>
      <c r="G81" s="8" t="s">
        <v>3015</v>
      </c>
      <c r="H81" s="8">
        <v>249500</v>
      </c>
      <c r="I81" s="8">
        <v>12400</v>
      </c>
      <c r="J81" s="8" t="s">
        <v>885</v>
      </c>
      <c r="K81" s="9">
        <v>45247</v>
      </c>
      <c r="L81" s="9">
        <v>45596</v>
      </c>
      <c r="M81" s="8" t="s">
        <v>838</v>
      </c>
      <c r="O81" s="8" t="s">
        <v>845</v>
      </c>
      <c r="P81" s="9">
        <v>45617</v>
      </c>
      <c r="Q81" s="24" t="s">
        <v>893</v>
      </c>
      <c r="R81" s="8">
        <v>16660</v>
      </c>
    </row>
    <row r="82" spans="1:18" ht="45">
      <c r="A82" s="8" t="s">
        <v>3014</v>
      </c>
      <c r="B82" s="8" t="s">
        <v>845</v>
      </c>
      <c r="C82" s="8" t="s">
        <v>2203</v>
      </c>
      <c r="D82" s="8" t="s">
        <v>867</v>
      </c>
      <c r="E82" s="8" t="s">
        <v>838</v>
      </c>
      <c r="F82" s="8" t="s">
        <v>3012</v>
      </c>
      <c r="G82" s="8" t="s">
        <v>3015</v>
      </c>
      <c r="H82" s="8">
        <v>578000</v>
      </c>
      <c r="I82" s="8">
        <v>13000</v>
      </c>
      <c r="J82" s="8" t="s">
        <v>886</v>
      </c>
      <c r="K82" s="9">
        <v>45269</v>
      </c>
      <c r="L82" s="9">
        <v>45618</v>
      </c>
      <c r="M82" s="8" t="s">
        <v>838</v>
      </c>
      <c r="O82" s="8" t="s">
        <v>845</v>
      </c>
      <c r="P82" s="9">
        <v>45579</v>
      </c>
      <c r="Q82" s="24" t="s">
        <v>894</v>
      </c>
      <c r="R82" s="8">
        <v>17700</v>
      </c>
    </row>
    <row r="83" spans="1:18" ht="45">
      <c r="A83" s="8" t="s">
        <v>3014</v>
      </c>
      <c r="B83" s="8" t="s">
        <v>845</v>
      </c>
      <c r="C83" s="8" t="s">
        <v>2203</v>
      </c>
      <c r="D83" s="8" t="s">
        <v>852</v>
      </c>
      <c r="E83" s="8" t="s">
        <v>838</v>
      </c>
      <c r="F83" s="8" t="s">
        <v>3012</v>
      </c>
      <c r="G83" s="8" t="s">
        <v>3015</v>
      </c>
      <c r="H83" s="8">
        <v>307680</v>
      </c>
      <c r="I83" s="8">
        <v>13200</v>
      </c>
      <c r="J83" s="8" t="s">
        <v>887</v>
      </c>
      <c r="K83" s="9">
        <v>45246</v>
      </c>
      <c r="L83" s="9">
        <v>45584</v>
      </c>
      <c r="M83" s="8" t="s">
        <v>838</v>
      </c>
      <c r="O83" s="8" t="s">
        <v>845</v>
      </c>
      <c r="P83" s="9">
        <v>45596</v>
      </c>
      <c r="Q83" s="24" t="s">
        <v>895</v>
      </c>
      <c r="R83" s="8">
        <v>17880</v>
      </c>
    </row>
    <row r="84" spans="1:18" ht="45">
      <c r="A84" s="8" t="s">
        <v>3014</v>
      </c>
      <c r="B84" s="8" t="s">
        <v>845</v>
      </c>
      <c r="C84" s="8" t="s">
        <v>2203</v>
      </c>
      <c r="D84" s="8" t="s">
        <v>850</v>
      </c>
      <c r="E84" s="8" t="s">
        <v>838</v>
      </c>
      <c r="F84" s="8" t="s">
        <v>3012</v>
      </c>
      <c r="G84" s="8" t="s">
        <v>3015</v>
      </c>
      <c r="H84" s="8">
        <v>218760</v>
      </c>
      <c r="I84" s="8">
        <v>13940</v>
      </c>
      <c r="J84" s="8" t="s">
        <v>888</v>
      </c>
      <c r="K84" s="9">
        <v>45237</v>
      </c>
      <c r="L84" s="9">
        <v>45579</v>
      </c>
      <c r="M84" s="8" t="s">
        <v>838</v>
      </c>
      <c r="O84" s="8" t="s">
        <v>845</v>
      </c>
      <c r="P84" s="9">
        <v>45593</v>
      </c>
      <c r="Q84" s="24" t="s">
        <v>896</v>
      </c>
      <c r="R84" s="8">
        <v>18000</v>
      </c>
    </row>
    <row r="85" spans="1:18" ht="45">
      <c r="A85" s="8" t="s">
        <v>3014</v>
      </c>
      <c r="B85" s="8" t="s">
        <v>845</v>
      </c>
      <c r="C85" s="8" t="s">
        <v>2203</v>
      </c>
      <c r="D85" s="8" t="s">
        <v>852</v>
      </c>
      <c r="E85" s="8" t="s">
        <v>838</v>
      </c>
      <c r="F85" s="8" t="s">
        <v>3012</v>
      </c>
      <c r="G85" s="8" t="s">
        <v>3015</v>
      </c>
      <c r="H85" s="8">
        <v>307680</v>
      </c>
      <c r="I85" s="8">
        <v>14000</v>
      </c>
      <c r="J85" s="8" t="s">
        <v>889</v>
      </c>
      <c r="K85" s="9">
        <v>45236</v>
      </c>
      <c r="L85" s="9">
        <v>45585</v>
      </c>
      <c r="M85" s="8" t="s">
        <v>838</v>
      </c>
      <c r="O85" s="8" t="s">
        <v>845</v>
      </c>
      <c r="P85" s="9">
        <v>45584</v>
      </c>
      <c r="Q85" s="24" t="s">
        <v>897</v>
      </c>
      <c r="R85" s="8">
        <v>18200</v>
      </c>
    </row>
    <row r="86" spans="1:18" ht="45">
      <c r="A86" s="8" t="s">
        <v>3014</v>
      </c>
      <c r="B86" s="8" t="s">
        <v>845</v>
      </c>
      <c r="C86" s="8" t="s">
        <v>2203</v>
      </c>
      <c r="D86" s="8" t="s">
        <v>852</v>
      </c>
      <c r="E86" s="8" t="s">
        <v>838</v>
      </c>
      <c r="F86" s="8" t="s">
        <v>3012</v>
      </c>
      <c r="G86" s="8" t="s">
        <v>3015</v>
      </c>
      <c r="H86" s="8">
        <v>307680</v>
      </c>
      <c r="I86" s="8">
        <v>15000</v>
      </c>
      <c r="J86" s="8" t="s">
        <v>853</v>
      </c>
      <c r="K86" s="9">
        <v>45247</v>
      </c>
      <c r="L86" s="9">
        <v>45596</v>
      </c>
      <c r="M86" s="8" t="s">
        <v>838</v>
      </c>
      <c r="O86" s="8" t="s">
        <v>845</v>
      </c>
      <c r="P86" s="9">
        <v>45591</v>
      </c>
      <c r="Q86" s="24" t="s">
        <v>898</v>
      </c>
      <c r="R86" s="8">
        <v>18800</v>
      </c>
    </row>
    <row r="87" spans="1:18" ht="45">
      <c r="A87" s="8" t="s">
        <v>3014</v>
      </c>
      <c r="B87" s="8" t="s">
        <v>845</v>
      </c>
      <c r="C87" s="8" t="s">
        <v>2203</v>
      </c>
      <c r="D87" s="8" t="s">
        <v>857</v>
      </c>
      <c r="E87" s="8" t="s">
        <v>838</v>
      </c>
      <c r="F87" s="8" t="s">
        <v>3012</v>
      </c>
      <c r="G87" s="8" t="s">
        <v>3015</v>
      </c>
      <c r="H87" s="8">
        <v>300000</v>
      </c>
      <c r="I87" s="8">
        <v>15200</v>
      </c>
      <c r="J87" s="8" t="s">
        <v>871</v>
      </c>
      <c r="K87" s="9">
        <v>45283</v>
      </c>
      <c r="L87" s="9">
        <v>45637</v>
      </c>
      <c r="M87" s="8" t="s">
        <v>838</v>
      </c>
      <c r="O87" s="8" t="s">
        <v>845</v>
      </c>
      <c r="P87" s="9">
        <v>45631</v>
      </c>
      <c r="Q87" s="24" t="s">
        <v>899</v>
      </c>
      <c r="R87" s="8">
        <v>18900</v>
      </c>
    </row>
    <row r="88" spans="1:18" ht="45">
      <c r="A88" s="8" t="s">
        <v>3014</v>
      </c>
      <c r="B88" s="8" t="s">
        <v>845</v>
      </c>
      <c r="C88" s="8" t="s">
        <v>2203</v>
      </c>
      <c r="D88" s="8" t="s">
        <v>850</v>
      </c>
      <c r="E88" s="8" t="s">
        <v>838</v>
      </c>
      <c r="F88" s="8" t="s">
        <v>3012</v>
      </c>
      <c r="G88" s="8" t="s">
        <v>3015</v>
      </c>
      <c r="H88" s="8">
        <v>218760</v>
      </c>
      <c r="I88" s="8">
        <v>15960</v>
      </c>
      <c r="J88" s="8" t="s">
        <v>890</v>
      </c>
      <c r="K88" s="9">
        <v>45231</v>
      </c>
      <c r="L88" s="9">
        <v>45584</v>
      </c>
      <c r="M88" s="8" t="s">
        <v>838</v>
      </c>
      <c r="O88" s="8" t="s">
        <v>845</v>
      </c>
      <c r="P88" s="9">
        <v>45630</v>
      </c>
      <c r="Q88" s="24" t="s">
        <v>900</v>
      </c>
      <c r="R88" s="8">
        <v>19000</v>
      </c>
    </row>
    <row r="89" spans="1:18" ht="45">
      <c r="A89" s="8" t="s">
        <v>3014</v>
      </c>
      <c r="B89" s="8" t="s">
        <v>845</v>
      </c>
      <c r="C89" s="8" t="s">
        <v>2203</v>
      </c>
      <c r="D89" s="8" t="s">
        <v>850</v>
      </c>
      <c r="E89" s="8" t="s">
        <v>838</v>
      </c>
      <c r="F89" s="8" t="s">
        <v>3012</v>
      </c>
      <c r="G89" s="8" t="s">
        <v>3015</v>
      </c>
      <c r="H89" s="8">
        <v>218760</v>
      </c>
      <c r="I89" s="8">
        <v>16020</v>
      </c>
      <c r="J89" s="8" t="s">
        <v>891</v>
      </c>
      <c r="K89" s="9">
        <v>45237</v>
      </c>
      <c r="L89" s="9">
        <v>45584</v>
      </c>
      <c r="M89" s="8" t="s">
        <v>838</v>
      </c>
      <c r="O89" s="8" t="s">
        <v>845</v>
      </c>
      <c r="P89" s="9">
        <v>45598</v>
      </c>
      <c r="Q89" s="24" t="s">
        <v>901</v>
      </c>
      <c r="R89" s="8">
        <v>19380</v>
      </c>
    </row>
    <row r="90" spans="1:18" ht="45">
      <c r="A90" s="8" t="s">
        <v>3014</v>
      </c>
      <c r="B90" s="8" t="s">
        <v>845</v>
      </c>
      <c r="C90" s="8" t="s">
        <v>2203</v>
      </c>
      <c r="D90" s="8" t="s">
        <v>857</v>
      </c>
      <c r="E90" s="8" t="s">
        <v>838</v>
      </c>
      <c r="F90" s="8" t="s">
        <v>3012</v>
      </c>
      <c r="G90" s="8" t="s">
        <v>3015</v>
      </c>
      <c r="H90" s="8">
        <v>300000</v>
      </c>
      <c r="I90" s="8">
        <v>16640</v>
      </c>
      <c r="J90" s="8" t="s">
        <v>892</v>
      </c>
      <c r="K90" s="9">
        <v>45281</v>
      </c>
      <c r="L90" s="9">
        <v>45631</v>
      </c>
      <c r="M90" s="8" t="s">
        <v>838</v>
      </c>
      <c r="O90" s="8" t="s">
        <v>845</v>
      </c>
      <c r="P90" s="9">
        <v>45626</v>
      </c>
      <c r="Q90" s="24" t="s">
        <v>902</v>
      </c>
      <c r="R90" s="8">
        <v>20000</v>
      </c>
    </row>
    <row r="91" spans="1:18" ht="45">
      <c r="A91" s="8" t="s">
        <v>3014</v>
      </c>
      <c r="B91" s="8" t="s">
        <v>845</v>
      </c>
      <c r="C91" s="8" t="s">
        <v>2203</v>
      </c>
      <c r="D91" s="8" t="s">
        <v>867</v>
      </c>
      <c r="E91" s="8" t="s">
        <v>838</v>
      </c>
      <c r="F91" s="8" t="s">
        <v>3012</v>
      </c>
      <c r="G91" s="8" t="s">
        <v>3015</v>
      </c>
      <c r="H91" s="8">
        <v>578000</v>
      </c>
      <c r="I91" s="8">
        <v>16660</v>
      </c>
      <c r="J91" s="8" t="s">
        <v>893</v>
      </c>
      <c r="K91" s="9">
        <v>45271</v>
      </c>
      <c r="L91" s="9">
        <v>45617</v>
      </c>
      <c r="M91" s="8" t="s">
        <v>838</v>
      </c>
      <c r="O91" s="8" t="s">
        <v>845</v>
      </c>
      <c r="P91" s="9">
        <v>45583</v>
      </c>
      <c r="Q91" s="24" t="s">
        <v>903</v>
      </c>
      <c r="R91" s="8">
        <v>20300</v>
      </c>
    </row>
    <row r="92" spans="1:18" ht="45">
      <c r="A92" s="8" t="s">
        <v>3014</v>
      </c>
      <c r="B92" s="8" t="s">
        <v>845</v>
      </c>
      <c r="C92" s="8" t="s">
        <v>2203</v>
      </c>
      <c r="D92" s="8" t="s">
        <v>850</v>
      </c>
      <c r="E92" s="8" t="s">
        <v>838</v>
      </c>
      <c r="F92" s="8" t="s">
        <v>3012</v>
      </c>
      <c r="G92" s="8" t="s">
        <v>3015</v>
      </c>
      <c r="H92" s="8">
        <v>218760</v>
      </c>
      <c r="I92" s="8">
        <v>17700</v>
      </c>
      <c r="J92" s="8" t="s">
        <v>894</v>
      </c>
      <c r="K92" s="9">
        <v>45233</v>
      </c>
      <c r="L92" s="9">
        <v>45579</v>
      </c>
      <c r="M92" s="8" t="s">
        <v>838</v>
      </c>
      <c r="O92" s="8" t="s">
        <v>845</v>
      </c>
      <c r="P92" s="9">
        <v>45617</v>
      </c>
      <c r="Q92" s="24" t="s">
        <v>904</v>
      </c>
      <c r="R92" s="8">
        <v>20300</v>
      </c>
    </row>
    <row r="93" spans="1:18" ht="45">
      <c r="A93" s="8" t="s">
        <v>3014</v>
      </c>
      <c r="B93" s="8" t="s">
        <v>845</v>
      </c>
      <c r="C93" s="8" t="s">
        <v>2203</v>
      </c>
      <c r="D93" s="8" t="s">
        <v>848</v>
      </c>
      <c r="E93" s="8" t="s">
        <v>838</v>
      </c>
      <c r="F93" s="8" t="s">
        <v>3012</v>
      </c>
      <c r="G93" s="8" t="s">
        <v>3015</v>
      </c>
      <c r="H93" s="8">
        <v>249500</v>
      </c>
      <c r="I93" s="8">
        <v>17880</v>
      </c>
      <c r="J93" s="8" t="s">
        <v>895</v>
      </c>
      <c r="K93" s="9">
        <v>45247</v>
      </c>
      <c r="L93" s="9">
        <v>45596</v>
      </c>
      <c r="M93" s="8" t="s">
        <v>838</v>
      </c>
      <c r="O93" s="8" t="s">
        <v>845</v>
      </c>
      <c r="P93" s="9">
        <v>45595</v>
      </c>
      <c r="Q93" s="24" t="s">
        <v>905</v>
      </c>
      <c r="R93" s="8">
        <v>20900</v>
      </c>
    </row>
    <row r="94" spans="1:18" ht="45">
      <c r="A94" s="8" t="s">
        <v>3014</v>
      </c>
      <c r="B94" s="8" t="s">
        <v>845</v>
      </c>
      <c r="C94" s="8" t="s">
        <v>2203</v>
      </c>
      <c r="D94" s="8" t="s">
        <v>848</v>
      </c>
      <c r="E94" s="8" t="s">
        <v>838</v>
      </c>
      <c r="F94" s="8" t="s">
        <v>3012</v>
      </c>
      <c r="G94" s="8" t="s">
        <v>3015</v>
      </c>
      <c r="H94" s="8">
        <v>249500</v>
      </c>
      <c r="I94" s="8">
        <v>18000</v>
      </c>
      <c r="J94" s="8" t="s">
        <v>896</v>
      </c>
      <c r="K94" s="9">
        <v>45246</v>
      </c>
      <c r="L94" s="9">
        <v>45593</v>
      </c>
      <c r="M94" s="8" t="s">
        <v>838</v>
      </c>
      <c r="O94" s="8" t="s">
        <v>845</v>
      </c>
      <c r="P94" s="9">
        <v>45631</v>
      </c>
      <c r="Q94" s="24" t="s">
        <v>906</v>
      </c>
      <c r="R94" s="8">
        <v>22300</v>
      </c>
    </row>
    <row r="95" spans="1:18" ht="45">
      <c r="A95" s="8" t="s">
        <v>3014</v>
      </c>
      <c r="B95" s="8" t="s">
        <v>845</v>
      </c>
      <c r="C95" s="8" t="s">
        <v>2203</v>
      </c>
      <c r="D95" s="8" t="s">
        <v>852</v>
      </c>
      <c r="E95" s="8" t="s">
        <v>838</v>
      </c>
      <c r="F95" s="8" t="s">
        <v>3012</v>
      </c>
      <c r="G95" s="8" t="s">
        <v>3015</v>
      </c>
      <c r="H95" s="8">
        <v>307680</v>
      </c>
      <c r="I95" s="8">
        <v>18000</v>
      </c>
      <c r="J95" s="8" t="s">
        <v>869</v>
      </c>
      <c r="K95" s="9">
        <v>45246</v>
      </c>
      <c r="L95" s="9">
        <v>45597</v>
      </c>
      <c r="M95" s="8" t="s">
        <v>838</v>
      </c>
      <c r="O95" s="8" t="s">
        <v>845</v>
      </c>
      <c r="P95" s="9">
        <v>45622</v>
      </c>
      <c r="Q95" s="24" t="s">
        <v>907</v>
      </c>
      <c r="R95" s="8">
        <v>22500</v>
      </c>
    </row>
    <row r="96" spans="1:18" ht="45">
      <c r="A96" s="8" t="s">
        <v>3014</v>
      </c>
      <c r="B96" s="8" t="s">
        <v>845</v>
      </c>
      <c r="C96" s="8" t="s">
        <v>2203</v>
      </c>
      <c r="D96" s="8" t="s">
        <v>852</v>
      </c>
      <c r="E96" s="8" t="s">
        <v>838</v>
      </c>
      <c r="F96" s="8" t="s">
        <v>3012</v>
      </c>
      <c r="G96" s="8" t="s">
        <v>3015</v>
      </c>
      <c r="H96" s="8">
        <v>307680</v>
      </c>
      <c r="I96" s="8">
        <v>18200</v>
      </c>
      <c r="J96" s="8" t="s">
        <v>897</v>
      </c>
      <c r="K96" s="9">
        <v>45236</v>
      </c>
      <c r="L96" s="9">
        <v>45584</v>
      </c>
      <c r="M96" s="8" t="s">
        <v>838</v>
      </c>
      <c r="O96" s="8" t="s">
        <v>845</v>
      </c>
      <c r="P96" s="9">
        <v>45617</v>
      </c>
      <c r="Q96" s="24" t="s">
        <v>908</v>
      </c>
      <c r="R96" s="8">
        <v>22520</v>
      </c>
    </row>
    <row r="97" spans="1:18" ht="45">
      <c r="A97" s="8" t="s">
        <v>3014</v>
      </c>
      <c r="B97" s="8" t="s">
        <v>845</v>
      </c>
      <c r="C97" s="8" t="s">
        <v>2203</v>
      </c>
      <c r="D97" s="8" t="s">
        <v>852</v>
      </c>
      <c r="E97" s="8" t="s">
        <v>838</v>
      </c>
      <c r="F97" s="8" t="s">
        <v>3012</v>
      </c>
      <c r="G97" s="8" t="s">
        <v>3015</v>
      </c>
      <c r="H97" s="8">
        <v>307680</v>
      </c>
      <c r="I97" s="8">
        <v>18800</v>
      </c>
      <c r="J97" s="8" t="s">
        <v>898</v>
      </c>
      <c r="K97" s="9">
        <v>45236</v>
      </c>
      <c r="L97" s="9">
        <v>45591</v>
      </c>
      <c r="M97" s="8" t="s">
        <v>838</v>
      </c>
      <c r="O97" s="8" t="s">
        <v>845</v>
      </c>
      <c r="P97" s="9">
        <v>45591</v>
      </c>
      <c r="Q97" s="24" t="s">
        <v>909</v>
      </c>
      <c r="R97" s="8">
        <v>22660</v>
      </c>
    </row>
    <row r="98" spans="1:18" ht="45">
      <c r="A98" s="8" t="s">
        <v>3014</v>
      </c>
      <c r="B98" s="8" t="s">
        <v>845</v>
      </c>
      <c r="C98" s="8" t="s">
        <v>2203</v>
      </c>
      <c r="D98" s="8" t="s">
        <v>867</v>
      </c>
      <c r="E98" s="8" t="s">
        <v>838</v>
      </c>
      <c r="F98" s="8" t="s">
        <v>3012</v>
      </c>
      <c r="G98" s="8" t="s">
        <v>3015</v>
      </c>
      <c r="H98" s="8">
        <v>578000</v>
      </c>
      <c r="I98" s="8">
        <v>18900</v>
      </c>
      <c r="J98" s="8" t="s">
        <v>899</v>
      </c>
      <c r="K98" s="9">
        <v>45279</v>
      </c>
      <c r="L98" s="9">
        <v>45631</v>
      </c>
      <c r="M98" s="8" t="s">
        <v>838</v>
      </c>
      <c r="O98" s="8" t="s">
        <v>845</v>
      </c>
      <c r="P98" s="9">
        <v>45637</v>
      </c>
      <c r="Q98" s="24" t="s">
        <v>910</v>
      </c>
      <c r="R98" s="8">
        <v>23020</v>
      </c>
    </row>
    <row r="99" spans="1:18" ht="45">
      <c r="A99" s="8" t="s">
        <v>3014</v>
      </c>
      <c r="B99" s="8" t="s">
        <v>845</v>
      </c>
      <c r="C99" s="8" t="s">
        <v>2203</v>
      </c>
      <c r="D99" s="8" t="s">
        <v>867</v>
      </c>
      <c r="E99" s="8" t="s">
        <v>838</v>
      </c>
      <c r="F99" s="8" t="s">
        <v>3012</v>
      </c>
      <c r="G99" s="8" t="s">
        <v>3015</v>
      </c>
      <c r="H99" s="8">
        <v>578000</v>
      </c>
      <c r="I99" s="8">
        <v>19000</v>
      </c>
      <c r="J99" s="8" t="s">
        <v>900</v>
      </c>
      <c r="K99" s="9">
        <v>45275</v>
      </c>
      <c r="L99" s="9">
        <v>45630</v>
      </c>
      <c r="M99" s="8" t="s">
        <v>838</v>
      </c>
      <c r="O99" s="8" t="s">
        <v>845</v>
      </c>
      <c r="P99" s="9">
        <v>45629</v>
      </c>
      <c r="Q99" s="24" t="s">
        <v>911</v>
      </c>
      <c r="R99" s="8">
        <v>23900</v>
      </c>
    </row>
    <row r="100" spans="1:18" ht="45">
      <c r="A100" s="8" t="s">
        <v>3014</v>
      </c>
      <c r="B100" s="8" t="s">
        <v>845</v>
      </c>
      <c r="C100" s="8" t="s">
        <v>2203</v>
      </c>
      <c r="D100" s="8" t="s">
        <v>852</v>
      </c>
      <c r="E100" s="8" t="s">
        <v>838</v>
      </c>
      <c r="F100" s="8" t="s">
        <v>3012</v>
      </c>
      <c r="G100" s="8" t="s">
        <v>3015</v>
      </c>
      <c r="H100" s="8">
        <v>307680</v>
      </c>
      <c r="I100" s="8">
        <v>19380</v>
      </c>
      <c r="J100" s="8" t="s">
        <v>901</v>
      </c>
      <c r="K100" s="9">
        <v>45247</v>
      </c>
      <c r="L100" s="9">
        <v>45598</v>
      </c>
      <c r="M100" s="8" t="s">
        <v>838</v>
      </c>
      <c r="O100" s="8" t="s">
        <v>845</v>
      </c>
      <c r="P100" s="9">
        <v>45596</v>
      </c>
      <c r="Q100" s="24" t="s">
        <v>912</v>
      </c>
      <c r="R100" s="8">
        <v>24000</v>
      </c>
    </row>
    <row r="101" spans="1:18" ht="45">
      <c r="A101" s="8" t="s">
        <v>3014</v>
      </c>
      <c r="B101" s="8" t="s">
        <v>845</v>
      </c>
      <c r="C101" s="8" t="s">
        <v>2203</v>
      </c>
      <c r="D101" s="8" t="s">
        <v>867</v>
      </c>
      <c r="E101" s="8" t="s">
        <v>838</v>
      </c>
      <c r="F101" s="8" t="s">
        <v>3012</v>
      </c>
      <c r="G101" s="8" t="s">
        <v>3015</v>
      </c>
      <c r="H101" s="8">
        <v>578000</v>
      </c>
      <c r="I101" s="8">
        <v>20000</v>
      </c>
      <c r="J101" s="8" t="s">
        <v>902</v>
      </c>
      <c r="K101" s="9">
        <v>45272</v>
      </c>
      <c r="L101" s="9">
        <v>45626</v>
      </c>
      <c r="M101" s="8" t="s">
        <v>838</v>
      </c>
      <c r="O101" s="8" t="s">
        <v>845</v>
      </c>
      <c r="P101" s="9">
        <v>45595</v>
      </c>
      <c r="Q101" s="24" t="s">
        <v>913</v>
      </c>
      <c r="R101" s="8">
        <v>24000</v>
      </c>
    </row>
    <row r="102" spans="1:18" ht="45">
      <c r="A102" s="8" t="s">
        <v>3014</v>
      </c>
      <c r="B102" s="8" t="s">
        <v>845</v>
      </c>
      <c r="C102" s="8" t="s">
        <v>2203</v>
      </c>
      <c r="D102" s="8" t="s">
        <v>852</v>
      </c>
      <c r="E102" s="8" t="s">
        <v>838</v>
      </c>
      <c r="F102" s="8" t="s">
        <v>3012</v>
      </c>
      <c r="G102" s="8" t="s">
        <v>3015</v>
      </c>
      <c r="H102" s="8">
        <v>307680</v>
      </c>
      <c r="I102" s="8">
        <v>20300</v>
      </c>
      <c r="J102" s="8" t="s">
        <v>903</v>
      </c>
      <c r="K102" s="9">
        <v>45237</v>
      </c>
      <c r="L102" s="9">
        <v>45583</v>
      </c>
      <c r="M102" s="8" t="s">
        <v>838</v>
      </c>
      <c r="O102" s="8" t="s">
        <v>845</v>
      </c>
      <c r="P102" s="9">
        <v>45595</v>
      </c>
      <c r="Q102" s="24" t="s">
        <v>914</v>
      </c>
      <c r="R102" s="8">
        <v>24100</v>
      </c>
    </row>
    <row r="103" spans="1:18" ht="45">
      <c r="A103" s="8" t="s">
        <v>3014</v>
      </c>
      <c r="B103" s="8" t="s">
        <v>845</v>
      </c>
      <c r="C103" s="8" t="s">
        <v>2203</v>
      </c>
      <c r="D103" s="8" t="s">
        <v>867</v>
      </c>
      <c r="E103" s="8" t="s">
        <v>838</v>
      </c>
      <c r="F103" s="8" t="s">
        <v>3012</v>
      </c>
      <c r="G103" s="8" t="s">
        <v>3015</v>
      </c>
      <c r="H103" s="8">
        <v>578000</v>
      </c>
      <c r="I103" s="8">
        <v>20300</v>
      </c>
      <c r="J103" s="8" t="s">
        <v>904</v>
      </c>
      <c r="K103" s="9">
        <v>45271</v>
      </c>
      <c r="L103" s="9">
        <v>45617</v>
      </c>
      <c r="M103" s="8" t="s">
        <v>838</v>
      </c>
      <c r="O103" s="8" t="s">
        <v>845</v>
      </c>
      <c r="P103" s="9">
        <v>45584</v>
      </c>
      <c r="Q103" s="24" t="s">
        <v>915</v>
      </c>
      <c r="R103" s="8">
        <v>25000</v>
      </c>
    </row>
    <row r="104" spans="1:18" ht="45">
      <c r="A104" s="8" t="s">
        <v>3014</v>
      </c>
      <c r="B104" s="8" t="s">
        <v>845</v>
      </c>
      <c r="C104" s="8" t="s">
        <v>2203</v>
      </c>
      <c r="D104" s="8" t="s">
        <v>848</v>
      </c>
      <c r="E104" s="8" t="s">
        <v>838</v>
      </c>
      <c r="F104" s="8" t="s">
        <v>3012</v>
      </c>
      <c r="G104" s="8" t="s">
        <v>3015</v>
      </c>
      <c r="H104" s="8">
        <v>249500</v>
      </c>
      <c r="I104" s="8">
        <v>20900</v>
      </c>
      <c r="J104" s="8" t="s">
        <v>905</v>
      </c>
      <c r="K104" s="9">
        <v>45246</v>
      </c>
      <c r="L104" s="9">
        <v>45595</v>
      </c>
      <c r="M104" s="8" t="s">
        <v>838</v>
      </c>
      <c r="O104" s="8" t="s">
        <v>845</v>
      </c>
      <c r="P104" s="9">
        <v>45597</v>
      </c>
      <c r="Q104" s="24" t="s">
        <v>916</v>
      </c>
      <c r="R104" s="8">
        <v>25020</v>
      </c>
    </row>
    <row r="105" spans="1:18" ht="45">
      <c r="A105" s="8" t="s">
        <v>3014</v>
      </c>
      <c r="B105" s="8" t="s">
        <v>845</v>
      </c>
      <c r="C105" s="8" t="s">
        <v>2203</v>
      </c>
      <c r="D105" s="8" t="s">
        <v>848</v>
      </c>
      <c r="E105" s="8" t="s">
        <v>838</v>
      </c>
      <c r="F105" s="8" t="s">
        <v>3012</v>
      </c>
      <c r="G105" s="8" t="s">
        <v>3015</v>
      </c>
      <c r="H105" s="8">
        <v>249500</v>
      </c>
      <c r="I105" s="8">
        <v>21220</v>
      </c>
      <c r="J105" s="8" t="s">
        <v>851</v>
      </c>
      <c r="K105" s="9">
        <v>45247</v>
      </c>
      <c r="L105" s="9">
        <v>45585</v>
      </c>
      <c r="M105" s="8" t="s">
        <v>838</v>
      </c>
      <c r="O105" s="8" t="s">
        <v>845</v>
      </c>
      <c r="P105" s="9">
        <v>45584</v>
      </c>
      <c r="Q105" s="24" t="s">
        <v>917</v>
      </c>
      <c r="R105" s="8">
        <v>25760</v>
      </c>
    </row>
    <row r="106" spans="1:18" ht="45">
      <c r="A106" s="8" t="s">
        <v>3014</v>
      </c>
      <c r="B106" s="8" t="s">
        <v>845</v>
      </c>
      <c r="C106" s="8" t="s">
        <v>2203</v>
      </c>
      <c r="D106" s="8" t="s">
        <v>867</v>
      </c>
      <c r="E106" s="8" t="s">
        <v>838</v>
      </c>
      <c r="F106" s="8" t="s">
        <v>3012</v>
      </c>
      <c r="G106" s="8" t="s">
        <v>3015</v>
      </c>
      <c r="H106" s="8">
        <v>578000</v>
      </c>
      <c r="I106" s="8">
        <v>22300</v>
      </c>
      <c r="J106" s="8" t="s">
        <v>906</v>
      </c>
      <c r="K106" s="9">
        <v>45275</v>
      </c>
      <c r="L106" s="9">
        <v>45631</v>
      </c>
      <c r="M106" s="8" t="s">
        <v>838</v>
      </c>
      <c r="O106" s="8" t="s">
        <v>845</v>
      </c>
      <c r="P106" s="9">
        <v>45579</v>
      </c>
      <c r="Q106" s="24" t="s">
        <v>918</v>
      </c>
      <c r="R106" s="8">
        <v>25800</v>
      </c>
    </row>
    <row r="107" spans="1:18" ht="45">
      <c r="A107" s="8" t="s">
        <v>3014</v>
      </c>
      <c r="B107" s="8" t="s">
        <v>845</v>
      </c>
      <c r="C107" s="8" t="s">
        <v>2203</v>
      </c>
      <c r="D107" s="8" t="s">
        <v>867</v>
      </c>
      <c r="E107" s="8" t="s">
        <v>838</v>
      </c>
      <c r="F107" s="8" t="s">
        <v>3012</v>
      </c>
      <c r="G107" s="8" t="s">
        <v>3015</v>
      </c>
      <c r="H107" s="8">
        <v>578000</v>
      </c>
      <c r="I107" s="8">
        <v>22460</v>
      </c>
      <c r="J107" s="8" t="s">
        <v>874</v>
      </c>
      <c r="K107" s="9">
        <v>45280</v>
      </c>
      <c r="L107" s="9">
        <v>45628</v>
      </c>
      <c r="M107" s="8" t="s">
        <v>838</v>
      </c>
      <c r="O107" s="8" t="s">
        <v>845</v>
      </c>
      <c r="P107" s="9">
        <v>45631</v>
      </c>
      <c r="Q107" s="24" t="s">
        <v>919</v>
      </c>
      <c r="R107" s="8">
        <v>25900</v>
      </c>
    </row>
    <row r="108" spans="1:18" ht="45">
      <c r="A108" s="8" t="s">
        <v>3014</v>
      </c>
      <c r="B108" s="8" t="s">
        <v>845</v>
      </c>
      <c r="C108" s="8" t="s">
        <v>2203</v>
      </c>
      <c r="D108" s="8" t="s">
        <v>867</v>
      </c>
      <c r="E108" s="8" t="s">
        <v>838</v>
      </c>
      <c r="F108" s="8" t="s">
        <v>3012</v>
      </c>
      <c r="G108" s="8" t="s">
        <v>3015</v>
      </c>
      <c r="H108" s="8">
        <v>578000</v>
      </c>
      <c r="I108" s="8">
        <v>22500</v>
      </c>
      <c r="J108" s="8" t="s">
        <v>907</v>
      </c>
      <c r="K108" s="9">
        <v>39814</v>
      </c>
      <c r="L108" s="9">
        <v>45622</v>
      </c>
      <c r="M108" s="8" t="s">
        <v>838</v>
      </c>
      <c r="O108" s="8" t="s">
        <v>845</v>
      </c>
      <c r="P108" s="9">
        <v>45597</v>
      </c>
      <c r="Q108" s="24" t="s">
        <v>920</v>
      </c>
      <c r="R108" s="8">
        <v>26880</v>
      </c>
    </row>
    <row r="109" spans="1:18" ht="45">
      <c r="A109" s="8" t="s">
        <v>3014</v>
      </c>
      <c r="B109" s="8" t="s">
        <v>845</v>
      </c>
      <c r="C109" s="8" t="s">
        <v>2203</v>
      </c>
      <c r="D109" s="8" t="s">
        <v>867</v>
      </c>
      <c r="E109" s="8" t="s">
        <v>838</v>
      </c>
      <c r="F109" s="8" t="s">
        <v>3012</v>
      </c>
      <c r="G109" s="8" t="s">
        <v>3015</v>
      </c>
      <c r="H109" s="8">
        <v>578000</v>
      </c>
      <c r="I109" s="8">
        <v>22520</v>
      </c>
      <c r="J109" s="8" t="s">
        <v>908</v>
      </c>
      <c r="K109" s="9">
        <v>45271</v>
      </c>
      <c r="L109" s="9">
        <v>45617</v>
      </c>
      <c r="M109" s="8" t="s">
        <v>838</v>
      </c>
      <c r="O109" s="8" t="s">
        <v>845</v>
      </c>
      <c r="P109" s="9">
        <v>45579</v>
      </c>
      <c r="Q109" s="24" t="s">
        <v>921</v>
      </c>
      <c r="R109" s="8">
        <v>27300</v>
      </c>
    </row>
    <row r="110" spans="1:18" ht="45">
      <c r="A110" s="8" t="s">
        <v>3014</v>
      </c>
      <c r="B110" s="8" t="s">
        <v>845</v>
      </c>
      <c r="C110" s="8" t="s">
        <v>2203</v>
      </c>
      <c r="D110" s="8" t="s">
        <v>848</v>
      </c>
      <c r="E110" s="8" t="s">
        <v>838</v>
      </c>
      <c r="F110" s="8" t="s">
        <v>3012</v>
      </c>
      <c r="G110" s="8" t="s">
        <v>3015</v>
      </c>
      <c r="H110" s="8">
        <v>249500</v>
      </c>
      <c r="I110" s="8">
        <v>22660</v>
      </c>
      <c r="J110" s="8" t="s">
        <v>909</v>
      </c>
      <c r="K110" s="9">
        <v>45246</v>
      </c>
      <c r="L110" s="9">
        <v>45591</v>
      </c>
      <c r="M110" s="8" t="s">
        <v>838</v>
      </c>
      <c r="O110" s="8" t="s">
        <v>845</v>
      </c>
      <c r="P110" s="9">
        <v>45637</v>
      </c>
      <c r="Q110" s="24" t="s">
        <v>922</v>
      </c>
      <c r="R110" s="8">
        <v>27300</v>
      </c>
    </row>
    <row r="111" spans="1:18" ht="45">
      <c r="A111" s="8" t="s">
        <v>3014</v>
      </c>
      <c r="B111" s="8" t="s">
        <v>845</v>
      </c>
      <c r="C111" s="8" t="s">
        <v>2203</v>
      </c>
      <c r="D111" s="8" t="s">
        <v>850</v>
      </c>
      <c r="E111" s="8" t="s">
        <v>838</v>
      </c>
      <c r="F111" s="8" t="s">
        <v>3012</v>
      </c>
      <c r="G111" s="8" t="s">
        <v>3015</v>
      </c>
      <c r="H111" s="8">
        <v>218760</v>
      </c>
      <c r="I111" s="8">
        <v>23020</v>
      </c>
      <c r="J111" s="8" t="s">
        <v>910</v>
      </c>
      <c r="K111" s="9">
        <v>45283</v>
      </c>
      <c r="L111" s="9">
        <v>45637</v>
      </c>
      <c r="M111" s="8" t="s">
        <v>838</v>
      </c>
      <c r="O111" s="8" t="s">
        <v>845</v>
      </c>
      <c r="P111" s="9">
        <v>45633</v>
      </c>
      <c r="Q111" s="24" t="s">
        <v>923</v>
      </c>
      <c r="R111" s="8">
        <v>27800</v>
      </c>
    </row>
    <row r="112" spans="1:18" ht="45">
      <c r="A112" s="8" t="s">
        <v>3014</v>
      </c>
      <c r="B112" s="8" t="s">
        <v>845</v>
      </c>
      <c r="C112" s="8" t="s">
        <v>2203</v>
      </c>
      <c r="D112" s="8" t="s">
        <v>867</v>
      </c>
      <c r="E112" s="8" t="s">
        <v>838</v>
      </c>
      <c r="F112" s="8" t="s">
        <v>3012</v>
      </c>
      <c r="G112" s="8" t="s">
        <v>3015</v>
      </c>
      <c r="H112" s="8">
        <v>578000</v>
      </c>
      <c r="I112" s="8">
        <v>23900</v>
      </c>
      <c r="J112" s="8" t="s">
        <v>911</v>
      </c>
      <c r="K112" s="9">
        <v>45280</v>
      </c>
      <c r="L112" s="9">
        <v>45629</v>
      </c>
      <c r="M112" s="8" t="s">
        <v>838</v>
      </c>
      <c r="O112" s="8" t="s">
        <v>845</v>
      </c>
      <c r="P112" s="9">
        <v>45579</v>
      </c>
      <c r="Q112" s="24" t="s">
        <v>924</v>
      </c>
      <c r="R112" s="8">
        <v>27800</v>
      </c>
    </row>
    <row r="113" spans="1:18" ht="45">
      <c r="A113" s="8" t="s">
        <v>3014</v>
      </c>
      <c r="B113" s="8" t="s">
        <v>845</v>
      </c>
      <c r="C113" s="8" t="s">
        <v>2203</v>
      </c>
      <c r="D113" s="8" t="s">
        <v>848</v>
      </c>
      <c r="E113" s="8" t="s">
        <v>838</v>
      </c>
      <c r="F113" s="8" t="s">
        <v>3012</v>
      </c>
      <c r="G113" s="8" t="s">
        <v>3015</v>
      </c>
      <c r="H113" s="8">
        <v>249500</v>
      </c>
      <c r="I113" s="8">
        <v>24000</v>
      </c>
      <c r="J113" s="8" t="s">
        <v>912</v>
      </c>
      <c r="K113" s="9">
        <v>45246</v>
      </c>
      <c r="L113" s="9">
        <v>45596</v>
      </c>
      <c r="M113" s="8" t="s">
        <v>838</v>
      </c>
      <c r="O113" s="8" t="s">
        <v>845</v>
      </c>
      <c r="P113" s="9">
        <v>45631</v>
      </c>
      <c r="Q113" s="24" t="s">
        <v>925</v>
      </c>
      <c r="R113" s="8">
        <v>27800</v>
      </c>
    </row>
    <row r="114" spans="1:18" ht="45">
      <c r="A114" s="8" t="s">
        <v>3014</v>
      </c>
      <c r="B114" s="8" t="s">
        <v>845</v>
      </c>
      <c r="C114" s="8" t="s">
        <v>2203</v>
      </c>
      <c r="D114" s="8" t="s">
        <v>848</v>
      </c>
      <c r="E114" s="8" t="s">
        <v>838</v>
      </c>
      <c r="F114" s="8" t="s">
        <v>3012</v>
      </c>
      <c r="G114" s="8" t="s">
        <v>3015</v>
      </c>
      <c r="H114" s="8">
        <v>249500</v>
      </c>
      <c r="I114" s="8">
        <v>24000</v>
      </c>
      <c r="J114" s="8" t="s">
        <v>913</v>
      </c>
      <c r="K114" s="9">
        <v>45246</v>
      </c>
      <c r="L114" s="9">
        <v>45595</v>
      </c>
      <c r="M114" s="8" t="s">
        <v>838</v>
      </c>
      <c r="O114" s="8" t="s">
        <v>845</v>
      </c>
      <c r="P114" s="9">
        <v>45631</v>
      </c>
      <c r="Q114" s="24" t="s">
        <v>926</v>
      </c>
      <c r="R114" s="8">
        <v>28200</v>
      </c>
    </row>
    <row r="115" spans="1:18" ht="45">
      <c r="A115" s="8" t="s">
        <v>3014</v>
      </c>
      <c r="B115" s="8" t="s">
        <v>845</v>
      </c>
      <c r="C115" s="8" t="s">
        <v>2203</v>
      </c>
      <c r="D115" s="8" t="s">
        <v>852</v>
      </c>
      <c r="E115" s="8" t="s">
        <v>838</v>
      </c>
      <c r="F115" s="8" t="s">
        <v>3012</v>
      </c>
      <c r="G115" s="8" t="s">
        <v>3015</v>
      </c>
      <c r="H115" s="8">
        <v>307680</v>
      </c>
      <c r="I115" s="8">
        <v>24100</v>
      </c>
      <c r="J115" s="8" t="s">
        <v>914</v>
      </c>
      <c r="K115" s="9">
        <v>45246</v>
      </c>
      <c r="L115" s="9">
        <v>45595</v>
      </c>
      <c r="M115" s="8" t="s">
        <v>838</v>
      </c>
      <c r="O115" s="8" t="s">
        <v>845</v>
      </c>
      <c r="P115" s="9">
        <v>45592</v>
      </c>
      <c r="Q115" s="24" t="s">
        <v>927</v>
      </c>
      <c r="R115" s="8">
        <v>28780</v>
      </c>
    </row>
    <row r="116" spans="1:18" ht="45">
      <c r="A116" s="8" t="s">
        <v>3014</v>
      </c>
      <c r="B116" s="8" t="s">
        <v>845</v>
      </c>
      <c r="C116" s="8" t="s">
        <v>2203</v>
      </c>
      <c r="D116" s="8" t="s">
        <v>852</v>
      </c>
      <c r="E116" s="8" t="s">
        <v>838</v>
      </c>
      <c r="F116" s="8" t="s">
        <v>3012</v>
      </c>
      <c r="G116" s="8" t="s">
        <v>3015</v>
      </c>
      <c r="H116" s="8">
        <v>307680</v>
      </c>
      <c r="I116" s="8">
        <v>25000</v>
      </c>
      <c r="J116" s="8" t="s">
        <v>915</v>
      </c>
      <c r="K116" s="9">
        <v>45246</v>
      </c>
      <c r="L116" s="9">
        <v>45584</v>
      </c>
      <c r="M116" s="8" t="s">
        <v>838</v>
      </c>
      <c r="O116" s="8" t="s">
        <v>845</v>
      </c>
      <c r="P116" s="9">
        <v>45627</v>
      </c>
      <c r="Q116" s="24" t="s">
        <v>928</v>
      </c>
      <c r="R116" s="8">
        <v>30700</v>
      </c>
    </row>
    <row r="117" spans="1:18" ht="45">
      <c r="A117" s="8" t="s">
        <v>3014</v>
      </c>
      <c r="B117" s="8" t="s">
        <v>845</v>
      </c>
      <c r="C117" s="8" t="s">
        <v>2203</v>
      </c>
      <c r="D117" s="8" t="s">
        <v>848</v>
      </c>
      <c r="E117" s="8" t="s">
        <v>838</v>
      </c>
      <c r="F117" s="8" t="s">
        <v>3012</v>
      </c>
      <c r="G117" s="8" t="s">
        <v>3015</v>
      </c>
      <c r="H117" s="8">
        <v>249500</v>
      </c>
      <c r="I117" s="8">
        <v>25020</v>
      </c>
      <c r="J117" s="8" t="s">
        <v>916</v>
      </c>
      <c r="K117" s="9">
        <v>45246</v>
      </c>
      <c r="L117" s="9">
        <v>45597</v>
      </c>
      <c r="M117" s="8" t="s">
        <v>838</v>
      </c>
      <c r="O117" s="8" t="s">
        <v>845</v>
      </c>
      <c r="P117" s="9">
        <v>45628</v>
      </c>
      <c r="Q117" s="24" t="s">
        <v>929</v>
      </c>
      <c r="R117" s="8">
        <v>33000</v>
      </c>
    </row>
    <row r="118" spans="1:18" ht="45">
      <c r="A118" s="8" t="s">
        <v>3014</v>
      </c>
      <c r="B118" s="8" t="s">
        <v>845</v>
      </c>
      <c r="C118" s="8" t="s">
        <v>2203</v>
      </c>
      <c r="D118" s="8" t="s">
        <v>852</v>
      </c>
      <c r="E118" s="8" t="s">
        <v>838</v>
      </c>
      <c r="F118" s="8" t="s">
        <v>3012</v>
      </c>
      <c r="G118" s="8" t="s">
        <v>3015</v>
      </c>
      <c r="H118" s="8">
        <v>307680</v>
      </c>
      <c r="I118" s="8">
        <v>25760</v>
      </c>
      <c r="J118" s="8" t="s">
        <v>917</v>
      </c>
      <c r="K118" s="9">
        <v>45237</v>
      </c>
      <c r="L118" s="9">
        <v>45584</v>
      </c>
      <c r="M118" s="8" t="s">
        <v>838</v>
      </c>
      <c r="O118" s="8" t="s">
        <v>845</v>
      </c>
      <c r="P118" s="9">
        <v>45633</v>
      </c>
      <c r="Q118" s="24" t="s">
        <v>930</v>
      </c>
      <c r="R118" s="8">
        <v>38600</v>
      </c>
    </row>
    <row r="119" spans="1:18" ht="45">
      <c r="A119" s="8" t="s">
        <v>3014</v>
      </c>
      <c r="B119" s="8" t="s">
        <v>845</v>
      </c>
      <c r="C119" s="8" t="s">
        <v>2203</v>
      </c>
      <c r="D119" s="8" t="s">
        <v>850</v>
      </c>
      <c r="E119" s="8" t="s">
        <v>838</v>
      </c>
      <c r="F119" s="8" t="s">
        <v>3012</v>
      </c>
      <c r="G119" s="8" t="s">
        <v>3015</v>
      </c>
      <c r="H119" s="8">
        <v>218760</v>
      </c>
      <c r="I119" s="8">
        <v>25800</v>
      </c>
      <c r="J119" s="8" t="s">
        <v>918</v>
      </c>
      <c r="K119" s="9">
        <v>45233</v>
      </c>
      <c r="L119" s="9">
        <v>45579</v>
      </c>
      <c r="M119" s="8" t="s">
        <v>838</v>
      </c>
      <c r="O119" s="8" t="s">
        <v>845</v>
      </c>
      <c r="P119" s="9">
        <v>45633</v>
      </c>
      <c r="Q119" s="24" t="s">
        <v>931</v>
      </c>
      <c r="R119" s="8">
        <v>40000</v>
      </c>
    </row>
    <row r="120" spans="1:18" ht="45">
      <c r="A120" s="8" t="s">
        <v>3014</v>
      </c>
      <c r="B120" s="8" t="s">
        <v>845</v>
      </c>
      <c r="C120" s="8" t="s">
        <v>2203</v>
      </c>
      <c r="D120" s="8" t="s">
        <v>857</v>
      </c>
      <c r="E120" s="8" t="s">
        <v>838</v>
      </c>
      <c r="F120" s="8" t="s">
        <v>3012</v>
      </c>
      <c r="G120" s="8" t="s">
        <v>3015</v>
      </c>
      <c r="H120" s="8">
        <v>300000</v>
      </c>
      <c r="I120" s="8">
        <v>25900</v>
      </c>
      <c r="J120" s="8" t="s">
        <v>919</v>
      </c>
      <c r="K120" s="9">
        <v>45280</v>
      </c>
      <c r="L120" s="9">
        <v>45631</v>
      </c>
      <c r="M120" s="8" t="s">
        <v>838</v>
      </c>
      <c r="O120" s="8" t="s">
        <v>845</v>
      </c>
      <c r="P120" s="9">
        <v>45631</v>
      </c>
      <c r="Q120" s="24" t="s">
        <v>932</v>
      </c>
      <c r="R120" s="8">
        <v>40000</v>
      </c>
    </row>
    <row r="121" spans="1:18" ht="45">
      <c r="A121" s="8" t="s">
        <v>3014</v>
      </c>
      <c r="B121" s="8" t="s">
        <v>845</v>
      </c>
      <c r="C121" s="8" t="s">
        <v>2203</v>
      </c>
      <c r="D121" s="8" t="s">
        <v>852</v>
      </c>
      <c r="E121" s="8" t="s">
        <v>838</v>
      </c>
      <c r="F121" s="8" t="s">
        <v>3012</v>
      </c>
      <c r="G121" s="8" t="s">
        <v>3015</v>
      </c>
      <c r="H121" s="8">
        <v>307680</v>
      </c>
      <c r="I121" s="8">
        <v>26880</v>
      </c>
      <c r="J121" s="8" t="s">
        <v>920</v>
      </c>
      <c r="K121" s="9">
        <v>45247</v>
      </c>
      <c r="L121" s="9">
        <v>45597</v>
      </c>
      <c r="M121" s="8" t="s">
        <v>838</v>
      </c>
      <c r="O121" s="8" t="s">
        <v>845</v>
      </c>
      <c r="P121" s="9">
        <v>45632</v>
      </c>
      <c r="Q121" s="24" t="s">
        <v>933</v>
      </c>
      <c r="R121" s="8">
        <v>40000</v>
      </c>
    </row>
    <row r="122" spans="1:18" ht="45">
      <c r="A122" s="8" t="s">
        <v>3014</v>
      </c>
      <c r="B122" s="8" t="s">
        <v>845</v>
      </c>
      <c r="C122" s="8" t="s">
        <v>2203</v>
      </c>
      <c r="D122" s="8" t="s">
        <v>852</v>
      </c>
      <c r="E122" s="8" t="s">
        <v>838</v>
      </c>
      <c r="F122" s="8" t="s">
        <v>3012</v>
      </c>
      <c r="G122" s="8" t="s">
        <v>3015</v>
      </c>
      <c r="H122" s="8">
        <v>307680</v>
      </c>
      <c r="I122" s="8">
        <v>27000</v>
      </c>
      <c r="J122" s="8" t="s">
        <v>862</v>
      </c>
      <c r="K122" s="9">
        <v>45246</v>
      </c>
      <c r="L122" s="9">
        <v>45597</v>
      </c>
      <c r="M122" s="8" t="s">
        <v>838</v>
      </c>
      <c r="O122" s="8" t="s">
        <v>845</v>
      </c>
      <c r="P122" s="9">
        <v>45627</v>
      </c>
      <c r="Q122" s="24" t="s">
        <v>934</v>
      </c>
      <c r="R122" s="8">
        <v>40000</v>
      </c>
    </row>
    <row r="123" spans="1:18" ht="45">
      <c r="A123" s="8" t="s">
        <v>3014</v>
      </c>
      <c r="B123" s="8" t="s">
        <v>845</v>
      </c>
      <c r="C123" s="8" t="s">
        <v>2203</v>
      </c>
      <c r="D123" s="8" t="s">
        <v>850</v>
      </c>
      <c r="E123" s="8" t="s">
        <v>838</v>
      </c>
      <c r="F123" s="8" t="s">
        <v>3012</v>
      </c>
      <c r="G123" s="8" t="s">
        <v>3015</v>
      </c>
      <c r="H123" s="8">
        <v>218760</v>
      </c>
      <c r="I123" s="8">
        <v>27300</v>
      </c>
      <c r="J123" s="8" t="s">
        <v>921</v>
      </c>
      <c r="K123" s="9">
        <v>45234</v>
      </c>
      <c r="L123" s="9">
        <v>45579</v>
      </c>
      <c r="M123" s="8" t="s">
        <v>838</v>
      </c>
      <c r="O123" s="8" t="s">
        <v>845</v>
      </c>
      <c r="P123" s="9">
        <v>45626</v>
      </c>
      <c r="Q123" s="24" t="s">
        <v>935</v>
      </c>
      <c r="R123" s="8">
        <v>40000</v>
      </c>
    </row>
    <row r="124" spans="1:18" ht="45">
      <c r="A124" s="8" t="s">
        <v>3014</v>
      </c>
      <c r="B124" s="8" t="s">
        <v>845</v>
      </c>
      <c r="C124" s="8" t="s">
        <v>2203</v>
      </c>
      <c r="D124" s="8" t="s">
        <v>850</v>
      </c>
      <c r="E124" s="8" t="s">
        <v>838</v>
      </c>
      <c r="F124" s="8" t="s">
        <v>3012</v>
      </c>
      <c r="G124" s="8" t="s">
        <v>3015</v>
      </c>
      <c r="H124" s="8">
        <v>218760</v>
      </c>
      <c r="I124" s="8">
        <v>27300</v>
      </c>
      <c r="J124" s="8" t="s">
        <v>922</v>
      </c>
      <c r="K124" s="9">
        <v>45283</v>
      </c>
      <c r="L124" s="9">
        <v>45637</v>
      </c>
      <c r="M124" s="8" t="s">
        <v>838</v>
      </c>
      <c r="O124" s="8" t="s">
        <v>845</v>
      </c>
      <c r="P124" s="9">
        <v>45625</v>
      </c>
      <c r="Q124" s="24" t="s">
        <v>936</v>
      </c>
      <c r="R124" s="8">
        <v>40000</v>
      </c>
    </row>
    <row r="125" spans="1:18" ht="45">
      <c r="A125" s="8" t="s">
        <v>3014</v>
      </c>
      <c r="B125" s="8" t="s">
        <v>845</v>
      </c>
      <c r="C125" s="8" t="s">
        <v>2203</v>
      </c>
      <c r="D125" s="8" t="s">
        <v>857</v>
      </c>
      <c r="E125" s="8" t="s">
        <v>838</v>
      </c>
      <c r="F125" s="8" t="s">
        <v>3012</v>
      </c>
      <c r="G125" s="8" t="s">
        <v>3015</v>
      </c>
      <c r="H125" s="8">
        <v>300000</v>
      </c>
      <c r="I125" s="8">
        <v>27800</v>
      </c>
      <c r="J125" s="8" t="s">
        <v>923</v>
      </c>
      <c r="K125" s="9">
        <v>45282</v>
      </c>
      <c r="L125" s="9">
        <v>45633</v>
      </c>
      <c r="M125" s="8" t="s">
        <v>838</v>
      </c>
      <c r="O125" s="8" t="s">
        <v>845</v>
      </c>
      <c r="P125" s="9">
        <v>45625</v>
      </c>
      <c r="Q125" s="24" t="s">
        <v>937</v>
      </c>
      <c r="R125" s="8">
        <v>40000</v>
      </c>
    </row>
    <row r="126" spans="1:18" ht="45">
      <c r="A126" s="8" t="s">
        <v>3014</v>
      </c>
      <c r="B126" s="8" t="s">
        <v>845</v>
      </c>
      <c r="C126" s="8" t="s">
        <v>2203</v>
      </c>
      <c r="D126" s="8" t="s">
        <v>850</v>
      </c>
      <c r="E126" s="8" t="s">
        <v>838</v>
      </c>
      <c r="F126" s="8" t="s">
        <v>3012</v>
      </c>
      <c r="G126" s="8" t="s">
        <v>3015</v>
      </c>
      <c r="H126" s="8">
        <v>218760</v>
      </c>
      <c r="I126" s="8">
        <v>27800</v>
      </c>
      <c r="J126" s="8" t="s">
        <v>924</v>
      </c>
      <c r="K126" s="9">
        <v>45233</v>
      </c>
      <c r="L126" s="9">
        <v>45579</v>
      </c>
      <c r="M126" s="8" t="s">
        <v>838</v>
      </c>
      <c r="O126" s="8" t="s">
        <v>938</v>
      </c>
      <c r="P126" s="9">
        <v>45634</v>
      </c>
      <c r="Q126" s="24" t="s">
        <v>939</v>
      </c>
      <c r="R126" s="8">
        <v>2</v>
      </c>
    </row>
    <row r="127" spans="1:18" ht="45">
      <c r="A127" s="8" t="s">
        <v>3014</v>
      </c>
      <c r="B127" s="8" t="s">
        <v>845</v>
      </c>
      <c r="C127" s="8" t="s">
        <v>2203</v>
      </c>
      <c r="D127" s="8" t="s">
        <v>867</v>
      </c>
      <c r="E127" s="8" t="s">
        <v>838</v>
      </c>
      <c r="F127" s="8" t="s">
        <v>3012</v>
      </c>
      <c r="G127" s="8" t="s">
        <v>3015</v>
      </c>
      <c r="H127" s="8">
        <v>578000</v>
      </c>
      <c r="I127" s="8">
        <v>27800</v>
      </c>
      <c r="J127" s="8" t="s">
        <v>925</v>
      </c>
      <c r="K127" s="9">
        <v>45279</v>
      </c>
      <c r="L127" s="9">
        <v>45631</v>
      </c>
      <c r="M127" s="8" t="s">
        <v>838</v>
      </c>
      <c r="O127" s="8" t="s">
        <v>938</v>
      </c>
      <c r="P127" s="9">
        <v>45773</v>
      </c>
      <c r="Q127" s="24" t="s">
        <v>940</v>
      </c>
      <c r="R127" s="8">
        <v>4</v>
      </c>
    </row>
    <row r="128" spans="1:18" ht="45">
      <c r="A128" s="8" t="s">
        <v>3014</v>
      </c>
      <c r="B128" s="8" t="s">
        <v>845</v>
      </c>
      <c r="C128" s="8" t="s">
        <v>2203</v>
      </c>
      <c r="D128" s="8" t="s">
        <v>867</v>
      </c>
      <c r="E128" s="8" t="s">
        <v>838</v>
      </c>
      <c r="F128" s="8" t="s">
        <v>3012</v>
      </c>
      <c r="G128" s="8" t="s">
        <v>3015</v>
      </c>
      <c r="H128" s="8">
        <v>578000</v>
      </c>
      <c r="I128" s="8">
        <v>28200</v>
      </c>
      <c r="J128" s="8" t="s">
        <v>926</v>
      </c>
      <c r="K128" s="9">
        <v>45279</v>
      </c>
      <c r="L128" s="9">
        <v>45631</v>
      </c>
      <c r="M128" s="8" t="s">
        <v>838</v>
      </c>
      <c r="O128" s="8" t="s">
        <v>938</v>
      </c>
      <c r="P128" s="9">
        <v>45780</v>
      </c>
      <c r="Q128" s="24" t="s">
        <v>941</v>
      </c>
      <c r="R128" s="8">
        <v>20</v>
      </c>
    </row>
    <row r="129" spans="1:18" ht="45">
      <c r="A129" s="8" t="s">
        <v>3014</v>
      </c>
      <c r="B129" s="8" t="s">
        <v>845</v>
      </c>
      <c r="C129" s="8" t="s">
        <v>2203</v>
      </c>
      <c r="D129" s="8" t="s">
        <v>848</v>
      </c>
      <c r="E129" s="8" t="s">
        <v>838</v>
      </c>
      <c r="F129" s="8" t="s">
        <v>3012</v>
      </c>
      <c r="G129" s="8" t="s">
        <v>3015</v>
      </c>
      <c r="H129" s="8">
        <v>249500</v>
      </c>
      <c r="I129" s="8">
        <v>28780</v>
      </c>
      <c r="J129" s="8" t="s">
        <v>927</v>
      </c>
      <c r="K129" s="9">
        <v>45246</v>
      </c>
      <c r="L129" s="9">
        <v>45592</v>
      </c>
      <c r="M129" s="8" t="s">
        <v>838</v>
      </c>
      <c r="O129" s="8" t="s">
        <v>938</v>
      </c>
      <c r="P129" s="9">
        <v>45773</v>
      </c>
      <c r="Q129" s="24" t="s">
        <v>942</v>
      </c>
      <c r="R129" s="8">
        <v>320</v>
      </c>
    </row>
    <row r="130" spans="1:18" ht="45">
      <c r="A130" s="8" t="s">
        <v>3014</v>
      </c>
      <c r="B130" s="8" t="s">
        <v>845</v>
      </c>
      <c r="C130" s="8" t="s">
        <v>2203</v>
      </c>
      <c r="D130" s="8" t="s">
        <v>857</v>
      </c>
      <c r="E130" s="8" t="s">
        <v>838</v>
      </c>
      <c r="F130" s="8" t="s">
        <v>3012</v>
      </c>
      <c r="G130" s="8" t="s">
        <v>3015</v>
      </c>
      <c r="H130" s="8">
        <v>300000</v>
      </c>
      <c r="I130" s="8">
        <v>30300</v>
      </c>
      <c r="J130" s="8" t="s">
        <v>856</v>
      </c>
      <c r="K130" s="9">
        <v>45283</v>
      </c>
      <c r="L130" s="9">
        <v>45637</v>
      </c>
      <c r="M130" s="8" t="s">
        <v>838</v>
      </c>
      <c r="O130" s="8" t="s">
        <v>938</v>
      </c>
      <c r="P130" s="9">
        <v>45780</v>
      </c>
      <c r="Q130" s="24" t="s">
        <v>943</v>
      </c>
      <c r="R130" s="8">
        <v>431</v>
      </c>
    </row>
    <row r="131" spans="1:18" ht="45">
      <c r="A131" s="8" t="s">
        <v>3014</v>
      </c>
      <c r="B131" s="8" t="s">
        <v>845</v>
      </c>
      <c r="C131" s="8" t="s">
        <v>2203</v>
      </c>
      <c r="D131" s="8" t="s">
        <v>867</v>
      </c>
      <c r="E131" s="8" t="s">
        <v>838</v>
      </c>
      <c r="F131" s="8" t="s">
        <v>3012</v>
      </c>
      <c r="G131" s="8" t="s">
        <v>3015</v>
      </c>
      <c r="H131" s="8">
        <v>578000</v>
      </c>
      <c r="I131" s="8">
        <v>30700</v>
      </c>
      <c r="J131" s="8" t="s">
        <v>928</v>
      </c>
      <c r="K131" s="9">
        <v>45274</v>
      </c>
      <c r="L131" s="9">
        <v>45627</v>
      </c>
      <c r="M131" s="8" t="s">
        <v>838</v>
      </c>
      <c r="O131" s="8" t="s">
        <v>938</v>
      </c>
      <c r="P131" s="9">
        <v>45787</v>
      </c>
      <c r="Q131" s="24" t="s">
        <v>944</v>
      </c>
      <c r="R131" s="8">
        <v>2000</v>
      </c>
    </row>
    <row r="132" spans="1:18" ht="45">
      <c r="A132" s="8" t="s">
        <v>3014</v>
      </c>
      <c r="B132" s="8" t="s">
        <v>845</v>
      </c>
      <c r="C132" s="8" t="s">
        <v>2203</v>
      </c>
      <c r="D132" s="8" t="s">
        <v>867</v>
      </c>
      <c r="E132" s="8" t="s">
        <v>838</v>
      </c>
      <c r="F132" s="8" t="s">
        <v>3012</v>
      </c>
      <c r="G132" s="8" t="s">
        <v>3015</v>
      </c>
      <c r="H132" s="8">
        <v>578000</v>
      </c>
      <c r="I132" s="8">
        <v>33000</v>
      </c>
      <c r="J132" s="8" t="s">
        <v>929</v>
      </c>
      <c r="K132" s="9">
        <v>45275</v>
      </c>
      <c r="L132" s="9">
        <v>45628</v>
      </c>
      <c r="M132" s="8" t="s">
        <v>838</v>
      </c>
      <c r="O132" s="8" t="s">
        <v>945</v>
      </c>
      <c r="P132" s="9">
        <v>45630</v>
      </c>
      <c r="Q132" s="24" t="s">
        <v>946</v>
      </c>
      <c r="R132" s="8">
        <v>19</v>
      </c>
    </row>
    <row r="133" spans="1:18" ht="60">
      <c r="A133" s="8" t="s">
        <v>3014</v>
      </c>
      <c r="B133" s="8" t="s">
        <v>845</v>
      </c>
      <c r="C133" s="8" t="s">
        <v>2203</v>
      </c>
      <c r="D133" s="8" t="s">
        <v>857</v>
      </c>
      <c r="E133" s="8" t="s">
        <v>838</v>
      </c>
      <c r="F133" s="8" t="s">
        <v>3012</v>
      </c>
      <c r="G133" s="8" t="s">
        <v>3015</v>
      </c>
      <c r="H133" s="8">
        <v>300000</v>
      </c>
      <c r="I133" s="8">
        <v>38600</v>
      </c>
      <c r="J133" s="8" t="s">
        <v>930</v>
      </c>
      <c r="K133" s="9">
        <v>45282</v>
      </c>
      <c r="L133" s="9">
        <v>45633</v>
      </c>
      <c r="M133" s="8" t="s">
        <v>838</v>
      </c>
      <c r="O133" s="8" t="s">
        <v>947</v>
      </c>
      <c r="P133" s="9">
        <v>45798</v>
      </c>
      <c r="Q133" s="24" t="s">
        <v>948</v>
      </c>
      <c r="R133" s="8">
        <v>2330</v>
      </c>
    </row>
    <row r="134" spans="1:18" ht="45">
      <c r="A134" s="8" t="s">
        <v>3014</v>
      </c>
      <c r="B134" s="8" t="s">
        <v>845</v>
      </c>
      <c r="C134" s="8" t="s">
        <v>2203</v>
      </c>
      <c r="D134" s="8" t="s">
        <v>857</v>
      </c>
      <c r="E134" s="8" t="s">
        <v>838</v>
      </c>
      <c r="F134" s="8" t="s">
        <v>3012</v>
      </c>
      <c r="G134" s="8" t="s">
        <v>3015</v>
      </c>
      <c r="H134" s="8">
        <v>300000</v>
      </c>
      <c r="I134" s="8">
        <v>40000</v>
      </c>
      <c r="J134" s="8" t="s">
        <v>931</v>
      </c>
      <c r="K134" s="9">
        <v>45282</v>
      </c>
      <c r="L134" s="9">
        <v>45633</v>
      </c>
      <c r="M134" s="8" t="s">
        <v>838</v>
      </c>
      <c r="O134" s="8" t="s">
        <v>949</v>
      </c>
      <c r="P134" s="9">
        <v>45567</v>
      </c>
      <c r="Q134" s="24" t="s">
        <v>950</v>
      </c>
      <c r="R134" s="8">
        <v>680</v>
      </c>
    </row>
    <row r="135" spans="1:18" ht="45">
      <c r="A135" s="8" t="s">
        <v>3014</v>
      </c>
      <c r="B135" s="8" t="s">
        <v>845</v>
      </c>
      <c r="C135" s="8" t="s">
        <v>2203</v>
      </c>
      <c r="D135" s="8" t="s">
        <v>857</v>
      </c>
      <c r="E135" s="8" t="s">
        <v>838</v>
      </c>
      <c r="F135" s="8" t="s">
        <v>3012</v>
      </c>
      <c r="G135" s="8" t="s">
        <v>3015</v>
      </c>
      <c r="H135" s="8">
        <v>300000</v>
      </c>
      <c r="I135" s="8">
        <v>40000</v>
      </c>
      <c r="J135" s="8" t="s">
        <v>932</v>
      </c>
      <c r="K135" s="9">
        <v>44638</v>
      </c>
      <c r="L135" s="9">
        <v>45631</v>
      </c>
      <c r="M135" s="8" t="s">
        <v>838</v>
      </c>
      <c r="O135" s="8" t="s">
        <v>951</v>
      </c>
      <c r="P135" s="9">
        <v>45578</v>
      </c>
      <c r="Q135" s="24" t="s">
        <v>952</v>
      </c>
      <c r="R135" s="8">
        <v>1300</v>
      </c>
    </row>
    <row r="136" spans="1:18" ht="45">
      <c r="A136" s="8" t="s">
        <v>3014</v>
      </c>
      <c r="B136" s="8" t="s">
        <v>845</v>
      </c>
      <c r="C136" s="8" t="s">
        <v>2203</v>
      </c>
      <c r="D136" s="8" t="s">
        <v>857</v>
      </c>
      <c r="E136" s="8" t="s">
        <v>838</v>
      </c>
      <c r="F136" s="8" t="s">
        <v>3012</v>
      </c>
      <c r="G136" s="8" t="s">
        <v>3015</v>
      </c>
      <c r="H136" s="8">
        <v>300000</v>
      </c>
      <c r="I136" s="8">
        <v>40000</v>
      </c>
      <c r="J136" s="8" t="s">
        <v>933</v>
      </c>
      <c r="K136" s="9">
        <v>45281</v>
      </c>
      <c r="L136" s="9">
        <v>45632</v>
      </c>
      <c r="M136" s="8" t="s">
        <v>838</v>
      </c>
      <c r="O136" s="8" t="s">
        <v>951</v>
      </c>
      <c r="P136" s="9">
        <v>45567</v>
      </c>
      <c r="Q136" s="24" t="s">
        <v>953</v>
      </c>
      <c r="R136" s="8">
        <v>4870</v>
      </c>
    </row>
    <row r="137" spans="1:18" ht="45">
      <c r="A137" s="8" t="s">
        <v>3014</v>
      </c>
      <c r="B137" s="8" t="s">
        <v>845</v>
      </c>
      <c r="C137" s="8" t="s">
        <v>2203</v>
      </c>
      <c r="D137" s="8" t="s">
        <v>867</v>
      </c>
      <c r="E137" s="8" t="s">
        <v>838</v>
      </c>
      <c r="F137" s="8" t="s">
        <v>3012</v>
      </c>
      <c r="G137" s="8" t="s">
        <v>3015</v>
      </c>
      <c r="H137" s="8">
        <v>578000</v>
      </c>
      <c r="I137" s="8">
        <v>40000</v>
      </c>
      <c r="J137" s="8" t="s">
        <v>934</v>
      </c>
      <c r="K137" s="9">
        <v>45274</v>
      </c>
      <c r="L137" s="9">
        <v>45627</v>
      </c>
      <c r="M137" s="8" t="s">
        <v>838</v>
      </c>
      <c r="O137" s="8" t="s">
        <v>954</v>
      </c>
      <c r="P137" s="9">
        <v>45578</v>
      </c>
      <c r="Q137" s="24" t="s">
        <v>955</v>
      </c>
      <c r="R137" s="8">
        <v>2</v>
      </c>
    </row>
    <row r="138" spans="1:18" ht="45">
      <c r="A138" s="8" t="s">
        <v>3014</v>
      </c>
      <c r="B138" s="8" t="s">
        <v>845</v>
      </c>
      <c r="C138" s="8" t="s">
        <v>2203</v>
      </c>
      <c r="D138" s="8" t="s">
        <v>867</v>
      </c>
      <c r="E138" s="8" t="s">
        <v>838</v>
      </c>
      <c r="F138" s="8" t="s">
        <v>3012</v>
      </c>
      <c r="G138" s="8" t="s">
        <v>3015</v>
      </c>
      <c r="H138" s="8">
        <v>578000</v>
      </c>
      <c r="I138" s="8">
        <v>40000</v>
      </c>
      <c r="J138" s="8" t="s">
        <v>935</v>
      </c>
      <c r="K138" s="9">
        <v>45273</v>
      </c>
      <c r="L138" s="9">
        <v>45626</v>
      </c>
      <c r="M138" s="8" t="s">
        <v>838</v>
      </c>
      <c r="O138" s="8" t="s">
        <v>954</v>
      </c>
      <c r="P138" s="9">
        <v>45567</v>
      </c>
      <c r="Q138" s="24" t="s">
        <v>956</v>
      </c>
      <c r="R138" s="8">
        <v>18</v>
      </c>
    </row>
    <row r="139" spans="1:18" ht="45">
      <c r="A139" s="8" t="s">
        <v>3014</v>
      </c>
      <c r="B139" s="8" t="s">
        <v>845</v>
      </c>
      <c r="C139" s="8" t="s">
        <v>2203</v>
      </c>
      <c r="D139" s="8" t="s">
        <v>867</v>
      </c>
      <c r="E139" s="8" t="s">
        <v>838</v>
      </c>
      <c r="F139" s="8" t="s">
        <v>3012</v>
      </c>
      <c r="G139" s="8" t="s">
        <v>3015</v>
      </c>
      <c r="H139" s="8">
        <v>578000</v>
      </c>
      <c r="I139" s="8">
        <v>40000</v>
      </c>
      <c r="J139" s="8" t="s">
        <v>936</v>
      </c>
      <c r="K139" s="9">
        <v>45272</v>
      </c>
      <c r="L139" s="9">
        <v>45625</v>
      </c>
      <c r="M139" s="8" t="s">
        <v>838</v>
      </c>
      <c r="O139" s="8" t="s">
        <v>954</v>
      </c>
      <c r="P139" s="9">
        <v>45787</v>
      </c>
      <c r="Q139" s="24" t="s">
        <v>957</v>
      </c>
      <c r="R139" s="8">
        <v>64</v>
      </c>
    </row>
    <row r="140" spans="1:18" ht="45">
      <c r="A140" s="8" t="s">
        <v>3014</v>
      </c>
      <c r="B140" s="8" t="s">
        <v>845</v>
      </c>
      <c r="C140" s="8" t="s">
        <v>2203</v>
      </c>
      <c r="D140" s="8" t="s">
        <v>867</v>
      </c>
      <c r="E140" s="8" t="s">
        <v>838</v>
      </c>
      <c r="F140" s="8" t="s">
        <v>3012</v>
      </c>
      <c r="G140" s="8" t="s">
        <v>3015</v>
      </c>
      <c r="H140" s="8">
        <v>578000</v>
      </c>
      <c r="I140" s="8">
        <v>40000</v>
      </c>
      <c r="J140" s="8" t="s">
        <v>937</v>
      </c>
      <c r="K140" s="9">
        <v>45273</v>
      </c>
      <c r="L140" s="9">
        <v>45625</v>
      </c>
      <c r="M140" s="8" t="s">
        <v>838</v>
      </c>
      <c r="O140" s="8" t="s">
        <v>954</v>
      </c>
      <c r="P140" s="9">
        <v>45539</v>
      </c>
      <c r="Q140" s="24" t="s">
        <v>958</v>
      </c>
      <c r="R140" s="8">
        <v>740</v>
      </c>
    </row>
    <row r="141" spans="1:18" ht="45">
      <c r="A141" s="8" t="s">
        <v>3016</v>
      </c>
      <c r="B141" s="8" t="s">
        <v>938</v>
      </c>
      <c r="C141" s="8" t="s">
        <v>2203</v>
      </c>
      <c r="D141" s="8" t="s">
        <v>18</v>
      </c>
      <c r="E141" s="8" t="s">
        <v>838</v>
      </c>
      <c r="F141" s="8" t="s">
        <v>3012</v>
      </c>
      <c r="G141" s="8" t="s">
        <v>3017</v>
      </c>
      <c r="H141" s="8">
        <v>2777</v>
      </c>
      <c r="I141" s="8">
        <v>2</v>
      </c>
      <c r="J141" s="8" t="s">
        <v>939</v>
      </c>
      <c r="K141" s="9">
        <v>45373</v>
      </c>
      <c r="L141" s="9">
        <v>45634</v>
      </c>
      <c r="M141" s="8" t="s">
        <v>838</v>
      </c>
      <c r="O141" s="8" t="s">
        <v>954</v>
      </c>
      <c r="P141" s="9">
        <v>45525</v>
      </c>
      <c r="Q141" s="24" t="s">
        <v>959</v>
      </c>
      <c r="R141" s="8">
        <v>1460</v>
      </c>
    </row>
    <row r="142" spans="1:18" ht="45">
      <c r="A142" s="8" t="s">
        <v>3016</v>
      </c>
      <c r="B142" s="8" t="s">
        <v>938</v>
      </c>
      <c r="C142" s="8" t="s">
        <v>2203</v>
      </c>
      <c r="D142" s="8" t="s">
        <v>18</v>
      </c>
      <c r="E142" s="8" t="s">
        <v>838</v>
      </c>
      <c r="F142" s="8" t="s">
        <v>3012</v>
      </c>
      <c r="G142" s="8" t="s">
        <v>3017</v>
      </c>
      <c r="H142" s="8">
        <v>2777</v>
      </c>
      <c r="I142" s="8">
        <v>4</v>
      </c>
      <c r="J142" s="8" t="s">
        <v>940</v>
      </c>
      <c r="K142" s="9">
        <v>45423</v>
      </c>
      <c r="L142" s="9">
        <v>45773</v>
      </c>
      <c r="M142" s="8" t="s">
        <v>838</v>
      </c>
      <c r="O142" s="8" t="s">
        <v>954</v>
      </c>
      <c r="P142" s="9">
        <v>45532</v>
      </c>
      <c r="Q142" s="24" t="s">
        <v>960</v>
      </c>
      <c r="R142" s="8">
        <v>2117</v>
      </c>
    </row>
    <row r="143" spans="1:18" ht="45">
      <c r="A143" s="8" t="s">
        <v>3016</v>
      </c>
      <c r="B143" s="8" t="s">
        <v>938</v>
      </c>
      <c r="C143" s="8" t="s">
        <v>2203</v>
      </c>
      <c r="D143" s="8" t="s">
        <v>18</v>
      </c>
      <c r="E143" s="8" t="s">
        <v>838</v>
      </c>
      <c r="F143" s="8" t="s">
        <v>3012</v>
      </c>
      <c r="G143" s="8" t="s">
        <v>3017</v>
      </c>
      <c r="H143" s="8">
        <v>2777</v>
      </c>
      <c r="I143" s="8">
        <v>20</v>
      </c>
      <c r="J143" s="8" t="s">
        <v>941</v>
      </c>
      <c r="K143" s="9">
        <v>45423</v>
      </c>
      <c r="L143" s="9">
        <v>45780</v>
      </c>
      <c r="M143" s="8" t="s">
        <v>838</v>
      </c>
      <c r="O143" s="8" t="s">
        <v>954</v>
      </c>
      <c r="P143" s="9">
        <v>45532</v>
      </c>
      <c r="Q143" s="24" t="s">
        <v>961</v>
      </c>
      <c r="R143" s="8">
        <v>3680</v>
      </c>
    </row>
    <row r="144" spans="1:18" ht="45">
      <c r="A144" s="8" t="s">
        <v>3016</v>
      </c>
      <c r="B144" s="8" t="s">
        <v>938</v>
      </c>
      <c r="C144" s="8" t="s">
        <v>2203</v>
      </c>
      <c r="D144" s="8" t="s">
        <v>18</v>
      </c>
      <c r="E144" s="8" t="s">
        <v>838</v>
      </c>
      <c r="F144" s="8" t="s">
        <v>3012</v>
      </c>
      <c r="G144" s="8" t="s">
        <v>3017</v>
      </c>
      <c r="H144" s="8">
        <v>2777</v>
      </c>
      <c r="I144" s="8">
        <v>320</v>
      </c>
      <c r="J144" s="8" t="s">
        <v>942</v>
      </c>
      <c r="K144" s="9">
        <v>45439</v>
      </c>
      <c r="L144" s="9">
        <v>45773</v>
      </c>
      <c r="M144" s="8" t="s">
        <v>838</v>
      </c>
      <c r="O144" s="8" t="s">
        <v>954</v>
      </c>
      <c r="P144" s="9">
        <v>45787</v>
      </c>
      <c r="Q144" s="24" t="s">
        <v>962</v>
      </c>
      <c r="R144" s="8">
        <v>3836</v>
      </c>
    </row>
    <row r="145" spans="1:18" ht="75">
      <c r="A145" s="8" t="s">
        <v>3016</v>
      </c>
      <c r="B145" s="8" t="s">
        <v>938</v>
      </c>
      <c r="C145" s="8" t="s">
        <v>2203</v>
      </c>
      <c r="D145" s="8" t="s">
        <v>18</v>
      </c>
      <c r="E145" s="8" t="s">
        <v>838</v>
      </c>
      <c r="F145" s="8" t="s">
        <v>3012</v>
      </c>
      <c r="G145" s="8" t="s">
        <v>3017</v>
      </c>
      <c r="H145" s="8">
        <v>2777</v>
      </c>
      <c r="I145" s="8">
        <v>431</v>
      </c>
      <c r="J145" s="8" t="s">
        <v>943</v>
      </c>
      <c r="K145" s="9">
        <v>45423</v>
      </c>
      <c r="L145" s="9">
        <v>45780</v>
      </c>
      <c r="M145" s="8" t="s">
        <v>838</v>
      </c>
      <c r="O145" s="8" t="s">
        <v>963</v>
      </c>
      <c r="P145" s="9">
        <v>45647</v>
      </c>
      <c r="Q145" s="24" t="s">
        <v>964</v>
      </c>
      <c r="R145" s="8">
        <v>660</v>
      </c>
    </row>
    <row r="146" spans="1:18" ht="75">
      <c r="A146" s="8" t="s">
        <v>3016</v>
      </c>
      <c r="B146" s="8" t="s">
        <v>938</v>
      </c>
      <c r="C146" s="8" t="s">
        <v>2203</v>
      </c>
      <c r="D146" s="8" t="s">
        <v>18</v>
      </c>
      <c r="E146" s="8" t="s">
        <v>838</v>
      </c>
      <c r="F146" s="8" t="s">
        <v>3012</v>
      </c>
      <c r="G146" s="8" t="s">
        <v>3017</v>
      </c>
      <c r="H146" s="8">
        <v>2777</v>
      </c>
      <c r="I146" s="8">
        <v>2000</v>
      </c>
      <c r="J146" s="8" t="s">
        <v>944</v>
      </c>
      <c r="K146" s="9">
        <v>45446</v>
      </c>
      <c r="L146" s="9">
        <v>45787</v>
      </c>
      <c r="M146" s="8" t="s">
        <v>838</v>
      </c>
      <c r="O146" s="8" t="s">
        <v>963</v>
      </c>
      <c r="P146" s="9">
        <v>45639</v>
      </c>
      <c r="Q146" s="24" t="s">
        <v>965</v>
      </c>
      <c r="R146" s="8">
        <v>2030</v>
      </c>
    </row>
    <row r="147" spans="1:18" ht="60">
      <c r="A147" s="8" t="s">
        <v>3018</v>
      </c>
      <c r="B147" s="8" t="s">
        <v>945</v>
      </c>
      <c r="C147" s="8" t="s">
        <v>2203</v>
      </c>
      <c r="D147" s="8" t="s">
        <v>18</v>
      </c>
      <c r="E147" s="8" t="s">
        <v>838</v>
      </c>
      <c r="F147" s="8" t="s">
        <v>3012</v>
      </c>
      <c r="G147" s="8" t="s">
        <v>3019</v>
      </c>
      <c r="H147" s="8">
        <v>19</v>
      </c>
      <c r="I147" s="8">
        <v>19</v>
      </c>
      <c r="J147" s="8" t="s">
        <v>946</v>
      </c>
      <c r="K147" s="9">
        <v>45348</v>
      </c>
      <c r="L147" s="9">
        <v>45630</v>
      </c>
      <c r="M147" s="8" t="s">
        <v>838</v>
      </c>
      <c r="O147" s="8" t="s">
        <v>966</v>
      </c>
      <c r="P147" s="9">
        <v>45543</v>
      </c>
      <c r="Q147" s="24" t="s">
        <v>967</v>
      </c>
      <c r="R147" s="8">
        <v>2</v>
      </c>
    </row>
    <row r="148" spans="1:18" ht="60">
      <c r="A148" s="8" t="s">
        <v>3020</v>
      </c>
      <c r="B148" s="8" t="s">
        <v>947</v>
      </c>
      <c r="C148" s="8" t="s">
        <v>2203</v>
      </c>
      <c r="D148" s="8" t="s">
        <v>18</v>
      </c>
      <c r="E148" s="8" t="s">
        <v>838</v>
      </c>
      <c r="F148" s="8" t="s">
        <v>3012</v>
      </c>
      <c r="G148" s="8" t="s">
        <v>3019</v>
      </c>
      <c r="H148" s="8">
        <v>2330</v>
      </c>
      <c r="I148" s="8">
        <v>2330</v>
      </c>
      <c r="J148" s="8" t="s">
        <v>948</v>
      </c>
      <c r="K148" s="9">
        <v>45443</v>
      </c>
      <c r="L148" s="9">
        <v>45798</v>
      </c>
      <c r="M148" s="8" t="s">
        <v>838</v>
      </c>
      <c r="O148" s="8" t="s">
        <v>966</v>
      </c>
      <c r="P148" s="9">
        <v>45543</v>
      </c>
      <c r="Q148" s="24" t="s">
        <v>968</v>
      </c>
      <c r="R148" s="8">
        <v>4</v>
      </c>
    </row>
    <row r="149" spans="1:18" ht="60">
      <c r="A149" s="8" t="s">
        <v>3021</v>
      </c>
      <c r="B149" s="8" t="s">
        <v>949</v>
      </c>
      <c r="C149" s="8" t="s">
        <v>2203</v>
      </c>
      <c r="D149" s="8" t="s">
        <v>18</v>
      </c>
      <c r="E149" s="8" t="s">
        <v>2217</v>
      </c>
      <c r="F149" s="8" t="s">
        <v>2217</v>
      </c>
      <c r="G149" s="8" t="s">
        <v>2217</v>
      </c>
      <c r="H149" s="8">
        <v>680</v>
      </c>
      <c r="I149" s="8">
        <v>680</v>
      </c>
      <c r="J149" s="8" t="s">
        <v>950</v>
      </c>
      <c r="K149" s="9">
        <v>45377</v>
      </c>
      <c r="L149" s="9">
        <v>45567</v>
      </c>
      <c r="M149" s="8" t="s">
        <v>838</v>
      </c>
      <c r="O149" s="8" t="s">
        <v>966</v>
      </c>
      <c r="P149" s="9">
        <v>45582</v>
      </c>
      <c r="Q149" s="24" t="s">
        <v>969</v>
      </c>
      <c r="R149" s="8">
        <v>15</v>
      </c>
    </row>
    <row r="150" spans="1:18" ht="60">
      <c r="A150" s="8" t="s">
        <v>3022</v>
      </c>
      <c r="B150" s="8" t="s">
        <v>951</v>
      </c>
      <c r="C150" s="8" t="s">
        <v>2203</v>
      </c>
      <c r="D150" s="8" t="s">
        <v>18</v>
      </c>
      <c r="E150" s="8" t="s">
        <v>838</v>
      </c>
      <c r="F150" s="8" t="s">
        <v>3012</v>
      </c>
      <c r="G150" s="8" t="s">
        <v>3023</v>
      </c>
      <c r="H150" s="8">
        <v>6170</v>
      </c>
      <c r="I150" s="8">
        <v>1300</v>
      </c>
      <c r="J150" s="8" t="s">
        <v>952</v>
      </c>
      <c r="K150" s="9">
        <v>45229</v>
      </c>
      <c r="L150" s="9">
        <v>45578</v>
      </c>
      <c r="M150" s="8" t="s">
        <v>838</v>
      </c>
      <c r="O150" s="8" t="s">
        <v>966</v>
      </c>
      <c r="P150" s="9">
        <v>45582</v>
      </c>
      <c r="Q150" s="24" t="s">
        <v>970</v>
      </c>
      <c r="R150" s="8">
        <v>539</v>
      </c>
    </row>
    <row r="151" spans="1:18" ht="60">
      <c r="A151" s="8" t="s">
        <v>3022</v>
      </c>
      <c r="B151" s="8" t="s">
        <v>951</v>
      </c>
      <c r="C151" s="8" t="s">
        <v>2203</v>
      </c>
      <c r="D151" s="8" t="s">
        <v>18</v>
      </c>
      <c r="E151" s="8" t="s">
        <v>838</v>
      </c>
      <c r="F151" s="8" t="s">
        <v>3012</v>
      </c>
      <c r="G151" s="8" t="s">
        <v>3023</v>
      </c>
      <c r="H151" s="8">
        <v>6170</v>
      </c>
      <c r="I151" s="8">
        <v>4870</v>
      </c>
      <c r="J151" s="8" t="s">
        <v>953</v>
      </c>
      <c r="K151" s="9">
        <v>45212</v>
      </c>
      <c r="L151" s="9">
        <v>45567</v>
      </c>
      <c r="M151" s="8" t="s">
        <v>838</v>
      </c>
      <c r="O151" s="8" t="s">
        <v>966</v>
      </c>
      <c r="P151" s="9">
        <v>45582</v>
      </c>
      <c r="Q151" s="24" t="s">
        <v>971</v>
      </c>
      <c r="R151" s="8">
        <v>1004</v>
      </c>
    </row>
    <row r="152" spans="1:18" ht="60">
      <c r="A152" s="8" t="s">
        <v>3024</v>
      </c>
      <c r="B152" s="8" t="s">
        <v>954</v>
      </c>
      <c r="C152" s="8" t="s">
        <v>2203</v>
      </c>
      <c r="D152" s="8" t="s">
        <v>18</v>
      </c>
      <c r="E152" s="8" t="s">
        <v>838</v>
      </c>
      <c r="F152" s="8" t="s">
        <v>3012</v>
      </c>
      <c r="G152" s="8" t="s">
        <v>3025</v>
      </c>
      <c r="H152" s="8">
        <v>7497</v>
      </c>
      <c r="I152" s="8">
        <v>2</v>
      </c>
      <c r="J152" s="8" t="s">
        <v>955</v>
      </c>
      <c r="K152" s="9">
        <v>45219</v>
      </c>
      <c r="L152" s="9">
        <v>45578</v>
      </c>
      <c r="M152" s="8" t="s">
        <v>838</v>
      </c>
      <c r="O152" s="8" t="s">
        <v>966</v>
      </c>
      <c r="P152" s="9">
        <v>45582</v>
      </c>
      <c r="Q152" s="24" t="s">
        <v>972</v>
      </c>
      <c r="R152" s="8">
        <v>1058</v>
      </c>
    </row>
    <row r="153" spans="1:18" ht="60">
      <c r="A153" s="8" t="s">
        <v>3024</v>
      </c>
      <c r="B153" s="8" t="s">
        <v>954</v>
      </c>
      <c r="C153" s="8" t="s">
        <v>2203</v>
      </c>
      <c r="D153" s="8" t="s">
        <v>18</v>
      </c>
      <c r="E153" s="8" t="s">
        <v>838</v>
      </c>
      <c r="F153" s="8" t="s">
        <v>3012</v>
      </c>
      <c r="G153" s="8" t="s">
        <v>3025</v>
      </c>
      <c r="H153" s="8">
        <v>7497</v>
      </c>
      <c r="I153" s="8">
        <v>18</v>
      </c>
      <c r="J153" s="8" t="s">
        <v>956</v>
      </c>
      <c r="K153" s="9">
        <v>45219</v>
      </c>
      <c r="L153" s="9">
        <v>45567</v>
      </c>
      <c r="M153" s="8" t="s">
        <v>838</v>
      </c>
      <c r="O153" s="8" t="s">
        <v>966</v>
      </c>
      <c r="P153" s="9">
        <v>45612</v>
      </c>
      <c r="Q153" s="24" t="s">
        <v>973</v>
      </c>
      <c r="R153" s="8">
        <v>2000</v>
      </c>
    </row>
    <row r="154" spans="1:18" ht="60">
      <c r="A154" s="8" t="s">
        <v>3024</v>
      </c>
      <c r="B154" s="8" t="s">
        <v>954</v>
      </c>
      <c r="C154" s="8" t="s">
        <v>2203</v>
      </c>
      <c r="D154" s="8" t="s">
        <v>18</v>
      </c>
      <c r="E154" s="8" t="s">
        <v>838</v>
      </c>
      <c r="F154" s="8" t="s">
        <v>3012</v>
      </c>
      <c r="G154" s="8" t="s">
        <v>3025</v>
      </c>
      <c r="H154" s="8">
        <v>7497</v>
      </c>
      <c r="I154" s="8">
        <v>64</v>
      </c>
      <c r="J154" s="8" t="s">
        <v>957</v>
      </c>
      <c r="K154" s="9">
        <v>45428</v>
      </c>
      <c r="L154" s="9">
        <v>45787</v>
      </c>
      <c r="M154" s="8" t="s">
        <v>838</v>
      </c>
      <c r="O154" s="8" t="s">
        <v>966</v>
      </c>
      <c r="P154" s="9">
        <v>45612</v>
      </c>
      <c r="Q154" s="24" t="s">
        <v>974</v>
      </c>
      <c r="R154" s="8">
        <v>5000</v>
      </c>
    </row>
    <row r="155" spans="1:18" ht="60">
      <c r="A155" s="8" t="s">
        <v>3024</v>
      </c>
      <c r="B155" s="8" t="s">
        <v>954</v>
      </c>
      <c r="C155" s="8" t="s">
        <v>2203</v>
      </c>
      <c r="D155" s="8" t="s">
        <v>850</v>
      </c>
      <c r="E155" s="8" t="s">
        <v>838</v>
      </c>
      <c r="F155" s="8" t="s">
        <v>3012</v>
      </c>
      <c r="G155" s="8" t="s">
        <v>3025</v>
      </c>
      <c r="H155" s="8">
        <v>4420</v>
      </c>
      <c r="I155" s="8">
        <v>740</v>
      </c>
      <c r="J155" s="8" t="s">
        <v>958</v>
      </c>
      <c r="K155" s="9">
        <v>45180</v>
      </c>
      <c r="L155" s="9">
        <v>45539</v>
      </c>
      <c r="M155" s="8" t="s">
        <v>838</v>
      </c>
      <c r="O155" s="8" t="s">
        <v>966</v>
      </c>
      <c r="P155" s="9">
        <v>45543</v>
      </c>
      <c r="Q155" s="24" t="s">
        <v>975</v>
      </c>
      <c r="R155" s="8">
        <v>5400</v>
      </c>
    </row>
    <row r="156" spans="1:18" ht="60">
      <c r="A156" s="8" t="s">
        <v>3024</v>
      </c>
      <c r="B156" s="8" t="s">
        <v>954</v>
      </c>
      <c r="C156" s="8" t="s">
        <v>2203</v>
      </c>
      <c r="D156" s="8" t="s">
        <v>18</v>
      </c>
      <c r="E156" s="8" t="s">
        <v>838</v>
      </c>
      <c r="F156" s="8" t="s">
        <v>3012</v>
      </c>
      <c r="G156" s="8" t="s">
        <v>3025</v>
      </c>
      <c r="H156" s="8">
        <v>7497</v>
      </c>
      <c r="I156" s="8">
        <v>1460</v>
      </c>
      <c r="J156" s="8" t="s">
        <v>959</v>
      </c>
      <c r="K156" s="9">
        <v>45453</v>
      </c>
      <c r="L156" s="9">
        <v>45525</v>
      </c>
      <c r="M156" s="8" t="s">
        <v>838</v>
      </c>
      <c r="O156" s="8" t="s">
        <v>976</v>
      </c>
      <c r="P156" s="9">
        <v>45619</v>
      </c>
      <c r="Q156" s="24" t="s">
        <v>977</v>
      </c>
      <c r="R156" s="8">
        <v>80</v>
      </c>
    </row>
    <row r="157" spans="1:18" ht="60">
      <c r="A157" s="8" t="s">
        <v>3024</v>
      </c>
      <c r="B157" s="8" t="s">
        <v>954</v>
      </c>
      <c r="C157" s="8" t="s">
        <v>2203</v>
      </c>
      <c r="D157" s="8" t="s">
        <v>18</v>
      </c>
      <c r="E157" s="8" t="s">
        <v>838</v>
      </c>
      <c r="F157" s="8" t="s">
        <v>3012</v>
      </c>
      <c r="G157" s="8" t="s">
        <v>3025</v>
      </c>
      <c r="H157" s="8">
        <v>7497</v>
      </c>
      <c r="I157" s="8">
        <v>2117</v>
      </c>
      <c r="J157" s="8" t="s">
        <v>960</v>
      </c>
      <c r="K157" s="9">
        <v>45180</v>
      </c>
      <c r="L157" s="9">
        <v>45532</v>
      </c>
      <c r="M157" s="8" t="s">
        <v>838</v>
      </c>
      <c r="O157" s="8" t="s">
        <v>976</v>
      </c>
      <c r="P157" s="9">
        <v>45619</v>
      </c>
      <c r="Q157" s="24" t="s">
        <v>978</v>
      </c>
      <c r="R157" s="8">
        <v>80</v>
      </c>
    </row>
    <row r="158" spans="1:18" ht="60">
      <c r="A158" s="8" t="s">
        <v>3024</v>
      </c>
      <c r="B158" s="8" t="s">
        <v>954</v>
      </c>
      <c r="C158" s="8" t="s">
        <v>2203</v>
      </c>
      <c r="D158" s="8" t="s">
        <v>850</v>
      </c>
      <c r="E158" s="8" t="s">
        <v>838</v>
      </c>
      <c r="F158" s="8" t="s">
        <v>3012</v>
      </c>
      <c r="G158" s="8" t="s">
        <v>3025</v>
      </c>
      <c r="H158" s="8">
        <v>4420</v>
      </c>
      <c r="I158" s="8">
        <v>3680</v>
      </c>
      <c r="J158" s="8" t="s">
        <v>961</v>
      </c>
      <c r="K158" s="9">
        <v>45180</v>
      </c>
      <c r="L158" s="9">
        <v>45532</v>
      </c>
      <c r="M158" s="8" t="s">
        <v>838</v>
      </c>
      <c r="O158" s="8" t="s">
        <v>976</v>
      </c>
      <c r="P158" s="9">
        <v>45619</v>
      </c>
      <c r="Q158" s="24" t="s">
        <v>979</v>
      </c>
      <c r="R158" s="8">
        <v>240</v>
      </c>
    </row>
    <row r="159" spans="1:18" ht="60">
      <c r="A159" s="8" t="s">
        <v>3024</v>
      </c>
      <c r="B159" s="8" t="s">
        <v>954</v>
      </c>
      <c r="C159" s="8" t="s">
        <v>2203</v>
      </c>
      <c r="D159" s="8" t="s">
        <v>18</v>
      </c>
      <c r="E159" s="8" t="s">
        <v>838</v>
      </c>
      <c r="F159" s="8" t="s">
        <v>3012</v>
      </c>
      <c r="G159" s="8" t="s">
        <v>3025</v>
      </c>
      <c r="H159" s="8">
        <v>7497</v>
      </c>
      <c r="I159" s="8">
        <v>3836</v>
      </c>
      <c r="J159" s="8" t="s">
        <v>962</v>
      </c>
      <c r="K159" s="9">
        <v>45428</v>
      </c>
      <c r="L159" s="9">
        <v>45787</v>
      </c>
      <c r="M159" s="8" t="s">
        <v>838</v>
      </c>
      <c r="O159" s="8" t="s">
        <v>976</v>
      </c>
      <c r="P159" s="9">
        <v>45619</v>
      </c>
      <c r="Q159" s="24" t="s">
        <v>980</v>
      </c>
      <c r="R159" s="8">
        <v>590</v>
      </c>
    </row>
    <row r="160" spans="1:18" ht="75">
      <c r="A160" s="8" t="s">
        <v>3026</v>
      </c>
      <c r="B160" s="8" t="s">
        <v>963</v>
      </c>
      <c r="C160" s="8" t="s">
        <v>2203</v>
      </c>
      <c r="D160" s="8" t="s">
        <v>18</v>
      </c>
      <c r="E160" s="8" t="s">
        <v>2217</v>
      </c>
      <c r="F160" s="8" t="s">
        <v>2217</v>
      </c>
      <c r="G160" s="8" t="s">
        <v>2217</v>
      </c>
      <c r="H160" s="8">
        <v>2690</v>
      </c>
      <c r="I160" s="8">
        <v>660</v>
      </c>
      <c r="J160" s="8" t="s">
        <v>964</v>
      </c>
      <c r="K160" s="9">
        <v>45287</v>
      </c>
      <c r="L160" s="9">
        <v>45647</v>
      </c>
      <c r="M160" s="8" t="s">
        <v>4294</v>
      </c>
      <c r="O160" s="8" t="s">
        <v>976</v>
      </c>
      <c r="P160" s="9">
        <v>45619</v>
      </c>
      <c r="Q160" s="24" t="s">
        <v>981</v>
      </c>
      <c r="R160" s="8">
        <v>700</v>
      </c>
    </row>
    <row r="161" spans="1:18" ht="75">
      <c r="A161" s="8" t="s">
        <v>3026</v>
      </c>
      <c r="B161" s="8" t="s">
        <v>963</v>
      </c>
      <c r="C161" s="8" t="s">
        <v>2203</v>
      </c>
      <c r="D161" s="8" t="s">
        <v>18</v>
      </c>
      <c r="E161" s="8" t="s">
        <v>2217</v>
      </c>
      <c r="F161" s="8" t="s">
        <v>2217</v>
      </c>
      <c r="G161" s="8" t="s">
        <v>2217</v>
      </c>
      <c r="H161" s="8">
        <v>2690</v>
      </c>
      <c r="I161" s="8">
        <v>2030</v>
      </c>
      <c r="J161" s="8" t="s">
        <v>965</v>
      </c>
      <c r="K161" s="9">
        <v>45287</v>
      </c>
      <c r="L161" s="9">
        <v>45639</v>
      </c>
      <c r="M161" s="8" t="s">
        <v>4294</v>
      </c>
      <c r="O161" s="8" t="s">
        <v>976</v>
      </c>
      <c r="P161" s="9">
        <v>45619</v>
      </c>
      <c r="Q161" s="24" t="s">
        <v>982</v>
      </c>
      <c r="R161" s="8">
        <v>1040</v>
      </c>
    </row>
    <row r="162" spans="1:18" ht="60">
      <c r="A162" s="8" t="s">
        <v>3027</v>
      </c>
      <c r="B162" s="8" t="s">
        <v>966</v>
      </c>
      <c r="C162" s="8" t="s">
        <v>2203</v>
      </c>
      <c r="D162" s="8" t="s">
        <v>18</v>
      </c>
      <c r="E162" s="8" t="s">
        <v>838</v>
      </c>
      <c r="F162" s="8" t="s">
        <v>3012</v>
      </c>
      <c r="G162" s="8" t="s">
        <v>3028</v>
      </c>
      <c r="H162" s="8">
        <v>15022</v>
      </c>
      <c r="I162" s="8">
        <v>2</v>
      </c>
      <c r="J162" s="8" t="s">
        <v>967</v>
      </c>
      <c r="K162" s="9">
        <v>45231</v>
      </c>
      <c r="L162" s="9">
        <v>45543</v>
      </c>
      <c r="M162" s="8" t="s">
        <v>838</v>
      </c>
      <c r="O162" s="8" t="s">
        <v>976</v>
      </c>
      <c r="P162" s="9">
        <v>45619</v>
      </c>
      <c r="Q162" s="24" t="s">
        <v>983</v>
      </c>
      <c r="R162" s="8">
        <v>1600</v>
      </c>
    </row>
    <row r="163" spans="1:18" ht="60">
      <c r="A163" s="8" t="s">
        <v>3027</v>
      </c>
      <c r="B163" s="8" t="s">
        <v>966</v>
      </c>
      <c r="C163" s="8" t="s">
        <v>2203</v>
      </c>
      <c r="D163" s="8" t="s">
        <v>18</v>
      </c>
      <c r="E163" s="8" t="s">
        <v>838</v>
      </c>
      <c r="F163" s="8" t="s">
        <v>3012</v>
      </c>
      <c r="G163" s="8" t="s">
        <v>3028</v>
      </c>
      <c r="H163" s="8">
        <v>15022</v>
      </c>
      <c r="I163" s="8">
        <v>4</v>
      </c>
      <c r="J163" s="8" t="s">
        <v>968</v>
      </c>
      <c r="K163" s="9">
        <v>45232</v>
      </c>
      <c r="L163" s="9">
        <v>45543</v>
      </c>
      <c r="M163" s="8" t="s">
        <v>838</v>
      </c>
      <c r="O163" s="8" t="s">
        <v>976</v>
      </c>
      <c r="P163" s="9">
        <v>45619</v>
      </c>
      <c r="Q163" s="24" t="s">
        <v>984</v>
      </c>
      <c r="R163" s="8">
        <v>2260</v>
      </c>
    </row>
    <row r="164" spans="1:18" ht="60">
      <c r="A164" s="8" t="s">
        <v>3027</v>
      </c>
      <c r="B164" s="8" t="s">
        <v>966</v>
      </c>
      <c r="C164" s="8" t="s">
        <v>2203</v>
      </c>
      <c r="D164" s="8" t="s">
        <v>18</v>
      </c>
      <c r="E164" s="8" t="s">
        <v>838</v>
      </c>
      <c r="F164" s="8" t="s">
        <v>3012</v>
      </c>
      <c r="G164" s="8" t="s">
        <v>3028</v>
      </c>
      <c r="H164" s="8">
        <v>15022</v>
      </c>
      <c r="I164" s="8">
        <v>15</v>
      </c>
      <c r="J164" s="8" t="s">
        <v>969</v>
      </c>
      <c r="K164" s="9">
        <v>45244</v>
      </c>
      <c r="L164" s="9">
        <v>45582</v>
      </c>
      <c r="M164" s="8" t="s">
        <v>838</v>
      </c>
      <c r="O164" s="8" t="s">
        <v>976</v>
      </c>
      <c r="P164" s="9">
        <v>45619</v>
      </c>
      <c r="Q164" s="24" t="s">
        <v>985</v>
      </c>
      <c r="R164" s="8">
        <v>4860</v>
      </c>
    </row>
    <row r="165" spans="1:18" ht="60">
      <c r="A165" s="8" t="s">
        <v>3027</v>
      </c>
      <c r="B165" s="8" t="s">
        <v>966</v>
      </c>
      <c r="C165" s="8" t="s">
        <v>2203</v>
      </c>
      <c r="D165" s="8" t="s">
        <v>18</v>
      </c>
      <c r="E165" s="8" t="s">
        <v>838</v>
      </c>
      <c r="F165" s="8" t="s">
        <v>3012</v>
      </c>
      <c r="G165" s="8" t="s">
        <v>3028</v>
      </c>
      <c r="H165" s="8">
        <v>15022</v>
      </c>
      <c r="I165" s="8">
        <v>539</v>
      </c>
      <c r="J165" s="8" t="s">
        <v>970</v>
      </c>
      <c r="K165" s="9">
        <v>45244</v>
      </c>
      <c r="L165" s="9">
        <v>45582</v>
      </c>
      <c r="M165" s="8" t="s">
        <v>838</v>
      </c>
      <c r="O165" s="8" t="s">
        <v>976</v>
      </c>
      <c r="P165" s="9">
        <v>45619</v>
      </c>
      <c r="Q165" s="24" t="s">
        <v>986</v>
      </c>
      <c r="R165" s="8">
        <v>6140</v>
      </c>
    </row>
    <row r="166" spans="1:18" ht="75">
      <c r="A166" s="8" t="s">
        <v>3027</v>
      </c>
      <c r="B166" s="8" t="s">
        <v>966</v>
      </c>
      <c r="C166" s="8" t="s">
        <v>2203</v>
      </c>
      <c r="D166" s="8" t="s">
        <v>18</v>
      </c>
      <c r="E166" s="8" t="s">
        <v>838</v>
      </c>
      <c r="F166" s="8" t="s">
        <v>3012</v>
      </c>
      <c r="G166" s="8" t="s">
        <v>3028</v>
      </c>
      <c r="H166" s="8">
        <v>15022</v>
      </c>
      <c r="I166" s="8">
        <v>1004</v>
      </c>
      <c r="J166" s="8" t="s">
        <v>971</v>
      </c>
      <c r="K166" s="9">
        <v>45244</v>
      </c>
      <c r="L166" s="9">
        <v>45582</v>
      </c>
      <c r="M166" s="8" t="s">
        <v>838</v>
      </c>
      <c r="O166" s="8" t="s">
        <v>988</v>
      </c>
      <c r="P166" s="9">
        <v>45710</v>
      </c>
      <c r="Q166" s="24">
        <v>324.0829</v>
      </c>
      <c r="R166" s="8">
        <v>1160</v>
      </c>
    </row>
    <row r="167" spans="1:18" ht="75">
      <c r="A167" s="8" t="s">
        <v>3027</v>
      </c>
      <c r="B167" s="8" t="s">
        <v>966</v>
      </c>
      <c r="C167" s="8" t="s">
        <v>2203</v>
      </c>
      <c r="D167" s="8" t="s">
        <v>18</v>
      </c>
      <c r="E167" s="8" t="s">
        <v>838</v>
      </c>
      <c r="F167" s="8" t="s">
        <v>3012</v>
      </c>
      <c r="G167" s="8" t="s">
        <v>3028</v>
      </c>
      <c r="H167" s="8">
        <v>15022</v>
      </c>
      <c r="I167" s="8">
        <v>1058</v>
      </c>
      <c r="J167" s="8" t="s">
        <v>972</v>
      </c>
      <c r="K167" s="9">
        <v>45244</v>
      </c>
      <c r="L167" s="9">
        <v>45582</v>
      </c>
      <c r="M167" s="8" t="s">
        <v>838</v>
      </c>
      <c r="O167" s="8" t="s">
        <v>989</v>
      </c>
      <c r="P167" s="9">
        <v>45689</v>
      </c>
      <c r="Q167" s="24">
        <v>316451</v>
      </c>
      <c r="R167" s="8">
        <v>160</v>
      </c>
    </row>
    <row r="168" spans="1:18" ht="75">
      <c r="A168" s="8" t="s">
        <v>3027</v>
      </c>
      <c r="B168" s="8" t="s">
        <v>966</v>
      </c>
      <c r="C168" s="8" t="s">
        <v>2203</v>
      </c>
      <c r="D168" s="8" t="s">
        <v>18</v>
      </c>
      <c r="E168" s="8" t="s">
        <v>838</v>
      </c>
      <c r="F168" s="8" t="s">
        <v>3012</v>
      </c>
      <c r="G168" s="8" t="s">
        <v>3028</v>
      </c>
      <c r="H168" s="8">
        <v>15022</v>
      </c>
      <c r="I168" s="8">
        <v>2000</v>
      </c>
      <c r="J168" s="8" t="s">
        <v>973</v>
      </c>
      <c r="K168" s="9">
        <v>45455</v>
      </c>
      <c r="L168" s="9">
        <v>45612</v>
      </c>
      <c r="M168" s="8" t="s">
        <v>838</v>
      </c>
      <c r="O168" s="8" t="s">
        <v>991</v>
      </c>
      <c r="P168" s="9">
        <v>45708</v>
      </c>
      <c r="Q168" s="24" t="s">
        <v>992</v>
      </c>
      <c r="R168" s="8">
        <v>200</v>
      </c>
    </row>
    <row r="169" spans="1:18" ht="90">
      <c r="A169" s="8" t="s">
        <v>3027</v>
      </c>
      <c r="B169" s="8" t="s">
        <v>966</v>
      </c>
      <c r="C169" s="8" t="s">
        <v>2203</v>
      </c>
      <c r="D169" s="8" t="s">
        <v>18</v>
      </c>
      <c r="E169" s="8" t="s">
        <v>838</v>
      </c>
      <c r="F169" s="8" t="s">
        <v>3012</v>
      </c>
      <c r="G169" s="8" t="s">
        <v>3028</v>
      </c>
      <c r="H169" s="8">
        <v>15022</v>
      </c>
      <c r="I169" s="8">
        <v>5000</v>
      </c>
      <c r="J169" s="8" t="s">
        <v>974</v>
      </c>
      <c r="K169" s="9">
        <v>45455</v>
      </c>
      <c r="L169" s="9">
        <v>45612</v>
      </c>
      <c r="M169" s="8" t="s">
        <v>838</v>
      </c>
      <c r="O169" s="8" t="s">
        <v>993</v>
      </c>
      <c r="P169" s="9">
        <v>45597</v>
      </c>
      <c r="Q169" s="24">
        <v>45316450</v>
      </c>
      <c r="R169" s="8">
        <v>1</v>
      </c>
    </row>
    <row r="170" spans="1:18" ht="90">
      <c r="A170" s="8" t="s">
        <v>3027</v>
      </c>
      <c r="B170" s="8" t="s">
        <v>966</v>
      </c>
      <c r="C170" s="8" t="s">
        <v>2203</v>
      </c>
      <c r="D170" s="8" t="s">
        <v>18</v>
      </c>
      <c r="E170" s="8" t="s">
        <v>838</v>
      </c>
      <c r="F170" s="8" t="s">
        <v>3012</v>
      </c>
      <c r="G170" s="8" t="s">
        <v>3028</v>
      </c>
      <c r="H170" s="8">
        <v>15022</v>
      </c>
      <c r="I170" s="8">
        <v>5400</v>
      </c>
      <c r="J170" s="8" t="s">
        <v>975</v>
      </c>
      <c r="K170" s="9">
        <v>45230</v>
      </c>
      <c r="L170" s="9">
        <v>45543</v>
      </c>
      <c r="M170" s="8" t="s">
        <v>838</v>
      </c>
      <c r="O170" s="8" t="s">
        <v>993</v>
      </c>
      <c r="P170" s="9">
        <v>45689</v>
      </c>
      <c r="Q170" s="24" t="s">
        <v>994</v>
      </c>
      <c r="R170" s="8">
        <v>100</v>
      </c>
    </row>
    <row r="171" spans="1:18" ht="90">
      <c r="A171" s="8" t="s">
        <v>3029</v>
      </c>
      <c r="B171" s="8" t="s">
        <v>976</v>
      </c>
      <c r="C171" s="8" t="s">
        <v>2203</v>
      </c>
      <c r="D171" s="8" t="s">
        <v>18</v>
      </c>
      <c r="E171" s="8" t="s">
        <v>838</v>
      </c>
      <c r="F171" s="8" t="s">
        <v>3012</v>
      </c>
      <c r="G171" s="8" t="s">
        <v>3030</v>
      </c>
      <c r="H171" s="8">
        <v>17590</v>
      </c>
      <c r="I171" s="8">
        <v>80</v>
      </c>
      <c r="J171" s="8" t="s">
        <v>977</v>
      </c>
      <c r="K171" s="9">
        <v>45436</v>
      </c>
      <c r="L171" s="9">
        <v>45619</v>
      </c>
      <c r="M171" s="8" t="s">
        <v>838</v>
      </c>
      <c r="O171" s="8" t="s">
        <v>993</v>
      </c>
      <c r="P171" s="9">
        <v>45689</v>
      </c>
      <c r="Q171" s="24" t="s">
        <v>995</v>
      </c>
      <c r="R171" s="8">
        <v>1040</v>
      </c>
    </row>
    <row r="172" spans="1:18" ht="90">
      <c r="A172" s="8" t="s">
        <v>3029</v>
      </c>
      <c r="B172" s="8" t="s">
        <v>976</v>
      </c>
      <c r="C172" s="8" t="s">
        <v>2203</v>
      </c>
      <c r="D172" s="8" t="s">
        <v>18</v>
      </c>
      <c r="E172" s="8" t="s">
        <v>838</v>
      </c>
      <c r="F172" s="8" t="s">
        <v>3012</v>
      </c>
      <c r="G172" s="8" t="s">
        <v>3030</v>
      </c>
      <c r="H172" s="8">
        <v>17590</v>
      </c>
      <c r="I172" s="8">
        <v>80</v>
      </c>
      <c r="J172" s="8" t="s">
        <v>978</v>
      </c>
      <c r="K172" s="9">
        <v>45384</v>
      </c>
      <c r="L172" s="9">
        <v>45619</v>
      </c>
      <c r="M172" s="8" t="s">
        <v>838</v>
      </c>
      <c r="O172" s="8" t="s">
        <v>997</v>
      </c>
      <c r="P172" s="9">
        <v>45689</v>
      </c>
      <c r="Q172" s="24" t="s">
        <v>998</v>
      </c>
      <c r="R172" s="8">
        <v>1170</v>
      </c>
    </row>
    <row r="173" spans="1:18" ht="60">
      <c r="A173" s="8" t="s">
        <v>3029</v>
      </c>
      <c r="B173" s="8" t="s">
        <v>976</v>
      </c>
      <c r="C173" s="8" t="s">
        <v>2203</v>
      </c>
      <c r="D173" s="8" t="s">
        <v>18</v>
      </c>
      <c r="E173" s="8" t="s">
        <v>838</v>
      </c>
      <c r="F173" s="8" t="s">
        <v>3012</v>
      </c>
      <c r="G173" s="8" t="s">
        <v>3030</v>
      </c>
      <c r="H173" s="8">
        <v>17590</v>
      </c>
      <c r="I173" s="8">
        <v>240</v>
      </c>
      <c r="J173" s="8" t="s">
        <v>979</v>
      </c>
      <c r="K173" s="9">
        <v>45384</v>
      </c>
      <c r="L173" s="9">
        <v>45619</v>
      </c>
      <c r="M173" s="8" t="s">
        <v>838</v>
      </c>
      <c r="O173" s="8" t="s">
        <v>999</v>
      </c>
      <c r="P173" s="9">
        <v>45700</v>
      </c>
      <c r="Q173" s="24">
        <v>19352424</v>
      </c>
      <c r="R173" s="8">
        <v>2180</v>
      </c>
    </row>
    <row r="174" spans="1:18" ht="60">
      <c r="A174" s="8" t="s">
        <v>3029</v>
      </c>
      <c r="B174" s="8" t="s">
        <v>976</v>
      </c>
      <c r="C174" s="8" t="s">
        <v>2203</v>
      </c>
      <c r="D174" s="8" t="s">
        <v>18</v>
      </c>
      <c r="E174" s="8" t="s">
        <v>838</v>
      </c>
      <c r="F174" s="8" t="s">
        <v>3012</v>
      </c>
      <c r="G174" s="8" t="s">
        <v>3030</v>
      </c>
      <c r="H174" s="8">
        <v>17590</v>
      </c>
      <c r="I174" s="8">
        <v>590</v>
      </c>
      <c r="J174" s="8" t="s">
        <v>980</v>
      </c>
      <c r="K174" s="9">
        <v>45289</v>
      </c>
      <c r="L174" s="9">
        <v>45619</v>
      </c>
      <c r="M174" s="8" t="s">
        <v>838</v>
      </c>
      <c r="O174" s="8" t="s">
        <v>999</v>
      </c>
      <c r="P174" s="9">
        <v>45748</v>
      </c>
      <c r="Q174" s="24">
        <v>19237373</v>
      </c>
      <c r="R174" s="8">
        <v>3520</v>
      </c>
    </row>
    <row r="175" spans="1:18" ht="60">
      <c r="A175" s="8" t="s">
        <v>3029</v>
      </c>
      <c r="B175" s="8" t="s">
        <v>976</v>
      </c>
      <c r="C175" s="8" t="s">
        <v>2203</v>
      </c>
      <c r="D175" s="8" t="s">
        <v>18</v>
      </c>
      <c r="E175" s="8" t="s">
        <v>838</v>
      </c>
      <c r="F175" s="8" t="s">
        <v>3012</v>
      </c>
      <c r="G175" s="8" t="s">
        <v>3030</v>
      </c>
      <c r="H175" s="8">
        <v>17590</v>
      </c>
      <c r="I175" s="8">
        <v>700</v>
      </c>
      <c r="J175" s="8" t="s">
        <v>981</v>
      </c>
      <c r="K175" s="9">
        <v>45384</v>
      </c>
      <c r="L175" s="9">
        <v>45619</v>
      </c>
      <c r="M175" s="8" t="s">
        <v>838</v>
      </c>
      <c r="O175" s="8" t="s">
        <v>999</v>
      </c>
      <c r="P175" s="9">
        <v>45789</v>
      </c>
      <c r="Q175" s="24">
        <v>19350401</v>
      </c>
      <c r="R175" s="8">
        <v>5560</v>
      </c>
    </row>
    <row r="176" spans="1:18" ht="60">
      <c r="A176" s="8" t="s">
        <v>3029</v>
      </c>
      <c r="B176" s="8" t="s">
        <v>976</v>
      </c>
      <c r="C176" s="8" t="s">
        <v>2203</v>
      </c>
      <c r="D176" s="8" t="s">
        <v>18</v>
      </c>
      <c r="E176" s="8" t="s">
        <v>838</v>
      </c>
      <c r="F176" s="8" t="s">
        <v>3012</v>
      </c>
      <c r="G176" s="8" t="s">
        <v>3030</v>
      </c>
      <c r="H176" s="8">
        <v>17590</v>
      </c>
      <c r="I176" s="8">
        <v>1040</v>
      </c>
      <c r="J176" s="8" t="s">
        <v>982</v>
      </c>
      <c r="K176" s="9">
        <v>45423</v>
      </c>
      <c r="L176" s="9">
        <v>45619</v>
      </c>
      <c r="M176" s="8" t="s">
        <v>838</v>
      </c>
      <c r="O176" s="8" t="s">
        <v>999</v>
      </c>
      <c r="P176" s="9">
        <v>45748</v>
      </c>
      <c r="Q176" s="24">
        <v>19237375</v>
      </c>
      <c r="R176" s="8">
        <v>7480</v>
      </c>
    </row>
    <row r="177" spans="1:18" ht="60">
      <c r="A177" s="8" t="s">
        <v>3029</v>
      </c>
      <c r="B177" s="8" t="s">
        <v>976</v>
      </c>
      <c r="C177" s="8" t="s">
        <v>2203</v>
      </c>
      <c r="D177" s="8" t="s">
        <v>18</v>
      </c>
      <c r="E177" s="8" t="s">
        <v>838</v>
      </c>
      <c r="F177" s="8" t="s">
        <v>3012</v>
      </c>
      <c r="G177" s="8" t="s">
        <v>3030</v>
      </c>
      <c r="H177" s="8">
        <v>17590</v>
      </c>
      <c r="I177" s="8">
        <v>1600</v>
      </c>
      <c r="J177" s="8" t="s">
        <v>983</v>
      </c>
      <c r="K177" s="9">
        <v>45384</v>
      </c>
      <c r="L177" s="9">
        <v>45619</v>
      </c>
      <c r="M177" s="8" t="s">
        <v>838</v>
      </c>
      <c r="O177" s="8" t="s">
        <v>999</v>
      </c>
      <c r="P177" s="9">
        <v>45784</v>
      </c>
      <c r="Q177" s="24">
        <v>19337579</v>
      </c>
      <c r="R177" s="8">
        <v>15480</v>
      </c>
    </row>
    <row r="178" spans="1:18" ht="60">
      <c r="A178" s="8" t="s">
        <v>3029</v>
      </c>
      <c r="B178" s="8" t="s">
        <v>976</v>
      </c>
      <c r="C178" s="8" t="s">
        <v>2203</v>
      </c>
      <c r="D178" s="8" t="s">
        <v>18</v>
      </c>
      <c r="E178" s="8" t="s">
        <v>838</v>
      </c>
      <c r="F178" s="8" t="s">
        <v>3012</v>
      </c>
      <c r="G178" s="8" t="s">
        <v>3030</v>
      </c>
      <c r="H178" s="8">
        <v>17590</v>
      </c>
      <c r="I178" s="8">
        <v>2260</v>
      </c>
      <c r="J178" s="8" t="s">
        <v>984</v>
      </c>
      <c r="K178" s="9">
        <v>45384</v>
      </c>
      <c r="L178" s="9">
        <v>45619</v>
      </c>
      <c r="M178" s="8" t="s">
        <v>838</v>
      </c>
      <c r="O178" s="8" t="s">
        <v>1000</v>
      </c>
      <c r="P178" s="9">
        <v>45666</v>
      </c>
      <c r="Q178" s="24">
        <v>19046175</v>
      </c>
      <c r="R178" s="8">
        <v>10</v>
      </c>
    </row>
    <row r="179" spans="1:18" ht="60">
      <c r="A179" s="8" t="s">
        <v>3029</v>
      </c>
      <c r="B179" s="8" t="s">
        <v>976</v>
      </c>
      <c r="C179" s="8" t="s">
        <v>2203</v>
      </c>
      <c r="D179" s="8" t="s">
        <v>18</v>
      </c>
      <c r="E179" s="8" t="s">
        <v>838</v>
      </c>
      <c r="F179" s="8" t="s">
        <v>3012</v>
      </c>
      <c r="G179" s="8" t="s">
        <v>3030</v>
      </c>
      <c r="H179" s="8">
        <v>17590</v>
      </c>
      <c r="I179" s="8">
        <v>4860</v>
      </c>
      <c r="J179" s="8" t="s">
        <v>985</v>
      </c>
      <c r="K179" s="9">
        <v>45384</v>
      </c>
      <c r="L179" s="9">
        <v>45619</v>
      </c>
      <c r="M179" s="8" t="s">
        <v>838</v>
      </c>
      <c r="O179" s="8" t="s">
        <v>1001</v>
      </c>
      <c r="P179" s="9">
        <v>45699</v>
      </c>
      <c r="Q179" s="24">
        <v>19108728</v>
      </c>
      <c r="R179" s="8">
        <v>452</v>
      </c>
    </row>
    <row r="180" spans="1:18" ht="60">
      <c r="A180" s="8" t="s">
        <v>3029</v>
      </c>
      <c r="B180" s="8" t="s">
        <v>976</v>
      </c>
      <c r="C180" s="8" t="s">
        <v>2203</v>
      </c>
      <c r="D180" s="8" t="s">
        <v>18</v>
      </c>
      <c r="E180" s="8" t="s">
        <v>838</v>
      </c>
      <c r="F180" s="8" t="s">
        <v>3012</v>
      </c>
      <c r="G180" s="8" t="s">
        <v>3030</v>
      </c>
      <c r="H180" s="8">
        <v>17590</v>
      </c>
      <c r="I180" s="8">
        <v>6140</v>
      </c>
      <c r="J180" s="8" t="s">
        <v>986</v>
      </c>
      <c r="K180" s="9">
        <v>45384</v>
      </c>
      <c r="L180" s="9">
        <v>45619</v>
      </c>
      <c r="M180" s="8" t="s">
        <v>838</v>
      </c>
      <c r="O180" s="8" t="s">
        <v>1001</v>
      </c>
      <c r="P180" s="9">
        <v>45740</v>
      </c>
      <c r="Q180" s="24">
        <v>19219801</v>
      </c>
      <c r="R180" s="8">
        <v>1060</v>
      </c>
    </row>
    <row r="181" spans="1:18" ht="75">
      <c r="A181" s="8" t="s">
        <v>3032</v>
      </c>
      <c r="B181" s="8" t="s">
        <v>988</v>
      </c>
      <c r="C181" s="8" t="s">
        <v>2203</v>
      </c>
      <c r="D181" s="8" t="s">
        <v>18</v>
      </c>
      <c r="E181" s="8" t="s">
        <v>838</v>
      </c>
      <c r="F181" s="8" t="s">
        <v>3033</v>
      </c>
      <c r="G181" s="8" t="s">
        <v>3034</v>
      </c>
      <c r="H181" s="8">
        <v>1160</v>
      </c>
      <c r="I181" s="8">
        <v>1160</v>
      </c>
      <c r="J181" s="8">
        <v>324.0829</v>
      </c>
      <c r="K181" s="9">
        <v>45448</v>
      </c>
      <c r="L181" s="9">
        <v>45710</v>
      </c>
      <c r="M181" s="8" t="s">
        <v>312</v>
      </c>
      <c r="O181" s="8" t="s">
        <v>1001</v>
      </c>
      <c r="P181" s="9">
        <v>45738</v>
      </c>
      <c r="Q181" s="24">
        <v>19213254</v>
      </c>
      <c r="R181" s="8">
        <v>1700</v>
      </c>
    </row>
    <row r="182" spans="1:18" ht="75">
      <c r="A182" s="8" t="s">
        <v>3035</v>
      </c>
      <c r="B182" s="8" t="s">
        <v>989</v>
      </c>
      <c r="C182" s="8" t="s">
        <v>2203</v>
      </c>
      <c r="D182" s="8" t="s">
        <v>18</v>
      </c>
      <c r="E182" s="8" t="s">
        <v>312</v>
      </c>
      <c r="F182" s="8" t="s">
        <v>3033</v>
      </c>
      <c r="G182" s="8" t="s">
        <v>3036</v>
      </c>
      <c r="H182" s="8">
        <v>160</v>
      </c>
      <c r="I182" s="8">
        <v>160</v>
      </c>
      <c r="J182" s="8">
        <v>316451</v>
      </c>
      <c r="K182" s="9">
        <v>45430</v>
      </c>
      <c r="L182" s="9">
        <v>45689</v>
      </c>
      <c r="M182" s="8" t="s">
        <v>312</v>
      </c>
      <c r="O182" s="8" t="s">
        <v>1001</v>
      </c>
      <c r="P182" s="9">
        <v>45699</v>
      </c>
      <c r="Q182" s="24">
        <v>19108733</v>
      </c>
      <c r="R182" s="8">
        <v>2200</v>
      </c>
    </row>
    <row r="183" spans="1:18" ht="75">
      <c r="A183" s="8" t="s">
        <v>3038</v>
      </c>
      <c r="B183" s="8" t="s">
        <v>991</v>
      </c>
      <c r="C183" s="8" t="s">
        <v>2203</v>
      </c>
      <c r="D183" s="8" t="s">
        <v>18</v>
      </c>
      <c r="E183" s="8" t="s">
        <v>838</v>
      </c>
      <c r="F183" s="8" t="s">
        <v>3033</v>
      </c>
      <c r="G183" s="8" t="s">
        <v>3039</v>
      </c>
      <c r="H183" s="8">
        <v>200</v>
      </c>
      <c r="I183" s="8">
        <v>200</v>
      </c>
      <c r="J183" s="8" t="s">
        <v>992</v>
      </c>
      <c r="K183" s="9">
        <v>45436</v>
      </c>
      <c r="L183" s="9">
        <v>45708</v>
      </c>
      <c r="M183" s="8" t="s">
        <v>312</v>
      </c>
      <c r="O183" s="8" t="s">
        <v>1001</v>
      </c>
      <c r="P183" s="9">
        <v>45699</v>
      </c>
      <c r="Q183" s="24">
        <v>19108732</v>
      </c>
      <c r="R183" s="8">
        <v>2260</v>
      </c>
    </row>
    <row r="184" spans="1:18" ht="90">
      <c r="A184" s="8" t="s">
        <v>3040</v>
      </c>
      <c r="B184" s="8" t="s">
        <v>993</v>
      </c>
      <c r="C184" s="8" t="s">
        <v>2203</v>
      </c>
      <c r="D184" s="8" t="s">
        <v>18</v>
      </c>
      <c r="E184" s="8" t="s">
        <v>312</v>
      </c>
      <c r="F184" s="8" t="s">
        <v>3033</v>
      </c>
      <c r="G184" s="8" t="s">
        <v>3041</v>
      </c>
      <c r="H184" s="8">
        <v>1141</v>
      </c>
      <c r="I184" s="8">
        <v>1</v>
      </c>
      <c r="J184" s="8">
        <v>45316450</v>
      </c>
      <c r="K184" s="9">
        <v>45335</v>
      </c>
      <c r="L184" s="9">
        <v>45597</v>
      </c>
      <c r="M184" s="8" t="s">
        <v>312</v>
      </c>
      <c r="O184" s="8" t="s">
        <v>1001</v>
      </c>
      <c r="P184" s="9">
        <v>45720</v>
      </c>
      <c r="Q184" s="24">
        <v>19219793</v>
      </c>
      <c r="R184" s="8">
        <v>3180</v>
      </c>
    </row>
    <row r="185" spans="1:18" ht="90">
      <c r="A185" s="8" t="s">
        <v>3040</v>
      </c>
      <c r="B185" s="8" t="s">
        <v>993</v>
      </c>
      <c r="C185" s="8" t="s">
        <v>2203</v>
      </c>
      <c r="D185" s="8" t="s">
        <v>18</v>
      </c>
      <c r="E185" s="8" t="s">
        <v>312</v>
      </c>
      <c r="F185" s="8" t="s">
        <v>3033</v>
      </c>
      <c r="G185" s="8" t="s">
        <v>3041</v>
      </c>
      <c r="H185" s="8">
        <v>1141</v>
      </c>
      <c r="I185" s="8">
        <v>100</v>
      </c>
      <c r="J185" s="8" t="s">
        <v>994</v>
      </c>
      <c r="K185" s="9">
        <v>45430</v>
      </c>
      <c r="L185" s="9">
        <v>45689</v>
      </c>
      <c r="M185" s="8" t="s">
        <v>312</v>
      </c>
      <c r="O185" s="8" t="s">
        <v>1001</v>
      </c>
      <c r="P185" s="9">
        <v>45720</v>
      </c>
      <c r="Q185" s="24">
        <v>19219792</v>
      </c>
      <c r="R185" s="8">
        <v>4340</v>
      </c>
    </row>
    <row r="186" spans="1:18" ht="90">
      <c r="A186" s="8" t="s">
        <v>3040</v>
      </c>
      <c r="B186" s="8" t="s">
        <v>993</v>
      </c>
      <c r="C186" s="8" t="s">
        <v>2203</v>
      </c>
      <c r="D186" s="8" t="s">
        <v>18</v>
      </c>
      <c r="E186" s="8" t="s">
        <v>312</v>
      </c>
      <c r="F186" s="8" t="s">
        <v>3033</v>
      </c>
      <c r="G186" s="8" t="s">
        <v>3041</v>
      </c>
      <c r="H186" s="8">
        <v>1141</v>
      </c>
      <c r="I186" s="8">
        <v>1040</v>
      </c>
      <c r="J186" s="8" t="s">
        <v>995</v>
      </c>
      <c r="K186" s="9">
        <v>45430</v>
      </c>
      <c r="L186" s="9">
        <v>45689</v>
      </c>
      <c r="M186" s="8" t="s">
        <v>312</v>
      </c>
      <c r="O186" s="8" t="s">
        <v>1001</v>
      </c>
      <c r="P186" s="9">
        <v>45740</v>
      </c>
      <c r="Q186" s="24">
        <v>19219804</v>
      </c>
      <c r="R186" s="8">
        <v>7960</v>
      </c>
    </row>
    <row r="187" spans="1:18" ht="90">
      <c r="A187" s="8" t="s">
        <v>3043</v>
      </c>
      <c r="B187" s="8" t="s">
        <v>997</v>
      </c>
      <c r="C187" s="8" t="s">
        <v>2203</v>
      </c>
      <c r="D187" s="8" t="s">
        <v>18</v>
      </c>
      <c r="E187" s="8" t="s">
        <v>312</v>
      </c>
      <c r="F187" s="8" t="s">
        <v>3033</v>
      </c>
      <c r="G187" s="8" t="s">
        <v>3044</v>
      </c>
      <c r="H187" s="8">
        <v>1170</v>
      </c>
      <c r="I187" s="8">
        <v>1170</v>
      </c>
      <c r="J187" s="8" t="s">
        <v>998</v>
      </c>
      <c r="K187" s="9">
        <v>45430</v>
      </c>
      <c r="L187" s="9">
        <v>45689</v>
      </c>
      <c r="M187" s="8" t="s">
        <v>312</v>
      </c>
      <c r="O187" s="8" t="s">
        <v>1001</v>
      </c>
      <c r="P187" s="9">
        <v>45740</v>
      </c>
      <c r="Q187" s="24">
        <v>19219799</v>
      </c>
      <c r="R187" s="8">
        <v>10180</v>
      </c>
    </row>
    <row r="188" spans="1:18" ht="45">
      <c r="A188" s="8" t="s">
        <v>3045</v>
      </c>
      <c r="B188" s="8" t="s">
        <v>999</v>
      </c>
      <c r="C188" s="8" t="s">
        <v>2203</v>
      </c>
      <c r="D188" s="8" t="s">
        <v>18</v>
      </c>
      <c r="E188" s="8" t="s">
        <v>838</v>
      </c>
      <c r="F188" s="8" t="s">
        <v>3012</v>
      </c>
      <c r="G188" s="8" t="s">
        <v>3046</v>
      </c>
      <c r="H188" s="8">
        <v>34220</v>
      </c>
      <c r="I188" s="8">
        <v>2180</v>
      </c>
      <c r="J188" s="8">
        <v>19352424</v>
      </c>
      <c r="K188" s="9">
        <v>45442</v>
      </c>
      <c r="L188" s="9">
        <v>45700</v>
      </c>
      <c r="M188" s="8" t="s">
        <v>838</v>
      </c>
      <c r="O188" s="8" t="s">
        <v>1001</v>
      </c>
      <c r="P188" s="9">
        <v>45747</v>
      </c>
      <c r="Q188" s="24">
        <v>19237409</v>
      </c>
      <c r="R188" s="8">
        <v>20140</v>
      </c>
    </row>
    <row r="189" spans="1:18" ht="45">
      <c r="A189" s="8" t="s">
        <v>3045</v>
      </c>
      <c r="B189" s="8" t="s">
        <v>999</v>
      </c>
      <c r="C189" s="8" t="s">
        <v>2203</v>
      </c>
      <c r="D189" s="8" t="s">
        <v>18</v>
      </c>
      <c r="E189" s="8" t="s">
        <v>838</v>
      </c>
      <c r="F189" s="8" t="s">
        <v>3012</v>
      </c>
      <c r="G189" s="8" t="s">
        <v>3046</v>
      </c>
      <c r="H189" s="8">
        <v>34220</v>
      </c>
      <c r="I189" s="8">
        <v>3520</v>
      </c>
      <c r="J189" s="8">
        <v>19237373</v>
      </c>
      <c r="K189" s="9">
        <v>45430</v>
      </c>
      <c r="L189" s="9">
        <v>45748</v>
      </c>
      <c r="M189" s="8" t="s">
        <v>838</v>
      </c>
      <c r="O189" s="8" t="s">
        <v>1001</v>
      </c>
      <c r="P189" s="9">
        <v>45740</v>
      </c>
      <c r="Q189" s="24">
        <v>19219798</v>
      </c>
      <c r="R189" s="8">
        <v>29820</v>
      </c>
    </row>
    <row r="190" spans="1:18" ht="60">
      <c r="A190" s="8" t="s">
        <v>3045</v>
      </c>
      <c r="B190" s="8" t="s">
        <v>999</v>
      </c>
      <c r="C190" s="8" t="s">
        <v>2203</v>
      </c>
      <c r="D190" s="8" t="s">
        <v>18</v>
      </c>
      <c r="E190" s="8" t="s">
        <v>838</v>
      </c>
      <c r="F190" s="8" t="s">
        <v>3012</v>
      </c>
      <c r="G190" s="8" t="s">
        <v>3046</v>
      </c>
      <c r="H190" s="8">
        <v>34220</v>
      </c>
      <c r="I190" s="8">
        <v>5560</v>
      </c>
      <c r="J190" s="8">
        <v>19350401</v>
      </c>
      <c r="K190" s="9">
        <v>45443</v>
      </c>
      <c r="L190" s="9">
        <v>45789</v>
      </c>
      <c r="M190" s="8" t="s">
        <v>838</v>
      </c>
      <c r="O190" s="8" t="s">
        <v>1002</v>
      </c>
      <c r="P190" s="9">
        <v>45608</v>
      </c>
      <c r="Q190" s="24" t="s">
        <v>1003</v>
      </c>
      <c r="R190" s="8">
        <v>5</v>
      </c>
    </row>
    <row r="191" spans="1:18" ht="60">
      <c r="A191" s="8" t="s">
        <v>3045</v>
      </c>
      <c r="B191" s="8" t="s">
        <v>999</v>
      </c>
      <c r="C191" s="8" t="s">
        <v>2203</v>
      </c>
      <c r="D191" s="8" t="s">
        <v>18</v>
      </c>
      <c r="E191" s="8" t="s">
        <v>838</v>
      </c>
      <c r="F191" s="8" t="s">
        <v>3012</v>
      </c>
      <c r="G191" s="8" t="s">
        <v>3046</v>
      </c>
      <c r="H191" s="8">
        <v>34220</v>
      </c>
      <c r="I191" s="8">
        <v>7480</v>
      </c>
      <c r="J191" s="8">
        <v>19237375</v>
      </c>
      <c r="K191" s="9">
        <v>45430</v>
      </c>
      <c r="L191" s="9">
        <v>45748</v>
      </c>
      <c r="M191" s="8" t="s">
        <v>838</v>
      </c>
      <c r="O191" s="8" t="s">
        <v>1002</v>
      </c>
      <c r="P191" s="9">
        <v>45641</v>
      </c>
      <c r="Q191" s="24" t="s">
        <v>1004</v>
      </c>
      <c r="R191" s="8">
        <v>10</v>
      </c>
    </row>
    <row r="192" spans="1:18" ht="60">
      <c r="A192" s="8" t="s">
        <v>3045</v>
      </c>
      <c r="B192" s="8" t="s">
        <v>999</v>
      </c>
      <c r="C192" s="8" t="s">
        <v>2203</v>
      </c>
      <c r="D192" s="8" t="s">
        <v>18</v>
      </c>
      <c r="E192" s="8" t="s">
        <v>838</v>
      </c>
      <c r="F192" s="8" t="s">
        <v>3012</v>
      </c>
      <c r="G192" s="8" t="s">
        <v>3046</v>
      </c>
      <c r="H192" s="8">
        <v>34220</v>
      </c>
      <c r="I192" s="8">
        <v>15480</v>
      </c>
      <c r="J192" s="8">
        <v>19337579</v>
      </c>
      <c r="K192" s="9">
        <v>45442</v>
      </c>
      <c r="L192" s="9">
        <v>45784</v>
      </c>
      <c r="M192" s="8" t="s">
        <v>838</v>
      </c>
      <c r="O192" s="8" t="s">
        <v>1002</v>
      </c>
      <c r="P192" s="9">
        <v>45641</v>
      </c>
      <c r="Q192" s="24" t="s">
        <v>1005</v>
      </c>
      <c r="R192" s="8">
        <v>10</v>
      </c>
    </row>
    <row r="193" spans="1:18" ht="60">
      <c r="A193" s="8" t="s">
        <v>3047</v>
      </c>
      <c r="B193" s="8" t="s">
        <v>1000</v>
      </c>
      <c r="C193" s="8" t="s">
        <v>2203</v>
      </c>
      <c r="D193" s="8" t="s">
        <v>18</v>
      </c>
      <c r="E193" s="8" t="s">
        <v>838</v>
      </c>
      <c r="F193" s="8" t="s">
        <v>3012</v>
      </c>
      <c r="G193" s="8" t="s">
        <v>3048</v>
      </c>
      <c r="H193" s="8">
        <v>10</v>
      </c>
      <c r="I193" s="8">
        <v>10</v>
      </c>
      <c r="J193" s="8">
        <v>19046175</v>
      </c>
      <c r="K193" s="9">
        <v>45322</v>
      </c>
      <c r="L193" s="9">
        <v>45666</v>
      </c>
      <c r="M193" s="8" t="s">
        <v>838</v>
      </c>
      <c r="O193" s="8" t="s">
        <v>1002</v>
      </c>
      <c r="P193" s="9">
        <v>45608</v>
      </c>
      <c r="Q193" s="24" t="s">
        <v>1006</v>
      </c>
      <c r="R193" s="8">
        <v>12</v>
      </c>
    </row>
    <row r="194" spans="1:18" ht="60">
      <c r="A194" s="8" t="s">
        <v>3049</v>
      </c>
      <c r="B194" s="8" t="s">
        <v>1001</v>
      </c>
      <c r="C194" s="8" t="s">
        <v>2203</v>
      </c>
      <c r="D194" s="8" t="s">
        <v>18</v>
      </c>
      <c r="E194" s="8" t="s">
        <v>838</v>
      </c>
      <c r="F194" s="8" t="s">
        <v>3012</v>
      </c>
      <c r="G194" s="8" t="s">
        <v>3050</v>
      </c>
      <c r="H194" s="8">
        <v>83292</v>
      </c>
      <c r="I194" s="8">
        <v>452</v>
      </c>
      <c r="J194" s="8">
        <v>19108728</v>
      </c>
      <c r="K194" s="9">
        <v>45367</v>
      </c>
      <c r="L194" s="9">
        <v>45699</v>
      </c>
      <c r="M194" s="8" t="s">
        <v>838</v>
      </c>
      <c r="O194" s="8" t="s">
        <v>1002</v>
      </c>
      <c r="P194" s="9">
        <v>45641</v>
      </c>
      <c r="Q194" s="24" t="s">
        <v>1007</v>
      </c>
      <c r="R194" s="8">
        <v>6060</v>
      </c>
    </row>
    <row r="195" spans="1:18" ht="60">
      <c r="A195" s="8" t="s">
        <v>3049</v>
      </c>
      <c r="B195" s="8" t="s">
        <v>1001</v>
      </c>
      <c r="C195" s="8" t="s">
        <v>2203</v>
      </c>
      <c r="D195" s="8" t="s">
        <v>18</v>
      </c>
      <c r="E195" s="8" t="s">
        <v>838</v>
      </c>
      <c r="F195" s="8" t="s">
        <v>3012</v>
      </c>
      <c r="G195" s="8" t="s">
        <v>3050</v>
      </c>
      <c r="H195" s="8">
        <v>83292</v>
      </c>
      <c r="I195" s="8">
        <v>1060</v>
      </c>
      <c r="J195" s="8">
        <v>19219801</v>
      </c>
      <c r="K195" s="9">
        <v>45405</v>
      </c>
      <c r="L195" s="9">
        <v>45740</v>
      </c>
      <c r="M195" s="8" t="s">
        <v>838</v>
      </c>
      <c r="O195" s="8" t="s">
        <v>1002</v>
      </c>
      <c r="P195" s="9">
        <v>45658</v>
      </c>
      <c r="Q195" s="24" t="s">
        <v>1008</v>
      </c>
      <c r="R195" s="8">
        <v>15000</v>
      </c>
    </row>
    <row r="196" spans="1:18" ht="45">
      <c r="A196" s="8" t="s">
        <v>3049</v>
      </c>
      <c r="B196" s="8" t="s">
        <v>1001</v>
      </c>
      <c r="C196" s="8" t="s">
        <v>2203</v>
      </c>
      <c r="D196" s="8" t="s">
        <v>18</v>
      </c>
      <c r="E196" s="8" t="s">
        <v>838</v>
      </c>
      <c r="F196" s="8" t="s">
        <v>3012</v>
      </c>
      <c r="G196" s="8" t="s">
        <v>3050</v>
      </c>
      <c r="H196" s="8">
        <v>83292</v>
      </c>
      <c r="I196" s="8">
        <v>1700</v>
      </c>
      <c r="J196" s="8">
        <v>19213254</v>
      </c>
      <c r="K196" s="9">
        <v>45405</v>
      </c>
      <c r="L196" s="9">
        <v>45738</v>
      </c>
      <c r="M196" s="8" t="s">
        <v>838</v>
      </c>
      <c r="O196" s="8" t="s">
        <v>1009</v>
      </c>
      <c r="P196" s="9">
        <v>45809</v>
      </c>
      <c r="Q196" s="24">
        <v>368.18</v>
      </c>
      <c r="R196" s="8">
        <v>243</v>
      </c>
    </row>
    <row r="197" spans="1:18" ht="45">
      <c r="A197" s="8" t="s">
        <v>3049</v>
      </c>
      <c r="B197" s="8" t="s">
        <v>1001</v>
      </c>
      <c r="C197" s="8" t="s">
        <v>2203</v>
      </c>
      <c r="D197" s="8" t="s">
        <v>18</v>
      </c>
      <c r="E197" s="8" t="s">
        <v>838</v>
      </c>
      <c r="F197" s="8" t="s">
        <v>3012</v>
      </c>
      <c r="G197" s="8" t="s">
        <v>3050</v>
      </c>
      <c r="H197" s="8">
        <v>83292</v>
      </c>
      <c r="I197" s="8">
        <v>2200</v>
      </c>
      <c r="J197" s="8">
        <v>19108733</v>
      </c>
      <c r="K197" s="9">
        <v>45374</v>
      </c>
      <c r="L197" s="9">
        <v>45699</v>
      </c>
      <c r="M197" s="8" t="s">
        <v>838</v>
      </c>
      <c r="O197" s="8" t="s">
        <v>1009</v>
      </c>
      <c r="P197" s="9">
        <v>45809</v>
      </c>
      <c r="Q197" s="24">
        <v>1013.179</v>
      </c>
      <c r="R197" s="8">
        <v>4757</v>
      </c>
    </row>
    <row r="198" spans="1:18" ht="45">
      <c r="A198" s="8" t="s">
        <v>3049</v>
      </c>
      <c r="B198" s="8" t="s">
        <v>1001</v>
      </c>
      <c r="C198" s="8" t="s">
        <v>2203</v>
      </c>
      <c r="D198" s="8" t="s">
        <v>18</v>
      </c>
      <c r="E198" s="8" t="s">
        <v>838</v>
      </c>
      <c r="F198" s="8" t="s">
        <v>3012</v>
      </c>
      <c r="G198" s="8" t="s">
        <v>3050</v>
      </c>
      <c r="H198" s="8">
        <v>83292</v>
      </c>
      <c r="I198" s="8">
        <v>2260</v>
      </c>
      <c r="J198" s="8">
        <v>19108732</v>
      </c>
      <c r="K198" s="9">
        <v>45367</v>
      </c>
      <c r="L198" s="9">
        <v>45699</v>
      </c>
      <c r="M198" s="8" t="s">
        <v>838</v>
      </c>
      <c r="O198" s="8" t="s">
        <v>1009</v>
      </c>
      <c r="P198" s="9">
        <v>45809</v>
      </c>
      <c r="Q198" s="24">
        <v>1295.1780000000001</v>
      </c>
      <c r="R198" s="8">
        <v>9160</v>
      </c>
    </row>
    <row r="199" spans="1:18" ht="45">
      <c r="A199" s="8" t="s">
        <v>3049</v>
      </c>
      <c r="B199" s="8" t="s">
        <v>1001</v>
      </c>
      <c r="C199" s="8" t="s">
        <v>2203</v>
      </c>
      <c r="D199" s="8" t="s">
        <v>18</v>
      </c>
      <c r="E199" s="8" t="s">
        <v>838</v>
      </c>
      <c r="F199" s="8" t="s">
        <v>3012</v>
      </c>
      <c r="G199" s="8" t="s">
        <v>3050</v>
      </c>
      <c r="H199" s="8">
        <v>83292</v>
      </c>
      <c r="I199" s="8">
        <v>3180</v>
      </c>
      <c r="J199" s="8">
        <v>19219793</v>
      </c>
      <c r="K199" s="9">
        <v>45374</v>
      </c>
      <c r="L199" s="9">
        <v>45720</v>
      </c>
      <c r="M199" s="8" t="s">
        <v>838</v>
      </c>
      <c r="O199" s="8" t="s">
        <v>1010</v>
      </c>
      <c r="P199" s="9">
        <v>45410</v>
      </c>
      <c r="Q199" s="24" t="s">
        <v>1011</v>
      </c>
      <c r="R199" s="8">
        <v>1</v>
      </c>
    </row>
    <row r="200" spans="1:18" ht="45">
      <c r="A200" s="8" t="s">
        <v>3049</v>
      </c>
      <c r="B200" s="8" t="s">
        <v>1001</v>
      </c>
      <c r="C200" s="8" t="s">
        <v>2203</v>
      </c>
      <c r="D200" s="8" t="s">
        <v>18</v>
      </c>
      <c r="E200" s="8" t="s">
        <v>838</v>
      </c>
      <c r="F200" s="8" t="s">
        <v>3012</v>
      </c>
      <c r="G200" s="8" t="s">
        <v>3050</v>
      </c>
      <c r="H200" s="8">
        <v>83292</v>
      </c>
      <c r="I200" s="8">
        <v>4340</v>
      </c>
      <c r="J200" s="8">
        <v>19219792</v>
      </c>
      <c r="K200" s="9">
        <v>45374</v>
      </c>
      <c r="L200" s="9">
        <v>45720</v>
      </c>
      <c r="M200" s="8" t="s">
        <v>838</v>
      </c>
      <c r="O200" s="8" t="s">
        <v>1010</v>
      </c>
      <c r="P200" s="9">
        <v>45472</v>
      </c>
      <c r="Q200" s="24" t="s">
        <v>1012</v>
      </c>
      <c r="R200" s="8">
        <v>91</v>
      </c>
    </row>
    <row r="201" spans="1:18" ht="45">
      <c r="A201" s="8" t="s">
        <v>3049</v>
      </c>
      <c r="B201" s="8" t="s">
        <v>1001</v>
      </c>
      <c r="C201" s="8" t="s">
        <v>2203</v>
      </c>
      <c r="D201" s="8" t="s">
        <v>18</v>
      </c>
      <c r="E201" s="8" t="s">
        <v>838</v>
      </c>
      <c r="F201" s="8" t="s">
        <v>3012</v>
      </c>
      <c r="G201" s="8" t="s">
        <v>3050</v>
      </c>
      <c r="H201" s="8">
        <v>83292</v>
      </c>
      <c r="I201" s="8">
        <v>7960</v>
      </c>
      <c r="J201" s="8">
        <v>19219804</v>
      </c>
      <c r="K201" s="9">
        <v>45405</v>
      </c>
      <c r="L201" s="9">
        <v>45740</v>
      </c>
      <c r="M201" s="8" t="s">
        <v>838</v>
      </c>
      <c r="O201" s="8" t="s">
        <v>1010</v>
      </c>
      <c r="P201" s="9">
        <v>45472</v>
      </c>
      <c r="Q201" s="24" t="s">
        <v>1013</v>
      </c>
      <c r="R201" s="8">
        <v>75</v>
      </c>
    </row>
    <row r="202" spans="1:18" ht="45">
      <c r="A202" s="8" t="s">
        <v>3049</v>
      </c>
      <c r="B202" s="8" t="s">
        <v>1001</v>
      </c>
      <c r="C202" s="8" t="s">
        <v>2203</v>
      </c>
      <c r="D202" s="8" t="s">
        <v>18</v>
      </c>
      <c r="E202" s="8" t="s">
        <v>838</v>
      </c>
      <c r="F202" s="8" t="s">
        <v>3012</v>
      </c>
      <c r="G202" s="8" t="s">
        <v>3050</v>
      </c>
      <c r="H202" s="8">
        <v>83292</v>
      </c>
      <c r="I202" s="8">
        <v>10180</v>
      </c>
      <c r="J202" s="8">
        <v>19219799</v>
      </c>
      <c r="K202" s="9">
        <v>45381</v>
      </c>
      <c r="L202" s="9">
        <v>45740</v>
      </c>
      <c r="M202" s="8" t="s">
        <v>838</v>
      </c>
      <c r="O202" s="8" t="s">
        <v>1010</v>
      </c>
      <c r="P202" s="9">
        <v>45472</v>
      </c>
      <c r="Q202" s="24" t="s">
        <v>1014</v>
      </c>
      <c r="R202" s="8">
        <v>98</v>
      </c>
    </row>
    <row r="203" spans="1:18" ht="45">
      <c r="A203" s="8" t="s">
        <v>3049</v>
      </c>
      <c r="B203" s="8" t="s">
        <v>1001</v>
      </c>
      <c r="C203" s="8" t="s">
        <v>2203</v>
      </c>
      <c r="D203" s="8" t="s">
        <v>18</v>
      </c>
      <c r="E203" s="8" t="s">
        <v>838</v>
      </c>
      <c r="F203" s="8" t="s">
        <v>3012</v>
      </c>
      <c r="G203" s="8" t="s">
        <v>3050</v>
      </c>
      <c r="H203" s="8">
        <v>83292</v>
      </c>
      <c r="I203" s="8">
        <v>20140</v>
      </c>
      <c r="J203" s="8">
        <v>19237409</v>
      </c>
      <c r="K203" s="9">
        <v>45405</v>
      </c>
      <c r="L203" s="9">
        <v>45747</v>
      </c>
      <c r="M203" s="8" t="s">
        <v>838</v>
      </c>
      <c r="O203" s="8" t="s">
        <v>1010</v>
      </c>
      <c r="P203" s="9">
        <v>45367</v>
      </c>
      <c r="Q203" s="24">
        <v>45410</v>
      </c>
      <c r="R203" s="8">
        <v>35</v>
      </c>
    </row>
    <row r="204" spans="1:18" ht="45">
      <c r="A204" s="8" t="s">
        <v>3049</v>
      </c>
      <c r="B204" s="8" t="s">
        <v>1001</v>
      </c>
      <c r="C204" s="8" t="s">
        <v>2203</v>
      </c>
      <c r="D204" s="8" t="s">
        <v>18</v>
      </c>
      <c r="E204" s="8" t="s">
        <v>838</v>
      </c>
      <c r="F204" s="8" t="s">
        <v>3012</v>
      </c>
      <c r="G204" s="8" t="s">
        <v>3050</v>
      </c>
      <c r="H204" s="8">
        <v>83292</v>
      </c>
      <c r="I204" s="8">
        <v>29820</v>
      </c>
      <c r="J204" s="8">
        <v>19219798</v>
      </c>
      <c r="K204" s="9">
        <v>45379</v>
      </c>
      <c r="L204" s="9">
        <v>45740</v>
      </c>
      <c r="M204" s="8" t="s">
        <v>838</v>
      </c>
      <c r="O204" s="8" t="s">
        <v>1010</v>
      </c>
      <c r="P204" s="9">
        <v>45497</v>
      </c>
      <c r="Q204" s="24" t="s">
        <v>1015</v>
      </c>
      <c r="R204" s="8">
        <v>151</v>
      </c>
    </row>
    <row r="205" spans="1:18" ht="60">
      <c r="A205" s="8" t="s">
        <v>3051</v>
      </c>
      <c r="B205" s="8" t="s">
        <v>1002</v>
      </c>
      <c r="C205" s="8" t="s">
        <v>2203</v>
      </c>
      <c r="D205" s="8" t="s">
        <v>18</v>
      </c>
      <c r="E205" s="8" t="s">
        <v>838</v>
      </c>
      <c r="F205" s="8" t="s">
        <v>3012</v>
      </c>
      <c r="G205" s="8" t="s">
        <v>3052</v>
      </c>
      <c r="H205" s="8">
        <v>21097</v>
      </c>
      <c r="I205" s="8">
        <v>5</v>
      </c>
      <c r="J205" s="8" t="s">
        <v>1003</v>
      </c>
      <c r="K205" s="9">
        <v>45369</v>
      </c>
      <c r="L205" s="9">
        <v>45608</v>
      </c>
      <c r="M205" s="8" t="s">
        <v>838</v>
      </c>
      <c r="O205" s="8" t="s">
        <v>1010</v>
      </c>
      <c r="P205" s="9">
        <v>45553</v>
      </c>
      <c r="Q205" s="24" t="s">
        <v>1016</v>
      </c>
      <c r="R205" s="8">
        <v>334</v>
      </c>
    </row>
    <row r="206" spans="1:18" ht="60">
      <c r="A206" s="8" t="s">
        <v>3051</v>
      </c>
      <c r="B206" s="8" t="s">
        <v>1002</v>
      </c>
      <c r="C206" s="8" t="s">
        <v>2203</v>
      </c>
      <c r="D206" s="8" t="s">
        <v>18</v>
      </c>
      <c r="E206" s="8" t="s">
        <v>838</v>
      </c>
      <c r="F206" s="8" t="s">
        <v>3012</v>
      </c>
      <c r="G206" s="8" t="s">
        <v>3052</v>
      </c>
      <c r="H206" s="8">
        <v>21097</v>
      </c>
      <c r="I206" s="8">
        <v>10</v>
      </c>
      <c r="J206" s="8" t="s">
        <v>1004</v>
      </c>
      <c r="K206" s="9">
        <v>45379</v>
      </c>
      <c r="L206" s="9">
        <v>45641</v>
      </c>
      <c r="M206" s="8" t="s">
        <v>838</v>
      </c>
      <c r="O206" s="8" t="s">
        <v>1010</v>
      </c>
      <c r="P206" s="9">
        <v>45534</v>
      </c>
      <c r="Q206" s="24" t="s">
        <v>1017</v>
      </c>
      <c r="R206" s="8">
        <v>370</v>
      </c>
    </row>
    <row r="207" spans="1:18" ht="60">
      <c r="A207" s="8" t="s">
        <v>3051</v>
      </c>
      <c r="B207" s="8" t="s">
        <v>1002</v>
      </c>
      <c r="C207" s="8" t="s">
        <v>2203</v>
      </c>
      <c r="D207" s="8" t="s">
        <v>18</v>
      </c>
      <c r="E207" s="8" t="s">
        <v>838</v>
      </c>
      <c r="F207" s="8" t="s">
        <v>3012</v>
      </c>
      <c r="G207" s="8" t="s">
        <v>3052</v>
      </c>
      <c r="H207" s="8">
        <v>21097</v>
      </c>
      <c r="I207" s="8">
        <v>10</v>
      </c>
      <c r="J207" s="8" t="s">
        <v>1005</v>
      </c>
      <c r="K207" s="9">
        <v>45379</v>
      </c>
      <c r="L207" s="9">
        <v>45641</v>
      </c>
      <c r="M207" s="8" t="s">
        <v>838</v>
      </c>
      <c r="O207" s="8" t="s">
        <v>1010</v>
      </c>
      <c r="P207" s="9">
        <v>45504</v>
      </c>
      <c r="Q207" s="24" t="s">
        <v>1018</v>
      </c>
      <c r="R207" s="8">
        <v>454</v>
      </c>
    </row>
    <row r="208" spans="1:18" ht="60">
      <c r="A208" s="8" t="s">
        <v>3051</v>
      </c>
      <c r="B208" s="8" t="s">
        <v>1002</v>
      </c>
      <c r="C208" s="8" t="s">
        <v>2203</v>
      </c>
      <c r="D208" s="8" t="s">
        <v>18</v>
      </c>
      <c r="E208" s="8" t="s">
        <v>838</v>
      </c>
      <c r="F208" s="8" t="s">
        <v>3012</v>
      </c>
      <c r="G208" s="8" t="s">
        <v>3052</v>
      </c>
      <c r="H208" s="8">
        <v>21097</v>
      </c>
      <c r="I208" s="8">
        <v>12</v>
      </c>
      <c r="J208" s="8" t="s">
        <v>1006</v>
      </c>
      <c r="K208" s="9">
        <v>45373</v>
      </c>
      <c r="L208" s="9">
        <v>45608</v>
      </c>
      <c r="M208" s="8" t="s">
        <v>838</v>
      </c>
      <c r="O208" s="8" t="s">
        <v>1010</v>
      </c>
      <c r="P208" s="9">
        <v>45597</v>
      </c>
      <c r="Q208" s="24" t="s">
        <v>1019</v>
      </c>
      <c r="R208" s="8">
        <v>495</v>
      </c>
    </row>
    <row r="209" spans="1:18" ht="60">
      <c r="A209" s="8" t="s">
        <v>3051</v>
      </c>
      <c r="B209" s="8" t="s">
        <v>1002</v>
      </c>
      <c r="C209" s="8" t="s">
        <v>2203</v>
      </c>
      <c r="D209" s="8" t="s">
        <v>18</v>
      </c>
      <c r="E209" s="8" t="s">
        <v>838</v>
      </c>
      <c r="F209" s="8" t="s">
        <v>3012</v>
      </c>
      <c r="G209" s="8" t="s">
        <v>3052</v>
      </c>
      <c r="H209" s="8">
        <v>21097</v>
      </c>
      <c r="I209" s="8">
        <v>6060</v>
      </c>
      <c r="J209" s="8" t="s">
        <v>1007</v>
      </c>
      <c r="K209" s="9">
        <v>45411</v>
      </c>
      <c r="L209" s="9">
        <v>45641</v>
      </c>
      <c r="M209" s="8" t="s">
        <v>838</v>
      </c>
      <c r="O209" s="8" t="s">
        <v>1010</v>
      </c>
      <c r="P209" s="9">
        <v>45534</v>
      </c>
      <c r="Q209" s="24" t="s">
        <v>1020</v>
      </c>
      <c r="R209" s="8">
        <v>500</v>
      </c>
    </row>
    <row r="210" spans="1:18" ht="60">
      <c r="A210" s="8" t="s">
        <v>3051</v>
      </c>
      <c r="B210" s="8" t="s">
        <v>1002</v>
      </c>
      <c r="C210" s="8" t="s">
        <v>2203</v>
      </c>
      <c r="D210" s="8" t="s">
        <v>18</v>
      </c>
      <c r="E210" s="8" t="s">
        <v>838</v>
      </c>
      <c r="F210" s="8" t="s">
        <v>3012</v>
      </c>
      <c r="G210" s="8" t="s">
        <v>3052</v>
      </c>
      <c r="H210" s="8">
        <v>21097</v>
      </c>
      <c r="I210" s="8">
        <v>15000</v>
      </c>
      <c r="J210" s="8" t="s">
        <v>1008</v>
      </c>
      <c r="K210" s="9">
        <v>45442</v>
      </c>
      <c r="L210" s="9">
        <v>45658</v>
      </c>
      <c r="M210" s="8" t="s">
        <v>838</v>
      </c>
      <c r="O210" s="8" t="s">
        <v>1010</v>
      </c>
      <c r="P210" s="9">
        <v>45570</v>
      </c>
      <c r="Q210" s="24" t="s">
        <v>1021</v>
      </c>
      <c r="R210" s="8">
        <v>550</v>
      </c>
    </row>
    <row r="211" spans="1:18" ht="45">
      <c r="A211" s="8" t="s">
        <v>3053</v>
      </c>
      <c r="B211" s="8" t="s">
        <v>1009</v>
      </c>
      <c r="C211" s="8" t="s">
        <v>2203</v>
      </c>
      <c r="D211" s="8" t="s">
        <v>18</v>
      </c>
      <c r="E211" s="8" t="s">
        <v>838</v>
      </c>
      <c r="F211" s="8" t="s">
        <v>3012</v>
      </c>
      <c r="G211" s="8" t="s">
        <v>3054</v>
      </c>
      <c r="H211" s="8">
        <v>14160</v>
      </c>
      <c r="I211" s="8">
        <v>243</v>
      </c>
      <c r="J211" s="8">
        <v>368.18</v>
      </c>
      <c r="K211" s="9">
        <v>45455</v>
      </c>
      <c r="L211" s="9">
        <v>45809</v>
      </c>
      <c r="M211" s="8" t="s">
        <v>838</v>
      </c>
      <c r="O211" s="8" t="s">
        <v>1010</v>
      </c>
      <c r="P211" s="9">
        <v>45553</v>
      </c>
      <c r="Q211" s="24" t="s">
        <v>1022</v>
      </c>
      <c r="R211" s="8">
        <v>870</v>
      </c>
    </row>
    <row r="212" spans="1:18" ht="45">
      <c r="A212" s="8" t="s">
        <v>3053</v>
      </c>
      <c r="B212" s="8" t="s">
        <v>1009</v>
      </c>
      <c r="C212" s="8" t="s">
        <v>2203</v>
      </c>
      <c r="D212" s="8" t="s">
        <v>18</v>
      </c>
      <c r="E212" s="8" t="s">
        <v>838</v>
      </c>
      <c r="F212" s="8" t="s">
        <v>3012</v>
      </c>
      <c r="G212" s="8" t="s">
        <v>3054</v>
      </c>
      <c r="H212" s="8">
        <v>14160</v>
      </c>
      <c r="I212" s="8">
        <v>4757</v>
      </c>
      <c r="J212" s="8">
        <v>1013.179</v>
      </c>
      <c r="K212" s="9">
        <v>45455</v>
      </c>
      <c r="L212" s="9">
        <v>45809</v>
      </c>
      <c r="M212" s="8" t="s">
        <v>838</v>
      </c>
      <c r="O212" s="8" t="s">
        <v>1010</v>
      </c>
      <c r="P212" s="9">
        <v>45570</v>
      </c>
      <c r="Q212" s="24" t="s">
        <v>1023</v>
      </c>
      <c r="R212" s="8">
        <v>1000</v>
      </c>
    </row>
    <row r="213" spans="1:18" ht="45">
      <c r="A213" s="8" t="s">
        <v>3053</v>
      </c>
      <c r="B213" s="8" t="s">
        <v>1009</v>
      </c>
      <c r="C213" s="8" t="s">
        <v>2203</v>
      </c>
      <c r="D213" s="8" t="s">
        <v>18</v>
      </c>
      <c r="E213" s="8" t="s">
        <v>838</v>
      </c>
      <c r="F213" s="8" t="s">
        <v>3012</v>
      </c>
      <c r="G213" s="8" t="s">
        <v>3054</v>
      </c>
      <c r="H213" s="8">
        <v>14160</v>
      </c>
      <c r="I213" s="8">
        <v>9160</v>
      </c>
      <c r="J213" s="8">
        <v>1295.1780000000001</v>
      </c>
      <c r="K213" s="9">
        <v>45450</v>
      </c>
      <c r="L213" s="9">
        <v>45809</v>
      </c>
      <c r="M213" s="8" t="s">
        <v>838</v>
      </c>
      <c r="O213" s="8" t="s">
        <v>1010</v>
      </c>
      <c r="P213" s="9">
        <v>45534</v>
      </c>
      <c r="Q213" s="24" t="s">
        <v>1024</v>
      </c>
      <c r="R213" s="8">
        <v>1480</v>
      </c>
    </row>
    <row r="214" spans="1:18" ht="45">
      <c r="A214" s="8" t="s">
        <v>3055</v>
      </c>
      <c r="B214" s="8" t="s">
        <v>1010</v>
      </c>
      <c r="C214" s="8" t="s">
        <v>2203</v>
      </c>
      <c r="D214" s="8" t="s">
        <v>192</v>
      </c>
      <c r="E214" s="8" t="s">
        <v>838</v>
      </c>
      <c r="F214" s="8" t="s">
        <v>1054</v>
      </c>
      <c r="G214" s="8" t="s">
        <v>3056</v>
      </c>
      <c r="H214" s="8">
        <v>636</v>
      </c>
      <c r="I214" s="8">
        <v>1</v>
      </c>
      <c r="J214" s="8" t="s">
        <v>1011</v>
      </c>
      <c r="K214" s="9">
        <v>45356</v>
      </c>
      <c r="L214" s="9">
        <v>45410</v>
      </c>
      <c r="M214" s="8" t="s">
        <v>838</v>
      </c>
      <c r="O214" s="8" t="s">
        <v>1010</v>
      </c>
      <c r="P214" s="9">
        <v>45520</v>
      </c>
      <c r="Q214" s="24" t="s">
        <v>1025</v>
      </c>
      <c r="R214" s="8">
        <v>1905</v>
      </c>
    </row>
    <row r="215" spans="1:18" ht="45">
      <c r="A215" s="8" t="s">
        <v>3055</v>
      </c>
      <c r="B215" s="8" t="s">
        <v>1010</v>
      </c>
      <c r="C215" s="8" t="s">
        <v>2203</v>
      </c>
      <c r="D215" s="8" t="s">
        <v>192</v>
      </c>
      <c r="E215" s="8" t="s">
        <v>838</v>
      </c>
      <c r="F215" s="8" t="s">
        <v>1054</v>
      </c>
      <c r="G215" s="8" t="s">
        <v>3056</v>
      </c>
      <c r="H215" s="8">
        <v>636</v>
      </c>
      <c r="I215" s="8">
        <v>6</v>
      </c>
      <c r="J215" s="8" t="s">
        <v>1012</v>
      </c>
      <c r="K215" s="9">
        <v>45463</v>
      </c>
      <c r="L215" s="9">
        <v>45472</v>
      </c>
      <c r="M215" s="8" t="s">
        <v>838</v>
      </c>
      <c r="O215" s="8" t="s">
        <v>1051</v>
      </c>
      <c r="P215" s="9">
        <v>45809</v>
      </c>
      <c r="Q215" s="24">
        <v>114113</v>
      </c>
      <c r="R215" s="8">
        <v>3</v>
      </c>
    </row>
    <row r="216" spans="1:18" ht="45">
      <c r="A216" s="8" t="s">
        <v>3055</v>
      </c>
      <c r="B216" s="8" t="s">
        <v>1010</v>
      </c>
      <c r="C216" s="8" t="s">
        <v>2203</v>
      </c>
      <c r="D216" s="8" t="s">
        <v>192</v>
      </c>
      <c r="E216" s="8" t="s">
        <v>838</v>
      </c>
      <c r="F216" s="8" t="s">
        <v>1054</v>
      </c>
      <c r="G216" s="8" t="s">
        <v>3056</v>
      </c>
      <c r="H216" s="8">
        <v>636</v>
      </c>
      <c r="I216" s="8">
        <v>6</v>
      </c>
      <c r="J216" s="8" t="s">
        <v>1013</v>
      </c>
      <c r="K216" s="9">
        <v>45463</v>
      </c>
      <c r="L216" s="9">
        <v>45472</v>
      </c>
      <c r="M216" s="8" t="s">
        <v>838</v>
      </c>
      <c r="O216" s="8" t="s">
        <v>1051</v>
      </c>
      <c r="P216" s="9">
        <v>45931</v>
      </c>
      <c r="Q216" s="24">
        <v>9280</v>
      </c>
      <c r="R216" s="8">
        <v>1220</v>
      </c>
    </row>
    <row r="217" spans="1:18" ht="45">
      <c r="A217" s="8" t="s">
        <v>3055</v>
      </c>
      <c r="B217" s="8" t="s">
        <v>1010</v>
      </c>
      <c r="C217" s="8" t="s">
        <v>2203</v>
      </c>
      <c r="D217" s="8" t="s">
        <v>192</v>
      </c>
      <c r="E217" s="8" t="s">
        <v>838</v>
      </c>
      <c r="F217" s="8" t="s">
        <v>1054</v>
      </c>
      <c r="G217" s="8" t="s">
        <v>3056</v>
      </c>
      <c r="H217" s="8">
        <v>636</v>
      </c>
      <c r="I217" s="8">
        <v>18</v>
      </c>
      <c r="J217" s="8" t="s">
        <v>1014</v>
      </c>
      <c r="K217" s="9">
        <v>45370</v>
      </c>
      <c r="L217" s="9">
        <v>45472</v>
      </c>
      <c r="M217" s="8" t="s">
        <v>838</v>
      </c>
      <c r="O217" s="8" t="s">
        <v>1052</v>
      </c>
      <c r="P217" s="9">
        <v>45674</v>
      </c>
      <c r="Q217" s="24">
        <v>112072306</v>
      </c>
      <c r="R217" s="8">
        <v>20</v>
      </c>
    </row>
    <row r="218" spans="1:18" ht="45">
      <c r="A218" s="8" t="s">
        <v>3057</v>
      </c>
      <c r="B218" s="8" t="s">
        <v>1010</v>
      </c>
      <c r="C218" s="8" t="s">
        <v>2221</v>
      </c>
      <c r="D218" s="8" t="s">
        <v>192</v>
      </c>
      <c r="E218" s="8" t="s">
        <v>2217</v>
      </c>
      <c r="F218" s="8" t="s">
        <v>2217</v>
      </c>
      <c r="G218" s="8" t="s">
        <v>2217</v>
      </c>
      <c r="H218" s="8">
        <v>269</v>
      </c>
      <c r="I218" s="8">
        <v>35</v>
      </c>
      <c r="J218" s="11">
        <v>45410</v>
      </c>
      <c r="K218" s="9">
        <v>45402</v>
      </c>
      <c r="L218" s="9">
        <v>45367</v>
      </c>
      <c r="M218" s="8" t="s">
        <v>838</v>
      </c>
      <c r="O218" s="8" t="s">
        <v>1052</v>
      </c>
      <c r="P218" s="9">
        <v>45779</v>
      </c>
      <c r="Q218" s="24">
        <v>112112209</v>
      </c>
      <c r="R218" s="8">
        <v>20</v>
      </c>
    </row>
    <row r="219" spans="1:18" ht="60">
      <c r="A219" s="8" t="s">
        <v>3057</v>
      </c>
      <c r="B219" s="8" t="s">
        <v>1010</v>
      </c>
      <c r="C219" s="8" t="s">
        <v>2221</v>
      </c>
      <c r="D219" s="8" t="s">
        <v>192</v>
      </c>
      <c r="E219" s="8" t="s">
        <v>2217</v>
      </c>
      <c r="F219" s="8" t="s">
        <v>2217</v>
      </c>
      <c r="G219" s="8" t="s">
        <v>2217</v>
      </c>
      <c r="H219" s="8">
        <v>269</v>
      </c>
      <c r="I219" s="8">
        <v>69</v>
      </c>
      <c r="J219" s="8" t="s">
        <v>1013</v>
      </c>
      <c r="K219" s="9">
        <v>45458</v>
      </c>
      <c r="L219" s="9">
        <v>45472</v>
      </c>
      <c r="M219" s="8" t="s">
        <v>838</v>
      </c>
      <c r="O219" s="8" t="s">
        <v>1053</v>
      </c>
      <c r="P219" s="9">
        <v>45605</v>
      </c>
      <c r="Q219" s="24">
        <v>112112209</v>
      </c>
      <c r="R219" s="8">
        <v>400</v>
      </c>
    </row>
    <row r="220" spans="1:18" ht="60">
      <c r="A220" s="8" t="s">
        <v>3057</v>
      </c>
      <c r="B220" s="8" t="s">
        <v>1010</v>
      </c>
      <c r="C220" s="8" t="s">
        <v>2221</v>
      </c>
      <c r="D220" s="8" t="s">
        <v>192</v>
      </c>
      <c r="E220" s="8" t="s">
        <v>2217</v>
      </c>
      <c r="F220" s="8" t="s">
        <v>2217</v>
      </c>
      <c r="G220" s="8" t="s">
        <v>2217</v>
      </c>
      <c r="H220" s="8">
        <v>269</v>
      </c>
      <c r="I220" s="8">
        <v>80</v>
      </c>
      <c r="J220" s="8" t="s">
        <v>1014</v>
      </c>
      <c r="K220" s="9">
        <v>45402</v>
      </c>
      <c r="L220" s="9">
        <v>45472</v>
      </c>
      <c r="M220" s="8" t="s">
        <v>838</v>
      </c>
      <c r="O220" s="8" t="s">
        <v>1210</v>
      </c>
      <c r="P220" s="9">
        <v>45809</v>
      </c>
      <c r="Q220" s="24" t="s">
        <v>1211</v>
      </c>
      <c r="R220" s="8">
        <v>240</v>
      </c>
    </row>
    <row r="221" spans="1:18" ht="75">
      <c r="A221" s="8" t="s">
        <v>3057</v>
      </c>
      <c r="B221" s="8" t="s">
        <v>1010</v>
      </c>
      <c r="C221" s="8" t="s">
        <v>2221</v>
      </c>
      <c r="D221" s="8" t="s">
        <v>192</v>
      </c>
      <c r="E221" s="8" t="s">
        <v>2217</v>
      </c>
      <c r="F221" s="8" t="s">
        <v>2217</v>
      </c>
      <c r="G221" s="8" t="s">
        <v>2217</v>
      </c>
      <c r="H221" s="8">
        <v>269</v>
      </c>
      <c r="I221" s="8">
        <v>85</v>
      </c>
      <c r="J221" s="8" t="s">
        <v>1012</v>
      </c>
      <c r="K221" s="9">
        <v>45458</v>
      </c>
      <c r="L221" s="9">
        <v>45472</v>
      </c>
      <c r="M221" s="8" t="s">
        <v>838</v>
      </c>
      <c r="O221" s="8" t="s">
        <v>1212</v>
      </c>
      <c r="P221" s="9">
        <v>46113</v>
      </c>
      <c r="Q221" s="24" t="s">
        <v>1213</v>
      </c>
      <c r="R221" s="8">
        <v>1269</v>
      </c>
    </row>
    <row r="222" spans="1:18" ht="60">
      <c r="A222" s="8" t="s">
        <v>3055</v>
      </c>
      <c r="B222" s="8" t="s">
        <v>1010</v>
      </c>
      <c r="C222" s="8" t="s">
        <v>2203</v>
      </c>
      <c r="D222" s="8" t="s">
        <v>192</v>
      </c>
      <c r="E222" s="8" t="s">
        <v>838</v>
      </c>
      <c r="F222" s="8" t="s">
        <v>1054</v>
      </c>
      <c r="G222" s="8" t="s">
        <v>3056</v>
      </c>
      <c r="H222" s="8">
        <v>636</v>
      </c>
      <c r="I222" s="8">
        <v>151</v>
      </c>
      <c r="J222" s="8" t="s">
        <v>1015</v>
      </c>
      <c r="K222" s="9">
        <v>45232</v>
      </c>
      <c r="L222" s="9">
        <v>45497</v>
      </c>
      <c r="M222" s="8" t="s">
        <v>838</v>
      </c>
      <c r="O222" s="8" t="s">
        <v>1214</v>
      </c>
      <c r="P222" s="9">
        <v>46085</v>
      </c>
      <c r="Q222" s="24">
        <v>330275</v>
      </c>
      <c r="R222" s="8">
        <v>47</v>
      </c>
    </row>
    <row r="223" spans="1:18" ht="60">
      <c r="A223" s="8" t="s">
        <v>3055</v>
      </c>
      <c r="B223" s="8" t="s">
        <v>1010</v>
      </c>
      <c r="C223" s="8" t="s">
        <v>2203</v>
      </c>
      <c r="D223" s="8" t="s">
        <v>18</v>
      </c>
      <c r="E223" s="8" t="s">
        <v>838</v>
      </c>
      <c r="F223" s="8" t="s">
        <v>1054</v>
      </c>
      <c r="G223" s="8" t="s">
        <v>3056</v>
      </c>
      <c r="H223" s="8">
        <v>7504</v>
      </c>
      <c r="I223" s="8">
        <v>334</v>
      </c>
      <c r="J223" s="8" t="s">
        <v>1016</v>
      </c>
      <c r="K223" s="9">
        <v>45303</v>
      </c>
      <c r="L223" s="9">
        <v>45553</v>
      </c>
      <c r="M223" s="8" t="s">
        <v>838</v>
      </c>
      <c r="O223" s="8" t="s">
        <v>1214</v>
      </c>
      <c r="P223" s="9">
        <v>46085</v>
      </c>
      <c r="Q223" s="24" t="s">
        <v>1215</v>
      </c>
      <c r="R223" s="8">
        <v>300</v>
      </c>
    </row>
    <row r="224" spans="1:18" ht="60">
      <c r="A224" s="8" t="s">
        <v>3055</v>
      </c>
      <c r="B224" s="8" t="s">
        <v>1010</v>
      </c>
      <c r="C224" s="8" t="s">
        <v>2203</v>
      </c>
      <c r="D224" s="8" t="s">
        <v>18</v>
      </c>
      <c r="E224" s="8" t="s">
        <v>838</v>
      </c>
      <c r="F224" s="8" t="s">
        <v>1054</v>
      </c>
      <c r="G224" s="8" t="s">
        <v>3056</v>
      </c>
      <c r="H224" s="8">
        <v>7504</v>
      </c>
      <c r="I224" s="8">
        <v>370</v>
      </c>
      <c r="J224" s="8" t="s">
        <v>1017</v>
      </c>
      <c r="K224" s="9">
        <v>45279</v>
      </c>
      <c r="L224" s="9">
        <v>45534</v>
      </c>
      <c r="M224" s="8" t="s">
        <v>838</v>
      </c>
      <c r="O224" s="8" t="s">
        <v>1216</v>
      </c>
      <c r="P224" s="9">
        <v>45931</v>
      </c>
      <c r="Q224" s="24">
        <v>103719148</v>
      </c>
      <c r="R224" s="8">
        <v>1160</v>
      </c>
    </row>
    <row r="225" spans="1:18" ht="75">
      <c r="A225" s="8" t="s">
        <v>3055</v>
      </c>
      <c r="B225" s="8" t="s">
        <v>1010</v>
      </c>
      <c r="C225" s="8" t="s">
        <v>2203</v>
      </c>
      <c r="D225" s="8" t="s">
        <v>192</v>
      </c>
      <c r="E225" s="8" t="s">
        <v>838</v>
      </c>
      <c r="F225" s="8" t="s">
        <v>1054</v>
      </c>
      <c r="G225" s="8" t="s">
        <v>3056</v>
      </c>
      <c r="H225" s="8">
        <v>636</v>
      </c>
      <c r="I225" s="8">
        <v>454</v>
      </c>
      <c r="J225" s="8" t="s">
        <v>1018</v>
      </c>
      <c r="K225" s="9">
        <v>45259</v>
      </c>
      <c r="L225" s="9">
        <v>45504</v>
      </c>
      <c r="M225" s="8" t="s">
        <v>838</v>
      </c>
      <c r="O225" s="8" t="s">
        <v>1311</v>
      </c>
      <c r="P225" s="9">
        <v>45870</v>
      </c>
      <c r="Q225" s="24">
        <v>911468</v>
      </c>
      <c r="R225" s="8">
        <v>190</v>
      </c>
    </row>
    <row r="226" spans="1:18" ht="60">
      <c r="A226" s="8" t="s">
        <v>3055</v>
      </c>
      <c r="B226" s="8" t="s">
        <v>1010</v>
      </c>
      <c r="C226" s="8" t="s">
        <v>2203</v>
      </c>
      <c r="D226" s="8" t="s">
        <v>18</v>
      </c>
      <c r="E226" s="8" t="s">
        <v>838</v>
      </c>
      <c r="F226" s="8" t="s">
        <v>1054</v>
      </c>
      <c r="G226" s="8" t="s">
        <v>3056</v>
      </c>
      <c r="H226" s="8">
        <v>7504</v>
      </c>
      <c r="I226" s="8">
        <v>495</v>
      </c>
      <c r="J226" s="8" t="s">
        <v>1019</v>
      </c>
      <c r="K226" s="9">
        <v>45356</v>
      </c>
      <c r="L226" s="9">
        <v>45597</v>
      </c>
      <c r="M226" s="8" t="s">
        <v>838</v>
      </c>
      <c r="O226" s="8" t="s">
        <v>1312</v>
      </c>
      <c r="P226" s="9">
        <v>45679</v>
      </c>
      <c r="Q226" s="24">
        <v>322.0643</v>
      </c>
      <c r="R226" s="8">
        <v>64</v>
      </c>
    </row>
    <row r="227" spans="1:18" ht="60">
      <c r="A227" s="8" t="s">
        <v>3055</v>
      </c>
      <c r="B227" s="8" t="s">
        <v>1010</v>
      </c>
      <c r="C227" s="8" t="s">
        <v>2203</v>
      </c>
      <c r="D227" s="8" t="s">
        <v>18</v>
      </c>
      <c r="E227" s="8" t="s">
        <v>838</v>
      </c>
      <c r="F227" s="8" t="s">
        <v>1054</v>
      </c>
      <c r="G227" s="8" t="s">
        <v>3056</v>
      </c>
      <c r="H227" s="8">
        <v>7504</v>
      </c>
      <c r="I227" s="8">
        <v>500</v>
      </c>
      <c r="J227" s="8" t="s">
        <v>1020</v>
      </c>
      <c r="K227" s="9">
        <v>45279</v>
      </c>
      <c r="L227" s="9">
        <v>45534</v>
      </c>
      <c r="M227" s="8" t="s">
        <v>838</v>
      </c>
      <c r="O227" s="8" t="s">
        <v>1502</v>
      </c>
      <c r="P227" s="9">
        <v>45723</v>
      </c>
      <c r="Q227" s="24">
        <v>2521711118</v>
      </c>
      <c r="R227" s="8">
        <v>63</v>
      </c>
    </row>
    <row r="228" spans="1:18" ht="60">
      <c r="A228" s="8" t="s">
        <v>3055</v>
      </c>
      <c r="B228" s="8" t="s">
        <v>1010</v>
      </c>
      <c r="C228" s="8" t="s">
        <v>2203</v>
      </c>
      <c r="D228" s="8" t="s">
        <v>18</v>
      </c>
      <c r="E228" s="8" t="s">
        <v>838</v>
      </c>
      <c r="F228" s="8" t="s">
        <v>1054</v>
      </c>
      <c r="G228" s="8" t="s">
        <v>3056</v>
      </c>
      <c r="H228" s="8">
        <v>7504</v>
      </c>
      <c r="I228" s="8">
        <v>550</v>
      </c>
      <c r="J228" s="8" t="s">
        <v>1021</v>
      </c>
      <c r="K228" s="9">
        <v>45327</v>
      </c>
      <c r="L228" s="9">
        <v>45570</v>
      </c>
      <c r="M228" s="8" t="s">
        <v>838</v>
      </c>
      <c r="O228" s="8" t="s">
        <v>1502</v>
      </c>
      <c r="P228" s="9">
        <v>45867</v>
      </c>
      <c r="Q228" s="24">
        <v>252122303</v>
      </c>
      <c r="R228" s="8">
        <v>90</v>
      </c>
    </row>
    <row r="229" spans="1:18" ht="60">
      <c r="A229" s="8" t="s">
        <v>3055</v>
      </c>
      <c r="B229" s="8" t="s">
        <v>1010</v>
      </c>
      <c r="C229" s="8" t="s">
        <v>2203</v>
      </c>
      <c r="D229" s="8" t="s">
        <v>18</v>
      </c>
      <c r="E229" s="8" t="s">
        <v>838</v>
      </c>
      <c r="F229" s="8" t="s">
        <v>1054</v>
      </c>
      <c r="G229" s="8" t="s">
        <v>3056</v>
      </c>
      <c r="H229" s="8">
        <v>7504</v>
      </c>
      <c r="I229" s="8">
        <v>870</v>
      </c>
      <c r="J229" s="8" t="s">
        <v>1022</v>
      </c>
      <c r="K229" s="9">
        <v>45303</v>
      </c>
      <c r="L229" s="9">
        <v>45553</v>
      </c>
      <c r="M229" s="8" t="s">
        <v>838</v>
      </c>
      <c r="O229" s="8" t="s">
        <v>1502</v>
      </c>
      <c r="P229" s="9">
        <v>45976</v>
      </c>
      <c r="Q229" s="24">
        <v>38120711</v>
      </c>
      <c r="R229" s="8">
        <v>900</v>
      </c>
    </row>
    <row r="230" spans="1:18" ht="45">
      <c r="A230" s="8" t="s">
        <v>3055</v>
      </c>
      <c r="B230" s="8" t="s">
        <v>1010</v>
      </c>
      <c r="C230" s="8" t="s">
        <v>2203</v>
      </c>
      <c r="D230" s="8" t="s">
        <v>18</v>
      </c>
      <c r="E230" s="8" t="s">
        <v>838</v>
      </c>
      <c r="F230" s="8" t="s">
        <v>1054</v>
      </c>
      <c r="G230" s="8" t="s">
        <v>3056</v>
      </c>
      <c r="H230" s="8">
        <v>7504</v>
      </c>
      <c r="I230" s="8">
        <v>1000</v>
      </c>
      <c r="J230" s="8" t="s">
        <v>1023</v>
      </c>
      <c r="K230" s="9">
        <v>45327</v>
      </c>
      <c r="L230" s="9">
        <v>45570</v>
      </c>
      <c r="M230" s="8" t="s">
        <v>838</v>
      </c>
      <c r="O230" s="8" t="s">
        <v>1504</v>
      </c>
      <c r="P230" s="9" t="s">
        <v>2222</v>
      </c>
      <c r="Q230" s="24">
        <v>0</v>
      </c>
      <c r="R230" s="8">
        <v>95</v>
      </c>
    </row>
    <row r="231" spans="1:18" ht="60">
      <c r="A231" s="8" t="s">
        <v>3055</v>
      </c>
      <c r="B231" s="8" t="s">
        <v>1010</v>
      </c>
      <c r="C231" s="8" t="s">
        <v>2203</v>
      </c>
      <c r="D231" s="8" t="s">
        <v>18</v>
      </c>
      <c r="E231" s="8" t="s">
        <v>838</v>
      </c>
      <c r="F231" s="8" t="s">
        <v>1054</v>
      </c>
      <c r="G231" s="8" t="s">
        <v>3056</v>
      </c>
      <c r="H231" s="8">
        <v>7504</v>
      </c>
      <c r="I231" s="8">
        <v>1480</v>
      </c>
      <c r="J231" s="8" t="s">
        <v>1024</v>
      </c>
      <c r="K231" s="9">
        <v>45279</v>
      </c>
      <c r="L231" s="9">
        <v>45534</v>
      </c>
      <c r="M231" s="8" t="s">
        <v>838</v>
      </c>
      <c r="O231" s="8" t="s">
        <v>1506</v>
      </c>
      <c r="P231" s="9">
        <v>45512</v>
      </c>
      <c r="Q231" s="24">
        <v>115</v>
      </c>
      <c r="R231" s="8">
        <v>1</v>
      </c>
    </row>
    <row r="232" spans="1:18" ht="60">
      <c r="A232" s="8" t="s">
        <v>3055</v>
      </c>
      <c r="B232" s="8" t="s">
        <v>1010</v>
      </c>
      <c r="C232" s="8" t="s">
        <v>2203</v>
      </c>
      <c r="D232" s="8" t="s">
        <v>18</v>
      </c>
      <c r="E232" s="8" t="s">
        <v>838</v>
      </c>
      <c r="F232" s="8" t="s">
        <v>1054</v>
      </c>
      <c r="G232" s="8" t="s">
        <v>3056</v>
      </c>
      <c r="H232" s="8">
        <v>7504</v>
      </c>
      <c r="I232" s="8">
        <v>1905</v>
      </c>
      <c r="J232" s="8" t="s">
        <v>1025</v>
      </c>
      <c r="K232" s="9">
        <v>45266</v>
      </c>
      <c r="L232" s="9">
        <v>45520</v>
      </c>
      <c r="M232" s="8" t="s">
        <v>838</v>
      </c>
      <c r="O232" s="8" t="s">
        <v>1541</v>
      </c>
      <c r="P232" s="9">
        <v>45627</v>
      </c>
      <c r="Q232" s="24">
        <v>164092339</v>
      </c>
      <c r="R232" s="8">
        <v>20</v>
      </c>
    </row>
    <row r="233" spans="1:18" ht="60">
      <c r="A233" s="8" t="s">
        <v>3079</v>
      </c>
      <c r="B233" s="8" t="s">
        <v>1051</v>
      </c>
      <c r="C233" s="8" t="s">
        <v>2203</v>
      </c>
      <c r="D233" s="8" t="s">
        <v>18</v>
      </c>
      <c r="E233" s="8" t="s">
        <v>312</v>
      </c>
      <c r="F233" s="8" t="s">
        <v>3080</v>
      </c>
      <c r="G233" s="8" t="s">
        <v>3081</v>
      </c>
      <c r="H233" s="8">
        <v>1223</v>
      </c>
      <c r="I233" s="8">
        <v>3</v>
      </c>
      <c r="J233" s="8">
        <v>114113</v>
      </c>
      <c r="K233" s="9">
        <v>45272</v>
      </c>
      <c r="L233" s="9">
        <v>45809</v>
      </c>
      <c r="M233" s="8" t="s">
        <v>312</v>
      </c>
      <c r="O233" s="8" t="s">
        <v>1541</v>
      </c>
      <c r="P233" s="9">
        <v>45632</v>
      </c>
      <c r="Q233" s="24">
        <v>164112344</v>
      </c>
      <c r="R233" s="8">
        <v>44</v>
      </c>
    </row>
    <row r="234" spans="1:18" ht="60">
      <c r="A234" s="8" t="s">
        <v>3079</v>
      </c>
      <c r="B234" s="8" t="s">
        <v>1051</v>
      </c>
      <c r="C234" s="8" t="s">
        <v>2203</v>
      </c>
      <c r="D234" s="8" t="s">
        <v>18</v>
      </c>
      <c r="E234" s="8" t="s">
        <v>312</v>
      </c>
      <c r="F234" s="8" t="s">
        <v>3080</v>
      </c>
      <c r="G234" s="8" t="s">
        <v>3081</v>
      </c>
      <c r="H234" s="8">
        <v>1223</v>
      </c>
      <c r="I234" s="8">
        <v>1220</v>
      </c>
      <c r="J234" s="8">
        <v>9280</v>
      </c>
      <c r="K234" s="9">
        <v>45428</v>
      </c>
      <c r="L234" s="9">
        <v>45931</v>
      </c>
      <c r="M234" s="8" t="s">
        <v>312</v>
      </c>
      <c r="O234" s="8" t="s">
        <v>1541</v>
      </c>
      <c r="P234" s="9">
        <v>45649</v>
      </c>
      <c r="Q234" s="24">
        <v>1642310198</v>
      </c>
      <c r="R234" s="8">
        <v>48</v>
      </c>
    </row>
    <row r="235" spans="1:18" ht="60">
      <c r="A235" s="8" t="s">
        <v>3082</v>
      </c>
      <c r="B235" s="8" t="s">
        <v>1052</v>
      </c>
      <c r="C235" s="8" t="s">
        <v>2203</v>
      </c>
      <c r="D235" s="8" t="s">
        <v>18</v>
      </c>
      <c r="E235" s="8" t="s">
        <v>312</v>
      </c>
      <c r="F235" s="8" t="s">
        <v>3080</v>
      </c>
      <c r="G235" s="8" t="s">
        <v>3083</v>
      </c>
      <c r="H235" s="8">
        <v>40</v>
      </c>
      <c r="I235" s="8">
        <v>20</v>
      </c>
      <c r="J235" s="8">
        <v>112072306</v>
      </c>
      <c r="K235" s="9">
        <v>45168</v>
      </c>
      <c r="L235" s="9">
        <v>45674</v>
      </c>
      <c r="M235" s="8" t="s">
        <v>426</v>
      </c>
      <c r="O235" s="8" t="s">
        <v>1541</v>
      </c>
      <c r="P235" s="9">
        <v>45627</v>
      </c>
      <c r="Q235" s="24">
        <v>1642307128</v>
      </c>
      <c r="R235" s="8">
        <v>49</v>
      </c>
    </row>
    <row r="236" spans="1:18" ht="60">
      <c r="A236" s="8" t="s">
        <v>3082</v>
      </c>
      <c r="B236" s="8" t="s">
        <v>1052</v>
      </c>
      <c r="C236" s="8" t="s">
        <v>2203</v>
      </c>
      <c r="D236" s="8" t="s">
        <v>18</v>
      </c>
      <c r="E236" s="8" t="s">
        <v>312</v>
      </c>
      <c r="F236" s="8" t="s">
        <v>3080</v>
      </c>
      <c r="G236" s="8" t="s">
        <v>3083</v>
      </c>
      <c r="H236" s="8">
        <v>40</v>
      </c>
      <c r="I236" s="8">
        <v>20</v>
      </c>
      <c r="J236" s="8">
        <v>112112209</v>
      </c>
      <c r="K236" s="9">
        <v>45299</v>
      </c>
      <c r="L236" s="9">
        <v>45779</v>
      </c>
      <c r="M236" s="8" t="s">
        <v>426</v>
      </c>
      <c r="O236" s="8" t="s">
        <v>1541</v>
      </c>
      <c r="P236" s="9">
        <v>45631</v>
      </c>
      <c r="Q236" s="24">
        <v>164112343</v>
      </c>
      <c r="R236" s="8">
        <v>56</v>
      </c>
    </row>
    <row r="237" spans="1:18" ht="60">
      <c r="A237" s="8" t="s">
        <v>3084</v>
      </c>
      <c r="B237" s="8" t="s">
        <v>1053</v>
      </c>
      <c r="C237" s="8" t="s">
        <v>2203</v>
      </c>
      <c r="D237" s="8" t="s">
        <v>18</v>
      </c>
      <c r="E237" s="8" t="s">
        <v>312</v>
      </c>
      <c r="F237" s="8" t="s">
        <v>3080</v>
      </c>
      <c r="G237" s="8" t="s">
        <v>3083</v>
      </c>
      <c r="H237" s="8">
        <v>400</v>
      </c>
      <c r="I237" s="8">
        <v>400</v>
      </c>
      <c r="J237" s="8">
        <v>112112209</v>
      </c>
      <c r="K237" s="9">
        <v>45099</v>
      </c>
      <c r="L237" s="9">
        <v>45605</v>
      </c>
      <c r="M237" s="8" t="s">
        <v>1054</v>
      </c>
      <c r="O237" s="8" t="s">
        <v>1541</v>
      </c>
      <c r="P237" s="9">
        <v>45607</v>
      </c>
      <c r="Q237" s="24">
        <v>164230565</v>
      </c>
      <c r="R237" s="8">
        <v>64</v>
      </c>
    </row>
    <row r="238" spans="1:18" ht="60">
      <c r="A238" s="8" t="s">
        <v>3257</v>
      </c>
      <c r="B238" s="8" t="s">
        <v>1210</v>
      </c>
      <c r="C238" s="8" t="s">
        <v>2203</v>
      </c>
      <c r="D238" s="8" t="s">
        <v>18</v>
      </c>
      <c r="E238" s="8" t="s">
        <v>312</v>
      </c>
      <c r="F238" s="8" t="s">
        <v>3258</v>
      </c>
      <c r="G238" s="8" t="s">
        <v>3259</v>
      </c>
      <c r="H238" s="8">
        <v>240</v>
      </c>
      <c r="I238" s="8">
        <v>240</v>
      </c>
      <c r="J238" s="8" t="s">
        <v>1211</v>
      </c>
      <c r="K238" s="9">
        <v>45462</v>
      </c>
      <c r="L238" s="9">
        <v>45809</v>
      </c>
      <c r="M238" s="8" t="s">
        <v>312</v>
      </c>
      <c r="O238" s="8" t="s">
        <v>1541</v>
      </c>
      <c r="P238" s="9">
        <v>45616</v>
      </c>
      <c r="Q238" s="24">
        <v>1642309159</v>
      </c>
      <c r="R238" s="8">
        <v>75</v>
      </c>
    </row>
    <row r="239" spans="1:18" ht="75">
      <c r="A239" s="8" t="s">
        <v>3260</v>
      </c>
      <c r="B239" s="8" t="s">
        <v>1212</v>
      </c>
      <c r="C239" s="8" t="s">
        <v>2203</v>
      </c>
      <c r="D239" s="8" t="s">
        <v>18</v>
      </c>
      <c r="E239" s="8" t="s">
        <v>312</v>
      </c>
      <c r="F239" s="8" t="s">
        <v>3258</v>
      </c>
      <c r="G239" s="8" t="s">
        <v>3261</v>
      </c>
      <c r="H239" s="8">
        <v>1269</v>
      </c>
      <c r="I239" s="8">
        <v>1269</v>
      </c>
      <c r="J239" s="8" t="s">
        <v>1213</v>
      </c>
      <c r="K239" s="9">
        <v>44851</v>
      </c>
      <c r="L239" s="9">
        <v>46113</v>
      </c>
      <c r="M239" s="8" t="s">
        <v>312</v>
      </c>
      <c r="O239" s="8" t="s">
        <v>1541</v>
      </c>
      <c r="P239" s="9">
        <v>45627</v>
      </c>
      <c r="Q239" s="24">
        <v>1642307129</v>
      </c>
      <c r="R239" s="8">
        <v>78</v>
      </c>
    </row>
    <row r="240" spans="1:18" ht="60">
      <c r="A240" s="8" t="s">
        <v>3262</v>
      </c>
      <c r="B240" s="8" t="s">
        <v>1214</v>
      </c>
      <c r="C240" s="8" t="s">
        <v>2203</v>
      </c>
      <c r="D240" s="8" t="s">
        <v>18</v>
      </c>
      <c r="E240" s="8" t="s">
        <v>312</v>
      </c>
      <c r="F240" s="8" t="s">
        <v>3258</v>
      </c>
      <c r="G240" s="8" t="s">
        <v>3263</v>
      </c>
      <c r="H240" s="8">
        <v>347</v>
      </c>
      <c r="I240" s="8">
        <v>47</v>
      </c>
      <c r="J240" s="8">
        <v>330275</v>
      </c>
      <c r="K240" s="9">
        <v>45386</v>
      </c>
      <c r="L240" s="9">
        <v>46085</v>
      </c>
      <c r="M240" s="8" t="s">
        <v>312</v>
      </c>
      <c r="O240" s="8" t="s">
        <v>1541</v>
      </c>
      <c r="P240" s="9">
        <v>45797</v>
      </c>
      <c r="Q240" s="24">
        <v>164012401</v>
      </c>
      <c r="R240" s="8">
        <v>78</v>
      </c>
    </row>
    <row r="241" spans="1:18" ht="60">
      <c r="A241" s="8" t="s">
        <v>3262</v>
      </c>
      <c r="B241" s="8" t="s">
        <v>1214</v>
      </c>
      <c r="C241" s="8" t="s">
        <v>2203</v>
      </c>
      <c r="D241" s="8" t="s">
        <v>18</v>
      </c>
      <c r="E241" s="8" t="s">
        <v>312</v>
      </c>
      <c r="F241" s="8" t="s">
        <v>3258</v>
      </c>
      <c r="G241" s="8" t="s">
        <v>3263</v>
      </c>
      <c r="H241" s="8">
        <v>347</v>
      </c>
      <c r="I241" s="8">
        <v>300</v>
      </c>
      <c r="J241" s="8" t="s">
        <v>1215</v>
      </c>
      <c r="K241" s="9">
        <v>45453</v>
      </c>
      <c r="L241" s="9">
        <v>46085</v>
      </c>
      <c r="M241" s="8" t="s">
        <v>312</v>
      </c>
      <c r="O241" s="8" t="s">
        <v>1541</v>
      </c>
      <c r="P241" s="9">
        <v>45791</v>
      </c>
      <c r="Q241" s="24">
        <v>164240312</v>
      </c>
      <c r="R241" s="8">
        <v>90</v>
      </c>
    </row>
    <row r="242" spans="1:18" ht="60">
      <c r="A242" s="8" t="s">
        <v>3264</v>
      </c>
      <c r="B242" s="8" t="s">
        <v>1216</v>
      </c>
      <c r="C242" s="8" t="s">
        <v>2203</v>
      </c>
      <c r="D242" s="8" t="s">
        <v>18</v>
      </c>
      <c r="E242" s="8" t="s">
        <v>312</v>
      </c>
      <c r="F242" s="8" t="s">
        <v>3258</v>
      </c>
      <c r="G242" s="8" t="s">
        <v>3265</v>
      </c>
      <c r="H242" s="8">
        <v>1160</v>
      </c>
      <c r="I242" s="8">
        <v>1160</v>
      </c>
      <c r="J242" s="8">
        <v>103719148</v>
      </c>
      <c r="K242" s="9">
        <v>45293</v>
      </c>
      <c r="L242" s="9">
        <v>45931</v>
      </c>
      <c r="M242" s="8" t="s">
        <v>312</v>
      </c>
      <c r="O242" s="8" t="s">
        <v>1541</v>
      </c>
      <c r="P242" s="9">
        <v>45627</v>
      </c>
      <c r="Q242" s="24">
        <v>1642307132</v>
      </c>
      <c r="R242" s="8">
        <v>100</v>
      </c>
    </row>
    <row r="243" spans="1:18" ht="75">
      <c r="A243" s="8" t="s">
        <v>3358</v>
      </c>
      <c r="B243" s="8" t="s">
        <v>1311</v>
      </c>
      <c r="C243" s="8" t="s">
        <v>2203</v>
      </c>
      <c r="D243" s="8" t="s">
        <v>18</v>
      </c>
      <c r="E243" s="8" t="s">
        <v>312</v>
      </c>
      <c r="F243" s="8" t="s">
        <v>3359</v>
      </c>
      <c r="G243" s="8" t="s">
        <v>3360</v>
      </c>
      <c r="H243" s="8">
        <v>190</v>
      </c>
      <c r="I243" s="8">
        <v>190</v>
      </c>
      <c r="J243" s="8">
        <v>911468</v>
      </c>
      <c r="K243" s="9">
        <v>45422</v>
      </c>
      <c r="L243" s="9">
        <v>45870</v>
      </c>
      <c r="M243" s="8" t="s">
        <v>312</v>
      </c>
      <c r="O243" s="8" t="s">
        <v>1541</v>
      </c>
      <c r="P243" s="9">
        <v>45631</v>
      </c>
      <c r="Q243" s="24">
        <v>164112342</v>
      </c>
      <c r="R243" s="8">
        <v>140</v>
      </c>
    </row>
    <row r="244" spans="1:18" ht="60">
      <c r="A244" s="8" t="s">
        <v>3361</v>
      </c>
      <c r="B244" s="8" t="s">
        <v>1312</v>
      </c>
      <c r="C244" s="8" t="s">
        <v>2221</v>
      </c>
      <c r="D244" s="8" t="s">
        <v>18</v>
      </c>
      <c r="E244" s="8" t="s">
        <v>2217</v>
      </c>
      <c r="F244" s="8" t="s">
        <v>2217</v>
      </c>
      <c r="G244" s="8" t="s">
        <v>2217</v>
      </c>
      <c r="H244" s="8">
        <v>64</v>
      </c>
      <c r="I244" s="8">
        <v>64</v>
      </c>
      <c r="J244" s="8">
        <v>322.0643</v>
      </c>
      <c r="K244" s="9">
        <v>45434</v>
      </c>
      <c r="L244" s="9">
        <v>45679</v>
      </c>
      <c r="M244" s="8" t="s">
        <v>312</v>
      </c>
      <c r="O244" s="8" t="s">
        <v>1541</v>
      </c>
      <c r="P244" s="9">
        <v>45667</v>
      </c>
      <c r="Q244" s="24">
        <v>164122347</v>
      </c>
      <c r="R244" s="8">
        <v>145</v>
      </c>
    </row>
    <row r="245" spans="1:18" ht="60">
      <c r="A245" s="8" t="s">
        <v>3583</v>
      </c>
      <c r="B245" s="8" t="s">
        <v>1502</v>
      </c>
      <c r="C245" s="8" t="s">
        <v>2203</v>
      </c>
      <c r="D245" s="8" t="s">
        <v>18</v>
      </c>
      <c r="E245" s="8" t="s">
        <v>312</v>
      </c>
      <c r="F245" s="8" t="s">
        <v>3584</v>
      </c>
      <c r="G245" s="8" t="s">
        <v>3585</v>
      </c>
      <c r="H245" s="8">
        <v>1053</v>
      </c>
      <c r="I245" s="8">
        <v>63</v>
      </c>
      <c r="J245" s="8">
        <v>2521711118</v>
      </c>
      <c r="K245" s="9">
        <v>45225</v>
      </c>
      <c r="L245" s="9">
        <v>45723</v>
      </c>
      <c r="M245" s="8" t="s">
        <v>312</v>
      </c>
      <c r="O245" s="8" t="s">
        <v>1541</v>
      </c>
      <c r="P245" s="9">
        <v>45627</v>
      </c>
      <c r="Q245" s="24">
        <v>164072320</v>
      </c>
      <c r="R245" s="8">
        <v>160</v>
      </c>
    </row>
    <row r="246" spans="1:18" ht="60">
      <c r="A246" s="8" t="s">
        <v>3583</v>
      </c>
      <c r="B246" s="8" t="s">
        <v>1502</v>
      </c>
      <c r="C246" s="8" t="s">
        <v>2203</v>
      </c>
      <c r="D246" s="8" t="s">
        <v>18</v>
      </c>
      <c r="E246" s="8" t="s">
        <v>312</v>
      </c>
      <c r="F246" s="8" t="s">
        <v>3584</v>
      </c>
      <c r="G246" s="8" t="s">
        <v>3585</v>
      </c>
      <c r="H246" s="8">
        <v>1053</v>
      </c>
      <c r="I246" s="8">
        <v>90</v>
      </c>
      <c r="J246" s="8">
        <v>252122303</v>
      </c>
      <c r="K246" s="9">
        <v>45443</v>
      </c>
      <c r="L246" s="9">
        <v>45867</v>
      </c>
      <c r="M246" s="8" t="s">
        <v>312</v>
      </c>
      <c r="O246" s="8" t="s">
        <v>1541</v>
      </c>
      <c r="P246" s="9">
        <v>45645</v>
      </c>
      <c r="Q246" s="24">
        <v>1642310188</v>
      </c>
      <c r="R246" s="8">
        <v>200</v>
      </c>
    </row>
    <row r="247" spans="1:18" ht="60">
      <c r="A247" s="8" t="s">
        <v>3583</v>
      </c>
      <c r="B247" s="8" t="s">
        <v>1502</v>
      </c>
      <c r="C247" s="8" t="s">
        <v>2203</v>
      </c>
      <c r="D247" s="8" t="s">
        <v>18</v>
      </c>
      <c r="E247" s="8" t="s">
        <v>312</v>
      </c>
      <c r="F247" s="8" t="s">
        <v>3584</v>
      </c>
      <c r="G247" s="8" t="s">
        <v>3585</v>
      </c>
      <c r="H247" s="8">
        <v>1053</v>
      </c>
      <c r="I247" s="8">
        <v>900</v>
      </c>
      <c r="J247" s="8">
        <v>38120711</v>
      </c>
      <c r="K247" s="9">
        <v>45442</v>
      </c>
      <c r="L247" s="9">
        <v>45976</v>
      </c>
      <c r="M247" s="8" t="s">
        <v>312</v>
      </c>
      <c r="O247" s="8" t="s">
        <v>1541</v>
      </c>
      <c r="P247" s="9">
        <v>45627</v>
      </c>
      <c r="Q247" s="24">
        <v>1642307122</v>
      </c>
      <c r="R247" s="8">
        <v>365</v>
      </c>
    </row>
    <row r="248" spans="1:18" ht="60">
      <c r="A248" s="8" t="s">
        <v>3588</v>
      </c>
      <c r="B248" s="8" t="s">
        <v>1504</v>
      </c>
      <c r="C248" s="8" t="s">
        <v>2221</v>
      </c>
      <c r="D248" s="8" t="s">
        <v>18</v>
      </c>
      <c r="E248" s="8" t="s">
        <v>2217</v>
      </c>
      <c r="F248" s="8" t="s">
        <v>2217</v>
      </c>
      <c r="G248" s="8" t="s">
        <v>2217</v>
      </c>
      <c r="H248" s="8">
        <v>95</v>
      </c>
      <c r="I248" s="8">
        <v>95</v>
      </c>
      <c r="J248" s="8">
        <v>0</v>
      </c>
      <c r="K248" s="9">
        <v>45238</v>
      </c>
      <c r="L248" s="8" t="s">
        <v>2222</v>
      </c>
      <c r="M248" s="8" t="s">
        <v>1505</v>
      </c>
      <c r="O248" s="8" t="s">
        <v>1541</v>
      </c>
      <c r="P248" s="9">
        <v>45797</v>
      </c>
      <c r="Q248" s="24">
        <v>1642309160</v>
      </c>
      <c r="R248" s="8">
        <v>900</v>
      </c>
    </row>
    <row r="249" spans="1:18" ht="60">
      <c r="A249" s="8" t="s">
        <v>3589</v>
      </c>
      <c r="B249" s="8" t="s">
        <v>1506</v>
      </c>
      <c r="C249" s="8" t="s">
        <v>2203</v>
      </c>
      <c r="D249" s="8" t="s">
        <v>100</v>
      </c>
      <c r="E249" s="8" t="s">
        <v>1505</v>
      </c>
      <c r="F249" s="8" t="s">
        <v>1505</v>
      </c>
      <c r="G249" s="8" t="s">
        <v>3590</v>
      </c>
      <c r="H249" s="8">
        <v>1</v>
      </c>
      <c r="I249" s="8">
        <v>1</v>
      </c>
      <c r="J249" s="8">
        <v>115</v>
      </c>
      <c r="K249" s="9">
        <v>45257</v>
      </c>
      <c r="L249" s="9">
        <v>45512</v>
      </c>
      <c r="M249" s="8" t="s">
        <v>1505</v>
      </c>
      <c r="O249" s="8" t="s">
        <v>1838</v>
      </c>
      <c r="P249" s="9">
        <v>45737</v>
      </c>
      <c r="Q249" s="24">
        <v>270210811</v>
      </c>
      <c r="R249" s="8">
        <v>3</v>
      </c>
    </row>
    <row r="250" spans="1:18" ht="60">
      <c r="A250" s="8" t="s">
        <v>3621</v>
      </c>
      <c r="B250" s="8" t="s">
        <v>1541</v>
      </c>
      <c r="C250" s="8" t="s">
        <v>2203</v>
      </c>
      <c r="D250" s="8" t="s">
        <v>18</v>
      </c>
      <c r="E250" s="8" t="s">
        <v>312</v>
      </c>
      <c r="F250" s="8" t="s">
        <v>3622</v>
      </c>
      <c r="G250" s="8" t="s">
        <v>3623</v>
      </c>
      <c r="H250" s="8">
        <v>2612</v>
      </c>
      <c r="I250" s="8">
        <v>20</v>
      </c>
      <c r="J250" s="8">
        <v>164092339</v>
      </c>
      <c r="K250" s="9">
        <v>45307</v>
      </c>
      <c r="L250" s="9">
        <v>45627</v>
      </c>
      <c r="M250" s="8" t="s">
        <v>312</v>
      </c>
      <c r="O250" s="8" t="s">
        <v>1838</v>
      </c>
      <c r="P250" s="9">
        <v>45737</v>
      </c>
      <c r="Q250" s="24">
        <v>270122103</v>
      </c>
      <c r="R250" s="8">
        <v>103</v>
      </c>
    </row>
    <row r="251" spans="1:18" ht="60">
      <c r="A251" s="8" t="s">
        <v>3621</v>
      </c>
      <c r="B251" s="8" t="s">
        <v>1541</v>
      </c>
      <c r="C251" s="8" t="s">
        <v>2203</v>
      </c>
      <c r="D251" s="8" t="s">
        <v>18</v>
      </c>
      <c r="E251" s="8" t="s">
        <v>312</v>
      </c>
      <c r="F251" s="8" t="s">
        <v>3622</v>
      </c>
      <c r="G251" s="8" t="s">
        <v>3623</v>
      </c>
      <c r="H251" s="8">
        <v>2612</v>
      </c>
      <c r="I251" s="8">
        <v>44</v>
      </c>
      <c r="J251" s="8">
        <v>164112344</v>
      </c>
      <c r="K251" s="9">
        <v>45307</v>
      </c>
      <c r="L251" s="9">
        <v>45632</v>
      </c>
      <c r="M251" s="8" t="s">
        <v>312</v>
      </c>
      <c r="O251" s="8" t="s">
        <v>1838</v>
      </c>
      <c r="P251" s="9">
        <v>45791</v>
      </c>
      <c r="Q251" s="24">
        <v>270180725</v>
      </c>
      <c r="R251" s="8">
        <v>434</v>
      </c>
    </row>
    <row r="252" spans="1:18" ht="60">
      <c r="A252" s="8" t="s">
        <v>3621</v>
      </c>
      <c r="B252" s="8" t="s">
        <v>1541</v>
      </c>
      <c r="C252" s="8" t="s">
        <v>2203</v>
      </c>
      <c r="D252" s="8" t="s">
        <v>18</v>
      </c>
      <c r="E252" s="8" t="s">
        <v>312</v>
      </c>
      <c r="F252" s="8" t="s">
        <v>3622</v>
      </c>
      <c r="G252" s="8" t="s">
        <v>3623</v>
      </c>
      <c r="H252" s="8">
        <v>2612</v>
      </c>
      <c r="I252" s="8">
        <v>48</v>
      </c>
      <c r="J252" s="8">
        <v>1642310198</v>
      </c>
      <c r="K252" s="9">
        <v>45307</v>
      </c>
      <c r="L252" s="9">
        <v>45649</v>
      </c>
      <c r="M252" s="8" t="s">
        <v>312</v>
      </c>
      <c r="O252" s="8" t="s">
        <v>1839</v>
      </c>
      <c r="P252" s="9">
        <v>45649</v>
      </c>
      <c r="Q252" s="24">
        <v>61230917</v>
      </c>
      <c r="R252" s="8">
        <v>23</v>
      </c>
    </row>
    <row r="253" spans="1:18" ht="60">
      <c r="A253" s="8" t="s">
        <v>3621</v>
      </c>
      <c r="B253" s="8" t="s">
        <v>1541</v>
      </c>
      <c r="C253" s="8" t="s">
        <v>2203</v>
      </c>
      <c r="D253" s="8" t="s">
        <v>18</v>
      </c>
      <c r="E253" s="8" t="s">
        <v>312</v>
      </c>
      <c r="F253" s="8" t="s">
        <v>3622</v>
      </c>
      <c r="G253" s="8" t="s">
        <v>3623</v>
      </c>
      <c r="H253" s="8">
        <v>2612</v>
      </c>
      <c r="I253" s="8">
        <v>49</v>
      </c>
      <c r="J253" s="8">
        <v>1642307128</v>
      </c>
      <c r="K253" s="9">
        <v>45307</v>
      </c>
      <c r="L253" s="9">
        <v>45627</v>
      </c>
      <c r="M253" s="8" t="s">
        <v>312</v>
      </c>
      <c r="O253" s="8" t="s">
        <v>1839</v>
      </c>
      <c r="P253" s="9">
        <v>45776</v>
      </c>
      <c r="Q253" s="24">
        <v>61230915</v>
      </c>
      <c r="R253" s="8">
        <v>71</v>
      </c>
    </row>
    <row r="254" spans="1:18" ht="60">
      <c r="A254" s="8" t="s">
        <v>3621</v>
      </c>
      <c r="B254" s="8" t="s">
        <v>1541</v>
      </c>
      <c r="C254" s="8" t="s">
        <v>2203</v>
      </c>
      <c r="D254" s="8" t="s">
        <v>18</v>
      </c>
      <c r="E254" s="8" t="s">
        <v>312</v>
      </c>
      <c r="F254" s="8" t="s">
        <v>3622</v>
      </c>
      <c r="G254" s="8" t="s">
        <v>3623</v>
      </c>
      <c r="H254" s="8">
        <v>2612</v>
      </c>
      <c r="I254" s="8">
        <v>56</v>
      </c>
      <c r="J254" s="8">
        <v>164112343</v>
      </c>
      <c r="K254" s="9">
        <v>45307</v>
      </c>
      <c r="L254" s="9">
        <v>45631</v>
      </c>
      <c r="M254" s="8" t="s">
        <v>312</v>
      </c>
      <c r="O254" s="8" t="s">
        <v>1839</v>
      </c>
      <c r="P254" s="9">
        <v>45627</v>
      </c>
      <c r="Q254" s="24">
        <v>61230912</v>
      </c>
      <c r="R254" s="8">
        <v>94</v>
      </c>
    </row>
    <row r="255" spans="1:18" ht="60">
      <c r="A255" s="8" t="s">
        <v>3621</v>
      </c>
      <c r="B255" s="8" t="s">
        <v>1541</v>
      </c>
      <c r="C255" s="8" t="s">
        <v>2203</v>
      </c>
      <c r="D255" s="8" t="s">
        <v>18</v>
      </c>
      <c r="E255" s="8" t="s">
        <v>312</v>
      </c>
      <c r="F255" s="8" t="s">
        <v>3622</v>
      </c>
      <c r="G255" s="8" t="s">
        <v>3623</v>
      </c>
      <c r="H255" s="8">
        <v>2612</v>
      </c>
      <c r="I255" s="8">
        <v>64</v>
      </c>
      <c r="J255" s="8">
        <v>164230565</v>
      </c>
      <c r="K255" s="9">
        <v>45264</v>
      </c>
      <c r="L255" s="9">
        <v>45607</v>
      </c>
      <c r="M255" s="8" t="s">
        <v>312</v>
      </c>
      <c r="O255" s="8" t="s">
        <v>1839</v>
      </c>
      <c r="P255" s="9">
        <v>45649</v>
      </c>
      <c r="Q255" s="24">
        <v>61230911</v>
      </c>
      <c r="R255" s="8">
        <v>571</v>
      </c>
    </row>
    <row r="256" spans="1:18" ht="60">
      <c r="A256" s="8" t="s">
        <v>3621</v>
      </c>
      <c r="B256" s="8" t="s">
        <v>1541</v>
      </c>
      <c r="C256" s="8" t="s">
        <v>2203</v>
      </c>
      <c r="D256" s="8" t="s">
        <v>18</v>
      </c>
      <c r="E256" s="8" t="s">
        <v>312</v>
      </c>
      <c r="F256" s="8" t="s">
        <v>3622</v>
      </c>
      <c r="G256" s="8" t="s">
        <v>3623</v>
      </c>
      <c r="H256" s="8">
        <v>2612</v>
      </c>
      <c r="I256" s="8">
        <v>75</v>
      </c>
      <c r="J256" s="8">
        <v>1642309159</v>
      </c>
      <c r="K256" s="9">
        <v>45307</v>
      </c>
      <c r="L256" s="9">
        <v>45616</v>
      </c>
      <c r="M256" s="8" t="s">
        <v>312</v>
      </c>
      <c r="O256" s="8" t="s">
        <v>1839</v>
      </c>
      <c r="P256" s="9">
        <v>45797</v>
      </c>
      <c r="Q256" s="24">
        <v>61082312</v>
      </c>
      <c r="R256" s="8">
        <v>919</v>
      </c>
    </row>
    <row r="257" spans="1:18" ht="60">
      <c r="A257" s="8" t="s">
        <v>3621</v>
      </c>
      <c r="B257" s="8" t="s">
        <v>1541</v>
      </c>
      <c r="C257" s="8" t="s">
        <v>2203</v>
      </c>
      <c r="D257" s="8" t="s">
        <v>18</v>
      </c>
      <c r="E257" s="8" t="s">
        <v>312</v>
      </c>
      <c r="F257" s="8" t="s">
        <v>3622</v>
      </c>
      <c r="G257" s="8" t="s">
        <v>3623</v>
      </c>
      <c r="H257" s="8">
        <v>2612</v>
      </c>
      <c r="I257" s="8">
        <v>78</v>
      </c>
      <c r="J257" s="8">
        <v>1642307129</v>
      </c>
      <c r="K257" s="9">
        <v>45307</v>
      </c>
      <c r="L257" s="9">
        <v>45627</v>
      </c>
      <c r="M257" s="8" t="s">
        <v>312</v>
      </c>
      <c r="O257" s="8" t="s">
        <v>1866</v>
      </c>
      <c r="P257" s="9">
        <v>45534</v>
      </c>
      <c r="Q257" s="24">
        <v>73230805</v>
      </c>
      <c r="R257" s="8">
        <v>58</v>
      </c>
    </row>
    <row r="258" spans="1:18" ht="60">
      <c r="A258" s="8" t="s">
        <v>3621</v>
      </c>
      <c r="B258" s="8" t="s">
        <v>1541</v>
      </c>
      <c r="C258" s="8" t="s">
        <v>2203</v>
      </c>
      <c r="D258" s="8" t="s">
        <v>18</v>
      </c>
      <c r="E258" s="8" t="s">
        <v>312</v>
      </c>
      <c r="F258" s="8" t="s">
        <v>3622</v>
      </c>
      <c r="G258" s="8" t="s">
        <v>3623</v>
      </c>
      <c r="H258" s="8">
        <v>2612</v>
      </c>
      <c r="I258" s="8">
        <v>78</v>
      </c>
      <c r="J258" s="8">
        <v>164012401</v>
      </c>
      <c r="K258" s="9">
        <v>45451</v>
      </c>
      <c r="L258" s="9">
        <v>45797</v>
      </c>
      <c r="M258" s="8" t="s">
        <v>312</v>
      </c>
      <c r="O258" s="8" t="s">
        <v>1909</v>
      </c>
      <c r="P258" s="9">
        <v>46002</v>
      </c>
      <c r="Q258" s="24">
        <v>3392309302</v>
      </c>
      <c r="R258" s="8">
        <v>199</v>
      </c>
    </row>
    <row r="259" spans="1:18" ht="60">
      <c r="A259" s="8" t="s">
        <v>3621</v>
      </c>
      <c r="B259" s="8" t="s">
        <v>1541</v>
      </c>
      <c r="C259" s="8" t="s">
        <v>2203</v>
      </c>
      <c r="D259" s="8" t="s">
        <v>18</v>
      </c>
      <c r="E259" s="8" t="s">
        <v>312</v>
      </c>
      <c r="F259" s="8" t="s">
        <v>3622</v>
      </c>
      <c r="G259" s="8" t="s">
        <v>3623</v>
      </c>
      <c r="H259" s="8">
        <v>2612</v>
      </c>
      <c r="I259" s="8">
        <v>90</v>
      </c>
      <c r="J259" s="8">
        <v>164240312</v>
      </c>
      <c r="K259" s="9">
        <v>45443</v>
      </c>
      <c r="L259" s="9">
        <v>45791</v>
      </c>
      <c r="M259" s="8" t="s">
        <v>312</v>
      </c>
      <c r="O259" s="8" t="s">
        <v>1910</v>
      </c>
      <c r="P259" s="9">
        <v>45536</v>
      </c>
      <c r="Q259" s="24">
        <v>113832</v>
      </c>
      <c r="R259" s="8">
        <v>753</v>
      </c>
    </row>
    <row r="260" spans="1:18" ht="60">
      <c r="A260" s="8" t="s">
        <v>3621</v>
      </c>
      <c r="B260" s="8" t="s">
        <v>1541</v>
      </c>
      <c r="C260" s="8" t="s">
        <v>2203</v>
      </c>
      <c r="D260" s="8" t="s">
        <v>18</v>
      </c>
      <c r="E260" s="8" t="s">
        <v>312</v>
      </c>
      <c r="F260" s="8" t="s">
        <v>3622</v>
      </c>
      <c r="G260" s="8" t="s">
        <v>3623</v>
      </c>
      <c r="H260" s="8">
        <v>2612</v>
      </c>
      <c r="I260" s="8">
        <v>100</v>
      </c>
      <c r="J260" s="8">
        <v>1642307132</v>
      </c>
      <c r="K260" s="9">
        <v>45307</v>
      </c>
      <c r="L260" s="9">
        <v>45627</v>
      </c>
      <c r="M260" s="8" t="s">
        <v>312</v>
      </c>
      <c r="O260" s="8" t="s">
        <v>1911</v>
      </c>
      <c r="P260" s="9">
        <v>45695</v>
      </c>
      <c r="Q260" s="24">
        <v>216112232</v>
      </c>
      <c r="R260" s="8">
        <v>519</v>
      </c>
    </row>
    <row r="261" spans="1:18" ht="90">
      <c r="A261" s="8" t="s">
        <v>3621</v>
      </c>
      <c r="B261" s="8" t="s">
        <v>1541</v>
      </c>
      <c r="C261" s="8" t="s">
        <v>2203</v>
      </c>
      <c r="D261" s="8" t="s">
        <v>18</v>
      </c>
      <c r="E261" s="8" t="s">
        <v>312</v>
      </c>
      <c r="F261" s="8" t="s">
        <v>3622</v>
      </c>
      <c r="G261" s="8" t="s">
        <v>3623</v>
      </c>
      <c r="H261" s="8">
        <v>2612</v>
      </c>
      <c r="I261" s="8">
        <v>140</v>
      </c>
      <c r="J261" s="8">
        <v>164112342</v>
      </c>
      <c r="K261" s="9">
        <v>45307</v>
      </c>
      <c r="L261" s="9">
        <v>45631</v>
      </c>
      <c r="M261" s="8" t="s">
        <v>312</v>
      </c>
      <c r="O261" s="8" t="s">
        <v>1912</v>
      </c>
      <c r="P261" s="9">
        <v>45566</v>
      </c>
      <c r="Q261" s="24">
        <v>114083</v>
      </c>
      <c r="R261" s="8">
        <v>284</v>
      </c>
    </row>
    <row r="262" spans="1:18" ht="90">
      <c r="A262" s="8" t="s">
        <v>3621</v>
      </c>
      <c r="B262" s="8" t="s">
        <v>1541</v>
      </c>
      <c r="C262" s="8" t="s">
        <v>2203</v>
      </c>
      <c r="D262" s="8" t="s">
        <v>18</v>
      </c>
      <c r="E262" s="8" t="s">
        <v>312</v>
      </c>
      <c r="F262" s="8" t="s">
        <v>3622</v>
      </c>
      <c r="G262" s="8" t="s">
        <v>3623</v>
      </c>
      <c r="H262" s="8">
        <v>2612</v>
      </c>
      <c r="I262" s="8">
        <v>145</v>
      </c>
      <c r="J262" s="8">
        <v>164122347</v>
      </c>
      <c r="K262" s="9">
        <v>45307</v>
      </c>
      <c r="L262" s="9">
        <v>45667</v>
      </c>
      <c r="M262" s="8" t="s">
        <v>312</v>
      </c>
      <c r="O262" s="8" t="s">
        <v>1913</v>
      </c>
      <c r="P262" s="9">
        <v>45962</v>
      </c>
      <c r="Q262" s="24">
        <v>315821</v>
      </c>
      <c r="R262" s="8">
        <v>636</v>
      </c>
    </row>
    <row r="263" spans="1:18" ht="60">
      <c r="A263" s="8" t="s">
        <v>3621</v>
      </c>
      <c r="B263" s="8" t="s">
        <v>1541</v>
      </c>
      <c r="C263" s="8" t="s">
        <v>2203</v>
      </c>
      <c r="D263" s="8" t="s">
        <v>18</v>
      </c>
      <c r="E263" s="8" t="s">
        <v>312</v>
      </c>
      <c r="F263" s="8" t="s">
        <v>3622</v>
      </c>
      <c r="G263" s="8" t="s">
        <v>3623</v>
      </c>
      <c r="H263" s="8">
        <v>2612</v>
      </c>
      <c r="I263" s="8">
        <v>160</v>
      </c>
      <c r="J263" s="8">
        <v>164072320</v>
      </c>
      <c r="K263" s="9">
        <v>45307</v>
      </c>
      <c r="L263" s="9">
        <v>45627</v>
      </c>
      <c r="M263" s="8" t="s">
        <v>312</v>
      </c>
      <c r="O263" s="8" t="s">
        <v>2045</v>
      </c>
      <c r="P263" s="9">
        <v>45831</v>
      </c>
      <c r="Q263" s="24">
        <v>211210822</v>
      </c>
      <c r="R263" s="8">
        <v>4</v>
      </c>
    </row>
    <row r="264" spans="1:18" ht="60">
      <c r="A264" s="8" t="s">
        <v>3621</v>
      </c>
      <c r="B264" s="8" t="s">
        <v>1541</v>
      </c>
      <c r="C264" s="8" t="s">
        <v>2203</v>
      </c>
      <c r="D264" s="8" t="s">
        <v>18</v>
      </c>
      <c r="E264" s="8" t="s">
        <v>312</v>
      </c>
      <c r="F264" s="8" t="s">
        <v>3622</v>
      </c>
      <c r="G264" s="8" t="s">
        <v>3623</v>
      </c>
      <c r="H264" s="8">
        <v>2612</v>
      </c>
      <c r="I264" s="8">
        <v>200</v>
      </c>
      <c r="J264" s="8">
        <v>1642310188</v>
      </c>
      <c r="K264" s="9">
        <v>45307</v>
      </c>
      <c r="L264" s="9">
        <v>45645</v>
      </c>
      <c r="M264" s="8" t="s">
        <v>312</v>
      </c>
      <c r="O264" s="8" t="s">
        <v>2046</v>
      </c>
      <c r="P264" s="9">
        <v>45660</v>
      </c>
      <c r="Q264" s="24">
        <v>211211324</v>
      </c>
      <c r="R264" s="8">
        <v>46</v>
      </c>
    </row>
    <row r="265" spans="1:18" ht="60">
      <c r="A265" s="8" t="s">
        <v>3621</v>
      </c>
      <c r="B265" s="8" t="s">
        <v>1541</v>
      </c>
      <c r="C265" s="8" t="s">
        <v>2203</v>
      </c>
      <c r="D265" s="8" t="s">
        <v>18</v>
      </c>
      <c r="E265" s="8" t="s">
        <v>312</v>
      </c>
      <c r="F265" s="8" t="s">
        <v>3622</v>
      </c>
      <c r="G265" s="8" t="s">
        <v>3623</v>
      </c>
      <c r="H265" s="8">
        <v>2612</v>
      </c>
      <c r="I265" s="8">
        <v>365</v>
      </c>
      <c r="J265" s="8">
        <v>1642307122</v>
      </c>
      <c r="K265" s="9">
        <v>45299</v>
      </c>
      <c r="L265" s="9">
        <v>45627</v>
      </c>
      <c r="M265" s="8" t="s">
        <v>312</v>
      </c>
      <c r="O265" s="8" t="s">
        <v>2046</v>
      </c>
      <c r="P265" s="9">
        <v>45607</v>
      </c>
      <c r="Q265" s="24">
        <v>211208204</v>
      </c>
      <c r="R265" s="8">
        <v>173</v>
      </c>
    </row>
    <row r="266" spans="1:18" ht="60">
      <c r="A266" s="8" t="s">
        <v>3621</v>
      </c>
      <c r="B266" s="8" t="s">
        <v>1541</v>
      </c>
      <c r="C266" s="8" t="s">
        <v>2203</v>
      </c>
      <c r="D266" s="8" t="s">
        <v>18</v>
      </c>
      <c r="E266" s="8" t="s">
        <v>312</v>
      </c>
      <c r="F266" s="8" t="s">
        <v>3622</v>
      </c>
      <c r="G266" s="8" t="s">
        <v>3623</v>
      </c>
      <c r="H266" s="8">
        <v>2612</v>
      </c>
      <c r="I266" s="8">
        <v>900</v>
      </c>
      <c r="J266" s="8">
        <v>1642309160</v>
      </c>
      <c r="K266" s="9">
        <v>45442</v>
      </c>
      <c r="L266" s="9">
        <v>45797</v>
      </c>
      <c r="M266" s="8" t="s">
        <v>312</v>
      </c>
      <c r="O266" s="8" t="s">
        <v>2047</v>
      </c>
      <c r="P266" s="9">
        <v>45865</v>
      </c>
      <c r="Q266" s="24">
        <v>20062306</v>
      </c>
      <c r="R266" s="8">
        <v>60</v>
      </c>
    </row>
    <row r="267" spans="1:18" ht="60">
      <c r="A267" s="8" t="s">
        <v>3923</v>
      </c>
      <c r="B267" s="8" t="s">
        <v>1838</v>
      </c>
      <c r="C267" s="8" t="s">
        <v>2203</v>
      </c>
      <c r="D267" s="8" t="s">
        <v>18</v>
      </c>
      <c r="E267" s="8" t="s">
        <v>312</v>
      </c>
      <c r="F267" s="8" t="s">
        <v>3924</v>
      </c>
      <c r="G267" s="8" t="s">
        <v>3925</v>
      </c>
      <c r="H267" s="8">
        <v>540</v>
      </c>
      <c r="I267" s="8">
        <v>3</v>
      </c>
      <c r="J267" s="8">
        <v>270210811</v>
      </c>
      <c r="K267" s="9">
        <v>45451</v>
      </c>
      <c r="L267" s="9">
        <v>45737</v>
      </c>
      <c r="M267" s="8" t="s">
        <v>312</v>
      </c>
      <c r="O267" s="8" t="s">
        <v>2047</v>
      </c>
      <c r="P267" s="9">
        <v>45982</v>
      </c>
      <c r="Q267" s="24">
        <v>20220822</v>
      </c>
      <c r="R267" s="8">
        <v>594</v>
      </c>
    </row>
    <row r="268" spans="1:18" ht="60">
      <c r="A268" s="8" t="s">
        <v>3923</v>
      </c>
      <c r="B268" s="8" t="s">
        <v>1838</v>
      </c>
      <c r="C268" s="8" t="s">
        <v>2203</v>
      </c>
      <c r="D268" s="8" t="s">
        <v>18</v>
      </c>
      <c r="E268" s="8" t="s">
        <v>312</v>
      </c>
      <c r="F268" s="8" t="s">
        <v>3924</v>
      </c>
      <c r="G268" s="8" t="s">
        <v>3925</v>
      </c>
      <c r="H268" s="8">
        <v>540</v>
      </c>
      <c r="I268" s="8">
        <v>103</v>
      </c>
      <c r="J268" s="8">
        <v>270122103</v>
      </c>
      <c r="K268" s="9">
        <v>45451</v>
      </c>
      <c r="L268" s="9">
        <v>45737</v>
      </c>
      <c r="M268" s="8" t="s">
        <v>312</v>
      </c>
      <c r="O268" s="8" t="s">
        <v>2048</v>
      </c>
      <c r="P268" s="9">
        <v>45654</v>
      </c>
      <c r="Q268" s="24">
        <v>24121160</v>
      </c>
      <c r="R268" s="8">
        <v>90</v>
      </c>
    </row>
    <row r="269" spans="1:18" ht="60">
      <c r="A269" s="8" t="s">
        <v>3923</v>
      </c>
      <c r="B269" s="8" t="s">
        <v>1838</v>
      </c>
      <c r="C269" s="8" t="s">
        <v>2203</v>
      </c>
      <c r="D269" s="8" t="s">
        <v>18</v>
      </c>
      <c r="E269" s="8" t="s">
        <v>312</v>
      </c>
      <c r="F269" s="8" t="s">
        <v>3924</v>
      </c>
      <c r="G269" s="8" t="s">
        <v>3925</v>
      </c>
      <c r="H269" s="8">
        <v>540</v>
      </c>
      <c r="I269" s="8">
        <v>434</v>
      </c>
      <c r="J269" s="8">
        <v>270180725</v>
      </c>
      <c r="K269" s="9">
        <v>45451</v>
      </c>
      <c r="L269" s="9">
        <v>45791</v>
      </c>
      <c r="M269" s="8" t="s">
        <v>312</v>
      </c>
      <c r="O269" s="8" t="s">
        <v>2048</v>
      </c>
      <c r="P269" s="9">
        <v>45612</v>
      </c>
      <c r="Q269" s="24">
        <v>24031306</v>
      </c>
      <c r="R269" s="8">
        <v>235</v>
      </c>
    </row>
    <row r="270" spans="1:18" ht="60">
      <c r="A270" s="8" t="s">
        <v>3926</v>
      </c>
      <c r="B270" s="8" t="s">
        <v>1839</v>
      </c>
      <c r="C270" s="8" t="s">
        <v>2203</v>
      </c>
      <c r="D270" s="8" t="s">
        <v>18</v>
      </c>
      <c r="E270" s="8" t="s">
        <v>312</v>
      </c>
      <c r="F270" s="8" t="s">
        <v>3924</v>
      </c>
      <c r="G270" s="8" t="s">
        <v>3927</v>
      </c>
      <c r="H270" s="8">
        <v>1678</v>
      </c>
      <c r="I270" s="8">
        <v>23</v>
      </c>
      <c r="J270" s="8">
        <v>61230917</v>
      </c>
      <c r="K270" s="9">
        <v>45310</v>
      </c>
      <c r="L270" s="9">
        <v>45649</v>
      </c>
      <c r="M270" s="8" t="s">
        <v>312</v>
      </c>
      <c r="O270" s="8" t="s">
        <v>2055</v>
      </c>
      <c r="P270" s="9">
        <v>45919</v>
      </c>
      <c r="Q270" s="24">
        <v>2292009137</v>
      </c>
      <c r="R270" s="8">
        <v>55</v>
      </c>
    </row>
    <row r="271" spans="1:18" ht="60">
      <c r="A271" s="8" t="s">
        <v>3926</v>
      </c>
      <c r="B271" s="8" t="s">
        <v>1839</v>
      </c>
      <c r="C271" s="8" t="s">
        <v>2203</v>
      </c>
      <c r="D271" s="8" t="s">
        <v>18</v>
      </c>
      <c r="E271" s="8" t="s">
        <v>312</v>
      </c>
      <c r="F271" s="8" t="s">
        <v>3924</v>
      </c>
      <c r="G271" s="8" t="s">
        <v>3927</v>
      </c>
      <c r="H271" s="8">
        <v>1678</v>
      </c>
      <c r="I271" s="8">
        <v>71</v>
      </c>
      <c r="J271" s="8">
        <v>61230915</v>
      </c>
      <c r="K271" s="9">
        <v>45443</v>
      </c>
      <c r="L271" s="9">
        <v>45776</v>
      </c>
      <c r="M271" s="8" t="s">
        <v>312</v>
      </c>
      <c r="O271" s="8" t="s">
        <v>2055</v>
      </c>
      <c r="P271" s="9">
        <v>45931</v>
      </c>
      <c r="Q271" s="24">
        <v>2292009136</v>
      </c>
      <c r="R271" s="8">
        <v>945</v>
      </c>
    </row>
    <row r="272" spans="1:18" ht="60">
      <c r="A272" s="8" t="s">
        <v>3926</v>
      </c>
      <c r="B272" s="8" t="s">
        <v>1839</v>
      </c>
      <c r="C272" s="8" t="s">
        <v>2203</v>
      </c>
      <c r="D272" s="8" t="s">
        <v>18</v>
      </c>
      <c r="E272" s="8" t="s">
        <v>312</v>
      </c>
      <c r="F272" s="8" t="s">
        <v>3924</v>
      </c>
      <c r="G272" s="8" t="s">
        <v>3927</v>
      </c>
      <c r="H272" s="8">
        <v>1678</v>
      </c>
      <c r="I272" s="8">
        <v>94</v>
      </c>
      <c r="J272" s="8">
        <v>61230912</v>
      </c>
      <c r="K272" s="9">
        <v>45279</v>
      </c>
      <c r="L272" s="9">
        <v>45627</v>
      </c>
      <c r="M272" s="8" t="s">
        <v>312</v>
      </c>
      <c r="O272" s="8" t="s">
        <v>2056</v>
      </c>
      <c r="P272" s="9">
        <v>45959</v>
      </c>
      <c r="Q272" s="24">
        <v>2712404484</v>
      </c>
      <c r="R272" s="8">
        <v>8</v>
      </c>
    </row>
    <row r="273" spans="1:18" ht="60">
      <c r="A273" s="8" t="s">
        <v>3926</v>
      </c>
      <c r="B273" s="8" t="s">
        <v>1839</v>
      </c>
      <c r="C273" s="8" t="s">
        <v>2203</v>
      </c>
      <c r="D273" s="8" t="s">
        <v>18</v>
      </c>
      <c r="E273" s="8" t="s">
        <v>312</v>
      </c>
      <c r="F273" s="8" t="s">
        <v>3924</v>
      </c>
      <c r="G273" s="8" t="s">
        <v>3927</v>
      </c>
      <c r="H273" s="8">
        <v>1678</v>
      </c>
      <c r="I273" s="8">
        <v>571</v>
      </c>
      <c r="J273" s="8">
        <v>61230911</v>
      </c>
      <c r="K273" s="9">
        <v>45310</v>
      </c>
      <c r="L273" s="9">
        <v>45649</v>
      </c>
      <c r="M273" s="8" t="s">
        <v>312</v>
      </c>
      <c r="O273" s="8" t="s">
        <v>2056</v>
      </c>
      <c r="P273" s="9">
        <v>45994</v>
      </c>
      <c r="Q273" s="24">
        <v>2712403391</v>
      </c>
      <c r="R273" s="8">
        <v>22</v>
      </c>
    </row>
    <row r="274" spans="1:18" ht="60">
      <c r="A274" s="8" t="s">
        <v>3926</v>
      </c>
      <c r="B274" s="8" t="s">
        <v>1839</v>
      </c>
      <c r="C274" s="8" t="s">
        <v>2203</v>
      </c>
      <c r="D274" s="8" t="s">
        <v>18</v>
      </c>
      <c r="E274" s="8" t="s">
        <v>312</v>
      </c>
      <c r="F274" s="8" t="s">
        <v>3924</v>
      </c>
      <c r="G274" s="8" t="s">
        <v>3927</v>
      </c>
      <c r="H274" s="8">
        <v>1678</v>
      </c>
      <c r="I274" s="8">
        <v>919</v>
      </c>
      <c r="J274" s="8">
        <v>61082312</v>
      </c>
      <c r="K274" s="9">
        <v>45442</v>
      </c>
      <c r="L274" s="9">
        <v>45797</v>
      </c>
      <c r="M274" s="8" t="s">
        <v>312</v>
      </c>
      <c r="O274" s="8" t="s">
        <v>2056</v>
      </c>
      <c r="P274" s="9">
        <v>45959</v>
      </c>
      <c r="Q274" s="24">
        <v>2712404502</v>
      </c>
      <c r="R274" s="8">
        <v>27</v>
      </c>
    </row>
    <row r="275" spans="1:18" ht="60">
      <c r="A275" s="8" t="s">
        <v>3935</v>
      </c>
      <c r="B275" s="8" t="s">
        <v>1866</v>
      </c>
      <c r="C275" s="8" t="s">
        <v>2203</v>
      </c>
      <c r="D275" s="8" t="s">
        <v>18</v>
      </c>
      <c r="E275" s="8" t="s">
        <v>312</v>
      </c>
      <c r="F275" s="8" t="s">
        <v>1054</v>
      </c>
      <c r="G275" s="8" t="s">
        <v>3936</v>
      </c>
      <c r="H275" s="8">
        <v>58</v>
      </c>
      <c r="I275" s="8">
        <v>58</v>
      </c>
      <c r="J275" s="8">
        <v>73230805</v>
      </c>
      <c r="K275" s="9">
        <v>45192</v>
      </c>
      <c r="L275" s="9">
        <v>45534</v>
      </c>
      <c r="M275" s="8" t="s">
        <v>426</v>
      </c>
      <c r="O275" s="8" t="s">
        <v>2056</v>
      </c>
      <c r="P275" s="9">
        <v>45959</v>
      </c>
      <c r="Q275" s="24">
        <v>2712404492</v>
      </c>
      <c r="R275" s="8">
        <v>44</v>
      </c>
    </row>
    <row r="276" spans="1:18" ht="60">
      <c r="A276" s="8" t="s">
        <v>3981</v>
      </c>
      <c r="B276" s="8" t="s">
        <v>1909</v>
      </c>
      <c r="C276" s="8" t="s">
        <v>2203</v>
      </c>
      <c r="D276" s="8" t="s">
        <v>18</v>
      </c>
      <c r="E276" s="8" t="s">
        <v>312</v>
      </c>
      <c r="F276" s="8" t="s">
        <v>3982</v>
      </c>
      <c r="G276" s="8" t="s">
        <v>3983</v>
      </c>
      <c r="H276" s="8">
        <v>199</v>
      </c>
      <c r="I276" s="8">
        <v>199</v>
      </c>
      <c r="J276" s="8">
        <v>3392309302</v>
      </c>
      <c r="K276" s="9">
        <v>45461</v>
      </c>
      <c r="L276" s="9">
        <v>46002</v>
      </c>
      <c r="M276" s="8" t="s">
        <v>312</v>
      </c>
      <c r="O276" s="8" t="s">
        <v>2056</v>
      </c>
      <c r="P276" s="9">
        <v>45853</v>
      </c>
      <c r="Q276" s="24">
        <v>271012406</v>
      </c>
      <c r="R276" s="8">
        <v>49</v>
      </c>
    </row>
    <row r="277" spans="1:18" ht="60">
      <c r="A277" s="8" t="s">
        <v>3986</v>
      </c>
      <c r="B277" s="8" t="s">
        <v>1910</v>
      </c>
      <c r="C277" s="8" t="s">
        <v>2203</v>
      </c>
      <c r="D277" s="8" t="s">
        <v>18</v>
      </c>
      <c r="E277" s="8" t="s">
        <v>312</v>
      </c>
      <c r="F277" s="8" t="s">
        <v>3984</v>
      </c>
      <c r="G277" s="8" t="s">
        <v>3985</v>
      </c>
      <c r="H277" s="8">
        <v>753</v>
      </c>
      <c r="I277" s="8">
        <v>753</v>
      </c>
      <c r="J277" s="8">
        <v>113832</v>
      </c>
      <c r="K277" s="9">
        <v>45010</v>
      </c>
      <c r="L277" s="9">
        <v>45536</v>
      </c>
      <c r="M277" s="8" t="s">
        <v>312</v>
      </c>
      <c r="O277" s="8" t="s">
        <v>2056</v>
      </c>
      <c r="P277" s="9">
        <v>45994</v>
      </c>
      <c r="Q277" s="24">
        <v>2712404427</v>
      </c>
      <c r="R277" s="8">
        <v>49</v>
      </c>
    </row>
    <row r="278" spans="1:18" ht="60">
      <c r="A278" s="8" t="s">
        <v>3987</v>
      </c>
      <c r="B278" s="8" t="s">
        <v>1911</v>
      </c>
      <c r="C278" s="8" t="s">
        <v>2203</v>
      </c>
      <c r="D278" s="8" t="s">
        <v>18</v>
      </c>
      <c r="E278" s="8" t="s">
        <v>312</v>
      </c>
      <c r="F278" s="8" t="s">
        <v>3982</v>
      </c>
      <c r="G278" s="8" t="s">
        <v>3988</v>
      </c>
      <c r="H278" s="8">
        <v>519</v>
      </c>
      <c r="I278" s="8">
        <v>519</v>
      </c>
      <c r="J278" s="8">
        <v>216112232</v>
      </c>
      <c r="K278" s="9">
        <v>45157</v>
      </c>
      <c r="L278" s="9">
        <v>45695</v>
      </c>
      <c r="M278" s="8" t="s">
        <v>312</v>
      </c>
      <c r="O278" s="8" t="s">
        <v>2056</v>
      </c>
      <c r="P278" s="9">
        <v>45959</v>
      </c>
      <c r="Q278" s="24">
        <v>2712404507</v>
      </c>
      <c r="R278" s="8">
        <v>83</v>
      </c>
    </row>
    <row r="279" spans="1:18" ht="90">
      <c r="A279" s="8" t="s">
        <v>3989</v>
      </c>
      <c r="B279" s="8" t="s">
        <v>1912</v>
      </c>
      <c r="C279" s="8" t="s">
        <v>2203</v>
      </c>
      <c r="D279" s="8" t="s">
        <v>18</v>
      </c>
      <c r="E279" s="8" t="s">
        <v>312</v>
      </c>
      <c r="F279" s="8" t="s">
        <v>3990</v>
      </c>
      <c r="G279" s="8" t="s">
        <v>3991</v>
      </c>
      <c r="H279" s="8">
        <v>284</v>
      </c>
      <c r="I279" s="8">
        <v>284</v>
      </c>
      <c r="J279" s="8">
        <v>114083</v>
      </c>
      <c r="K279" s="9">
        <v>45009</v>
      </c>
      <c r="L279" s="9">
        <v>45566</v>
      </c>
      <c r="M279" s="8" t="s">
        <v>312</v>
      </c>
      <c r="O279" s="8" t="s">
        <v>2056</v>
      </c>
      <c r="P279" s="9">
        <v>45959</v>
      </c>
      <c r="Q279" s="24">
        <v>2712404503</v>
      </c>
      <c r="R279" s="8">
        <v>114</v>
      </c>
    </row>
    <row r="280" spans="1:18" ht="90">
      <c r="A280" s="8" t="s">
        <v>3992</v>
      </c>
      <c r="B280" s="8" t="s">
        <v>1913</v>
      </c>
      <c r="C280" s="8" t="s">
        <v>2203</v>
      </c>
      <c r="D280" s="8" t="s">
        <v>18</v>
      </c>
      <c r="E280" s="8" t="s">
        <v>312</v>
      </c>
      <c r="F280" s="8" t="s">
        <v>3990</v>
      </c>
      <c r="G280" s="8" t="s">
        <v>3991</v>
      </c>
      <c r="H280" s="8">
        <v>636</v>
      </c>
      <c r="I280" s="8">
        <v>636</v>
      </c>
      <c r="J280" s="8">
        <v>315821</v>
      </c>
      <c r="K280" s="9">
        <v>45456</v>
      </c>
      <c r="L280" s="9">
        <v>45962</v>
      </c>
      <c r="M280" s="8" t="s">
        <v>312</v>
      </c>
      <c r="O280" s="8" t="s">
        <v>2056</v>
      </c>
      <c r="P280" s="9">
        <v>45959</v>
      </c>
      <c r="Q280" s="24">
        <v>2712404501</v>
      </c>
      <c r="R280" s="8">
        <v>115</v>
      </c>
    </row>
    <row r="281" spans="1:18" ht="60">
      <c r="A281" s="8" t="s">
        <v>4131</v>
      </c>
      <c r="B281" s="8" t="s">
        <v>2045</v>
      </c>
      <c r="C281" s="8" t="s">
        <v>2203</v>
      </c>
      <c r="D281" s="8" t="s">
        <v>18</v>
      </c>
      <c r="E281" s="8" t="s">
        <v>312</v>
      </c>
      <c r="F281" s="8" t="s">
        <v>1054</v>
      </c>
      <c r="G281" s="8" t="s">
        <v>4132</v>
      </c>
      <c r="H281" s="8">
        <v>4</v>
      </c>
      <c r="I281" s="8">
        <v>4</v>
      </c>
      <c r="J281" s="8">
        <v>211210822</v>
      </c>
      <c r="K281" s="9">
        <v>45299</v>
      </c>
      <c r="L281" s="9">
        <v>45831</v>
      </c>
      <c r="M281" s="8" t="s">
        <v>312</v>
      </c>
      <c r="O281" s="8" t="s">
        <v>2056</v>
      </c>
      <c r="P281" s="9">
        <v>45959</v>
      </c>
      <c r="Q281" s="24">
        <v>2712404486</v>
      </c>
      <c r="R281" s="8">
        <v>117</v>
      </c>
    </row>
    <row r="282" spans="1:18" ht="60">
      <c r="A282" s="8" t="s">
        <v>4133</v>
      </c>
      <c r="B282" s="8" t="s">
        <v>2046</v>
      </c>
      <c r="C282" s="8" t="s">
        <v>2203</v>
      </c>
      <c r="D282" s="8" t="s">
        <v>18</v>
      </c>
      <c r="E282" s="8" t="s">
        <v>312</v>
      </c>
      <c r="F282" s="8" t="s">
        <v>4134</v>
      </c>
      <c r="G282" s="8" t="s">
        <v>4135</v>
      </c>
      <c r="H282" s="8">
        <v>219</v>
      </c>
      <c r="I282" s="8">
        <v>46</v>
      </c>
      <c r="J282" s="8">
        <v>211211324</v>
      </c>
      <c r="K282" s="9">
        <v>45168</v>
      </c>
      <c r="L282" s="9">
        <v>45660</v>
      </c>
      <c r="M282" s="8" t="s">
        <v>312</v>
      </c>
      <c r="O282" s="8" t="s">
        <v>2056</v>
      </c>
      <c r="P282" s="9">
        <v>45995</v>
      </c>
      <c r="Q282" s="24">
        <v>2712403411</v>
      </c>
      <c r="R282" s="8">
        <v>119</v>
      </c>
    </row>
    <row r="283" spans="1:18" ht="60">
      <c r="A283" s="8" t="s">
        <v>4133</v>
      </c>
      <c r="B283" s="8" t="s">
        <v>2046</v>
      </c>
      <c r="C283" s="8" t="s">
        <v>2203</v>
      </c>
      <c r="D283" s="8" t="s">
        <v>18</v>
      </c>
      <c r="E283" s="8" t="s">
        <v>312</v>
      </c>
      <c r="F283" s="8" t="s">
        <v>4134</v>
      </c>
      <c r="G283" s="8" t="s">
        <v>4135</v>
      </c>
      <c r="H283" s="8">
        <v>219</v>
      </c>
      <c r="I283" s="8">
        <v>173</v>
      </c>
      <c r="J283" s="8">
        <v>211208204</v>
      </c>
      <c r="K283" s="9">
        <v>45099</v>
      </c>
      <c r="L283" s="9">
        <v>45607</v>
      </c>
      <c r="M283" s="8" t="s">
        <v>312</v>
      </c>
      <c r="O283" s="8" t="s">
        <v>2056</v>
      </c>
      <c r="P283" s="9">
        <v>45999</v>
      </c>
      <c r="Q283" s="24">
        <v>2712404472</v>
      </c>
      <c r="R283" s="8">
        <v>119</v>
      </c>
    </row>
    <row r="284" spans="1:18" ht="60">
      <c r="A284" s="8" t="s">
        <v>4136</v>
      </c>
      <c r="B284" s="8" t="s">
        <v>2047</v>
      </c>
      <c r="C284" s="8" t="s">
        <v>2203</v>
      </c>
      <c r="D284" s="8" t="s">
        <v>18</v>
      </c>
      <c r="E284" s="8" t="s">
        <v>312</v>
      </c>
      <c r="F284" s="8" t="s">
        <v>4134</v>
      </c>
      <c r="G284" s="8" t="s">
        <v>4137</v>
      </c>
      <c r="H284" s="8">
        <v>654</v>
      </c>
      <c r="I284" s="8">
        <v>60</v>
      </c>
      <c r="J284" s="8">
        <v>20062306</v>
      </c>
      <c r="K284" s="9">
        <v>45401</v>
      </c>
      <c r="L284" s="9">
        <v>45865</v>
      </c>
      <c r="M284" s="8" t="s">
        <v>312</v>
      </c>
      <c r="O284" s="8" t="s">
        <v>2056</v>
      </c>
      <c r="P284" s="9">
        <v>45995</v>
      </c>
      <c r="Q284" s="24">
        <v>2712403390</v>
      </c>
      <c r="R284" s="8">
        <v>122</v>
      </c>
    </row>
    <row r="285" spans="1:18" ht="60">
      <c r="A285" s="8" t="s">
        <v>4136</v>
      </c>
      <c r="B285" s="8" t="s">
        <v>2047</v>
      </c>
      <c r="C285" s="8" t="s">
        <v>2203</v>
      </c>
      <c r="D285" s="8" t="s">
        <v>18</v>
      </c>
      <c r="E285" s="8" t="s">
        <v>312</v>
      </c>
      <c r="F285" s="8" t="s">
        <v>4134</v>
      </c>
      <c r="G285" s="8" t="s">
        <v>4137</v>
      </c>
      <c r="H285" s="8">
        <v>654</v>
      </c>
      <c r="I285" s="8">
        <v>594</v>
      </c>
      <c r="J285" s="8">
        <v>20220822</v>
      </c>
      <c r="K285" s="9">
        <v>45442</v>
      </c>
      <c r="L285" s="9">
        <v>45982</v>
      </c>
      <c r="M285" s="8" t="s">
        <v>312</v>
      </c>
      <c r="O285" s="8" t="s">
        <v>2056</v>
      </c>
      <c r="P285" s="9">
        <v>45952</v>
      </c>
      <c r="Q285" s="24">
        <v>2712404417</v>
      </c>
      <c r="R285" s="8">
        <v>128</v>
      </c>
    </row>
    <row r="286" spans="1:18" ht="60">
      <c r="A286" s="8" t="s">
        <v>4138</v>
      </c>
      <c r="B286" s="8" t="s">
        <v>2048</v>
      </c>
      <c r="C286" s="8" t="s">
        <v>2203</v>
      </c>
      <c r="D286" s="8" t="s">
        <v>18</v>
      </c>
      <c r="E286" s="8" t="s">
        <v>312</v>
      </c>
      <c r="F286" s="8" t="s">
        <v>4134</v>
      </c>
      <c r="G286" s="8" t="s">
        <v>4139</v>
      </c>
      <c r="H286" s="8">
        <v>325</v>
      </c>
      <c r="I286" s="8">
        <v>90</v>
      </c>
      <c r="J286" s="8">
        <v>24121160</v>
      </c>
      <c r="K286" s="9">
        <v>45168</v>
      </c>
      <c r="L286" s="9">
        <v>45654</v>
      </c>
      <c r="M286" s="8" t="s">
        <v>312</v>
      </c>
      <c r="O286" s="8" t="s">
        <v>2056</v>
      </c>
      <c r="P286" s="9">
        <v>45995</v>
      </c>
      <c r="Q286" s="24">
        <v>2712403410</v>
      </c>
      <c r="R286" s="8">
        <v>159</v>
      </c>
    </row>
    <row r="287" spans="1:18" ht="60">
      <c r="A287" s="8" t="s">
        <v>4138</v>
      </c>
      <c r="B287" s="8" t="s">
        <v>2048</v>
      </c>
      <c r="C287" s="8" t="s">
        <v>2203</v>
      </c>
      <c r="D287" s="8" t="s">
        <v>18</v>
      </c>
      <c r="E287" s="8" t="s">
        <v>312</v>
      </c>
      <c r="F287" s="8" t="s">
        <v>4134</v>
      </c>
      <c r="G287" s="8" t="s">
        <v>4139</v>
      </c>
      <c r="H287" s="8">
        <v>325</v>
      </c>
      <c r="I287" s="8">
        <v>235</v>
      </c>
      <c r="J287" s="8">
        <v>24031306</v>
      </c>
      <c r="K287" s="9">
        <v>45104</v>
      </c>
      <c r="L287" s="9">
        <v>45612</v>
      </c>
      <c r="M287" s="8" t="s">
        <v>312</v>
      </c>
      <c r="O287" s="8" t="s">
        <v>2056</v>
      </c>
      <c r="P287" s="9">
        <v>45995</v>
      </c>
      <c r="Q287" s="24">
        <v>2712404413</v>
      </c>
      <c r="R287" s="8">
        <v>179</v>
      </c>
    </row>
    <row r="288" spans="1:18" ht="60">
      <c r="A288" s="8" t="s">
        <v>4146</v>
      </c>
      <c r="B288" s="8" t="s">
        <v>2055</v>
      </c>
      <c r="C288" s="8" t="s">
        <v>2203</v>
      </c>
      <c r="D288" s="8" t="s">
        <v>18</v>
      </c>
      <c r="E288" s="8" t="s">
        <v>312</v>
      </c>
      <c r="F288" s="8" t="s">
        <v>4144</v>
      </c>
      <c r="G288" s="8" t="s">
        <v>4147</v>
      </c>
      <c r="H288" s="8">
        <v>1000</v>
      </c>
      <c r="I288" s="8">
        <v>55</v>
      </c>
      <c r="J288" s="8">
        <v>2292009137</v>
      </c>
      <c r="K288" s="9">
        <v>45383</v>
      </c>
      <c r="L288" s="9">
        <v>45919</v>
      </c>
      <c r="M288" s="8" t="s">
        <v>312</v>
      </c>
      <c r="O288" s="8" t="s">
        <v>2056</v>
      </c>
      <c r="P288" s="9">
        <v>45995</v>
      </c>
      <c r="Q288" s="24">
        <v>2712403388</v>
      </c>
      <c r="R288" s="8">
        <v>183</v>
      </c>
    </row>
    <row r="289" spans="1:18" ht="60">
      <c r="A289" s="8" t="s">
        <v>4146</v>
      </c>
      <c r="B289" s="8" t="s">
        <v>2055</v>
      </c>
      <c r="C289" s="8" t="s">
        <v>2203</v>
      </c>
      <c r="D289" s="8" t="s">
        <v>18</v>
      </c>
      <c r="E289" s="8" t="s">
        <v>312</v>
      </c>
      <c r="F289" s="8" t="s">
        <v>4144</v>
      </c>
      <c r="G289" s="8" t="s">
        <v>4147</v>
      </c>
      <c r="H289" s="8">
        <v>1000</v>
      </c>
      <c r="I289" s="8">
        <v>945</v>
      </c>
      <c r="J289" s="8">
        <v>2292009136</v>
      </c>
      <c r="K289" s="9">
        <v>45442</v>
      </c>
      <c r="L289" s="9">
        <v>45931</v>
      </c>
      <c r="M289" s="8" t="s">
        <v>312</v>
      </c>
      <c r="O289" s="8" t="s">
        <v>2056</v>
      </c>
      <c r="P289" s="9">
        <v>45931</v>
      </c>
      <c r="Q289" s="24">
        <v>2712403395</v>
      </c>
      <c r="R289" s="8">
        <v>188</v>
      </c>
    </row>
    <row r="290" spans="1:18" ht="60">
      <c r="A290" s="8" t="s">
        <v>4148</v>
      </c>
      <c r="B290" s="8" t="s">
        <v>2056</v>
      </c>
      <c r="C290" s="8" t="s">
        <v>2203</v>
      </c>
      <c r="D290" s="8" t="s">
        <v>18</v>
      </c>
      <c r="E290" s="8" t="s">
        <v>312</v>
      </c>
      <c r="F290" s="8" t="s">
        <v>4144</v>
      </c>
      <c r="G290" s="8" t="s">
        <v>4149</v>
      </c>
      <c r="H290" s="8">
        <v>9169</v>
      </c>
      <c r="I290" s="8">
        <v>8</v>
      </c>
      <c r="J290" s="8">
        <v>2712404484</v>
      </c>
      <c r="K290" s="9">
        <v>45457</v>
      </c>
      <c r="L290" s="9">
        <v>45959</v>
      </c>
      <c r="M290" s="8" t="s">
        <v>312</v>
      </c>
      <c r="O290" s="8" t="s">
        <v>2056</v>
      </c>
      <c r="P290" s="9">
        <v>45956</v>
      </c>
      <c r="Q290" s="24">
        <v>2712404478</v>
      </c>
      <c r="R290" s="8">
        <v>239</v>
      </c>
    </row>
    <row r="291" spans="1:18" ht="60">
      <c r="A291" s="8" t="s">
        <v>4148</v>
      </c>
      <c r="B291" s="8" t="s">
        <v>2056</v>
      </c>
      <c r="C291" s="8" t="s">
        <v>2203</v>
      </c>
      <c r="D291" s="8" t="s">
        <v>18</v>
      </c>
      <c r="E291" s="8" t="s">
        <v>312</v>
      </c>
      <c r="F291" s="8" t="s">
        <v>4144</v>
      </c>
      <c r="G291" s="8" t="s">
        <v>4149</v>
      </c>
      <c r="H291" s="8">
        <v>9169</v>
      </c>
      <c r="I291" s="8">
        <v>22</v>
      </c>
      <c r="J291" s="8">
        <v>2712403391</v>
      </c>
      <c r="K291" s="9">
        <v>45457</v>
      </c>
      <c r="L291" s="9">
        <v>45994</v>
      </c>
      <c r="M291" s="8" t="s">
        <v>312</v>
      </c>
      <c r="O291" s="8" t="s">
        <v>2056</v>
      </c>
      <c r="P291" s="9">
        <v>45949</v>
      </c>
      <c r="Q291" s="24">
        <v>2712404438</v>
      </c>
      <c r="R291" s="8">
        <v>330</v>
      </c>
    </row>
    <row r="292" spans="1:18" ht="60">
      <c r="A292" s="8" t="s">
        <v>4148</v>
      </c>
      <c r="B292" s="8" t="s">
        <v>2056</v>
      </c>
      <c r="C292" s="8" t="s">
        <v>2203</v>
      </c>
      <c r="D292" s="8" t="s">
        <v>18</v>
      </c>
      <c r="E292" s="8" t="s">
        <v>312</v>
      </c>
      <c r="F292" s="8" t="s">
        <v>4144</v>
      </c>
      <c r="G292" s="8" t="s">
        <v>4149</v>
      </c>
      <c r="H292" s="8">
        <v>9169</v>
      </c>
      <c r="I292" s="8">
        <v>27</v>
      </c>
      <c r="J292" s="8">
        <v>2712404502</v>
      </c>
      <c r="K292" s="9">
        <v>45457</v>
      </c>
      <c r="L292" s="9">
        <v>45959</v>
      </c>
      <c r="M292" s="8" t="s">
        <v>312</v>
      </c>
      <c r="O292" s="8" t="s">
        <v>2056</v>
      </c>
      <c r="P292" s="9">
        <v>45949</v>
      </c>
      <c r="Q292" s="24">
        <v>2712404429</v>
      </c>
      <c r="R292" s="8">
        <v>360</v>
      </c>
    </row>
    <row r="293" spans="1:18" ht="60">
      <c r="A293" s="8" t="s">
        <v>4148</v>
      </c>
      <c r="B293" s="8" t="s">
        <v>2056</v>
      </c>
      <c r="C293" s="8" t="s">
        <v>2203</v>
      </c>
      <c r="D293" s="8" t="s">
        <v>18</v>
      </c>
      <c r="E293" s="8" t="s">
        <v>312</v>
      </c>
      <c r="F293" s="8" t="s">
        <v>4144</v>
      </c>
      <c r="G293" s="8" t="s">
        <v>4149</v>
      </c>
      <c r="H293" s="8">
        <v>9169</v>
      </c>
      <c r="I293" s="8">
        <v>44</v>
      </c>
      <c r="J293" s="8">
        <v>2712404492</v>
      </c>
      <c r="K293" s="9">
        <v>45457</v>
      </c>
      <c r="L293" s="9">
        <v>45959</v>
      </c>
      <c r="M293" s="8" t="s">
        <v>312</v>
      </c>
      <c r="O293" s="8" t="s">
        <v>2056</v>
      </c>
      <c r="P293" s="9">
        <v>45947</v>
      </c>
      <c r="Q293" s="24">
        <v>2712308242</v>
      </c>
      <c r="R293" s="8">
        <v>368</v>
      </c>
    </row>
    <row r="294" spans="1:18" ht="60">
      <c r="A294" s="8" t="s">
        <v>4148</v>
      </c>
      <c r="B294" s="8" t="s">
        <v>2056</v>
      </c>
      <c r="C294" s="8" t="s">
        <v>2203</v>
      </c>
      <c r="D294" s="8" t="s">
        <v>18</v>
      </c>
      <c r="E294" s="8" t="s">
        <v>312</v>
      </c>
      <c r="F294" s="8" t="s">
        <v>4144</v>
      </c>
      <c r="G294" s="8" t="s">
        <v>4149</v>
      </c>
      <c r="H294" s="8">
        <v>9169</v>
      </c>
      <c r="I294" s="8">
        <v>49</v>
      </c>
      <c r="J294" s="8">
        <v>271012406</v>
      </c>
      <c r="K294" s="9">
        <v>45310</v>
      </c>
      <c r="L294" s="9">
        <v>45853</v>
      </c>
      <c r="M294" s="8" t="s">
        <v>312</v>
      </c>
      <c r="O294" s="8" t="s">
        <v>2056</v>
      </c>
      <c r="P294" s="9">
        <v>45931</v>
      </c>
      <c r="Q294" s="24">
        <v>2712403394</v>
      </c>
      <c r="R294" s="8">
        <v>370</v>
      </c>
    </row>
    <row r="295" spans="1:18" ht="60">
      <c r="A295" s="8" t="s">
        <v>4148</v>
      </c>
      <c r="B295" s="8" t="s">
        <v>2056</v>
      </c>
      <c r="C295" s="8" t="s">
        <v>2203</v>
      </c>
      <c r="D295" s="8" t="s">
        <v>18</v>
      </c>
      <c r="E295" s="8" t="s">
        <v>312</v>
      </c>
      <c r="F295" s="8" t="s">
        <v>4144</v>
      </c>
      <c r="G295" s="8" t="s">
        <v>4149</v>
      </c>
      <c r="H295" s="8">
        <v>9169</v>
      </c>
      <c r="I295" s="8">
        <v>49</v>
      </c>
      <c r="J295" s="8">
        <v>2712404427</v>
      </c>
      <c r="K295" s="9">
        <v>45457</v>
      </c>
      <c r="L295" s="9">
        <v>45994</v>
      </c>
      <c r="M295" s="8" t="s">
        <v>312</v>
      </c>
      <c r="O295" s="8" t="s">
        <v>2056</v>
      </c>
      <c r="P295" s="9">
        <v>45959</v>
      </c>
      <c r="Q295" s="24">
        <v>2712404488</v>
      </c>
      <c r="R295" s="8">
        <v>397</v>
      </c>
    </row>
    <row r="296" spans="1:18" ht="60">
      <c r="A296" s="8" t="s">
        <v>4148</v>
      </c>
      <c r="B296" s="8" t="s">
        <v>2056</v>
      </c>
      <c r="C296" s="8" t="s">
        <v>2203</v>
      </c>
      <c r="D296" s="8" t="s">
        <v>18</v>
      </c>
      <c r="E296" s="8" t="s">
        <v>312</v>
      </c>
      <c r="F296" s="8" t="s">
        <v>4144</v>
      </c>
      <c r="G296" s="8" t="s">
        <v>4149</v>
      </c>
      <c r="H296" s="8">
        <v>9169</v>
      </c>
      <c r="I296" s="8">
        <v>83</v>
      </c>
      <c r="J296" s="8">
        <v>2712404507</v>
      </c>
      <c r="K296" s="9">
        <v>45457</v>
      </c>
      <c r="L296" s="9">
        <v>45959</v>
      </c>
      <c r="M296" s="8" t="s">
        <v>312</v>
      </c>
      <c r="O296" s="8" t="s">
        <v>2056</v>
      </c>
      <c r="P296" s="9">
        <v>45949</v>
      </c>
      <c r="Q296" s="24">
        <v>2712404430</v>
      </c>
      <c r="R296" s="8">
        <v>475</v>
      </c>
    </row>
    <row r="297" spans="1:18" ht="60">
      <c r="A297" s="8" t="s">
        <v>4148</v>
      </c>
      <c r="B297" s="8" t="s">
        <v>2056</v>
      </c>
      <c r="C297" s="8" t="s">
        <v>2203</v>
      </c>
      <c r="D297" s="8" t="s">
        <v>18</v>
      </c>
      <c r="E297" s="8" t="s">
        <v>312</v>
      </c>
      <c r="F297" s="8" t="s">
        <v>4144</v>
      </c>
      <c r="G297" s="8" t="s">
        <v>4149</v>
      </c>
      <c r="H297" s="8">
        <v>9169</v>
      </c>
      <c r="I297" s="8">
        <v>114</v>
      </c>
      <c r="J297" s="8">
        <v>2712404503</v>
      </c>
      <c r="K297" s="9">
        <v>45457</v>
      </c>
      <c r="L297" s="9">
        <v>45959</v>
      </c>
      <c r="M297" s="8" t="s">
        <v>312</v>
      </c>
      <c r="O297" s="8" t="s">
        <v>2056</v>
      </c>
      <c r="P297" s="9">
        <v>45999</v>
      </c>
      <c r="Q297" s="24">
        <v>2712404477</v>
      </c>
      <c r="R297" s="8">
        <v>884</v>
      </c>
    </row>
    <row r="298" spans="1:18" ht="60">
      <c r="A298" s="8" t="s">
        <v>4148</v>
      </c>
      <c r="B298" s="8" t="s">
        <v>2056</v>
      </c>
      <c r="C298" s="8" t="s">
        <v>2203</v>
      </c>
      <c r="D298" s="8" t="s">
        <v>18</v>
      </c>
      <c r="E298" s="8" t="s">
        <v>312</v>
      </c>
      <c r="F298" s="8" t="s">
        <v>4144</v>
      </c>
      <c r="G298" s="8" t="s">
        <v>4149</v>
      </c>
      <c r="H298" s="8">
        <v>9169</v>
      </c>
      <c r="I298" s="8">
        <v>115</v>
      </c>
      <c r="J298" s="8">
        <v>2712404501</v>
      </c>
      <c r="K298" s="9">
        <v>45457</v>
      </c>
      <c r="L298" s="9">
        <v>45959</v>
      </c>
      <c r="M298" s="8" t="s">
        <v>312</v>
      </c>
      <c r="O298" s="8" t="s">
        <v>2056</v>
      </c>
      <c r="P298" s="9">
        <v>45959</v>
      </c>
      <c r="Q298" s="24">
        <v>2712404490</v>
      </c>
      <c r="R298" s="8">
        <v>1931</v>
      </c>
    </row>
    <row r="299" spans="1:18" ht="60">
      <c r="A299" s="8" t="s">
        <v>4148</v>
      </c>
      <c r="B299" s="8" t="s">
        <v>2056</v>
      </c>
      <c r="C299" s="8" t="s">
        <v>2203</v>
      </c>
      <c r="D299" s="8" t="s">
        <v>18</v>
      </c>
      <c r="E299" s="8" t="s">
        <v>312</v>
      </c>
      <c r="F299" s="8" t="s">
        <v>4144</v>
      </c>
      <c r="G299" s="8" t="s">
        <v>4149</v>
      </c>
      <c r="H299" s="8">
        <v>9169</v>
      </c>
      <c r="I299" s="8">
        <v>117</v>
      </c>
      <c r="J299" s="8">
        <v>2712404486</v>
      </c>
      <c r="K299" s="9">
        <v>45457</v>
      </c>
      <c r="L299" s="9">
        <v>45959</v>
      </c>
      <c r="M299" s="8" t="s">
        <v>312</v>
      </c>
      <c r="O299" s="8" t="s">
        <v>2056</v>
      </c>
      <c r="P299" s="9">
        <v>45853</v>
      </c>
      <c r="Q299" s="24">
        <v>271012407</v>
      </c>
      <c r="R299" s="8">
        <v>1990</v>
      </c>
    </row>
    <row r="300" spans="1:18" ht="60">
      <c r="A300" s="8" t="s">
        <v>4148</v>
      </c>
      <c r="B300" s="8" t="s">
        <v>2056</v>
      </c>
      <c r="C300" s="8" t="s">
        <v>2203</v>
      </c>
      <c r="D300" s="8" t="s">
        <v>18</v>
      </c>
      <c r="E300" s="8" t="s">
        <v>312</v>
      </c>
      <c r="F300" s="8" t="s">
        <v>4144</v>
      </c>
      <c r="G300" s="8" t="s">
        <v>4149</v>
      </c>
      <c r="H300" s="8">
        <v>9169</v>
      </c>
      <c r="I300" s="8">
        <v>119</v>
      </c>
      <c r="J300" s="8">
        <v>2712403411</v>
      </c>
      <c r="K300" s="9">
        <v>45451</v>
      </c>
      <c r="L300" s="9">
        <v>45995</v>
      </c>
      <c r="M300" s="8" t="s">
        <v>312</v>
      </c>
      <c r="O300" s="8" t="s">
        <v>2057</v>
      </c>
      <c r="P300" s="9">
        <v>45969</v>
      </c>
      <c r="Q300" s="24">
        <v>47201031</v>
      </c>
      <c r="R300" s="8">
        <v>33</v>
      </c>
    </row>
    <row r="301" spans="1:18" ht="60">
      <c r="A301" s="8" t="s">
        <v>4148</v>
      </c>
      <c r="B301" s="8" t="s">
        <v>2056</v>
      </c>
      <c r="C301" s="8" t="s">
        <v>2203</v>
      </c>
      <c r="D301" s="8" t="s">
        <v>18</v>
      </c>
      <c r="E301" s="8" t="s">
        <v>312</v>
      </c>
      <c r="F301" s="8" t="s">
        <v>4144</v>
      </c>
      <c r="G301" s="8" t="s">
        <v>4149</v>
      </c>
      <c r="H301" s="8">
        <v>9169</v>
      </c>
      <c r="I301" s="8">
        <v>119</v>
      </c>
      <c r="J301" s="8">
        <v>2712404472</v>
      </c>
      <c r="K301" s="9">
        <v>45457</v>
      </c>
      <c r="L301" s="9">
        <v>45999</v>
      </c>
      <c r="M301" s="8" t="s">
        <v>312</v>
      </c>
      <c r="O301" s="8" t="s">
        <v>2057</v>
      </c>
      <c r="P301" s="9">
        <v>45986</v>
      </c>
      <c r="Q301" s="24">
        <v>47032402</v>
      </c>
      <c r="R301" s="8">
        <v>127</v>
      </c>
    </row>
    <row r="302" spans="1:18" ht="60">
      <c r="A302" s="8" t="s">
        <v>4148</v>
      </c>
      <c r="B302" s="8" t="s">
        <v>2056</v>
      </c>
      <c r="C302" s="8" t="s">
        <v>2203</v>
      </c>
      <c r="D302" s="8" t="s">
        <v>18</v>
      </c>
      <c r="E302" s="8" t="s">
        <v>312</v>
      </c>
      <c r="F302" s="8" t="s">
        <v>4144</v>
      </c>
      <c r="G302" s="8" t="s">
        <v>4149</v>
      </c>
      <c r="H302" s="8">
        <v>9169</v>
      </c>
      <c r="I302" s="8">
        <v>122</v>
      </c>
      <c r="J302" s="8">
        <v>2712403390</v>
      </c>
      <c r="K302" s="9">
        <v>45451</v>
      </c>
      <c r="L302" s="9">
        <v>45995</v>
      </c>
      <c r="M302" s="8" t="s">
        <v>312</v>
      </c>
      <c r="O302" s="8" t="s">
        <v>2057</v>
      </c>
      <c r="P302" s="9">
        <v>45969</v>
      </c>
      <c r="Q302" s="24">
        <v>47211037</v>
      </c>
      <c r="R302" s="8">
        <v>182</v>
      </c>
    </row>
    <row r="303" spans="1:18" ht="60">
      <c r="A303" s="8" t="s">
        <v>4148</v>
      </c>
      <c r="B303" s="8" t="s">
        <v>2056</v>
      </c>
      <c r="C303" s="8" t="s">
        <v>2203</v>
      </c>
      <c r="D303" s="8" t="s">
        <v>18</v>
      </c>
      <c r="E303" s="8" t="s">
        <v>312</v>
      </c>
      <c r="F303" s="8" t="s">
        <v>4144</v>
      </c>
      <c r="G303" s="8" t="s">
        <v>4149</v>
      </c>
      <c r="H303" s="8">
        <v>9169</v>
      </c>
      <c r="I303" s="8">
        <v>128</v>
      </c>
      <c r="J303" s="8">
        <v>2712404417</v>
      </c>
      <c r="K303" s="9">
        <v>45456</v>
      </c>
      <c r="L303" s="9">
        <v>45952</v>
      </c>
      <c r="M303" s="8" t="s">
        <v>312</v>
      </c>
      <c r="O303" s="8" t="s">
        <v>2057</v>
      </c>
      <c r="P303" s="9">
        <v>45882</v>
      </c>
      <c r="Q303" s="24">
        <v>47210720</v>
      </c>
      <c r="R303" s="8">
        <v>195</v>
      </c>
    </row>
    <row r="304" spans="1:18" ht="60">
      <c r="A304" s="8" t="s">
        <v>4148</v>
      </c>
      <c r="B304" s="8" t="s">
        <v>2056</v>
      </c>
      <c r="C304" s="8" t="s">
        <v>2203</v>
      </c>
      <c r="D304" s="8" t="s">
        <v>18</v>
      </c>
      <c r="E304" s="8" t="s">
        <v>312</v>
      </c>
      <c r="F304" s="8" t="s">
        <v>4144</v>
      </c>
      <c r="G304" s="8" t="s">
        <v>4149</v>
      </c>
      <c r="H304" s="8">
        <v>9169</v>
      </c>
      <c r="I304" s="8">
        <v>159</v>
      </c>
      <c r="J304" s="8">
        <v>2712403410</v>
      </c>
      <c r="K304" s="9">
        <v>45451</v>
      </c>
      <c r="L304" s="9">
        <v>45995</v>
      </c>
      <c r="M304" s="8" t="s">
        <v>312</v>
      </c>
      <c r="O304" s="8" t="s">
        <v>2057</v>
      </c>
      <c r="P304" s="9">
        <v>45969</v>
      </c>
      <c r="Q304" s="24">
        <v>47201023</v>
      </c>
      <c r="R304" s="8">
        <v>203</v>
      </c>
    </row>
    <row r="305" spans="1:18" ht="60">
      <c r="A305" s="8" t="s">
        <v>4148</v>
      </c>
      <c r="B305" s="8" t="s">
        <v>2056</v>
      </c>
      <c r="C305" s="8" t="s">
        <v>2203</v>
      </c>
      <c r="D305" s="8" t="s">
        <v>18</v>
      </c>
      <c r="E305" s="8" t="s">
        <v>312</v>
      </c>
      <c r="F305" s="8" t="s">
        <v>4144</v>
      </c>
      <c r="G305" s="8" t="s">
        <v>4149</v>
      </c>
      <c r="H305" s="8">
        <v>9169</v>
      </c>
      <c r="I305" s="8">
        <v>179</v>
      </c>
      <c r="J305" s="8">
        <v>2712404413</v>
      </c>
      <c r="K305" s="9">
        <v>45451</v>
      </c>
      <c r="L305" s="9">
        <v>45995</v>
      </c>
      <c r="M305" s="8" t="s">
        <v>312</v>
      </c>
      <c r="O305" s="8" t="s">
        <v>2057</v>
      </c>
      <c r="P305" s="9">
        <v>45969</v>
      </c>
      <c r="Q305" s="24">
        <v>47201026</v>
      </c>
      <c r="R305" s="8">
        <v>480</v>
      </c>
    </row>
    <row r="306" spans="1:18" ht="60">
      <c r="A306" s="8" t="s">
        <v>4148</v>
      </c>
      <c r="B306" s="8" t="s">
        <v>2056</v>
      </c>
      <c r="C306" s="8" t="s">
        <v>2203</v>
      </c>
      <c r="D306" s="8" t="s">
        <v>18</v>
      </c>
      <c r="E306" s="8" t="s">
        <v>312</v>
      </c>
      <c r="F306" s="8" t="s">
        <v>4144</v>
      </c>
      <c r="G306" s="8" t="s">
        <v>4149</v>
      </c>
      <c r="H306" s="8">
        <v>9169</v>
      </c>
      <c r="I306" s="8">
        <v>183</v>
      </c>
      <c r="J306" s="8">
        <v>2712403388</v>
      </c>
      <c r="K306" s="9">
        <v>45451</v>
      </c>
      <c r="L306" s="9">
        <v>45995</v>
      </c>
      <c r="M306" s="8" t="s">
        <v>312</v>
      </c>
      <c r="O306" s="8" t="s">
        <v>2057</v>
      </c>
      <c r="P306" s="9">
        <v>45902</v>
      </c>
      <c r="Q306" s="24">
        <v>47210828</v>
      </c>
      <c r="R306" s="8">
        <v>480</v>
      </c>
    </row>
    <row r="307" spans="1:18" ht="60">
      <c r="A307" s="8" t="s">
        <v>4148</v>
      </c>
      <c r="B307" s="8" t="s">
        <v>2056</v>
      </c>
      <c r="C307" s="8" t="s">
        <v>2203</v>
      </c>
      <c r="D307" s="8" t="s">
        <v>18</v>
      </c>
      <c r="E307" s="8" t="s">
        <v>312</v>
      </c>
      <c r="F307" s="8" t="s">
        <v>4144</v>
      </c>
      <c r="G307" s="8" t="s">
        <v>4149</v>
      </c>
      <c r="H307" s="8">
        <v>9169</v>
      </c>
      <c r="I307" s="8">
        <v>188</v>
      </c>
      <c r="J307" s="8">
        <v>2712403395</v>
      </c>
      <c r="K307" s="9">
        <v>45456</v>
      </c>
      <c r="L307" s="9">
        <v>45931</v>
      </c>
      <c r="M307" s="8" t="s">
        <v>312</v>
      </c>
      <c r="O307" s="8" t="s">
        <v>2057</v>
      </c>
      <c r="P307" s="9">
        <v>45902</v>
      </c>
      <c r="Q307" s="24">
        <v>47210723</v>
      </c>
      <c r="R307" s="8">
        <v>1135</v>
      </c>
    </row>
    <row r="308" spans="1:18" ht="60">
      <c r="A308" s="8" t="s">
        <v>4148</v>
      </c>
      <c r="B308" s="8" t="s">
        <v>2056</v>
      </c>
      <c r="C308" s="8" t="s">
        <v>2203</v>
      </c>
      <c r="D308" s="8" t="s">
        <v>18</v>
      </c>
      <c r="E308" s="8" t="s">
        <v>312</v>
      </c>
      <c r="F308" s="8" t="s">
        <v>4144</v>
      </c>
      <c r="G308" s="8" t="s">
        <v>4149</v>
      </c>
      <c r="H308" s="8">
        <v>9169</v>
      </c>
      <c r="I308" s="8">
        <v>239</v>
      </c>
      <c r="J308" s="8">
        <v>2712404478</v>
      </c>
      <c r="K308" s="9">
        <v>45456</v>
      </c>
      <c r="L308" s="9">
        <v>45956</v>
      </c>
      <c r="M308" s="8" t="s">
        <v>312</v>
      </c>
      <c r="O308" s="8" t="s">
        <v>2058</v>
      </c>
      <c r="P308" s="9">
        <v>45748</v>
      </c>
      <c r="Q308" s="24">
        <v>315278</v>
      </c>
      <c r="R308" s="8">
        <v>189</v>
      </c>
    </row>
    <row r="309" spans="1:18" ht="60">
      <c r="A309" s="8" t="s">
        <v>4148</v>
      </c>
      <c r="B309" s="8" t="s">
        <v>2056</v>
      </c>
      <c r="C309" s="8" t="s">
        <v>2203</v>
      </c>
      <c r="D309" s="8" t="s">
        <v>18</v>
      </c>
      <c r="E309" s="8" t="s">
        <v>312</v>
      </c>
      <c r="F309" s="8" t="s">
        <v>4144</v>
      </c>
      <c r="G309" s="8" t="s">
        <v>4149</v>
      </c>
      <c r="H309" s="8">
        <v>9169</v>
      </c>
      <c r="I309" s="8">
        <v>330</v>
      </c>
      <c r="J309" s="8">
        <v>2712404438</v>
      </c>
      <c r="K309" s="9">
        <v>45456</v>
      </c>
      <c r="L309" s="9">
        <v>45949</v>
      </c>
      <c r="M309" s="8" t="s">
        <v>312</v>
      </c>
      <c r="O309" s="8" t="s">
        <v>2059</v>
      </c>
      <c r="P309" s="9">
        <v>45839</v>
      </c>
      <c r="Q309" s="24">
        <v>42316570</v>
      </c>
      <c r="R309" s="8">
        <v>170</v>
      </c>
    </row>
    <row r="310" spans="1:18" ht="60">
      <c r="A310" s="8" t="s">
        <v>4148</v>
      </c>
      <c r="B310" s="8" t="s">
        <v>2056</v>
      </c>
      <c r="C310" s="8" t="s">
        <v>2203</v>
      </c>
      <c r="D310" s="8" t="s">
        <v>18</v>
      </c>
      <c r="E310" s="8" t="s">
        <v>312</v>
      </c>
      <c r="F310" s="8" t="s">
        <v>4144</v>
      </c>
      <c r="G310" s="8" t="s">
        <v>4149</v>
      </c>
      <c r="H310" s="8">
        <v>9169</v>
      </c>
      <c r="I310" s="8">
        <v>360</v>
      </c>
      <c r="J310" s="8">
        <v>2712404429</v>
      </c>
      <c r="K310" s="9">
        <v>45456</v>
      </c>
      <c r="L310" s="9">
        <v>45949</v>
      </c>
      <c r="M310" s="8" t="s">
        <v>312</v>
      </c>
      <c r="O310" s="8" t="s">
        <v>2060</v>
      </c>
      <c r="P310" s="9">
        <v>45765</v>
      </c>
      <c r="Q310" s="24">
        <v>9230939</v>
      </c>
      <c r="R310" s="8">
        <v>3</v>
      </c>
    </row>
    <row r="311" spans="1:18" ht="60">
      <c r="A311" s="8" t="s">
        <v>4148</v>
      </c>
      <c r="B311" s="8" t="s">
        <v>2056</v>
      </c>
      <c r="C311" s="8" t="s">
        <v>2203</v>
      </c>
      <c r="D311" s="8" t="s">
        <v>18</v>
      </c>
      <c r="E311" s="8" t="s">
        <v>312</v>
      </c>
      <c r="F311" s="8" t="s">
        <v>4144</v>
      </c>
      <c r="G311" s="8" t="s">
        <v>4149</v>
      </c>
      <c r="H311" s="8">
        <v>9169</v>
      </c>
      <c r="I311" s="8">
        <v>368</v>
      </c>
      <c r="J311" s="8">
        <v>2712308242</v>
      </c>
      <c r="K311" s="9">
        <v>45231</v>
      </c>
      <c r="L311" s="9">
        <v>45947</v>
      </c>
      <c r="M311" s="8" t="s">
        <v>312</v>
      </c>
      <c r="O311" s="8" t="s">
        <v>2060</v>
      </c>
      <c r="P311" s="9">
        <v>45765</v>
      </c>
      <c r="Q311" s="24">
        <v>9230933</v>
      </c>
      <c r="R311" s="8">
        <v>58</v>
      </c>
    </row>
    <row r="312" spans="1:18" ht="60">
      <c r="A312" s="8" t="s">
        <v>4148</v>
      </c>
      <c r="B312" s="8" t="s">
        <v>2056</v>
      </c>
      <c r="C312" s="8" t="s">
        <v>2203</v>
      </c>
      <c r="D312" s="8" t="s">
        <v>18</v>
      </c>
      <c r="E312" s="8" t="s">
        <v>312</v>
      </c>
      <c r="F312" s="8" t="s">
        <v>4144</v>
      </c>
      <c r="G312" s="8" t="s">
        <v>4149</v>
      </c>
      <c r="H312" s="8">
        <v>9169</v>
      </c>
      <c r="I312" s="8">
        <v>370</v>
      </c>
      <c r="J312" s="8">
        <v>2712403394</v>
      </c>
      <c r="K312" s="9">
        <v>45456</v>
      </c>
      <c r="L312" s="9">
        <v>45931</v>
      </c>
      <c r="M312" s="8" t="s">
        <v>312</v>
      </c>
      <c r="O312" s="8" t="s">
        <v>2060</v>
      </c>
      <c r="P312" s="9">
        <v>45830</v>
      </c>
      <c r="Q312" s="24">
        <v>9122313</v>
      </c>
      <c r="R312" s="8">
        <v>111</v>
      </c>
    </row>
    <row r="313" spans="1:18" ht="60">
      <c r="A313" s="8" t="s">
        <v>4148</v>
      </c>
      <c r="B313" s="8" t="s">
        <v>2056</v>
      </c>
      <c r="C313" s="8" t="s">
        <v>2203</v>
      </c>
      <c r="D313" s="8" t="s">
        <v>18</v>
      </c>
      <c r="E313" s="8" t="s">
        <v>312</v>
      </c>
      <c r="F313" s="8" t="s">
        <v>4144</v>
      </c>
      <c r="G313" s="8" t="s">
        <v>4149</v>
      </c>
      <c r="H313" s="8">
        <v>9169</v>
      </c>
      <c r="I313" s="8">
        <v>397</v>
      </c>
      <c r="J313" s="8">
        <v>2712404488</v>
      </c>
      <c r="K313" s="9">
        <v>45456</v>
      </c>
      <c r="L313" s="9">
        <v>45959</v>
      </c>
      <c r="M313" s="8" t="s">
        <v>312</v>
      </c>
      <c r="O313" s="8" t="s">
        <v>2060</v>
      </c>
      <c r="P313" s="9">
        <v>45766</v>
      </c>
      <c r="Q313" s="24">
        <v>9230943</v>
      </c>
      <c r="R313" s="8">
        <v>180</v>
      </c>
    </row>
    <row r="314" spans="1:18" ht="60">
      <c r="A314" s="8" t="s">
        <v>4148</v>
      </c>
      <c r="B314" s="8" t="s">
        <v>2056</v>
      </c>
      <c r="C314" s="8" t="s">
        <v>2203</v>
      </c>
      <c r="D314" s="8" t="s">
        <v>18</v>
      </c>
      <c r="E314" s="8" t="s">
        <v>312</v>
      </c>
      <c r="F314" s="8" t="s">
        <v>4144</v>
      </c>
      <c r="G314" s="8" t="s">
        <v>4149</v>
      </c>
      <c r="H314" s="8">
        <v>9169</v>
      </c>
      <c r="I314" s="8">
        <v>475</v>
      </c>
      <c r="J314" s="8">
        <v>2712404430</v>
      </c>
      <c r="K314" s="9">
        <v>45456</v>
      </c>
      <c r="L314" s="9">
        <v>45949</v>
      </c>
      <c r="M314" s="8" t="s">
        <v>312</v>
      </c>
      <c r="O314" s="8" t="s">
        <v>2060</v>
      </c>
      <c r="P314" s="9">
        <v>45797</v>
      </c>
      <c r="Q314" s="24">
        <v>9112310</v>
      </c>
      <c r="R314" s="8">
        <v>630</v>
      </c>
    </row>
    <row r="315" spans="1:18" ht="60">
      <c r="A315" s="8" t="s">
        <v>4148</v>
      </c>
      <c r="B315" s="8" t="s">
        <v>2056</v>
      </c>
      <c r="C315" s="8" t="s">
        <v>2203</v>
      </c>
      <c r="D315" s="8" t="s">
        <v>18</v>
      </c>
      <c r="E315" s="8" t="s">
        <v>312</v>
      </c>
      <c r="F315" s="8" t="s">
        <v>4144</v>
      </c>
      <c r="G315" s="8" t="s">
        <v>4149</v>
      </c>
      <c r="H315" s="8">
        <v>9169</v>
      </c>
      <c r="I315" s="8">
        <v>884</v>
      </c>
      <c r="J315" s="8">
        <v>2712404477</v>
      </c>
      <c r="K315" s="9">
        <v>45456</v>
      </c>
      <c r="L315" s="9">
        <v>45999</v>
      </c>
      <c r="M315" s="8" t="s">
        <v>312</v>
      </c>
    </row>
    <row r="316" spans="1:18" ht="60">
      <c r="A316" s="8" t="s">
        <v>4148</v>
      </c>
      <c r="B316" s="8" t="s">
        <v>2056</v>
      </c>
      <c r="C316" s="8" t="s">
        <v>2203</v>
      </c>
      <c r="D316" s="8" t="s">
        <v>18</v>
      </c>
      <c r="E316" s="8" t="s">
        <v>312</v>
      </c>
      <c r="F316" s="8" t="s">
        <v>4144</v>
      </c>
      <c r="G316" s="8" t="s">
        <v>4149</v>
      </c>
      <c r="H316" s="8">
        <v>9169</v>
      </c>
      <c r="I316" s="8">
        <v>1931</v>
      </c>
      <c r="J316" s="8">
        <v>2712404490</v>
      </c>
      <c r="K316" s="9">
        <v>45456</v>
      </c>
      <c r="L316" s="9">
        <v>45959</v>
      </c>
      <c r="M316" s="8" t="s">
        <v>312</v>
      </c>
    </row>
    <row r="317" spans="1:18" ht="60">
      <c r="A317" s="8" t="s">
        <v>4148</v>
      </c>
      <c r="B317" s="8" t="s">
        <v>2056</v>
      </c>
      <c r="C317" s="8" t="s">
        <v>2203</v>
      </c>
      <c r="D317" s="8" t="s">
        <v>18</v>
      </c>
      <c r="E317" s="8" t="s">
        <v>312</v>
      </c>
      <c r="F317" s="8" t="s">
        <v>4144</v>
      </c>
      <c r="G317" s="8" t="s">
        <v>4149</v>
      </c>
      <c r="H317" s="8">
        <v>9169</v>
      </c>
      <c r="I317" s="8">
        <v>1990</v>
      </c>
      <c r="J317" s="8">
        <v>271012407</v>
      </c>
      <c r="K317" s="9">
        <v>45310</v>
      </c>
      <c r="L317" s="9">
        <v>45853</v>
      </c>
      <c r="M317" s="8" t="s">
        <v>312</v>
      </c>
    </row>
    <row r="318" spans="1:18" ht="60">
      <c r="A318" s="8" t="s">
        <v>4150</v>
      </c>
      <c r="B318" s="8" t="s">
        <v>2057</v>
      </c>
      <c r="C318" s="8" t="s">
        <v>2203</v>
      </c>
      <c r="D318" s="8" t="s">
        <v>18</v>
      </c>
      <c r="E318" s="8" t="s">
        <v>312</v>
      </c>
      <c r="F318" s="8" t="s">
        <v>4144</v>
      </c>
      <c r="G318" s="8" t="s">
        <v>4151</v>
      </c>
      <c r="H318" s="8">
        <v>2835</v>
      </c>
      <c r="I318" s="8">
        <v>33</v>
      </c>
      <c r="J318" s="8">
        <v>47201031</v>
      </c>
      <c r="K318" s="9">
        <v>45443</v>
      </c>
      <c r="L318" s="9">
        <v>45969</v>
      </c>
      <c r="M318" s="8" t="s">
        <v>312</v>
      </c>
    </row>
    <row r="319" spans="1:18" ht="60">
      <c r="A319" s="8" t="s">
        <v>4150</v>
      </c>
      <c r="B319" s="8" t="s">
        <v>2057</v>
      </c>
      <c r="C319" s="8" t="s">
        <v>2203</v>
      </c>
      <c r="D319" s="8" t="s">
        <v>18</v>
      </c>
      <c r="E319" s="8" t="s">
        <v>312</v>
      </c>
      <c r="F319" s="8" t="s">
        <v>4144</v>
      </c>
      <c r="G319" s="8" t="s">
        <v>4151</v>
      </c>
      <c r="H319" s="8">
        <v>2835</v>
      </c>
      <c r="I319" s="8">
        <v>127</v>
      </c>
      <c r="J319" s="8">
        <v>47032402</v>
      </c>
      <c r="K319" s="9">
        <v>45442</v>
      </c>
      <c r="L319" s="9">
        <v>45986</v>
      </c>
      <c r="M319" s="8" t="s">
        <v>312</v>
      </c>
    </row>
    <row r="320" spans="1:18" ht="60">
      <c r="A320" s="8" t="s">
        <v>4150</v>
      </c>
      <c r="B320" s="8" t="s">
        <v>2057</v>
      </c>
      <c r="C320" s="8" t="s">
        <v>2203</v>
      </c>
      <c r="D320" s="8" t="s">
        <v>18</v>
      </c>
      <c r="E320" s="8" t="s">
        <v>312</v>
      </c>
      <c r="F320" s="8" t="s">
        <v>4144</v>
      </c>
      <c r="G320" s="8" t="s">
        <v>4151</v>
      </c>
      <c r="H320" s="8">
        <v>2835</v>
      </c>
      <c r="I320" s="8">
        <v>182</v>
      </c>
      <c r="J320" s="8">
        <v>47211037</v>
      </c>
      <c r="K320" s="9">
        <v>45442</v>
      </c>
      <c r="L320" s="9">
        <v>45969</v>
      </c>
      <c r="M320" s="8" t="s">
        <v>312</v>
      </c>
    </row>
    <row r="321" spans="1:13" ht="60">
      <c r="A321" s="8" t="s">
        <v>4150</v>
      </c>
      <c r="B321" s="8" t="s">
        <v>2057</v>
      </c>
      <c r="C321" s="8" t="s">
        <v>2203</v>
      </c>
      <c r="D321" s="8" t="s">
        <v>18</v>
      </c>
      <c r="E321" s="8" t="s">
        <v>312</v>
      </c>
      <c r="F321" s="8" t="s">
        <v>4144</v>
      </c>
      <c r="G321" s="8" t="s">
        <v>4151</v>
      </c>
      <c r="H321" s="8">
        <v>2835</v>
      </c>
      <c r="I321" s="8">
        <v>195</v>
      </c>
      <c r="J321" s="8">
        <v>47210720</v>
      </c>
      <c r="K321" s="9">
        <v>45351</v>
      </c>
      <c r="L321" s="9">
        <v>45882</v>
      </c>
      <c r="M321" s="8" t="s">
        <v>312</v>
      </c>
    </row>
    <row r="322" spans="1:13" ht="60">
      <c r="A322" s="8" t="s">
        <v>4150</v>
      </c>
      <c r="B322" s="8" t="s">
        <v>2057</v>
      </c>
      <c r="C322" s="8" t="s">
        <v>2203</v>
      </c>
      <c r="D322" s="8" t="s">
        <v>18</v>
      </c>
      <c r="E322" s="8" t="s">
        <v>312</v>
      </c>
      <c r="F322" s="8" t="s">
        <v>4144</v>
      </c>
      <c r="G322" s="8" t="s">
        <v>4151</v>
      </c>
      <c r="H322" s="8">
        <v>2835</v>
      </c>
      <c r="I322" s="8">
        <v>203</v>
      </c>
      <c r="J322" s="8">
        <v>47201023</v>
      </c>
      <c r="K322" s="9">
        <v>45442</v>
      </c>
      <c r="L322" s="9">
        <v>45969</v>
      </c>
      <c r="M322" s="8" t="s">
        <v>312</v>
      </c>
    </row>
    <row r="323" spans="1:13" ht="60">
      <c r="A323" s="8" t="s">
        <v>4150</v>
      </c>
      <c r="B323" s="8" t="s">
        <v>2057</v>
      </c>
      <c r="C323" s="8" t="s">
        <v>2203</v>
      </c>
      <c r="D323" s="8" t="s">
        <v>18</v>
      </c>
      <c r="E323" s="8" t="s">
        <v>312</v>
      </c>
      <c r="F323" s="8" t="s">
        <v>4144</v>
      </c>
      <c r="G323" s="8" t="s">
        <v>4151</v>
      </c>
      <c r="H323" s="8">
        <v>2835</v>
      </c>
      <c r="I323" s="8">
        <v>480</v>
      </c>
      <c r="J323" s="8">
        <v>47201026</v>
      </c>
      <c r="K323" s="9">
        <v>45442</v>
      </c>
      <c r="L323" s="9">
        <v>45969</v>
      </c>
      <c r="M323" s="8" t="s">
        <v>312</v>
      </c>
    </row>
    <row r="324" spans="1:13" ht="60">
      <c r="A324" s="8" t="s">
        <v>4150</v>
      </c>
      <c r="B324" s="8" t="s">
        <v>2057</v>
      </c>
      <c r="C324" s="8" t="s">
        <v>2203</v>
      </c>
      <c r="D324" s="8" t="s">
        <v>18</v>
      </c>
      <c r="E324" s="8" t="s">
        <v>312</v>
      </c>
      <c r="F324" s="8" t="s">
        <v>4144</v>
      </c>
      <c r="G324" s="8" t="s">
        <v>4151</v>
      </c>
      <c r="H324" s="8">
        <v>2835</v>
      </c>
      <c r="I324" s="8">
        <v>480</v>
      </c>
      <c r="J324" s="8">
        <v>47210828</v>
      </c>
      <c r="K324" s="9">
        <v>45442</v>
      </c>
      <c r="L324" s="9">
        <v>45902</v>
      </c>
      <c r="M324" s="8" t="s">
        <v>312</v>
      </c>
    </row>
    <row r="325" spans="1:13" ht="60">
      <c r="A325" s="8" t="s">
        <v>4150</v>
      </c>
      <c r="B325" s="8" t="s">
        <v>2057</v>
      </c>
      <c r="C325" s="8" t="s">
        <v>2203</v>
      </c>
      <c r="D325" s="8" t="s">
        <v>18</v>
      </c>
      <c r="E325" s="8" t="s">
        <v>312</v>
      </c>
      <c r="F325" s="8" t="s">
        <v>4144</v>
      </c>
      <c r="G325" s="8" t="s">
        <v>4151</v>
      </c>
      <c r="H325" s="8">
        <v>2835</v>
      </c>
      <c r="I325" s="8">
        <v>1135</v>
      </c>
      <c r="J325" s="8">
        <v>47210723</v>
      </c>
      <c r="K325" s="9">
        <v>45442</v>
      </c>
      <c r="L325" s="9">
        <v>45902</v>
      </c>
      <c r="M325" s="8" t="s">
        <v>312</v>
      </c>
    </row>
    <row r="326" spans="1:13" ht="60">
      <c r="A326" s="8" t="s">
        <v>4152</v>
      </c>
      <c r="B326" s="8" t="s">
        <v>2058</v>
      </c>
      <c r="C326" s="8" t="s">
        <v>2203</v>
      </c>
      <c r="D326" s="8" t="s">
        <v>18</v>
      </c>
      <c r="E326" s="8" t="s">
        <v>312</v>
      </c>
      <c r="F326" s="8" t="s">
        <v>4153</v>
      </c>
      <c r="G326" s="8" t="s">
        <v>4154</v>
      </c>
      <c r="H326" s="8">
        <v>189</v>
      </c>
      <c r="I326" s="8">
        <v>189</v>
      </c>
      <c r="J326" s="8">
        <v>315278</v>
      </c>
      <c r="K326" s="9">
        <v>45237</v>
      </c>
      <c r="L326" s="9">
        <v>45748</v>
      </c>
      <c r="M326" s="8" t="s">
        <v>312</v>
      </c>
    </row>
    <row r="327" spans="1:13" ht="60">
      <c r="A327" s="8" t="s">
        <v>4155</v>
      </c>
      <c r="B327" s="8" t="s">
        <v>2059</v>
      </c>
      <c r="C327" s="8" t="s">
        <v>2203</v>
      </c>
      <c r="D327" s="8" t="s">
        <v>18</v>
      </c>
      <c r="E327" s="8" t="s">
        <v>312</v>
      </c>
      <c r="F327" s="8" t="s">
        <v>4153</v>
      </c>
      <c r="G327" s="8" t="s">
        <v>4156</v>
      </c>
      <c r="H327" s="8">
        <v>170</v>
      </c>
      <c r="I327" s="8">
        <v>170</v>
      </c>
      <c r="J327" s="8">
        <v>42316570</v>
      </c>
      <c r="K327" s="9">
        <v>45335</v>
      </c>
      <c r="L327" s="9">
        <v>45839</v>
      </c>
      <c r="M327" s="8" t="s">
        <v>312</v>
      </c>
    </row>
    <row r="328" spans="1:13" ht="60">
      <c r="A328" s="8" t="s">
        <v>4157</v>
      </c>
      <c r="B328" s="8" t="s">
        <v>2060</v>
      </c>
      <c r="C328" s="8" t="s">
        <v>2203</v>
      </c>
      <c r="D328" s="8" t="s">
        <v>18</v>
      </c>
      <c r="E328" s="8" t="s">
        <v>312</v>
      </c>
      <c r="F328" s="8" t="s">
        <v>4158</v>
      </c>
      <c r="G328" s="8" t="s">
        <v>4159</v>
      </c>
      <c r="H328" s="8">
        <v>982</v>
      </c>
      <c r="I328" s="8">
        <v>3</v>
      </c>
      <c r="J328" s="8">
        <v>9230939</v>
      </c>
      <c r="K328" s="9">
        <v>45243</v>
      </c>
      <c r="L328" s="9">
        <v>45765</v>
      </c>
      <c r="M328" s="8" t="s">
        <v>312</v>
      </c>
    </row>
    <row r="329" spans="1:13" ht="60">
      <c r="A329" s="8" t="s">
        <v>4157</v>
      </c>
      <c r="B329" s="8" t="s">
        <v>2060</v>
      </c>
      <c r="C329" s="8" t="s">
        <v>2203</v>
      </c>
      <c r="D329" s="8" t="s">
        <v>18</v>
      </c>
      <c r="E329" s="8" t="s">
        <v>312</v>
      </c>
      <c r="F329" s="8" t="s">
        <v>4158</v>
      </c>
      <c r="G329" s="8" t="s">
        <v>4159</v>
      </c>
      <c r="H329" s="8">
        <v>982</v>
      </c>
      <c r="I329" s="8">
        <v>58</v>
      </c>
      <c r="J329" s="8">
        <v>9230933</v>
      </c>
      <c r="K329" s="9">
        <v>45279</v>
      </c>
      <c r="L329" s="9">
        <v>45765</v>
      </c>
      <c r="M329" s="8" t="s">
        <v>312</v>
      </c>
    </row>
    <row r="330" spans="1:13" ht="60">
      <c r="A330" s="8" t="s">
        <v>4157</v>
      </c>
      <c r="B330" s="8" t="s">
        <v>2060</v>
      </c>
      <c r="C330" s="8" t="s">
        <v>2203</v>
      </c>
      <c r="D330" s="8" t="s">
        <v>18</v>
      </c>
      <c r="E330" s="8" t="s">
        <v>312</v>
      </c>
      <c r="F330" s="8" t="s">
        <v>4158</v>
      </c>
      <c r="G330" s="8" t="s">
        <v>4159</v>
      </c>
      <c r="H330" s="8">
        <v>982</v>
      </c>
      <c r="I330" s="8">
        <v>111</v>
      </c>
      <c r="J330" s="8">
        <v>9122313</v>
      </c>
      <c r="K330" s="9">
        <v>45299</v>
      </c>
      <c r="L330" s="9">
        <v>45830</v>
      </c>
      <c r="M330" s="8" t="s">
        <v>312</v>
      </c>
    </row>
    <row r="331" spans="1:13" ht="60">
      <c r="A331" s="8" t="s">
        <v>4157</v>
      </c>
      <c r="B331" s="8" t="s">
        <v>2060</v>
      </c>
      <c r="C331" s="8" t="s">
        <v>2203</v>
      </c>
      <c r="D331" s="8" t="s">
        <v>18</v>
      </c>
      <c r="E331" s="8" t="s">
        <v>312</v>
      </c>
      <c r="F331" s="8" t="s">
        <v>4158</v>
      </c>
      <c r="G331" s="8" t="s">
        <v>4159</v>
      </c>
      <c r="H331" s="8">
        <v>982</v>
      </c>
      <c r="I331" s="8">
        <v>180</v>
      </c>
      <c r="J331" s="8">
        <v>9230943</v>
      </c>
      <c r="K331" s="9">
        <v>45239</v>
      </c>
      <c r="L331" s="9">
        <v>45766</v>
      </c>
      <c r="M331" s="8" t="s">
        <v>312</v>
      </c>
    </row>
    <row r="332" spans="1:13" ht="60">
      <c r="A332" s="8" t="s">
        <v>4157</v>
      </c>
      <c r="B332" s="8" t="s">
        <v>2060</v>
      </c>
      <c r="C332" s="8" t="s">
        <v>2203</v>
      </c>
      <c r="D332" s="8" t="s">
        <v>18</v>
      </c>
      <c r="E332" s="8" t="s">
        <v>312</v>
      </c>
      <c r="F332" s="8" t="s">
        <v>4158</v>
      </c>
      <c r="G332" s="8" t="s">
        <v>4159</v>
      </c>
      <c r="H332" s="8">
        <v>982</v>
      </c>
      <c r="I332" s="8">
        <v>630</v>
      </c>
      <c r="J332" s="8">
        <v>9112310</v>
      </c>
      <c r="K332" s="9">
        <v>45279</v>
      </c>
      <c r="L332" s="9">
        <v>45797</v>
      </c>
      <c r="M332" s="8" t="s">
        <v>312</v>
      </c>
    </row>
  </sheetData>
  <autoFilter ref="O1:R33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2"/>
  <sheetViews>
    <sheetView topLeftCell="A4165" workbookViewId="0">
      <selection activeCell="S805" sqref="S805:U805"/>
    </sheetView>
  </sheetViews>
  <sheetFormatPr defaultRowHeight="15"/>
  <cols>
    <col min="1" max="1" width="29.28515625" customWidth="1"/>
  </cols>
  <sheetData>
    <row r="1" spans="1:8">
      <c r="A1" t="s">
        <v>4297</v>
      </c>
      <c r="B1" t="s">
        <v>4296</v>
      </c>
      <c r="C1" t="s">
        <v>4298</v>
      </c>
      <c r="D1" t="s">
        <v>4299</v>
      </c>
      <c r="E1" t="s">
        <v>4300</v>
      </c>
      <c r="F1" t="s">
        <v>4301</v>
      </c>
      <c r="G1" t="s">
        <v>4302</v>
      </c>
      <c r="H1" t="s">
        <v>4303</v>
      </c>
    </row>
    <row r="2" spans="1:8">
      <c r="A2" t="s">
        <v>14</v>
      </c>
      <c r="B2" t="s">
        <v>2196</v>
      </c>
      <c r="C2">
        <v>10</v>
      </c>
      <c r="D2">
        <v>1</v>
      </c>
      <c r="E2">
        <v>1</v>
      </c>
      <c r="F2">
        <v>1253</v>
      </c>
      <c r="G2">
        <v>1.8722000000000001E-3</v>
      </c>
      <c r="H2" t="s">
        <v>2197</v>
      </c>
    </row>
    <row r="3" spans="1:8">
      <c r="A3" t="s">
        <v>4304</v>
      </c>
      <c r="B3" t="s">
        <v>5027</v>
      </c>
      <c r="C3">
        <v>100</v>
      </c>
      <c r="D3">
        <v>1</v>
      </c>
      <c r="E3">
        <v>1</v>
      </c>
      <c r="F3">
        <v>70.599999999999994</v>
      </c>
      <c r="G3">
        <v>1.4930999999999999E-4</v>
      </c>
      <c r="H3" t="s">
        <v>2197</v>
      </c>
    </row>
    <row r="4" spans="1:8">
      <c r="A4" t="s">
        <v>4305</v>
      </c>
      <c r="B4" t="s">
        <v>5028</v>
      </c>
      <c r="C4">
        <v>20</v>
      </c>
      <c r="D4">
        <v>1</v>
      </c>
      <c r="E4">
        <v>1</v>
      </c>
      <c r="F4">
        <v>645.5</v>
      </c>
      <c r="G4">
        <v>1.0694999999999999E-3</v>
      </c>
      <c r="H4" t="s">
        <v>2197</v>
      </c>
    </row>
    <row r="5" spans="1:8">
      <c r="A5" t="s">
        <v>17</v>
      </c>
      <c r="B5" t="s">
        <v>2200</v>
      </c>
      <c r="C5">
        <v>40</v>
      </c>
      <c r="D5">
        <v>1</v>
      </c>
      <c r="E5">
        <v>1</v>
      </c>
      <c r="F5">
        <v>340.25</v>
      </c>
      <c r="G5">
        <v>5.9570000000000001E-4</v>
      </c>
      <c r="H5" t="s">
        <v>2197</v>
      </c>
    </row>
    <row r="6" spans="1:8">
      <c r="A6" t="s">
        <v>19</v>
      </c>
      <c r="B6" t="s">
        <v>2201</v>
      </c>
      <c r="C6">
        <v>50</v>
      </c>
      <c r="D6">
        <v>1</v>
      </c>
      <c r="E6">
        <v>1</v>
      </c>
      <c r="F6">
        <v>139.4</v>
      </c>
      <c r="G6">
        <v>2.5837499999999998E-4</v>
      </c>
      <c r="H6" t="s">
        <v>2197</v>
      </c>
    </row>
    <row r="7" spans="1:8">
      <c r="A7" t="s">
        <v>4307</v>
      </c>
      <c r="B7" t="s">
        <v>5030</v>
      </c>
      <c r="C7">
        <v>24</v>
      </c>
      <c r="D7">
        <v>1</v>
      </c>
      <c r="E7">
        <v>1</v>
      </c>
      <c r="F7">
        <v>266.25</v>
      </c>
      <c r="G7">
        <v>8.3600000000000005E-4</v>
      </c>
      <c r="H7" t="s">
        <v>2197</v>
      </c>
    </row>
    <row r="8" spans="1:8">
      <c r="A8" t="s">
        <v>4306</v>
      </c>
      <c r="B8" t="s">
        <v>5029</v>
      </c>
      <c r="C8">
        <v>48</v>
      </c>
      <c r="D8">
        <v>1</v>
      </c>
      <c r="E8">
        <v>1</v>
      </c>
      <c r="F8">
        <v>136.458333333333</v>
      </c>
      <c r="G8">
        <v>3.28E-4</v>
      </c>
      <c r="H8" t="s">
        <v>2197</v>
      </c>
    </row>
    <row r="9" spans="1:8">
      <c r="A9" t="s">
        <v>20</v>
      </c>
      <c r="B9" t="s">
        <v>2202</v>
      </c>
      <c r="C9">
        <v>20</v>
      </c>
      <c r="D9">
        <v>20</v>
      </c>
      <c r="E9">
        <v>1</v>
      </c>
      <c r="F9">
        <v>16.3</v>
      </c>
      <c r="G9" s="4">
        <v>8.5500000000000005E-5</v>
      </c>
      <c r="H9" t="s">
        <v>2203</v>
      </c>
    </row>
    <row r="10" spans="1:8">
      <c r="A10" t="s">
        <v>22</v>
      </c>
      <c r="B10" t="s">
        <v>2206</v>
      </c>
      <c r="C10">
        <v>20</v>
      </c>
      <c r="D10">
        <v>6</v>
      </c>
      <c r="E10">
        <v>1</v>
      </c>
      <c r="F10">
        <v>60.8</v>
      </c>
      <c r="G10">
        <v>3.8440000000000002E-4</v>
      </c>
      <c r="H10" t="s">
        <v>2203</v>
      </c>
    </row>
    <row r="11" spans="1:8">
      <c r="A11" t="s">
        <v>9263</v>
      </c>
      <c r="B11" t="s">
        <v>5032</v>
      </c>
      <c r="C11">
        <v>40</v>
      </c>
      <c r="D11">
        <v>1</v>
      </c>
      <c r="E11">
        <v>1</v>
      </c>
      <c r="F11">
        <v>350</v>
      </c>
      <c r="G11">
        <v>6.3829999999999996E-4</v>
      </c>
      <c r="H11" t="s">
        <v>2197</v>
      </c>
    </row>
    <row r="12" spans="1:8">
      <c r="A12" t="s">
        <v>9264</v>
      </c>
      <c r="B12" t="s">
        <v>5031</v>
      </c>
      <c r="C12">
        <v>50</v>
      </c>
      <c r="D12">
        <v>1</v>
      </c>
      <c r="E12">
        <v>1</v>
      </c>
      <c r="F12">
        <v>0</v>
      </c>
      <c r="G12">
        <v>0</v>
      </c>
      <c r="H12" t="s">
        <v>2197</v>
      </c>
    </row>
    <row r="13" spans="1:8">
      <c r="A13" t="s">
        <v>24</v>
      </c>
      <c r="B13" t="s">
        <v>2207</v>
      </c>
      <c r="C13">
        <v>100</v>
      </c>
      <c r="D13">
        <v>1</v>
      </c>
      <c r="E13">
        <v>1</v>
      </c>
      <c r="F13">
        <v>126</v>
      </c>
      <c r="G13">
        <v>3.4400000000000001E-4</v>
      </c>
      <c r="H13" t="s">
        <v>2197</v>
      </c>
    </row>
    <row r="14" spans="1:8">
      <c r="A14" t="s">
        <v>28</v>
      </c>
      <c r="B14" t="s">
        <v>2209</v>
      </c>
      <c r="C14">
        <v>40</v>
      </c>
      <c r="D14">
        <v>1</v>
      </c>
      <c r="E14">
        <v>1</v>
      </c>
      <c r="F14">
        <v>300</v>
      </c>
      <c r="G14">
        <v>7.8030000000000005E-4</v>
      </c>
      <c r="H14" t="s">
        <v>2197</v>
      </c>
    </row>
    <row r="15" spans="1:8">
      <c r="A15" t="s">
        <v>31</v>
      </c>
      <c r="B15" t="s">
        <v>2210</v>
      </c>
      <c r="C15">
        <v>10</v>
      </c>
      <c r="D15">
        <v>20</v>
      </c>
      <c r="E15">
        <v>1</v>
      </c>
      <c r="F15">
        <v>65.8</v>
      </c>
      <c r="G15">
        <v>2.5710000000000002E-4</v>
      </c>
      <c r="H15" t="s">
        <v>2203</v>
      </c>
    </row>
    <row r="16" spans="1:8">
      <c r="A16" t="s">
        <v>33</v>
      </c>
      <c r="B16" t="s">
        <v>2213</v>
      </c>
      <c r="C16">
        <v>100</v>
      </c>
      <c r="D16">
        <v>1</v>
      </c>
      <c r="E16">
        <v>1</v>
      </c>
      <c r="F16">
        <v>118</v>
      </c>
      <c r="G16">
        <v>6.0375000000000001E-4</v>
      </c>
      <c r="H16" t="s">
        <v>2203</v>
      </c>
    </row>
    <row r="17" spans="1:8">
      <c r="A17" t="s">
        <v>9265</v>
      </c>
      <c r="B17" t="s">
        <v>5033</v>
      </c>
      <c r="C17">
        <v>100</v>
      </c>
      <c r="D17">
        <v>1</v>
      </c>
      <c r="E17">
        <v>1</v>
      </c>
      <c r="F17">
        <v>131.5</v>
      </c>
      <c r="G17">
        <v>3.1199999999999999E-4</v>
      </c>
      <c r="H17" t="s">
        <v>2197</v>
      </c>
    </row>
    <row r="18" spans="1:8">
      <c r="A18" t="s">
        <v>9266</v>
      </c>
      <c r="B18" t="s">
        <v>5036</v>
      </c>
      <c r="C18">
        <v>20</v>
      </c>
      <c r="D18">
        <v>1</v>
      </c>
      <c r="E18">
        <v>1</v>
      </c>
      <c r="F18">
        <v>1227.5</v>
      </c>
      <c r="G18">
        <v>2.3088000000000002E-3</v>
      </c>
      <c r="H18" t="s">
        <v>2197</v>
      </c>
    </row>
    <row r="19" spans="1:8">
      <c r="A19" t="s">
        <v>9267</v>
      </c>
      <c r="B19" t="s">
        <v>5035</v>
      </c>
      <c r="C19">
        <v>20</v>
      </c>
      <c r="D19">
        <v>1</v>
      </c>
      <c r="E19">
        <v>1</v>
      </c>
      <c r="F19">
        <v>587.5</v>
      </c>
      <c r="G19">
        <v>1.4637000000000001E-3</v>
      </c>
      <c r="H19" t="s">
        <v>2197</v>
      </c>
    </row>
    <row r="20" spans="1:8">
      <c r="A20" t="s">
        <v>9268</v>
      </c>
      <c r="B20" t="s">
        <v>5034</v>
      </c>
      <c r="C20">
        <v>50</v>
      </c>
      <c r="D20">
        <v>1</v>
      </c>
      <c r="E20">
        <v>1</v>
      </c>
      <c r="F20">
        <v>262</v>
      </c>
      <c r="G20">
        <v>6.9700000000000003E-4</v>
      </c>
      <c r="H20" t="s">
        <v>2197</v>
      </c>
    </row>
    <row r="21" spans="1:8">
      <c r="A21" t="s">
        <v>5041</v>
      </c>
      <c r="B21" t="s">
        <v>5040</v>
      </c>
      <c r="C21">
        <v>20</v>
      </c>
      <c r="D21">
        <v>1</v>
      </c>
      <c r="E21">
        <v>1</v>
      </c>
      <c r="F21">
        <v>118</v>
      </c>
      <c r="G21">
        <v>6.0375000000000001E-4</v>
      </c>
      <c r="H21" t="s">
        <v>2197</v>
      </c>
    </row>
    <row r="22" spans="1:8">
      <c r="A22" t="s">
        <v>4308</v>
      </c>
      <c r="B22" t="s">
        <v>5037</v>
      </c>
      <c r="C22">
        <v>20</v>
      </c>
      <c r="D22">
        <v>1</v>
      </c>
      <c r="E22">
        <v>1</v>
      </c>
      <c r="F22">
        <v>575</v>
      </c>
      <c r="G22">
        <v>1.1115000000000001E-3</v>
      </c>
      <c r="H22" t="s">
        <v>2197</v>
      </c>
    </row>
    <row r="23" spans="1:8">
      <c r="A23" t="s">
        <v>5039</v>
      </c>
      <c r="B23" t="s">
        <v>5038</v>
      </c>
      <c r="C23">
        <v>50</v>
      </c>
      <c r="D23">
        <v>1</v>
      </c>
      <c r="E23">
        <v>1</v>
      </c>
      <c r="F23">
        <v>132</v>
      </c>
      <c r="G23">
        <v>3.1084500000000002E-4</v>
      </c>
      <c r="H23" t="s">
        <v>2197</v>
      </c>
    </row>
    <row r="24" spans="1:8">
      <c r="A24" t="s">
        <v>8324</v>
      </c>
      <c r="B24" t="s">
        <v>8323</v>
      </c>
      <c r="C24">
        <v>1</v>
      </c>
      <c r="D24">
        <v>1</v>
      </c>
      <c r="E24">
        <v>1</v>
      </c>
      <c r="F24">
        <v>1</v>
      </c>
      <c r="G24">
        <v>0</v>
      </c>
      <c r="H24" t="s">
        <v>2221</v>
      </c>
    </row>
    <row r="25" spans="1:8">
      <c r="A25" t="s">
        <v>8328</v>
      </c>
      <c r="B25" t="s">
        <v>8327</v>
      </c>
      <c r="C25">
        <v>1</v>
      </c>
      <c r="D25">
        <v>1</v>
      </c>
      <c r="E25">
        <v>1</v>
      </c>
      <c r="F25">
        <v>1</v>
      </c>
      <c r="G25">
        <v>0</v>
      </c>
      <c r="H25" t="s">
        <v>2221</v>
      </c>
    </row>
    <row r="26" spans="1:8">
      <c r="A26" t="s">
        <v>8326</v>
      </c>
      <c r="B26" t="s">
        <v>8325</v>
      </c>
      <c r="C26">
        <v>1</v>
      </c>
      <c r="D26">
        <v>1</v>
      </c>
      <c r="E26">
        <v>1</v>
      </c>
      <c r="F26">
        <v>1</v>
      </c>
      <c r="G26">
        <v>0</v>
      </c>
      <c r="H26" t="s">
        <v>2221</v>
      </c>
    </row>
    <row r="27" spans="1:8">
      <c r="A27" t="s">
        <v>4309</v>
      </c>
      <c r="B27" t="s">
        <v>5042</v>
      </c>
      <c r="C27">
        <v>40</v>
      </c>
      <c r="D27">
        <v>1</v>
      </c>
      <c r="E27">
        <v>1</v>
      </c>
      <c r="F27">
        <v>167.5</v>
      </c>
      <c r="G27">
        <v>4.5885000000000001E-4</v>
      </c>
      <c r="H27" t="s">
        <v>2197</v>
      </c>
    </row>
    <row r="28" spans="1:8">
      <c r="A28" t="s">
        <v>35</v>
      </c>
      <c r="B28" t="s">
        <v>2214</v>
      </c>
      <c r="C28">
        <v>50</v>
      </c>
      <c r="D28">
        <v>1</v>
      </c>
      <c r="E28">
        <v>1</v>
      </c>
      <c r="F28">
        <v>154</v>
      </c>
      <c r="G28">
        <v>3.3799999999999998E-4</v>
      </c>
      <c r="H28" t="s">
        <v>2197</v>
      </c>
    </row>
    <row r="29" spans="1:8">
      <c r="A29" t="s">
        <v>9269</v>
      </c>
      <c r="B29" t="s">
        <v>5043</v>
      </c>
      <c r="C29">
        <v>15</v>
      </c>
      <c r="D29">
        <v>1</v>
      </c>
      <c r="E29">
        <v>1</v>
      </c>
      <c r="F29">
        <v>1073.3</v>
      </c>
      <c r="G29">
        <v>2.4304000000000001E-3</v>
      </c>
      <c r="H29" t="s">
        <v>2197</v>
      </c>
    </row>
    <row r="30" spans="1:8">
      <c r="A30" t="s">
        <v>9269</v>
      </c>
      <c r="B30" t="s">
        <v>4310</v>
      </c>
      <c r="C30">
        <v>15</v>
      </c>
      <c r="D30">
        <v>1</v>
      </c>
      <c r="E30">
        <v>1</v>
      </c>
      <c r="F30">
        <v>1073.3</v>
      </c>
      <c r="G30">
        <v>2.4304000000000001E-3</v>
      </c>
      <c r="H30" t="s">
        <v>2197</v>
      </c>
    </row>
    <row r="31" spans="1:8">
      <c r="A31" t="s">
        <v>37</v>
      </c>
      <c r="B31" t="s">
        <v>2216</v>
      </c>
      <c r="C31">
        <v>15</v>
      </c>
      <c r="D31">
        <v>1</v>
      </c>
      <c r="E31">
        <v>1</v>
      </c>
      <c r="F31">
        <v>1</v>
      </c>
      <c r="G31">
        <v>0</v>
      </c>
      <c r="H31" t="s">
        <v>2197</v>
      </c>
    </row>
    <row r="32" spans="1:8">
      <c r="A32" t="s">
        <v>39</v>
      </c>
      <c r="B32" t="s">
        <v>2218</v>
      </c>
      <c r="C32">
        <v>20</v>
      </c>
      <c r="D32">
        <v>1</v>
      </c>
      <c r="E32">
        <v>1</v>
      </c>
      <c r="F32">
        <v>575</v>
      </c>
      <c r="G32">
        <v>1.3633E-3</v>
      </c>
      <c r="H32" t="s">
        <v>2197</v>
      </c>
    </row>
    <row r="33" spans="1:8">
      <c r="A33" t="s">
        <v>9270</v>
      </c>
      <c r="B33" t="s">
        <v>5044</v>
      </c>
      <c r="C33">
        <v>50</v>
      </c>
      <c r="D33">
        <v>1</v>
      </c>
      <c r="E33">
        <v>1</v>
      </c>
      <c r="F33">
        <v>133</v>
      </c>
      <c r="G33">
        <v>4.0709999999999997E-4</v>
      </c>
      <c r="H33" t="s">
        <v>2197</v>
      </c>
    </row>
    <row r="34" spans="1:8">
      <c r="A34" t="s">
        <v>5048</v>
      </c>
      <c r="B34" t="s">
        <v>5047</v>
      </c>
      <c r="C34">
        <v>1</v>
      </c>
      <c r="D34">
        <v>1</v>
      </c>
      <c r="E34">
        <v>1</v>
      </c>
      <c r="F34">
        <v>18500</v>
      </c>
      <c r="G34">
        <v>1.0800000000000001E-2</v>
      </c>
      <c r="H34" t="s">
        <v>2221</v>
      </c>
    </row>
    <row r="35" spans="1:8">
      <c r="A35" t="s">
        <v>40</v>
      </c>
      <c r="B35" t="s">
        <v>2220</v>
      </c>
      <c r="C35">
        <v>1</v>
      </c>
      <c r="D35">
        <v>1</v>
      </c>
      <c r="E35">
        <v>1</v>
      </c>
      <c r="F35">
        <v>175.75</v>
      </c>
      <c r="G35">
        <v>4.5885000000000001E-4</v>
      </c>
      <c r="H35" t="s">
        <v>2221</v>
      </c>
    </row>
    <row r="36" spans="1:8">
      <c r="A36" t="s">
        <v>42</v>
      </c>
      <c r="B36" t="s">
        <v>2223</v>
      </c>
      <c r="C36">
        <v>1</v>
      </c>
      <c r="D36">
        <v>1</v>
      </c>
      <c r="E36">
        <v>1</v>
      </c>
      <c r="F36">
        <v>1</v>
      </c>
      <c r="G36">
        <v>0</v>
      </c>
      <c r="H36" t="s">
        <v>2221</v>
      </c>
    </row>
    <row r="37" spans="1:8">
      <c r="A37" t="s">
        <v>5046</v>
      </c>
      <c r="B37" t="s">
        <v>5045</v>
      </c>
      <c r="C37">
        <v>1</v>
      </c>
      <c r="D37">
        <v>1</v>
      </c>
      <c r="E37">
        <v>1</v>
      </c>
      <c r="F37">
        <v>175.75</v>
      </c>
      <c r="G37">
        <v>4.5885000000000001E-4</v>
      </c>
      <c r="H37" t="s">
        <v>2221</v>
      </c>
    </row>
    <row r="38" spans="1:8">
      <c r="A38" t="s">
        <v>4311</v>
      </c>
      <c r="B38" t="s">
        <v>5049</v>
      </c>
      <c r="C38">
        <v>1</v>
      </c>
      <c r="D38">
        <v>1</v>
      </c>
      <c r="E38">
        <v>1</v>
      </c>
      <c r="F38">
        <v>1</v>
      </c>
      <c r="G38">
        <v>0</v>
      </c>
      <c r="H38" t="s">
        <v>2221</v>
      </c>
    </row>
    <row r="39" spans="1:8">
      <c r="A39" t="s">
        <v>9271</v>
      </c>
      <c r="B39" t="s">
        <v>5052</v>
      </c>
      <c r="C39">
        <v>100</v>
      </c>
      <c r="D39">
        <v>1</v>
      </c>
      <c r="E39">
        <v>1</v>
      </c>
      <c r="F39">
        <v>115.1</v>
      </c>
      <c r="G39">
        <v>2.69325E-4</v>
      </c>
      <c r="H39" t="s">
        <v>2203</v>
      </c>
    </row>
    <row r="40" spans="1:8">
      <c r="A40" t="s">
        <v>9272</v>
      </c>
      <c r="B40" t="s">
        <v>5053</v>
      </c>
      <c r="C40">
        <v>20</v>
      </c>
      <c r="D40">
        <v>1</v>
      </c>
      <c r="E40">
        <v>1</v>
      </c>
      <c r="F40">
        <v>1</v>
      </c>
      <c r="G40">
        <v>0</v>
      </c>
      <c r="H40" t="s">
        <v>2203</v>
      </c>
    </row>
    <row r="41" spans="1:8">
      <c r="A41" t="s">
        <v>44</v>
      </c>
      <c r="B41" t="s">
        <v>2224</v>
      </c>
      <c r="C41">
        <v>25</v>
      </c>
      <c r="D41">
        <v>1</v>
      </c>
      <c r="E41">
        <v>1</v>
      </c>
      <c r="F41">
        <v>432</v>
      </c>
      <c r="G41">
        <v>1.1069000000000001E-3</v>
      </c>
      <c r="H41" t="s">
        <v>2203</v>
      </c>
    </row>
    <row r="42" spans="1:8">
      <c r="A42" t="s">
        <v>45</v>
      </c>
      <c r="B42" t="s">
        <v>2226</v>
      </c>
      <c r="C42">
        <v>50</v>
      </c>
      <c r="D42">
        <v>1</v>
      </c>
      <c r="E42">
        <v>1</v>
      </c>
      <c r="F42">
        <v>123</v>
      </c>
      <c r="G42">
        <v>5.8460000000000001E-4</v>
      </c>
      <c r="H42" t="s">
        <v>2203</v>
      </c>
    </row>
    <row r="43" spans="1:8">
      <c r="A43" t="s">
        <v>4312</v>
      </c>
      <c r="B43" t="s">
        <v>5050</v>
      </c>
      <c r="C43">
        <v>10</v>
      </c>
      <c r="D43">
        <v>8</v>
      </c>
      <c r="E43">
        <v>1</v>
      </c>
      <c r="F43">
        <v>0</v>
      </c>
      <c r="G43">
        <v>0</v>
      </c>
      <c r="H43" t="s">
        <v>2203</v>
      </c>
    </row>
    <row r="44" spans="1:8">
      <c r="A44" t="s">
        <v>4313</v>
      </c>
      <c r="B44" t="s">
        <v>5051</v>
      </c>
      <c r="C44">
        <v>20</v>
      </c>
      <c r="D44">
        <v>1</v>
      </c>
      <c r="E44">
        <v>1</v>
      </c>
      <c r="F44">
        <v>0</v>
      </c>
      <c r="G44">
        <v>0</v>
      </c>
      <c r="H44" t="s">
        <v>2203</v>
      </c>
    </row>
    <row r="45" spans="1:8">
      <c r="A45" t="s">
        <v>46</v>
      </c>
      <c r="B45" t="s">
        <v>2227</v>
      </c>
      <c r="C45">
        <v>60</v>
      </c>
      <c r="D45">
        <v>1</v>
      </c>
      <c r="E45">
        <v>1</v>
      </c>
      <c r="F45">
        <v>125</v>
      </c>
      <c r="G45">
        <v>6.3360000000000001E-4</v>
      </c>
      <c r="H45" t="s">
        <v>2203</v>
      </c>
    </row>
    <row r="46" spans="1:8">
      <c r="A46" t="s">
        <v>49</v>
      </c>
      <c r="B46" t="s">
        <v>2230</v>
      </c>
      <c r="C46">
        <v>25</v>
      </c>
      <c r="D46">
        <v>1</v>
      </c>
      <c r="E46">
        <v>1</v>
      </c>
      <c r="F46">
        <v>592</v>
      </c>
      <c r="G46">
        <v>1.181E-3</v>
      </c>
      <c r="H46" t="s">
        <v>2197</v>
      </c>
    </row>
    <row r="47" spans="1:8">
      <c r="A47" t="s">
        <v>50</v>
      </c>
      <c r="B47" t="s">
        <v>2232</v>
      </c>
      <c r="C47">
        <v>50</v>
      </c>
      <c r="D47">
        <v>1</v>
      </c>
      <c r="E47">
        <v>1</v>
      </c>
      <c r="F47">
        <v>310</v>
      </c>
      <c r="G47">
        <v>6.7579999999999995E-4</v>
      </c>
      <c r="H47" t="s">
        <v>2197</v>
      </c>
    </row>
    <row r="48" spans="1:8">
      <c r="A48" t="s">
        <v>5056</v>
      </c>
      <c r="B48" t="s">
        <v>5055</v>
      </c>
      <c r="C48">
        <v>1</v>
      </c>
      <c r="D48">
        <v>1</v>
      </c>
      <c r="E48">
        <v>1</v>
      </c>
      <c r="F48">
        <v>23030</v>
      </c>
      <c r="G48">
        <v>1.8559099999999999E-2</v>
      </c>
      <c r="H48" t="s">
        <v>2303</v>
      </c>
    </row>
    <row r="49" spans="1:8">
      <c r="A49" t="s">
        <v>4314</v>
      </c>
      <c r="B49" t="s">
        <v>5054</v>
      </c>
      <c r="C49">
        <v>16</v>
      </c>
      <c r="D49">
        <v>20</v>
      </c>
      <c r="E49">
        <v>1</v>
      </c>
      <c r="F49">
        <v>14.8</v>
      </c>
      <c r="G49" s="4">
        <v>7.2200000000000007E-5</v>
      </c>
      <c r="H49" t="s">
        <v>2203</v>
      </c>
    </row>
    <row r="50" spans="1:8">
      <c r="A50" t="s">
        <v>51</v>
      </c>
      <c r="B50" t="s">
        <v>2233</v>
      </c>
      <c r="C50">
        <v>20</v>
      </c>
      <c r="D50">
        <v>6</v>
      </c>
      <c r="E50">
        <v>1</v>
      </c>
      <c r="F50">
        <v>55.4</v>
      </c>
      <c r="G50">
        <v>2.7270000000000001E-4</v>
      </c>
      <c r="H50" t="s">
        <v>2203</v>
      </c>
    </row>
    <row r="51" spans="1:8">
      <c r="A51" t="s">
        <v>4315</v>
      </c>
      <c r="B51" t="s">
        <v>5057</v>
      </c>
      <c r="C51">
        <v>4</v>
      </c>
      <c r="D51">
        <v>25</v>
      </c>
      <c r="E51">
        <v>1</v>
      </c>
      <c r="F51">
        <v>18</v>
      </c>
      <c r="G51" s="4">
        <v>7.8100000000000001E-5</v>
      </c>
      <c r="H51" t="s">
        <v>2203</v>
      </c>
    </row>
    <row r="52" spans="1:8">
      <c r="A52" t="s">
        <v>4316</v>
      </c>
      <c r="B52" t="s">
        <v>5058</v>
      </c>
      <c r="C52">
        <v>10</v>
      </c>
      <c r="D52">
        <v>1</v>
      </c>
      <c r="E52">
        <v>1</v>
      </c>
      <c r="F52">
        <v>1150</v>
      </c>
      <c r="G52">
        <v>1.0097999999999999E-3</v>
      </c>
      <c r="H52" t="s">
        <v>2197</v>
      </c>
    </row>
    <row r="53" spans="1:8">
      <c r="A53" t="s">
        <v>4317</v>
      </c>
      <c r="B53" t="s">
        <v>5059</v>
      </c>
      <c r="C53">
        <v>25</v>
      </c>
      <c r="D53">
        <v>1</v>
      </c>
      <c r="E53">
        <v>1</v>
      </c>
      <c r="F53">
        <v>0</v>
      </c>
      <c r="G53">
        <v>0</v>
      </c>
      <c r="H53" t="s">
        <v>2197</v>
      </c>
    </row>
    <row r="54" spans="1:8">
      <c r="A54" t="s">
        <v>4318</v>
      </c>
      <c r="B54" t="s">
        <v>5060</v>
      </c>
      <c r="C54">
        <v>30</v>
      </c>
      <c r="D54">
        <v>1</v>
      </c>
      <c r="E54">
        <v>1</v>
      </c>
      <c r="F54">
        <v>0</v>
      </c>
      <c r="G54">
        <v>0</v>
      </c>
      <c r="H54" t="s">
        <v>2197</v>
      </c>
    </row>
    <row r="55" spans="1:8">
      <c r="A55" t="s">
        <v>4319</v>
      </c>
      <c r="B55" t="s">
        <v>5061</v>
      </c>
      <c r="C55">
        <v>100</v>
      </c>
      <c r="D55">
        <v>1</v>
      </c>
      <c r="E55">
        <v>1</v>
      </c>
      <c r="F55">
        <v>152.9</v>
      </c>
      <c r="G55">
        <v>2.6909999999999998E-4</v>
      </c>
      <c r="H55" t="s">
        <v>2197</v>
      </c>
    </row>
    <row r="56" spans="1:8">
      <c r="A56" t="s">
        <v>5063</v>
      </c>
      <c r="B56" t="s">
        <v>5062</v>
      </c>
      <c r="C56">
        <v>100</v>
      </c>
      <c r="D56">
        <v>1</v>
      </c>
      <c r="E56">
        <v>1</v>
      </c>
      <c r="F56">
        <v>1</v>
      </c>
      <c r="G56">
        <v>0</v>
      </c>
      <c r="H56" t="s">
        <v>2197</v>
      </c>
    </row>
    <row r="57" spans="1:8">
      <c r="A57" t="s">
        <v>5066</v>
      </c>
      <c r="B57" t="s">
        <v>5065</v>
      </c>
      <c r="C57">
        <v>20</v>
      </c>
      <c r="D57">
        <v>1</v>
      </c>
      <c r="E57">
        <v>1</v>
      </c>
      <c r="F57">
        <v>1</v>
      </c>
      <c r="G57">
        <v>0</v>
      </c>
      <c r="H57" t="s">
        <v>2197</v>
      </c>
    </row>
    <row r="58" spans="1:8">
      <c r="A58" t="s">
        <v>9273</v>
      </c>
      <c r="B58" t="s">
        <v>5064</v>
      </c>
      <c r="C58">
        <v>200</v>
      </c>
      <c r="D58">
        <v>1</v>
      </c>
      <c r="E58">
        <v>1</v>
      </c>
      <c r="F58">
        <v>0</v>
      </c>
      <c r="G58">
        <v>0</v>
      </c>
      <c r="H58" t="s">
        <v>2203</v>
      </c>
    </row>
    <row r="59" spans="1:8">
      <c r="A59" t="s">
        <v>9274</v>
      </c>
      <c r="B59" t="s">
        <v>5067</v>
      </c>
      <c r="C59">
        <v>100</v>
      </c>
      <c r="D59">
        <v>1</v>
      </c>
      <c r="E59">
        <v>1</v>
      </c>
      <c r="F59">
        <v>154.80000000000001</v>
      </c>
      <c r="G59">
        <v>3.4160000000000001E-4</v>
      </c>
      <c r="H59" t="s">
        <v>2197</v>
      </c>
    </row>
    <row r="60" spans="1:8">
      <c r="A60" t="s">
        <v>9275</v>
      </c>
      <c r="B60" t="s">
        <v>5068</v>
      </c>
      <c r="C60">
        <v>100</v>
      </c>
      <c r="D60">
        <v>1</v>
      </c>
      <c r="E60">
        <v>1</v>
      </c>
      <c r="F60">
        <v>92</v>
      </c>
      <c r="G60">
        <v>0</v>
      </c>
      <c r="H60" t="s">
        <v>2197</v>
      </c>
    </row>
    <row r="61" spans="1:8">
      <c r="A61" t="s">
        <v>9276</v>
      </c>
      <c r="B61" t="s">
        <v>5069</v>
      </c>
      <c r="C61">
        <v>40</v>
      </c>
      <c r="D61">
        <v>1</v>
      </c>
      <c r="E61">
        <v>1</v>
      </c>
      <c r="F61">
        <v>345</v>
      </c>
      <c r="G61">
        <v>7.7959999999999998E-4</v>
      </c>
      <c r="H61" t="s">
        <v>2197</v>
      </c>
    </row>
    <row r="62" spans="1:8">
      <c r="A62" t="s">
        <v>54</v>
      </c>
      <c r="B62" t="s">
        <v>2235</v>
      </c>
      <c r="C62">
        <v>40</v>
      </c>
      <c r="D62">
        <v>1</v>
      </c>
      <c r="E62">
        <v>1</v>
      </c>
      <c r="F62">
        <v>1</v>
      </c>
      <c r="G62">
        <v>0</v>
      </c>
      <c r="H62" t="s">
        <v>2197</v>
      </c>
    </row>
    <row r="63" spans="1:8">
      <c r="A63" t="s">
        <v>55</v>
      </c>
      <c r="B63" t="s">
        <v>2237</v>
      </c>
      <c r="C63">
        <v>50</v>
      </c>
      <c r="D63">
        <v>1</v>
      </c>
      <c r="E63">
        <v>1</v>
      </c>
      <c r="F63">
        <v>122</v>
      </c>
      <c r="G63">
        <v>2.6499999999999999E-4</v>
      </c>
      <c r="H63" t="s">
        <v>2197</v>
      </c>
    </row>
    <row r="64" spans="1:8">
      <c r="A64" t="s">
        <v>56</v>
      </c>
      <c r="B64" t="s">
        <v>2238</v>
      </c>
      <c r="C64">
        <v>100</v>
      </c>
      <c r="D64">
        <v>1</v>
      </c>
      <c r="E64">
        <v>1</v>
      </c>
      <c r="F64">
        <v>154.80000000000001</v>
      </c>
      <c r="G64">
        <v>3.4160000000000001E-4</v>
      </c>
      <c r="H64" t="s">
        <v>2197</v>
      </c>
    </row>
    <row r="65" spans="1:8">
      <c r="A65" t="s">
        <v>57</v>
      </c>
      <c r="B65" t="s">
        <v>2240</v>
      </c>
      <c r="C65">
        <v>100</v>
      </c>
      <c r="D65">
        <v>1</v>
      </c>
      <c r="E65">
        <v>1</v>
      </c>
      <c r="F65">
        <v>1</v>
      </c>
      <c r="G65">
        <v>0</v>
      </c>
      <c r="H65" t="s">
        <v>2197</v>
      </c>
    </row>
    <row r="66" spans="1:8">
      <c r="A66" t="s">
        <v>59</v>
      </c>
      <c r="B66" t="s">
        <v>2241</v>
      </c>
      <c r="C66">
        <v>20</v>
      </c>
      <c r="D66">
        <v>1</v>
      </c>
      <c r="E66">
        <v>1</v>
      </c>
      <c r="F66">
        <v>600</v>
      </c>
      <c r="G66">
        <v>1.2244999999999999E-3</v>
      </c>
      <c r="H66" t="s">
        <v>2197</v>
      </c>
    </row>
    <row r="67" spans="1:8">
      <c r="A67" t="s">
        <v>60</v>
      </c>
      <c r="B67" t="s">
        <v>2243</v>
      </c>
      <c r="C67">
        <v>40</v>
      </c>
      <c r="D67">
        <v>1</v>
      </c>
      <c r="E67">
        <v>1</v>
      </c>
      <c r="F67">
        <v>336.3</v>
      </c>
      <c r="G67">
        <v>7.8030000000000005E-4</v>
      </c>
      <c r="H67" t="s">
        <v>2197</v>
      </c>
    </row>
    <row r="68" spans="1:8">
      <c r="A68" t="s">
        <v>61</v>
      </c>
      <c r="B68" t="s">
        <v>2244</v>
      </c>
      <c r="C68">
        <v>40</v>
      </c>
      <c r="D68">
        <v>1</v>
      </c>
      <c r="E68">
        <v>1</v>
      </c>
      <c r="F68">
        <v>297.5</v>
      </c>
      <c r="G68">
        <v>7.5140000000000005E-4</v>
      </c>
      <c r="H68" t="s">
        <v>2197</v>
      </c>
    </row>
    <row r="69" spans="1:8">
      <c r="A69" t="s">
        <v>63</v>
      </c>
      <c r="B69" t="s">
        <v>2245</v>
      </c>
      <c r="C69">
        <v>50</v>
      </c>
      <c r="D69">
        <v>1</v>
      </c>
      <c r="E69">
        <v>1</v>
      </c>
      <c r="F69">
        <v>132</v>
      </c>
      <c r="G69">
        <v>3.3700000000000001E-4</v>
      </c>
      <c r="H69" t="s">
        <v>2197</v>
      </c>
    </row>
    <row r="70" spans="1:8">
      <c r="A70" t="s">
        <v>5071</v>
      </c>
      <c r="B70" t="s">
        <v>5070</v>
      </c>
      <c r="C70">
        <v>40</v>
      </c>
      <c r="D70">
        <v>1</v>
      </c>
      <c r="E70">
        <v>1</v>
      </c>
      <c r="F70">
        <v>323</v>
      </c>
      <c r="G70">
        <v>7.2064999999999998E-4</v>
      </c>
      <c r="H70" t="s">
        <v>2197</v>
      </c>
    </row>
    <row r="71" spans="1:8">
      <c r="A71" t="s">
        <v>4320</v>
      </c>
      <c r="B71" t="s">
        <v>5072</v>
      </c>
      <c r="C71">
        <v>50</v>
      </c>
      <c r="D71">
        <v>1</v>
      </c>
      <c r="E71">
        <v>1</v>
      </c>
      <c r="F71">
        <v>144</v>
      </c>
      <c r="G71">
        <v>1.9981E-4</v>
      </c>
      <c r="H71" t="s">
        <v>2197</v>
      </c>
    </row>
    <row r="72" spans="1:8">
      <c r="A72" t="s">
        <v>65</v>
      </c>
      <c r="B72" t="s">
        <v>2246</v>
      </c>
      <c r="C72">
        <v>100</v>
      </c>
      <c r="D72">
        <v>1</v>
      </c>
      <c r="E72">
        <v>1</v>
      </c>
      <c r="F72">
        <v>136.6</v>
      </c>
      <c r="G72">
        <v>2.6949999999999999E-4</v>
      </c>
      <c r="H72" t="s">
        <v>2197</v>
      </c>
    </row>
    <row r="73" spans="1:8">
      <c r="A73" t="s">
        <v>66</v>
      </c>
      <c r="B73" t="s">
        <v>2248</v>
      </c>
      <c r="C73">
        <v>40</v>
      </c>
      <c r="D73">
        <v>1</v>
      </c>
      <c r="E73">
        <v>1</v>
      </c>
      <c r="F73">
        <v>342.5</v>
      </c>
      <c r="G73">
        <v>8.1809999999999999E-4</v>
      </c>
      <c r="H73" t="s">
        <v>2197</v>
      </c>
    </row>
    <row r="74" spans="1:8">
      <c r="A74" t="s">
        <v>5074</v>
      </c>
      <c r="B74" t="s">
        <v>5073</v>
      </c>
      <c r="C74">
        <v>120</v>
      </c>
      <c r="D74">
        <v>1</v>
      </c>
      <c r="E74">
        <v>1</v>
      </c>
      <c r="F74">
        <v>0</v>
      </c>
      <c r="G74">
        <v>0</v>
      </c>
      <c r="H74" t="s">
        <v>2203</v>
      </c>
    </row>
    <row r="75" spans="1:8">
      <c r="A75" t="s">
        <v>67</v>
      </c>
      <c r="B75" t="s">
        <v>2249</v>
      </c>
      <c r="C75">
        <v>12</v>
      </c>
      <c r="D75">
        <v>1</v>
      </c>
      <c r="E75">
        <v>1</v>
      </c>
      <c r="F75">
        <v>1016.7</v>
      </c>
      <c r="G75">
        <v>2.4172999999999998E-3</v>
      </c>
      <c r="H75" t="s">
        <v>2197</v>
      </c>
    </row>
    <row r="76" spans="1:8">
      <c r="A76" t="s">
        <v>5076</v>
      </c>
      <c r="B76" t="s">
        <v>5075</v>
      </c>
      <c r="C76">
        <v>20</v>
      </c>
      <c r="D76">
        <v>1</v>
      </c>
      <c r="E76">
        <v>1</v>
      </c>
      <c r="F76">
        <v>0</v>
      </c>
      <c r="G76">
        <v>0</v>
      </c>
      <c r="H76" t="s">
        <v>2197</v>
      </c>
    </row>
    <row r="77" spans="1:8">
      <c r="A77" t="s">
        <v>4321</v>
      </c>
      <c r="B77" t="s">
        <v>5077</v>
      </c>
      <c r="C77">
        <v>100</v>
      </c>
      <c r="D77">
        <v>1</v>
      </c>
      <c r="E77">
        <v>1</v>
      </c>
      <c r="F77">
        <v>72.8</v>
      </c>
      <c r="G77">
        <v>1.5390375000000001E-4</v>
      </c>
      <c r="H77" t="s">
        <v>2197</v>
      </c>
    </row>
    <row r="78" spans="1:8">
      <c r="A78" t="s">
        <v>71</v>
      </c>
      <c r="B78" t="s">
        <v>2252</v>
      </c>
      <c r="C78">
        <v>40</v>
      </c>
      <c r="D78">
        <v>1</v>
      </c>
      <c r="E78">
        <v>1</v>
      </c>
      <c r="F78">
        <v>302.5</v>
      </c>
      <c r="G78">
        <v>7.6590000000000002E-4</v>
      </c>
      <c r="H78" t="s">
        <v>2197</v>
      </c>
    </row>
    <row r="79" spans="1:8">
      <c r="A79" t="s">
        <v>4322</v>
      </c>
      <c r="B79" t="s">
        <v>5078</v>
      </c>
      <c r="C79">
        <v>50</v>
      </c>
      <c r="D79">
        <v>1</v>
      </c>
      <c r="E79">
        <v>1</v>
      </c>
      <c r="F79">
        <v>131.19999999999999</v>
      </c>
      <c r="G79">
        <v>2.7507999999999998E-4</v>
      </c>
      <c r="H79" t="s">
        <v>2197</v>
      </c>
    </row>
    <row r="80" spans="1:8">
      <c r="A80" t="s">
        <v>75</v>
      </c>
      <c r="B80" t="s">
        <v>2254</v>
      </c>
      <c r="C80">
        <v>12</v>
      </c>
      <c r="D80">
        <v>1</v>
      </c>
      <c r="E80">
        <v>1</v>
      </c>
      <c r="F80">
        <v>1170.8</v>
      </c>
      <c r="G80">
        <v>2.2052249999999999E-3</v>
      </c>
      <c r="H80" t="s">
        <v>2197</v>
      </c>
    </row>
    <row r="81" spans="1:8">
      <c r="A81" t="s">
        <v>4323</v>
      </c>
      <c r="B81" t="s">
        <v>5079</v>
      </c>
      <c r="C81">
        <v>4</v>
      </c>
      <c r="D81">
        <v>1</v>
      </c>
      <c r="E81">
        <v>1</v>
      </c>
      <c r="F81">
        <v>5640</v>
      </c>
      <c r="G81">
        <v>1.0762499999999999E-2</v>
      </c>
      <c r="H81" t="s">
        <v>2197</v>
      </c>
    </row>
    <row r="82" spans="1:8">
      <c r="A82" t="s">
        <v>9277</v>
      </c>
      <c r="B82" t="s">
        <v>5080</v>
      </c>
      <c r="C82">
        <v>50</v>
      </c>
      <c r="D82">
        <v>1</v>
      </c>
      <c r="E82">
        <v>1</v>
      </c>
      <c r="F82">
        <v>0</v>
      </c>
      <c r="G82">
        <v>0</v>
      </c>
      <c r="H82" t="s">
        <v>3969</v>
      </c>
    </row>
    <row r="83" spans="1:8">
      <c r="A83" t="s">
        <v>78</v>
      </c>
      <c r="B83" t="s">
        <v>2257</v>
      </c>
      <c r="C83">
        <v>30</v>
      </c>
      <c r="D83">
        <v>15</v>
      </c>
      <c r="E83">
        <v>1</v>
      </c>
      <c r="F83">
        <v>46.1111111111111</v>
      </c>
      <c r="G83" s="4">
        <v>8.9622222222222195E-5</v>
      </c>
      <c r="H83" t="s">
        <v>2197</v>
      </c>
    </row>
    <row r="84" spans="1:8">
      <c r="A84" t="s">
        <v>9278</v>
      </c>
      <c r="B84" t="s">
        <v>5081</v>
      </c>
      <c r="C84">
        <v>10</v>
      </c>
      <c r="D84">
        <v>1</v>
      </c>
      <c r="E84">
        <v>1</v>
      </c>
      <c r="F84">
        <v>1026</v>
      </c>
      <c r="G84">
        <v>2.4391500000000002E-3</v>
      </c>
      <c r="H84" t="s">
        <v>2197</v>
      </c>
    </row>
    <row r="85" spans="1:8">
      <c r="A85" t="s">
        <v>9279</v>
      </c>
      <c r="B85" t="s">
        <v>5082</v>
      </c>
      <c r="C85">
        <v>25</v>
      </c>
      <c r="D85">
        <v>1</v>
      </c>
      <c r="E85">
        <v>1</v>
      </c>
      <c r="F85">
        <v>529.6</v>
      </c>
      <c r="G85">
        <v>1.15182E-3</v>
      </c>
      <c r="H85" t="s">
        <v>2197</v>
      </c>
    </row>
    <row r="86" spans="1:8">
      <c r="A86" t="s">
        <v>9280</v>
      </c>
      <c r="B86" t="s">
        <v>5083</v>
      </c>
      <c r="C86">
        <v>50</v>
      </c>
      <c r="D86">
        <v>1</v>
      </c>
      <c r="E86">
        <v>1</v>
      </c>
      <c r="F86">
        <v>120.8</v>
      </c>
      <c r="G86">
        <v>3.9060000000000001E-4</v>
      </c>
      <c r="H86" t="s">
        <v>2197</v>
      </c>
    </row>
    <row r="87" spans="1:8">
      <c r="A87" t="s">
        <v>9281</v>
      </c>
      <c r="B87" t="s">
        <v>5084</v>
      </c>
      <c r="C87">
        <v>50</v>
      </c>
      <c r="D87">
        <v>1</v>
      </c>
      <c r="E87">
        <v>1</v>
      </c>
      <c r="F87">
        <v>270</v>
      </c>
      <c r="G87">
        <v>7.0956000000000003E-4</v>
      </c>
      <c r="H87" t="s">
        <v>2197</v>
      </c>
    </row>
    <row r="88" spans="1:8">
      <c r="A88" t="s">
        <v>9282</v>
      </c>
      <c r="B88" t="s">
        <v>5085</v>
      </c>
      <c r="C88">
        <v>20</v>
      </c>
      <c r="D88">
        <v>1</v>
      </c>
      <c r="E88">
        <v>1</v>
      </c>
      <c r="F88">
        <v>675</v>
      </c>
      <c r="G88">
        <v>1.1609999999999999E-3</v>
      </c>
      <c r="H88" t="s">
        <v>2197</v>
      </c>
    </row>
    <row r="89" spans="1:8">
      <c r="A89" t="s">
        <v>9283</v>
      </c>
      <c r="B89" t="s">
        <v>5089</v>
      </c>
      <c r="C89">
        <v>100</v>
      </c>
      <c r="D89">
        <v>1</v>
      </c>
      <c r="E89">
        <v>1</v>
      </c>
      <c r="F89">
        <v>142.5</v>
      </c>
      <c r="G89">
        <v>2.7030000000000001E-4</v>
      </c>
      <c r="H89" t="s">
        <v>2197</v>
      </c>
    </row>
    <row r="90" spans="1:8">
      <c r="A90" t="s">
        <v>9284</v>
      </c>
      <c r="B90" t="s">
        <v>5086</v>
      </c>
      <c r="C90">
        <v>20</v>
      </c>
      <c r="D90">
        <v>1</v>
      </c>
      <c r="E90">
        <v>1</v>
      </c>
      <c r="F90">
        <v>642.5</v>
      </c>
      <c r="G90">
        <v>1.2007000000000001E-3</v>
      </c>
      <c r="H90" t="s">
        <v>2197</v>
      </c>
    </row>
    <row r="91" spans="1:8">
      <c r="A91" t="s">
        <v>9285</v>
      </c>
      <c r="B91" t="s">
        <v>5087</v>
      </c>
      <c r="C91">
        <v>40</v>
      </c>
      <c r="D91">
        <v>1</v>
      </c>
      <c r="E91">
        <v>1</v>
      </c>
      <c r="F91">
        <v>337.5</v>
      </c>
      <c r="G91">
        <v>7.0350000000000002E-4</v>
      </c>
      <c r="H91" t="s">
        <v>2197</v>
      </c>
    </row>
    <row r="92" spans="1:8">
      <c r="A92" t="s">
        <v>9286</v>
      </c>
      <c r="B92" t="s">
        <v>5088</v>
      </c>
      <c r="C92">
        <v>50</v>
      </c>
      <c r="D92">
        <v>1</v>
      </c>
      <c r="E92">
        <v>1</v>
      </c>
      <c r="F92">
        <v>286</v>
      </c>
      <c r="G92">
        <v>5.5199999999999997E-4</v>
      </c>
      <c r="H92" t="s">
        <v>2197</v>
      </c>
    </row>
    <row r="93" spans="1:8">
      <c r="A93" t="s">
        <v>80</v>
      </c>
      <c r="B93" t="s">
        <v>2260</v>
      </c>
      <c r="C93">
        <v>100</v>
      </c>
      <c r="D93">
        <v>1</v>
      </c>
      <c r="E93">
        <v>1</v>
      </c>
      <c r="F93">
        <v>152</v>
      </c>
      <c r="G93">
        <v>3.4450000000000003E-4</v>
      </c>
      <c r="H93" t="s">
        <v>2197</v>
      </c>
    </row>
    <row r="94" spans="1:8">
      <c r="A94" t="s">
        <v>83</v>
      </c>
      <c r="B94" t="s">
        <v>2262</v>
      </c>
      <c r="C94">
        <v>40</v>
      </c>
      <c r="D94">
        <v>1</v>
      </c>
      <c r="E94">
        <v>1</v>
      </c>
      <c r="F94">
        <v>331.3</v>
      </c>
      <c r="G94">
        <v>7.5739999999999998E-4</v>
      </c>
      <c r="H94" t="s">
        <v>2197</v>
      </c>
    </row>
    <row r="95" spans="1:8">
      <c r="A95" t="s">
        <v>9287</v>
      </c>
      <c r="B95" t="s">
        <v>5091</v>
      </c>
      <c r="C95">
        <v>12</v>
      </c>
      <c r="D95">
        <v>1</v>
      </c>
      <c r="E95">
        <v>1</v>
      </c>
      <c r="F95">
        <v>1451.6666666666699</v>
      </c>
      <c r="G95">
        <v>2.31882291666667E-3</v>
      </c>
      <c r="H95" t="s">
        <v>2197</v>
      </c>
    </row>
    <row r="96" spans="1:8">
      <c r="A96" t="s">
        <v>9288</v>
      </c>
      <c r="B96" t="s">
        <v>5090</v>
      </c>
      <c r="C96">
        <v>24</v>
      </c>
      <c r="D96">
        <v>1</v>
      </c>
      <c r="E96">
        <v>1</v>
      </c>
      <c r="F96">
        <v>784.58333333333303</v>
      </c>
      <c r="G96">
        <v>1.0978437500000001E-3</v>
      </c>
      <c r="H96" t="s">
        <v>2197</v>
      </c>
    </row>
    <row r="97" spans="1:8">
      <c r="A97" t="s">
        <v>9289</v>
      </c>
      <c r="B97" t="s">
        <v>5092</v>
      </c>
      <c r="C97">
        <v>6</v>
      </c>
      <c r="D97">
        <v>1</v>
      </c>
      <c r="E97">
        <v>1</v>
      </c>
      <c r="F97">
        <v>2965</v>
      </c>
      <c r="G97">
        <v>4.1281666666666697E-3</v>
      </c>
      <c r="H97" t="s">
        <v>2197</v>
      </c>
    </row>
    <row r="98" spans="1:8">
      <c r="A98" t="s">
        <v>86</v>
      </c>
      <c r="B98" t="s">
        <v>2263</v>
      </c>
      <c r="C98">
        <v>20</v>
      </c>
      <c r="D98">
        <v>20</v>
      </c>
      <c r="E98">
        <v>1</v>
      </c>
      <c r="F98">
        <v>35.6</v>
      </c>
      <c r="G98">
        <v>1.604E-4</v>
      </c>
      <c r="H98" t="s">
        <v>2203</v>
      </c>
    </row>
    <row r="99" spans="1:8">
      <c r="A99" t="s">
        <v>88</v>
      </c>
      <c r="B99" t="s">
        <v>2265</v>
      </c>
      <c r="C99">
        <v>10</v>
      </c>
      <c r="D99">
        <v>1</v>
      </c>
      <c r="E99">
        <v>1</v>
      </c>
      <c r="F99">
        <v>2090</v>
      </c>
      <c r="G99">
        <v>5.3838000000000002E-3</v>
      </c>
      <c r="H99" t="s">
        <v>2197</v>
      </c>
    </row>
    <row r="100" spans="1:8">
      <c r="A100" t="s">
        <v>92</v>
      </c>
      <c r="B100" t="s">
        <v>2267</v>
      </c>
      <c r="C100">
        <v>20</v>
      </c>
      <c r="D100">
        <v>1</v>
      </c>
      <c r="E100">
        <v>1</v>
      </c>
      <c r="F100">
        <v>1212.5</v>
      </c>
      <c r="G100">
        <v>3.6844E-3</v>
      </c>
      <c r="H100" t="s">
        <v>2197</v>
      </c>
    </row>
    <row r="101" spans="1:8">
      <c r="A101" t="s">
        <v>95</v>
      </c>
      <c r="B101" t="s">
        <v>2268</v>
      </c>
      <c r="C101">
        <v>40</v>
      </c>
      <c r="D101">
        <v>1</v>
      </c>
      <c r="E101">
        <v>1</v>
      </c>
      <c r="F101">
        <v>542.5</v>
      </c>
      <c r="G101">
        <v>1.5061E-3</v>
      </c>
      <c r="H101" t="s">
        <v>2197</v>
      </c>
    </row>
    <row r="102" spans="1:8">
      <c r="A102" t="s">
        <v>9290</v>
      </c>
      <c r="B102" t="s">
        <v>5094</v>
      </c>
      <c r="C102">
        <v>100</v>
      </c>
      <c r="D102">
        <v>1</v>
      </c>
      <c r="E102">
        <v>1</v>
      </c>
      <c r="F102">
        <v>118.5</v>
      </c>
      <c r="G102">
        <v>4.1110000000000002E-4</v>
      </c>
      <c r="H102" t="s">
        <v>2203</v>
      </c>
    </row>
    <row r="103" spans="1:8">
      <c r="A103" t="s">
        <v>9291</v>
      </c>
      <c r="B103" t="s">
        <v>5093</v>
      </c>
      <c r="C103">
        <v>20</v>
      </c>
      <c r="D103">
        <v>20</v>
      </c>
      <c r="E103">
        <v>1</v>
      </c>
      <c r="F103">
        <v>37.1</v>
      </c>
      <c r="G103">
        <v>2.4159999999999999E-4</v>
      </c>
      <c r="H103" t="s">
        <v>2203</v>
      </c>
    </row>
    <row r="104" spans="1:8">
      <c r="A104" t="s">
        <v>97</v>
      </c>
      <c r="B104" t="s">
        <v>2269</v>
      </c>
      <c r="C104">
        <v>100</v>
      </c>
      <c r="D104">
        <v>1</v>
      </c>
      <c r="E104">
        <v>1</v>
      </c>
      <c r="F104">
        <v>121</v>
      </c>
      <c r="G104">
        <v>4.885E-4</v>
      </c>
      <c r="H104" t="s">
        <v>2203</v>
      </c>
    </row>
    <row r="105" spans="1:8">
      <c r="A105" t="s">
        <v>5096</v>
      </c>
      <c r="B105" t="s">
        <v>5095</v>
      </c>
      <c r="C105">
        <v>100</v>
      </c>
      <c r="D105">
        <v>1</v>
      </c>
      <c r="E105">
        <v>1</v>
      </c>
      <c r="F105">
        <v>1</v>
      </c>
      <c r="G105">
        <v>0</v>
      </c>
      <c r="H105" t="s">
        <v>2203</v>
      </c>
    </row>
    <row r="106" spans="1:8">
      <c r="A106" t="s">
        <v>98</v>
      </c>
      <c r="B106" t="s">
        <v>2271</v>
      </c>
      <c r="C106">
        <v>60</v>
      </c>
      <c r="D106">
        <v>1</v>
      </c>
      <c r="E106">
        <v>1</v>
      </c>
      <c r="F106">
        <v>58.3</v>
      </c>
      <c r="G106">
        <v>3.7050000000000001E-4</v>
      </c>
      <c r="H106" t="s">
        <v>2203</v>
      </c>
    </row>
    <row r="107" spans="1:8">
      <c r="A107" t="s">
        <v>9292</v>
      </c>
      <c r="B107" t="s">
        <v>5098</v>
      </c>
      <c r="C107">
        <v>20</v>
      </c>
      <c r="D107">
        <v>1</v>
      </c>
      <c r="E107">
        <v>1</v>
      </c>
      <c r="F107">
        <v>665</v>
      </c>
      <c r="G107">
        <v>1.2825E-3</v>
      </c>
      <c r="H107" t="s">
        <v>2197</v>
      </c>
    </row>
    <row r="108" spans="1:8">
      <c r="A108" t="s">
        <v>9293</v>
      </c>
      <c r="B108" t="s">
        <v>5097</v>
      </c>
      <c r="C108">
        <v>48</v>
      </c>
      <c r="D108">
        <v>1</v>
      </c>
      <c r="E108">
        <v>1</v>
      </c>
      <c r="F108">
        <v>144.80000000000001</v>
      </c>
      <c r="G108">
        <v>2.9530000000000002E-4</v>
      </c>
      <c r="H108" t="s">
        <v>2197</v>
      </c>
    </row>
    <row r="109" spans="1:8">
      <c r="A109" t="s">
        <v>9294</v>
      </c>
      <c r="B109" t="s">
        <v>5107</v>
      </c>
      <c r="C109">
        <v>1</v>
      </c>
      <c r="D109">
        <v>1</v>
      </c>
      <c r="E109">
        <v>1</v>
      </c>
      <c r="F109">
        <v>3300</v>
      </c>
      <c r="G109">
        <v>5.0183999999999999E-2</v>
      </c>
      <c r="H109" t="s">
        <v>2221</v>
      </c>
    </row>
    <row r="110" spans="1:8">
      <c r="A110" t="s">
        <v>9295</v>
      </c>
      <c r="B110" t="s">
        <v>5106</v>
      </c>
      <c r="C110">
        <v>1</v>
      </c>
      <c r="D110">
        <v>1</v>
      </c>
      <c r="E110">
        <v>1</v>
      </c>
      <c r="F110">
        <v>2850</v>
      </c>
      <c r="G110">
        <v>3.2337999999999999E-2</v>
      </c>
      <c r="H110" t="s">
        <v>2221</v>
      </c>
    </row>
    <row r="111" spans="1:8">
      <c r="A111" t="s">
        <v>99</v>
      </c>
      <c r="B111" t="s">
        <v>2272</v>
      </c>
      <c r="C111">
        <v>1</v>
      </c>
      <c r="D111">
        <v>1</v>
      </c>
      <c r="E111">
        <v>1</v>
      </c>
      <c r="F111">
        <v>3300</v>
      </c>
      <c r="G111">
        <v>5.0183999999999999E-2</v>
      </c>
      <c r="H111" t="s">
        <v>2221</v>
      </c>
    </row>
    <row r="112" spans="1:8">
      <c r="A112" t="s">
        <v>102</v>
      </c>
      <c r="B112" t="s">
        <v>2274</v>
      </c>
      <c r="C112">
        <v>1</v>
      </c>
      <c r="D112">
        <v>1</v>
      </c>
      <c r="E112">
        <v>1</v>
      </c>
      <c r="F112">
        <v>2850</v>
      </c>
      <c r="G112">
        <v>4.11469E-2</v>
      </c>
      <c r="H112" t="s">
        <v>2221</v>
      </c>
    </row>
    <row r="113" spans="1:8">
      <c r="A113" t="s">
        <v>9296</v>
      </c>
      <c r="B113" t="s">
        <v>6668</v>
      </c>
      <c r="C113">
        <v>1</v>
      </c>
      <c r="D113">
        <v>1</v>
      </c>
      <c r="E113">
        <v>1</v>
      </c>
      <c r="F113">
        <v>2850</v>
      </c>
      <c r="G113">
        <v>6.3062999999999994E-2</v>
      </c>
      <c r="H113" t="s">
        <v>2221</v>
      </c>
    </row>
    <row r="114" spans="1:8">
      <c r="A114" t="s">
        <v>9297</v>
      </c>
      <c r="B114" t="s">
        <v>6669</v>
      </c>
      <c r="C114">
        <v>6</v>
      </c>
      <c r="D114">
        <v>1</v>
      </c>
      <c r="E114">
        <v>1</v>
      </c>
      <c r="F114">
        <v>1750</v>
      </c>
      <c r="G114">
        <v>3.0374999999999999E-2</v>
      </c>
      <c r="H114" t="s">
        <v>2221</v>
      </c>
    </row>
    <row r="115" spans="1:8">
      <c r="A115" t="s">
        <v>103</v>
      </c>
      <c r="B115" t="s">
        <v>2275</v>
      </c>
      <c r="C115">
        <v>1</v>
      </c>
      <c r="D115">
        <v>1</v>
      </c>
      <c r="E115">
        <v>1</v>
      </c>
      <c r="F115">
        <v>2850</v>
      </c>
      <c r="G115">
        <v>4.11469E-2</v>
      </c>
      <c r="H115" t="s">
        <v>2221</v>
      </c>
    </row>
    <row r="116" spans="1:8">
      <c r="A116" t="s">
        <v>104</v>
      </c>
      <c r="B116" t="s">
        <v>2276</v>
      </c>
      <c r="C116">
        <v>1</v>
      </c>
      <c r="D116">
        <v>1</v>
      </c>
      <c r="E116">
        <v>1</v>
      </c>
      <c r="F116">
        <v>3100</v>
      </c>
      <c r="G116">
        <v>6.5855999999999998E-2</v>
      </c>
      <c r="H116" t="s">
        <v>2221</v>
      </c>
    </row>
    <row r="117" spans="1:8">
      <c r="A117" t="s">
        <v>105</v>
      </c>
      <c r="B117" t="s">
        <v>2277</v>
      </c>
      <c r="C117">
        <v>1</v>
      </c>
      <c r="D117">
        <v>1</v>
      </c>
      <c r="E117">
        <v>1</v>
      </c>
      <c r="F117">
        <v>1</v>
      </c>
      <c r="G117">
        <v>0</v>
      </c>
      <c r="H117" t="s">
        <v>2221</v>
      </c>
    </row>
    <row r="118" spans="1:8">
      <c r="A118" t="s">
        <v>9298</v>
      </c>
      <c r="B118" t="s">
        <v>5108</v>
      </c>
      <c r="C118">
        <v>20</v>
      </c>
      <c r="D118">
        <v>1</v>
      </c>
      <c r="E118">
        <v>1</v>
      </c>
      <c r="F118">
        <v>690</v>
      </c>
      <c r="G118">
        <v>2.1018999999999999E-3</v>
      </c>
      <c r="H118" t="s">
        <v>2221</v>
      </c>
    </row>
    <row r="119" spans="1:8">
      <c r="A119" t="s">
        <v>5100</v>
      </c>
      <c r="B119" t="s">
        <v>5099</v>
      </c>
      <c r="C119">
        <v>1</v>
      </c>
      <c r="D119">
        <v>1</v>
      </c>
      <c r="E119">
        <v>1</v>
      </c>
      <c r="F119">
        <v>1</v>
      </c>
      <c r="G119">
        <v>2.3101875E-4</v>
      </c>
      <c r="H119" t="s">
        <v>2221</v>
      </c>
    </row>
    <row r="120" spans="1:8">
      <c r="A120" t="s">
        <v>106</v>
      </c>
      <c r="B120" t="s">
        <v>2278</v>
      </c>
      <c r="C120">
        <v>1</v>
      </c>
      <c r="D120">
        <v>1</v>
      </c>
      <c r="E120">
        <v>1</v>
      </c>
      <c r="F120">
        <v>1</v>
      </c>
      <c r="G120">
        <v>0</v>
      </c>
      <c r="H120" t="s">
        <v>2221</v>
      </c>
    </row>
    <row r="121" spans="1:8">
      <c r="A121" t="s">
        <v>5111</v>
      </c>
      <c r="B121" t="s">
        <v>5110</v>
      </c>
      <c r="C121">
        <v>1</v>
      </c>
      <c r="D121">
        <v>1</v>
      </c>
      <c r="E121">
        <v>1</v>
      </c>
      <c r="F121">
        <v>9350</v>
      </c>
      <c r="G121">
        <v>7.6300000000000007E-2</v>
      </c>
      <c r="H121" t="s">
        <v>2221</v>
      </c>
    </row>
    <row r="122" spans="1:8">
      <c r="A122" t="s">
        <v>9300</v>
      </c>
      <c r="B122" t="s">
        <v>5101</v>
      </c>
      <c r="C122">
        <v>1</v>
      </c>
      <c r="D122">
        <v>1</v>
      </c>
      <c r="E122">
        <v>1</v>
      </c>
      <c r="F122">
        <v>2650</v>
      </c>
      <c r="G122">
        <v>2.6373299999999999E-2</v>
      </c>
      <c r="H122" t="s">
        <v>2221</v>
      </c>
    </row>
    <row r="123" spans="1:8">
      <c r="A123" t="s">
        <v>9299</v>
      </c>
      <c r="B123" t="s">
        <v>5109</v>
      </c>
      <c r="C123">
        <v>6</v>
      </c>
      <c r="D123">
        <v>1</v>
      </c>
      <c r="E123">
        <v>1</v>
      </c>
      <c r="F123">
        <v>2383.3000000000002</v>
      </c>
      <c r="G123">
        <v>1.8414E-2</v>
      </c>
      <c r="H123" t="s">
        <v>2221</v>
      </c>
    </row>
    <row r="124" spans="1:8">
      <c r="A124" t="s">
        <v>107</v>
      </c>
      <c r="B124" t="s">
        <v>2280</v>
      </c>
      <c r="C124">
        <v>6</v>
      </c>
      <c r="D124">
        <v>1</v>
      </c>
      <c r="E124">
        <v>1</v>
      </c>
      <c r="F124">
        <v>2383.3000000000002</v>
      </c>
      <c r="G124">
        <v>1.9243E-2</v>
      </c>
      <c r="H124" t="s">
        <v>2221</v>
      </c>
    </row>
    <row r="125" spans="1:8">
      <c r="A125" t="s">
        <v>5113</v>
      </c>
      <c r="B125" t="s">
        <v>5112</v>
      </c>
      <c r="C125">
        <v>1</v>
      </c>
      <c r="D125">
        <v>1</v>
      </c>
      <c r="E125">
        <v>1</v>
      </c>
      <c r="F125">
        <v>9350</v>
      </c>
      <c r="G125">
        <v>7.6300000000000007E-2</v>
      </c>
      <c r="H125" t="s">
        <v>2221</v>
      </c>
    </row>
    <row r="126" spans="1:8">
      <c r="A126" t="s">
        <v>5103</v>
      </c>
      <c r="B126" t="s">
        <v>5102</v>
      </c>
      <c r="C126">
        <v>1</v>
      </c>
      <c r="D126">
        <v>1</v>
      </c>
      <c r="E126">
        <v>1</v>
      </c>
      <c r="F126">
        <v>2650</v>
      </c>
      <c r="G126">
        <v>2.6373299999999999E-2</v>
      </c>
      <c r="H126" t="s">
        <v>2221</v>
      </c>
    </row>
    <row r="127" spans="1:8">
      <c r="A127" t="s">
        <v>9301</v>
      </c>
      <c r="B127" t="s">
        <v>5105</v>
      </c>
      <c r="C127">
        <v>1</v>
      </c>
      <c r="D127">
        <v>1</v>
      </c>
      <c r="E127">
        <v>1</v>
      </c>
      <c r="F127">
        <v>9350</v>
      </c>
      <c r="G127">
        <v>6.9324999999999998E-2</v>
      </c>
      <c r="H127" t="s">
        <v>2221</v>
      </c>
    </row>
    <row r="128" spans="1:8">
      <c r="A128" t="s">
        <v>9302</v>
      </c>
      <c r="B128" t="s">
        <v>5104</v>
      </c>
      <c r="C128">
        <v>1</v>
      </c>
      <c r="D128">
        <v>1</v>
      </c>
      <c r="E128">
        <v>1</v>
      </c>
      <c r="F128">
        <v>9000</v>
      </c>
      <c r="G128">
        <v>8.0512500000000001E-2</v>
      </c>
      <c r="H128" t="s">
        <v>2221</v>
      </c>
    </row>
    <row r="129" spans="1:8">
      <c r="A129" t="s">
        <v>108</v>
      </c>
      <c r="B129" t="s">
        <v>2282</v>
      </c>
      <c r="C129">
        <v>1</v>
      </c>
      <c r="D129">
        <v>1</v>
      </c>
      <c r="E129">
        <v>1</v>
      </c>
      <c r="F129">
        <v>8400</v>
      </c>
      <c r="G129">
        <v>8.2150000000000001E-2</v>
      </c>
      <c r="H129" t="s">
        <v>2221</v>
      </c>
    </row>
    <row r="130" spans="1:8">
      <c r="A130" t="s">
        <v>109</v>
      </c>
      <c r="B130" t="s">
        <v>2284</v>
      </c>
      <c r="C130">
        <v>1</v>
      </c>
      <c r="D130">
        <v>1</v>
      </c>
      <c r="E130">
        <v>1</v>
      </c>
      <c r="F130">
        <v>9200</v>
      </c>
      <c r="G130">
        <v>8.5250000000000006E-2</v>
      </c>
      <c r="H130" t="s">
        <v>2221</v>
      </c>
    </row>
    <row r="131" spans="1:8">
      <c r="A131" t="s">
        <v>9303</v>
      </c>
      <c r="B131" t="s">
        <v>5115</v>
      </c>
      <c r="C131">
        <v>15</v>
      </c>
      <c r="D131">
        <v>1</v>
      </c>
      <c r="E131">
        <v>1</v>
      </c>
      <c r="F131">
        <v>880</v>
      </c>
      <c r="G131">
        <v>1.9215E-3</v>
      </c>
      <c r="H131" t="s">
        <v>2203</v>
      </c>
    </row>
    <row r="132" spans="1:8">
      <c r="A132" t="s">
        <v>9304</v>
      </c>
      <c r="B132" t="s">
        <v>5114</v>
      </c>
      <c r="C132">
        <v>30</v>
      </c>
      <c r="D132">
        <v>1</v>
      </c>
      <c r="E132">
        <v>1</v>
      </c>
      <c r="F132">
        <v>443.3</v>
      </c>
      <c r="G132">
        <v>1.3832E-3</v>
      </c>
      <c r="H132" t="s">
        <v>2203</v>
      </c>
    </row>
    <row r="133" spans="1:8">
      <c r="A133" t="s">
        <v>110</v>
      </c>
      <c r="B133" t="s">
        <v>2285</v>
      </c>
      <c r="C133">
        <v>20</v>
      </c>
      <c r="D133">
        <v>1</v>
      </c>
      <c r="E133">
        <v>1</v>
      </c>
      <c r="F133">
        <v>442.5</v>
      </c>
      <c r="G133">
        <v>1.2639999999999999E-3</v>
      </c>
      <c r="H133" t="s">
        <v>2197</v>
      </c>
    </row>
    <row r="134" spans="1:8">
      <c r="A134" t="s">
        <v>113</v>
      </c>
      <c r="B134" t="s">
        <v>2287</v>
      </c>
      <c r="C134">
        <v>40</v>
      </c>
      <c r="D134">
        <v>1</v>
      </c>
      <c r="E134">
        <v>1</v>
      </c>
      <c r="F134">
        <v>243.8</v>
      </c>
      <c r="G134">
        <v>6.8559999999999997E-4</v>
      </c>
      <c r="H134" t="s">
        <v>2197</v>
      </c>
    </row>
    <row r="135" spans="1:8">
      <c r="A135" t="s">
        <v>9306</v>
      </c>
      <c r="B135" t="s">
        <v>5116</v>
      </c>
      <c r="C135">
        <v>50</v>
      </c>
      <c r="D135">
        <v>1</v>
      </c>
      <c r="E135">
        <v>1</v>
      </c>
      <c r="F135">
        <v>246.8</v>
      </c>
      <c r="G135">
        <v>6.7319999999999999E-4</v>
      </c>
      <c r="H135" t="s">
        <v>2197</v>
      </c>
    </row>
    <row r="136" spans="1:8">
      <c r="A136" t="s">
        <v>9305</v>
      </c>
      <c r="B136" t="s">
        <v>5117</v>
      </c>
      <c r="C136">
        <v>50</v>
      </c>
      <c r="D136">
        <v>1</v>
      </c>
      <c r="E136">
        <v>1</v>
      </c>
      <c r="F136">
        <v>246.8</v>
      </c>
      <c r="G136">
        <v>6.7319999999999999E-4</v>
      </c>
      <c r="H136" t="s">
        <v>2197</v>
      </c>
    </row>
    <row r="137" spans="1:8">
      <c r="A137" t="s">
        <v>116</v>
      </c>
      <c r="B137" t="s">
        <v>2288</v>
      </c>
      <c r="C137">
        <v>50</v>
      </c>
      <c r="D137">
        <v>1</v>
      </c>
      <c r="E137">
        <v>1</v>
      </c>
      <c r="F137">
        <v>105</v>
      </c>
      <c r="G137">
        <v>3.0679999999999998E-4</v>
      </c>
      <c r="H137" t="s">
        <v>2197</v>
      </c>
    </row>
    <row r="138" spans="1:8">
      <c r="A138" t="s">
        <v>118</v>
      </c>
      <c r="B138" t="s">
        <v>2289</v>
      </c>
      <c r="C138">
        <v>100</v>
      </c>
      <c r="D138">
        <v>1</v>
      </c>
      <c r="E138">
        <v>1</v>
      </c>
      <c r="F138">
        <v>77.5</v>
      </c>
      <c r="G138">
        <v>1.5990000000000001E-4</v>
      </c>
      <c r="H138" t="s">
        <v>2197</v>
      </c>
    </row>
    <row r="139" spans="1:8">
      <c r="A139" t="s">
        <v>122</v>
      </c>
      <c r="B139" t="s">
        <v>2292</v>
      </c>
      <c r="C139">
        <v>40</v>
      </c>
      <c r="D139">
        <v>1</v>
      </c>
      <c r="E139">
        <v>1</v>
      </c>
      <c r="F139">
        <v>338.8</v>
      </c>
      <c r="G139">
        <v>7.2550000000000002E-4</v>
      </c>
      <c r="H139" t="s">
        <v>2197</v>
      </c>
    </row>
    <row r="140" spans="1:8">
      <c r="A140" t="s">
        <v>126</v>
      </c>
      <c r="B140" t="s">
        <v>2293</v>
      </c>
      <c r="C140">
        <v>50</v>
      </c>
      <c r="D140">
        <v>1</v>
      </c>
      <c r="E140">
        <v>1</v>
      </c>
      <c r="F140">
        <v>144</v>
      </c>
      <c r="G140">
        <v>3.1579999999999998E-4</v>
      </c>
      <c r="H140" t="s">
        <v>2197</v>
      </c>
    </row>
    <row r="141" spans="1:8">
      <c r="A141" t="s">
        <v>4324</v>
      </c>
      <c r="B141" t="s">
        <v>5118</v>
      </c>
      <c r="C141">
        <v>10</v>
      </c>
      <c r="D141">
        <v>20</v>
      </c>
      <c r="E141">
        <v>1</v>
      </c>
      <c r="F141">
        <v>0</v>
      </c>
      <c r="G141">
        <v>0</v>
      </c>
      <c r="H141" t="s">
        <v>2203</v>
      </c>
    </row>
    <row r="142" spans="1:8">
      <c r="A142" t="s">
        <v>5120</v>
      </c>
      <c r="B142" t="s">
        <v>5119</v>
      </c>
      <c r="C142">
        <v>10</v>
      </c>
      <c r="D142">
        <v>20</v>
      </c>
      <c r="E142">
        <v>1</v>
      </c>
      <c r="F142">
        <v>10</v>
      </c>
      <c r="G142" s="4">
        <v>7.2000000000000002E-5</v>
      </c>
      <c r="H142" t="s">
        <v>2203</v>
      </c>
    </row>
    <row r="143" spans="1:8">
      <c r="A143" t="s">
        <v>4326</v>
      </c>
      <c r="B143" t="s">
        <v>5122</v>
      </c>
      <c r="C143">
        <v>10</v>
      </c>
      <c r="D143">
        <v>20</v>
      </c>
      <c r="E143">
        <v>1</v>
      </c>
      <c r="F143">
        <v>10.3</v>
      </c>
      <c r="G143" s="4">
        <v>7.9499999999999994E-5</v>
      </c>
      <c r="H143" t="s">
        <v>2203</v>
      </c>
    </row>
    <row r="144" spans="1:8">
      <c r="A144" t="s">
        <v>4325</v>
      </c>
      <c r="B144" t="s">
        <v>5121</v>
      </c>
      <c r="C144">
        <v>8</v>
      </c>
      <c r="D144">
        <v>25</v>
      </c>
      <c r="E144">
        <v>1</v>
      </c>
      <c r="F144">
        <v>54.3</v>
      </c>
      <c r="G144">
        <v>2.7789999999999998E-4</v>
      </c>
      <c r="H144" t="s">
        <v>2203</v>
      </c>
    </row>
    <row r="145" spans="1:8">
      <c r="A145" t="s">
        <v>9307</v>
      </c>
      <c r="B145" t="s">
        <v>5125</v>
      </c>
      <c r="C145">
        <v>100</v>
      </c>
      <c r="D145">
        <v>1</v>
      </c>
      <c r="E145">
        <v>1</v>
      </c>
      <c r="F145">
        <v>84</v>
      </c>
      <c r="G145">
        <v>1.863E-4</v>
      </c>
      <c r="H145" t="s">
        <v>2197</v>
      </c>
    </row>
    <row r="146" spans="1:8">
      <c r="A146" t="s">
        <v>9308</v>
      </c>
      <c r="B146" t="s">
        <v>5123</v>
      </c>
      <c r="C146">
        <v>20</v>
      </c>
      <c r="D146">
        <v>1</v>
      </c>
      <c r="E146">
        <v>1</v>
      </c>
      <c r="F146">
        <v>372.5</v>
      </c>
      <c r="G146">
        <v>9.1350000000000003E-4</v>
      </c>
      <c r="H146" t="s">
        <v>2197</v>
      </c>
    </row>
    <row r="147" spans="1:8">
      <c r="A147" t="s">
        <v>5127</v>
      </c>
      <c r="B147" t="s">
        <v>5126</v>
      </c>
      <c r="C147">
        <v>40</v>
      </c>
      <c r="D147">
        <v>1</v>
      </c>
      <c r="E147">
        <v>1</v>
      </c>
      <c r="F147">
        <v>345</v>
      </c>
      <c r="G147">
        <v>8.2879999999999998E-4</v>
      </c>
      <c r="H147" t="s">
        <v>2197</v>
      </c>
    </row>
    <row r="148" spans="1:8">
      <c r="A148" t="s">
        <v>9309</v>
      </c>
      <c r="B148" t="s">
        <v>5124</v>
      </c>
      <c r="C148">
        <v>50</v>
      </c>
      <c r="D148">
        <v>1</v>
      </c>
      <c r="E148">
        <v>1</v>
      </c>
      <c r="F148">
        <v>153</v>
      </c>
      <c r="G148">
        <v>3.7859999999999999E-4</v>
      </c>
      <c r="H148" t="s">
        <v>2197</v>
      </c>
    </row>
    <row r="149" spans="1:8">
      <c r="A149" t="s">
        <v>4327</v>
      </c>
      <c r="B149" t="s">
        <v>5128</v>
      </c>
      <c r="C149">
        <v>40</v>
      </c>
      <c r="D149">
        <v>1</v>
      </c>
      <c r="E149">
        <v>1</v>
      </c>
      <c r="F149">
        <v>0</v>
      </c>
      <c r="G149">
        <v>0</v>
      </c>
      <c r="H149" t="s">
        <v>2197</v>
      </c>
    </row>
    <row r="150" spans="1:8">
      <c r="A150" t="s">
        <v>129</v>
      </c>
      <c r="B150" t="s">
        <v>2294</v>
      </c>
      <c r="C150">
        <v>16</v>
      </c>
      <c r="D150">
        <v>1</v>
      </c>
      <c r="E150">
        <v>1</v>
      </c>
      <c r="F150">
        <v>1137.5</v>
      </c>
      <c r="G150">
        <v>2.5181000000000001E-3</v>
      </c>
      <c r="H150" t="s">
        <v>2197</v>
      </c>
    </row>
    <row r="151" spans="1:8">
      <c r="A151" t="s">
        <v>130</v>
      </c>
      <c r="B151" t="s">
        <v>2296</v>
      </c>
      <c r="C151">
        <v>20</v>
      </c>
      <c r="D151">
        <v>1</v>
      </c>
      <c r="E151">
        <v>1</v>
      </c>
      <c r="F151">
        <v>515</v>
      </c>
      <c r="G151">
        <v>1.2909E-3</v>
      </c>
      <c r="H151" t="s">
        <v>2197</v>
      </c>
    </row>
    <row r="152" spans="1:8">
      <c r="A152" t="s">
        <v>5130</v>
      </c>
      <c r="B152" t="s">
        <v>5129</v>
      </c>
      <c r="C152">
        <v>20</v>
      </c>
      <c r="D152">
        <v>1</v>
      </c>
      <c r="E152">
        <v>1</v>
      </c>
      <c r="F152">
        <v>1384</v>
      </c>
      <c r="G152">
        <v>2.0790000000000001E-3</v>
      </c>
      <c r="H152" t="s">
        <v>2197</v>
      </c>
    </row>
    <row r="153" spans="1:8">
      <c r="A153" t="s">
        <v>5132</v>
      </c>
      <c r="B153" t="s">
        <v>5131</v>
      </c>
      <c r="C153">
        <v>4</v>
      </c>
      <c r="D153">
        <v>1</v>
      </c>
      <c r="E153">
        <v>1</v>
      </c>
      <c r="F153">
        <v>0</v>
      </c>
      <c r="G153">
        <v>0</v>
      </c>
      <c r="H153" t="s">
        <v>2307</v>
      </c>
    </row>
    <row r="154" spans="1:8">
      <c r="A154" t="s">
        <v>5136</v>
      </c>
      <c r="B154" t="s">
        <v>5135</v>
      </c>
      <c r="C154">
        <v>40</v>
      </c>
      <c r="D154">
        <v>1</v>
      </c>
      <c r="E154">
        <v>1</v>
      </c>
      <c r="F154">
        <v>598.79999999999995</v>
      </c>
      <c r="G154">
        <v>1.2373E-3</v>
      </c>
      <c r="H154" t="s">
        <v>2197</v>
      </c>
    </row>
    <row r="155" spans="1:8">
      <c r="A155" t="s">
        <v>5134</v>
      </c>
      <c r="B155" t="s">
        <v>5133</v>
      </c>
      <c r="C155">
        <v>50</v>
      </c>
      <c r="D155">
        <v>1</v>
      </c>
      <c r="E155">
        <v>1</v>
      </c>
      <c r="F155">
        <v>324</v>
      </c>
      <c r="G155">
        <v>7.5140000000000005E-4</v>
      </c>
      <c r="H155" t="s">
        <v>2197</v>
      </c>
    </row>
    <row r="156" spans="1:8">
      <c r="A156" t="s">
        <v>131</v>
      </c>
      <c r="B156" t="s">
        <v>2297</v>
      </c>
      <c r="C156">
        <v>40</v>
      </c>
      <c r="D156">
        <v>1</v>
      </c>
      <c r="E156">
        <v>1</v>
      </c>
      <c r="F156">
        <v>262.5</v>
      </c>
      <c r="G156">
        <v>8.0639999999999998E-4</v>
      </c>
      <c r="H156" t="s">
        <v>2197</v>
      </c>
    </row>
    <row r="157" spans="1:8">
      <c r="A157" t="s">
        <v>9310</v>
      </c>
      <c r="B157" t="s">
        <v>5137</v>
      </c>
      <c r="C157">
        <v>50</v>
      </c>
      <c r="D157">
        <v>1</v>
      </c>
      <c r="E157">
        <v>1</v>
      </c>
      <c r="F157">
        <v>120</v>
      </c>
      <c r="G157">
        <v>4.0069999999999998E-4</v>
      </c>
      <c r="H157" t="s">
        <v>2197</v>
      </c>
    </row>
    <row r="158" spans="1:8">
      <c r="A158" t="s">
        <v>132</v>
      </c>
      <c r="B158" t="s">
        <v>2299</v>
      </c>
      <c r="C158">
        <v>40</v>
      </c>
      <c r="D158">
        <v>1</v>
      </c>
      <c r="E158">
        <v>1</v>
      </c>
      <c r="F158">
        <v>328.8</v>
      </c>
      <c r="G158">
        <v>6.3730000000000004E-4</v>
      </c>
      <c r="H158" t="s">
        <v>2197</v>
      </c>
    </row>
    <row r="159" spans="1:8">
      <c r="A159" t="s">
        <v>133</v>
      </c>
      <c r="B159" t="s">
        <v>2301</v>
      </c>
      <c r="C159">
        <v>50</v>
      </c>
      <c r="D159">
        <v>1</v>
      </c>
      <c r="E159">
        <v>1</v>
      </c>
      <c r="F159">
        <v>136</v>
      </c>
      <c r="G159">
        <v>2.8699999999999998E-4</v>
      </c>
      <c r="H159" t="s">
        <v>2197</v>
      </c>
    </row>
    <row r="160" spans="1:8">
      <c r="A160" t="s">
        <v>5139</v>
      </c>
      <c r="B160" t="s">
        <v>5138</v>
      </c>
      <c r="C160">
        <v>12</v>
      </c>
      <c r="D160">
        <v>1</v>
      </c>
      <c r="E160">
        <v>1</v>
      </c>
      <c r="F160">
        <v>1433.3</v>
      </c>
      <c r="G160">
        <v>2.2680000000000001E-3</v>
      </c>
      <c r="H160" t="s">
        <v>2197</v>
      </c>
    </row>
    <row r="161" spans="1:8">
      <c r="A161" t="s">
        <v>134</v>
      </c>
      <c r="B161" t="s">
        <v>2302</v>
      </c>
      <c r="C161">
        <v>1</v>
      </c>
      <c r="D161">
        <v>1</v>
      </c>
      <c r="E161">
        <v>1</v>
      </c>
      <c r="F161">
        <v>23030</v>
      </c>
      <c r="G161">
        <v>1.8559099999999999E-2</v>
      </c>
      <c r="H161" t="s">
        <v>2303</v>
      </c>
    </row>
    <row r="162" spans="1:8">
      <c r="A162" t="s">
        <v>135</v>
      </c>
      <c r="B162" t="s">
        <v>2305</v>
      </c>
      <c r="C162">
        <v>20</v>
      </c>
      <c r="D162">
        <v>1</v>
      </c>
      <c r="E162">
        <v>1</v>
      </c>
      <c r="F162">
        <v>1335</v>
      </c>
      <c r="G162">
        <v>2.5818999999999998E-3</v>
      </c>
      <c r="H162" t="s">
        <v>2197</v>
      </c>
    </row>
    <row r="163" spans="1:8">
      <c r="A163" t="s">
        <v>136</v>
      </c>
      <c r="B163" t="s">
        <v>2306</v>
      </c>
      <c r="C163">
        <v>4</v>
      </c>
      <c r="D163">
        <v>1</v>
      </c>
      <c r="E163">
        <v>1</v>
      </c>
      <c r="F163">
        <v>6400</v>
      </c>
      <c r="G163">
        <v>8.2267999999999994E-3</v>
      </c>
      <c r="H163" t="s">
        <v>2307</v>
      </c>
    </row>
    <row r="164" spans="1:8">
      <c r="A164" t="s">
        <v>5143</v>
      </c>
      <c r="B164" t="s">
        <v>5142</v>
      </c>
      <c r="C164">
        <v>20</v>
      </c>
      <c r="D164">
        <v>1</v>
      </c>
      <c r="E164">
        <v>1</v>
      </c>
      <c r="F164">
        <v>0</v>
      </c>
      <c r="G164">
        <v>0</v>
      </c>
      <c r="H164" t="s">
        <v>2203</v>
      </c>
    </row>
    <row r="165" spans="1:8">
      <c r="A165" t="s">
        <v>5141</v>
      </c>
      <c r="B165" t="s">
        <v>5140</v>
      </c>
      <c r="C165">
        <v>20</v>
      </c>
      <c r="D165">
        <v>20</v>
      </c>
      <c r="E165">
        <v>1</v>
      </c>
      <c r="F165">
        <v>0</v>
      </c>
      <c r="G165">
        <v>0</v>
      </c>
      <c r="H165" t="s">
        <v>2203</v>
      </c>
    </row>
    <row r="166" spans="1:8">
      <c r="A166" t="s">
        <v>5153</v>
      </c>
      <c r="B166" t="s">
        <v>5152</v>
      </c>
      <c r="C166">
        <v>20</v>
      </c>
      <c r="D166">
        <v>1</v>
      </c>
      <c r="E166">
        <v>1</v>
      </c>
      <c r="F166">
        <v>0</v>
      </c>
      <c r="G166">
        <v>0</v>
      </c>
      <c r="H166" t="s">
        <v>2203</v>
      </c>
    </row>
    <row r="167" spans="1:8">
      <c r="A167" t="s">
        <v>5157</v>
      </c>
      <c r="B167" t="s">
        <v>5156</v>
      </c>
      <c r="C167">
        <v>50</v>
      </c>
      <c r="D167">
        <v>1</v>
      </c>
      <c r="E167">
        <v>1</v>
      </c>
      <c r="F167">
        <v>1</v>
      </c>
      <c r="G167">
        <v>0</v>
      </c>
      <c r="H167" t="s">
        <v>2197</v>
      </c>
    </row>
    <row r="168" spans="1:8">
      <c r="A168" t="s">
        <v>5155</v>
      </c>
      <c r="B168" t="s">
        <v>5154</v>
      </c>
      <c r="C168">
        <v>20</v>
      </c>
      <c r="D168">
        <v>1</v>
      </c>
      <c r="E168">
        <v>1</v>
      </c>
      <c r="F168">
        <v>0</v>
      </c>
      <c r="G168">
        <v>0</v>
      </c>
      <c r="H168" t="s">
        <v>2197</v>
      </c>
    </row>
    <row r="169" spans="1:8">
      <c r="A169" t="s">
        <v>5146</v>
      </c>
      <c r="B169" t="s">
        <v>5145</v>
      </c>
      <c r="C169">
        <v>20</v>
      </c>
      <c r="D169">
        <v>1</v>
      </c>
      <c r="E169">
        <v>1</v>
      </c>
      <c r="F169">
        <v>0</v>
      </c>
      <c r="G169">
        <v>0</v>
      </c>
      <c r="H169" t="s">
        <v>2197</v>
      </c>
    </row>
    <row r="170" spans="1:8">
      <c r="A170" t="s">
        <v>4959</v>
      </c>
      <c r="B170" t="s">
        <v>5144</v>
      </c>
      <c r="C170">
        <v>50</v>
      </c>
      <c r="D170">
        <v>1</v>
      </c>
      <c r="E170">
        <v>1</v>
      </c>
      <c r="F170">
        <v>0</v>
      </c>
      <c r="G170">
        <v>0</v>
      </c>
      <c r="H170" t="s">
        <v>2197</v>
      </c>
    </row>
    <row r="171" spans="1:8">
      <c r="A171" t="s">
        <v>137</v>
      </c>
      <c r="B171" t="s">
        <v>2308</v>
      </c>
      <c r="C171">
        <v>20</v>
      </c>
      <c r="D171">
        <v>1</v>
      </c>
      <c r="E171">
        <v>1</v>
      </c>
      <c r="F171">
        <v>1142.5</v>
      </c>
      <c r="G171">
        <v>2.8687999999999999E-3</v>
      </c>
      <c r="H171" t="s">
        <v>2203</v>
      </c>
    </row>
    <row r="172" spans="1:8">
      <c r="A172" t="s">
        <v>9311</v>
      </c>
      <c r="B172" t="s">
        <v>5158</v>
      </c>
      <c r="C172">
        <v>20</v>
      </c>
      <c r="D172">
        <v>1</v>
      </c>
      <c r="E172">
        <v>1</v>
      </c>
      <c r="F172">
        <v>600</v>
      </c>
      <c r="G172">
        <v>1.9689999999999998E-3</v>
      </c>
      <c r="H172" t="s">
        <v>2203</v>
      </c>
    </row>
    <row r="173" spans="1:8">
      <c r="A173" t="s">
        <v>9312</v>
      </c>
      <c r="B173" t="s">
        <v>5163</v>
      </c>
      <c r="C173">
        <v>40</v>
      </c>
      <c r="D173">
        <v>1</v>
      </c>
      <c r="E173">
        <v>1</v>
      </c>
      <c r="F173">
        <v>303.8</v>
      </c>
      <c r="G173">
        <v>9.1640000000000005E-4</v>
      </c>
      <c r="H173" t="s">
        <v>2203</v>
      </c>
    </row>
    <row r="174" spans="1:8">
      <c r="A174" t="s">
        <v>4330</v>
      </c>
      <c r="B174" t="s">
        <v>5149</v>
      </c>
      <c r="C174">
        <v>1</v>
      </c>
      <c r="D174">
        <v>1</v>
      </c>
      <c r="E174">
        <v>1</v>
      </c>
      <c r="F174">
        <v>0</v>
      </c>
      <c r="G174">
        <v>0</v>
      </c>
      <c r="H174" t="s">
        <v>2303</v>
      </c>
    </row>
    <row r="175" spans="1:8">
      <c r="A175" t="s">
        <v>4329</v>
      </c>
      <c r="B175" t="s">
        <v>5147</v>
      </c>
      <c r="C175">
        <v>20</v>
      </c>
      <c r="D175">
        <v>1</v>
      </c>
      <c r="E175">
        <v>1</v>
      </c>
      <c r="F175">
        <v>0</v>
      </c>
      <c r="G175">
        <v>0</v>
      </c>
      <c r="H175" t="s">
        <v>2197</v>
      </c>
    </row>
    <row r="176" spans="1:8">
      <c r="A176" t="s">
        <v>5162</v>
      </c>
      <c r="B176" t="s">
        <v>5161</v>
      </c>
      <c r="C176">
        <v>20</v>
      </c>
      <c r="D176">
        <v>1</v>
      </c>
      <c r="E176">
        <v>1</v>
      </c>
      <c r="F176">
        <v>1</v>
      </c>
      <c r="G176">
        <v>0</v>
      </c>
      <c r="H176" t="s">
        <v>2197</v>
      </c>
    </row>
    <row r="177" spans="1:8">
      <c r="A177" t="s">
        <v>4328</v>
      </c>
      <c r="B177" t="s">
        <v>5148</v>
      </c>
      <c r="C177">
        <v>4</v>
      </c>
      <c r="D177">
        <v>1</v>
      </c>
      <c r="E177">
        <v>1</v>
      </c>
      <c r="F177">
        <v>0</v>
      </c>
      <c r="G177">
        <v>0</v>
      </c>
      <c r="H177" t="s">
        <v>2307</v>
      </c>
    </row>
    <row r="178" spans="1:8">
      <c r="A178" t="s">
        <v>5160</v>
      </c>
      <c r="B178" t="s">
        <v>5159</v>
      </c>
      <c r="C178">
        <v>20</v>
      </c>
      <c r="D178">
        <v>1</v>
      </c>
      <c r="E178">
        <v>1</v>
      </c>
      <c r="F178">
        <v>1</v>
      </c>
      <c r="G178">
        <v>0</v>
      </c>
      <c r="H178" t="s">
        <v>2203</v>
      </c>
    </row>
    <row r="179" spans="1:8">
      <c r="A179" t="s">
        <v>5151</v>
      </c>
      <c r="B179" t="s">
        <v>5150</v>
      </c>
      <c r="C179">
        <v>20</v>
      </c>
      <c r="D179">
        <v>1</v>
      </c>
      <c r="E179">
        <v>1</v>
      </c>
      <c r="F179">
        <v>0</v>
      </c>
      <c r="G179">
        <v>0</v>
      </c>
      <c r="H179" t="s">
        <v>2203</v>
      </c>
    </row>
    <row r="180" spans="1:8">
      <c r="A180" t="s">
        <v>138</v>
      </c>
      <c r="B180" t="s">
        <v>2310</v>
      </c>
      <c r="C180">
        <v>20</v>
      </c>
      <c r="D180">
        <v>1</v>
      </c>
      <c r="E180">
        <v>1</v>
      </c>
      <c r="F180">
        <v>1242.5</v>
      </c>
      <c r="G180">
        <v>2.6137999999999999E-3</v>
      </c>
      <c r="H180" t="s">
        <v>2197</v>
      </c>
    </row>
    <row r="181" spans="1:8">
      <c r="A181" t="s">
        <v>4331</v>
      </c>
      <c r="B181" t="s">
        <v>5164</v>
      </c>
      <c r="C181">
        <v>10</v>
      </c>
      <c r="D181">
        <v>1</v>
      </c>
      <c r="E181">
        <v>1</v>
      </c>
      <c r="F181">
        <v>1259</v>
      </c>
      <c r="G181">
        <v>2.25625E-3</v>
      </c>
      <c r="H181" t="s">
        <v>2197</v>
      </c>
    </row>
    <row r="182" spans="1:8">
      <c r="A182" t="s">
        <v>5168</v>
      </c>
      <c r="B182" t="s">
        <v>5167</v>
      </c>
      <c r="C182">
        <v>15</v>
      </c>
      <c r="D182">
        <v>1</v>
      </c>
      <c r="E182">
        <v>1</v>
      </c>
      <c r="F182">
        <v>1263.3</v>
      </c>
      <c r="G182">
        <v>2.6350000000000002E-3</v>
      </c>
      <c r="H182" t="s">
        <v>2197</v>
      </c>
    </row>
    <row r="183" spans="1:8">
      <c r="A183" t="s">
        <v>5166</v>
      </c>
      <c r="B183" t="s">
        <v>5165</v>
      </c>
      <c r="C183">
        <v>4</v>
      </c>
      <c r="D183">
        <v>1</v>
      </c>
      <c r="E183">
        <v>1</v>
      </c>
      <c r="F183">
        <v>3627.5</v>
      </c>
      <c r="G183">
        <v>8.6238749999999996E-3</v>
      </c>
      <c r="H183" t="s">
        <v>2307</v>
      </c>
    </row>
    <row r="184" spans="1:8">
      <c r="A184" t="s">
        <v>5170</v>
      </c>
      <c r="B184" t="s">
        <v>5169</v>
      </c>
      <c r="C184">
        <v>20</v>
      </c>
      <c r="D184">
        <v>1</v>
      </c>
      <c r="E184">
        <v>1</v>
      </c>
      <c r="F184">
        <v>500</v>
      </c>
      <c r="G184">
        <v>1.92855E-3</v>
      </c>
      <c r="H184" t="s">
        <v>2203</v>
      </c>
    </row>
    <row r="185" spans="1:8">
      <c r="A185" t="s">
        <v>5172</v>
      </c>
      <c r="B185" t="s">
        <v>5171</v>
      </c>
      <c r="C185">
        <v>20</v>
      </c>
      <c r="D185">
        <v>20</v>
      </c>
      <c r="E185">
        <v>1</v>
      </c>
      <c r="F185">
        <v>1</v>
      </c>
      <c r="G185">
        <v>0</v>
      </c>
      <c r="H185" t="s">
        <v>2203</v>
      </c>
    </row>
    <row r="186" spans="1:8">
      <c r="A186" t="s">
        <v>139</v>
      </c>
      <c r="B186" t="s">
        <v>2312</v>
      </c>
      <c r="C186">
        <v>10</v>
      </c>
      <c r="D186">
        <v>1</v>
      </c>
      <c r="E186">
        <v>1</v>
      </c>
      <c r="F186">
        <v>1300</v>
      </c>
      <c r="G186">
        <v>2.2230000000000001E-3</v>
      </c>
      <c r="H186" t="s">
        <v>2197</v>
      </c>
    </row>
    <row r="187" spans="1:8">
      <c r="A187" t="s">
        <v>140</v>
      </c>
      <c r="B187" t="s">
        <v>2314</v>
      </c>
      <c r="C187">
        <v>20</v>
      </c>
      <c r="D187">
        <v>1</v>
      </c>
      <c r="E187">
        <v>1</v>
      </c>
      <c r="F187">
        <v>350</v>
      </c>
      <c r="G187">
        <v>7.4879999999999999E-4</v>
      </c>
      <c r="H187" t="s">
        <v>2197</v>
      </c>
    </row>
    <row r="188" spans="1:8">
      <c r="A188" t="s">
        <v>141</v>
      </c>
      <c r="B188" t="s">
        <v>2315</v>
      </c>
      <c r="C188">
        <v>20</v>
      </c>
      <c r="D188">
        <v>1</v>
      </c>
      <c r="E188">
        <v>1</v>
      </c>
      <c r="F188">
        <v>650</v>
      </c>
      <c r="G188">
        <v>1.1655000000000001E-3</v>
      </c>
      <c r="H188" t="s">
        <v>2197</v>
      </c>
    </row>
    <row r="189" spans="1:8">
      <c r="A189" t="s">
        <v>142</v>
      </c>
      <c r="B189" t="s">
        <v>2316</v>
      </c>
      <c r="C189">
        <v>10</v>
      </c>
      <c r="D189">
        <v>1</v>
      </c>
      <c r="E189">
        <v>1</v>
      </c>
      <c r="F189">
        <v>1300</v>
      </c>
      <c r="G189">
        <v>2.2230000000000001E-3</v>
      </c>
      <c r="H189" t="s">
        <v>2197</v>
      </c>
    </row>
    <row r="190" spans="1:8">
      <c r="A190" t="s">
        <v>143</v>
      </c>
      <c r="B190" t="s">
        <v>2317</v>
      </c>
      <c r="C190">
        <v>20</v>
      </c>
      <c r="D190">
        <v>1</v>
      </c>
      <c r="E190">
        <v>1</v>
      </c>
      <c r="F190">
        <v>350</v>
      </c>
      <c r="G190">
        <v>7.4879999999999999E-4</v>
      </c>
      <c r="H190" t="s">
        <v>2197</v>
      </c>
    </row>
    <row r="191" spans="1:8">
      <c r="A191" t="s">
        <v>144</v>
      </c>
      <c r="B191" t="s">
        <v>2318</v>
      </c>
      <c r="C191">
        <v>20</v>
      </c>
      <c r="D191">
        <v>1</v>
      </c>
      <c r="E191">
        <v>1</v>
      </c>
      <c r="F191">
        <v>650</v>
      </c>
      <c r="G191">
        <v>1.1655000000000001E-3</v>
      </c>
      <c r="H191" t="s">
        <v>2197</v>
      </c>
    </row>
    <row r="192" spans="1:8">
      <c r="A192" t="s">
        <v>145</v>
      </c>
      <c r="B192" t="s">
        <v>2320</v>
      </c>
      <c r="C192">
        <v>10</v>
      </c>
      <c r="D192">
        <v>1</v>
      </c>
      <c r="E192">
        <v>1</v>
      </c>
      <c r="F192">
        <v>1300</v>
      </c>
      <c r="G192">
        <v>2.2230000000000001E-3</v>
      </c>
      <c r="H192" t="s">
        <v>2197</v>
      </c>
    </row>
    <row r="193" spans="1:8">
      <c r="A193" t="s">
        <v>146</v>
      </c>
      <c r="B193" t="s">
        <v>2321</v>
      </c>
      <c r="C193">
        <v>20</v>
      </c>
      <c r="D193">
        <v>1</v>
      </c>
      <c r="E193">
        <v>1</v>
      </c>
      <c r="F193">
        <v>350</v>
      </c>
      <c r="G193">
        <v>7.4879999999999999E-4</v>
      </c>
      <c r="H193" t="s">
        <v>2197</v>
      </c>
    </row>
    <row r="194" spans="1:8">
      <c r="A194" t="s">
        <v>147</v>
      </c>
      <c r="B194" t="s">
        <v>2322</v>
      </c>
      <c r="C194">
        <v>20</v>
      </c>
      <c r="D194">
        <v>1</v>
      </c>
      <c r="E194">
        <v>1</v>
      </c>
      <c r="F194">
        <v>650</v>
      </c>
      <c r="G194">
        <v>1.1655000000000001E-3</v>
      </c>
      <c r="H194" t="s">
        <v>2197</v>
      </c>
    </row>
    <row r="195" spans="1:8">
      <c r="A195" t="s">
        <v>148</v>
      </c>
      <c r="B195" t="s">
        <v>2323</v>
      </c>
      <c r="C195">
        <v>1</v>
      </c>
      <c r="D195">
        <v>1</v>
      </c>
      <c r="E195">
        <v>1</v>
      </c>
      <c r="F195">
        <v>1</v>
      </c>
      <c r="G195">
        <v>0</v>
      </c>
      <c r="H195" t="s">
        <v>2197</v>
      </c>
    </row>
    <row r="196" spans="1:8">
      <c r="A196" t="s">
        <v>9313</v>
      </c>
      <c r="B196" t="s">
        <v>5174</v>
      </c>
      <c r="C196">
        <v>100</v>
      </c>
      <c r="D196">
        <v>1</v>
      </c>
      <c r="E196">
        <v>1</v>
      </c>
      <c r="F196">
        <v>147</v>
      </c>
      <c r="G196">
        <v>3.9199999999999999E-4</v>
      </c>
      <c r="H196" t="s">
        <v>2197</v>
      </c>
    </row>
    <row r="197" spans="1:8">
      <c r="A197" t="s">
        <v>149</v>
      </c>
      <c r="B197" t="s">
        <v>2324</v>
      </c>
      <c r="C197">
        <v>20</v>
      </c>
      <c r="D197">
        <v>1</v>
      </c>
      <c r="E197">
        <v>1</v>
      </c>
      <c r="F197">
        <v>682.5</v>
      </c>
      <c r="G197">
        <v>1.7205E-3</v>
      </c>
      <c r="H197" t="s">
        <v>2197</v>
      </c>
    </row>
    <row r="198" spans="1:8">
      <c r="A198" t="s">
        <v>9314</v>
      </c>
      <c r="B198" t="s">
        <v>5173</v>
      </c>
      <c r="C198">
        <v>30</v>
      </c>
      <c r="D198">
        <v>1</v>
      </c>
      <c r="E198">
        <v>1</v>
      </c>
      <c r="F198">
        <v>544</v>
      </c>
      <c r="G198">
        <v>1.1199999999999999E-3</v>
      </c>
      <c r="H198" t="s">
        <v>2197</v>
      </c>
    </row>
    <row r="199" spans="1:8">
      <c r="A199" t="s">
        <v>152</v>
      </c>
      <c r="B199" t="s">
        <v>2327</v>
      </c>
      <c r="C199">
        <v>1</v>
      </c>
      <c r="D199">
        <v>1</v>
      </c>
      <c r="E199">
        <v>1</v>
      </c>
      <c r="F199">
        <v>1</v>
      </c>
      <c r="G199">
        <v>0</v>
      </c>
      <c r="H199" t="s">
        <v>2197</v>
      </c>
    </row>
    <row r="200" spans="1:8">
      <c r="A200" t="s">
        <v>154</v>
      </c>
      <c r="B200" t="s">
        <v>2329</v>
      </c>
      <c r="C200">
        <v>100</v>
      </c>
      <c r="D200">
        <v>1</v>
      </c>
      <c r="E200">
        <v>1</v>
      </c>
      <c r="F200">
        <v>75.599999999999994</v>
      </c>
      <c r="G200">
        <v>1.5579999999999999E-4</v>
      </c>
      <c r="H200" t="s">
        <v>2197</v>
      </c>
    </row>
    <row r="201" spans="1:8">
      <c r="A201" t="s">
        <v>158</v>
      </c>
      <c r="B201" t="s">
        <v>2331</v>
      </c>
      <c r="C201">
        <v>20</v>
      </c>
      <c r="D201">
        <v>1</v>
      </c>
      <c r="E201">
        <v>1</v>
      </c>
      <c r="F201">
        <v>332.5</v>
      </c>
      <c r="G201">
        <v>7.1279999999999998E-4</v>
      </c>
      <c r="H201" t="s">
        <v>2197</v>
      </c>
    </row>
    <row r="202" spans="1:8">
      <c r="A202" t="s">
        <v>163</v>
      </c>
      <c r="B202" t="s">
        <v>2332</v>
      </c>
      <c r="C202">
        <v>50</v>
      </c>
      <c r="D202">
        <v>1</v>
      </c>
      <c r="E202">
        <v>1</v>
      </c>
      <c r="F202">
        <v>144.19999999999999</v>
      </c>
      <c r="G202">
        <v>2.8106000000000002E-4</v>
      </c>
      <c r="H202" t="s">
        <v>2197</v>
      </c>
    </row>
    <row r="203" spans="1:8">
      <c r="A203" t="s">
        <v>4332</v>
      </c>
      <c r="B203" t="s">
        <v>5175</v>
      </c>
      <c r="C203">
        <v>20</v>
      </c>
      <c r="D203">
        <v>1</v>
      </c>
      <c r="E203">
        <v>1</v>
      </c>
      <c r="F203">
        <v>588.5</v>
      </c>
      <c r="G203">
        <v>1.0370437499999999E-3</v>
      </c>
      <c r="H203" t="s">
        <v>2197</v>
      </c>
    </row>
    <row r="204" spans="1:8">
      <c r="A204" t="s">
        <v>5178</v>
      </c>
      <c r="B204" t="s">
        <v>5177</v>
      </c>
      <c r="C204">
        <v>20</v>
      </c>
      <c r="D204">
        <v>1</v>
      </c>
      <c r="E204">
        <v>1</v>
      </c>
      <c r="F204">
        <v>132.5</v>
      </c>
      <c r="G204">
        <v>3.5490000000000001E-4</v>
      </c>
      <c r="H204" t="s">
        <v>2197</v>
      </c>
    </row>
    <row r="205" spans="1:8">
      <c r="A205" t="s">
        <v>4335</v>
      </c>
      <c r="B205" t="s">
        <v>5180</v>
      </c>
      <c r="C205">
        <v>20</v>
      </c>
      <c r="D205">
        <v>1</v>
      </c>
      <c r="E205">
        <v>1</v>
      </c>
      <c r="F205">
        <v>132.5</v>
      </c>
      <c r="G205">
        <v>3.5490000000000001E-4</v>
      </c>
      <c r="H205" t="s">
        <v>2197</v>
      </c>
    </row>
    <row r="206" spans="1:8">
      <c r="A206" t="s">
        <v>4333</v>
      </c>
      <c r="B206" t="s">
        <v>5176</v>
      </c>
      <c r="C206">
        <v>20</v>
      </c>
      <c r="D206">
        <v>1</v>
      </c>
      <c r="E206">
        <v>1</v>
      </c>
      <c r="F206">
        <v>92</v>
      </c>
      <c r="G206">
        <v>4.5760000000000001E-4</v>
      </c>
      <c r="H206" t="s">
        <v>2197</v>
      </c>
    </row>
    <row r="207" spans="1:8">
      <c r="A207" t="s">
        <v>4334</v>
      </c>
      <c r="B207" t="s">
        <v>5179</v>
      </c>
      <c r="C207">
        <v>40</v>
      </c>
      <c r="D207">
        <v>1</v>
      </c>
      <c r="E207">
        <v>1</v>
      </c>
      <c r="F207">
        <v>80</v>
      </c>
      <c r="G207">
        <v>2.4149999999999999E-4</v>
      </c>
      <c r="H207" t="s">
        <v>2197</v>
      </c>
    </row>
    <row r="208" spans="1:8">
      <c r="A208" t="s">
        <v>5182</v>
      </c>
      <c r="B208" t="s">
        <v>5181</v>
      </c>
      <c r="C208">
        <v>1</v>
      </c>
      <c r="D208">
        <v>1</v>
      </c>
      <c r="E208">
        <v>1</v>
      </c>
      <c r="F208">
        <v>51000</v>
      </c>
      <c r="G208">
        <v>5.3999999999999999E-2</v>
      </c>
      <c r="H208" t="s">
        <v>2994</v>
      </c>
    </row>
    <row r="209" spans="1:8">
      <c r="A209" t="s">
        <v>167</v>
      </c>
      <c r="B209" t="s">
        <v>2333</v>
      </c>
      <c r="C209">
        <v>100</v>
      </c>
      <c r="D209">
        <v>1</v>
      </c>
      <c r="E209">
        <v>1</v>
      </c>
      <c r="F209">
        <v>139.1</v>
      </c>
      <c r="G209">
        <v>2.7042750000000001E-4</v>
      </c>
      <c r="H209" t="s">
        <v>2197</v>
      </c>
    </row>
    <row r="210" spans="1:8">
      <c r="A210" t="s">
        <v>173</v>
      </c>
      <c r="B210" t="s">
        <v>2336</v>
      </c>
      <c r="C210">
        <v>40</v>
      </c>
      <c r="D210">
        <v>1</v>
      </c>
      <c r="E210">
        <v>1</v>
      </c>
      <c r="F210">
        <v>336.5</v>
      </c>
      <c r="G210">
        <v>6.9827500000000005E-4</v>
      </c>
      <c r="H210" t="s">
        <v>2197</v>
      </c>
    </row>
    <row r="211" spans="1:8">
      <c r="A211" t="s">
        <v>5184</v>
      </c>
      <c r="B211" t="s">
        <v>5183</v>
      </c>
      <c r="C211">
        <v>1</v>
      </c>
      <c r="D211">
        <v>1</v>
      </c>
      <c r="E211">
        <v>1</v>
      </c>
      <c r="F211">
        <v>51000</v>
      </c>
      <c r="G211">
        <v>0</v>
      </c>
      <c r="H211" t="s">
        <v>2994</v>
      </c>
    </row>
    <row r="212" spans="1:8">
      <c r="A212" t="s">
        <v>4960</v>
      </c>
      <c r="B212" t="s">
        <v>5185</v>
      </c>
      <c r="C212">
        <v>15</v>
      </c>
      <c r="D212">
        <v>1</v>
      </c>
      <c r="E212">
        <v>1</v>
      </c>
      <c r="F212">
        <v>1246.7</v>
      </c>
      <c r="G212">
        <v>2.7732999999999998E-3</v>
      </c>
      <c r="H212" t="s">
        <v>2197</v>
      </c>
    </row>
    <row r="213" spans="1:8">
      <c r="A213" t="s">
        <v>5187</v>
      </c>
      <c r="B213" t="s">
        <v>5186</v>
      </c>
      <c r="C213">
        <v>20</v>
      </c>
      <c r="D213">
        <v>1</v>
      </c>
      <c r="E213">
        <v>1</v>
      </c>
      <c r="F213">
        <v>650</v>
      </c>
      <c r="G213">
        <v>1.4207E-3</v>
      </c>
      <c r="H213" t="s">
        <v>2197</v>
      </c>
    </row>
    <row r="214" spans="1:8">
      <c r="A214" t="s">
        <v>176</v>
      </c>
      <c r="B214" t="s">
        <v>2337</v>
      </c>
      <c r="C214">
        <v>100</v>
      </c>
      <c r="D214">
        <v>1</v>
      </c>
      <c r="E214">
        <v>1</v>
      </c>
      <c r="F214">
        <v>154.80000000000001</v>
      </c>
      <c r="G214">
        <v>3.4160000000000001E-4</v>
      </c>
      <c r="H214" t="s">
        <v>2197</v>
      </c>
    </row>
    <row r="215" spans="1:8">
      <c r="A215" t="s">
        <v>178</v>
      </c>
      <c r="B215" t="s">
        <v>2338</v>
      </c>
      <c r="C215">
        <v>40</v>
      </c>
      <c r="D215">
        <v>1</v>
      </c>
      <c r="E215">
        <v>1</v>
      </c>
      <c r="F215">
        <v>347.5</v>
      </c>
      <c r="G215">
        <v>5.7379999999999996E-4</v>
      </c>
      <c r="H215" t="s">
        <v>2197</v>
      </c>
    </row>
    <row r="216" spans="1:8">
      <c r="A216" t="s">
        <v>9315</v>
      </c>
      <c r="B216" t="s">
        <v>5188</v>
      </c>
      <c r="C216">
        <v>100</v>
      </c>
      <c r="D216">
        <v>1</v>
      </c>
      <c r="E216">
        <v>1</v>
      </c>
      <c r="F216">
        <v>155.69999999999999</v>
      </c>
      <c r="G216">
        <v>3.4154999999999998E-4</v>
      </c>
      <c r="H216" t="s">
        <v>2197</v>
      </c>
    </row>
    <row r="217" spans="1:8">
      <c r="A217" t="s">
        <v>9316</v>
      </c>
      <c r="B217" t="s">
        <v>5189</v>
      </c>
      <c r="C217">
        <v>40</v>
      </c>
      <c r="D217">
        <v>1</v>
      </c>
      <c r="E217">
        <v>1</v>
      </c>
      <c r="F217">
        <v>358.75</v>
      </c>
      <c r="G217">
        <v>6.5576250000000001E-4</v>
      </c>
      <c r="H217" t="s">
        <v>2197</v>
      </c>
    </row>
    <row r="218" spans="1:8">
      <c r="A218" t="s">
        <v>182</v>
      </c>
      <c r="B218" t="s">
        <v>2340</v>
      </c>
      <c r="C218">
        <v>1</v>
      </c>
      <c r="D218">
        <v>1</v>
      </c>
      <c r="E218">
        <v>1</v>
      </c>
      <c r="F218">
        <v>22300</v>
      </c>
      <c r="G218">
        <v>2.2880000000000001E-2</v>
      </c>
      <c r="H218" t="s">
        <v>2303</v>
      </c>
    </row>
    <row r="219" spans="1:8">
      <c r="A219" t="s">
        <v>183</v>
      </c>
      <c r="B219" t="s">
        <v>2342</v>
      </c>
      <c r="C219">
        <v>20</v>
      </c>
      <c r="D219">
        <v>1</v>
      </c>
      <c r="E219">
        <v>1</v>
      </c>
      <c r="F219">
        <v>1305</v>
      </c>
      <c r="G219">
        <v>2.4989999999999999E-3</v>
      </c>
      <c r="H219" t="s">
        <v>2197</v>
      </c>
    </row>
    <row r="220" spans="1:8">
      <c r="A220" t="s">
        <v>184</v>
      </c>
      <c r="B220" t="s">
        <v>2343</v>
      </c>
      <c r="C220">
        <v>4</v>
      </c>
      <c r="D220">
        <v>1</v>
      </c>
      <c r="E220">
        <v>1</v>
      </c>
      <c r="F220">
        <v>5975</v>
      </c>
      <c r="G220">
        <v>8.5800000000000008E-3</v>
      </c>
      <c r="H220" t="s">
        <v>2307</v>
      </c>
    </row>
    <row r="221" spans="1:8">
      <c r="A221" t="s">
        <v>5191</v>
      </c>
      <c r="B221" t="s">
        <v>5190</v>
      </c>
      <c r="C221">
        <v>100</v>
      </c>
      <c r="D221">
        <v>1</v>
      </c>
      <c r="E221">
        <v>1</v>
      </c>
      <c r="F221">
        <v>78.599999999999994</v>
      </c>
      <c r="G221">
        <v>1.5579999999999999E-4</v>
      </c>
      <c r="H221" t="s">
        <v>2197</v>
      </c>
    </row>
    <row r="222" spans="1:8">
      <c r="A222" t="s">
        <v>5195</v>
      </c>
      <c r="B222" t="s">
        <v>5194</v>
      </c>
      <c r="C222">
        <v>20</v>
      </c>
      <c r="D222">
        <v>1</v>
      </c>
      <c r="E222">
        <v>1</v>
      </c>
      <c r="F222">
        <v>1087.5</v>
      </c>
      <c r="G222">
        <v>2.5244999999999998E-3</v>
      </c>
      <c r="H222" t="s">
        <v>2197</v>
      </c>
    </row>
    <row r="223" spans="1:8">
      <c r="A223" t="s">
        <v>5193</v>
      </c>
      <c r="B223" t="s">
        <v>5192</v>
      </c>
      <c r="C223">
        <v>20</v>
      </c>
      <c r="D223">
        <v>1</v>
      </c>
      <c r="E223">
        <v>1</v>
      </c>
      <c r="F223">
        <v>470</v>
      </c>
      <c r="G223">
        <v>1.7424000000000001E-3</v>
      </c>
      <c r="H223" t="s">
        <v>2197</v>
      </c>
    </row>
    <row r="224" spans="1:8">
      <c r="A224" t="s">
        <v>5197</v>
      </c>
      <c r="B224" t="s">
        <v>5196</v>
      </c>
      <c r="C224">
        <v>50</v>
      </c>
      <c r="D224">
        <v>1</v>
      </c>
      <c r="E224">
        <v>1</v>
      </c>
      <c r="F224">
        <v>123</v>
      </c>
      <c r="G224">
        <v>2.8130000000000001E-4</v>
      </c>
      <c r="H224" t="s">
        <v>2197</v>
      </c>
    </row>
    <row r="225" spans="1:8">
      <c r="A225" t="s">
        <v>185</v>
      </c>
      <c r="B225" t="s">
        <v>2344</v>
      </c>
      <c r="C225">
        <v>100</v>
      </c>
      <c r="D225">
        <v>1</v>
      </c>
      <c r="E225">
        <v>1</v>
      </c>
      <c r="F225">
        <v>131</v>
      </c>
      <c r="G225">
        <v>2.9569999999999998E-4</v>
      </c>
      <c r="H225" t="s">
        <v>2197</v>
      </c>
    </row>
    <row r="226" spans="1:8">
      <c r="A226" t="s">
        <v>187</v>
      </c>
      <c r="B226" t="s">
        <v>2346</v>
      </c>
      <c r="C226">
        <v>40</v>
      </c>
      <c r="D226">
        <v>1</v>
      </c>
      <c r="E226">
        <v>1</v>
      </c>
      <c r="F226">
        <v>312.5</v>
      </c>
      <c r="G226">
        <v>8.2680000000000004E-4</v>
      </c>
      <c r="H226" t="s">
        <v>2197</v>
      </c>
    </row>
    <row r="227" spans="1:8">
      <c r="A227" t="s">
        <v>189</v>
      </c>
      <c r="B227" t="s">
        <v>2347</v>
      </c>
      <c r="C227">
        <v>20</v>
      </c>
      <c r="D227">
        <v>1</v>
      </c>
      <c r="E227">
        <v>1</v>
      </c>
      <c r="F227">
        <v>2875</v>
      </c>
      <c r="G227">
        <v>9.1800000000000007E-3</v>
      </c>
      <c r="H227" t="s">
        <v>2197</v>
      </c>
    </row>
    <row r="228" spans="1:8">
      <c r="A228" t="s">
        <v>190</v>
      </c>
      <c r="B228" t="s">
        <v>2349</v>
      </c>
      <c r="C228">
        <v>20</v>
      </c>
      <c r="D228">
        <v>1</v>
      </c>
      <c r="E228">
        <v>1</v>
      </c>
      <c r="F228">
        <v>532.5</v>
      </c>
      <c r="G228">
        <v>1.4986000000000001E-3</v>
      </c>
      <c r="H228" t="s">
        <v>2197</v>
      </c>
    </row>
    <row r="229" spans="1:8">
      <c r="A229" t="s">
        <v>191</v>
      </c>
      <c r="B229" t="s">
        <v>2350</v>
      </c>
      <c r="C229">
        <v>50</v>
      </c>
      <c r="D229">
        <v>1</v>
      </c>
      <c r="E229">
        <v>1</v>
      </c>
      <c r="F229">
        <v>122</v>
      </c>
      <c r="G229">
        <v>3.858E-4</v>
      </c>
      <c r="H229" t="s">
        <v>2197</v>
      </c>
    </row>
    <row r="230" spans="1:8">
      <c r="A230" t="s">
        <v>8330</v>
      </c>
      <c r="B230" t="s">
        <v>8329</v>
      </c>
      <c r="C230">
        <v>1</v>
      </c>
      <c r="D230">
        <v>1</v>
      </c>
      <c r="E230">
        <v>1</v>
      </c>
      <c r="F230">
        <v>1</v>
      </c>
      <c r="G230">
        <v>0</v>
      </c>
      <c r="H230" t="s">
        <v>2221</v>
      </c>
    </row>
    <row r="231" spans="1:8">
      <c r="A231" t="s">
        <v>8332</v>
      </c>
      <c r="B231" t="s">
        <v>8331</v>
      </c>
      <c r="C231">
        <v>1</v>
      </c>
      <c r="D231">
        <v>1</v>
      </c>
      <c r="E231">
        <v>1</v>
      </c>
      <c r="F231">
        <v>1</v>
      </c>
      <c r="G231">
        <v>0</v>
      </c>
      <c r="H231" t="s">
        <v>2221</v>
      </c>
    </row>
    <row r="232" spans="1:8">
      <c r="A232" t="s">
        <v>9317</v>
      </c>
      <c r="B232" t="s">
        <v>5198</v>
      </c>
      <c r="C232">
        <v>10</v>
      </c>
      <c r="D232">
        <v>1</v>
      </c>
      <c r="E232">
        <v>1</v>
      </c>
      <c r="F232">
        <v>1060</v>
      </c>
      <c r="G232">
        <v>1.2528000000000001E-3</v>
      </c>
      <c r="H232" t="s">
        <v>2203</v>
      </c>
    </row>
    <row r="233" spans="1:8">
      <c r="A233" t="s">
        <v>193</v>
      </c>
      <c r="B233" t="s">
        <v>2351</v>
      </c>
      <c r="C233">
        <v>10</v>
      </c>
      <c r="D233">
        <v>1</v>
      </c>
      <c r="E233">
        <v>1</v>
      </c>
      <c r="F233">
        <v>1060</v>
      </c>
      <c r="G233">
        <v>1.2528000000000001E-3</v>
      </c>
      <c r="H233" t="s">
        <v>2203</v>
      </c>
    </row>
    <row r="234" spans="1:8">
      <c r="A234" t="s">
        <v>9319</v>
      </c>
      <c r="B234" t="s">
        <v>5199</v>
      </c>
      <c r="C234">
        <v>30</v>
      </c>
      <c r="D234">
        <v>1</v>
      </c>
      <c r="E234">
        <v>1</v>
      </c>
      <c r="F234">
        <v>608.29999999999995</v>
      </c>
      <c r="G234">
        <v>1.3653000000000001E-3</v>
      </c>
      <c r="H234" t="s">
        <v>2197</v>
      </c>
    </row>
    <row r="235" spans="1:8">
      <c r="A235" t="s">
        <v>9318</v>
      </c>
      <c r="B235" t="s">
        <v>5200</v>
      </c>
      <c r="C235">
        <v>30</v>
      </c>
      <c r="D235">
        <v>1</v>
      </c>
      <c r="E235">
        <v>1</v>
      </c>
      <c r="F235">
        <v>608.29999999999995</v>
      </c>
      <c r="G235">
        <v>1.3653000000000001E-3</v>
      </c>
      <c r="H235" t="s">
        <v>2197</v>
      </c>
    </row>
    <row r="236" spans="1:8">
      <c r="A236" t="s">
        <v>195</v>
      </c>
      <c r="B236" t="s">
        <v>2353</v>
      </c>
      <c r="C236">
        <v>30</v>
      </c>
      <c r="D236">
        <v>1</v>
      </c>
      <c r="E236">
        <v>1</v>
      </c>
      <c r="F236">
        <v>608.29999999999995</v>
      </c>
      <c r="G236">
        <v>1.3653000000000001E-3</v>
      </c>
      <c r="H236" t="s">
        <v>2197</v>
      </c>
    </row>
    <row r="237" spans="1:8">
      <c r="A237" t="s">
        <v>196</v>
      </c>
      <c r="B237" t="s">
        <v>2355</v>
      </c>
      <c r="C237">
        <v>50</v>
      </c>
      <c r="D237">
        <v>1</v>
      </c>
      <c r="E237">
        <v>1</v>
      </c>
      <c r="F237">
        <v>132</v>
      </c>
      <c r="G237">
        <v>3.1512000000000001E-4</v>
      </c>
      <c r="H237" t="s">
        <v>2197</v>
      </c>
    </row>
    <row r="238" spans="1:8">
      <c r="A238" t="s">
        <v>9320</v>
      </c>
      <c r="B238" t="s">
        <v>5201</v>
      </c>
      <c r="C238">
        <v>50</v>
      </c>
      <c r="D238">
        <v>1</v>
      </c>
      <c r="E238">
        <v>1</v>
      </c>
      <c r="F238">
        <v>312</v>
      </c>
      <c r="G238">
        <v>6.7619999999999996E-4</v>
      </c>
      <c r="H238" t="s">
        <v>2197</v>
      </c>
    </row>
    <row r="239" spans="1:8">
      <c r="A239" t="s">
        <v>197</v>
      </c>
      <c r="B239" t="s">
        <v>2356</v>
      </c>
      <c r="C239">
        <v>50</v>
      </c>
      <c r="D239">
        <v>1</v>
      </c>
      <c r="E239">
        <v>1</v>
      </c>
      <c r="F239">
        <v>320</v>
      </c>
      <c r="G239">
        <v>6.7619999999999996E-4</v>
      </c>
      <c r="H239" t="s">
        <v>2197</v>
      </c>
    </row>
    <row r="240" spans="1:8">
      <c r="A240" t="s">
        <v>5203</v>
      </c>
      <c r="B240" t="s">
        <v>5202</v>
      </c>
      <c r="C240">
        <v>40</v>
      </c>
      <c r="D240">
        <v>1</v>
      </c>
      <c r="E240">
        <v>1</v>
      </c>
      <c r="F240">
        <v>348.5</v>
      </c>
      <c r="G240">
        <v>6.5576250000000001E-4</v>
      </c>
      <c r="H240" t="s">
        <v>2197</v>
      </c>
    </row>
    <row r="241" spans="1:8">
      <c r="A241" t="s">
        <v>4336</v>
      </c>
      <c r="B241" t="s">
        <v>5204</v>
      </c>
      <c r="C241">
        <v>20</v>
      </c>
      <c r="D241">
        <v>1</v>
      </c>
      <c r="E241">
        <v>1</v>
      </c>
      <c r="F241">
        <v>687.5</v>
      </c>
      <c r="G241">
        <v>1.8411E-3</v>
      </c>
      <c r="H241" t="s">
        <v>2197</v>
      </c>
    </row>
    <row r="242" spans="1:8">
      <c r="A242" t="s">
        <v>8334</v>
      </c>
      <c r="B242" t="s">
        <v>8333</v>
      </c>
      <c r="C242">
        <v>1</v>
      </c>
      <c r="D242">
        <v>1</v>
      </c>
      <c r="E242">
        <v>1</v>
      </c>
      <c r="F242">
        <v>1</v>
      </c>
      <c r="G242">
        <v>0</v>
      </c>
      <c r="H242" t="s">
        <v>2221</v>
      </c>
    </row>
    <row r="243" spans="1:8">
      <c r="A243" t="s">
        <v>198</v>
      </c>
      <c r="B243" t="s">
        <v>2357</v>
      </c>
      <c r="C243">
        <v>12</v>
      </c>
      <c r="D243">
        <v>1</v>
      </c>
      <c r="E243">
        <v>1</v>
      </c>
      <c r="F243">
        <v>1150</v>
      </c>
      <c r="G243">
        <v>5.3892999999999996E-3</v>
      </c>
      <c r="H243" t="s">
        <v>2203</v>
      </c>
    </row>
    <row r="244" spans="1:8">
      <c r="A244" t="s">
        <v>201</v>
      </c>
      <c r="B244" t="s">
        <v>2359</v>
      </c>
      <c r="C244">
        <v>20</v>
      </c>
      <c r="D244">
        <v>1</v>
      </c>
      <c r="E244">
        <v>1</v>
      </c>
      <c r="F244">
        <v>575</v>
      </c>
      <c r="G244">
        <v>2.9106000000000002E-3</v>
      </c>
      <c r="H244" t="s">
        <v>2203</v>
      </c>
    </row>
    <row r="245" spans="1:8">
      <c r="A245" t="s">
        <v>204</v>
      </c>
      <c r="B245" t="s">
        <v>2360</v>
      </c>
      <c r="C245">
        <v>40</v>
      </c>
      <c r="D245">
        <v>1</v>
      </c>
      <c r="E245">
        <v>1</v>
      </c>
      <c r="F245">
        <v>291.3</v>
      </c>
      <c r="G245">
        <v>1.6479375000000001E-3</v>
      </c>
      <c r="H245" t="s">
        <v>2203</v>
      </c>
    </row>
    <row r="246" spans="1:8">
      <c r="A246" t="s">
        <v>5206</v>
      </c>
      <c r="B246" t="s">
        <v>5205</v>
      </c>
      <c r="C246">
        <v>80</v>
      </c>
      <c r="D246">
        <v>1</v>
      </c>
      <c r="E246">
        <v>1</v>
      </c>
      <c r="F246">
        <v>300.75</v>
      </c>
      <c r="G246">
        <v>1.6479375000000001E-3</v>
      </c>
      <c r="H246" t="s">
        <v>2203</v>
      </c>
    </row>
    <row r="247" spans="1:8">
      <c r="A247" t="s">
        <v>206</v>
      </c>
      <c r="B247" t="s">
        <v>2361</v>
      </c>
      <c r="C247">
        <v>10</v>
      </c>
      <c r="D247">
        <v>1</v>
      </c>
      <c r="E247">
        <v>1</v>
      </c>
      <c r="F247">
        <v>1175</v>
      </c>
      <c r="G247">
        <v>2.0357999999999999E-3</v>
      </c>
      <c r="H247" t="s">
        <v>2197</v>
      </c>
    </row>
    <row r="248" spans="1:8">
      <c r="A248" t="s">
        <v>210</v>
      </c>
      <c r="B248" t="s">
        <v>2363</v>
      </c>
      <c r="C248">
        <v>40</v>
      </c>
      <c r="D248">
        <v>1</v>
      </c>
      <c r="E248">
        <v>1</v>
      </c>
      <c r="F248">
        <v>324.25</v>
      </c>
      <c r="G248">
        <v>6.6949999999999996E-4</v>
      </c>
      <c r="H248" t="s">
        <v>2197</v>
      </c>
    </row>
    <row r="249" spans="1:8">
      <c r="A249" t="s">
        <v>4337</v>
      </c>
      <c r="B249" t="s">
        <v>5209</v>
      </c>
      <c r="C249">
        <v>16</v>
      </c>
      <c r="D249">
        <v>1</v>
      </c>
      <c r="E249">
        <v>1</v>
      </c>
      <c r="F249">
        <v>1093.75</v>
      </c>
      <c r="G249">
        <v>2.3290312499999999E-3</v>
      </c>
      <c r="H249" t="s">
        <v>2197</v>
      </c>
    </row>
    <row r="250" spans="1:8">
      <c r="A250" t="s">
        <v>5208</v>
      </c>
      <c r="B250" t="s">
        <v>5207</v>
      </c>
      <c r="C250">
        <v>20</v>
      </c>
      <c r="D250">
        <v>1</v>
      </c>
      <c r="E250">
        <v>1</v>
      </c>
      <c r="F250">
        <v>0</v>
      </c>
      <c r="G250">
        <v>0</v>
      </c>
      <c r="H250" t="s">
        <v>2197</v>
      </c>
    </row>
    <row r="251" spans="1:8">
      <c r="A251" t="s">
        <v>5211</v>
      </c>
      <c r="B251" t="s">
        <v>5210</v>
      </c>
      <c r="C251">
        <v>50</v>
      </c>
      <c r="D251">
        <v>1</v>
      </c>
      <c r="E251">
        <v>1</v>
      </c>
      <c r="F251">
        <v>162</v>
      </c>
      <c r="G251">
        <v>4.1760000000000001E-4</v>
      </c>
      <c r="H251" t="s">
        <v>2197</v>
      </c>
    </row>
    <row r="252" spans="1:8">
      <c r="A252" t="s">
        <v>5215</v>
      </c>
      <c r="B252" t="s">
        <v>5214</v>
      </c>
      <c r="C252">
        <v>20</v>
      </c>
      <c r="D252">
        <v>1</v>
      </c>
      <c r="E252">
        <v>1</v>
      </c>
      <c r="F252">
        <v>360</v>
      </c>
      <c r="G252">
        <v>7.3510000000000003E-4</v>
      </c>
      <c r="H252" t="s">
        <v>2197</v>
      </c>
    </row>
    <row r="253" spans="1:8">
      <c r="A253" t="s">
        <v>5213</v>
      </c>
      <c r="B253" t="s">
        <v>5212</v>
      </c>
      <c r="C253">
        <v>50</v>
      </c>
      <c r="D253">
        <v>1</v>
      </c>
      <c r="E253">
        <v>1</v>
      </c>
      <c r="F253">
        <v>151</v>
      </c>
      <c r="G253">
        <v>3.2239999999999998E-4</v>
      </c>
      <c r="H253" t="s">
        <v>2197</v>
      </c>
    </row>
    <row r="254" spans="1:8">
      <c r="A254" t="s">
        <v>9321</v>
      </c>
      <c r="B254" t="s">
        <v>5217</v>
      </c>
      <c r="C254">
        <v>100</v>
      </c>
      <c r="D254">
        <v>1</v>
      </c>
      <c r="E254">
        <v>1</v>
      </c>
      <c r="F254">
        <v>123.3</v>
      </c>
      <c r="G254">
        <v>7.1242500000000004E-4</v>
      </c>
      <c r="H254" t="s">
        <v>2203</v>
      </c>
    </row>
    <row r="255" spans="1:8">
      <c r="A255" t="s">
        <v>9322</v>
      </c>
      <c r="B255" t="s">
        <v>5216</v>
      </c>
      <c r="C255">
        <v>20</v>
      </c>
      <c r="D255">
        <v>20</v>
      </c>
      <c r="E255">
        <v>1</v>
      </c>
      <c r="F255">
        <v>34.85</v>
      </c>
      <c r="G255">
        <v>1.7955E-4</v>
      </c>
      <c r="H255" t="s">
        <v>2203</v>
      </c>
    </row>
    <row r="256" spans="1:8">
      <c r="A256" t="s">
        <v>214</v>
      </c>
      <c r="B256" t="s">
        <v>2364</v>
      </c>
      <c r="C256">
        <v>20</v>
      </c>
      <c r="D256">
        <v>5</v>
      </c>
      <c r="E256">
        <v>1</v>
      </c>
      <c r="F256">
        <v>120</v>
      </c>
      <c r="G256">
        <v>4.3790000000000002E-4</v>
      </c>
      <c r="H256" t="s">
        <v>2203</v>
      </c>
    </row>
    <row r="257" spans="1:8">
      <c r="A257" t="s">
        <v>4338</v>
      </c>
      <c r="B257" t="s">
        <v>5218</v>
      </c>
      <c r="C257">
        <v>25</v>
      </c>
      <c r="D257">
        <v>1</v>
      </c>
      <c r="E257">
        <v>1</v>
      </c>
      <c r="F257">
        <v>482.4</v>
      </c>
      <c r="G257">
        <v>2.0999999999999999E-3</v>
      </c>
      <c r="H257" t="s">
        <v>2203</v>
      </c>
    </row>
    <row r="258" spans="1:8">
      <c r="A258" t="s">
        <v>9323</v>
      </c>
      <c r="B258" t="s">
        <v>5219</v>
      </c>
      <c r="C258">
        <v>100</v>
      </c>
      <c r="D258">
        <v>1</v>
      </c>
      <c r="E258">
        <v>1</v>
      </c>
      <c r="F258">
        <v>135.19999999999999</v>
      </c>
      <c r="G258">
        <v>2.7042750000000001E-4</v>
      </c>
      <c r="H258" t="s">
        <v>2197</v>
      </c>
    </row>
    <row r="259" spans="1:8">
      <c r="A259" t="s">
        <v>9324</v>
      </c>
      <c r="B259" t="s">
        <v>5221</v>
      </c>
      <c r="C259">
        <v>20</v>
      </c>
      <c r="D259">
        <v>1</v>
      </c>
      <c r="E259">
        <v>1</v>
      </c>
      <c r="F259">
        <v>621.5</v>
      </c>
      <c r="G259">
        <v>1.1938875E-3</v>
      </c>
      <c r="H259" t="s">
        <v>2197</v>
      </c>
    </row>
    <row r="260" spans="1:8">
      <c r="A260" t="s">
        <v>9325</v>
      </c>
      <c r="B260" t="s">
        <v>5220</v>
      </c>
      <c r="C260">
        <v>40</v>
      </c>
      <c r="D260">
        <v>1</v>
      </c>
      <c r="E260">
        <v>1</v>
      </c>
      <c r="F260">
        <v>333.5</v>
      </c>
      <c r="G260">
        <v>6.9827500000000005E-4</v>
      </c>
      <c r="H260" t="s">
        <v>2197</v>
      </c>
    </row>
    <row r="261" spans="1:8">
      <c r="A261" t="s">
        <v>215</v>
      </c>
      <c r="B261" t="s">
        <v>2366</v>
      </c>
      <c r="C261">
        <v>100</v>
      </c>
      <c r="D261">
        <v>1</v>
      </c>
      <c r="E261">
        <v>1</v>
      </c>
      <c r="F261">
        <v>97.5</v>
      </c>
      <c r="G261">
        <v>2.4840000000000002E-4</v>
      </c>
      <c r="H261" t="s">
        <v>2197</v>
      </c>
    </row>
    <row r="262" spans="1:8">
      <c r="A262" t="s">
        <v>216</v>
      </c>
      <c r="B262" t="s">
        <v>2368</v>
      </c>
      <c r="C262">
        <v>40</v>
      </c>
      <c r="D262">
        <v>1</v>
      </c>
      <c r="E262">
        <v>1</v>
      </c>
      <c r="F262">
        <v>331.75</v>
      </c>
      <c r="G262">
        <v>6.8639999999999999E-4</v>
      </c>
      <c r="H262" t="s">
        <v>2197</v>
      </c>
    </row>
    <row r="263" spans="1:8">
      <c r="A263" t="s">
        <v>217</v>
      </c>
      <c r="B263" t="s">
        <v>2369</v>
      </c>
      <c r="C263">
        <v>20</v>
      </c>
      <c r="D263">
        <v>20</v>
      </c>
      <c r="E263">
        <v>1</v>
      </c>
      <c r="F263">
        <v>33.5</v>
      </c>
      <c r="G263">
        <v>1.717E-4</v>
      </c>
      <c r="H263" t="s">
        <v>2197</v>
      </c>
    </row>
    <row r="264" spans="1:8">
      <c r="A264" t="s">
        <v>9326</v>
      </c>
      <c r="B264" t="s">
        <v>5222</v>
      </c>
      <c r="C264">
        <v>40</v>
      </c>
      <c r="D264">
        <v>1</v>
      </c>
      <c r="E264">
        <v>1</v>
      </c>
      <c r="F264">
        <v>262.5</v>
      </c>
      <c r="G264">
        <v>7.8859999999999998E-4</v>
      </c>
      <c r="H264" t="s">
        <v>2197</v>
      </c>
    </row>
    <row r="265" spans="1:8">
      <c r="A265" t="s">
        <v>220</v>
      </c>
      <c r="B265" t="s">
        <v>2373</v>
      </c>
      <c r="C265">
        <v>50</v>
      </c>
      <c r="D265">
        <v>1</v>
      </c>
      <c r="E265">
        <v>1</v>
      </c>
      <c r="F265">
        <v>120</v>
      </c>
      <c r="G265">
        <v>2.2000000000000001E-4</v>
      </c>
      <c r="H265" t="s">
        <v>2197</v>
      </c>
    </row>
    <row r="266" spans="1:8">
      <c r="A266" t="s">
        <v>222</v>
      </c>
      <c r="B266" t="s">
        <v>2374</v>
      </c>
      <c r="C266">
        <v>1</v>
      </c>
      <c r="D266">
        <v>1</v>
      </c>
      <c r="E266">
        <v>1</v>
      </c>
      <c r="F266">
        <v>1</v>
      </c>
      <c r="G266">
        <v>0</v>
      </c>
      <c r="H266" t="s">
        <v>2197</v>
      </c>
    </row>
    <row r="267" spans="1:8">
      <c r="A267" t="s">
        <v>4339</v>
      </c>
      <c r="B267" t="s">
        <v>5223</v>
      </c>
      <c r="C267">
        <v>20</v>
      </c>
      <c r="D267">
        <v>1</v>
      </c>
      <c r="E267">
        <v>1</v>
      </c>
      <c r="F267">
        <v>346.5</v>
      </c>
      <c r="G267">
        <v>6.9491249999999996E-4</v>
      </c>
      <c r="H267" t="s">
        <v>2197</v>
      </c>
    </row>
    <row r="268" spans="1:8">
      <c r="A268" t="s">
        <v>4340</v>
      </c>
      <c r="B268" t="s">
        <v>5226</v>
      </c>
      <c r="C268">
        <v>20</v>
      </c>
      <c r="D268">
        <v>1</v>
      </c>
      <c r="E268">
        <v>1</v>
      </c>
      <c r="F268">
        <v>643</v>
      </c>
      <c r="G268">
        <v>1.0576125E-3</v>
      </c>
      <c r="H268" t="s">
        <v>2197</v>
      </c>
    </row>
    <row r="269" spans="1:8">
      <c r="A269" t="s">
        <v>5225</v>
      </c>
      <c r="B269" t="s">
        <v>5224</v>
      </c>
      <c r="C269">
        <v>50</v>
      </c>
      <c r="D269">
        <v>1</v>
      </c>
      <c r="E269">
        <v>1</v>
      </c>
      <c r="F269">
        <v>0</v>
      </c>
      <c r="G269">
        <v>0</v>
      </c>
      <c r="H269" t="s">
        <v>2197</v>
      </c>
    </row>
    <row r="270" spans="1:8">
      <c r="A270" t="s">
        <v>223</v>
      </c>
      <c r="B270" t="s">
        <v>2375</v>
      </c>
      <c r="C270">
        <v>20</v>
      </c>
      <c r="D270">
        <v>1</v>
      </c>
      <c r="E270">
        <v>1</v>
      </c>
      <c r="F270">
        <v>565</v>
      </c>
      <c r="G270">
        <v>2.2736000000000002E-3</v>
      </c>
      <c r="H270" t="s">
        <v>2203</v>
      </c>
    </row>
    <row r="271" spans="1:8">
      <c r="A271" t="s">
        <v>225</v>
      </c>
      <c r="B271" t="s">
        <v>2377</v>
      </c>
      <c r="C271">
        <v>20</v>
      </c>
      <c r="D271">
        <v>1</v>
      </c>
      <c r="E271">
        <v>1</v>
      </c>
      <c r="F271">
        <v>1</v>
      </c>
      <c r="G271">
        <v>0</v>
      </c>
      <c r="H271" t="s">
        <v>2203</v>
      </c>
    </row>
    <row r="272" spans="1:8">
      <c r="A272" t="s">
        <v>227</v>
      </c>
      <c r="B272" t="s">
        <v>2378</v>
      </c>
      <c r="C272">
        <v>10</v>
      </c>
      <c r="D272">
        <v>20</v>
      </c>
      <c r="E272">
        <v>1</v>
      </c>
      <c r="F272">
        <v>63.8</v>
      </c>
      <c r="G272">
        <v>2.2670000000000001E-4</v>
      </c>
      <c r="H272" t="s">
        <v>2203</v>
      </c>
    </row>
    <row r="273" spans="1:8">
      <c r="A273" t="s">
        <v>5230</v>
      </c>
      <c r="B273" t="s">
        <v>5229</v>
      </c>
      <c r="C273">
        <v>100</v>
      </c>
      <c r="D273">
        <v>1</v>
      </c>
      <c r="E273">
        <v>1</v>
      </c>
      <c r="F273">
        <v>0</v>
      </c>
      <c r="G273">
        <v>0</v>
      </c>
      <c r="H273" t="s">
        <v>2197</v>
      </c>
    </row>
    <row r="274" spans="1:8">
      <c r="A274" t="s">
        <v>5232</v>
      </c>
      <c r="B274" t="s">
        <v>5231</v>
      </c>
      <c r="C274">
        <v>2</v>
      </c>
      <c r="D274">
        <v>24</v>
      </c>
      <c r="E274">
        <v>1</v>
      </c>
      <c r="F274">
        <v>1</v>
      </c>
      <c r="G274">
        <v>0</v>
      </c>
      <c r="H274" t="s">
        <v>2197</v>
      </c>
    </row>
    <row r="275" spans="1:8">
      <c r="A275" t="s">
        <v>5228</v>
      </c>
      <c r="B275" t="s">
        <v>5227</v>
      </c>
      <c r="C275">
        <v>24</v>
      </c>
      <c r="D275">
        <v>1</v>
      </c>
      <c r="E275">
        <v>1</v>
      </c>
      <c r="F275">
        <v>0</v>
      </c>
      <c r="G275">
        <v>0</v>
      </c>
      <c r="H275" t="s">
        <v>2197</v>
      </c>
    </row>
    <row r="276" spans="1:8">
      <c r="A276" t="s">
        <v>228</v>
      </c>
      <c r="B276" t="s">
        <v>2380</v>
      </c>
      <c r="C276">
        <v>20</v>
      </c>
      <c r="D276">
        <v>1</v>
      </c>
      <c r="E276">
        <v>1</v>
      </c>
      <c r="F276">
        <v>530</v>
      </c>
      <c r="G276">
        <v>1.3600000000000001E-3</v>
      </c>
      <c r="H276" t="s">
        <v>2197</v>
      </c>
    </row>
    <row r="277" spans="1:8">
      <c r="A277" t="s">
        <v>232</v>
      </c>
      <c r="B277" t="s">
        <v>2382</v>
      </c>
      <c r="C277">
        <v>40</v>
      </c>
      <c r="D277">
        <v>1</v>
      </c>
      <c r="E277">
        <v>1</v>
      </c>
      <c r="F277">
        <v>125</v>
      </c>
      <c r="G277">
        <v>4.0920000000000003E-4</v>
      </c>
      <c r="H277" t="s">
        <v>2197</v>
      </c>
    </row>
    <row r="278" spans="1:8">
      <c r="A278" t="s">
        <v>235</v>
      </c>
      <c r="B278" t="s">
        <v>2383</v>
      </c>
      <c r="C278">
        <v>40</v>
      </c>
      <c r="D278">
        <v>1</v>
      </c>
      <c r="E278">
        <v>1</v>
      </c>
      <c r="F278">
        <v>332.5</v>
      </c>
      <c r="G278">
        <v>6.9830000000000001E-4</v>
      </c>
      <c r="H278" t="s">
        <v>2197</v>
      </c>
    </row>
    <row r="279" spans="1:8">
      <c r="A279" t="s">
        <v>9327</v>
      </c>
      <c r="B279" t="s">
        <v>5233</v>
      </c>
      <c r="C279">
        <v>50</v>
      </c>
      <c r="D279">
        <v>1</v>
      </c>
      <c r="E279">
        <v>1</v>
      </c>
      <c r="F279">
        <v>255</v>
      </c>
      <c r="G279">
        <v>5.7019999999999998E-4</v>
      </c>
      <c r="H279" t="s">
        <v>2197</v>
      </c>
    </row>
    <row r="280" spans="1:8">
      <c r="A280" t="s">
        <v>236</v>
      </c>
      <c r="B280" t="s">
        <v>2385</v>
      </c>
      <c r="C280">
        <v>1</v>
      </c>
      <c r="D280">
        <v>1</v>
      </c>
      <c r="E280">
        <v>1</v>
      </c>
      <c r="F280">
        <v>22300</v>
      </c>
      <c r="G280">
        <v>2.2880000000000001E-2</v>
      </c>
      <c r="H280" t="s">
        <v>2303</v>
      </c>
    </row>
    <row r="281" spans="1:8">
      <c r="A281" t="s">
        <v>237</v>
      </c>
      <c r="B281" t="s">
        <v>2387</v>
      </c>
      <c r="C281">
        <v>20</v>
      </c>
      <c r="D281">
        <v>1</v>
      </c>
      <c r="E281">
        <v>1</v>
      </c>
      <c r="F281">
        <v>1210</v>
      </c>
      <c r="G281">
        <v>2.2464E-3</v>
      </c>
      <c r="H281" t="s">
        <v>2197</v>
      </c>
    </row>
    <row r="282" spans="1:8">
      <c r="A282" t="s">
        <v>238</v>
      </c>
      <c r="B282" t="s">
        <v>2388</v>
      </c>
      <c r="C282">
        <v>4</v>
      </c>
      <c r="D282">
        <v>1</v>
      </c>
      <c r="E282">
        <v>1</v>
      </c>
      <c r="F282">
        <v>5725</v>
      </c>
      <c r="G282">
        <v>8.4065000000000008E-3</v>
      </c>
      <c r="H282" t="s">
        <v>2307</v>
      </c>
    </row>
    <row r="283" spans="1:8">
      <c r="A283" t="s">
        <v>239</v>
      </c>
      <c r="B283" t="s">
        <v>2389</v>
      </c>
      <c r="C283">
        <v>40</v>
      </c>
      <c r="D283">
        <v>1</v>
      </c>
      <c r="E283">
        <v>1</v>
      </c>
      <c r="F283">
        <v>607.5</v>
      </c>
      <c r="G283">
        <v>1.178E-3</v>
      </c>
      <c r="H283" t="s">
        <v>2197</v>
      </c>
    </row>
    <row r="284" spans="1:8">
      <c r="A284" t="s">
        <v>240</v>
      </c>
      <c r="B284" t="s">
        <v>2390</v>
      </c>
      <c r="C284">
        <v>12</v>
      </c>
      <c r="D284">
        <v>1</v>
      </c>
      <c r="E284">
        <v>1</v>
      </c>
      <c r="F284">
        <v>1091.7</v>
      </c>
      <c r="G284">
        <v>3.375E-3</v>
      </c>
      <c r="H284" t="s">
        <v>2203</v>
      </c>
    </row>
    <row r="285" spans="1:8">
      <c r="A285" t="s">
        <v>241</v>
      </c>
      <c r="B285" t="s">
        <v>2392</v>
      </c>
      <c r="C285">
        <v>20</v>
      </c>
      <c r="D285">
        <v>1</v>
      </c>
      <c r="E285">
        <v>1</v>
      </c>
      <c r="F285">
        <v>280</v>
      </c>
      <c r="G285">
        <v>1.4256E-3</v>
      </c>
      <c r="H285" t="s">
        <v>2203</v>
      </c>
    </row>
    <row r="286" spans="1:8">
      <c r="A286" t="s">
        <v>242</v>
      </c>
      <c r="B286" t="s">
        <v>2393</v>
      </c>
      <c r="C286">
        <v>20</v>
      </c>
      <c r="D286">
        <v>1</v>
      </c>
      <c r="E286">
        <v>1</v>
      </c>
      <c r="F286">
        <v>545</v>
      </c>
      <c r="G286">
        <v>1.6639999999999999E-3</v>
      </c>
      <c r="H286" t="s">
        <v>2203</v>
      </c>
    </row>
    <row r="287" spans="1:8">
      <c r="A287" t="s">
        <v>5235</v>
      </c>
      <c r="B287" t="s">
        <v>5234</v>
      </c>
      <c r="C287">
        <v>40</v>
      </c>
      <c r="D287">
        <v>1</v>
      </c>
      <c r="E287">
        <v>1</v>
      </c>
      <c r="F287">
        <v>1</v>
      </c>
      <c r="G287">
        <v>0</v>
      </c>
      <c r="H287" t="s">
        <v>2203</v>
      </c>
    </row>
    <row r="288" spans="1:8">
      <c r="A288" t="s">
        <v>243</v>
      </c>
      <c r="B288" t="s">
        <v>2394</v>
      </c>
      <c r="C288">
        <v>100</v>
      </c>
      <c r="D288">
        <v>1</v>
      </c>
      <c r="E288">
        <v>1</v>
      </c>
      <c r="F288">
        <v>141.5</v>
      </c>
      <c r="G288">
        <v>6.6819999999999998E-4</v>
      </c>
      <c r="H288" t="s">
        <v>2203</v>
      </c>
    </row>
    <row r="289" spans="1:8">
      <c r="A289" t="s">
        <v>246</v>
      </c>
      <c r="B289" t="s">
        <v>2396</v>
      </c>
      <c r="C289">
        <v>20</v>
      </c>
      <c r="D289">
        <v>20</v>
      </c>
      <c r="E289">
        <v>1</v>
      </c>
      <c r="F289">
        <v>35.299999999999997</v>
      </c>
      <c r="G289">
        <v>1.6704E-4</v>
      </c>
      <c r="H289" t="s">
        <v>2203</v>
      </c>
    </row>
    <row r="290" spans="1:8">
      <c r="A290" t="s">
        <v>249</v>
      </c>
      <c r="B290" t="s">
        <v>2399</v>
      </c>
      <c r="C290">
        <v>20</v>
      </c>
      <c r="D290">
        <v>1</v>
      </c>
      <c r="E290">
        <v>1</v>
      </c>
      <c r="F290">
        <v>357.5</v>
      </c>
      <c r="G290">
        <v>9.3599999999999998E-4</v>
      </c>
      <c r="H290" t="s">
        <v>2197</v>
      </c>
    </row>
    <row r="291" spans="1:8">
      <c r="A291" t="s">
        <v>249</v>
      </c>
      <c r="B291" t="s">
        <v>4341</v>
      </c>
      <c r="C291">
        <v>20</v>
      </c>
      <c r="D291">
        <v>1</v>
      </c>
      <c r="E291">
        <v>1</v>
      </c>
      <c r="F291">
        <v>357.5</v>
      </c>
      <c r="G291">
        <v>9.3599999999999998E-4</v>
      </c>
      <c r="H291" t="s">
        <v>2197</v>
      </c>
    </row>
    <row r="292" spans="1:8">
      <c r="A292" t="s">
        <v>248</v>
      </c>
      <c r="B292" t="s">
        <v>2397</v>
      </c>
      <c r="C292">
        <v>20</v>
      </c>
      <c r="D292">
        <v>1</v>
      </c>
      <c r="E292">
        <v>1</v>
      </c>
      <c r="F292">
        <v>357.5</v>
      </c>
      <c r="G292">
        <v>9.3599999999999998E-4</v>
      </c>
      <c r="H292" t="s">
        <v>2197</v>
      </c>
    </row>
    <row r="293" spans="1:8">
      <c r="A293" t="s">
        <v>250</v>
      </c>
      <c r="B293" t="s">
        <v>2400</v>
      </c>
      <c r="C293">
        <v>50</v>
      </c>
      <c r="D293">
        <v>1</v>
      </c>
      <c r="E293">
        <v>1</v>
      </c>
      <c r="F293">
        <v>138</v>
      </c>
      <c r="G293">
        <v>4.7100000000000001E-4</v>
      </c>
      <c r="H293" t="s">
        <v>2197</v>
      </c>
    </row>
    <row r="294" spans="1:8">
      <c r="A294" t="s">
        <v>251</v>
      </c>
      <c r="B294" t="s">
        <v>2401</v>
      </c>
      <c r="C294">
        <v>50</v>
      </c>
      <c r="D294">
        <v>1</v>
      </c>
      <c r="E294">
        <v>1</v>
      </c>
      <c r="F294">
        <v>145</v>
      </c>
      <c r="G294">
        <v>5.6170000000000005E-4</v>
      </c>
      <c r="H294" t="s">
        <v>2203</v>
      </c>
    </row>
    <row r="295" spans="1:8">
      <c r="A295" t="s">
        <v>9328</v>
      </c>
      <c r="B295" t="s">
        <v>5236</v>
      </c>
      <c r="C295">
        <v>80</v>
      </c>
      <c r="D295">
        <v>1</v>
      </c>
      <c r="E295">
        <v>1</v>
      </c>
      <c r="F295">
        <v>111.25</v>
      </c>
      <c r="G295">
        <v>3.5280000000000001E-4</v>
      </c>
      <c r="H295" t="s">
        <v>2203</v>
      </c>
    </row>
    <row r="296" spans="1:8">
      <c r="A296" t="s">
        <v>5238</v>
      </c>
      <c r="B296" t="s">
        <v>5237</v>
      </c>
      <c r="C296">
        <v>100</v>
      </c>
      <c r="D296">
        <v>1</v>
      </c>
      <c r="E296">
        <v>1</v>
      </c>
      <c r="F296">
        <v>0</v>
      </c>
      <c r="G296">
        <v>0</v>
      </c>
      <c r="H296" t="s">
        <v>2197</v>
      </c>
    </row>
    <row r="297" spans="1:8">
      <c r="A297" t="s">
        <v>5240</v>
      </c>
      <c r="B297" t="s">
        <v>5239</v>
      </c>
      <c r="C297">
        <v>40</v>
      </c>
      <c r="D297">
        <v>1</v>
      </c>
      <c r="E297">
        <v>1</v>
      </c>
      <c r="F297">
        <v>0</v>
      </c>
      <c r="G297">
        <v>0</v>
      </c>
      <c r="H297" t="s">
        <v>2197</v>
      </c>
    </row>
    <row r="298" spans="1:8">
      <c r="A298" t="s">
        <v>9329</v>
      </c>
      <c r="B298" t="s">
        <v>5241</v>
      </c>
      <c r="C298">
        <v>100</v>
      </c>
      <c r="D298">
        <v>1</v>
      </c>
      <c r="E298">
        <v>1</v>
      </c>
      <c r="F298">
        <v>147.6</v>
      </c>
      <c r="G298">
        <v>2.7042750000000001E-4</v>
      </c>
      <c r="H298" t="s">
        <v>2197</v>
      </c>
    </row>
    <row r="299" spans="1:8">
      <c r="A299" t="s">
        <v>9330</v>
      </c>
      <c r="B299" t="s">
        <v>5242</v>
      </c>
      <c r="C299">
        <v>40</v>
      </c>
      <c r="D299">
        <v>1</v>
      </c>
      <c r="E299">
        <v>1</v>
      </c>
      <c r="F299">
        <v>342.75</v>
      </c>
      <c r="G299">
        <v>6.9827500000000005E-4</v>
      </c>
      <c r="H299" t="s">
        <v>2197</v>
      </c>
    </row>
    <row r="300" spans="1:8">
      <c r="A300" t="s">
        <v>252</v>
      </c>
      <c r="B300" t="s">
        <v>2403</v>
      </c>
      <c r="C300">
        <v>10</v>
      </c>
      <c r="D300">
        <v>1</v>
      </c>
      <c r="E300">
        <v>1</v>
      </c>
      <c r="F300">
        <v>1160</v>
      </c>
      <c r="G300">
        <v>2.5725000000000001E-3</v>
      </c>
      <c r="H300" t="s">
        <v>2197</v>
      </c>
    </row>
    <row r="301" spans="1:8">
      <c r="A301" t="s">
        <v>254</v>
      </c>
      <c r="B301" t="s">
        <v>2405</v>
      </c>
      <c r="C301">
        <v>20</v>
      </c>
      <c r="D301">
        <v>1</v>
      </c>
      <c r="E301">
        <v>1</v>
      </c>
      <c r="F301">
        <v>600</v>
      </c>
      <c r="G301">
        <v>1.3104E-3</v>
      </c>
      <c r="H301" t="s">
        <v>2197</v>
      </c>
    </row>
    <row r="302" spans="1:8">
      <c r="A302" t="s">
        <v>255</v>
      </c>
      <c r="B302" t="s">
        <v>2406</v>
      </c>
      <c r="C302">
        <v>40</v>
      </c>
      <c r="D302">
        <v>1</v>
      </c>
      <c r="E302">
        <v>1</v>
      </c>
      <c r="F302">
        <v>335</v>
      </c>
      <c r="G302">
        <v>8.3480000000000002E-4</v>
      </c>
      <c r="H302" t="s">
        <v>2197</v>
      </c>
    </row>
    <row r="303" spans="1:8">
      <c r="A303" t="s">
        <v>4345</v>
      </c>
      <c r="B303" t="s">
        <v>5250</v>
      </c>
      <c r="C303">
        <v>15</v>
      </c>
      <c r="D303">
        <v>1</v>
      </c>
      <c r="E303">
        <v>1</v>
      </c>
      <c r="F303">
        <v>1166.7</v>
      </c>
      <c r="G303">
        <v>2.1559999999999999E-3</v>
      </c>
      <c r="H303" t="s">
        <v>2197</v>
      </c>
    </row>
    <row r="304" spans="1:8">
      <c r="A304" t="s">
        <v>256</v>
      </c>
      <c r="B304" t="s">
        <v>2407</v>
      </c>
      <c r="C304">
        <v>15</v>
      </c>
      <c r="D304">
        <v>1</v>
      </c>
      <c r="E304">
        <v>1</v>
      </c>
      <c r="F304">
        <v>586.70000000000005</v>
      </c>
      <c r="G304">
        <v>1.248E-3</v>
      </c>
      <c r="H304" t="s">
        <v>2197</v>
      </c>
    </row>
    <row r="305" spans="1:8">
      <c r="A305" t="s">
        <v>257</v>
      </c>
      <c r="B305" t="s">
        <v>2409</v>
      </c>
      <c r="C305">
        <v>30</v>
      </c>
      <c r="D305">
        <v>1</v>
      </c>
      <c r="E305">
        <v>1</v>
      </c>
      <c r="F305">
        <v>263.67</v>
      </c>
      <c r="G305">
        <v>6.3840000000000001E-4</v>
      </c>
      <c r="H305" t="s">
        <v>2197</v>
      </c>
    </row>
    <row r="306" spans="1:8">
      <c r="A306" t="s">
        <v>258</v>
      </c>
      <c r="B306" t="s">
        <v>2410</v>
      </c>
      <c r="C306">
        <v>50</v>
      </c>
      <c r="D306">
        <v>1</v>
      </c>
      <c r="E306">
        <v>1</v>
      </c>
      <c r="F306">
        <v>141</v>
      </c>
      <c r="G306">
        <v>3.2499999999999999E-4</v>
      </c>
      <c r="H306" t="s">
        <v>2197</v>
      </c>
    </row>
    <row r="307" spans="1:8">
      <c r="A307" t="s">
        <v>4344</v>
      </c>
      <c r="B307" t="s">
        <v>5247</v>
      </c>
      <c r="C307">
        <v>15</v>
      </c>
      <c r="D307">
        <v>1</v>
      </c>
      <c r="E307">
        <v>1</v>
      </c>
      <c r="F307">
        <v>1149.3333333333301</v>
      </c>
      <c r="G307">
        <v>1.9778E-3</v>
      </c>
      <c r="H307" t="s">
        <v>2197</v>
      </c>
    </row>
    <row r="308" spans="1:8">
      <c r="A308" t="s">
        <v>4342</v>
      </c>
      <c r="B308" t="s">
        <v>5243</v>
      </c>
      <c r="C308">
        <v>15</v>
      </c>
      <c r="D308">
        <v>1</v>
      </c>
      <c r="E308">
        <v>1</v>
      </c>
      <c r="F308">
        <v>600.66666666666697</v>
      </c>
      <c r="G308">
        <v>1.1914499999999999E-3</v>
      </c>
      <c r="H308" t="s">
        <v>2197</v>
      </c>
    </row>
    <row r="309" spans="1:8">
      <c r="A309" t="s">
        <v>4343</v>
      </c>
      <c r="B309" t="s">
        <v>5244</v>
      </c>
      <c r="C309">
        <v>25</v>
      </c>
      <c r="D309">
        <v>1</v>
      </c>
      <c r="E309">
        <v>1</v>
      </c>
      <c r="F309">
        <v>130.4</v>
      </c>
      <c r="G309">
        <v>3.2499999999999999E-4</v>
      </c>
      <c r="H309" t="s">
        <v>2197</v>
      </c>
    </row>
    <row r="310" spans="1:8">
      <c r="A310" t="s">
        <v>5246</v>
      </c>
      <c r="B310" t="s">
        <v>5245</v>
      </c>
      <c r="C310">
        <v>30</v>
      </c>
      <c r="D310">
        <v>1</v>
      </c>
      <c r="E310">
        <v>1</v>
      </c>
      <c r="F310">
        <v>263.66666666666703</v>
      </c>
      <c r="G310">
        <v>6.3840000000000001E-4</v>
      </c>
      <c r="H310" t="s">
        <v>2197</v>
      </c>
    </row>
    <row r="311" spans="1:8">
      <c r="A311" t="s">
        <v>5249</v>
      </c>
      <c r="B311" t="s">
        <v>5248</v>
      </c>
      <c r="C311">
        <v>50</v>
      </c>
      <c r="D311">
        <v>1</v>
      </c>
      <c r="E311">
        <v>1</v>
      </c>
      <c r="F311">
        <v>100</v>
      </c>
      <c r="G311">
        <v>0</v>
      </c>
      <c r="H311" t="s">
        <v>2197</v>
      </c>
    </row>
    <row r="312" spans="1:8">
      <c r="A312" t="s">
        <v>4346</v>
      </c>
      <c r="B312" t="s">
        <v>5251</v>
      </c>
      <c r="C312">
        <v>20</v>
      </c>
      <c r="D312">
        <v>1</v>
      </c>
      <c r="E312">
        <v>1</v>
      </c>
      <c r="F312">
        <v>1180</v>
      </c>
      <c r="G312">
        <v>4.2525000000000002E-3</v>
      </c>
      <c r="H312" t="s">
        <v>2197</v>
      </c>
    </row>
    <row r="313" spans="1:8">
      <c r="A313" t="s">
        <v>5253</v>
      </c>
      <c r="B313" t="s">
        <v>5252</v>
      </c>
      <c r="C313">
        <v>12</v>
      </c>
      <c r="D313">
        <v>1</v>
      </c>
      <c r="E313">
        <v>1</v>
      </c>
      <c r="F313">
        <v>2167.5</v>
      </c>
      <c r="G313">
        <v>7.0489583333333298E-3</v>
      </c>
      <c r="H313" t="s">
        <v>2197</v>
      </c>
    </row>
    <row r="314" spans="1:8">
      <c r="A314" t="s">
        <v>4347</v>
      </c>
      <c r="B314" t="s">
        <v>5254</v>
      </c>
      <c r="C314">
        <v>24</v>
      </c>
      <c r="D314">
        <v>1</v>
      </c>
      <c r="E314">
        <v>1</v>
      </c>
      <c r="F314">
        <v>1127.0833333333301</v>
      </c>
      <c r="G314">
        <v>3.6214843750000001E-3</v>
      </c>
      <c r="H314" t="s">
        <v>2197</v>
      </c>
    </row>
    <row r="315" spans="1:8">
      <c r="A315" t="s">
        <v>4348</v>
      </c>
      <c r="B315" t="s">
        <v>5255</v>
      </c>
      <c r="C315">
        <v>40</v>
      </c>
      <c r="D315">
        <v>1</v>
      </c>
      <c r="E315">
        <v>1</v>
      </c>
      <c r="F315">
        <v>653.75</v>
      </c>
      <c r="G315">
        <v>2.1944999999999998E-3</v>
      </c>
      <c r="H315" t="s">
        <v>2197</v>
      </c>
    </row>
    <row r="316" spans="1:8">
      <c r="A316" t="s">
        <v>4349</v>
      </c>
      <c r="B316" t="s">
        <v>5256</v>
      </c>
      <c r="C316">
        <v>16</v>
      </c>
      <c r="D316">
        <v>1</v>
      </c>
      <c r="E316">
        <v>1</v>
      </c>
      <c r="F316">
        <v>0</v>
      </c>
      <c r="G316">
        <v>0</v>
      </c>
      <c r="H316" t="s">
        <v>2203</v>
      </c>
    </row>
    <row r="317" spans="1:8">
      <c r="A317" t="s">
        <v>4350</v>
      </c>
      <c r="B317" t="s">
        <v>5257</v>
      </c>
      <c r="C317">
        <v>20</v>
      </c>
      <c r="D317">
        <v>1</v>
      </c>
      <c r="E317">
        <v>1</v>
      </c>
      <c r="F317">
        <v>0</v>
      </c>
      <c r="G317">
        <v>0</v>
      </c>
      <c r="H317" t="s">
        <v>2203</v>
      </c>
    </row>
    <row r="318" spans="1:8">
      <c r="A318" t="s">
        <v>259</v>
      </c>
      <c r="B318" t="s">
        <v>2411</v>
      </c>
      <c r="C318">
        <v>20</v>
      </c>
      <c r="D318">
        <v>1</v>
      </c>
      <c r="E318">
        <v>1</v>
      </c>
      <c r="F318">
        <v>944</v>
      </c>
      <c r="G318">
        <v>1.2689999999999999E-3</v>
      </c>
      <c r="H318" t="s">
        <v>2203</v>
      </c>
    </row>
    <row r="319" spans="1:8">
      <c r="A319" t="s">
        <v>4351</v>
      </c>
      <c r="B319" t="s">
        <v>5258</v>
      </c>
      <c r="C319">
        <v>40</v>
      </c>
      <c r="D319">
        <v>1</v>
      </c>
      <c r="E319">
        <v>1</v>
      </c>
      <c r="F319">
        <v>1</v>
      </c>
      <c r="G319">
        <v>0</v>
      </c>
      <c r="H319" t="s">
        <v>2203</v>
      </c>
    </row>
    <row r="320" spans="1:8">
      <c r="A320" t="s">
        <v>261</v>
      </c>
      <c r="B320" t="s">
        <v>2413</v>
      </c>
      <c r="C320">
        <v>4</v>
      </c>
      <c r="D320">
        <v>25</v>
      </c>
      <c r="E320">
        <v>1</v>
      </c>
      <c r="F320">
        <v>129.9</v>
      </c>
      <c r="G320">
        <v>4.8375000000000002E-4</v>
      </c>
      <c r="H320" t="s">
        <v>2203</v>
      </c>
    </row>
    <row r="321" spans="1:8">
      <c r="A321" t="s">
        <v>262</v>
      </c>
      <c r="B321" t="s">
        <v>2415</v>
      </c>
      <c r="C321">
        <v>40</v>
      </c>
      <c r="D321">
        <v>1</v>
      </c>
      <c r="E321">
        <v>1</v>
      </c>
      <c r="F321">
        <v>152.5</v>
      </c>
      <c r="G321">
        <v>4.4640000000000001E-4</v>
      </c>
      <c r="H321" t="s">
        <v>2197</v>
      </c>
    </row>
    <row r="322" spans="1:8">
      <c r="A322" t="s">
        <v>5260</v>
      </c>
      <c r="B322" t="s">
        <v>5259</v>
      </c>
      <c r="C322">
        <v>100</v>
      </c>
      <c r="D322">
        <v>1</v>
      </c>
      <c r="E322">
        <v>1</v>
      </c>
      <c r="F322">
        <v>0</v>
      </c>
      <c r="G322">
        <v>0</v>
      </c>
      <c r="H322" t="s">
        <v>2197</v>
      </c>
    </row>
    <row r="323" spans="1:8">
      <c r="A323" t="s">
        <v>5262</v>
      </c>
      <c r="B323" t="s">
        <v>5261</v>
      </c>
      <c r="C323">
        <v>50</v>
      </c>
      <c r="D323">
        <v>1</v>
      </c>
      <c r="E323">
        <v>1</v>
      </c>
      <c r="F323">
        <v>0</v>
      </c>
      <c r="G323">
        <v>0</v>
      </c>
      <c r="H323" t="s">
        <v>2197</v>
      </c>
    </row>
    <row r="324" spans="1:8">
      <c r="A324" t="s">
        <v>5264</v>
      </c>
      <c r="B324" t="s">
        <v>5263</v>
      </c>
      <c r="C324">
        <v>100</v>
      </c>
      <c r="D324">
        <v>1</v>
      </c>
      <c r="E324">
        <v>1</v>
      </c>
      <c r="F324">
        <v>123.5</v>
      </c>
      <c r="G324">
        <v>3.1760000000000002E-4</v>
      </c>
      <c r="H324" t="s">
        <v>2197</v>
      </c>
    </row>
    <row r="325" spans="1:8">
      <c r="A325" t="s">
        <v>265</v>
      </c>
      <c r="B325" t="s">
        <v>2417</v>
      </c>
      <c r="C325">
        <v>40</v>
      </c>
      <c r="D325">
        <v>1</v>
      </c>
      <c r="E325">
        <v>1</v>
      </c>
      <c r="F325">
        <v>313.8</v>
      </c>
      <c r="G325">
        <v>7.004E-4</v>
      </c>
      <c r="H325" t="s">
        <v>2197</v>
      </c>
    </row>
    <row r="326" spans="1:8">
      <c r="A326" t="s">
        <v>9331</v>
      </c>
      <c r="B326" t="s">
        <v>5266</v>
      </c>
      <c r="C326">
        <v>100</v>
      </c>
      <c r="D326">
        <v>1</v>
      </c>
      <c r="E326">
        <v>1</v>
      </c>
      <c r="F326">
        <v>141</v>
      </c>
      <c r="G326">
        <v>3.0239999999999998E-4</v>
      </c>
      <c r="H326" t="s">
        <v>2197</v>
      </c>
    </row>
    <row r="327" spans="1:8">
      <c r="A327" t="s">
        <v>9332</v>
      </c>
      <c r="B327" t="s">
        <v>5265</v>
      </c>
      <c r="C327">
        <v>40</v>
      </c>
      <c r="D327">
        <v>1</v>
      </c>
      <c r="E327">
        <v>1</v>
      </c>
      <c r="F327">
        <v>340</v>
      </c>
      <c r="G327">
        <v>7.8030000000000005E-4</v>
      </c>
      <c r="H327" t="s">
        <v>2197</v>
      </c>
    </row>
    <row r="328" spans="1:8">
      <c r="A328" t="s">
        <v>267</v>
      </c>
      <c r="B328" t="s">
        <v>2419</v>
      </c>
      <c r="C328">
        <v>20</v>
      </c>
      <c r="D328">
        <v>1</v>
      </c>
      <c r="E328">
        <v>1</v>
      </c>
      <c r="F328">
        <v>1</v>
      </c>
      <c r="G328">
        <v>0</v>
      </c>
      <c r="H328" t="s">
        <v>2197</v>
      </c>
    </row>
    <row r="329" spans="1:8">
      <c r="A329" t="s">
        <v>4352</v>
      </c>
      <c r="B329" t="s">
        <v>5267</v>
      </c>
      <c r="C329">
        <v>20</v>
      </c>
      <c r="D329">
        <v>1</v>
      </c>
      <c r="E329">
        <v>1</v>
      </c>
      <c r="F329">
        <v>0</v>
      </c>
      <c r="G329">
        <v>0</v>
      </c>
      <c r="H329" t="s">
        <v>2203</v>
      </c>
    </row>
    <row r="330" spans="1:8">
      <c r="A330" t="s">
        <v>5269</v>
      </c>
      <c r="B330" t="s">
        <v>5268</v>
      </c>
      <c r="C330">
        <v>25</v>
      </c>
      <c r="D330">
        <v>1</v>
      </c>
      <c r="E330">
        <v>1</v>
      </c>
      <c r="F330">
        <v>0</v>
      </c>
      <c r="G330">
        <v>0</v>
      </c>
      <c r="H330" t="s">
        <v>2203</v>
      </c>
    </row>
    <row r="331" spans="1:8">
      <c r="A331" t="s">
        <v>9333</v>
      </c>
      <c r="B331" t="s">
        <v>5272</v>
      </c>
      <c r="C331">
        <v>20</v>
      </c>
      <c r="D331">
        <v>1</v>
      </c>
      <c r="E331">
        <v>1</v>
      </c>
      <c r="F331">
        <v>613</v>
      </c>
      <c r="G331">
        <v>1.3365E-3</v>
      </c>
      <c r="H331" t="s">
        <v>2197</v>
      </c>
    </row>
    <row r="332" spans="1:8">
      <c r="A332" t="s">
        <v>9334</v>
      </c>
      <c r="B332" t="s">
        <v>5271</v>
      </c>
      <c r="C332">
        <v>50</v>
      </c>
      <c r="D332">
        <v>1</v>
      </c>
      <c r="E332">
        <v>1</v>
      </c>
      <c r="F332">
        <v>141</v>
      </c>
      <c r="G332">
        <v>3.3481500000000003E-4</v>
      </c>
      <c r="H332" t="s">
        <v>2197</v>
      </c>
    </row>
    <row r="333" spans="1:8">
      <c r="A333" t="s">
        <v>9335</v>
      </c>
      <c r="B333" t="s">
        <v>5270</v>
      </c>
      <c r="C333">
        <v>50</v>
      </c>
      <c r="D333">
        <v>1</v>
      </c>
      <c r="E333">
        <v>1</v>
      </c>
      <c r="F333">
        <v>309.8</v>
      </c>
      <c r="G333">
        <v>6.8639999999999999E-4</v>
      </c>
      <c r="H333" t="s">
        <v>2197</v>
      </c>
    </row>
    <row r="334" spans="1:8">
      <c r="A334" t="s">
        <v>269</v>
      </c>
      <c r="B334" t="s">
        <v>2421</v>
      </c>
      <c r="C334">
        <v>10</v>
      </c>
      <c r="D334">
        <v>10</v>
      </c>
      <c r="E334">
        <v>1</v>
      </c>
      <c r="F334">
        <v>1</v>
      </c>
      <c r="G334">
        <v>0</v>
      </c>
      <c r="H334" t="s">
        <v>2203</v>
      </c>
    </row>
    <row r="335" spans="1:8">
      <c r="A335" t="s">
        <v>270</v>
      </c>
      <c r="B335" t="s">
        <v>2423</v>
      </c>
      <c r="C335">
        <v>1</v>
      </c>
      <c r="D335">
        <v>1</v>
      </c>
      <c r="E335">
        <v>1</v>
      </c>
      <c r="F335">
        <v>1</v>
      </c>
      <c r="G335">
        <v>0</v>
      </c>
      <c r="H335" t="s">
        <v>2221</v>
      </c>
    </row>
    <row r="336" spans="1:8">
      <c r="A336" t="s">
        <v>5276</v>
      </c>
      <c r="B336" t="s">
        <v>5275</v>
      </c>
      <c r="C336">
        <v>1</v>
      </c>
      <c r="D336">
        <v>1</v>
      </c>
      <c r="E336">
        <v>1</v>
      </c>
      <c r="F336">
        <v>309.8</v>
      </c>
      <c r="G336">
        <v>6.8639999999999999E-4</v>
      </c>
      <c r="H336" t="s">
        <v>2303</v>
      </c>
    </row>
    <row r="337" spans="1:8">
      <c r="A337" t="s">
        <v>5274</v>
      </c>
      <c r="B337" t="s">
        <v>5273</v>
      </c>
      <c r="C337">
        <v>20</v>
      </c>
      <c r="D337">
        <v>1</v>
      </c>
      <c r="E337">
        <v>1</v>
      </c>
      <c r="F337">
        <v>1392.5</v>
      </c>
      <c r="G337">
        <v>2.6916499999999999E-3</v>
      </c>
      <c r="H337" t="s">
        <v>2197</v>
      </c>
    </row>
    <row r="338" spans="1:8">
      <c r="A338" t="s">
        <v>4961</v>
      </c>
      <c r="B338" t="s">
        <v>5283</v>
      </c>
      <c r="C338">
        <v>20</v>
      </c>
      <c r="D338">
        <v>1</v>
      </c>
      <c r="E338">
        <v>1</v>
      </c>
      <c r="F338">
        <v>1000</v>
      </c>
      <c r="G338">
        <v>0</v>
      </c>
      <c r="H338" t="s">
        <v>2197</v>
      </c>
    </row>
    <row r="339" spans="1:8">
      <c r="A339" t="s">
        <v>5280</v>
      </c>
      <c r="B339" t="s">
        <v>5279</v>
      </c>
      <c r="C339">
        <v>20</v>
      </c>
      <c r="D339">
        <v>1</v>
      </c>
      <c r="E339">
        <v>1</v>
      </c>
      <c r="F339">
        <v>1392.5</v>
      </c>
      <c r="G339">
        <v>2.6916499999999999E-3</v>
      </c>
      <c r="H339" t="s">
        <v>2197</v>
      </c>
    </row>
    <row r="340" spans="1:8">
      <c r="A340" t="s">
        <v>4962</v>
      </c>
      <c r="B340" t="s">
        <v>5284</v>
      </c>
      <c r="C340">
        <v>20</v>
      </c>
      <c r="D340">
        <v>1</v>
      </c>
      <c r="E340">
        <v>1</v>
      </c>
      <c r="F340">
        <v>500</v>
      </c>
      <c r="G340">
        <v>0</v>
      </c>
      <c r="H340" t="s">
        <v>2197</v>
      </c>
    </row>
    <row r="341" spans="1:8">
      <c r="A341" t="s">
        <v>5278</v>
      </c>
      <c r="B341" t="s">
        <v>5277</v>
      </c>
      <c r="C341">
        <v>4</v>
      </c>
      <c r="D341">
        <v>1</v>
      </c>
      <c r="E341">
        <v>1</v>
      </c>
      <c r="F341">
        <v>1392.5</v>
      </c>
      <c r="G341">
        <v>2.6916499999999999E-3</v>
      </c>
      <c r="H341" t="s">
        <v>2307</v>
      </c>
    </row>
    <row r="342" spans="1:8">
      <c r="A342" t="s">
        <v>5282</v>
      </c>
      <c r="B342" t="s">
        <v>5281</v>
      </c>
      <c r="C342">
        <v>4</v>
      </c>
      <c r="D342">
        <v>1</v>
      </c>
      <c r="E342">
        <v>1</v>
      </c>
      <c r="F342">
        <v>5000</v>
      </c>
      <c r="G342">
        <v>0</v>
      </c>
      <c r="H342" t="s">
        <v>2307</v>
      </c>
    </row>
    <row r="343" spans="1:8">
      <c r="A343" t="s">
        <v>271</v>
      </c>
      <c r="B343" t="s">
        <v>2424</v>
      </c>
      <c r="C343">
        <v>100</v>
      </c>
      <c r="D343">
        <v>1</v>
      </c>
      <c r="E343">
        <v>1</v>
      </c>
      <c r="F343">
        <v>133.5</v>
      </c>
      <c r="G343">
        <v>2.4509999999999999E-4</v>
      </c>
      <c r="H343" t="s">
        <v>2197</v>
      </c>
    </row>
    <row r="344" spans="1:8">
      <c r="A344" t="s">
        <v>9336</v>
      </c>
      <c r="B344" t="s">
        <v>5285</v>
      </c>
      <c r="C344">
        <v>50</v>
      </c>
      <c r="D344">
        <v>1</v>
      </c>
      <c r="E344">
        <v>1</v>
      </c>
      <c r="F344">
        <v>240</v>
      </c>
      <c r="G344">
        <v>4.4499999999999997E-4</v>
      </c>
      <c r="H344" t="s">
        <v>2197</v>
      </c>
    </row>
    <row r="345" spans="1:8">
      <c r="A345" t="s">
        <v>272</v>
      </c>
      <c r="B345" t="s">
        <v>2427</v>
      </c>
      <c r="C345">
        <v>1</v>
      </c>
      <c r="D345">
        <v>1</v>
      </c>
      <c r="E345">
        <v>1</v>
      </c>
      <c r="F345">
        <v>1</v>
      </c>
      <c r="G345">
        <v>0</v>
      </c>
      <c r="H345" t="s">
        <v>2221</v>
      </c>
    </row>
    <row r="346" spans="1:8">
      <c r="A346" t="s">
        <v>274</v>
      </c>
      <c r="B346" t="s">
        <v>2429</v>
      </c>
      <c r="C346">
        <v>1</v>
      </c>
      <c r="D346">
        <v>1</v>
      </c>
      <c r="E346">
        <v>1</v>
      </c>
      <c r="F346">
        <v>1</v>
      </c>
      <c r="G346">
        <v>0</v>
      </c>
      <c r="H346" t="s">
        <v>2221</v>
      </c>
    </row>
    <row r="347" spans="1:8">
      <c r="A347" t="s">
        <v>275</v>
      </c>
      <c r="B347" t="s">
        <v>2430</v>
      </c>
      <c r="C347">
        <v>1</v>
      </c>
      <c r="D347">
        <v>1</v>
      </c>
      <c r="E347">
        <v>1</v>
      </c>
      <c r="F347">
        <v>1</v>
      </c>
      <c r="G347">
        <v>0</v>
      </c>
      <c r="H347" t="s">
        <v>2221</v>
      </c>
    </row>
    <row r="348" spans="1:8">
      <c r="A348" t="s">
        <v>8336</v>
      </c>
      <c r="B348" t="s">
        <v>8335</v>
      </c>
      <c r="C348">
        <v>1</v>
      </c>
      <c r="D348">
        <v>1</v>
      </c>
      <c r="E348">
        <v>1</v>
      </c>
      <c r="F348">
        <v>1</v>
      </c>
      <c r="G348">
        <v>0</v>
      </c>
      <c r="H348" t="s">
        <v>2221</v>
      </c>
    </row>
    <row r="349" spans="1:8">
      <c r="A349" t="s">
        <v>8340</v>
      </c>
      <c r="B349" t="s">
        <v>8339</v>
      </c>
      <c r="C349">
        <v>1</v>
      </c>
      <c r="D349">
        <v>1</v>
      </c>
      <c r="E349">
        <v>1</v>
      </c>
      <c r="F349">
        <v>1</v>
      </c>
      <c r="G349">
        <v>0</v>
      </c>
      <c r="H349" t="s">
        <v>2221</v>
      </c>
    </row>
    <row r="350" spans="1:8">
      <c r="A350" t="s">
        <v>276</v>
      </c>
      <c r="B350" t="s">
        <v>2431</v>
      </c>
      <c r="C350">
        <v>1</v>
      </c>
      <c r="D350">
        <v>1</v>
      </c>
      <c r="E350">
        <v>1</v>
      </c>
      <c r="F350">
        <v>1</v>
      </c>
      <c r="G350">
        <v>0</v>
      </c>
      <c r="H350" t="s">
        <v>2221</v>
      </c>
    </row>
    <row r="351" spans="1:8">
      <c r="A351" t="s">
        <v>8338</v>
      </c>
      <c r="B351" t="s">
        <v>8337</v>
      </c>
      <c r="C351">
        <v>1</v>
      </c>
      <c r="D351">
        <v>1</v>
      </c>
      <c r="E351">
        <v>1</v>
      </c>
      <c r="F351">
        <v>1</v>
      </c>
      <c r="G351">
        <v>0</v>
      </c>
      <c r="H351" t="s">
        <v>2221</v>
      </c>
    </row>
    <row r="352" spans="1:8">
      <c r="A352" t="s">
        <v>5291</v>
      </c>
      <c r="B352" t="s">
        <v>5290</v>
      </c>
      <c r="C352">
        <v>1</v>
      </c>
      <c r="D352">
        <v>1</v>
      </c>
      <c r="E352">
        <v>1</v>
      </c>
      <c r="F352">
        <v>1</v>
      </c>
      <c r="G352">
        <v>0</v>
      </c>
      <c r="H352" t="s">
        <v>2303</v>
      </c>
    </row>
    <row r="353" spans="1:8">
      <c r="A353" t="s">
        <v>5287</v>
      </c>
      <c r="B353" t="s">
        <v>5286</v>
      </c>
      <c r="C353">
        <v>20</v>
      </c>
      <c r="D353">
        <v>1</v>
      </c>
      <c r="E353">
        <v>1</v>
      </c>
      <c r="F353">
        <v>1</v>
      </c>
      <c r="G353">
        <v>0</v>
      </c>
      <c r="H353" t="s">
        <v>2197</v>
      </c>
    </row>
    <row r="354" spans="1:8">
      <c r="A354" t="s">
        <v>5289</v>
      </c>
      <c r="B354" t="s">
        <v>5288</v>
      </c>
      <c r="C354">
        <v>4</v>
      </c>
      <c r="D354">
        <v>1</v>
      </c>
      <c r="E354">
        <v>1</v>
      </c>
      <c r="F354">
        <v>1</v>
      </c>
      <c r="G354">
        <v>0</v>
      </c>
      <c r="H354" t="s">
        <v>2197</v>
      </c>
    </row>
    <row r="355" spans="1:8">
      <c r="A355" t="s">
        <v>277</v>
      </c>
      <c r="B355" t="s">
        <v>2432</v>
      </c>
      <c r="C355">
        <v>40</v>
      </c>
      <c r="D355">
        <v>1</v>
      </c>
      <c r="E355">
        <v>1</v>
      </c>
      <c r="F355">
        <v>142.5</v>
      </c>
      <c r="G355">
        <v>3.5639999999999999E-4</v>
      </c>
      <c r="H355" t="s">
        <v>2197</v>
      </c>
    </row>
    <row r="356" spans="1:8">
      <c r="A356" t="s">
        <v>278</v>
      </c>
      <c r="B356" t="s">
        <v>2434</v>
      </c>
      <c r="C356">
        <v>40</v>
      </c>
      <c r="D356">
        <v>1</v>
      </c>
      <c r="E356">
        <v>1</v>
      </c>
      <c r="F356">
        <v>340</v>
      </c>
      <c r="G356">
        <v>7.8299999999999995E-4</v>
      </c>
      <c r="H356" t="s">
        <v>2197</v>
      </c>
    </row>
    <row r="357" spans="1:8">
      <c r="A357" t="s">
        <v>9337</v>
      </c>
      <c r="B357" t="s">
        <v>5292</v>
      </c>
      <c r="C357">
        <v>100</v>
      </c>
      <c r="D357">
        <v>1</v>
      </c>
      <c r="E357">
        <v>1</v>
      </c>
      <c r="F357">
        <v>117.5</v>
      </c>
      <c r="G357">
        <v>4.9819999999999997E-4</v>
      </c>
      <c r="H357" t="s">
        <v>2203</v>
      </c>
    </row>
    <row r="358" spans="1:8">
      <c r="A358" t="s">
        <v>9338</v>
      </c>
      <c r="B358" t="s">
        <v>5293</v>
      </c>
      <c r="C358">
        <v>20</v>
      </c>
      <c r="D358">
        <v>1</v>
      </c>
      <c r="E358">
        <v>1</v>
      </c>
      <c r="F358">
        <v>565</v>
      </c>
      <c r="G358">
        <v>2.1150000000000001E-3</v>
      </c>
      <c r="H358" t="s">
        <v>2203</v>
      </c>
    </row>
    <row r="359" spans="1:8">
      <c r="A359" t="s">
        <v>4353</v>
      </c>
      <c r="B359" t="s">
        <v>5294</v>
      </c>
      <c r="C359">
        <v>40</v>
      </c>
      <c r="D359">
        <v>10</v>
      </c>
      <c r="E359">
        <v>1</v>
      </c>
      <c r="F359">
        <v>20.75</v>
      </c>
      <c r="G359" s="4">
        <v>4.8399999999999997E-5</v>
      </c>
      <c r="H359" t="s">
        <v>2197</v>
      </c>
    </row>
    <row r="360" spans="1:8">
      <c r="A360" t="s">
        <v>4354</v>
      </c>
      <c r="B360" t="s">
        <v>5297</v>
      </c>
      <c r="C360">
        <v>10</v>
      </c>
      <c r="D360">
        <v>1</v>
      </c>
      <c r="E360">
        <v>1</v>
      </c>
      <c r="F360">
        <v>1549</v>
      </c>
      <c r="G360">
        <v>2.7495000000000002E-3</v>
      </c>
      <c r="H360" t="s">
        <v>2197</v>
      </c>
    </row>
    <row r="361" spans="1:8">
      <c r="A361" t="s">
        <v>279</v>
      </c>
      <c r="B361" t="s">
        <v>2435</v>
      </c>
      <c r="C361">
        <v>100</v>
      </c>
      <c r="D361">
        <v>1</v>
      </c>
      <c r="E361">
        <v>1</v>
      </c>
      <c r="F361">
        <v>81.5</v>
      </c>
      <c r="G361">
        <v>2.0320000000000001E-4</v>
      </c>
      <c r="H361" t="s">
        <v>2197</v>
      </c>
    </row>
    <row r="362" spans="1:8">
      <c r="A362" t="s">
        <v>5296</v>
      </c>
      <c r="B362" t="s">
        <v>5295</v>
      </c>
      <c r="C362">
        <v>20</v>
      </c>
      <c r="D362">
        <v>1</v>
      </c>
      <c r="E362">
        <v>1</v>
      </c>
      <c r="F362">
        <v>260</v>
      </c>
      <c r="G362">
        <v>7.2539999999999996E-4</v>
      </c>
      <c r="H362" t="s">
        <v>2197</v>
      </c>
    </row>
    <row r="363" spans="1:8">
      <c r="A363" t="s">
        <v>280</v>
      </c>
      <c r="B363" t="s">
        <v>2437</v>
      </c>
      <c r="C363">
        <v>20</v>
      </c>
      <c r="D363">
        <v>1</v>
      </c>
      <c r="E363">
        <v>1</v>
      </c>
      <c r="F363">
        <v>260</v>
      </c>
      <c r="G363">
        <v>7.2539999999999996E-4</v>
      </c>
      <c r="H363" t="s">
        <v>2197</v>
      </c>
    </row>
    <row r="364" spans="1:8">
      <c r="A364" t="s">
        <v>281</v>
      </c>
      <c r="B364" t="s">
        <v>2438</v>
      </c>
      <c r="C364">
        <v>50</v>
      </c>
      <c r="D364">
        <v>1</v>
      </c>
      <c r="E364">
        <v>1</v>
      </c>
      <c r="F364">
        <v>137</v>
      </c>
      <c r="G364">
        <v>3.2899999999999997E-4</v>
      </c>
      <c r="H364" t="s">
        <v>2197</v>
      </c>
    </row>
    <row r="365" spans="1:8">
      <c r="A365" t="s">
        <v>8342</v>
      </c>
      <c r="B365" t="s">
        <v>8341</v>
      </c>
      <c r="C365">
        <v>1</v>
      </c>
      <c r="D365">
        <v>1</v>
      </c>
      <c r="E365">
        <v>1</v>
      </c>
      <c r="F365">
        <v>1</v>
      </c>
      <c r="G365">
        <v>0</v>
      </c>
      <c r="H365" t="s">
        <v>2221</v>
      </c>
    </row>
    <row r="366" spans="1:8">
      <c r="A366" t="s">
        <v>4355</v>
      </c>
      <c r="B366" t="s">
        <v>5298</v>
      </c>
      <c r="C366">
        <v>20</v>
      </c>
      <c r="D366">
        <v>1</v>
      </c>
      <c r="E366">
        <v>1</v>
      </c>
      <c r="F366">
        <v>540</v>
      </c>
      <c r="G366">
        <v>1.1552000000000001E-3</v>
      </c>
      <c r="H366" t="s">
        <v>2197</v>
      </c>
    </row>
    <row r="367" spans="1:8">
      <c r="A367" t="s">
        <v>282</v>
      </c>
      <c r="B367" t="s">
        <v>2440</v>
      </c>
      <c r="C367">
        <v>1</v>
      </c>
      <c r="D367">
        <v>1</v>
      </c>
      <c r="E367">
        <v>1</v>
      </c>
      <c r="F367">
        <v>1</v>
      </c>
      <c r="G367">
        <v>0</v>
      </c>
      <c r="H367" t="s">
        <v>2221</v>
      </c>
    </row>
    <row r="368" spans="1:8">
      <c r="A368" t="s">
        <v>283</v>
      </c>
      <c r="B368" t="s">
        <v>2441</v>
      </c>
      <c r="C368">
        <v>1</v>
      </c>
      <c r="D368">
        <v>1</v>
      </c>
      <c r="E368">
        <v>1</v>
      </c>
      <c r="F368">
        <v>1</v>
      </c>
      <c r="G368">
        <v>0</v>
      </c>
      <c r="H368" t="s">
        <v>2221</v>
      </c>
    </row>
    <row r="369" spans="1:8">
      <c r="A369" t="s">
        <v>8348</v>
      </c>
      <c r="B369" t="s">
        <v>8347</v>
      </c>
      <c r="C369">
        <v>1</v>
      </c>
      <c r="D369">
        <v>1</v>
      </c>
      <c r="E369">
        <v>1</v>
      </c>
      <c r="F369">
        <v>1</v>
      </c>
      <c r="G369">
        <v>0</v>
      </c>
      <c r="H369" t="s">
        <v>2221</v>
      </c>
    </row>
    <row r="370" spans="1:8">
      <c r="A370" t="s">
        <v>8346</v>
      </c>
      <c r="B370" t="s">
        <v>8345</v>
      </c>
      <c r="C370">
        <v>1</v>
      </c>
      <c r="D370">
        <v>1</v>
      </c>
      <c r="E370">
        <v>1</v>
      </c>
      <c r="F370">
        <v>1</v>
      </c>
      <c r="G370">
        <v>0</v>
      </c>
      <c r="H370" t="s">
        <v>2221</v>
      </c>
    </row>
    <row r="371" spans="1:8">
      <c r="A371" t="s">
        <v>8344</v>
      </c>
      <c r="B371" t="s">
        <v>8343</v>
      </c>
      <c r="C371">
        <v>1</v>
      </c>
      <c r="D371">
        <v>1</v>
      </c>
      <c r="E371">
        <v>1</v>
      </c>
      <c r="F371">
        <v>1</v>
      </c>
      <c r="G371">
        <v>0</v>
      </c>
      <c r="H371" t="s">
        <v>2221</v>
      </c>
    </row>
    <row r="372" spans="1:8">
      <c r="A372" t="s">
        <v>5302</v>
      </c>
      <c r="B372" t="s">
        <v>5301</v>
      </c>
      <c r="C372">
        <v>1</v>
      </c>
      <c r="D372">
        <v>1</v>
      </c>
      <c r="E372">
        <v>1</v>
      </c>
      <c r="F372">
        <v>1</v>
      </c>
      <c r="G372">
        <v>0</v>
      </c>
      <c r="H372" t="s">
        <v>2994</v>
      </c>
    </row>
    <row r="373" spans="1:8">
      <c r="A373" t="s">
        <v>5300</v>
      </c>
      <c r="B373" t="s">
        <v>5299</v>
      </c>
      <c r="C373">
        <v>20</v>
      </c>
      <c r="D373">
        <v>1</v>
      </c>
      <c r="E373">
        <v>1</v>
      </c>
      <c r="F373">
        <v>630</v>
      </c>
      <c r="G373">
        <v>2.0006999999999998E-3</v>
      </c>
      <c r="H373" t="s">
        <v>2203</v>
      </c>
    </row>
    <row r="374" spans="1:8">
      <c r="A374" t="s">
        <v>284</v>
      </c>
      <c r="B374" t="s">
        <v>2442</v>
      </c>
      <c r="C374">
        <v>20</v>
      </c>
      <c r="D374">
        <v>1</v>
      </c>
      <c r="E374">
        <v>1</v>
      </c>
      <c r="F374">
        <v>802.5</v>
      </c>
      <c r="G374">
        <v>1.2516999999999999E-3</v>
      </c>
      <c r="H374" t="s">
        <v>2197</v>
      </c>
    </row>
    <row r="375" spans="1:8">
      <c r="A375" t="s">
        <v>9339</v>
      </c>
      <c r="B375" t="s">
        <v>5303</v>
      </c>
      <c r="C375">
        <v>20</v>
      </c>
      <c r="D375">
        <v>1</v>
      </c>
      <c r="E375">
        <v>1</v>
      </c>
      <c r="F375">
        <v>695</v>
      </c>
      <c r="G375">
        <v>1.248E-3</v>
      </c>
      <c r="H375" t="s">
        <v>2197</v>
      </c>
    </row>
    <row r="376" spans="1:8">
      <c r="A376" t="s">
        <v>285</v>
      </c>
      <c r="B376" t="s">
        <v>2444</v>
      </c>
      <c r="C376">
        <v>20</v>
      </c>
      <c r="D376">
        <v>1</v>
      </c>
      <c r="E376">
        <v>1</v>
      </c>
      <c r="F376">
        <v>802.5</v>
      </c>
      <c r="G376">
        <v>1.2838000000000001E-3</v>
      </c>
      <c r="H376" t="s">
        <v>2197</v>
      </c>
    </row>
    <row r="377" spans="1:8">
      <c r="A377" t="s">
        <v>9340</v>
      </c>
      <c r="B377" t="s">
        <v>5305</v>
      </c>
      <c r="C377">
        <v>20</v>
      </c>
      <c r="D377">
        <v>1</v>
      </c>
      <c r="E377">
        <v>1</v>
      </c>
      <c r="F377">
        <v>555</v>
      </c>
      <c r="G377">
        <v>1.3600000000000001E-3</v>
      </c>
      <c r="H377" t="s">
        <v>2203</v>
      </c>
    </row>
    <row r="378" spans="1:8">
      <c r="A378" t="s">
        <v>9341</v>
      </c>
      <c r="B378" t="s">
        <v>5304</v>
      </c>
      <c r="C378">
        <v>32</v>
      </c>
      <c r="D378">
        <v>1</v>
      </c>
      <c r="E378">
        <v>1</v>
      </c>
      <c r="F378">
        <v>534.375</v>
      </c>
      <c r="G378">
        <v>6.9749999999999999E-4</v>
      </c>
      <c r="H378" t="s">
        <v>2203</v>
      </c>
    </row>
    <row r="379" spans="1:8">
      <c r="A379" t="s">
        <v>286</v>
      </c>
      <c r="B379" t="s">
        <v>2448</v>
      </c>
      <c r="C379">
        <v>20</v>
      </c>
      <c r="D379">
        <v>1</v>
      </c>
      <c r="E379">
        <v>1</v>
      </c>
      <c r="F379">
        <v>695</v>
      </c>
      <c r="G379">
        <v>1.248E-3</v>
      </c>
      <c r="H379" t="s">
        <v>2197</v>
      </c>
    </row>
    <row r="380" spans="1:8">
      <c r="A380" t="s">
        <v>288</v>
      </c>
      <c r="B380" t="s">
        <v>2449</v>
      </c>
      <c r="C380">
        <v>100</v>
      </c>
      <c r="D380">
        <v>1</v>
      </c>
      <c r="E380">
        <v>1</v>
      </c>
      <c r="F380">
        <v>81</v>
      </c>
      <c r="G380">
        <v>2.421E-4</v>
      </c>
      <c r="H380" t="s">
        <v>2197</v>
      </c>
    </row>
    <row r="381" spans="1:8">
      <c r="A381" t="s">
        <v>291</v>
      </c>
      <c r="B381" t="s">
        <v>2451</v>
      </c>
      <c r="C381">
        <v>20</v>
      </c>
      <c r="D381">
        <v>1</v>
      </c>
      <c r="E381">
        <v>1</v>
      </c>
      <c r="F381">
        <v>620</v>
      </c>
      <c r="G381">
        <v>1.2210000000000001E-3</v>
      </c>
      <c r="H381" t="s">
        <v>2197</v>
      </c>
    </row>
    <row r="382" spans="1:8">
      <c r="A382" t="s">
        <v>293</v>
      </c>
      <c r="B382" t="s">
        <v>2452</v>
      </c>
      <c r="C382">
        <v>50</v>
      </c>
      <c r="D382">
        <v>1</v>
      </c>
      <c r="E382">
        <v>1</v>
      </c>
      <c r="F382">
        <v>152</v>
      </c>
      <c r="G382">
        <v>4.3679999999999999E-4</v>
      </c>
      <c r="H382" t="s">
        <v>2197</v>
      </c>
    </row>
    <row r="383" spans="1:8">
      <c r="A383" t="s">
        <v>295</v>
      </c>
      <c r="B383" t="s">
        <v>2453</v>
      </c>
      <c r="C383">
        <v>50</v>
      </c>
      <c r="D383">
        <v>1</v>
      </c>
      <c r="E383">
        <v>1</v>
      </c>
      <c r="F383">
        <v>328</v>
      </c>
      <c r="G383">
        <v>7.5140000000000005E-4</v>
      </c>
      <c r="H383" t="s">
        <v>2197</v>
      </c>
    </row>
    <row r="384" spans="1:8">
      <c r="A384" t="s">
        <v>5307</v>
      </c>
      <c r="B384" t="s">
        <v>5306</v>
      </c>
      <c r="C384">
        <v>20</v>
      </c>
      <c r="D384">
        <v>1</v>
      </c>
      <c r="E384">
        <v>1</v>
      </c>
      <c r="F384">
        <v>1167.5</v>
      </c>
      <c r="G384">
        <v>2.2932E-3</v>
      </c>
      <c r="H384" t="s">
        <v>2197</v>
      </c>
    </row>
    <row r="385" spans="1:8">
      <c r="A385" t="s">
        <v>5309</v>
      </c>
      <c r="B385" t="s">
        <v>5308</v>
      </c>
      <c r="C385">
        <v>1</v>
      </c>
      <c r="D385">
        <v>1</v>
      </c>
      <c r="E385">
        <v>1</v>
      </c>
      <c r="F385">
        <v>20000</v>
      </c>
      <c r="G385">
        <v>2.0006999999999998E-3</v>
      </c>
      <c r="H385" t="s">
        <v>2303</v>
      </c>
    </row>
    <row r="386" spans="1:8">
      <c r="A386" t="s">
        <v>5311</v>
      </c>
      <c r="B386" t="s">
        <v>5310</v>
      </c>
      <c r="C386">
        <v>20</v>
      </c>
      <c r="D386">
        <v>1</v>
      </c>
      <c r="E386">
        <v>1</v>
      </c>
      <c r="F386">
        <v>630</v>
      </c>
      <c r="G386">
        <v>2.0006999999999998E-3</v>
      </c>
      <c r="H386" t="s">
        <v>2197</v>
      </c>
    </row>
    <row r="387" spans="1:8">
      <c r="A387" t="s">
        <v>298</v>
      </c>
      <c r="B387" t="s">
        <v>2454</v>
      </c>
      <c r="C387">
        <v>20</v>
      </c>
      <c r="D387">
        <v>1</v>
      </c>
      <c r="E387">
        <v>1</v>
      </c>
      <c r="F387">
        <v>1195</v>
      </c>
      <c r="G387">
        <v>2.3999999999999998E-3</v>
      </c>
      <c r="H387" t="s">
        <v>2197</v>
      </c>
    </row>
    <row r="388" spans="1:8">
      <c r="A388" t="s">
        <v>301</v>
      </c>
      <c r="B388" t="s">
        <v>2456</v>
      </c>
      <c r="C388">
        <v>20</v>
      </c>
      <c r="D388">
        <v>1</v>
      </c>
      <c r="E388">
        <v>1</v>
      </c>
      <c r="F388">
        <v>610</v>
      </c>
      <c r="G388">
        <v>1.188E-3</v>
      </c>
      <c r="H388" t="s">
        <v>2197</v>
      </c>
    </row>
    <row r="389" spans="1:8">
      <c r="A389" t="s">
        <v>303</v>
      </c>
      <c r="B389" t="s">
        <v>2457</v>
      </c>
      <c r="C389">
        <v>50</v>
      </c>
      <c r="D389">
        <v>1</v>
      </c>
      <c r="E389">
        <v>1</v>
      </c>
      <c r="F389">
        <v>322</v>
      </c>
      <c r="G389">
        <v>7.2829999999999998E-4</v>
      </c>
      <c r="H389" t="s">
        <v>2197</v>
      </c>
    </row>
    <row r="390" spans="1:8">
      <c r="A390" t="s">
        <v>5313</v>
      </c>
      <c r="B390" t="s">
        <v>5312</v>
      </c>
      <c r="C390">
        <v>20</v>
      </c>
      <c r="D390">
        <v>1</v>
      </c>
      <c r="E390">
        <v>1</v>
      </c>
      <c r="F390">
        <v>1</v>
      </c>
      <c r="G390">
        <v>0</v>
      </c>
      <c r="H390" t="s">
        <v>2197</v>
      </c>
    </row>
    <row r="391" spans="1:8">
      <c r="A391" t="s">
        <v>5317</v>
      </c>
      <c r="B391" t="s">
        <v>5316</v>
      </c>
      <c r="C391">
        <v>1</v>
      </c>
      <c r="D391">
        <v>1</v>
      </c>
      <c r="E391">
        <v>1</v>
      </c>
      <c r="F391">
        <v>1</v>
      </c>
      <c r="G391">
        <v>0</v>
      </c>
      <c r="H391" t="s">
        <v>2303</v>
      </c>
    </row>
    <row r="392" spans="1:8">
      <c r="A392" t="s">
        <v>5315</v>
      </c>
      <c r="B392" t="s">
        <v>5314</v>
      </c>
      <c r="C392">
        <v>40</v>
      </c>
      <c r="D392">
        <v>1</v>
      </c>
      <c r="E392">
        <v>1</v>
      </c>
      <c r="F392">
        <v>250</v>
      </c>
      <c r="G392">
        <v>0</v>
      </c>
      <c r="H392" t="s">
        <v>2197</v>
      </c>
    </row>
    <row r="393" spans="1:8">
      <c r="A393" t="s">
        <v>305</v>
      </c>
      <c r="B393" t="s">
        <v>2458</v>
      </c>
      <c r="C393">
        <v>12</v>
      </c>
      <c r="D393">
        <v>1</v>
      </c>
      <c r="E393">
        <v>1</v>
      </c>
      <c r="F393">
        <v>1295.8</v>
      </c>
      <c r="G393">
        <v>2.4827E-3</v>
      </c>
      <c r="H393" t="s">
        <v>2197</v>
      </c>
    </row>
    <row r="394" spans="1:8">
      <c r="A394" t="s">
        <v>5319</v>
      </c>
      <c r="B394" t="s">
        <v>5318</v>
      </c>
      <c r="C394">
        <v>1</v>
      </c>
      <c r="D394">
        <v>1</v>
      </c>
      <c r="E394">
        <v>1</v>
      </c>
      <c r="F394">
        <v>1</v>
      </c>
      <c r="G394">
        <v>0</v>
      </c>
      <c r="H394" t="s">
        <v>2221</v>
      </c>
    </row>
    <row r="395" spans="1:8">
      <c r="A395" t="s">
        <v>307</v>
      </c>
      <c r="B395" t="s">
        <v>2459</v>
      </c>
      <c r="C395">
        <v>1</v>
      </c>
      <c r="D395">
        <v>1</v>
      </c>
      <c r="E395">
        <v>1</v>
      </c>
      <c r="F395">
        <v>1</v>
      </c>
      <c r="G395">
        <v>0</v>
      </c>
      <c r="H395" t="s">
        <v>2221</v>
      </c>
    </row>
    <row r="396" spans="1:8">
      <c r="A396" t="s">
        <v>308</v>
      </c>
      <c r="B396" t="s">
        <v>2460</v>
      </c>
      <c r="C396">
        <v>1</v>
      </c>
      <c r="D396">
        <v>1</v>
      </c>
      <c r="E396">
        <v>1</v>
      </c>
      <c r="F396">
        <v>630</v>
      </c>
      <c r="G396">
        <v>2.0006999999999998E-3</v>
      </c>
      <c r="H396" t="s">
        <v>2221</v>
      </c>
    </row>
    <row r="397" spans="1:8">
      <c r="A397" t="s">
        <v>309</v>
      </c>
      <c r="B397" t="s">
        <v>2462</v>
      </c>
      <c r="C397">
        <v>1</v>
      </c>
      <c r="D397">
        <v>1</v>
      </c>
      <c r="E397">
        <v>1</v>
      </c>
      <c r="F397">
        <v>630</v>
      </c>
      <c r="G397">
        <v>2.0006999999999998E-3</v>
      </c>
      <c r="H397" t="s">
        <v>2221</v>
      </c>
    </row>
    <row r="398" spans="1:8">
      <c r="A398" t="s">
        <v>310</v>
      </c>
      <c r="B398" t="s">
        <v>2463</v>
      </c>
      <c r="C398">
        <v>1</v>
      </c>
      <c r="D398">
        <v>1</v>
      </c>
      <c r="E398">
        <v>1</v>
      </c>
      <c r="F398">
        <v>630</v>
      </c>
      <c r="G398">
        <v>2.0006999999999998E-3</v>
      </c>
      <c r="H398" t="s">
        <v>2221</v>
      </c>
    </row>
    <row r="399" spans="1:8">
      <c r="A399" t="s">
        <v>311</v>
      </c>
      <c r="B399" t="s">
        <v>2464</v>
      </c>
      <c r="C399">
        <v>12</v>
      </c>
      <c r="D399">
        <v>10</v>
      </c>
      <c r="E399">
        <v>1</v>
      </c>
      <c r="F399">
        <v>1</v>
      </c>
      <c r="G399">
        <v>0</v>
      </c>
      <c r="H399" t="s">
        <v>2203</v>
      </c>
    </row>
    <row r="400" spans="1:8">
      <c r="A400" t="s">
        <v>5335</v>
      </c>
      <c r="B400" t="s">
        <v>5334</v>
      </c>
      <c r="C400">
        <v>1</v>
      </c>
      <c r="D400">
        <v>1</v>
      </c>
      <c r="E400">
        <v>1</v>
      </c>
      <c r="F400">
        <v>1</v>
      </c>
      <c r="G400">
        <v>0</v>
      </c>
      <c r="H400" t="s">
        <v>2493</v>
      </c>
    </row>
    <row r="401" spans="1:8">
      <c r="A401" t="s">
        <v>5333</v>
      </c>
      <c r="B401" t="s">
        <v>5332</v>
      </c>
      <c r="C401">
        <v>1</v>
      </c>
      <c r="D401">
        <v>1</v>
      </c>
      <c r="E401">
        <v>1</v>
      </c>
      <c r="F401">
        <v>1</v>
      </c>
      <c r="G401">
        <v>0</v>
      </c>
      <c r="H401" t="s">
        <v>2203</v>
      </c>
    </row>
    <row r="402" spans="1:8">
      <c r="A402" t="s">
        <v>4356</v>
      </c>
      <c r="B402" t="s">
        <v>5320</v>
      </c>
      <c r="C402">
        <v>30</v>
      </c>
      <c r="D402">
        <v>1</v>
      </c>
      <c r="E402">
        <v>1</v>
      </c>
      <c r="F402">
        <v>545</v>
      </c>
      <c r="G402">
        <v>9.4079999999999999E-4</v>
      </c>
      <c r="H402" t="s">
        <v>2203</v>
      </c>
    </row>
    <row r="403" spans="1:8">
      <c r="A403" t="s">
        <v>5329</v>
      </c>
      <c r="B403" t="s">
        <v>5328</v>
      </c>
      <c r="C403">
        <v>1000</v>
      </c>
      <c r="D403">
        <v>1</v>
      </c>
      <c r="E403">
        <v>1</v>
      </c>
      <c r="F403">
        <v>1</v>
      </c>
      <c r="G403">
        <v>0</v>
      </c>
      <c r="H403" t="s">
        <v>2203</v>
      </c>
    </row>
    <row r="404" spans="1:8">
      <c r="A404" t="s">
        <v>4357</v>
      </c>
      <c r="B404" t="s">
        <v>5321</v>
      </c>
      <c r="C404">
        <v>90</v>
      </c>
      <c r="D404">
        <v>1</v>
      </c>
      <c r="E404">
        <v>1</v>
      </c>
      <c r="F404">
        <v>115.222222222222</v>
      </c>
      <c r="G404">
        <v>3.3234999999999997E-4</v>
      </c>
      <c r="H404" t="s">
        <v>2203</v>
      </c>
    </row>
    <row r="405" spans="1:8">
      <c r="A405" t="s">
        <v>5339</v>
      </c>
      <c r="B405" t="s">
        <v>5338</v>
      </c>
      <c r="C405">
        <v>1</v>
      </c>
      <c r="D405">
        <v>1</v>
      </c>
      <c r="E405">
        <v>1</v>
      </c>
      <c r="F405">
        <v>1</v>
      </c>
      <c r="G405">
        <v>0</v>
      </c>
      <c r="H405" t="s">
        <v>2203</v>
      </c>
    </row>
    <row r="406" spans="1:8">
      <c r="A406" t="s">
        <v>5337</v>
      </c>
      <c r="B406" t="s">
        <v>5336</v>
      </c>
      <c r="C406">
        <v>1</v>
      </c>
      <c r="D406">
        <v>1</v>
      </c>
      <c r="E406">
        <v>1</v>
      </c>
      <c r="F406">
        <v>1</v>
      </c>
      <c r="G406">
        <v>0</v>
      </c>
      <c r="H406" t="s">
        <v>2203</v>
      </c>
    </row>
    <row r="407" spans="1:8">
      <c r="A407" t="s">
        <v>4359</v>
      </c>
      <c r="B407" t="s">
        <v>5322</v>
      </c>
      <c r="C407">
        <v>30</v>
      </c>
      <c r="D407">
        <v>1</v>
      </c>
      <c r="E407">
        <v>1</v>
      </c>
      <c r="F407">
        <v>541.33333333333303</v>
      </c>
      <c r="G407">
        <v>9.9704999999999998E-4</v>
      </c>
      <c r="H407" t="s">
        <v>2203</v>
      </c>
    </row>
    <row r="408" spans="1:8">
      <c r="A408" t="s">
        <v>313</v>
      </c>
      <c r="B408" t="s">
        <v>2467</v>
      </c>
      <c r="C408">
        <v>35</v>
      </c>
      <c r="D408">
        <v>1</v>
      </c>
      <c r="E408">
        <v>1</v>
      </c>
      <c r="F408">
        <v>542.9</v>
      </c>
      <c r="G408">
        <v>8.5459999999999996E-4</v>
      </c>
      <c r="H408" t="s">
        <v>2203</v>
      </c>
    </row>
    <row r="409" spans="1:8">
      <c r="A409" t="s">
        <v>314</v>
      </c>
      <c r="B409" t="s">
        <v>2470</v>
      </c>
      <c r="C409">
        <v>90</v>
      </c>
      <c r="D409">
        <v>1</v>
      </c>
      <c r="E409">
        <v>1</v>
      </c>
      <c r="F409">
        <v>541.33333333333303</v>
      </c>
      <c r="G409">
        <v>9.9704999999999998E-4</v>
      </c>
      <c r="H409" t="s">
        <v>2203</v>
      </c>
    </row>
    <row r="410" spans="1:8">
      <c r="A410" t="s">
        <v>5327</v>
      </c>
      <c r="B410" t="s">
        <v>5326</v>
      </c>
      <c r="C410">
        <v>40</v>
      </c>
      <c r="D410">
        <v>1</v>
      </c>
      <c r="E410">
        <v>1</v>
      </c>
      <c r="F410">
        <v>540</v>
      </c>
      <c r="G410">
        <v>7.9350000000000004E-4</v>
      </c>
      <c r="H410" t="s">
        <v>2203</v>
      </c>
    </row>
    <row r="411" spans="1:8">
      <c r="A411" t="s">
        <v>4358</v>
      </c>
      <c r="B411" t="s">
        <v>5325</v>
      </c>
      <c r="C411">
        <v>30</v>
      </c>
      <c r="D411">
        <v>1</v>
      </c>
      <c r="E411">
        <v>1</v>
      </c>
      <c r="F411">
        <v>545</v>
      </c>
      <c r="G411">
        <v>9.4079999999999999E-4</v>
      </c>
      <c r="H411" t="s">
        <v>2203</v>
      </c>
    </row>
    <row r="412" spans="1:8">
      <c r="A412" t="s">
        <v>5331</v>
      </c>
      <c r="B412" t="s">
        <v>5330</v>
      </c>
      <c r="C412">
        <v>1000</v>
      </c>
      <c r="D412">
        <v>1</v>
      </c>
      <c r="E412">
        <v>1</v>
      </c>
      <c r="F412">
        <v>1</v>
      </c>
      <c r="G412">
        <v>1000</v>
      </c>
      <c r="H412" t="s">
        <v>2203</v>
      </c>
    </row>
    <row r="413" spans="1:8">
      <c r="A413" t="s">
        <v>5324</v>
      </c>
      <c r="B413" t="s">
        <v>5323</v>
      </c>
      <c r="C413">
        <v>90</v>
      </c>
      <c r="D413">
        <v>1</v>
      </c>
      <c r="E413">
        <v>1</v>
      </c>
      <c r="F413">
        <v>115.2</v>
      </c>
      <c r="G413">
        <v>3.324E-4</v>
      </c>
      <c r="H413" t="s">
        <v>2203</v>
      </c>
    </row>
    <row r="414" spans="1:8">
      <c r="A414" t="s">
        <v>4360</v>
      </c>
      <c r="B414" t="s">
        <v>5340</v>
      </c>
      <c r="C414">
        <v>100</v>
      </c>
      <c r="D414">
        <v>1</v>
      </c>
      <c r="E414">
        <v>1</v>
      </c>
      <c r="F414">
        <v>135</v>
      </c>
      <c r="G414">
        <v>2.8079999999999999E-4</v>
      </c>
      <c r="H414" t="s">
        <v>2197</v>
      </c>
    </row>
    <row r="415" spans="1:8">
      <c r="A415" t="s">
        <v>315</v>
      </c>
      <c r="B415" t="s">
        <v>2471</v>
      </c>
      <c r="C415">
        <v>20</v>
      </c>
      <c r="D415">
        <v>1</v>
      </c>
      <c r="E415">
        <v>1</v>
      </c>
      <c r="F415">
        <v>596</v>
      </c>
      <c r="G415">
        <v>1.078E-3</v>
      </c>
      <c r="H415" t="s">
        <v>2197</v>
      </c>
    </row>
    <row r="416" spans="1:8">
      <c r="A416" t="s">
        <v>4361</v>
      </c>
      <c r="B416" t="s">
        <v>5341</v>
      </c>
      <c r="C416">
        <v>20</v>
      </c>
      <c r="D416">
        <v>1</v>
      </c>
      <c r="E416">
        <v>1</v>
      </c>
      <c r="F416">
        <v>705</v>
      </c>
      <c r="G416">
        <v>1.2440999999999999E-3</v>
      </c>
      <c r="H416" t="s">
        <v>2197</v>
      </c>
    </row>
    <row r="417" spans="1:8">
      <c r="A417" t="s">
        <v>319</v>
      </c>
      <c r="B417" t="s">
        <v>2473</v>
      </c>
      <c r="C417">
        <v>40</v>
      </c>
      <c r="D417">
        <v>1</v>
      </c>
      <c r="E417">
        <v>1</v>
      </c>
      <c r="F417">
        <v>372.5</v>
      </c>
      <c r="G417">
        <v>7.7220000000000001E-4</v>
      </c>
      <c r="H417" t="s">
        <v>2197</v>
      </c>
    </row>
    <row r="418" spans="1:8">
      <c r="A418" t="s">
        <v>4362</v>
      </c>
      <c r="B418" t="s">
        <v>5342</v>
      </c>
      <c r="C418">
        <v>100</v>
      </c>
      <c r="D418">
        <v>1</v>
      </c>
      <c r="E418">
        <v>1</v>
      </c>
      <c r="F418">
        <v>0</v>
      </c>
      <c r="G418">
        <v>0</v>
      </c>
      <c r="H418" t="s">
        <v>2197</v>
      </c>
    </row>
    <row r="419" spans="1:8">
      <c r="A419" t="s">
        <v>4363</v>
      </c>
      <c r="B419" t="s">
        <v>5343</v>
      </c>
      <c r="C419">
        <v>20</v>
      </c>
      <c r="D419">
        <v>1</v>
      </c>
      <c r="E419">
        <v>1</v>
      </c>
      <c r="F419">
        <v>0</v>
      </c>
      <c r="G419">
        <v>2.1251999999999998E-3</v>
      </c>
      <c r="H419" t="s">
        <v>2203</v>
      </c>
    </row>
    <row r="420" spans="1:8">
      <c r="A420" t="s">
        <v>321</v>
      </c>
      <c r="B420" t="s">
        <v>2476</v>
      </c>
      <c r="C420">
        <v>40</v>
      </c>
      <c r="D420">
        <v>1</v>
      </c>
      <c r="E420">
        <v>1</v>
      </c>
      <c r="F420">
        <v>287.5</v>
      </c>
      <c r="G420">
        <v>7.7760000000000004E-4</v>
      </c>
      <c r="H420" t="s">
        <v>2197</v>
      </c>
    </row>
    <row r="421" spans="1:8">
      <c r="A421" t="s">
        <v>9342</v>
      </c>
      <c r="B421" t="s">
        <v>5347</v>
      </c>
      <c r="C421">
        <v>40</v>
      </c>
      <c r="D421">
        <v>1</v>
      </c>
      <c r="E421">
        <v>1</v>
      </c>
      <c r="F421">
        <v>1</v>
      </c>
      <c r="G421">
        <v>0</v>
      </c>
      <c r="H421" t="s">
        <v>2197</v>
      </c>
    </row>
    <row r="422" spans="1:8">
      <c r="A422" t="s">
        <v>9343</v>
      </c>
      <c r="B422" t="s">
        <v>5345</v>
      </c>
      <c r="C422">
        <v>20</v>
      </c>
      <c r="D422">
        <v>1</v>
      </c>
      <c r="E422">
        <v>1</v>
      </c>
      <c r="F422">
        <v>1090</v>
      </c>
      <c r="G422">
        <v>1.9350000000000001E-3</v>
      </c>
      <c r="H422" t="s">
        <v>2197</v>
      </c>
    </row>
    <row r="423" spans="1:8">
      <c r="A423" t="s">
        <v>9344</v>
      </c>
      <c r="B423" t="s">
        <v>5344</v>
      </c>
      <c r="C423">
        <v>30</v>
      </c>
      <c r="D423">
        <v>1</v>
      </c>
      <c r="E423">
        <v>1</v>
      </c>
      <c r="F423">
        <v>446.7</v>
      </c>
      <c r="G423">
        <v>1.1199999999999999E-3</v>
      </c>
      <c r="H423" t="s">
        <v>2197</v>
      </c>
    </row>
    <row r="424" spans="1:8">
      <c r="A424" t="s">
        <v>322</v>
      </c>
      <c r="B424" t="s">
        <v>2478</v>
      </c>
      <c r="C424">
        <v>20</v>
      </c>
      <c r="D424">
        <v>1</v>
      </c>
      <c r="E424">
        <v>1</v>
      </c>
      <c r="F424">
        <v>1</v>
      </c>
      <c r="G424">
        <v>0</v>
      </c>
      <c r="H424" t="s">
        <v>2197</v>
      </c>
    </row>
    <row r="425" spans="1:8">
      <c r="A425" t="s">
        <v>323</v>
      </c>
      <c r="B425" t="s">
        <v>2480</v>
      </c>
      <c r="C425">
        <v>20</v>
      </c>
      <c r="D425">
        <v>1</v>
      </c>
      <c r="E425">
        <v>1</v>
      </c>
      <c r="F425">
        <v>1125</v>
      </c>
      <c r="G425">
        <v>1.98E-3</v>
      </c>
      <c r="H425" t="s">
        <v>2197</v>
      </c>
    </row>
    <row r="426" spans="1:8">
      <c r="A426" t="s">
        <v>324</v>
      </c>
      <c r="B426" t="s">
        <v>2482</v>
      </c>
      <c r="C426">
        <v>20</v>
      </c>
      <c r="D426">
        <v>1</v>
      </c>
      <c r="E426">
        <v>1</v>
      </c>
      <c r="F426">
        <v>1115</v>
      </c>
      <c r="G426">
        <v>1.9350000000000001E-3</v>
      </c>
      <c r="H426" t="s">
        <v>2197</v>
      </c>
    </row>
    <row r="427" spans="1:8">
      <c r="A427" t="s">
        <v>9345</v>
      </c>
      <c r="B427" t="s">
        <v>5346</v>
      </c>
      <c r="C427">
        <v>40</v>
      </c>
      <c r="D427">
        <v>1</v>
      </c>
      <c r="E427">
        <v>1</v>
      </c>
      <c r="F427">
        <v>570</v>
      </c>
      <c r="G427">
        <v>1.178E-3</v>
      </c>
      <c r="H427" t="s">
        <v>2197</v>
      </c>
    </row>
    <row r="428" spans="1:8">
      <c r="A428" t="s">
        <v>325</v>
      </c>
      <c r="B428" t="s">
        <v>2485</v>
      </c>
      <c r="C428">
        <v>20</v>
      </c>
      <c r="D428">
        <v>20</v>
      </c>
      <c r="E428">
        <v>1</v>
      </c>
      <c r="F428">
        <v>24.5</v>
      </c>
      <c r="G428" s="4">
        <v>8.3980000000000006E-5</v>
      </c>
      <c r="H428" t="s">
        <v>2197</v>
      </c>
    </row>
    <row r="429" spans="1:8">
      <c r="A429" t="s">
        <v>4364</v>
      </c>
      <c r="B429" t="s">
        <v>5349</v>
      </c>
      <c r="C429">
        <v>100</v>
      </c>
      <c r="D429">
        <v>1</v>
      </c>
      <c r="E429">
        <v>1</v>
      </c>
      <c r="F429">
        <v>0</v>
      </c>
      <c r="G429">
        <v>0</v>
      </c>
      <c r="H429" t="s">
        <v>2197</v>
      </c>
    </row>
    <row r="430" spans="1:8">
      <c r="A430" t="s">
        <v>4365</v>
      </c>
      <c r="B430" t="s">
        <v>5348</v>
      </c>
      <c r="C430">
        <v>40</v>
      </c>
      <c r="D430">
        <v>1</v>
      </c>
      <c r="E430">
        <v>1</v>
      </c>
      <c r="F430">
        <v>313.8</v>
      </c>
      <c r="G430">
        <v>6.6640000000000004E-4</v>
      </c>
      <c r="H430" t="s">
        <v>2197</v>
      </c>
    </row>
    <row r="431" spans="1:8">
      <c r="A431" t="s">
        <v>5351</v>
      </c>
      <c r="B431" t="s">
        <v>5350</v>
      </c>
      <c r="C431">
        <v>50</v>
      </c>
      <c r="D431">
        <v>1</v>
      </c>
      <c r="E431">
        <v>1</v>
      </c>
      <c r="F431">
        <v>0</v>
      </c>
      <c r="G431">
        <v>0</v>
      </c>
      <c r="H431" t="s">
        <v>2197</v>
      </c>
    </row>
    <row r="432" spans="1:8">
      <c r="A432" t="s">
        <v>5353</v>
      </c>
      <c r="B432" t="s">
        <v>5352</v>
      </c>
      <c r="C432">
        <v>20</v>
      </c>
      <c r="D432">
        <v>1</v>
      </c>
      <c r="E432">
        <v>1</v>
      </c>
      <c r="F432">
        <v>0</v>
      </c>
      <c r="G432">
        <v>0</v>
      </c>
      <c r="H432" t="s">
        <v>2221</v>
      </c>
    </row>
    <row r="433" spans="1:8">
      <c r="A433" t="s">
        <v>326</v>
      </c>
      <c r="B433" t="s">
        <v>2487</v>
      </c>
      <c r="C433">
        <v>25</v>
      </c>
      <c r="D433">
        <v>1</v>
      </c>
      <c r="E433">
        <v>1</v>
      </c>
      <c r="F433">
        <v>404</v>
      </c>
      <c r="G433">
        <v>6.7270000000000003E-4</v>
      </c>
      <c r="H433" t="s">
        <v>2197</v>
      </c>
    </row>
    <row r="434" spans="1:8">
      <c r="A434" t="s">
        <v>328</v>
      </c>
      <c r="B434" t="s">
        <v>2489</v>
      </c>
      <c r="C434">
        <v>20</v>
      </c>
      <c r="D434">
        <v>1</v>
      </c>
      <c r="E434">
        <v>1</v>
      </c>
      <c r="F434">
        <v>150</v>
      </c>
      <c r="G434">
        <v>0</v>
      </c>
      <c r="H434" t="s">
        <v>2197</v>
      </c>
    </row>
    <row r="435" spans="1:8">
      <c r="A435" t="s">
        <v>9346</v>
      </c>
      <c r="B435" t="s">
        <v>5354</v>
      </c>
      <c r="C435">
        <v>30</v>
      </c>
      <c r="D435">
        <v>1</v>
      </c>
      <c r="E435">
        <v>1</v>
      </c>
      <c r="F435">
        <v>583.29999999999995</v>
      </c>
      <c r="G435">
        <v>1.2869999999999999E-3</v>
      </c>
      <c r="H435" t="s">
        <v>2197</v>
      </c>
    </row>
    <row r="436" spans="1:8">
      <c r="A436" t="s">
        <v>4367</v>
      </c>
      <c r="B436" t="s">
        <v>5355</v>
      </c>
      <c r="C436">
        <v>100</v>
      </c>
      <c r="D436">
        <v>1</v>
      </c>
      <c r="E436">
        <v>1</v>
      </c>
      <c r="F436">
        <v>157.4</v>
      </c>
      <c r="G436">
        <v>2.4589500000000001E-3</v>
      </c>
      <c r="H436" t="s">
        <v>2197</v>
      </c>
    </row>
    <row r="437" spans="1:8">
      <c r="A437" t="s">
        <v>4366</v>
      </c>
      <c r="B437" t="s">
        <v>5356</v>
      </c>
      <c r="C437">
        <v>40</v>
      </c>
      <c r="D437">
        <v>1</v>
      </c>
      <c r="E437">
        <v>1</v>
      </c>
      <c r="F437">
        <v>370</v>
      </c>
      <c r="G437">
        <v>6.5280000000000004E-4</v>
      </c>
      <c r="H437" t="s">
        <v>2197</v>
      </c>
    </row>
    <row r="438" spans="1:8">
      <c r="A438" t="s">
        <v>329</v>
      </c>
      <c r="B438" t="s">
        <v>2491</v>
      </c>
      <c r="C438">
        <v>1</v>
      </c>
      <c r="D438">
        <v>1</v>
      </c>
      <c r="E438">
        <v>1</v>
      </c>
      <c r="F438">
        <v>370</v>
      </c>
      <c r="G438">
        <v>6.5280000000000004E-4</v>
      </c>
      <c r="H438" t="s">
        <v>2221</v>
      </c>
    </row>
    <row r="439" spans="1:8">
      <c r="A439" t="s">
        <v>330</v>
      </c>
      <c r="B439" t="s">
        <v>2492</v>
      </c>
      <c r="C439">
        <v>1</v>
      </c>
      <c r="D439">
        <v>1</v>
      </c>
      <c r="E439">
        <v>1</v>
      </c>
      <c r="F439">
        <v>999.9</v>
      </c>
      <c r="G439">
        <v>1.5079E-3</v>
      </c>
      <c r="H439" t="s">
        <v>2493</v>
      </c>
    </row>
    <row r="440" spans="1:8">
      <c r="A440" t="s">
        <v>331</v>
      </c>
      <c r="B440" t="s">
        <v>2494</v>
      </c>
      <c r="C440">
        <v>20</v>
      </c>
      <c r="D440">
        <v>1</v>
      </c>
      <c r="E440">
        <v>1</v>
      </c>
      <c r="F440">
        <v>255</v>
      </c>
      <c r="G440">
        <v>7.8879999999999998E-4</v>
      </c>
      <c r="H440" t="s">
        <v>2197</v>
      </c>
    </row>
    <row r="441" spans="1:8">
      <c r="A441" t="s">
        <v>332</v>
      </c>
      <c r="B441" t="s">
        <v>2496</v>
      </c>
      <c r="C441">
        <v>20</v>
      </c>
      <c r="D441">
        <v>1</v>
      </c>
      <c r="E441">
        <v>1</v>
      </c>
      <c r="F441">
        <v>497.5</v>
      </c>
      <c r="G441">
        <v>1.248E-3</v>
      </c>
      <c r="H441" t="s">
        <v>2197</v>
      </c>
    </row>
    <row r="442" spans="1:8">
      <c r="A442" t="s">
        <v>9347</v>
      </c>
      <c r="B442" t="s">
        <v>5357</v>
      </c>
      <c r="C442">
        <v>50</v>
      </c>
      <c r="D442">
        <v>1</v>
      </c>
      <c r="E442">
        <v>1</v>
      </c>
      <c r="F442">
        <v>131</v>
      </c>
      <c r="G442">
        <v>3.2449999999999997E-4</v>
      </c>
      <c r="H442" t="s">
        <v>2197</v>
      </c>
    </row>
    <row r="443" spans="1:8">
      <c r="A443" t="s">
        <v>5359</v>
      </c>
      <c r="B443" t="s">
        <v>5358</v>
      </c>
      <c r="C443">
        <v>160</v>
      </c>
      <c r="D443">
        <v>1</v>
      </c>
      <c r="E443">
        <v>1</v>
      </c>
      <c r="F443">
        <v>34.1</v>
      </c>
      <c r="G443">
        <v>1.8110000000000001E-4</v>
      </c>
      <c r="H443" t="s">
        <v>2203</v>
      </c>
    </row>
    <row r="444" spans="1:8">
      <c r="A444" t="s">
        <v>5361</v>
      </c>
      <c r="B444" t="s">
        <v>5360</v>
      </c>
      <c r="C444">
        <v>20</v>
      </c>
      <c r="D444">
        <v>1</v>
      </c>
      <c r="E444">
        <v>1</v>
      </c>
      <c r="F444">
        <v>0</v>
      </c>
      <c r="G444">
        <v>0</v>
      </c>
      <c r="H444" t="s">
        <v>2203</v>
      </c>
    </row>
    <row r="445" spans="1:8">
      <c r="A445" t="s">
        <v>4368</v>
      </c>
      <c r="B445" t="s">
        <v>5362</v>
      </c>
      <c r="C445">
        <v>40</v>
      </c>
      <c r="D445">
        <v>1</v>
      </c>
      <c r="E445">
        <v>1</v>
      </c>
      <c r="F445">
        <v>0</v>
      </c>
      <c r="G445">
        <v>0</v>
      </c>
      <c r="H445" t="s">
        <v>2203</v>
      </c>
    </row>
    <row r="446" spans="1:8">
      <c r="A446" t="s">
        <v>4370</v>
      </c>
      <c r="B446" t="s">
        <v>5363</v>
      </c>
      <c r="C446">
        <v>100</v>
      </c>
      <c r="D446">
        <v>1</v>
      </c>
      <c r="E446">
        <v>1</v>
      </c>
      <c r="F446">
        <v>123.1</v>
      </c>
      <c r="G446">
        <v>5.3348749999999998E-4</v>
      </c>
      <c r="H446" t="s">
        <v>2203</v>
      </c>
    </row>
    <row r="447" spans="1:8">
      <c r="A447" t="s">
        <v>5373</v>
      </c>
      <c r="B447" t="s">
        <v>5372</v>
      </c>
      <c r="C447">
        <v>100</v>
      </c>
      <c r="D447">
        <v>1</v>
      </c>
      <c r="E447">
        <v>1</v>
      </c>
      <c r="F447">
        <v>119</v>
      </c>
      <c r="G447">
        <v>5.0690000000000002E-4</v>
      </c>
      <c r="H447" t="s">
        <v>2203</v>
      </c>
    </row>
    <row r="448" spans="1:8">
      <c r="A448" t="s">
        <v>4369</v>
      </c>
      <c r="B448" t="s">
        <v>5364</v>
      </c>
      <c r="C448">
        <v>100</v>
      </c>
      <c r="D448">
        <v>1</v>
      </c>
      <c r="E448">
        <v>1</v>
      </c>
      <c r="F448">
        <v>120.2</v>
      </c>
      <c r="G448">
        <v>5.3348749999999998E-4</v>
      </c>
      <c r="H448" t="s">
        <v>2203</v>
      </c>
    </row>
    <row r="449" spans="1:8">
      <c r="A449" t="s">
        <v>5371</v>
      </c>
      <c r="B449" t="s">
        <v>5370</v>
      </c>
      <c r="C449">
        <v>1</v>
      </c>
      <c r="D449">
        <v>1</v>
      </c>
      <c r="E449">
        <v>1</v>
      </c>
      <c r="F449">
        <v>1</v>
      </c>
      <c r="G449">
        <v>0</v>
      </c>
      <c r="H449" t="s">
        <v>2303</v>
      </c>
    </row>
    <row r="450" spans="1:8">
      <c r="A450" t="s">
        <v>4371</v>
      </c>
      <c r="B450" t="s">
        <v>5367</v>
      </c>
      <c r="C450">
        <v>20</v>
      </c>
      <c r="D450">
        <v>1</v>
      </c>
      <c r="E450">
        <v>1</v>
      </c>
      <c r="F450">
        <v>1</v>
      </c>
      <c r="G450">
        <v>0</v>
      </c>
      <c r="H450" t="s">
        <v>2197</v>
      </c>
    </row>
    <row r="451" spans="1:8">
      <c r="A451" t="s">
        <v>5366</v>
      </c>
      <c r="B451" t="s">
        <v>5365</v>
      </c>
      <c r="C451">
        <v>20</v>
      </c>
      <c r="D451">
        <v>1</v>
      </c>
      <c r="E451">
        <v>1</v>
      </c>
      <c r="F451">
        <v>1</v>
      </c>
      <c r="G451">
        <v>0</v>
      </c>
      <c r="H451" t="s">
        <v>2197</v>
      </c>
    </row>
    <row r="452" spans="1:8">
      <c r="A452" t="s">
        <v>5369</v>
      </c>
      <c r="B452" t="s">
        <v>5368</v>
      </c>
      <c r="C452">
        <v>4</v>
      </c>
      <c r="D452">
        <v>1</v>
      </c>
      <c r="E452">
        <v>1</v>
      </c>
      <c r="F452">
        <v>1</v>
      </c>
      <c r="G452">
        <v>0</v>
      </c>
      <c r="H452" t="s">
        <v>2307</v>
      </c>
    </row>
    <row r="453" spans="1:8">
      <c r="A453" t="s">
        <v>333</v>
      </c>
      <c r="B453" t="s">
        <v>2497</v>
      </c>
      <c r="C453">
        <v>1</v>
      </c>
      <c r="D453">
        <v>1</v>
      </c>
      <c r="E453">
        <v>1</v>
      </c>
      <c r="F453">
        <v>1</v>
      </c>
      <c r="G453">
        <v>0</v>
      </c>
      <c r="H453" t="s">
        <v>2221</v>
      </c>
    </row>
    <row r="454" spans="1:8">
      <c r="A454" t="s">
        <v>8350</v>
      </c>
      <c r="B454" t="s">
        <v>8349</v>
      </c>
      <c r="C454">
        <v>1</v>
      </c>
      <c r="D454">
        <v>1</v>
      </c>
      <c r="E454">
        <v>1</v>
      </c>
      <c r="F454">
        <v>1</v>
      </c>
      <c r="G454">
        <v>0</v>
      </c>
      <c r="H454" t="s">
        <v>2994</v>
      </c>
    </row>
    <row r="455" spans="1:8">
      <c r="A455" t="s">
        <v>9348</v>
      </c>
      <c r="B455" t="s">
        <v>5375</v>
      </c>
      <c r="C455">
        <v>40</v>
      </c>
      <c r="D455">
        <v>1</v>
      </c>
      <c r="E455">
        <v>1</v>
      </c>
      <c r="F455">
        <v>375</v>
      </c>
      <c r="G455">
        <v>1.1305E-3</v>
      </c>
      <c r="H455" t="s">
        <v>2197</v>
      </c>
    </row>
    <row r="456" spans="1:8">
      <c r="A456" t="s">
        <v>334</v>
      </c>
      <c r="B456" t="s">
        <v>2500</v>
      </c>
      <c r="C456">
        <v>50</v>
      </c>
      <c r="D456">
        <v>1</v>
      </c>
      <c r="E456">
        <v>1</v>
      </c>
      <c r="F456">
        <v>129</v>
      </c>
      <c r="G456">
        <v>3.6499999999999998E-4</v>
      </c>
      <c r="H456" t="s">
        <v>2197</v>
      </c>
    </row>
    <row r="457" spans="1:8">
      <c r="A457" t="s">
        <v>335</v>
      </c>
      <c r="B457" t="s">
        <v>2502</v>
      </c>
      <c r="C457">
        <v>50</v>
      </c>
      <c r="D457">
        <v>1</v>
      </c>
      <c r="E457">
        <v>1</v>
      </c>
      <c r="F457">
        <v>311.60000000000002</v>
      </c>
      <c r="G457">
        <v>6.4722E-4</v>
      </c>
      <c r="H457" t="s">
        <v>2197</v>
      </c>
    </row>
    <row r="458" spans="1:8">
      <c r="A458" t="s">
        <v>9349</v>
      </c>
      <c r="B458" t="s">
        <v>5374</v>
      </c>
      <c r="C458">
        <v>50</v>
      </c>
      <c r="D458">
        <v>1</v>
      </c>
      <c r="E458">
        <v>1</v>
      </c>
      <c r="F458">
        <v>0</v>
      </c>
      <c r="G458">
        <v>0</v>
      </c>
      <c r="H458" t="s">
        <v>2197</v>
      </c>
    </row>
    <row r="459" spans="1:8">
      <c r="A459" t="s">
        <v>5378</v>
      </c>
      <c r="B459" t="s">
        <v>5377</v>
      </c>
      <c r="C459">
        <v>25</v>
      </c>
      <c r="D459">
        <v>1</v>
      </c>
      <c r="E459">
        <v>1</v>
      </c>
      <c r="F459">
        <v>1</v>
      </c>
      <c r="G459">
        <v>0</v>
      </c>
      <c r="H459" t="s">
        <v>2197</v>
      </c>
    </row>
    <row r="460" spans="1:8">
      <c r="A460" t="s">
        <v>9350</v>
      </c>
      <c r="B460" t="s">
        <v>5376</v>
      </c>
      <c r="C460">
        <v>30</v>
      </c>
      <c r="D460">
        <v>1</v>
      </c>
      <c r="E460">
        <v>1</v>
      </c>
      <c r="F460">
        <v>1</v>
      </c>
      <c r="G460">
        <v>0</v>
      </c>
      <c r="H460" t="s">
        <v>2197</v>
      </c>
    </row>
    <row r="461" spans="1:8">
      <c r="A461" t="s">
        <v>9351</v>
      </c>
      <c r="B461" t="s">
        <v>5380</v>
      </c>
      <c r="C461">
        <v>50</v>
      </c>
      <c r="D461">
        <v>1</v>
      </c>
      <c r="E461">
        <v>1</v>
      </c>
      <c r="F461">
        <v>130</v>
      </c>
      <c r="G461">
        <v>4.4079999999999998E-4</v>
      </c>
      <c r="H461" t="s">
        <v>2203</v>
      </c>
    </row>
    <row r="462" spans="1:8">
      <c r="A462" t="s">
        <v>9352</v>
      </c>
      <c r="B462" t="s">
        <v>5379</v>
      </c>
      <c r="C462">
        <v>50</v>
      </c>
      <c r="D462">
        <v>1</v>
      </c>
      <c r="E462">
        <v>1</v>
      </c>
      <c r="F462">
        <v>430</v>
      </c>
      <c r="G462">
        <v>1.4580000000000001E-3</v>
      </c>
      <c r="H462" t="s">
        <v>2203</v>
      </c>
    </row>
    <row r="463" spans="1:8">
      <c r="A463" t="s">
        <v>5382</v>
      </c>
      <c r="B463" t="s">
        <v>5381</v>
      </c>
      <c r="C463">
        <v>30</v>
      </c>
      <c r="D463">
        <v>1</v>
      </c>
      <c r="E463">
        <v>1</v>
      </c>
      <c r="F463">
        <v>148.333333333333</v>
      </c>
      <c r="G463">
        <v>3.1E-4</v>
      </c>
      <c r="H463" t="s">
        <v>2197</v>
      </c>
    </row>
    <row r="464" spans="1:8">
      <c r="A464" t="s">
        <v>4372</v>
      </c>
      <c r="B464" t="s">
        <v>5383</v>
      </c>
      <c r="C464">
        <v>100</v>
      </c>
      <c r="D464">
        <v>1</v>
      </c>
      <c r="E464">
        <v>1</v>
      </c>
      <c r="F464">
        <v>1</v>
      </c>
      <c r="G464">
        <v>0</v>
      </c>
      <c r="H464" t="s">
        <v>2203</v>
      </c>
    </row>
    <row r="465" spans="1:8">
      <c r="A465" t="s">
        <v>9353</v>
      </c>
      <c r="B465" t="s">
        <v>5389</v>
      </c>
      <c r="C465">
        <v>1</v>
      </c>
      <c r="D465">
        <v>1</v>
      </c>
      <c r="E465">
        <v>1</v>
      </c>
      <c r="F465">
        <v>24950</v>
      </c>
      <c r="G465">
        <v>2.6875E-2</v>
      </c>
      <c r="H465" t="s">
        <v>2303</v>
      </c>
    </row>
    <row r="466" spans="1:8">
      <c r="A466" t="s">
        <v>336</v>
      </c>
      <c r="B466" t="s">
        <v>2503</v>
      </c>
      <c r="C466">
        <v>20</v>
      </c>
      <c r="D466">
        <v>1</v>
      </c>
      <c r="E466">
        <v>1</v>
      </c>
      <c r="F466">
        <v>1332.5</v>
      </c>
      <c r="G466">
        <v>2.5999999999999999E-3</v>
      </c>
      <c r="H466" t="s">
        <v>2197</v>
      </c>
    </row>
    <row r="467" spans="1:8">
      <c r="A467" t="s">
        <v>9354</v>
      </c>
      <c r="B467" t="s">
        <v>5388</v>
      </c>
      <c r="C467">
        <v>4</v>
      </c>
      <c r="D467">
        <v>1</v>
      </c>
      <c r="E467">
        <v>1</v>
      </c>
      <c r="F467">
        <v>6462.5</v>
      </c>
      <c r="G467">
        <v>9.4050000000000002E-3</v>
      </c>
      <c r="H467" t="s">
        <v>2307</v>
      </c>
    </row>
    <row r="468" spans="1:8">
      <c r="A468" t="s">
        <v>5387</v>
      </c>
      <c r="B468" t="s">
        <v>5386</v>
      </c>
      <c r="C468">
        <v>50</v>
      </c>
      <c r="D468">
        <v>1</v>
      </c>
      <c r="E468">
        <v>1</v>
      </c>
      <c r="F468">
        <v>1</v>
      </c>
      <c r="G468">
        <v>0</v>
      </c>
      <c r="H468" t="s">
        <v>2197</v>
      </c>
    </row>
    <row r="469" spans="1:8">
      <c r="A469" t="s">
        <v>5385</v>
      </c>
      <c r="B469" t="s">
        <v>5384</v>
      </c>
      <c r="C469">
        <v>20</v>
      </c>
      <c r="D469">
        <v>1</v>
      </c>
      <c r="E469">
        <v>1</v>
      </c>
      <c r="F469">
        <v>0</v>
      </c>
      <c r="G469">
        <v>0</v>
      </c>
      <c r="H469" t="s">
        <v>2197</v>
      </c>
    </row>
    <row r="470" spans="1:8">
      <c r="A470" t="s">
        <v>4373</v>
      </c>
      <c r="B470" t="s">
        <v>5390</v>
      </c>
      <c r="C470">
        <v>4</v>
      </c>
      <c r="D470">
        <v>25</v>
      </c>
      <c r="E470">
        <v>1</v>
      </c>
      <c r="F470">
        <v>0</v>
      </c>
      <c r="G470">
        <v>0</v>
      </c>
      <c r="H470" t="s">
        <v>2203</v>
      </c>
    </row>
    <row r="471" spans="1:8">
      <c r="A471" t="s">
        <v>9355</v>
      </c>
      <c r="B471" t="s">
        <v>5393</v>
      </c>
      <c r="C471">
        <v>20</v>
      </c>
      <c r="D471">
        <v>1</v>
      </c>
      <c r="E471">
        <v>1</v>
      </c>
      <c r="F471">
        <v>555</v>
      </c>
      <c r="G471">
        <v>2.1683000000000002E-3</v>
      </c>
      <c r="H471" t="s">
        <v>2203</v>
      </c>
    </row>
    <row r="472" spans="1:8">
      <c r="A472" t="s">
        <v>9356</v>
      </c>
      <c r="B472" t="s">
        <v>5392</v>
      </c>
      <c r="C472">
        <v>100</v>
      </c>
      <c r="D472">
        <v>1</v>
      </c>
      <c r="E472">
        <v>1</v>
      </c>
      <c r="F472">
        <v>161</v>
      </c>
      <c r="G472">
        <v>5.04E-4</v>
      </c>
      <c r="H472" t="s">
        <v>2197</v>
      </c>
    </row>
    <row r="473" spans="1:8">
      <c r="A473" t="s">
        <v>9357</v>
      </c>
      <c r="B473" t="s">
        <v>5391</v>
      </c>
      <c r="C473">
        <v>40</v>
      </c>
      <c r="D473">
        <v>1</v>
      </c>
      <c r="E473">
        <v>1</v>
      </c>
      <c r="F473">
        <v>357.5</v>
      </c>
      <c r="G473">
        <v>8.2620000000000002E-4</v>
      </c>
      <c r="H473" t="s">
        <v>2197</v>
      </c>
    </row>
    <row r="474" spans="1:8">
      <c r="A474" t="s">
        <v>337</v>
      </c>
      <c r="B474" t="s">
        <v>2507</v>
      </c>
      <c r="C474">
        <v>40</v>
      </c>
      <c r="D474">
        <v>1</v>
      </c>
      <c r="E474">
        <v>1</v>
      </c>
      <c r="F474">
        <v>300</v>
      </c>
      <c r="G474">
        <v>7.7490000000000002E-4</v>
      </c>
      <c r="H474" t="s">
        <v>2197</v>
      </c>
    </row>
    <row r="475" spans="1:8">
      <c r="A475" t="s">
        <v>9358</v>
      </c>
      <c r="B475" t="s">
        <v>5396</v>
      </c>
      <c r="C475">
        <v>24</v>
      </c>
      <c r="D475">
        <v>1</v>
      </c>
      <c r="E475">
        <v>1</v>
      </c>
      <c r="F475">
        <v>479.2</v>
      </c>
      <c r="G475">
        <v>1.2455999999999999E-3</v>
      </c>
      <c r="H475" t="s">
        <v>2197</v>
      </c>
    </row>
    <row r="476" spans="1:8">
      <c r="A476" t="s">
        <v>5400</v>
      </c>
      <c r="B476" t="s">
        <v>5399</v>
      </c>
      <c r="C476">
        <v>50</v>
      </c>
      <c r="D476">
        <v>20</v>
      </c>
      <c r="E476">
        <v>1</v>
      </c>
      <c r="F476">
        <v>8</v>
      </c>
      <c r="G476" s="4">
        <v>3.5099999999999999E-5</v>
      </c>
      <c r="H476" t="s">
        <v>2203</v>
      </c>
    </row>
    <row r="477" spans="1:8">
      <c r="A477" t="s">
        <v>5395</v>
      </c>
      <c r="B477" t="s">
        <v>5394</v>
      </c>
      <c r="C477">
        <v>20</v>
      </c>
      <c r="D477">
        <v>10</v>
      </c>
      <c r="E477">
        <v>1</v>
      </c>
      <c r="F477">
        <v>20.8</v>
      </c>
      <c r="G477" s="4">
        <v>4.80675E-5</v>
      </c>
      <c r="H477" t="s">
        <v>2197</v>
      </c>
    </row>
    <row r="478" spans="1:8">
      <c r="A478" t="s">
        <v>9360</v>
      </c>
      <c r="B478" t="s">
        <v>5397</v>
      </c>
      <c r="C478">
        <v>4</v>
      </c>
      <c r="D478">
        <v>75</v>
      </c>
      <c r="E478">
        <v>1</v>
      </c>
      <c r="F478">
        <v>12.5</v>
      </c>
      <c r="G478" s="4">
        <v>6.7999999999999999E-5</v>
      </c>
      <c r="H478" t="s">
        <v>2509</v>
      </c>
    </row>
    <row r="479" spans="1:8">
      <c r="A479" t="s">
        <v>9359</v>
      </c>
      <c r="B479" t="s">
        <v>5398</v>
      </c>
      <c r="C479">
        <v>4</v>
      </c>
      <c r="D479">
        <v>75</v>
      </c>
      <c r="E479">
        <v>1</v>
      </c>
      <c r="F479">
        <v>12.5</v>
      </c>
      <c r="G479" s="4">
        <v>6.7999999999999999E-5</v>
      </c>
      <c r="H479" t="s">
        <v>2509</v>
      </c>
    </row>
    <row r="480" spans="1:8">
      <c r="A480" t="s">
        <v>338</v>
      </c>
      <c r="B480" t="s">
        <v>2508</v>
      </c>
      <c r="C480">
        <v>6</v>
      </c>
      <c r="D480">
        <v>50</v>
      </c>
      <c r="E480">
        <v>1</v>
      </c>
      <c r="F480">
        <v>8.3000000000000007</v>
      </c>
      <c r="G480" s="4">
        <v>6.7999999999999999E-5</v>
      </c>
      <c r="H480" t="s">
        <v>2509</v>
      </c>
    </row>
    <row r="481" spans="1:8">
      <c r="A481" t="s">
        <v>339</v>
      </c>
      <c r="B481" t="s">
        <v>2511</v>
      </c>
      <c r="C481">
        <v>6</v>
      </c>
      <c r="D481">
        <v>200</v>
      </c>
      <c r="E481">
        <v>1</v>
      </c>
      <c r="F481">
        <v>3.3</v>
      </c>
      <c r="G481" s="4">
        <v>1.84E-5</v>
      </c>
      <c r="H481" t="s">
        <v>2509</v>
      </c>
    </row>
    <row r="482" spans="1:8">
      <c r="A482" t="s">
        <v>5404</v>
      </c>
      <c r="B482" t="s">
        <v>5403</v>
      </c>
      <c r="C482">
        <v>1</v>
      </c>
      <c r="D482">
        <v>1</v>
      </c>
      <c r="E482">
        <v>1</v>
      </c>
      <c r="F482">
        <v>24450</v>
      </c>
      <c r="G482">
        <v>1.8559099999999999E-2</v>
      </c>
      <c r="H482" t="s">
        <v>2303</v>
      </c>
    </row>
    <row r="483" spans="1:8">
      <c r="A483" t="s">
        <v>340</v>
      </c>
      <c r="B483" t="s">
        <v>2513</v>
      </c>
      <c r="C483">
        <v>20</v>
      </c>
      <c r="D483">
        <v>1</v>
      </c>
      <c r="E483">
        <v>1</v>
      </c>
      <c r="F483">
        <v>1323.5</v>
      </c>
      <c r="G483">
        <v>3.0038E-3</v>
      </c>
      <c r="H483" t="s">
        <v>2197</v>
      </c>
    </row>
    <row r="484" spans="1:8">
      <c r="A484" t="s">
        <v>5402</v>
      </c>
      <c r="B484" t="s">
        <v>5401</v>
      </c>
      <c r="C484">
        <v>4</v>
      </c>
      <c r="D484">
        <v>1</v>
      </c>
      <c r="E484">
        <v>1</v>
      </c>
      <c r="F484">
        <v>6025</v>
      </c>
      <c r="G484">
        <v>1.1297E-2</v>
      </c>
      <c r="H484" t="s">
        <v>2307</v>
      </c>
    </row>
    <row r="485" spans="1:8">
      <c r="A485" t="s">
        <v>9361</v>
      </c>
      <c r="B485" t="s">
        <v>5407</v>
      </c>
      <c r="C485">
        <v>1</v>
      </c>
      <c r="D485">
        <v>1</v>
      </c>
      <c r="E485">
        <v>1</v>
      </c>
      <c r="F485">
        <v>25200</v>
      </c>
      <c r="G485">
        <v>1.7916999999999999E-2</v>
      </c>
      <c r="H485" t="s">
        <v>2303</v>
      </c>
    </row>
    <row r="486" spans="1:8">
      <c r="A486" t="s">
        <v>9362</v>
      </c>
      <c r="B486" t="s">
        <v>5405</v>
      </c>
      <c r="C486">
        <v>20</v>
      </c>
      <c r="D486">
        <v>1</v>
      </c>
      <c r="E486">
        <v>1</v>
      </c>
      <c r="F486">
        <v>1347.5</v>
      </c>
      <c r="G486">
        <v>2.4499999999999999E-3</v>
      </c>
      <c r="H486" t="s">
        <v>2197</v>
      </c>
    </row>
    <row r="487" spans="1:8">
      <c r="A487" t="s">
        <v>9363</v>
      </c>
      <c r="B487" t="s">
        <v>5406</v>
      </c>
      <c r="C487">
        <v>4</v>
      </c>
      <c r="D487">
        <v>1</v>
      </c>
      <c r="E487">
        <v>1</v>
      </c>
      <c r="F487">
        <v>6525</v>
      </c>
      <c r="G487">
        <v>7.7695625000000004E-3</v>
      </c>
      <c r="H487" t="s">
        <v>2307</v>
      </c>
    </row>
    <row r="488" spans="1:8">
      <c r="A488" t="s">
        <v>9364</v>
      </c>
      <c r="B488" t="s">
        <v>5412</v>
      </c>
      <c r="C488">
        <v>20</v>
      </c>
      <c r="D488">
        <v>1</v>
      </c>
      <c r="E488">
        <v>1</v>
      </c>
      <c r="F488">
        <v>1135</v>
      </c>
      <c r="G488">
        <v>2.0988000000000001E-3</v>
      </c>
      <c r="H488" t="s">
        <v>2197</v>
      </c>
    </row>
    <row r="489" spans="1:8">
      <c r="A489" t="s">
        <v>341</v>
      </c>
      <c r="B489" t="s">
        <v>2514</v>
      </c>
      <c r="C489">
        <v>30</v>
      </c>
      <c r="D489">
        <v>1</v>
      </c>
      <c r="E489">
        <v>1</v>
      </c>
      <c r="F489">
        <v>589</v>
      </c>
      <c r="G489">
        <v>1.1137E-3</v>
      </c>
      <c r="H489" t="s">
        <v>2197</v>
      </c>
    </row>
    <row r="490" spans="1:8">
      <c r="A490" t="s">
        <v>9365</v>
      </c>
      <c r="B490" t="s">
        <v>5408</v>
      </c>
      <c r="C490">
        <v>20</v>
      </c>
      <c r="D490">
        <v>1</v>
      </c>
      <c r="E490">
        <v>1</v>
      </c>
      <c r="F490">
        <v>1140</v>
      </c>
      <c r="G490">
        <v>2.4599999999999999E-3</v>
      </c>
      <c r="H490" t="s">
        <v>2197</v>
      </c>
    </row>
    <row r="491" spans="1:8">
      <c r="A491" t="s">
        <v>342</v>
      </c>
      <c r="B491" t="s">
        <v>2515</v>
      </c>
      <c r="C491">
        <v>20</v>
      </c>
      <c r="D491">
        <v>1</v>
      </c>
      <c r="E491">
        <v>1</v>
      </c>
      <c r="F491">
        <v>1155</v>
      </c>
      <c r="G491">
        <v>2.6649999999999998E-3</v>
      </c>
      <c r="H491" t="s">
        <v>2197</v>
      </c>
    </row>
    <row r="492" spans="1:8">
      <c r="A492" t="s">
        <v>343</v>
      </c>
      <c r="B492" t="s">
        <v>2517</v>
      </c>
      <c r="C492">
        <v>30</v>
      </c>
      <c r="D492">
        <v>1</v>
      </c>
      <c r="E492">
        <v>1</v>
      </c>
      <c r="F492">
        <v>589</v>
      </c>
      <c r="G492">
        <v>1.1137E-3</v>
      </c>
      <c r="H492" t="s">
        <v>2197</v>
      </c>
    </row>
    <row r="493" spans="1:8">
      <c r="A493" t="s">
        <v>9366</v>
      </c>
      <c r="B493" t="s">
        <v>5411</v>
      </c>
      <c r="C493">
        <v>5</v>
      </c>
      <c r="D493">
        <v>1</v>
      </c>
      <c r="E493">
        <v>1</v>
      </c>
      <c r="F493">
        <v>5496</v>
      </c>
      <c r="G493">
        <v>0.01</v>
      </c>
      <c r="H493" t="s">
        <v>2307</v>
      </c>
    </row>
    <row r="494" spans="1:8">
      <c r="A494" t="s">
        <v>9367</v>
      </c>
      <c r="B494" t="s">
        <v>5410</v>
      </c>
      <c r="C494">
        <v>20</v>
      </c>
      <c r="D494">
        <v>1</v>
      </c>
      <c r="E494">
        <v>1</v>
      </c>
      <c r="F494">
        <v>1157.5</v>
      </c>
      <c r="G494">
        <v>2.5092000000000001E-3</v>
      </c>
      <c r="H494" t="s">
        <v>2197</v>
      </c>
    </row>
    <row r="495" spans="1:8">
      <c r="A495" t="s">
        <v>9368</v>
      </c>
      <c r="B495" t="s">
        <v>5409</v>
      </c>
      <c r="C495">
        <v>20</v>
      </c>
      <c r="D495">
        <v>1</v>
      </c>
      <c r="E495">
        <v>1</v>
      </c>
      <c r="F495">
        <v>1142.5</v>
      </c>
      <c r="G495">
        <v>2.1037999999999999E-3</v>
      </c>
      <c r="H495" t="s">
        <v>2197</v>
      </c>
    </row>
    <row r="496" spans="1:8">
      <c r="A496" t="s">
        <v>344</v>
      </c>
      <c r="B496" t="s">
        <v>2518</v>
      </c>
      <c r="C496">
        <v>20</v>
      </c>
      <c r="D496">
        <v>1</v>
      </c>
      <c r="E496">
        <v>1</v>
      </c>
      <c r="F496">
        <v>611</v>
      </c>
      <c r="G496">
        <v>3.0920499999999998E-3</v>
      </c>
      <c r="H496" t="s">
        <v>2203</v>
      </c>
    </row>
    <row r="497" spans="1:8">
      <c r="A497" t="s">
        <v>351</v>
      </c>
      <c r="B497" t="s">
        <v>2520</v>
      </c>
      <c r="C497">
        <v>20</v>
      </c>
      <c r="D497">
        <v>1</v>
      </c>
      <c r="E497">
        <v>1</v>
      </c>
      <c r="F497">
        <v>927.5</v>
      </c>
      <c r="G497">
        <v>1.5221E-3</v>
      </c>
      <c r="H497" t="s">
        <v>2197</v>
      </c>
    </row>
    <row r="498" spans="1:8">
      <c r="A498" t="s">
        <v>352</v>
      </c>
      <c r="B498" t="s">
        <v>2522</v>
      </c>
      <c r="C498">
        <v>50</v>
      </c>
      <c r="D498">
        <v>1</v>
      </c>
      <c r="E498">
        <v>1</v>
      </c>
      <c r="F498">
        <v>221</v>
      </c>
      <c r="G498">
        <v>3.968E-4</v>
      </c>
      <c r="H498" t="s">
        <v>2197</v>
      </c>
    </row>
    <row r="499" spans="1:8">
      <c r="A499" t="s">
        <v>353</v>
      </c>
      <c r="B499" t="s">
        <v>2523</v>
      </c>
      <c r="C499">
        <v>1</v>
      </c>
      <c r="D499">
        <v>1</v>
      </c>
      <c r="E499">
        <v>1</v>
      </c>
      <c r="F499">
        <v>0</v>
      </c>
      <c r="G499">
        <v>0</v>
      </c>
      <c r="H499" t="s">
        <v>2197</v>
      </c>
    </row>
    <row r="500" spans="1:8">
      <c r="A500" t="s">
        <v>354</v>
      </c>
      <c r="B500" t="s">
        <v>2525</v>
      </c>
      <c r="C500">
        <v>1</v>
      </c>
      <c r="D500">
        <v>1</v>
      </c>
      <c r="E500">
        <v>1</v>
      </c>
      <c r="F500">
        <v>1</v>
      </c>
      <c r="G500">
        <v>0</v>
      </c>
      <c r="H500" t="s">
        <v>2197</v>
      </c>
    </row>
    <row r="501" spans="1:8">
      <c r="A501" t="s">
        <v>355</v>
      </c>
      <c r="B501" t="s">
        <v>2526</v>
      </c>
      <c r="C501">
        <v>20</v>
      </c>
      <c r="D501">
        <v>1</v>
      </c>
      <c r="E501">
        <v>1</v>
      </c>
      <c r="F501">
        <v>1411</v>
      </c>
      <c r="G501">
        <v>2.0622875000000001E-3</v>
      </c>
      <c r="H501" t="s">
        <v>2197</v>
      </c>
    </row>
    <row r="502" spans="1:8">
      <c r="A502" t="s">
        <v>356</v>
      </c>
      <c r="B502" t="s">
        <v>2529</v>
      </c>
      <c r="C502">
        <v>20</v>
      </c>
      <c r="D502">
        <v>1</v>
      </c>
      <c r="E502">
        <v>1</v>
      </c>
      <c r="F502">
        <v>719.5</v>
      </c>
      <c r="G502">
        <v>1.0370437499999999E-3</v>
      </c>
      <c r="H502" t="s">
        <v>2197</v>
      </c>
    </row>
    <row r="503" spans="1:8">
      <c r="A503" t="s">
        <v>357</v>
      </c>
      <c r="B503" t="s">
        <v>2530</v>
      </c>
      <c r="C503">
        <v>50</v>
      </c>
      <c r="D503">
        <v>1</v>
      </c>
      <c r="E503">
        <v>1</v>
      </c>
      <c r="F503">
        <v>165.4</v>
      </c>
      <c r="G503">
        <v>2.7887499999999999E-4</v>
      </c>
      <c r="H503" t="s">
        <v>2197</v>
      </c>
    </row>
    <row r="504" spans="1:8">
      <c r="A504" t="s">
        <v>5414</v>
      </c>
      <c r="B504" t="s">
        <v>5413</v>
      </c>
      <c r="C504">
        <v>20</v>
      </c>
      <c r="D504">
        <v>1</v>
      </c>
      <c r="E504">
        <v>1</v>
      </c>
      <c r="F504">
        <v>1</v>
      </c>
      <c r="G504">
        <v>0</v>
      </c>
      <c r="H504" t="s">
        <v>2197</v>
      </c>
    </row>
    <row r="505" spans="1:8">
      <c r="A505" t="s">
        <v>358</v>
      </c>
      <c r="B505" t="s">
        <v>2531</v>
      </c>
      <c r="C505">
        <v>24</v>
      </c>
      <c r="D505">
        <v>1</v>
      </c>
      <c r="E505">
        <v>1</v>
      </c>
      <c r="F505">
        <v>525.41999999999996</v>
      </c>
      <c r="G505">
        <v>1.1290781250000001E-3</v>
      </c>
      <c r="H505" t="s">
        <v>2197</v>
      </c>
    </row>
    <row r="506" spans="1:8">
      <c r="A506" t="s">
        <v>360</v>
      </c>
      <c r="B506" t="s">
        <v>2533</v>
      </c>
      <c r="C506">
        <v>24</v>
      </c>
      <c r="D506">
        <v>1</v>
      </c>
      <c r="E506">
        <v>1</v>
      </c>
      <c r="F506">
        <v>526.25</v>
      </c>
      <c r="G506">
        <v>1.1290781250000001E-3</v>
      </c>
      <c r="H506" t="s">
        <v>2197</v>
      </c>
    </row>
    <row r="507" spans="1:8">
      <c r="A507" t="s">
        <v>361</v>
      </c>
      <c r="B507" t="s">
        <v>2535</v>
      </c>
      <c r="C507">
        <v>1</v>
      </c>
      <c r="D507">
        <v>1</v>
      </c>
      <c r="E507">
        <v>1</v>
      </c>
      <c r="F507">
        <v>526.25</v>
      </c>
      <c r="G507">
        <v>1.1290781250000001E-3</v>
      </c>
      <c r="H507" t="s">
        <v>2221</v>
      </c>
    </row>
    <row r="508" spans="1:8">
      <c r="A508" t="s">
        <v>362</v>
      </c>
      <c r="B508" t="s">
        <v>2537</v>
      </c>
      <c r="C508">
        <v>20</v>
      </c>
      <c r="D508">
        <v>1</v>
      </c>
      <c r="E508">
        <v>1</v>
      </c>
      <c r="F508">
        <v>642.5</v>
      </c>
      <c r="G508">
        <v>1.1552000000000001E-3</v>
      </c>
      <c r="H508" t="s">
        <v>2197</v>
      </c>
    </row>
    <row r="509" spans="1:8">
      <c r="A509" t="s">
        <v>365</v>
      </c>
      <c r="B509" t="s">
        <v>2539</v>
      </c>
      <c r="C509">
        <v>48</v>
      </c>
      <c r="D509">
        <v>1</v>
      </c>
      <c r="E509">
        <v>1</v>
      </c>
      <c r="F509">
        <v>140.6</v>
      </c>
      <c r="G509">
        <v>2.7546875E-4</v>
      </c>
      <c r="H509" t="s">
        <v>2197</v>
      </c>
    </row>
    <row r="510" spans="1:8">
      <c r="A510" t="s">
        <v>8352</v>
      </c>
      <c r="B510" t="s">
        <v>8351</v>
      </c>
      <c r="C510">
        <v>1</v>
      </c>
      <c r="D510">
        <v>1</v>
      </c>
      <c r="E510">
        <v>1</v>
      </c>
      <c r="F510">
        <v>1</v>
      </c>
      <c r="G510">
        <v>0</v>
      </c>
      <c r="H510" t="s">
        <v>2221</v>
      </c>
    </row>
    <row r="511" spans="1:8">
      <c r="A511" t="s">
        <v>4375</v>
      </c>
      <c r="B511" t="s">
        <v>5416</v>
      </c>
      <c r="C511">
        <v>20</v>
      </c>
      <c r="D511">
        <v>6</v>
      </c>
      <c r="E511">
        <v>1</v>
      </c>
      <c r="F511">
        <v>36.299999999999997</v>
      </c>
      <c r="G511">
        <v>2.4869999999999997E-4</v>
      </c>
      <c r="H511" t="s">
        <v>2203</v>
      </c>
    </row>
    <row r="512" spans="1:8">
      <c r="A512" t="s">
        <v>4374</v>
      </c>
      <c r="B512" t="s">
        <v>5415</v>
      </c>
      <c r="C512">
        <v>20</v>
      </c>
      <c r="D512">
        <v>9</v>
      </c>
      <c r="E512">
        <v>1</v>
      </c>
      <c r="F512">
        <v>142.5</v>
      </c>
      <c r="G512">
        <v>2.7546875E-4</v>
      </c>
      <c r="H512" t="s">
        <v>2203</v>
      </c>
    </row>
    <row r="513" spans="1:8">
      <c r="A513" t="s">
        <v>5418</v>
      </c>
      <c r="B513" t="s">
        <v>5417</v>
      </c>
      <c r="C513">
        <v>12</v>
      </c>
      <c r="D513">
        <v>15</v>
      </c>
      <c r="E513">
        <v>1</v>
      </c>
      <c r="F513">
        <v>21.1</v>
      </c>
      <c r="G513">
        <v>1.2990000000000001E-4</v>
      </c>
      <c r="H513" t="s">
        <v>2203</v>
      </c>
    </row>
    <row r="514" spans="1:8">
      <c r="A514" t="s">
        <v>368</v>
      </c>
      <c r="B514" t="s">
        <v>2540</v>
      </c>
      <c r="C514">
        <v>20</v>
      </c>
      <c r="D514">
        <v>1</v>
      </c>
      <c r="E514">
        <v>1</v>
      </c>
      <c r="F514">
        <v>1147.5</v>
      </c>
      <c r="G514">
        <v>2.7983999999999999E-3</v>
      </c>
      <c r="H514" t="s">
        <v>2203</v>
      </c>
    </row>
    <row r="515" spans="1:8">
      <c r="A515" t="s">
        <v>5422</v>
      </c>
      <c r="B515" t="s">
        <v>5421</v>
      </c>
      <c r="C515">
        <v>100</v>
      </c>
      <c r="D515">
        <v>1</v>
      </c>
      <c r="E515">
        <v>1</v>
      </c>
      <c r="F515">
        <v>142.5</v>
      </c>
      <c r="G515">
        <v>2.7546875E-4</v>
      </c>
      <c r="H515" t="s">
        <v>2197</v>
      </c>
    </row>
    <row r="516" spans="1:8">
      <c r="A516" t="s">
        <v>5420</v>
      </c>
      <c r="B516" t="s">
        <v>5419</v>
      </c>
      <c r="C516">
        <v>40</v>
      </c>
      <c r="D516">
        <v>1</v>
      </c>
      <c r="E516">
        <v>1</v>
      </c>
      <c r="F516">
        <v>142.5</v>
      </c>
      <c r="G516">
        <v>2.7546875E-4</v>
      </c>
      <c r="H516" t="s">
        <v>2197</v>
      </c>
    </row>
    <row r="517" spans="1:8">
      <c r="A517" t="s">
        <v>5427</v>
      </c>
      <c r="B517" t="s">
        <v>5426</v>
      </c>
      <c r="C517">
        <v>100</v>
      </c>
      <c r="D517">
        <v>1</v>
      </c>
      <c r="E517">
        <v>1</v>
      </c>
      <c r="F517">
        <v>142.5</v>
      </c>
      <c r="G517">
        <v>2.7546875E-4</v>
      </c>
      <c r="H517" t="s">
        <v>2203</v>
      </c>
    </row>
    <row r="518" spans="1:8">
      <c r="A518" t="s">
        <v>5425</v>
      </c>
      <c r="B518" t="s">
        <v>5424</v>
      </c>
      <c r="C518">
        <v>20</v>
      </c>
      <c r="D518">
        <v>1</v>
      </c>
      <c r="E518">
        <v>1</v>
      </c>
      <c r="F518">
        <v>142.5</v>
      </c>
      <c r="G518">
        <v>2.7546875E-4</v>
      </c>
      <c r="H518" t="s">
        <v>2203</v>
      </c>
    </row>
    <row r="519" spans="1:8">
      <c r="A519" t="s">
        <v>5429</v>
      </c>
      <c r="B519" t="s">
        <v>5428</v>
      </c>
      <c r="C519">
        <v>100</v>
      </c>
      <c r="D519">
        <v>1</v>
      </c>
      <c r="E519">
        <v>1</v>
      </c>
      <c r="F519">
        <v>151.9</v>
      </c>
      <c r="G519">
        <v>3.2098125E-4</v>
      </c>
      <c r="H519" t="s">
        <v>2197</v>
      </c>
    </row>
    <row r="520" spans="1:8">
      <c r="A520" t="s">
        <v>4376</v>
      </c>
      <c r="B520" t="s">
        <v>5423</v>
      </c>
      <c r="C520">
        <v>20</v>
      </c>
      <c r="D520">
        <v>1</v>
      </c>
      <c r="E520">
        <v>1</v>
      </c>
      <c r="F520">
        <v>0</v>
      </c>
      <c r="G520">
        <v>0</v>
      </c>
      <c r="H520" t="s">
        <v>2197</v>
      </c>
    </row>
    <row r="521" spans="1:8">
      <c r="A521" t="s">
        <v>9369</v>
      </c>
      <c r="B521" t="s">
        <v>5430</v>
      </c>
      <c r="C521">
        <v>100</v>
      </c>
      <c r="D521">
        <v>1</v>
      </c>
      <c r="E521">
        <v>1</v>
      </c>
      <c r="F521">
        <v>120.5</v>
      </c>
      <c r="G521">
        <v>2.5300000000000002E-4</v>
      </c>
      <c r="H521" t="s">
        <v>2197</v>
      </c>
    </row>
    <row r="522" spans="1:8">
      <c r="A522" t="s">
        <v>9370</v>
      </c>
      <c r="B522" t="s">
        <v>5432</v>
      </c>
      <c r="C522">
        <v>20</v>
      </c>
      <c r="D522">
        <v>1</v>
      </c>
      <c r="E522">
        <v>1</v>
      </c>
      <c r="F522">
        <v>587.5</v>
      </c>
      <c r="G522">
        <v>1.078E-3</v>
      </c>
      <c r="H522" t="s">
        <v>2197</v>
      </c>
    </row>
    <row r="523" spans="1:8">
      <c r="A523" t="s">
        <v>9371</v>
      </c>
      <c r="B523" t="s">
        <v>5431</v>
      </c>
      <c r="C523">
        <v>40</v>
      </c>
      <c r="D523">
        <v>1</v>
      </c>
      <c r="E523">
        <v>1</v>
      </c>
      <c r="F523">
        <v>307.5</v>
      </c>
      <c r="G523">
        <v>7.8100000000000001E-4</v>
      </c>
      <c r="H523" t="s">
        <v>2197</v>
      </c>
    </row>
    <row r="524" spans="1:8">
      <c r="A524" t="s">
        <v>373</v>
      </c>
      <c r="B524" t="s">
        <v>2542</v>
      </c>
      <c r="C524">
        <v>20</v>
      </c>
      <c r="D524">
        <v>1</v>
      </c>
      <c r="E524">
        <v>1</v>
      </c>
      <c r="F524">
        <v>562.5</v>
      </c>
      <c r="G524">
        <v>1.225E-3</v>
      </c>
      <c r="H524" t="s">
        <v>2197</v>
      </c>
    </row>
    <row r="525" spans="1:8">
      <c r="A525" t="s">
        <v>9372</v>
      </c>
      <c r="B525" t="s">
        <v>5433</v>
      </c>
      <c r="C525">
        <v>100</v>
      </c>
      <c r="D525">
        <v>1</v>
      </c>
      <c r="E525">
        <v>1</v>
      </c>
      <c r="F525">
        <v>121</v>
      </c>
      <c r="G525">
        <v>4.4210000000000001E-4</v>
      </c>
      <c r="H525" t="s">
        <v>2203</v>
      </c>
    </row>
    <row r="526" spans="1:8">
      <c r="A526" t="s">
        <v>9373</v>
      </c>
      <c r="B526" t="s">
        <v>5434</v>
      </c>
      <c r="C526">
        <v>40</v>
      </c>
      <c r="D526">
        <v>1</v>
      </c>
      <c r="E526">
        <v>1</v>
      </c>
      <c r="F526">
        <v>309.8</v>
      </c>
      <c r="G526">
        <v>7.0253749999999999E-4</v>
      </c>
      <c r="H526" t="s">
        <v>2197</v>
      </c>
    </row>
    <row r="527" spans="1:8">
      <c r="A527" t="s">
        <v>377</v>
      </c>
      <c r="B527" t="s">
        <v>2544</v>
      </c>
      <c r="C527">
        <v>20</v>
      </c>
      <c r="D527">
        <v>1</v>
      </c>
      <c r="E527">
        <v>1</v>
      </c>
      <c r="F527">
        <v>557.5</v>
      </c>
      <c r="G527">
        <v>1.2312E-3</v>
      </c>
      <c r="H527" t="s">
        <v>2197</v>
      </c>
    </row>
    <row r="528" spans="1:8">
      <c r="A528" t="s">
        <v>9374</v>
      </c>
      <c r="B528" t="s">
        <v>5435</v>
      </c>
      <c r="C528">
        <v>10</v>
      </c>
      <c r="D528">
        <v>1</v>
      </c>
      <c r="E528">
        <v>1</v>
      </c>
      <c r="F528">
        <v>1000</v>
      </c>
      <c r="G528">
        <v>0</v>
      </c>
      <c r="H528" t="s">
        <v>2203</v>
      </c>
    </row>
    <row r="529" spans="1:8">
      <c r="A529" t="s">
        <v>378</v>
      </c>
      <c r="B529" t="s">
        <v>2546</v>
      </c>
      <c r="C529">
        <v>100</v>
      </c>
      <c r="D529">
        <v>1</v>
      </c>
      <c r="E529">
        <v>1</v>
      </c>
      <c r="F529">
        <v>122.2</v>
      </c>
      <c r="G529">
        <v>3.9777749999999999E-4</v>
      </c>
      <c r="H529" t="s">
        <v>2203</v>
      </c>
    </row>
    <row r="530" spans="1:8">
      <c r="A530" t="s">
        <v>380</v>
      </c>
      <c r="B530" t="s">
        <v>2548</v>
      </c>
      <c r="C530">
        <v>20</v>
      </c>
      <c r="D530">
        <v>1</v>
      </c>
      <c r="E530">
        <v>1</v>
      </c>
      <c r="F530">
        <v>583</v>
      </c>
      <c r="G530">
        <v>1.2053999999999999E-3</v>
      </c>
      <c r="H530" t="s">
        <v>2203</v>
      </c>
    </row>
    <row r="531" spans="1:8">
      <c r="A531" t="s">
        <v>5437</v>
      </c>
      <c r="B531" t="s">
        <v>5436</v>
      </c>
      <c r="C531">
        <v>20</v>
      </c>
      <c r="D531">
        <v>1</v>
      </c>
      <c r="E531">
        <v>1</v>
      </c>
      <c r="F531">
        <v>577.5</v>
      </c>
      <c r="G531">
        <v>1.4519999999999999E-3</v>
      </c>
      <c r="H531" t="s">
        <v>2197</v>
      </c>
    </row>
    <row r="532" spans="1:8">
      <c r="A532" t="s">
        <v>9375</v>
      </c>
      <c r="B532" t="s">
        <v>5438</v>
      </c>
      <c r="C532">
        <v>100</v>
      </c>
      <c r="D532">
        <v>1</v>
      </c>
      <c r="E532">
        <v>1</v>
      </c>
      <c r="F532">
        <v>1</v>
      </c>
      <c r="G532">
        <v>0</v>
      </c>
      <c r="H532" t="s">
        <v>2197</v>
      </c>
    </row>
    <row r="533" spans="1:8">
      <c r="A533" t="s">
        <v>9376</v>
      </c>
      <c r="B533" t="s">
        <v>5440</v>
      </c>
      <c r="C533">
        <v>1</v>
      </c>
      <c r="D533">
        <v>1</v>
      </c>
      <c r="E533">
        <v>1</v>
      </c>
      <c r="F533">
        <v>24900</v>
      </c>
      <c r="G533">
        <v>2.6880000000000001E-2</v>
      </c>
      <c r="H533" t="s">
        <v>2303</v>
      </c>
    </row>
    <row r="534" spans="1:8">
      <c r="A534" t="s">
        <v>9377</v>
      </c>
      <c r="B534" t="s">
        <v>5439</v>
      </c>
      <c r="C534">
        <v>20</v>
      </c>
      <c r="D534">
        <v>1</v>
      </c>
      <c r="E534">
        <v>1</v>
      </c>
      <c r="F534">
        <v>1360</v>
      </c>
      <c r="G534">
        <v>2.7824999999999998E-3</v>
      </c>
      <c r="H534" t="s">
        <v>2197</v>
      </c>
    </row>
    <row r="535" spans="1:8">
      <c r="A535" t="s">
        <v>381</v>
      </c>
      <c r="B535" t="s">
        <v>2549</v>
      </c>
      <c r="C535">
        <v>20</v>
      </c>
      <c r="D535">
        <v>1</v>
      </c>
      <c r="E535">
        <v>1</v>
      </c>
      <c r="F535">
        <v>1067.5</v>
      </c>
      <c r="G535">
        <v>2.4502999999999999E-3</v>
      </c>
      <c r="H535" t="s">
        <v>2203</v>
      </c>
    </row>
    <row r="536" spans="1:8">
      <c r="A536" t="s">
        <v>383</v>
      </c>
      <c r="B536" t="s">
        <v>2551</v>
      </c>
      <c r="C536">
        <v>1</v>
      </c>
      <c r="D536">
        <v>1</v>
      </c>
      <c r="E536">
        <v>1</v>
      </c>
      <c r="F536">
        <v>1</v>
      </c>
      <c r="G536">
        <v>0</v>
      </c>
      <c r="H536" t="s">
        <v>2221</v>
      </c>
    </row>
    <row r="537" spans="1:8">
      <c r="A537" t="s">
        <v>5446</v>
      </c>
      <c r="B537" t="s">
        <v>5445</v>
      </c>
      <c r="C537">
        <v>1</v>
      </c>
      <c r="D537">
        <v>1</v>
      </c>
      <c r="E537">
        <v>1</v>
      </c>
      <c r="F537">
        <v>0</v>
      </c>
      <c r="G537">
        <v>0</v>
      </c>
      <c r="H537" t="s">
        <v>2303</v>
      </c>
    </row>
    <row r="538" spans="1:8">
      <c r="A538" t="s">
        <v>5444</v>
      </c>
      <c r="B538" t="s">
        <v>5443</v>
      </c>
      <c r="C538">
        <v>20</v>
      </c>
      <c r="D538">
        <v>1</v>
      </c>
      <c r="E538">
        <v>1</v>
      </c>
      <c r="F538">
        <v>0</v>
      </c>
      <c r="G538">
        <v>0</v>
      </c>
      <c r="H538" t="s">
        <v>2197</v>
      </c>
    </row>
    <row r="539" spans="1:8">
      <c r="A539" t="s">
        <v>5448</v>
      </c>
      <c r="B539" t="s">
        <v>5447</v>
      </c>
      <c r="C539">
        <v>4</v>
      </c>
      <c r="D539">
        <v>1</v>
      </c>
      <c r="E539">
        <v>1</v>
      </c>
      <c r="F539">
        <v>0</v>
      </c>
      <c r="G539">
        <v>0</v>
      </c>
      <c r="H539" t="s">
        <v>2307</v>
      </c>
    </row>
    <row r="540" spans="1:8">
      <c r="A540" t="s">
        <v>5442</v>
      </c>
      <c r="B540" t="s">
        <v>5441</v>
      </c>
      <c r="C540">
        <v>20</v>
      </c>
      <c r="D540">
        <v>1</v>
      </c>
      <c r="E540">
        <v>1</v>
      </c>
      <c r="F540">
        <v>1</v>
      </c>
      <c r="G540">
        <v>0</v>
      </c>
      <c r="H540" t="s">
        <v>2197</v>
      </c>
    </row>
    <row r="541" spans="1:8">
      <c r="A541" t="s">
        <v>5450</v>
      </c>
      <c r="B541" t="s">
        <v>5449</v>
      </c>
      <c r="C541">
        <v>20</v>
      </c>
      <c r="D541">
        <v>1</v>
      </c>
      <c r="E541">
        <v>1</v>
      </c>
      <c r="F541">
        <v>800</v>
      </c>
      <c r="G541">
        <v>1.2800000000000001E-3</v>
      </c>
      <c r="H541" t="s">
        <v>2197</v>
      </c>
    </row>
    <row r="542" spans="1:8">
      <c r="A542" t="s">
        <v>4377</v>
      </c>
      <c r="B542" t="s">
        <v>5451</v>
      </c>
      <c r="C542">
        <v>40</v>
      </c>
      <c r="D542">
        <v>1</v>
      </c>
      <c r="E542">
        <v>1</v>
      </c>
      <c r="F542">
        <v>326.3</v>
      </c>
      <c r="G542">
        <v>6.6560000000000002E-4</v>
      </c>
      <c r="H542" t="s">
        <v>2197</v>
      </c>
    </row>
    <row r="543" spans="1:8">
      <c r="A543" t="s">
        <v>4378</v>
      </c>
      <c r="B543" t="s">
        <v>5452</v>
      </c>
      <c r="C543">
        <v>30</v>
      </c>
      <c r="D543">
        <v>1</v>
      </c>
      <c r="E543">
        <v>1</v>
      </c>
      <c r="F543">
        <v>722.7</v>
      </c>
      <c r="G543">
        <v>1.4518999999999999E-3</v>
      </c>
      <c r="H543" t="s">
        <v>2203</v>
      </c>
    </row>
    <row r="544" spans="1:8">
      <c r="A544" t="s">
        <v>5454</v>
      </c>
      <c r="B544" t="s">
        <v>5453</v>
      </c>
      <c r="C544">
        <v>30</v>
      </c>
      <c r="D544">
        <v>1</v>
      </c>
      <c r="E544">
        <v>1</v>
      </c>
      <c r="F544">
        <v>1</v>
      </c>
      <c r="G544">
        <v>0</v>
      </c>
      <c r="H544" t="s">
        <v>2203</v>
      </c>
    </row>
    <row r="545" spans="1:8">
      <c r="A545" t="s">
        <v>4379</v>
      </c>
      <c r="B545" t="s">
        <v>5455</v>
      </c>
      <c r="C545">
        <v>40</v>
      </c>
      <c r="D545">
        <v>1</v>
      </c>
      <c r="E545">
        <v>1</v>
      </c>
      <c r="F545">
        <v>0</v>
      </c>
      <c r="G545">
        <v>0</v>
      </c>
      <c r="H545" t="s">
        <v>2197</v>
      </c>
    </row>
    <row r="546" spans="1:8">
      <c r="A546" t="s">
        <v>4380</v>
      </c>
      <c r="B546" t="s">
        <v>5456</v>
      </c>
      <c r="C546">
        <v>50</v>
      </c>
      <c r="D546">
        <v>1</v>
      </c>
      <c r="E546">
        <v>1</v>
      </c>
      <c r="F546">
        <v>0</v>
      </c>
      <c r="G546">
        <v>0</v>
      </c>
      <c r="H546" t="s">
        <v>2197</v>
      </c>
    </row>
    <row r="547" spans="1:8">
      <c r="A547" t="s">
        <v>384</v>
      </c>
      <c r="B547" t="s">
        <v>2553</v>
      </c>
      <c r="C547">
        <v>48</v>
      </c>
      <c r="D547">
        <v>1</v>
      </c>
      <c r="E547">
        <v>1</v>
      </c>
      <c r="F547">
        <v>157.5</v>
      </c>
      <c r="G547">
        <v>3.1510000000000002E-4</v>
      </c>
      <c r="H547" t="s">
        <v>2197</v>
      </c>
    </row>
    <row r="548" spans="1:8">
      <c r="A548" t="s">
        <v>5458</v>
      </c>
      <c r="B548" t="s">
        <v>5457</v>
      </c>
      <c r="C548">
        <v>48</v>
      </c>
      <c r="D548">
        <v>1</v>
      </c>
      <c r="E548">
        <v>1</v>
      </c>
      <c r="F548">
        <v>364.6</v>
      </c>
      <c r="G548">
        <v>7.1409999999999996E-4</v>
      </c>
      <c r="H548" t="s">
        <v>2197</v>
      </c>
    </row>
    <row r="549" spans="1:8">
      <c r="A549" t="s">
        <v>5458</v>
      </c>
      <c r="B549" t="s">
        <v>5462</v>
      </c>
      <c r="C549">
        <v>48</v>
      </c>
      <c r="D549">
        <v>1</v>
      </c>
      <c r="E549">
        <v>1</v>
      </c>
      <c r="F549">
        <v>1</v>
      </c>
      <c r="G549">
        <v>0</v>
      </c>
      <c r="H549" t="s">
        <v>2197</v>
      </c>
    </row>
    <row r="550" spans="1:8">
      <c r="A550" t="s">
        <v>5460</v>
      </c>
      <c r="B550" t="s">
        <v>5459</v>
      </c>
      <c r="C550">
        <v>1</v>
      </c>
      <c r="D550">
        <v>1</v>
      </c>
      <c r="E550">
        <v>1</v>
      </c>
      <c r="F550">
        <v>1</v>
      </c>
      <c r="G550">
        <v>0</v>
      </c>
      <c r="H550" t="s">
        <v>2994</v>
      </c>
    </row>
    <row r="551" spans="1:8">
      <c r="A551" t="s">
        <v>4963</v>
      </c>
      <c r="B551" t="s">
        <v>5461</v>
      </c>
      <c r="C551">
        <v>1</v>
      </c>
      <c r="D551">
        <v>1</v>
      </c>
      <c r="E551">
        <v>1</v>
      </c>
      <c r="F551">
        <v>1</v>
      </c>
      <c r="G551">
        <v>0</v>
      </c>
      <c r="H551" t="s">
        <v>2994</v>
      </c>
    </row>
    <row r="552" spans="1:8">
      <c r="A552" t="s">
        <v>386</v>
      </c>
      <c r="B552" t="s">
        <v>2555</v>
      </c>
      <c r="C552">
        <v>6</v>
      </c>
      <c r="D552">
        <v>200</v>
      </c>
      <c r="E552">
        <v>1</v>
      </c>
      <c r="F552">
        <v>2.2999999999999998</v>
      </c>
      <c r="G552" s="4">
        <v>1.9000000000000001E-5</v>
      </c>
      <c r="H552" t="s">
        <v>2203</v>
      </c>
    </row>
    <row r="553" spans="1:8">
      <c r="A553" t="s">
        <v>387</v>
      </c>
      <c r="B553" t="s">
        <v>2558</v>
      </c>
      <c r="C553">
        <v>1</v>
      </c>
      <c r="D553">
        <v>1</v>
      </c>
      <c r="E553">
        <v>1</v>
      </c>
      <c r="F553">
        <v>1</v>
      </c>
      <c r="G553">
        <v>0</v>
      </c>
      <c r="H553" t="s">
        <v>2221</v>
      </c>
    </row>
    <row r="554" spans="1:8">
      <c r="A554" t="s">
        <v>388</v>
      </c>
      <c r="B554" t="s">
        <v>2559</v>
      </c>
      <c r="C554">
        <v>1</v>
      </c>
      <c r="D554">
        <v>1</v>
      </c>
      <c r="E554">
        <v>1</v>
      </c>
      <c r="F554">
        <v>1</v>
      </c>
      <c r="G554">
        <v>0</v>
      </c>
      <c r="H554" t="s">
        <v>2221</v>
      </c>
    </row>
    <row r="555" spans="1:8">
      <c r="A555" t="s">
        <v>389</v>
      </c>
      <c r="B555" t="s">
        <v>2560</v>
      </c>
      <c r="C555">
        <v>1</v>
      </c>
      <c r="D555">
        <v>1</v>
      </c>
      <c r="E555">
        <v>1</v>
      </c>
      <c r="F555">
        <v>1</v>
      </c>
      <c r="G555">
        <v>0</v>
      </c>
      <c r="H555" t="s">
        <v>2221</v>
      </c>
    </row>
    <row r="556" spans="1:8">
      <c r="A556" t="s">
        <v>390</v>
      </c>
      <c r="B556" t="s">
        <v>2561</v>
      </c>
      <c r="C556">
        <v>1</v>
      </c>
      <c r="D556">
        <v>1</v>
      </c>
      <c r="E556">
        <v>1</v>
      </c>
      <c r="F556">
        <v>1</v>
      </c>
      <c r="G556">
        <v>0</v>
      </c>
      <c r="H556" t="s">
        <v>2221</v>
      </c>
    </row>
    <row r="557" spans="1:8">
      <c r="A557" t="s">
        <v>8354</v>
      </c>
      <c r="B557" t="s">
        <v>8353</v>
      </c>
      <c r="C557">
        <v>1</v>
      </c>
      <c r="D557">
        <v>1</v>
      </c>
      <c r="E557">
        <v>1</v>
      </c>
      <c r="F557">
        <v>1</v>
      </c>
      <c r="G557">
        <v>0</v>
      </c>
      <c r="H557" t="s">
        <v>2221</v>
      </c>
    </row>
    <row r="558" spans="1:8">
      <c r="A558" t="s">
        <v>9378</v>
      </c>
      <c r="B558" t="s">
        <v>5464</v>
      </c>
      <c r="C558">
        <v>20</v>
      </c>
      <c r="D558">
        <v>1</v>
      </c>
      <c r="E558">
        <v>1</v>
      </c>
      <c r="F558">
        <v>1045</v>
      </c>
      <c r="G558">
        <v>1.9564999999999999E-3</v>
      </c>
      <c r="H558" t="s">
        <v>2197</v>
      </c>
    </row>
    <row r="559" spans="1:8">
      <c r="A559" t="s">
        <v>9379</v>
      </c>
      <c r="B559" t="s">
        <v>5463</v>
      </c>
      <c r="C559">
        <v>40</v>
      </c>
      <c r="D559">
        <v>1</v>
      </c>
      <c r="E559">
        <v>1</v>
      </c>
      <c r="F559">
        <v>337.5</v>
      </c>
      <c r="G559">
        <v>7.5140000000000005E-4</v>
      </c>
      <c r="H559" t="s">
        <v>2197</v>
      </c>
    </row>
    <row r="560" spans="1:8">
      <c r="A560" t="s">
        <v>391</v>
      </c>
      <c r="B560" t="s">
        <v>2564</v>
      </c>
      <c r="C560">
        <v>50</v>
      </c>
      <c r="D560">
        <v>1</v>
      </c>
      <c r="E560">
        <v>1</v>
      </c>
      <c r="F560">
        <v>159</v>
      </c>
      <c r="G560">
        <v>3.7839999999999998E-4</v>
      </c>
      <c r="H560" t="s">
        <v>2197</v>
      </c>
    </row>
    <row r="561" spans="1:8">
      <c r="A561" t="s">
        <v>5466</v>
      </c>
      <c r="B561" t="s">
        <v>5465</v>
      </c>
      <c r="C561">
        <v>20</v>
      </c>
      <c r="D561">
        <v>1</v>
      </c>
      <c r="E561">
        <v>1</v>
      </c>
      <c r="F561">
        <v>500</v>
      </c>
      <c r="G561">
        <v>0</v>
      </c>
      <c r="H561" t="s">
        <v>2197</v>
      </c>
    </row>
    <row r="562" spans="1:8">
      <c r="A562" t="s">
        <v>393</v>
      </c>
      <c r="B562" t="s">
        <v>2567</v>
      </c>
      <c r="C562">
        <v>20</v>
      </c>
      <c r="D562">
        <v>1</v>
      </c>
      <c r="E562">
        <v>1</v>
      </c>
      <c r="F562">
        <v>315</v>
      </c>
      <c r="G562">
        <v>7.5600000000000005E-4</v>
      </c>
      <c r="H562" t="s">
        <v>2197</v>
      </c>
    </row>
    <row r="563" spans="1:8">
      <c r="A563" t="s">
        <v>394</v>
      </c>
      <c r="B563" t="s">
        <v>2569</v>
      </c>
      <c r="C563">
        <v>20</v>
      </c>
      <c r="D563">
        <v>1</v>
      </c>
      <c r="E563">
        <v>1</v>
      </c>
      <c r="F563">
        <v>511</v>
      </c>
      <c r="G563">
        <v>1.258E-3</v>
      </c>
      <c r="H563" t="s">
        <v>2197</v>
      </c>
    </row>
    <row r="564" spans="1:8">
      <c r="A564" t="s">
        <v>395</v>
      </c>
      <c r="B564" t="s">
        <v>2570</v>
      </c>
      <c r="C564">
        <v>50</v>
      </c>
      <c r="D564">
        <v>1</v>
      </c>
      <c r="E564">
        <v>1</v>
      </c>
      <c r="F564">
        <v>115</v>
      </c>
      <c r="G564">
        <v>3.6749999999999999E-4</v>
      </c>
      <c r="H564" t="s">
        <v>2197</v>
      </c>
    </row>
    <row r="565" spans="1:8">
      <c r="A565" t="s">
        <v>9380</v>
      </c>
      <c r="B565" t="s">
        <v>5467</v>
      </c>
      <c r="C565">
        <v>1</v>
      </c>
      <c r="D565">
        <v>1</v>
      </c>
      <c r="E565">
        <v>1</v>
      </c>
      <c r="F565">
        <v>23310</v>
      </c>
      <c r="G565">
        <v>1.8559124999999999E-2</v>
      </c>
      <c r="H565" t="s">
        <v>2303</v>
      </c>
    </row>
    <row r="566" spans="1:8">
      <c r="A566" t="s">
        <v>396</v>
      </c>
      <c r="B566" t="s">
        <v>2571</v>
      </c>
      <c r="C566">
        <v>1</v>
      </c>
      <c r="D566">
        <v>1</v>
      </c>
      <c r="E566">
        <v>1</v>
      </c>
      <c r="F566">
        <v>23310</v>
      </c>
      <c r="G566">
        <v>1.8559099999999999E-2</v>
      </c>
      <c r="H566" t="s">
        <v>2303</v>
      </c>
    </row>
    <row r="567" spans="1:8">
      <c r="A567" t="s">
        <v>9381</v>
      </c>
      <c r="B567" t="s">
        <v>5470</v>
      </c>
      <c r="C567">
        <v>20</v>
      </c>
      <c r="D567">
        <v>1</v>
      </c>
      <c r="E567">
        <v>1</v>
      </c>
      <c r="F567">
        <v>1242.5</v>
      </c>
      <c r="G567">
        <v>2.5479999999999999E-3</v>
      </c>
      <c r="H567" t="s">
        <v>2197</v>
      </c>
    </row>
    <row r="568" spans="1:8">
      <c r="A568" t="s">
        <v>397</v>
      </c>
      <c r="B568" t="s">
        <v>2573</v>
      </c>
      <c r="C568">
        <v>20</v>
      </c>
      <c r="D568">
        <v>1</v>
      </c>
      <c r="E568">
        <v>1</v>
      </c>
      <c r="F568">
        <v>1242.5</v>
      </c>
      <c r="G568">
        <v>2.5479999999999999E-3</v>
      </c>
      <c r="H568" t="s">
        <v>2197</v>
      </c>
    </row>
    <row r="569" spans="1:8">
      <c r="A569" t="s">
        <v>4381</v>
      </c>
      <c r="B569" t="s">
        <v>5468</v>
      </c>
      <c r="C569">
        <v>20</v>
      </c>
      <c r="D569">
        <v>1</v>
      </c>
      <c r="E569">
        <v>1</v>
      </c>
      <c r="F569">
        <v>0</v>
      </c>
      <c r="G569">
        <v>0</v>
      </c>
      <c r="H569" t="s">
        <v>2197</v>
      </c>
    </row>
    <row r="570" spans="1:8">
      <c r="A570" t="s">
        <v>9382</v>
      </c>
      <c r="B570" t="s">
        <v>5469</v>
      </c>
      <c r="C570">
        <v>4</v>
      </c>
      <c r="D570">
        <v>1</v>
      </c>
      <c r="E570">
        <v>1</v>
      </c>
      <c r="F570">
        <v>6025</v>
      </c>
      <c r="G570">
        <v>1.1297E-2</v>
      </c>
      <c r="H570" t="s">
        <v>2197</v>
      </c>
    </row>
    <row r="571" spans="1:8">
      <c r="A571" t="s">
        <v>398</v>
      </c>
      <c r="B571" t="s">
        <v>2574</v>
      </c>
      <c r="C571">
        <v>4</v>
      </c>
      <c r="D571">
        <v>1</v>
      </c>
      <c r="E571">
        <v>1</v>
      </c>
      <c r="F571">
        <v>6025</v>
      </c>
      <c r="G571">
        <v>1.1297E-2</v>
      </c>
      <c r="H571" t="s">
        <v>2197</v>
      </c>
    </row>
    <row r="572" spans="1:8">
      <c r="A572" t="s">
        <v>5472</v>
      </c>
      <c r="B572" t="s">
        <v>5471</v>
      </c>
      <c r="C572">
        <v>200</v>
      </c>
      <c r="D572">
        <v>1</v>
      </c>
      <c r="E572">
        <v>1</v>
      </c>
      <c r="F572">
        <v>53.5</v>
      </c>
      <c r="G572">
        <v>2.9250000000000001E-4</v>
      </c>
      <c r="H572" t="s">
        <v>2203</v>
      </c>
    </row>
    <row r="573" spans="1:8">
      <c r="A573" t="s">
        <v>5474</v>
      </c>
      <c r="B573" t="s">
        <v>5473</v>
      </c>
      <c r="C573">
        <v>24</v>
      </c>
      <c r="D573">
        <v>1</v>
      </c>
      <c r="E573">
        <v>1</v>
      </c>
      <c r="F573">
        <v>158.30000000000001</v>
      </c>
      <c r="G573">
        <v>3.5260000000000001E-4</v>
      </c>
      <c r="H573" t="s">
        <v>2197</v>
      </c>
    </row>
    <row r="574" spans="1:8">
      <c r="A574" t="s">
        <v>399</v>
      </c>
      <c r="B574" t="s">
        <v>2575</v>
      </c>
      <c r="C574">
        <v>1</v>
      </c>
      <c r="D574">
        <v>1</v>
      </c>
      <c r="E574">
        <v>1</v>
      </c>
      <c r="F574">
        <v>1</v>
      </c>
      <c r="G574">
        <v>0</v>
      </c>
      <c r="H574" t="s">
        <v>2221</v>
      </c>
    </row>
    <row r="575" spans="1:8">
      <c r="A575" t="s">
        <v>400</v>
      </c>
      <c r="B575" t="s">
        <v>2576</v>
      </c>
      <c r="C575">
        <v>1</v>
      </c>
      <c r="D575">
        <v>1</v>
      </c>
      <c r="E575">
        <v>1</v>
      </c>
      <c r="F575">
        <v>1</v>
      </c>
      <c r="G575">
        <v>0</v>
      </c>
      <c r="H575" t="s">
        <v>2221</v>
      </c>
    </row>
    <row r="576" spans="1:8">
      <c r="A576" t="s">
        <v>8358</v>
      </c>
      <c r="B576" t="s">
        <v>8357</v>
      </c>
      <c r="C576">
        <v>1</v>
      </c>
      <c r="D576">
        <v>1</v>
      </c>
      <c r="E576">
        <v>1</v>
      </c>
      <c r="F576">
        <v>1</v>
      </c>
      <c r="G576">
        <v>0</v>
      </c>
      <c r="H576" t="s">
        <v>2221</v>
      </c>
    </row>
    <row r="577" spans="1:8">
      <c r="A577" t="s">
        <v>401</v>
      </c>
      <c r="B577" t="s">
        <v>5475</v>
      </c>
      <c r="C577">
        <v>1</v>
      </c>
      <c r="D577">
        <v>1</v>
      </c>
      <c r="E577">
        <v>1</v>
      </c>
      <c r="F577">
        <v>1</v>
      </c>
      <c r="G577">
        <v>0</v>
      </c>
      <c r="H577" t="s">
        <v>2221</v>
      </c>
    </row>
    <row r="578" spans="1:8">
      <c r="A578" t="s">
        <v>401</v>
      </c>
      <c r="B578" t="s">
        <v>2577</v>
      </c>
      <c r="C578">
        <v>1</v>
      </c>
      <c r="D578">
        <v>1</v>
      </c>
      <c r="E578">
        <v>1</v>
      </c>
      <c r="F578">
        <v>1</v>
      </c>
      <c r="G578">
        <v>0</v>
      </c>
      <c r="H578" t="s">
        <v>2221</v>
      </c>
    </row>
    <row r="579" spans="1:8">
      <c r="A579" t="s">
        <v>402</v>
      </c>
      <c r="B579" t="s">
        <v>5476</v>
      </c>
      <c r="C579">
        <v>1</v>
      </c>
      <c r="D579">
        <v>1</v>
      </c>
      <c r="E579">
        <v>1</v>
      </c>
      <c r="F579">
        <v>1</v>
      </c>
      <c r="G579">
        <v>0</v>
      </c>
      <c r="H579" t="s">
        <v>2221</v>
      </c>
    </row>
    <row r="580" spans="1:8">
      <c r="A580" t="s">
        <v>402</v>
      </c>
      <c r="B580" t="s">
        <v>2578</v>
      </c>
      <c r="C580">
        <v>1</v>
      </c>
      <c r="D580">
        <v>1</v>
      </c>
      <c r="E580">
        <v>1</v>
      </c>
      <c r="F580">
        <v>1</v>
      </c>
      <c r="G580">
        <v>0</v>
      </c>
      <c r="H580" t="s">
        <v>2221</v>
      </c>
    </row>
    <row r="581" spans="1:8">
      <c r="A581" t="s">
        <v>8356</v>
      </c>
      <c r="B581" t="s">
        <v>8355</v>
      </c>
      <c r="C581">
        <v>1</v>
      </c>
      <c r="D581">
        <v>1</v>
      </c>
      <c r="E581">
        <v>1</v>
      </c>
      <c r="F581">
        <v>1</v>
      </c>
      <c r="G581">
        <v>0</v>
      </c>
      <c r="H581" t="s">
        <v>2221</v>
      </c>
    </row>
    <row r="582" spans="1:8">
      <c r="A582" t="s">
        <v>403</v>
      </c>
      <c r="B582" t="s">
        <v>2579</v>
      </c>
      <c r="C582">
        <v>1</v>
      </c>
      <c r="D582">
        <v>1</v>
      </c>
      <c r="E582">
        <v>1</v>
      </c>
      <c r="F582">
        <v>1</v>
      </c>
      <c r="G582">
        <v>0</v>
      </c>
      <c r="H582" t="s">
        <v>2221</v>
      </c>
    </row>
    <row r="583" spans="1:8">
      <c r="A583" t="s">
        <v>404</v>
      </c>
      <c r="B583" t="s">
        <v>2580</v>
      </c>
      <c r="C583">
        <v>1</v>
      </c>
      <c r="D583">
        <v>1</v>
      </c>
      <c r="E583">
        <v>1</v>
      </c>
      <c r="F583">
        <v>1</v>
      </c>
      <c r="G583">
        <v>0</v>
      </c>
      <c r="H583" t="s">
        <v>2221</v>
      </c>
    </row>
    <row r="584" spans="1:8">
      <c r="A584" t="s">
        <v>405</v>
      </c>
      <c r="B584" t="s">
        <v>2581</v>
      </c>
      <c r="C584">
        <v>1</v>
      </c>
      <c r="D584">
        <v>1</v>
      </c>
      <c r="E584">
        <v>1</v>
      </c>
      <c r="F584">
        <v>1</v>
      </c>
      <c r="G584">
        <v>0</v>
      </c>
      <c r="H584" t="s">
        <v>2221</v>
      </c>
    </row>
    <row r="585" spans="1:8">
      <c r="A585" t="s">
        <v>406</v>
      </c>
      <c r="B585" t="s">
        <v>2582</v>
      </c>
      <c r="C585">
        <v>1</v>
      </c>
      <c r="D585">
        <v>1</v>
      </c>
      <c r="E585">
        <v>1</v>
      </c>
      <c r="F585">
        <v>1</v>
      </c>
      <c r="G585">
        <v>0</v>
      </c>
      <c r="H585" t="s">
        <v>2221</v>
      </c>
    </row>
    <row r="586" spans="1:8">
      <c r="A586" t="s">
        <v>8360</v>
      </c>
      <c r="B586" t="s">
        <v>8359</v>
      </c>
      <c r="C586">
        <v>1</v>
      </c>
      <c r="D586">
        <v>1</v>
      </c>
      <c r="E586">
        <v>1</v>
      </c>
      <c r="F586">
        <v>1</v>
      </c>
      <c r="G586">
        <v>0</v>
      </c>
      <c r="H586" t="s">
        <v>2221</v>
      </c>
    </row>
    <row r="587" spans="1:8">
      <c r="A587" t="s">
        <v>407</v>
      </c>
      <c r="B587" t="s">
        <v>2583</v>
      </c>
      <c r="C587">
        <v>1</v>
      </c>
      <c r="D587">
        <v>1</v>
      </c>
      <c r="E587">
        <v>1</v>
      </c>
      <c r="F587">
        <v>1</v>
      </c>
      <c r="G587">
        <v>0</v>
      </c>
      <c r="H587" t="s">
        <v>2221</v>
      </c>
    </row>
    <row r="588" spans="1:8">
      <c r="A588" t="s">
        <v>8362</v>
      </c>
      <c r="B588" t="s">
        <v>8361</v>
      </c>
      <c r="C588">
        <v>1</v>
      </c>
      <c r="D588">
        <v>1</v>
      </c>
      <c r="E588">
        <v>1</v>
      </c>
      <c r="F588">
        <v>1</v>
      </c>
      <c r="G588">
        <v>0</v>
      </c>
      <c r="H588" t="s">
        <v>2221</v>
      </c>
    </row>
    <row r="589" spans="1:8">
      <c r="A589" t="s">
        <v>408</v>
      </c>
      <c r="B589" t="s">
        <v>2584</v>
      </c>
      <c r="C589">
        <v>1</v>
      </c>
      <c r="D589">
        <v>1</v>
      </c>
      <c r="E589">
        <v>1</v>
      </c>
      <c r="F589">
        <v>1</v>
      </c>
      <c r="G589">
        <v>0</v>
      </c>
      <c r="H589" t="s">
        <v>2221</v>
      </c>
    </row>
    <row r="590" spans="1:8">
      <c r="A590" t="s">
        <v>8364</v>
      </c>
      <c r="B590" t="s">
        <v>8363</v>
      </c>
      <c r="C590">
        <v>1</v>
      </c>
      <c r="D590">
        <v>1</v>
      </c>
      <c r="E590">
        <v>1</v>
      </c>
      <c r="F590">
        <v>1</v>
      </c>
      <c r="G590">
        <v>0</v>
      </c>
      <c r="H590" t="s">
        <v>2221</v>
      </c>
    </row>
    <row r="591" spans="1:8">
      <c r="A591" t="s">
        <v>4382</v>
      </c>
      <c r="B591" t="s">
        <v>5477</v>
      </c>
      <c r="C591">
        <v>100</v>
      </c>
      <c r="D591">
        <v>1</v>
      </c>
      <c r="E591">
        <v>1</v>
      </c>
      <c r="F591">
        <v>126.5</v>
      </c>
      <c r="G591">
        <v>2.7337500000000002E-4</v>
      </c>
      <c r="H591" t="s">
        <v>2197</v>
      </c>
    </row>
    <row r="592" spans="1:8">
      <c r="A592" t="s">
        <v>4383</v>
      </c>
      <c r="B592" t="s">
        <v>5478</v>
      </c>
      <c r="C592">
        <v>20</v>
      </c>
      <c r="D592">
        <v>1</v>
      </c>
      <c r="E592">
        <v>1</v>
      </c>
      <c r="F592">
        <v>560.5</v>
      </c>
      <c r="G592">
        <v>1.0723124999999999E-3</v>
      </c>
      <c r="H592" t="s">
        <v>2197</v>
      </c>
    </row>
    <row r="593" spans="1:8">
      <c r="A593" t="s">
        <v>4384</v>
      </c>
      <c r="B593" t="s">
        <v>5479</v>
      </c>
      <c r="C593">
        <v>40</v>
      </c>
      <c r="D593">
        <v>1</v>
      </c>
      <c r="E593">
        <v>1</v>
      </c>
      <c r="F593">
        <v>298.75</v>
      </c>
      <c r="G593">
        <v>6.56184375E-4</v>
      </c>
      <c r="H593" t="s">
        <v>2197</v>
      </c>
    </row>
    <row r="594" spans="1:8">
      <c r="A594" t="s">
        <v>4385</v>
      </c>
      <c r="B594" t="s">
        <v>5483</v>
      </c>
      <c r="C594">
        <v>90</v>
      </c>
      <c r="D594">
        <v>1</v>
      </c>
      <c r="E594">
        <v>1</v>
      </c>
      <c r="F594">
        <v>0</v>
      </c>
      <c r="G594">
        <v>0</v>
      </c>
      <c r="H594" t="s">
        <v>2203</v>
      </c>
    </row>
    <row r="595" spans="1:8">
      <c r="A595" t="s">
        <v>409</v>
      </c>
      <c r="B595" t="s">
        <v>2585</v>
      </c>
      <c r="C595">
        <v>30</v>
      </c>
      <c r="D595">
        <v>1</v>
      </c>
      <c r="E595">
        <v>1</v>
      </c>
      <c r="F595">
        <v>536.33333333333303</v>
      </c>
      <c r="G595">
        <v>9.9704999999999998E-4</v>
      </c>
      <c r="H595" t="s">
        <v>2203</v>
      </c>
    </row>
    <row r="596" spans="1:8">
      <c r="A596" t="s">
        <v>5487</v>
      </c>
      <c r="B596" t="s">
        <v>5486</v>
      </c>
      <c r="C596">
        <v>90</v>
      </c>
      <c r="D596">
        <v>1</v>
      </c>
      <c r="E596">
        <v>1</v>
      </c>
      <c r="F596">
        <v>115.2</v>
      </c>
      <c r="G596">
        <v>3.324E-4</v>
      </c>
      <c r="H596" t="s">
        <v>2203</v>
      </c>
    </row>
    <row r="597" spans="1:8">
      <c r="A597" t="s">
        <v>5491</v>
      </c>
      <c r="B597" t="s">
        <v>5490</v>
      </c>
      <c r="C597">
        <v>1</v>
      </c>
      <c r="D597">
        <v>1</v>
      </c>
      <c r="E597">
        <v>1</v>
      </c>
      <c r="F597">
        <v>1</v>
      </c>
      <c r="G597">
        <v>0</v>
      </c>
      <c r="H597" t="s">
        <v>2203</v>
      </c>
    </row>
    <row r="598" spans="1:8">
      <c r="A598" t="s">
        <v>5481</v>
      </c>
      <c r="B598" t="s">
        <v>5480</v>
      </c>
      <c r="C598">
        <v>30</v>
      </c>
      <c r="D598">
        <v>1</v>
      </c>
      <c r="E598">
        <v>1</v>
      </c>
      <c r="F598">
        <v>0</v>
      </c>
      <c r="G598">
        <v>0</v>
      </c>
      <c r="H598" t="s">
        <v>2203</v>
      </c>
    </row>
    <row r="599" spans="1:8">
      <c r="A599" t="s">
        <v>5489</v>
      </c>
      <c r="B599" t="s">
        <v>5488</v>
      </c>
      <c r="C599">
        <v>90</v>
      </c>
      <c r="D599">
        <v>1</v>
      </c>
      <c r="E599">
        <v>1</v>
      </c>
      <c r="F599">
        <v>1</v>
      </c>
      <c r="G599">
        <v>0</v>
      </c>
      <c r="H599" t="s">
        <v>2203</v>
      </c>
    </row>
    <row r="600" spans="1:8">
      <c r="A600" t="s">
        <v>5485</v>
      </c>
      <c r="B600" t="s">
        <v>5484</v>
      </c>
      <c r="C600">
        <v>15</v>
      </c>
      <c r="D600">
        <v>1</v>
      </c>
      <c r="E600">
        <v>1</v>
      </c>
      <c r="F600">
        <v>536.33333333333303</v>
      </c>
      <c r="G600">
        <v>9.9704999999999998E-4</v>
      </c>
      <c r="H600" t="s">
        <v>2203</v>
      </c>
    </row>
    <row r="601" spans="1:8">
      <c r="A601" t="s">
        <v>4386</v>
      </c>
      <c r="B601" t="s">
        <v>5482</v>
      </c>
      <c r="C601">
        <v>40</v>
      </c>
      <c r="D601">
        <v>1</v>
      </c>
      <c r="E601">
        <v>1</v>
      </c>
      <c r="F601">
        <v>533.79999999999995</v>
      </c>
      <c r="G601">
        <v>8.6399999999999997E-4</v>
      </c>
      <c r="H601" t="s">
        <v>2203</v>
      </c>
    </row>
    <row r="602" spans="1:8">
      <c r="A602" t="s">
        <v>5493</v>
      </c>
      <c r="B602" t="s">
        <v>5492</v>
      </c>
      <c r="C602">
        <v>5</v>
      </c>
      <c r="D602">
        <v>1</v>
      </c>
      <c r="E602">
        <v>1</v>
      </c>
      <c r="F602">
        <v>1</v>
      </c>
      <c r="G602">
        <v>0</v>
      </c>
      <c r="H602" t="s">
        <v>2203</v>
      </c>
    </row>
    <row r="603" spans="1:8">
      <c r="A603" t="s">
        <v>5495</v>
      </c>
      <c r="B603" t="s">
        <v>5494</v>
      </c>
      <c r="C603">
        <v>10</v>
      </c>
      <c r="D603">
        <v>20</v>
      </c>
      <c r="E603">
        <v>1</v>
      </c>
      <c r="F603">
        <v>539.25</v>
      </c>
      <c r="G603">
        <v>8.9999999999999998E-4</v>
      </c>
      <c r="H603" t="s">
        <v>2203</v>
      </c>
    </row>
    <row r="604" spans="1:8">
      <c r="A604" t="s">
        <v>5500</v>
      </c>
      <c r="B604" t="s">
        <v>5499</v>
      </c>
      <c r="C604">
        <v>10</v>
      </c>
      <c r="D604">
        <v>20</v>
      </c>
      <c r="E604">
        <v>1</v>
      </c>
      <c r="F604">
        <v>539.25</v>
      </c>
      <c r="G604">
        <v>8.9999999999999998E-4</v>
      </c>
      <c r="H604" t="s">
        <v>2203</v>
      </c>
    </row>
    <row r="605" spans="1:8">
      <c r="A605" t="s">
        <v>4388</v>
      </c>
      <c r="B605" t="s">
        <v>5497</v>
      </c>
      <c r="C605">
        <v>10</v>
      </c>
      <c r="D605">
        <v>40</v>
      </c>
      <c r="E605">
        <v>1</v>
      </c>
      <c r="F605">
        <v>539.25</v>
      </c>
      <c r="G605">
        <v>8.9999999999999998E-4</v>
      </c>
      <c r="H605" t="s">
        <v>2203</v>
      </c>
    </row>
    <row r="606" spans="1:8">
      <c r="A606" t="s">
        <v>4389</v>
      </c>
      <c r="B606" t="s">
        <v>5498</v>
      </c>
      <c r="C606">
        <v>10</v>
      </c>
      <c r="D606">
        <v>20</v>
      </c>
      <c r="E606">
        <v>1</v>
      </c>
      <c r="F606">
        <v>539.25</v>
      </c>
      <c r="G606">
        <v>8.9999999999999998E-4</v>
      </c>
      <c r="H606" t="s">
        <v>2203</v>
      </c>
    </row>
    <row r="607" spans="1:8">
      <c r="A607" t="s">
        <v>4387</v>
      </c>
      <c r="B607" t="s">
        <v>5496</v>
      </c>
      <c r="C607">
        <v>10</v>
      </c>
      <c r="D607">
        <v>40</v>
      </c>
      <c r="E607">
        <v>1</v>
      </c>
      <c r="F607">
        <v>539.25</v>
      </c>
      <c r="G607">
        <v>8.9999999999999998E-4</v>
      </c>
      <c r="H607" t="s">
        <v>2203</v>
      </c>
    </row>
    <row r="608" spans="1:8">
      <c r="A608" t="s">
        <v>410</v>
      </c>
      <c r="B608" t="s">
        <v>2588</v>
      </c>
      <c r="C608">
        <v>20</v>
      </c>
      <c r="D608">
        <v>1</v>
      </c>
      <c r="E608">
        <v>1</v>
      </c>
      <c r="F608">
        <v>135</v>
      </c>
      <c r="G608">
        <v>7.3079999999999998E-4</v>
      </c>
      <c r="H608" t="s">
        <v>2203</v>
      </c>
    </row>
    <row r="609" spans="1:8">
      <c r="A609" t="s">
        <v>5502</v>
      </c>
      <c r="B609" t="s">
        <v>5501</v>
      </c>
      <c r="C609">
        <v>100</v>
      </c>
      <c r="D609">
        <v>1</v>
      </c>
      <c r="E609">
        <v>1</v>
      </c>
      <c r="F609">
        <v>1</v>
      </c>
      <c r="G609">
        <v>0</v>
      </c>
      <c r="H609" t="s">
        <v>2197</v>
      </c>
    </row>
    <row r="610" spans="1:8">
      <c r="A610" t="s">
        <v>411</v>
      </c>
      <c r="B610" t="s">
        <v>2590</v>
      </c>
      <c r="C610">
        <v>1</v>
      </c>
      <c r="D610">
        <v>1</v>
      </c>
      <c r="E610">
        <v>1</v>
      </c>
      <c r="F610">
        <v>539.25</v>
      </c>
      <c r="G610">
        <v>8.9999999999999998E-4</v>
      </c>
      <c r="H610" t="s">
        <v>2221</v>
      </c>
    </row>
    <row r="611" spans="1:8">
      <c r="A611" t="s">
        <v>5504</v>
      </c>
      <c r="B611" t="s">
        <v>5503</v>
      </c>
      <c r="C611">
        <v>20</v>
      </c>
      <c r="D611">
        <v>1</v>
      </c>
      <c r="E611">
        <v>1</v>
      </c>
      <c r="F611">
        <v>726</v>
      </c>
      <c r="G611">
        <v>9.1124999999999995E-4</v>
      </c>
      <c r="H611" t="s">
        <v>2197</v>
      </c>
    </row>
    <row r="612" spans="1:8">
      <c r="A612" t="s">
        <v>5567</v>
      </c>
      <c r="B612" t="s">
        <v>5566</v>
      </c>
      <c r="C612">
        <v>12</v>
      </c>
      <c r="D612">
        <v>15</v>
      </c>
      <c r="E612">
        <v>1</v>
      </c>
      <c r="F612">
        <v>1</v>
      </c>
      <c r="G612">
        <v>0</v>
      </c>
      <c r="H612" t="s">
        <v>2203</v>
      </c>
    </row>
    <row r="613" spans="1:8">
      <c r="A613" t="s">
        <v>4412</v>
      </c>
      <c r="B613" t="s">
        <v>5554</v>
      </c>
      <c r="C613">
        <v>20</v>
      </c>
      <c r="D613">
        <v>12</v>
      </c>
      <c r="E613">
        <v>1</v>
      </c>
      <c r="F613">
        <v>23.5</v>
      </c>
      <c r="G613">
        <v>1.295E-4</v>
      </c>
      <c r="H613" t="s">
        <v>2203</v>
      </c>
    </row>
    <row r="614" spans="1:8">
      <c r="A614" t="s">
        <v>412</v>
      </c>
      <c r="B614" t="s">
        <v>2592</v>
      </c>
      <c r="C614">
        <v>12</v>
      </c>
      <c r="D614">
        <v>15</v>
      </c>
      <c r="E614">
        <v>1</v>
      </c>
      <c r="F614">
        <v>21.1</v>
      </c>
      <c r="G614">
        <v>1.339E-4</v>
      </c>
      <c r="H614" t="s">
        <v>2203</v>
      </c>
    </row>
    <row r="615" spans="1:8">
      <c r="A615" t="s">
        <v>4409</v>
      </c>
      <c r="B615" t="s">
        <v>5546</v>
      </c>
      <c r="C615">
        <v>12</v>
      </c>
      <c r="D615">
        <v>15</v>
      </c>
      <c r="E615">
        <v>1</v>
      </c>
      <c r="F615">
        <v>10</v>
      </c>
      <c r="G615">
        <v>9.1124999999999995E-4</v>
      </c>
      <c r="H615" t="s">
        <v>2203</v>
      </c>
    </row>
    <row r="616" spans="1:8">
      <c r="A616" t="s">
        <v>5551</v>
      </c>
      <c r="B616" t="s">
        <v>5550</v>
      </c>
      <c r="C616">
        <v>12</v>
      </c>
      <c r="D616">
        <v>15</v>
      </c>
      <c r="E616">
        <v>1</v>
      </c>
      <c r="F616">
        <v>20</v>
      </c>
      <c r="G616">
        <v>0</v>
      </c>
      <c r="H616" t="s">
        <v>2203</v>
      </c>
    </row>
    <row r="617" spans="1:8">
      <c r="A617" t="s">
        <v>4396</v>
      </c>
      <c r="B617" t="s">
        <v>5505</v>
      </c>
      <c r="C617">
        <v>20</v>
      </c>
      <c r="D617">
        <v>12</v>
      </c>
      <c r="E617">
        <v>1</v>
      </c>
      <c r="F617">
        <v>726</v>
      </c>
      <c r="G617">
        <v>9.1124999999999995E-4</v>
      </c>
      <c r="H617" t="s">
        <v>2203</v>
      </c>
    </row>
    <row r="618" spans="1:8">
      <c r="A618" t="s">
        <v>5553</v>
      </c>
      <c r="B618" t="s">
        <v>5552</v>
      </c>
      <c r="C618">
        <v>20</v>
      </c>
      <c r="D618">
        <v>24</v>
      </c>
      <c r="E618">
        <v>1</v>
      </c>
      <c r="F618">
        <v>10</v>
      </c>
      <c r="G618">
        <v>0</v>
      </c>
      <c r="H618" t="s">
        <v>2203</v>
      </c>
    </row>
    <row r="619" spans="1:8">
      <c r="A619" t="s">
        <v>5538</v>
      </c>
      <c r="B619" t="s">
        <v>5537</v>
      </c>
      <c r="C619">
        <v>50</v>
      </c>
      <c r="D619">
        <v>1</v>
      </c>
      <c r="E619">
        <v>1</v>
      </c>
      <c r="F619">
        <v>726</v>
      </c>
      <c r="G619">
        <v>9.1124999999999995E-4</v>
      </c>
      <c r="H619" t="s">
        <v>2203</v>
      </c>
    </row>
    <row r="620" spans="1:8">
      <c r="A620" t="s">
        <v>5507</v>
      </c>
      <c r="B620" t="s">
        <v>5506</v>
      </c>
      <c r="C620">
        <v>6</v>
      </c>
      <c r="D620">
        <v>10</v>
      </c>
      <c r="E620">
        <v>1</v>
      </c>
      <c r="F620">
        <v>726</v>
      </c>
      <c r="G620">
        <v>9.1124999999999995E-4</v>
      </c>
      <c r="H620" t="s">
        <v>2203</v>
      </c>
    </row>
    <row r="621" spans="1:8">
      <c r="A621" t="s">
        <v>5509</v>
      </c>
      <c r="B621" t="s">
        <v>5508</v>
      </c>
      <c r="C621">
        <v>10</v>
      </c>
      <c r="D621">
        <v>1</v>
      </c>
      <c r="E621">
        <v>1</v>
      </c>
      <c r="F621">
        <v>726</v>
      </c>
      <c r="G621">
        <v>9.1124999999999995E-4</v>
      </c>
      <c r="H621" t="s">
        <v>2203</v>
      </c>
    </row>
    <row r="622" spans="1:8">
      <c r="A622" t="s">
        <v>4410</v>
      </c>
      <c r="B622" t="s">
        <v>5535</v>
      </c>
      <c r="C622">
        <v>20</v>
      </c>
      <c r="D622">
        <v>12</v>
      </c>
      <c r="E622">
        <v>1</v>
      </c>
      <c r="F622">
        <v>726</v>
      </c>
      <c r="G622">
        <v>9.1124999999999995E-4</v>
      </c>
      <c r="H622" t="s">
        <v>2203</v>
      </c>
    </row>
    <row r="623" spans="1:8">
      <c r="A623" t="s">
        <v>4398</v>
      </c>
      <c r="B623" t="s">
        <v>5529</v>
      </c>
      <c r="C623">
        <v>20</v>
      </c>
      <c r="D623">
        <v>20</v>
      </c>
      <c r="E623">
        <v>1</v>
      </c>
      <c r="F623">
        <v>726</v>
      </c>
      <c r="G623">
        <v>9.1124999999999995E-4</v>
      </c>
      <c r="H623" t="s">
        <v>2203</v>
      </c>
    </row>
    <row r="624" spans="1:8">
      <c r="A624" t="s">
        <v>4411</v>
      </c>
      <c r="B624" t="s">
        <v>5561</v>
      </c>
      <c r="C624">
        <v>20</v>
      </c>
      <c r="D624">
        <v>12</v>
      </c>
      <c r="E624">
        <v>1</v>
      </c>
      <c r="F624">
        <v>23.5</v>
      </c>
      <c r="G624">
        <v>1.295E-4</v>
      </c>
      <c r="H624" t="s">
        <v>2203</v>
      </c>
    </row>
    <row r="625" spans="1:8">
      <c r="A625" t="s">
        <v>5531</v>
      </c>
      <c r="B625" t="s">
        <v>5530</v>
      </c>
      <c r="C625">
        <v>20</v>
      </c>
      <c r="D625">
        <v>20</v>
      </c>
      <c r="E625">
        <v>1</v>
      </c>
      <c r="F625">
        <v>726</v>
      </c>
      <c r="G625">
        <v>9.1124999999999995E-4</v>
      </c>
      <c r="H625" t="s">
        <v>2203</v>
      </c>
    </row>
    <row r="626" spans="1:8">
      <c r="A626" t="s">
        <v>413</v>
      </c>
      <c r="B626" t="s">
        <v>2595</v>
      </c>
      <c r="C626">
        <v>20</v>
      </c>
      <c r="D626">
        <v>12</v>
      </c>
      <c r="E626">
        <v>1</v>
      </c>
      <c r="F626">
        <v>21.7</v>
      </c>
      <c r="G626">
        <v>1.2430000000000001E-4</v>
      </c>
      <c r="H626" t="s">
        <v>2203</v>
      </c>
    </row>
    <row r="627" spans="1:8">
      <c r="A627" t="s">
        <v>5581</v>
      </c>
      <c r="B627" t="s">
        <v>5580</v>
      </c>
      <c r="C627">
        <v>12</v>
      </c>
      <c r="D627">
        <v>15</v>
      </c>
      <c r="E627">
        <v>1</v>
      </c>
      <c r="F627">
        <v>21.1</v>
      </c>
      <c r="G627">
        <v>1.339E-4</v>
      </c>
      <c r="H627" t="s">
        <v>2203</v>
      </c>
    </row>
    <row r="628" spans="1:8">
      <c r="A628" t="s">
        <v>5565</v>
      </c>
      <c r="B628" t="s">
        <v>5564</v>
      </c>
      <c r="C628">
        <v>12</v>
      </c>
      <c r="D628">
        <v>15</v>
      </c>
      <c r="E628">
        <v>1</v>
      </c>
      <c r="F628">
        <v>20</v>
      </c>
      <c r="G628" s="4">
        <v>8.4099999999999998E-5</v>
      </c>
      <c r="H628" t="s">
        <v>2203</v>
      </c>
    </row>
    <row r="629" spans="1:8">
      <c r="A629" t="s">
        <v>4400</v>
      </c>
      <c r="B629" t="s">
        <v>5527</v>
      </c>
      <c r="C629">
        <v>20</v>
      </c>
      <c r="D629">
        <v>12</v>
      </c>
      <c r="E629">
        <v>1</v>
      </c>
      <c r="F629">
        <v>23.5</v>
      </c>
      <c r="G629">
        <v>1.295E-4</v>
      </c>
      <c r="H629" t="s">
        <v>2203</v>
      </c>
    </row>
    <row r="630" spans="1:8">
      <c r="A630" t="s">
        <v>9383</v>
      </c>
      <c r="B630" t="s">
        <v>5510</v>
      </c>
      <c r="C630">
        <v>20</v>
      </c>
      <c r="D630">
        <v>12</v>
      </c>
      <c r="E630">
        <v>1</v>
      </c>
      <c r="F630">
        <v>726</v>
      </c>
      <c r="G630">
        <v>9.1124999999999995E-4</v>
      </c>
      <c r="H630" t="s">
        <v>2203</v>
      </c>
    </row>
    <row r="631" spans="1:8">
      <c r="A631" t="s">
        <v>4390</v>
      </c>
      <c r="B631" t="s">
        <v>5542</v>
      </c>
      <c r="C631">
        <v>6</v>
      </c>
      <c r="D631">
        <v>15</v>
      </c>
      <c r="E631">
        <v>1</v>
      </c>
      <c r="F631">
        <v>726</v>
      </c>
      <c r="G631">
        <v>9.1124999999999995E-4</v>
      </c>
      <c r="H631" t="s">
        <v>2203</v>
      </c>
    </row>
    <row r="632" spans="1:8">
      <c r="A632" t="s">
        <v>414</v>
      </c>
      <c r="B632" t="s">
        <v>2597</v>
      </c>
      <c r="C632">
        <v>12</v>
      </c>
      <c r="D632">
        <v>15</v>
      </c>
      <c r="E632">
        <v>1</v>
      </c>
      <c r="F632">
        <v>20.8</v>
      </c>
      <c r="G632">
        <v>1.339E-4</v>
      </c>
      <c r="H632" t="s">
        <v>2203</v>
      </c>
    </row>
    <row r="633" spans="1:8">
      <c r="A633" t="s">
        <v>9384</v>
      </c>
      <c r="B633" t="s">
        <v>5543</v>
      </c>
      <c r="C633">
        <v>12</v>
      </c>
      <c r="D633">
        <v>15</v>
      </c>
      <c r="E633">
        <v>1</v>
      </c>
      <c r="F633">
        <v>10</v>
      </c>
      <c r="G633">
        <v>9.1124999999999995E-4</v>
      </c>
      <c r="H633" t="s">
        <v>2203</v>
      </c>
    </row>
    <row r="634" spans="1:8">
      <c r="A634" t="s">
        <v>415</v>
      </c>
      <c r="B634" t="s">
        <v>2600</v>
      </c>
      <c r="C634">
        <v>1</v>
      </c>
      <c r="D634">
        <v>1</v>
      </c>
      <c r="E634">
        <v>1</v>
      </c>
      <c r="F634">
        <v>1</v>
      </c>
      <c r="G634">
        <v>0</v>
      </c>
      <c r="H634" t="s">
        <v>2203</v>
      </c>
    </row>
    <row r="635" spans="1:8">
      <c r="A635" t="s">
        <v>5579</v>
      </c>
      <c r="B635" t="s">
        <v>5578</v>
      </c>
      <c r="C635">
        <v>1</v>
      </c>
      <c r="D635">
        <v>1</v>
      </c>
      <c r="E635">
        <v>1</v>
      </c>
      <c r="F635">
        <v>1</v>
      </c>
      <c r="G635">
        <v>0</v>
      </c>
      <c r="H635" t="s">
        <v>2203</v>
      </c>
    </row>
    <row r="636" spans="1:8">
      <c r="A636" t="s">
        <v>5575</v>
      </c>
      <c r="B636" t="s">
        <v>5574</v>
      </c>
      <c r="C636">
        <v>1</v>
      </c>
      <c r="D636">
        <v>1</v>
      </c>
      <c r="E636">
        <v>1</v>
      </c>
      <c r="F636">
        <v>1</v>
      </c>
      <c r="G636">
        <v>0</v>
      </c>
      <c r="H636" t="s">
        <v>2203</v>
      </c>
    </row>
    <row r="637" spans="1:8">
      <c r="A637" t="s">
        <v>5548</v>
      </c>
      <c r="B637" t="s">
        <v>5547</v>
      </c>
      <c r="C637">
        <v>12</v>
      </c>
      <c r="D637">
        <v>15</v>
      </c>
      <c r="E637">
        <v>1</v>
      </c>
      <c r="F637">
        <v>726</v>
      </c>
      <c r="G637">
        <v>9.1124999999999995E-4</v>
      </c>
      <c r="H637" t="s">
        <v>2203</v>
      </c>
    </row>
    <row r="638" spans="1:8">
      <c r="A638" t="s">
        <v>4403</v>
      </c>
      <c r="B638" t="s">
        <v>5511</v>
      </c>
      <c r="C638">
        <v>20</v>
      </c>
      <c r="D638">
        <v>12</v>
      </c>
      <c r="E638">
        <v>1</v>
      </c>
      <c r="F638">
        <v>21.7</v>
      </c>
      <c r="G638">
        <v>1.2430000000000001E-4</v>
      </c>
      <c r="H638" t="s">
        <v>2203</v>
      </c>
    </row>
    <row r="639" spans="1:8">
      <c r="A639" t="s">
        <v>416</v>
      </c>
      <c r="B639" t="s">
        <v>2601</v>
      </c>
      <c r="C639">
        <v>20</v>
      </c>
      <c r="D639">
        <v>12</v>
      </c>
      <c r="E639">
        <v>1</v>
      </c>
      <c r="F639">
        <v>21.7</v>
      </c>
      <c r="G639">
        <v>1.2430000000000001E-4</v>
      </c>
      <c r="H639" t="s">
        <v>2203</v>
      </c>
    </row>
    <row r="640" spans="1:8">
      <c r="A640" t="s">
        <v>4402</v>
      </c>
      <c r="B640" t="s">
        <v>5512</v>
      </c>
      <c r="C640">
        <v>10</v>
      </c>
      <c r="D640">
        <v>1</v>
      </c>
      <c r="E640">
        <v>1</v>
      </c>
      <c r="F640">
        <v>726</v>
      </c>
      <c r="G640">
        <v>9.1124999999999995E-4</v>
      </c>
      <c r="H640" t="s">
        <v>2203</v>
      </c>
    </row>
    <row r="641" spans="1:8">
      <c r="A641" t="s">
        <v>4405</v>
      </c>
      <c r="B641" t="s">
        <v>5513</v>
      </c>
      <c r="C641">
        <v>20</v>
      </c>
      <c r="D641">
        <v>12</v>
      </c>
      <c r="E641">
        <v>1</v>
      </c>
      <c r="F641">
        <v>24</v>
      </c>
      <c r="G641">
        <v>1.348E-4</v>
      </c>
      <c r="H641" t="s">
        <v>2203</v>
      </c>
    </row>
    <row r="642" spans="1:8">
      <c r="A642" t="s">
        <v>417</v>
      </c>
      <c r="B642" t="s">
        <v>2603</v>
      </c>
      <c r="C642">
        <v>20</v>
      </c>
      <c r="D642">
        <v>12</v>
      </c>
      <c r="E642">
        <v>1</v>
      </c>
      <c r="F642">
        <v>24</v>
      </c>
      <c r="G642">
        <v>3.1480000000000001E-4</v>
      </c>
      <c r="H642" t="s">
        <v>2203</v>
      </c>
    </row>
    <row r="643" spans="1:8">
      <c r="A643" t="s">
        <v>4391</v>
      </c>
      <c r="B643" t="s">
        <v>5514</v>
      </c>
      <c r="C643">
        <v>10</v>
      </c>
      <c r="D643">
        <v>1</v>
      </c>
      <c r="E643">
        <v>1</v>
      </c>
      <c r="F643">
        <v>726</v>
      </c>
      <c r="G643">
        <v>9.1124999999999995E-4</v>
      </c>
      <c r="H643" t="s">
        <v>2203</v>
      </c>
    </row>
    <row r="644" spans="1:8">
      <c r="A644" t="s">
        <v>4394</v>
      </c>
      <c r="B644" t="s">
        <v>5515</v>
      </c>
      <c r="C644">
        <v>10</v>
      </c>
      <c r="D644">
        <v>1</v>
      </c>
      <c r="E644">
        <v>1</v>
      </c>
      <c r="F644">
        <v>726</v>
      </c>
      <c r="G644">
        <v>9.1124999999999995E-4</v>
      </c>
      <c r="H644" t="s">
        <v>2203</v>
      </c>
    </row>
    <row r="645" spans="1:8">
      <c r="A645" t="s">
        <v>4392</v>
      </c>
      <c r="B645" t="s">
        <v>5516</v>
      </c>
      <c r="C645">
        <v>6</v>
      </c>
      <c r="D645">
        <v>10</v>
      </c>
      <c r="E645">
        <v>1</v>
      </c>
      <c r="F645">
        <v>726</v>
      </c>
      <c r="G645">
        <v>9.1124999999999995E-4</v>
      </c>
      <c r="H645" t="s">
        <v>2203</v>
      </c>
    </row>
    <row r="646" spans="1:8">
      <c r="A646" t="s">
        <v>418</v>
      </c>
      <c r="B646" t="s">
        <v>2605</v>
      </c>
      <c r="C646">
        <v>5</v>
      </c>
      <c r="D646">
        <v>30</v>
      </c>
      <c r="E646">
        <v>1</v>
      </c>
      <c r="F646">
        <v>1</v>
      </c>
      <c r="G646">
        <v>0</v>
      </c>
      <c r="H646" t="s">
        <v>2203</v>
      </c>
    </row>
    <row r="647" spans="1:8">
      <c r="A647" t="s">
        <v>5518</v>
      </c>
      <c r="B647" t="s">
        <v>5517</v>
      </c>
      <c r="C647">
        <v>6</v>
      </c>
      <c r="D647">
        <v>10</v>
      </c>
      <c r="E647">
        <v>1</v>
      </c>
      <c r="F647">
        <v>726</v>
      </c>
      <c r="G647">
        <v>9.1124999999999995E-4</v>
      </c>
      <c r="H647" t="s">
        <v>2203</v>
      </c>
    </row>
    <row r="648" spans="1:8">
      <c r="A648" t="s">
        <v>5569</v>
      </c>
      <c r="B648" t="s">
        <v>5568</v>
      </c>
      <c r="C648">
        <v>12</v>
      </c>
      <c r="D648">
        <v>15</v>
      </c>
      <c r="E648">
        <v>1</v>
      </c>
      <c r="F648">
        <v>1</v>
      </c>
      <c r="G648">
        <v>0</v>
      </c>
      <c r="H648" t="s">
        <v>2203</v>
      </c>
    </row>
    <row r="649" spans="1:8">
      <c r="A649" t="s">
        <v>5557</v>
      </c>
      <c r="B649" t="s">
        <v>5556</v>
      </c>
      <c r="C649">
        <v>1</v>
      </c>
      <c r="D649">
        <v>1</v>
      </c>
      <c r="E649">
        <v>1</v>
      </c>
      <c r="F649">
        <v>10</v>
      </c>
      <c r="G649">
        <v>0</v>
      </c>
      <c r="H649" t="s">
        <v>2203</v>
      </c>
    </row>
    <row r="650" spans="1:8">
      <c r="A650" t="s">
        <v>4395</v>
      </c>
      <c r="B650" t="s">
        <v>5555</v>
      </c>
      <c r="C650">
        <v>10</v>
      </c>
      <c r="D650">
        <v>1</v>
      </c>
      <c r="E650">
        <v>1</v>
      </c>
      <c r="F650">
        <v>726</v>
      </c>
      <c r="G650">
        <v>9.1124999999999995E-4</v>
      </c>
      <c r="H650" t="s">
        <v>2203</v>
      </c>
    </row>
    <row r="651" spans="1:8">
      <c r="A651" t="s">
        <v>419</v>
      </c>
      <c r="B651" t="s">
        <v>2606</v>
      </c>
      <c r="C651">
        <v>10</v>
      </c>
      <c r="D651">
        <v>25</v>
      </c>
      <c r="E651">
        <v>1</v>
      </c>
      <c r="F651">
        <v>20.399999999999999</v>
      </c>
      <c r="G651">
        <v>1E-4</v>
      </c>
      <c r="H651" t="s">
        <v>2203</v>
      </c>
    </row>
    <row r="652" spans="1:8">
      <c r="A652" t="s">
        <v>5534</v>
      </c>
      <c r="B652" t="s">
        <v>5533</v>
      </c>
      <c r="C652">
        <v>10</v>
      </c>
      <c r="D652">
        <v>1</v>
      </c>
      <c r="E652">
        <v>1</v>
      </c>
      <c r="F652">
        <v>726</v>
      </c>
      <c r="G652">
        <v>9.1124999999999995E-4</v>
      </c>
      <c r="H652" t="s">
        <v>2203</v>
      </c>
    </row>
    <row r="653" spans="1:8">
      <c r="A653" t="s">
        <v>4414</v>
      </c>
      <c r="B653" t="s">
        <v>5558</v>
      </c>
      <c r="C653">
        <v>12</v>
      </c>
      <c r="D653">
        <v>15</v>
      </c>
      <c r="E653">
        <v>1</v>
      </c>
      <c r="F653">
        <v>20.277000000000001</v>
      </c>
      <c r="G653" s="4">
        <v>8.4077770000000001E-5</v>
      </c>
      <c r="H653" t="s">
        <v>2203</v>
      </c>
    </row>
    <row r="654" spans="1:8">
      <c r="A654" t="s">
        <v>5520</v>
      </c>
      <c r="B654" t="s">
        <v>5519</v>
      </c>
      <c r="C654">
        <v>10</v>
      </c>
      <c r="D654">
        <v>1</v>
      </c>
      <c r="E654">
        <v>1</v>
      </c>
      <c r="F654">
        <v>726</v>
      </c>
      <c r="G654">
        <v>9.1124999999999995E-4</v>
      </c>
      <c r="H654" t="s">
        <v>2203</v>
      </c>
    </row>
    <row r="655" spans="1:8">
      <c r="A655" t="s">
        <v>5563</v>
      </c>
      <c r="B655" t="s">
        <v>5562</v>
      </c>
      <c r="C655">
        <v>20</v>
      </c>
      <c r="D655">
        <v>12</v>
      </c>
      <c r="E655">
        <v>1</v>
      </c>
      <c r="F655">
        <v>1</v>
      </c>
      <c r="G655">
        <v>0</v>
      </c>
      <c r="H655" t="s">
        <v>2203</v>
      </c>
    </row>
    <row r="656" spans="1:8">
      <c r="A656" t="s">
        <v>420</v>
      </c>
      <c r="B656" t="s">
        <v>2608</v>
      </c>
      <c r="C656">
        <v>5</v>
      </c>
      <c r="D656">
        <v>30</v>
      </c>
      <c r="E656">
        <v>1</v>
      </c>
      <c r="F656">
        <v>1</v>
      </c>
      <c r="G656">
        <v>0</v>
      </c>
      <c r="H656" t="s">
        <v>2203</v>
      </c>
    </row>
    <row r="657" spans="1:8">
      <c r="A657" t="s">
        <v>421</v>
      </c>
      <c r="B657" t="s">
        <v>2609</v>
      </c>
      <c r="C657">
        <v>5</v>
      </c>
      <c r="D657">
        <v>30</v>
      </c>
      <c r="E657">
        <v>1</v>
      </c>
      <c r="F657">
        <v>1</v>
      </c>
      <c r="G657">
        <v>0</v>
      </c>
      <c r="H657" t="s">
        <v>2203</v>
      </c>
    </row>
    <row r="658" spans="1:8">
      <c r="A658" t="s">
        <v>5545</v>
      </c>
      <c r="B658" t="s">
        <v>5544</v>
      </c>
      <c r="C658">
        <v>10</v>
      </c>
      <c r="D658">
        <v>1</v>
      </c>
      <c r="E658">
        <v>1</v>
      </c>
      <c r="F658">
        <v>726</v>
      </c>
      <c r="G658">
        <v>9.1124999999999995E-4</v>
      </c>
      <c r="H658" t="s">
        <v>2203</v>
      </c>
    </row>
    <row r="659" spans="1:8">
      <c r="A659" t="s">
        <v>4404</v>
      </c>
      <c r="B659" t="s">
        <v>5549</v>
      </c>
      <c r="C659">
        <v>20</v>
      </c>
      <c r="D659">
        <v>12</v>
      </c>
      <c r="E659">
        <v>1</v>
      </c>
      <c r="F659">
        <v>19.166</v>
      </c>
      <c r="G659">
        <v>1.2083333E-4</v>
      </c>
      <c r="H659" t="s">
        <v>2203</v>
      </c>
    </row>
    <row r="660" spans="1:8">
      <c r="A660" t="s">
        <v>4399</v>
      </c>
      <c r="B660" t="s">
        <v>5536</v>
      </c>
      <c r="C660">
        <v>20</v>
      </c>
      <c r="D660">
        <v>13</v>
      </c>
      <c r="E660">
        <v>1</v>
      </c>
      <c r="F660">
        <v>726</v>
      </c>
      <c r="G660">
        <v>9.1124999999999995E-4</v>
      </c>
      <c r="H660" t="s">
        <v>2203</v>
      </c>
    </row>
    <row r="661" spans="1:8">
      <c r="A661" t="s">
        <v>5541</v>
      </c>
      <c r="B661" t="s">
        <v>5540</v>
      </c>
      <c r="C661">
        <v>20</v>
      </c>
      <c r="D661">
        <v>20</v>
      </c>
      <c r="E661">
        <v>1</v>
      </c>
      <c r="F661">
        <v>726</v>
      </c>
      <c r="G661">
        <v>9.1124999999999995E-4</v>
      </c>
      <c r="H661" t="s">
        <v>2203</v>
      </c>
    </row>
    <row r="662" spans="1:8">
      <c r="A662" t="s">
        <v>4393</v>
      </c>
      <c r="B662" t="s">
        <v>5521</v>
      </c>
      <c r="C662">
        <v>1</v>
      </c>
      <c r="D662">
        <v>1</v>
      </c>
      <c r="E662">
        <v>1</v>
      </c>
      <c r="F662">
        <v>726</v>
      </c>
      <c r="G662">
        <v>9.1124999999999995E-4</v>
      </c>
      <c r="H662" t="s">
        <v>2203</v>
      </c>
    </row>
    <row r="663" spans="1:8">
      <c r="A663" t="s">
        <v>5571</v>
      </c>
      <c r="B663" t="s">
        <v>5570</v>
      </c>
      <c r="C663">
        <v>1</v>
      </c>
      <c r="D663">
        <v>1</v>
      </c>
      <c r="E663">
        <v>1</v>
      </c>
      <c r="F663">
        <v>1</v>
      </c>
      <c r="G663">
        <v>0</v>
      </c>
      <c r="H663" t="s">
        <v>2203</v>
      </c>
    </row>
    <row r="664" spans="1:8">
      <c r="A664" t="s">
        <v>422</v>
      </c>
      <c r="B664" t="s">
        <v>2610</v>
      </c>
      <c r="C664">
        <v>12</v>
      </c>
      <c r="D664">
        <v>15</v>
      </c>
      <c r="E664">
        <v>1</v>
      </c>
      <c r="F664">
        <v>21.1</v>
      </c>
      <c r="G664">
        <v>1.3389999999999999E-3</v>
      </c>
      <c r="H664" t="s">
        <v>2203</v>
      </c>
    </row>
    <row r="665" spans="1:8">
      <c r="A665" t="s">
        <v>4401</v>
      </c>
      <c r="B665" t="s">
        <v>5573</v>
      </c>
      <c r="C665">
        <v>20</v>
      </c>
      <c r="D665">
        <v>1</v>
      </c>
      <c r="E665">
        <v>1</v>
      </c>
      <c r="F665">
        <v>21.7</v>
      </c>
      <c r="G665">
        <v>1.2430000000000001E-4</v>
      </c>
      <c r="H665" t="s">
        <v>2203</v>
      </c>
    </row>
    <row r="666" spans="1:8">
      <c r="A666" t="s">
        <v>4413</v>
      </c>
      <c r="B666" t="s">
        <v>5522</v>
      </c>
      <c r="C666">
        <v>20</v>
      </c>
      <c r="D666">
        <v>24</v>
      </c>
      <c r="E666">
        <v>1</v>
      </c>
      <c r="F666">
        <v>10.199999999999999</v>
      </c>
      <c r="G666" s="4">
        <v>6.2199999999999994E-5</v>
      </c>
      <c r="H666" t="s">
        <v>2203</v>
      </c>
    </row>
    <row r="667" spans="1:8">
      <c r="A667" t="s">
        <v>2614</v>
      </c>
      <c r="B667" t="s">
        <v>5572</v>
      </c>
      <c r="C667">
        <v>1</v>
      </c>
      <c r="D667">
        <v>1</v>
      </c>
      <c r="E667">
        <v>1</v>
      </c>
      <c r="F667">
        <v>1</v>
      </c>
      <c r="G667">
        <v>0</v>
      </c>
      <c r="H667" t="s">
        <v>2493</v>
      </c>
    </row>
    <row r="668" spans="1:8">
      <c r="A668" t="s">
        <v>423</v>
      </c>
      <c r="B668" t="s">
        <v>2613</v>
      </c>
      <c r="C668">
        <v>12</v>
      </c>
      <c r="D668">
        <v>15</v>
      </c>
      <c r="E668">
        <v>1</v>
      </c>
      <c r="F668">
        <v>21.1</v>
      </c>
      <c r="G668">
        <v>1.339E-4</v>
      </c>
      <c r="H668" t="s">
        <v>2203</v>
      </c>
    </row>
    <row r="669" spans="1:8">
      <c r="A669" t="s">
        <v>5577</v>
      </c>
      <c r="B669" t="s">
        <v>5576</v>
      </c>
      <c r="C669">
        <v>1</v>
      </c>
      <c r="D669">
        <v>1</v>
      </c>
      <c r="E669">
        <v>1</v>
      </c>
      <c r="F669">
        <v>1</v>
      </c>
      <c r="G669">
        <v>0</v>
      </c>
      <c r="H669" t="s">
        <v>2203</v>
      </c>
    </row>
    <row r="670" spans="1:8">
      <c r="A670" t="s">
        <v>4407</v>
      </c>
      <c r="B670" t="s">
        <v>5523</v>
      </c>
      <c r="C670">
        <v>10</v>
      </c>
      <c r="D670">
        <v>1</v>
      </c>
      <c r="E670">
        <v>1</v>
      </c>
      <c r="F670">
        <v>726</v>
      </c>
      <c r="G670">
        <v>9.1124999999999995E-4</v>
      </c>
      <c r="H670" t="s">
        <v>2203</v>
      </c>
    </row>
    <row r="671" spans="1:8">
      <c r="A671" t="s">
        <v>5525</v>
      </c>
      <c r="B671" t="s">
        <v>5524</v>
      </c>
      <c r="C671">
        <v>10</v>
      </c>
      <c r="D671">
        <v>1</v>
      </c>
      <c r="E671">
        <v>1</v>
      </c>
      <c r="F671">
        <v>726</v>
      </c>
      <c r="G671">
        <v>9.1124999999999995E-4</v>
      </c>
      <c r="H671" t="s">
        <v>2203</v>
      </c>
    </row>
    <row r="672" spans="1:8">
      <c r="A672" t="s">
        <v>424</v>
      </c>
      <c r="B672" t="s">
        <v>5532</v>
      </c>
      <c r="C672">
        <v>10</v>
      </c>
      <c r="D672">
        <v>1</v>
      </c>
      <c r="E672">
        <v>1</v>
      </c>
      <c r="F672">
        <v>726</v>
      </c>
      <c r="G672">
        <v>9.1124999999999995E-4</v>
      </c>
      <c r="H672" t="s">
        <v>2203</v>
      </c>
    </row>
    <row r="673" spans="1:8">
      <c r="A673" t="s">
        <v>5560</v>
      </c>
      <c r="B673" t="s">
        <v>5559</v>
      </c>
      <c r="C673">
        <v>10</v>
      </c>
      <c r="D673">
        <v>1</v>
      </c>
      <c r="E673">
        <v>1</v>
      </c>
      <c r="F673">
        <v>1</v>
      </c>
      <c r="G673">
        <v>0</v>
      </c>
      <c r="H673" t="s">
        <v>2203</v>
      </c>
    </row>
    <row r="674" spans="1:8">
      <c r="A674" t="s">
        <v>4406</v>
      </c>
      <c r="B674" t="s">
        <v>5528</v>
      </c>
      <c r="C674">
        <v>10</v>
      </c>
      <c r="D674">
        <v>1</v>
      </c>
      <c r="E674">
        <v>1</v>
      </c>
      <c r="F674">
        <v>726</v>
      </c>
      <c r="G674">
        <v>9.1124999999999995E-4</v>
      </c>
      <c r="H674" t="s">
        <v>2203</v>
      </c>
    </row>
    <row r="675" spans="1:8">
      <c r="A675" t="s">
        <v>4397</v>
      </c>
      <c r="B675" t="s">
        <v>5526</v>
      </c>
      <c r="C675">
        <v>10</v>
      </c>
      <c r="D675">
        <v>1</v>
      </c>
      <c r="E675">
        <v>1</v>
      </c>
      <c r="F675">
        <v>726</v>
      </c>
      <c r="G675">
        <v>9.1124999999999995E-4</v>
      </c>
      <c r="H675" t="s">
        <v>2203</v>
      </c>
    </row>
    <row r="676" spans="1:8">
      <c r="A676" t="s">
        <v>4408</v>
      </c>
      <c r="B676" t="s">
        <v>5539</v>
      </c>
      <c r="C676">
        <v>10</v>
      </c>
      <c r="D676">
        <v>1</v>
      </c>
      <c r="E676">
        <v>1</v>
      </c>
      <c r="F676">
        <v>726</v>
      </c>
      <c r="G676">
        <v>9.1124999999999995E-4</v>
      </c>
      <c r="H676" t="s">
        <v>2203</v>
      </c>
    </row>
    <row r="677" spans="1:8">
      <c r="A677" t="s">
        <v>425</v>
      </c>
      <c r="B677" t="s">
        <v>2615</v>
      </c>
      <c r="C677">
        <v>12</v>
      </c>
      <c r="D677">
        <v>15</v>
      </c>
      <c r="E677">
        <v>1</v>
      </c>
      <c r="F677">
        <v>1</v>
      </c>
      <c r="G677">
        <v>0</v>
      </c>
      <c r="H677" t="s">
        <v>2203</v>
      </c>
    </row>
    <row r="678" spans="1:8">
      <c r="A678" t="s">
        <v>427</v>
      </c>
      <c r="B678" t="s">
        <v>2617</v>
      </c>
      <c r="C678">
        <v>24</v>
      </c>
      <c r="D678">
        <v>1</v>
      </c>
      <c r="E678">
        <v>1</v>
      </c>
      <c r="F678">
        <v>345.8</v>
      </c>
      <c r="G678" s="4">
        <v>8.7100000000000003E-5</v>
      </c>
      <c r="H678" t="s">
        <v>2197</v>
      </c>
    </row>
    <row r="679" spans="1:8">
      <c r="A679" t="s">
        <v>434</v>
      </c>
      <c r="B679" t="s">
        <v>2619</v>
      </c>
      <c r="C679">
        <v>48</v>
      </c>
      <c r="D679">
        <v>1</v>
      </c>
      <c r="E679">
        <v>1</v>
      </c>
      <c r="F679">
        <v>162.5</v>
      </c>
      <c r="G679">
        <v>4.973E-4</v>
      </c>
      <c r="H679" t="s">
        <v>2197</v>
      </c>
    </row>
    <row r="680" spans="1:8">
      <c r="A680" t="s">
        <v>4415</v>
      </c>
      <c r="B680" t="s">
        <v>5582</v>
      </c>
      <c r="C680">
        <v>48</v>
      </c>
      <c r="D680">
        <v>1</v>
      </c>
      <c r="E680">
        <v>1</v>
      </c>
      <c r="F680">
        <v>147.916666666667</v>
      </c>
      <c r="G680">
        <v>4.5520833333333302E-4</v>
      </c>
      <c r="H680" t="s">
        <v>2221</v>
      </c>
    </row>
    <row r="681" spans="1:8">
      <c r="A681" t="s">
        <v>4418</v>
      </c>
      <c r="B681" t="s">
        <v>5583</v>
      </c>
      <c r="C681">
        <v>24</v>
      </c>
      <c r="D681">
        <v>1</v>
      </c>
      <c r="E681">
        <v>1</v>
      </c>
      <c r="F681">
        <v>350</v>
      </c>
      <c r="G681">
        <v>7.3240000000000002E-4</v>
      </c>
      <c r="H681" t="s">
        <v>2197</v>
      </c>
    </row>
    <row r="682" spans="1:8">
      <c r="A682" t="s">
        <v>4417</v>
      </c>
      <c r="B682" t="s">
        <v>5584</v>
      </c>
      <c r="C682">
        <v>48</v>
      </c>
      <c r="D682">
        <v>1</v>
      </c>
      <c r="E682">
        <v>1</v>
      </c>
      <c r="F682">
        <v>164.375</v>
      </c>
      <c r="G682">
        <v>4.65809895833333E-4</v>
      </c>
      <c r="H682" t="s">
        <v>2197</v>
      </c>
    </row>
    <row r="683" spans="1:8">
      <c r="A683" t="s">
        <v>4419</v>
      </c>
      <c r="B683" t="s">
        <v>5588</v>
      </c>
      <c r="C683">
        <v>20</v>
      </c>
      <c r="D683">
        <v>1</v>
      </c>
      <c r="E683">
        <v>1</v>
      </c>
      <c r="F683">
        <v>0</v>
      </c>
      <c r="G683">
        <v>0</v>
      </c>
      <c r="H683" t="s">
        <v>2203</v>
      </c>
    </row>
    <row r="684" spans="1:8">
      <c r="A684" t="s">
        <v>5590</v>
      </c>
      <c r="B684" t="s">
        <v>5589</v>
      </c>
      <c r="C684">
        <v>40</v>
      </c>
      <c r="D684">
        <v>1</v>
      </c>
      <c r="E684">
        <v>1</v>
      </c>
      <c r="F684">
        <v>0</v>
      </c>
      <c r="G684">
        <v>0</v>
      </c>
      <c r="H684" t="s">
        <v>2203</v>
      </c>
    </row>
    <row r="685" spans="1:8">
      <c r="A685" t="s">
        <v>4416</v>
      </c>
      <c r="B685" t="s">
        <v>5585</v>
      </c>
      <c r="C685">
        <v>24</v>
      </c>
      <c r="D685">
        <v>1</v>
      </c>
      <c r="E685">
        <v>1</v>
      </c>
      <c r="F685">
        <v>333.33333333333297</v>
      </c>
      <c r="G685">
        <v>6.7500000000000004E-4</v>
      </c>
      <c r="H685" t="s">
        <v>2197</v>
      </c>
    </row>
    <row r="686" spans="1:8">
      <c r="A686" t="s">
        <v>5587</v>
      </c>
      <c r="B686" t="s">
        <v>5586</v>
      </c>
      <c r="C686">
        <v>48</v>
      </c>
      <c r="D686">
        <v>1</v>
      </c>
      <c r="E686">
        <v>1</v>
      </c>
      <c r="F686">
        <v>147.916666666667</v>
      </c>
      <c r="G686">
        <v>4.5520833333333302E-4</v>
      </c>
      <c r="H686" t="s">
        <v>2197</v>
      </c>
    </row>
    <row r="687" spans="1:8">
      <c r="A687" t="s">
        <v>9385</v>
      </c>
      <c r="B687" t="s">
        <v>5591</v>
      </c>
      <c r="C687">
        <v>100</v>
      </c>
      <c r="D687">
        <v>1</v>
      </c>
      <c r="E687">
        <v>1</v>
      </c>
      <c r="F687">
        <v>148.5</v>
      </c>
      <c r="G687">
        <v>3.0499999999999999E-4</v>
      </c>
      <c r="H687" t="s">
        <v>2197</v>
      </c>
    </row>
    <row r="688" spans="1:8">
      <c r="A688" t="s">
        <v>9386</v>
      </c>
      <c r="B688" t="s">
        <v>5592</v>
      </c>
      <c r="C688">
        <v>12</v>
      </c>
      <c r="D688">
        <v>1</v>
      </c>
      <c r="E688">
        <v>1</v>
      </c>
      <c r="F688">
        <v>1358.3</v>
      </c>
      <c r="G688">
        <v>2.4794999999999999E-3</v>
      </c>
      <c r="H688" t="s">
        <v>2197</v>
      </c>
    </row>
    <row r="689" spans="1:8">
      <c r="A689" t="s">
        <v>5595</v>
      </c>
      <c r="B689" t="s">
        <v>5594</v>
      </c>
      <c r="C689">
        <v>20</v>
      </c>
      <c r="D689">
        <v>1</v>
      </c>
      <c r="E689">
        <v>1</v>
      </c>
      <c r="F689">
        <v>0</v>
      </c>
      <c r="G689">
        <v>0</v>
      </c>
      <c r="H689" t="s">
        <v>2203</v>
      </c>
    </row>
    <row r="690" spans="1:8">
      <c r="A690" t="s">
        <v>4420</v>
      </c>
      <c r="B690" t="s">
        <v>5596</v>
      </c>
      <c r="C690">
        <v>20</v>
      </c>
      <c r="D690">
        <v>1</v>
      </c>
      <c r="E690">
        <v>1</v>
      </c>
      <c r="F690">
        <v>0</v>
      </c>
      <c r="G690">
        <v>0</v>
      </c>
      <c r="H690" t="s">
        <v>2203</v>
      </c>
    </row>
    <row r="691" spans="1:8">
      <c r="A691" t="s">
        <v>437</v>
      </c>
      <c r="B691" t="s">
        <v>2620</v>
      </c>
      <c r="C691">
        <v>10</v>
      </c>
      <c r="D691">
        <v>1</v>
      </c>
      <c r="E691">
        <v>1</v>
      </c>
      <c r="F691">
        <v>2200</v>
      </c>
      <c r="G691">
        <v>8.0850000000000002E-3</v>
      </c>
      <c r="H691" t="s">
        <v>2197</v>
      </c>
    </row>
    <row r="692" spans="1:8">
      <c r="A692" t="s">
        <v>440</v>
      </c>
      <c r="B692" t="s">
        <v>2622</v>
      </c>
      <c r="C692">
        <v>20</v>
      </c>
      <c r="D692">
        <v>1</v>
      </c>
      <c r="E692">
        <v>1</v>
      </c>
      <c r="F692">
        <v>540</v>
      </c>
      <c r="G692">
        <v>1.6416E-3</v>
      </c>
      <c r="H692" t="s">
        <v>2197</v>
      </c>
    </row>
    <row r="693" spans="1:8">
      <c r="A693" t="s">
        <v>448</v>
      </c>
      <c r="B693" t="s">
        <v>2623</v>
      </c>
      <c r="C693">
        <v>20</v>
      </c>
      <c r="D693">
        <v>1</v>
      </c>
      <c r="E693">
        <v>1</v>
      </c>
      <c r="F693">
        <v>1007.5</v>
      </c>
      <c r="G693">
        <v>2.8289999999999999E-3</v>
      </c>
      <c r="H693" t="s">
        <v>2197</v>
      </c>
    </row>
    <row r="694" spans="1:8">
      <c r="A694" t="s">
        <v>464</v>
      </c>
      <c r="B694" t="s">
        <v>2624</v>
      </c>
      <c r="C694">
        <v>20</v>
      </c>
      <c r="D694">
        <v>1</v>
      </c>
      <c r="E694">
        <v>1</v>
      </c>
      <c r="F694">
        <v>1072.5</v>
      </c>
      <c r="G694">
        <v>2.2880000000000001E-3</v>
      </c>
      <c r="H694" t="s">
        <v>2203</v>
      </c>
    </row>
    <row r="695" spans="1:8">
      <c r="A695" t="s">
        <v>465</v>
      </c>
      <c r="B695" t="s">
        <v>2626</v>
      </c>
      <c r="C695">
        <v>20</v>
      </c>
      <c r="D695">
        <v>1</v>
      </c>
      <c r="E695">
        <v>1</v>
      </c>
      <c r="F695">
        <v>1072.5</v>
      </c>
      <c r="G695">
        <v>2.4475999999999999E-3</v>
      </c>
      <c r="H695" t="s">
        <v>2203</v>
      </c>
    </row>
    <row r="696" spans="1:8">
      <c r="A696" t="s">
        <v>4964</v>
      </c>
      <c r="B696" t="s">
        <v>5593</v>
      </c>
      <c r="C696">
        <v>20</v>
      </c>
      <c r="D696">
        <v>1</v>
      </c>
      <c r="E696">
        <v>1</v>
      </c>
      <c r="F696">
        <v>1072.5</v>
      </c>
      <c r="G696">
        <v>2.2880000000000001E-3</v>
      </c>
      <c r="H696" t="s">
        <v>2203</v>
      </c>
    </row>
    <row r="697" spans="1:8">
      <c r="A697" t="s">
        <v>466</v>
      </c>
      <c r="B697" t="s">
        <v>2628</v>
      </c>
      <c r="C697">
        <v>1</v>
      </c>
      <c r="D697">
        <v>1</v>
      </c>
      <c r="E697">
        <v>1</v>
      </c>
      <c r="F697">
        <v>23030</v>
      </c>
      <c r="G697">
        <v>1.8559099999999999E-2</v>
      </c>
      <c r="H697" t="s">
        <v>2303</v>
      </c>
    </row>
    <row r="698" spans="1:8">
      <c r="A698" t="s">
        <v>468</v>
      </c>
      <c r="B698" t="s">
        <v>2630</v>
      </c>
      <c r="C698">
        <v>20</v>
      </c>
      <c r="D698">
        <v>1</v>
      </c>
      <c r="E698">
        <v>1</v>
      </c>
      <c r="F698">
        <v>1370</v>
      </c>
      <c r="G698">
        <v>2.6775000000000002E-3</v>
      </c>
      <c r="H698" t="s">
        <v>2197</v>
      </c>
    </row>
    <row r="699" spans="1:8">
      <c r="A699" t="s">
        <v>469</v>
      </c>
      <c r="B699" t="s">
        <v>2631</v>
      </c>
      <c r="C699">
        <v>4</v>
      </c>
      <c r="D699">
        <v>1</v>
      </c>
      <c r="E699">
        <v>1</v>
      </c>
      <c r="F699">
        <v>6325</v>
      </c>
      <c r="G699">
        <v>8.6250000000000007E-3</v>
      </c>
      <c r="H699" t="s">
        <v>2307</v>
      </c>
    </row>
    <row r="700" spans="1:8">
      <c r="A700" t="s">
        <v>470</v>
      </c>
      <c r="B700" t="s">
        <v>2632</v>
      </c>
      <c r="C700">
        <v>20</v>
      </c>
      <c r="D700">
        <v>1</v>
      </c>
      <c r="E700">
        <v>1</v>
      </c>
      <c r="F700">
        <v>970</v>
      </c>
      <c r="G700">
        <v>2.6587999999999998E-3</v>
      </c>
      <c r="H700" t="s">
        <v>2203</v>
      </c>
    </row>
    <row r="701" spans="1:8">
      <c r="A701" t="s">
        <v>5598</v>
      </c>
      <c r="B701" t="s">
        <v>5597</v>
      </c>
      <c r="C701">
        <v>10</v>
      </c>
      <c r="D701">
        <v>1</v>
      </c>
      <c r="E701">
        <v>1</v>
      </c>
      <c r="F701">
        <v>2080</v>
      </c>
      <c r="G701">
        <v>2.6933E-3</v>
      </c>
      <c r="H701" t="s">
        <v>2203</v>
      </c>
    </row>
    <row r="702" spans="1:8">
      <c r="A702" t="s">
        <v>8366</v>
      </c>
      <c r="B702" t="s">
        <v>8365</v>
      </c>
      <c r="C702">
        <v>1</v>
      </c>
      <c r="D702">
        <v>1</v>
      </c>
      <c r="E702">
        <v>1</v>
      </c>
      <c r="F702">
        <v>1</v>
      </c>
      <c r="G702">
        <v>0</v>
      </c>
      <c r="H702" t="s">
        <v>2221</v>
      </c>
    </row>
    <row r="703" spans="1:8">
      <c r="A703" t="s">
        <v>471</v>
      </c>
      <c r="B703" t="s">
        <v>2634</v>
      </c>
      <c r="C703">
        <v>1</v>
      </c>
      <c r="D703">
        <v>1</v>
      </c>
      <c r="E703">
        <v>1</v>
      </c>
      <c r="F703">
        <v>23030</v>
      </c>
      <c r="G703">
        <v>1.8559099999999999E-2</v>
      </c>
      <c r="H703" t="s">
        <v>2303</v>
      </c>
    </row>
    <row r="704" spans="1:8">
      <c r="A704" t="s">
        <v>473</v>
      </c>
      <c r="B704" t="s">
        <v>2635</v>
      </c>
      <c r="C704">
        <v>20</v>
      </c>
      <c r="D704">
        <v>1</v>
      </c>
      <c r="E704">
        <v>1</v>
      </c>
      <c r="F704">
        <v>1135</v>
      </c>
      <c r="G704">
        <v>2.2913E-3</v>
      </c>
      <c r="H704" t="s">
        <v>2197</v>
      </c>
    </row>
    <row r="705" spans="1:8">
      <c r="A705" t="s">
        <v>474</v>
      </c>
      <c r="B705" t="s">
        <v>2637</v>
      </c>
      <c r="C705">
        <v>4</v>
      </c>
      <c r="D705">
        <v>1</v>
      </c>
      <c r="E705">
        <v>1</v>
      </c>
      <c r="F705">
        <v>1</v>
      </c>
      <c r="G705">
        <v>0</v>
      </c>
      <c r="H705" t="s">
        <v>2307</v>
      </c>
    </row>
    <row r="706" spans="1:8">
      <c r="A706" t="s">
        <v>5604</v>
      </c>
      <c r="B706" t="s">
        <v>5603</v>
      </c>
      <c r="C706">
        <v>1</v>
      </c>
      <c r="D706">
        <v>1</v>
      </c>
      <c r="E706">
        <v>1</v>
      </c>
      <c r="F706">
        <v>1</v>
      </c>
      <c r="G706">
        <v>0</v>
      </c>
      <c r="H706" t="s">
        <v>2303</v>
      </c>
    </row>
    <row r="707" spans="1:8">
      <c r="A707" t="s">
        <v>5600</v>
      </c>
      <c r="B707" t="s">
        <v>5599</v>
      </c>
      <c r="C707">
        <v>20</v>
      </c>
      <c r="D707">
        <v>1</v>
      </c>
      <c r="E707">
        <v>1</v>
      </c>
      <c r="F707">
        <v>1</v>
      </c>
      <c r="G707">
        <v>0</v>
      </c>
      <c r="H707" t="s">
        <v>2197</v>
      </c>
    </row>
    <row r="708" spans="1:8">
      <c r="A708" t="s">
        <v>5602</v>
      </c>
      <c r="B708" t="s">
        <v>5601</v>
      </c>
      <c r="C708">
        <v>5</v>
      </c>
      <c r="D708">
        <v>1</v>
      </c>
      <c r="E708">
        <v>1</v>
      </c>
      <c r="F708">
        <v>1</v>
      </c>
      <c r="G708">
        <v>0</v>
      </c>
      <c r="H708" t="s">
        <v>2307</v>
      </c>
    </row>
    <row r="709" spans="1:8">
      <c r="A709" t="s">
        <v>5606</v>
      </c>
      <c r="B709" t="s">
        <v>5605</v>
      </c>
      <c r="C709">
        <v>20</v>
      </c>
      <c r="D709">
        <v>1</v>
      </c>
      <c r="E709">
        <v>1</v>
      </c>
      <c r="F709">
        <v>1</v>
      </c>
      <c r="G709">
        <v>0</v>
      </c>
      <c r="H709" t="s">
        <v>2203</v>
      </c>
    </row>
    <row r="710" spans="1:8">
      <c r="A710" t="s">
        <v>5608</v>
      </c>
      <c r="B710" t="s">
        <v>5607</v>
      </c>
      <c r="C710">
        <v>20</v>
      </c>
      <c r="D710">
        <v>1</v>
      </c>
      <c r="E710">
        <v>1</v>
      </c>
      <c r="F710">
        <v>1045</v>
      </c>
      <c r="G710">
        <v>2.6775000000000002E-3</v>
      </c>
      <c r="H710" t="s">
        <v>2197</v>
      </c>
    </row>
    <row r="711" spans="1:8">
      <c r="A711" t="s">
        <v>4421</v>
      </c>
      <c r="B711" t="s">
        <v>5610</v>
      </c>
      <c r="C711">
        <v>40</v>
      </c>
      <c r="D711">
        <v>1</v>
      </c>
      <c r="E711">
        <v>1</v>
      </c>
      <c r="F711">
        <v>253.8</v>
      </c>
      <c r="G711">
        <v>6.3730000000000004E-4</v>
      </c>
      <c r="H711" t="s">
        <v>2197</v>
      </c>
    </row>
    <row r="712" spans="1:8">
      <c r="A712" t="s">
        <v>4422</v>
      </c>
      <c r="B712" t="s">
        <v>5609</v>
      </c>
      <c r="C712">
        <v>50</v>
      </c>
      <c r="D712">
        <v>1</v>
      </c>
      <c r="E712">
        <v>1</v>
      </c>
      <c r="F712">
        <v>124.2</v>
      </c>
      <c r="G712">
        <v>2.9911500000000003E-4</v>
      </c>
      <c r="H712" t="s">
        <v>2197</v>
      </c>
    </row>
    <row r="713" spans="1:8">
      <c r="A713" t="s">
        <v>476</v>
      </c>
      <c r="B713" t="s">
        <v>2638</v>
      </c>
      <c r="C713">
        <v>10</v>
      </c>
      <c r="D713">
        <v>10</v>
      </c>
      <c r="E713">
        <v>1</v>
      </c>
      <c r="F713">
        <v>113</v>
      </c>
      <c r="G713">
        <v>2.8079999999999999E-4</v>
      </c>
      <c r="H713" t="s">
        <v>2203</v>
      </c>
    </row>
    <row r="714" spans="1:8">
      <c r="A714" t="s">
        <v>477</v>
      </c>
      <c r="B714" t="s">
        <v>2640</v>
      </c>
      <c r="C714">
        <v>24</v>
      </c>
      <c r="D714">
        <v>1</v>
      </c>
      <c r="E714">
        <v>1</v>
      </c>
      <c r="F714">
        <v>425</v>
      </c>
      <c r="G714">
        <v>7.2199999999999999E-4</v>
      </c>
      <c r="H714" t="s">
        <v>2203</v>
      </c>
    </row>
    <row r="715" spans="1:8">
      <c r="A715" t="s">
        <v>9387</v>
      </c>
      <c r="B715" t="s">
        <v>5611</v>
      </c>
      <c r="C715">
        <v>50</v>
      </c>
      <c r="D715">
        <v>1</v>
      </c>
      <c r="E715">
        <v>1</v>
      </c>
      <c r="F715">
        <v>218</v>
      </c>
      <c r="G715">
        <v>3.8630000000000001E-4</v>
      </c>
      <c r="H715" t="s">
        <v>2203</v>
      </c>
    </row>
    <row r="716" spans="1:8">
      <c r="A716" t="s">
        <v>478</v>
      </c>
      <c r="B716" t="s">
        <v>2641</v>
      </c>
      <c r="C716">
        <v>8</v>
      </c>
      <c r="D716">
        <v>50</v>
      </c>
      <c r="E716">
        <v>1</v>
      </c>
      <c r="F716">
        <v>19.8</v>
      </c>
      <c r="G716" s="4">
        <v>5.13E-5</v>
      </c>
      <c r="H716" t="s">
        <v>2203</v>
      </c>
    </row>
    <row r="717" spans="1:8">
      <c r="A717" t="s">
        <v>5613</v>
      </c>
      <c r="B717" t="s">
        <v>5612</v>
      </c>
      <c r="C717">
        <v>8</v>
      </c>
      <c r="D717">
        <v>50</v>
      </c>
      <c r="E717">
        <v>1</v>
      </c>
      <c r="F717">
        <v>1</v>
      </c>
      <c r="G717">
        <v>0</v>
      </c>
      <c r="H717" t="s">
        <v>2203</v>
      </c>
    </row>
    <row r="718" spans="1:8">
      <c r="A718" t="s">
        <v>4423</v>
      </c>
      <c r="B718" t="s">
        <v>5614</v>
      </c>
      <c r="C718">
        <v>6</v>
      </c>
      <c r="D718">
        <v>10</v>
      </c>
      <c r="E718">
        <v>1</v>
      </c>
      <c r="F718">
        <v>124.2</v>
      </c>
      <c r="G718">
        <v>2.9911500000000003E-4</v>
      </c>
      <c r="H718" t="s">
        <v>2203</v>
      </c>
    </row>
    <row r="719" spans="1:8">
      <c r="A719" t="s">
        <v>5618</v>
      </c>
      <c r="B719" t="s">
        <v>5617</v>
      </c>
      <c r="C719">
        <v>500</v>
      </c>
      <c r="D719">
        <v>1</v>
      </c>
      <c r="E719">
        <v>1</v>
      </c>
      <c r="F719">
        <v>19.5</v>
      </c>
      <c r="G719" s="4">
        <v>8.8200000000000003E-5</v>
      </c>
      <c r="H719" t="s">
        <v>2203</v>
      </c>
    </row>
    <row r="720" spans="1:8">
      <c r="A720" t="s">
        <v>479</v>
      </c>
      <c r="B720" t="s">
        <v>2642</v>
      </c>
      <c r="C720">
        <v>500</v>
      </c>
      <c r="D720">
        <v>1</v>
      </c>
      <c r="E720">
        <v>1</v>
      </c>
      <c r="F720">
        <v>1</v>
      </c>
      <c r="G720">
        <v>0</v>
      </c>
      <c r="H720" t="s">
        <v>2203</v>
      </c>
    </row>
    <row r="721" spans="1:8">
      <c r="A721" t="s">
        <v>4424</v>
      </c>
      <c r="B721" t="s">
        <v>5615</v>
      </c>
      <c r="C721">
        <v>20</v>
      </c>
      <c r="D721">
        <v>12</v>
      </c>
      <c r="E721">
        <v>1</v>
      </c>
      <c r="F721">
        <v>124.2</v>
      </c>
      <c r="G721">
        <v>2.9911500000000003E-4</v>
      </c>
      <c r="H721" t="s">
        <v>2203</v>
      </c>
    </row>
    <row r="722" spans="1:8">
      <c r="A722" t="s">
        <v>4425</v>
      </c>
      <c r="B722" t="s">
        <v>5616</v>
      </c>
      <c r="C722">
        <v>20</v>
      </c>
      <c r="D722">
        <v>12</v>
      </c>
      <c r="E722">
        <v>1</v>
      </c>
      <c r="F722">
        <v>1</v>
      </c>
      <c r="G722">
        <v>0</v>
      </c>
      <c r="H722" t="s">
        <v>2203</v>
      </c>
    </row>
    <row r="723" spans="1:8">
      <c r="A723" t="s">
        <v>480</v>
      </c>
      <c r="B723" t="s">
        <v>2645</v>
      </c>
      <c r="C723">
        <v>25</v>
      </c>
      <c r="D723">
        <v>10</v>
      </c>
      <c r="E723">
        <v>1</v>
      </c>
      <c r="F723">
        <v>16.399999999999999</v>
      </c>
      <c r="G723" s="4">
        <v>7.8499999999999997E-5</v>
      </c>
      <c r="H723" t="s">
        <v>2203</v>
      </c>
    </row>
    <row r="724" spans="1:8">
      <c r="A724" t="s">
        <v>481</v>
      </c>
      <c r="B724" t="s">
        <v>2647</v>
      </c>
      <c r="C724">
        <v>20</v>
      </c>
      <c r="D724">
        <v>1</v>
      </c>
      <c r="E724">
        <v>1</v>
      </c>
      <c r="F724">
        <v>285</v>
      </c>
      <c r="G724">
        <v>7.9650000000000001E-4</v>
      </c>
      <c r="H724" t="s">
        <v>2197</v>
      </c>
    </row>
    <row r="725" spans="1:8">
      <c r="A725" t="s">
        <v>482</v>
      </c>
      <c r="B725" t="s">
        <v>2649</v>
      </c>
      <c r="C725">
        <v>20</v>
      </c>
      <c r="D725">
        <v>1</v>
      </c>
      <c r="E725">
        <v>1</v>
      </c>
      <c r="F725">
        <v>522.5</v>
      </c>
      <c r="G725">
        <v>1.2176999999999999E-3</v>
      </c>
      <c r="H725" t="s">
        <v>2197</v>
      </c>
    </row>
    <row r="726" spans="1:8">
      <c r="A726" t="s">
        <v>483</v>
      </c>
      <c r="B726" t="s">
        <v>2650</v>
      </c>
      <c r="C726">
        <v>50</v>
      </c>
      <c r="D726">
        <v>1</v>
      </c>
      <c r="E726">
        <v>1</v>
      </c>
      <c r="F726">
        <v>144</v>
      </c>
      <c r="G726">
        <v>2.8390000000000002E-4</v>
      </c>
      <c r="H726" t="s">
        <v>2197</v>
      </c>
    </row>
    <row r="727" spans="1:8">
      <c r="A727" t="s">
        <v>484</v>
      </c>
      <c r="B727" t="s">
        <v>2651</v>
      </c>
      <c r="C727">
        <v>1</v>
      </c>
      <c r="D727">
        <v>1</v>
      </c>
      <c r="E727">
        <v>1</v>
      </c>
      <c r="F727">
        <v>1</v>
      </c>
      <c r="G727">
        <v>0</v>
      </c>
      <c r="H727" t="s">
        <v>2221</v>
      </c>
    </row>
    <row r="728" spans="1:8">
      <c r="A728" t="s">
        <v>485</v>
      </c>
      <c r="B728" t="s">
        <v>2652</v>
      </c>
      <c r="C728">
        <v>1</v>
      </c>
      <c r="D728">
        <v>1</v>
      </c>
      <c r="E728">
        <v>1</v>
      </c>
      <c r="F728">
        <v>1</v>
      </c>
      <c r="G728">
        <v>0</v>
      </c>
      <c r="H728" t="s">
        <v>2221</v>
      </c>
    </row>
    <row r="729" spans="1:8">
      <c r="A729" t="s">
        <v>5620</v>
      </c>
      <c r="B729" t="s">
        <v>5619</v>
      </c>
      <c r="C729">
        <v>10</v>
      </c>
      <c r="D729">
        <v>1</v>
      </c>
      <c r="E729">
        <v>1</v>
      </c>
      <c r="F729">
        <v>1220</v>
      </c>
      <c r="G729">
        <v>2.5168500000000002E-3</v>
      </c>
      <c r="H729" t="s">
        <v>2197</v>
      </c>
    </row>
    <row r="730" spans="1:8">
      <c r="A730" t="s">
        <v>486</v>
      </c>
      <c r="B730" t="s">
        <v>2653</v>
      </c>
      <c r="C730">
        <v>10</v>
      </c>
      <c r="D730">
        <v>1</v>
      </c>
      <c r="E730">
        <v>1</v>
      </c>
      <c r="F730">
        <v>1220</v>
      </c>
      <c r="G730">
        <v>2.3999999999999998E-3</v>
      </c>
      <c r="H730" t="s">
        <v>2197</v>
      </c>
    </row>
    <row r="731" spans="1:8">
      <c r="A731" t="s">
        <v>4965</v>
      </c>
      <c r="B731" t="s">
        <v>5621</v>
      </c>
      <c r="C731">
        <v>1</v>
      </c>
      <c r="D731">
        <v>1</v>
      </c>
      <c r="E731">
        <v>1</v>
      </c>
      <c r="F731">
        <v>24450</v>
      </c>
      <c r="G731">
        <v>1.8559099999999999E-2</v>
      </c>
      <c r="H731" t="s">
        <v>2303</v>
      </c>
    </row>
    <row r="732" spans="1:8">
      <c r="A732" t="s">
        <v>487</v>
      </c>
      <c r="B732" t="s">
        <v>2655</v>
      </c>
      <c r="C732">
        <v>4</v>
      </c>
      <c r="D732">
        <v>1</v>
      </c>
      <c r="E732">
        <v>1</v>
      </c>
      <c r="F732">
        <v>5700</v>
      </c>
      <c r="G732">
        <v>7.8750000000000001E-3</v>
      </c>
      <c r="H732" t="s">
        <v>2307</v>
      </c>
    </row>
    <row r="733" spans="1:8">
      <c r="A733" t="s">
        <v>5638</v>
      </c>
      <c r="B733" t="s">
        <v>5637</v>
      </c>
      <c r="C733">
        <v>20</v>
      </c>
      <c r="D733">
        <v>1</v>
      </c>
      <c r="E733">
        <v>1</v>
      </c>
      <c r="F733">
        <v>1</v>
      </c>
      <c r="G733">
        <v>0</v>
      </c>
      <c r="H733" t="s">
        <v>2197</v>
      </c>
    </row>
    <row r="734" spans="1:8">
      <c r="A734" t="s">
        <v>5636</v>
      </c>
      <c r="B734" t="s">
        <v>5635</v>
      </c>
      <c r="C734">
        <v>20</v>
      </c>
      <c r="D734">
        <v>1</v>
      </c>
      <c r="E734">
        <v>1</v>
      </c>
      <c r="F734">
        <v>1</v>
      </c>
      <c r="G734">
        <v>0</v>
      </c>
      <c r="H734" t="s">
        <v>2197</v>
      </c>
    </row>
    <row r="735" spans="1:8">
      <c r="A735" t="s">
        <v>5640</v>
      </c>
      <c r="B735" t="s">
        <v>5639</v>
      </c>
      <c r="C735">
        <v>25</v>
      </c>
      <c r="D735">
        <v>1</v>
      </c>
      <c r="E735">
        <v>1</v>
      </c>
      <c r="F735">
        <v>1</v>
      </c>
      <c r="G735">
        <v>0</v>
      </c>
      <c r="H735" t="s">
        <v>2197</v>
      </c>
    </row>
    <row r="736" spans="1:8">
      <c r="A736" t="s">
        <v>5632</v>
      </c>
      <c r="B736" t="s">
        <v>5631</v>
      </c>
      <c r="C736">
        <v>1</v>
      </c>
      <c r="D736">
        <v>1</v>
      </c>
      <c r="E736">
        <v>1</v>
      </c>
      <c r="F736">
        <v>23100</v>
      </c>
      <c r="G736">
        <v>2.1319999999999999E-2</v>
      </c>
      <c r="H736" t="s">
        <v>2303</v>
      </c>
    </row>
    <row r="737" spans="1:8">
      <c r="A737" t="s">
        <v>5634</v>
      </c>
      <c r="B737" t="s">
        <v>5633</v>
      </c>
      <c r="C737">
        <v>20</v>
      </c>
      <c r="D737">
        <v>1</v>
      </c>
      <c r="E737">
        <v>1</v>
      </c>
      <c r="F737">
        <v>1220</v>
      </c>
      <c r="G737">
        <v>2.3644E-3</v>
      </c>
      <c r="H737" t="s">
        <v>2197</v>
      </c>
    </row>
    <row r="738" spans="1:8">
      <c r="A738" t="s">
        <v>5630</v>
      </c>
      <c r="B738" t="s">
        <v>5629</v>
      </c>
      <c r="C738">
        <v>4</v>
      </c>
      <c r="D738">
        <v>1</v>
      </c>
      <c r="E738">
        <v>1</v>
      </c>
      <c r="F738">
        <v>5975</v>
      </c>
      <c r="G738">
        <v>8.9239999999999996E-3</v>
      </c>
      <c r="H738" t="s">
        <v>2307</v>
      </c>
    </row>
    <row r="739" spans="1:8">
      <c r="A739" t="s">
        <v>4426</v>
      </c>
      <c r="B739" t="s">
        <v>5622</v>
      </c>
      <c r="C739">
        <v>20</v>
      </c>
      <c r="D739">
        <v>1</v>
      </c>
      <c r="E739">
        <v>1</v>
      </c>
      <c r="F739">
        <v>1074</v>
      </c>
      <c r="G739">
        <v>2.016E-3</v>
      </c>
      <c r="H739" t="s">
        <v>2203</v>
      </c>
    </row>
    <row r="740" spans="1:8">
      <c r="A740" t="s">
        <v>5627</v>
      </c>
      <c r="B740" t="s">
        <v>5626</v>
      </c>
      <c r="C740">
        <v>1</v>
      </c>
      <c r="D740">
        <v>1</v>
      </c>
      <c r="E740">
        <v>1</v>
      </c>
      <c r="F740">
        <v>22900</v>
      </c>
      <c r="G740">
        <v>2.1524999999999999E-2</v>
      </c>
      <c r="H740" t="s">
        <v>2303</v>
      </c>
    </row>
    <row r="741" spans="1:8">
      <c r="A741" t="s">
        <v>4428</v>
      </c>
      <c r="B741" t="s">
        <v>5628</v>
      </c>
      <c r="C741">
        <v>20</v>
      </c>
      <c r="D741">
        <v>1</v>
      </c>
      <c r="E741">
        <v>1</v>
      </c>
      <c r="F741">
        <v>1220</v>
      </c>
      <c r="G741">
        <v>2.3468E-3</v>
      </c>
      <c r="H741" t="s">
        <v>2197</v>
      </c>
    </row>
    <row r="742" spans="1:8">
      <c r="A742" t="s">
        <v>5625</v>
      </c>
      <c r="B742" t="s">
        <v>5624</v>
      </c>
      <c r="C742">
        <v>4</v>
      </c>
      <c r="D742">
        <v>1</v>
      </c>
      <c r="E742">
        <v>1</v>
      </c>
      <c r="F742">
        <v>5875</v>
      </c>
      <c r="G742">
        <v>9.1079999999999998E-3</v>
      </c>
      <c r="H742" t="s">
        <v>2307</v>
      </c>
    </row>
    <row r="743" spans="1:8">
      <c r="A743" t="s">
        <v>5644</v>
      </c>
      <c r="B743" t="s">
        <v>5643</v>
      </c>
      <c r="C743">
        <v>1</v>
      </c>
      <c r="D743">
        <v>1</v>
      </c>
      <c r="E743">
        <v>1</v>
      </c>
      <c r="F743">
        <v>23030</v>
      </c>
      <c r="G743">
        <v>1.8559099999999999E-2</v>
      </c>
      <c r="H743" t="s">
        <v>2303</v>
      </c>
    </row>
    <row r="744" spans="1:8">
      <c r="A744" t="s">
        <v>488</v>
      </c>
      <c r="B744" t="s">
        <v>2656</v>
      </c>
      <c r="C744">
        <v>20</v>
      </c>
      <c r="D744">
        <v>1</v>
      </c>
      <c r="E744">
        <v>1</v>
      </c>
      <c r="F744">
        <v>1175</v>
      </c>
      <c r="G744">
        <v>2.5219999999999999E-3</v>
      </c>
      <c r="H744" t="s">
        <v>2197</v>
      </c>
    </row>
    <row r="745" spans="1:8">
      <c r="A745" t="s">
        <v>5642</v>
      </c>
      <c r="B745" t="s">
        <v>5641</v>
      </c>
      <c r="C745">
        <v>4</v>
      </c>
      <c r="D745">
        <v>1</v>
      </c>
      <c r="E745">
        <v>1</v>
      </c>
      <c r="F745">
        <v>5775</v>
      </c>
      <c r="G745">
        <v>9.2029E-3</v>
      </c>
      <c r="H745" t="s">
        <v>2197</v>
      </c>
    </row>
    <row r="746" spans="1:8">
      <c r="A746" t="s">
        <v>4427</v>
      </c>
      <c r="B746" t="s">
        <v>5623</v>
      </c>
      <c r="C746">
        <v>1</v>
      </c>
      <c r="D746">
        <v>1</v>
      </c>
      <c r="E746">
        <v>1</v>
      </c>
      <c r="F746">
        <v>1</v>
      </c>
      <c r="G746">
        <v>0</v>
      </c>
      <c r="H746" t="s">
        <v>2197</v>
      </c>
    </row>
    <row r="747" spans="1:8">
      <c r="A747" t="s">
        <v>4429</v>
      </c>
      <c r="B747" t="s">
        <v>5645</v>
      </c>
      <c r="C747">
        <v>50</v>
      </c>
      <c r="D747">
        <v>1</v>
      </c>
      <c r="E747">
        <v>1</v>
      </c>
      <c r="F747">
        <v>0</v>
      </c>
      <c r="G747">
        <v>0</v>
      </c>
      <c r="H747" t="s">
        <v>2197</v>
      </c>
    </row>
    <row r="748" spans="1:8">
      <c r="A748" t="s">
        <v>489</v>
      </c>
      <c r="B748" t="s">
        <v>2658</v>
      </c>
      <c r="C748">
        <v>10</v>
      </c>
      <c r="D748">
        <v>1</v>
      </c>
      <c r="E748">
        <v>1</v>
      </c>
      <c r="F748">
        <v>1120</v>
      </c>
      <c r="G748">
        <v>2.4255000000000001E-3</v>
      </c>
      <c r="H748" t="s">
        <v>2203</v>
      </c>
    </row>
    <row r="749" spans="1:8">
      <c r="A749" t="s">
        <v>490</v>
      </c>
      <c r="B749" t="s">
        <v>2660</v>
      </c>
      <c r="C749">
        <v>1</v>
      </c>
      <c r="D749">
        <v>1</v>
      </c>
      <c r="E749">
        <v>1</v>
      </c>
      <c r="F749">
        <v>1</v>
      </c>
      <c r="G749">
        <v>0</v>
      </c>
      <c r="H749" t="s">
        <v>2221</v>
      </c>
    </row>
    <row r="750" spans="1:8">
      <c r="A750" t="s">
        <v>491</v>
      </c>
      <c r="B750" t="s">
        <v>2661</v>
      </c>
      <c r="C750">
        <v>1</v>
      </c>
      <c r="D750">
        <v>1</v>
      </c>
      <c r="E750">
        <v>1</v>
      </c>
      <c r="F750">
        <v>1120</v>
      </c>
      <c r="G750">
        <v>2.4255000000000001E-3</v>
      </c>
      <c r="H750" t="s">
        <v>2221</v>
      </c>
    </row>
    <row r="751" spans="1:8">
      <c r="A751" t="s">
        <v>4430</v>
      </c>
      <c r="B751" t="s">
        <v>5646</v>
      </c>
      <c r="C751">
        <v>1</v>
      </c>
      <c r="D751">
        <v>1</v>
      </c>
      <c r="E751">
        <v>1</v>
      </c>
      <c r="F751">
        <v>1</v>
      </c>
      <c r="G751">
        <v>0</v>
      </c>
      <c r="H751" t="s">
        <v>2221</v>
      </c>
    </row>
    <row r="752" spans="1:8">
      <c r="A752" t="s">
        <v>5650</v>
      </c>
      <c r="B752" t="s">
        <v>5649</v>
      </c>
      <c r="C752">
        <v>10</v>
      </c>
      <c r="D752">
        <v>1</v>
      </c>
      <c r="E752">
        <v>1</v>
      </c>
      <c r="F752">
        <v>0</v>
      </c>
      <c r="G752">
        <v>0</v>
      </c>
      <c r="H752" t="s">
        <v>2203</v>
      </c>
    </row>
    <row r="753" spans="1:8">
      <c r="A753" t="s">
        <v>5652</v>
      </c>
      <c r="B753" t="s">
        <v>5651</v>
      </c>
      <c r="C753">
        <v>100</v>
      </c>
      <c r="D753">
        <v>1</v>
      </c>
      <c r="E753">
        <v>1</v>
      </c>
      <c r="F753">
        <v>0</v>
      </c>
      <c r="G753">
        <v>0</v>
      </c>
      <c r="H753" t="s">
        <v>2203</v>
      </c>
    </row>
    <row r="754" spans="1:8">
      <c r="A754" t="s">
        <v>5648</v>
      </c>
      <c r="B754" t="s">
        <v>5647</v>
      </c>
      <c r="C754">
        <v>20</v>
      </c>
      <c r="D754">
        <v>1</v>
      </c>
      <c r="E754">
        <v>1</v>
      </c>
      <c r="F754">
        <v>0</v>
      </c>
      <c r="G754">
        <v>0</v>
      </c>
      <c r="H754" t="s">
        <v>2203</v>
      </c>
    </row>
    <row r="755" spans="1:8">
      <c r="A755" t="s">
        <v>9388</v>
      </c>
      <c r="B755" t="s">
        <v>5654</v>
      </c>
      <c r="C755">
        <v>1</v>
      </c>
      <c r="D755">
        <v>1</v>
      </c>
      <c r="E755">
        <v>1</v>
      </c>
      <c r="F755">
        <v>23030</v>
      </c>
      <c r="G755">
        <v>1.8559099999999999E-2</v>
      </c>
      <c r="H755" t="s">
        <v>2303</v>
      </c>
    </row>
    <row r="756" spans="1:8">
      <c r="A756" t="s">
        <v>9389</v>
      </c>
      <c r="B756" t="s">
        <v>5653</v>
      </c>
      <c r="C756">
        <v>20</v>
      </c>
      <c r="D756">
        <v>1</v>
      </c>
      <c r="E756">
        <v>1</v>
      </c>
      <c r="F756">
        <v>1165</v>
      </c>
      <c r="G756">
        <v>2.5479999999999999E-3</v>
      </c>
      <c r="H756" t="s">
        <v>2197</v>
      </c>
    </row>
    <row r="757" spans="1:8">
      <c r="A757" t="s">
        <v>492</v>
      </c>
      <c r="B757" t="s">
        <v>2663</v>
      </c>
      <c r="C757">
        <v>4</v>
      </c>
      <c r="D757">
        <v>1</v>
      </c>
      <c r="E757">
        <v>1</v>
      </c>
      <c r="F757">
        <v>5650</v>
      </c>
      <c r="G757">
        <v>8.3374999999999994E-3</v>
      </c>
      <c r="H757" t="s">
        <v>2307</v>
      </c>
    </row>
    <row r="758" spans="1:8">
      <c r="A758" t="s">
        <v>5656</v>
      </c>
      <c r="B758" t="s">
        <v>5655</v>
      </c>
      <c r="C758">
        <v>20</v>
      </c>
      <c r="D758">
        <v>1</v>
      </c>
      <c r="E758">
        <v>1</v>
      </c>
      <c r="F758">
        <v>0</v>
      </c>
      <c r="G758">
        <v>0</v>
      </c>
      <c r="H758" t="s">
        <v>2197</v>
      </c>
    </row>
    <row r="759" spans="1:8">
      <c r="A759" t="s">
        <v>5658</v>
      </c>
      <c r="B759" t="s">
        <v>5657</v>
      </c>
      <c r="C759">
        <v>20</v>
      </c>
      <c r="D759">
        <v>1</v>
      </c>
      <c r="E759">
        <v>1</v>
      </c>
      <c r="F759">
        <v>0</v>
      </c>
      <c r="G759">
        <v>0</v>
      </c>
      <c r="H759" t="s">
        <v>2197</v>
      </c>
    </row>
    <row r="760" spans="1:8">
      <c r="A760" t="s">
        <v>5660</v>
      </c>
      <c r="B760" t="s">
        <v>5659</v>
      </c>
      <c r="C760">
        <v>20</v>
      </c>
      <c r="D760">
        <v>1</v>
      </c>
      <c r="E760">
        <v>1</v>
      </c>
      <c r="F760">
        <v>542.5</v>
      </c>
      <c r="G760">
        <v>1.488E-3</v>
      </c>
      <c r="H760" t="s">
        <v>2197</v>
      </c>
    </row>
    <row r="761" spans="1:8">
      <c r="A761" t="s">
        <v>5662</v>
      </c>
      <c r="B761" t="s">
        <v>5661</v>
      </c>
      <c r="C761">
        <v>4</v>
      </c>
      <c r="D761">
        <v>1</v>
      </c>
      <c r="E761">
        <v>1</v>
      </c>
      <c r="F761">
        <v>4875</v>
      </c>
      <c r="G761">
        <v>8.4825000000000005E-3</v>
      </c>
      <c r="H761" t="s">
        <v>2307</v>
      </c>
    </row>
    <row r="762" spans="1:8">
      <c r="A762" t="s">
        <v>5664</v>
      </c>
      <c r="B762" t="s">
        <v>5663</v>
      </c>
      <c r="C762">
        <v>24</v>
      </c>
      <c r="D762">
        <v>1</v>
      </c>
      <c r="E762">
        <v>1</v>
      </c>
      <c r="F762">
        <v>1</v>
      </c>
      <c r="G762">
        <v>0</v>
      </c>
      <c r="H762" t="s">
        <v>2197</v>
      </c>
    </row>
    <row r="763" spans="1:8">
      <c r="A763" t="s">
        <v>4433</v>
      </c>
      <c r="B763" t="s">
        <v>5667</v>
      </c>
      <c r="C763">
        <v>20</v>
      </c>
      <c r="D763">
        <v>1</v>
      </c>
      <c r="E763">
        <v>1</v>
      </c>
      <c r="F763">
        <v>585</v>
      </c>
      <c r="G763">
        <v>1.2869999999999999E-3</v>
      </c>
      <c r="H763" t="s">
        <v>2197</v>
      </c>
    </row>
    <row r="764" spans="1:8">
      <c r="A764" t="s">
        <v>4432</v>
      </c>
      <c r="B764" t="s">
        <v>5665</v>
      </c>
      <c r="C764">
        <v>24</v>
      </c>
      <c r="D764">
        <v>1</v>
      </c>
      <c r="E764">
        <v>1</v>
      </c>
      <c r="F764">
        <v>310</v>
      </c>
      <c r="G764">
        <v>6.8749999999999996E-4</v>
      </c>
      <c r="H764" t="s">
        <v>2197</v>
      </c>
    </row>
    <row r="765" spans="1:8">
      <c r="A765" t="s">
        <v>4431</v>
      </c>
      <c r="B765" t="s">
        <v>5666</v>
      </c>
      <c r="C765">
        <v>50</v>
      </c>
      <c r="D765">
        <v>1</v>
      </c>
      <c r="E765">
        <v>1</v>
      </c>
      <c r="F765">
        <v>0</v>
      </c>
      <c r="G765">
        <v>0</v>
      </c>
      <c r="H765" t="s">
        <v>2197</v>
      </c>
    </row>
    <row r="766" spans="1:8">
      <c r="A766" t="s">
        <v>4434</v>
      </c>
      <c r="B766" t="s">
        <v>5668</v>
      </c>
      <c r="C766">
        <v>10</v>
      </c>
      <c r="D766">
        <v>20</v>
      </c>
      <c r="E766">
        <v>1</v>
      </c>
      <c r="F766">
        <v>0</v>
      </c>
      <c r="G766">
        <v>0</v>
      </c>
      <c r="H766" t="s">
        <v>2203</v>
      </c>
    </row>
    <row r="767" spans="1:8">
      <c r="A767" t="s">
        <v>5670</v>
      </c>
      <c r="B767" t="s">
        <v>5669</v>
      </c>
      <c r="C767">
        <v>10</v>
      </c>
      <c r="D767">
        <v>1</v>
      </c>
      <c r="E767">
        <v>1</v>
      </c>
      <c r="F767">
        <v>0</v>
      </c>
      <c r="G767">
        <v>0</v>
      </c>
      <c r="H767" t="s">
        <v>2203</v>
      </c>
    </row>
    <row r="768" spans="1:8">
      <c r="A768" t="s">
        <v>494</v>
      </c>
      <c r="B768" t="s">
        <v>2664</v>
      </c>
      <c r="C768">
        <v>20</v>
      </c>
      <c r="D768">
        <v>1</v>
      </c>
      <c r="E768">
        <v>1</v>
      </c>
      <c r="F768">
        <v>1000</v>
      </c>
      <c r="G768">
        <v>2.4499999999999999E-3</v>
      </c>
      <c r="H768" t="s">
        <v>2197</v>
      </c>
    </row>
    <row r="769" spans="1:8">
      <c r="A769" t="s">
        <v>496</v>
      </c>
      <c r="B769" t="s">
        <v>2666</v>
      </c>
      <c r="C769">
        <v>20</v>
      </c>
      <c r="D769">
        <v>1</v>
      </c>
      <c r="E769">
        <v>1</v>
      </c>
      <c r="F769">
        <v>255</v>
      </c>
      <c r="G769">
        <v>9.3150000000000004E-4</v>
      </c>
      <c r="H769" t="s">
        <v>2197</v>
      </c>
    </row>
    <row r="770" spans="1:8">
      <c r="A770" t="s">
        <v>497</v>
      </c>
      <c r="B770" t="s">
        <v>2667</v>
      </c>
      <c r="C770">
        <v>20</v>
      </c>
      <c r="D770">
        <v>1</v>
      </c>
      <c r="E770">
        <v>1</v>
      </c>
      <c r="F770">
        <v>550</v>
      </c>
      <c r="G770">
        <v>1.273E-3</v>
      </c>
      <c r="H770" t="s">
        <v>2197</v>
      </c>
    </row>
    <row r="771" spans="1:8">
      <c r="A771" t="s">
        <v>9390</v>
      </c>
      <c r="B771" t="s">
        <v>5671</v>
      </c>
      <c r="C771">
        <v>50</v>
      </c>
      <c r="D771">
        <v>1</v>
      </c>
      <c r="E771">
        <v>1</v>
      </c>
      <c r="F771">
        <v>1</v>
      </c>
      <c r="G771">
        <v>0</v>
      </c>
      <c r="H771" t="s">
        <v>2197</v>
      </c>
    </row>
    <row r="772" spans="1:8">
      <c r="A772" t="s">
        <v>498</v>
      </c>
      <c r="B772" t="s">
        <v>2668</v>
      </c>
      <c r="C772">
        <v>50</v>
      </c>
      <c r="D772">
        <v>1</v>
      </c>
      <c r="E772">
        <v>1</v>
      </c>
      <c r="F772">
        <v>746</v>
      </c>
      <c r="G772">
        <v>3.3629999999999999E-4</v>
      </c>
      <c r="H772" t="s">
        <v>2197</v>
      </c>
    </row>
    <row r="773" spans="1:8">
      <c r="A773" t="s">
        <v>5677</v>
      </c>
      <c r="B773" t="s">
        <v>5676</v>
      </c>
      <c r="C773">
        <v>100</v>
      </c>
      <c r="D773">
        <v>1</v>
      </c>
      <c r="E773">
        <v>1</v>
      </c>
      <c r="F773">
        <v>100</v>
      </c>
      <c r="G773">
        <v>0</v>
      </c>
      <c r="H773" t="s">
        <v>2197</v>
      </c>
    </row>
    <row r="774" spans="1:8">
      <c r="A774" t="s">
        <v>5679</v>
      </c>
      <c r="B774" t="s">
        <v>5678</v>
      </c>
      <c r="C774">
        <v>12</v>
      </c>
      <c r="D774">
        <v>1</v>
      </c>
      <c r="E774">
        <v>1</v>
      </c>
      <c r="F774">
        <v>1000</v>
      </c>
      <c r="G774">
        <v>0</v>
      </c>
      <c r="H774" t="s">
        <v>2197</v>
      </c>
    </row>
    <row r="775" spans="1:8">
      <c r="A775" t="s">
        <v>5675</v>
      </c>
      <c r="B775" t="s">
        <v>5674</v>
      </c>
      <c r="C775">
        <v>24</v>
      </c>
      <c r="D775">
        <v>1</v>
      </c>
      <c r="E775">
        <v>1</v>
      </c>
      <c r="F775">
        <v>0</v>
      </c>
      <c r="G775">
        <v>0</v>
      </c>
      <c r="H775" t="s">
        <v>2197</v>
      </c>
    </row>
    <row r="776" spans="1:8">
      <c r="A776" t="s">
        <v>5673</v>
      </c>
      <c r="B776" t="s">
        <v>5672</v>
      </c>
      <c r="C776">
        <v>40</v>
      </c>
      <c r="D776">
        <v>1</v>
      </c>
      <c r="E776">
        <v>1</v>
      </c>
      <c r="F776">
        <v>0</v>
      </c>
      <c r="G776">
        <v>0</v>
      </c>
      <c r="H776" t="s">
        <v>2197</v>
      </c>
    </row>
    <row r="777" spans="1:8">
      <c r="A777" t="s">
        <v>5681</v>
      </c>
      <c r="B777" t="s">
        <v>5680</v>
      </c>
      <c r="C777">
        <v>20</v>
      </c>
      <c r="D777">
        <v>1</v>
      </c>
      <c r="E777">
        <v>1</v>
      </c>
      <c r="F777">
        <v>540</v>
      </c>
      <c r="G777">
        <v>8.6399999999999997E-4</v>
      </c>
      <c r="H777" t="s">
        <v>2203</v>
      </c>
    </row>
    <row r="778" spans="1:8">
      <c r="A778" t="s">
        <v>499</v>
      </c>
      <c r="B778" t="s">
        <v>2669</v>
      </c>
      <c r="C778">
        <v>100</v>
      </c>
      <c r="D778">
        <v>1</v>
      </c>
      <c r="E778">
        <v>1</v>
      </c>
      <c r="F778">
        <v>99.2</v>
      </c>
      <c r="G778">
        <v>2.0929999999999999E-4</v>
      </c>
      <c r="H778" t="s">
        <v>2197</v>
      </c>
    </row>
    <row r="779" spans="1:8">
      <c r="A779" t="s">
        <v>5683</v>
      </c>
      <c r="B779" t="s">
        <v>5682</v>
      </c>
      <c r="C779">
        <v>1</v>
      </c>
      <c r="D779">
        <v>1</v>
      </c>
      <c r="E779">
        <v>1</v>
      </c>
      <c r="F779">
        <v>24970</v>
      </c>
      <c r="G779">
        <v>1.8559099999999999E-2</v>
      </c>
      <c r="H779" t="s">
        <v>2307</v>
      </c>
    </row>
    <row r="780" spans="1:8">
      <c r="A780" t="s">
        <v>4435</v>
      </c>
      <c r="B780" t="s">
        <v>5684</v>
      </c>
      <c r="C780">
        <v>100</v>
      </c>
      <c r="D780">
        <v>1</v>
      </c>
      <c r="E780">
        <v>1</v>
      </c>
      <c r="F780">
        <v>125</v>
      </c>
      <c r="G780">
        <v>7.5520000000000003E-4</v>
      </c>
      <c r="H780" t="s">
        <v>2203</v>
      </c>
    </row>
    <row r="781" spans="1:8">
      <c r="A781" t="s">
        <v>503</v>
      </c>
      <c r="B781" t="s">
        <v>2671</v>
      </c>
      <c r="C781">
        <v>100</v>
      </c>
      <c r="D781">
        <v>1</v>
      </c>
      <c r="E781">
        <v>1</v>
      </c>
      <c r="F781">
        <v>149.19999999999999</v>
      </c>
      <c r="G781">
        <v>2.6392499999999998E-4</v>
      </c>
      <c r="H781" t="s">
        <v>2197</v>
      </c>
    </row>
    <row r="782" spans="1:8">
      <c r="A782" t="s">
        <v>4436</v>
      </c>
      <c r="B782" t="s">
        <v>5685</v>
      </c>
      <c r="C782">
        <v>100</v>
      </c>
      <c r="D782">
        <v>1</v>
      </c>
      <c r="E782">
        <v>1</v>
      </c>
      <c r="F782">
        <v>85.3</v>
      </c>
      <c r="G782">
        <v>1.9451249999999999E-4</v>
      </c>
      <c r="H782" t="s">
        <v>2197</v>
      </c>
    </row>
    <row r="783" spans="1:8">
      <c r="A783" t="s">
        <v>5687</v>
      </c>
      <c r="B783" t="s">
        <v>5686</v>
      </c>
      <c r="C783">
        <v>50</v>
      </c>
      <c r="D783">
        <v>1</v>
      </c>
      <c r="E783">
        <v>1</v>
      </c>
      <c r="F783">
        <v>86</v>
      </c>
      <c r="G783">
        <v>2.429E-4</v>
      </c>
      <c r="H783" t="s">
        <v>2197</v>
      </c>
    </row>
    <row r="784" spans="1:8">
      <c r="A784" t="s">
        <v>4437</v>
      </c>
      <c r="B784" t="s">
        <v>5688</v>
      </c>
      <c r="C784">
        <v>100</v>
      </c>
      <c r="D784">
        <v>1</v>
      </c>
      <c r="E784">
        <v>1</v>
      </c>
      <c r="F784">
        <v>0</v>
      </c>
      <c r="G784">
        <v>0</v>
      </c>
      <c r="H784" t="s">
        <v>2197</v>
      </c>
    </row>
    <row r="785" spans="1:8">
      <c r="A785" t="s">
        <v>505</v>
      </c>
      <c r="B785" t="s">
        <v>2673</v>
      </c>
      <c r="C785">
        <v>16</v>
      </c>
      <c r="D785">
        <v>1</v>
      </c>
      <c r="E785">
        <v>1</v>
      </c>
      <c r="F785">
        <v>525</v>
      </c>
      <c r="G785">
        <v>1.7325000000000001E-3</v>
      </c>
      <c r="H785" t="s">
        <v>2203</v>
      </c>
    </row>
    <row r="786" spans="1:8">
      <c r="A786" t="s">
        <v>8368</v>
      </c>
      <c r="B786" t="s">
        <v>8367</v>
      </c>
      <c r="C786">
        <v>1</v>
      </c>
      <c r="D786">
        <v>1</v>
      </c>
      <c r="E786">
        <v>1</v>
      </c>
      <c r="F786">
        <v>1</v>
      </c>
      <c r="G786">
        <v>0</v>
      </c>
      <c r="H786" t="s">
        <v>2221</v>
      </c>
    </row>
    <row r="787" spans="1:8">
      <c r="A787" t="s">
        <v>4442</v>
      </c>
      <c r="B787" t="s">
        <v>5695</v>
      </c>
      <c r="C787">
        <v>100</v>
      </c>
      <c r="D787">
        <v>1</v>
      </c>
      <c r="E787">
        <v>1</v>
      </c>
      <c r="F787">
        <v>120</v>
      </c>
      <c r="G787">
        <v>3.7439999999999999E-4</v>
      </c>
      <c r="H787" t="s">
        <v>2203</v>
      </c>
    </row>
    <row r="788" spans="1:8">
      <c r="A788" t="s">
        <v>4438</v>
      </c>
      <c r="B788" t="s">
        <v>5689</v>
      </c>
      <c r="C788">
        <v>120</v>
      </c>
      <c r="D788">
        <v>1</v>
      </c>
      <c r="E788">
        <v>1</v>
      </c>
      <c r="F788">
        <v>118.416666666667</v>
      </c>
      <c r="G788">
        <v>3.1280000000000001E-4</v>
      </c>
      <c r="H788" t="s">
        <v>2203</v>
      </c>
    </row>
    <row r="789" spans="1:8">
      <c r="A789" t="s">
        <v>5693</v>
      </c>
      <c r="B789" t="s">
        <v>5692</v>
      </c>
      <c r="C789">
        <v>15</v>
      </c>
      <c r="D789">
        <v>1</v>
      </c>
      <c r="E789">
        <v>1</v>
      </c>
      <c r="F789">
        <v>118.416666666667</v>
      </c>
      <c r="G789">
        <v>3.1280000000000001E-4</v>
      </c>
      <c r="H789" t="s">
        <v>2203</v>
      </c>
    </row>
    <row r="790" spans="1:8">
      <c r="A790" t="s">
        <v>4441</v>
      </c>
      <c r="B790" t="s">
        <v>5694</v>
      </c>
      <c r="C790">
        <v>16</v>
      </c>
      <c r="D790">
        <v>1</v>
      </c>
      <c r="E790">
        <v>1</v>
      </c>
      <c r="F790">
        <v>118.416666666667</v>
      </c>
      <c r="G790">
        <v>3.1280000000000001E-4</v>
      </c>
      <c r="H790" t="s">
        <v>2203</v>
      </c>
    </row>
    <row r="791" spans="1:8">
      <c r="A791" t="s">
        <v>4439</v>
      </c>
      <c r="B791" t="s">
        <v>5690</v>
      </c>
      <c r="C791">
        <v>20</v>
      </c>
      <c r="D791">
        <v>1</v>
      </c>
      <c r="E791">
        <v>1</v>
      </c>
      <c r="F791">
        <v>1097.5</v>
      </c>
      <c r="G791">
        <v>2.3084999999999998E-3</v>
      </c>
      <c r="H791" t="s">
        <v>2203</v>
      </c>
    </row>
    <row r="792" spans="1:8">
      <c r="A792" t="s">
        <v>4440</v>
      </c>
      <c r="B792" t="s">
        <v>5691</v>
      </c>
      <c r="C792">
        <v>40</v>
      </c>
      <c r="D792">
        <v>1</v>
      </c>
      <c r="E792">
        <v>1</v>
      </c>
      <c r="F792">
        <v>450.5</v>
      </c>
      <c r="G792">
        <v>9.5484374999999996E-4</v>
      </c>
      <c r="H792" t="s">
        <v>2203</v>
      </c>
    </row>
    <row r="793" spans="1:8">
      <c r="A793" t="s">
        <v>9391</v>
      </c>
      <c r="B793" t="s">
        <v>5698</v>
      </c>
      <c r="C793">
        <v>20</v>
      </c>
      <c r="D793">
        <v>1</v>
      </c>
      <c r="E793">
        <v>1</v>
      </c>
      <c r="F793">
        <v>1</v>
      </c>
      <c r="G793">
        <v>0</v>
      </c>
      <c r="H793" t="s">
        <v>2203</v>
      </c>
    </row>
    <row r="794" spans="1:8">
      <c r="A794" t="s">
        <v>9392</v>
      </c>
      <c r="B794" t="s">
        <v>5697</v>
      </c>
      <c r="C794">
        <v>30</v>
      </c>
      <c r="D794">
        <v>1</v>
      </c>
      <c r="E794">
        <v>1</v>
      </c>
      <c r="F794">
        <v>1</v>
      </c>
      <c r="G794">
        <v>0</v>
      </c>
      <c r="H794" t="s">
        <v>2203</v>
      </c>
    </row>
    <row r="795" spans="1:8">
      <c r="A795" t="s">
        <v>9393</v>
      </c>
      <c r="B795" t="s">
        <v>5696</v>
      </c>
      <c r="C795">
        <v>60</v>
      </c>
      <c r="D795">
        <v>1</v>
      </c>
      <c r="E795">
        <v>1</v>
      </c>
      <c r="F795">
        <v>1</v>
      </c>
      <c r="G795">
        <v>0</v>
      </c>
      <c r="H795" t="s">
        <v>2203</v>
      </c>
    </row>
    <row r="796" spans="1:8">
      <c r="A796" t="s">
        <v>507</v>
      </c>
      <c r="B796" t="s">
        <v>2675</v>
      </c>
      <c r="C796">
        <v>20</v>
      </c>
      <c r="D796">
        <v>1</v>
      </c>
      <c r="E796">
        <v>1</v>
      </c>
      <c r="F796">
        <v>605</v>
      </c>
      <c r="G796">
        <v>1.353E-3</v>
      </c>
      <c r="H796" t="s">
        <v>2197</v>
      </c>
    </row>
    <row r="797" spans="1:8">
      <c r="A797" t="s">
        <v>508</v>
      </c>
      <c r="B797" t="s">
        <v>2677</v>
      </c>
      <c r="C797">
        <v>40</v>
      </c>
      <c r="D797">
        <v>1</v>
      </c>
      <c r="E797">
        <v>1</v>
      </c>
      <c r="F797">
        <v>320</v>
      </c>
      <c r="G797">
        <v>7.1049999999999998E-4</v>
      </c>
      <c r="H797" t="s">
        <v>2197</v>
      </c>
    </row>
    <row r="798" spans="1:8">
      <c r="A798" t="s">
        <v>4444</v>
      </c>
      <c r="B798" t="s">
        <v>5702</v>
      </c>
      <c r="C798">
        <v>100</v>
      </c>
      <c r="D798">
        <v>1</v>
      </c>
      <c r="E798">
        <v>1</v>
      </c>
      <c r="F798">
        <v>140.5</v>
      </c>
      <c r="G798">
        <v>2.8390000000000002E-4</v>
      </c>
      <c r="H798" t="s">
        <v>2197</v>
      </c>
    </row>
    <row r="799" spans="1:8">
      <c r="A799" t="s">
        <v>5704</v>
      </c>
      <c r="B799" t="s">
        <v>5703</v>
      </c>
      <c r="C799">
        <v>100</v>
      </c>
      <c r="D799">
        <v>1</v>
      </c>
      <c r="E799">
        <v>1</v>
      </c>
      <c r="F799">
        <v>79</v>
      </c>
      <c r="G799">
        <v>2.075E-4</v>
      </c>
      <c r="H799" t="s">
        <v>2197</v>
      </c>
    </row>
    <row r="800" spans="1:8">
      <c r="A800" t="s">
        <v>509</v>
      </c>
      <c r="B800" t="s">
        <v>2678</v>
      </c>
      <c r="C800">
        <v>50</v>
      </c>
      <c r="D800">
        <v>1</v>
      </c>
      <c r="E800">
        <v>1</v>
      </c>
      <c r="F800">
        <v>140</v>
      </c>
      <c r="G800">
        <v>3.2019999999999998E-4</v>
      </c>
      <c r="H800" t="s">
        <v>2197</v>
      </c>
    </row>
    <row r="801" spans="1:8">
      <c r="A801" t="s">
        <v>511</v>
      </c>
      <c r="B801" t="s">
        <v>2680</v>
      </c>
      <c r="C801">
        <v>50</v>
      </c>
      <c r="D801">
        <v>1</v>
      </c>
      <c r="E801">
        <v>1</v>
      </c>
      <c r="F801">
        <v>80</v>
      </c>
      <c r="G801">
        <v>2.429E-4</v>
      </c>
      <c r="H801" t="s">
        <v>2197</v>
      </c>
    </row>
    <row r="802" spans="1:8">
      <c r="A802" t="s">
        <v>4443</v>
      </c>
      <c r="B802" t="s">
        <v>5699</v>
      </c>
      <c r="C802">
        <v>100</v>
      </c>
      <c r="D802">
        <v>1</v>
      </c>
      <c r="E802">
        <v>1</v>
      </c>
      <c r="F802">
        <v>0</v>
      </c>
      <c r="G802">
        <v>0</v>
      </c>
      <c r="H802" t="s">
        <v>2203</v>
      </c>
    </row>
    <row r="803" spans="1:8">
      <c r="A803" t="s">
        <v>5701</v>
      </c>
      <c r="B803" t="s">
        <v>5700</v>
      </c>
      <c r="C803">
        <v>20</v>
      </c>
      <c r="D803">
        <v>1</v>
      </c>
      <c r="E803">
        <v>1</v>
      </c>
      <c r="F803">
        <v>0</v>
      </c>
      <c r="G803">
        <v>0</v>
      </c>
      <c r="H803" t="s">
        <v>2203</v>
      </c>
    </row>
    <row r="804" spans="1:8">
      <c r="A804" t="s">
        <v>513</v>
      </c>
      <c r="B804" t="s">
        <v>2681</v>
      </c>
      <c r="C804">
        <v>25</v>
      </c>
      <c r="D804">
        <v>1</v>
      </c>
      <c r="E804">
        <v>1</v>
      </c>
      <c r="F804">
        <v>14.5</v>
      </c>
      <c r="G804">
        <v>1.56E-3</v>
      </c>
      <c r="H804" t="s">
        <v>2197</v>
      </c>
    </row>
    <row r="805" spans="1:8">
      <c r="A805" t="s">
        <v>515</v>
      </c>
      <c r="B805" t="s">
        <v>2683</v>
      </c>
      <c r="C805">
        <v>20</v>
      </c>
      <c r="D805">
        <v>1</v>
      </c>
      <c r="E805">
        <v>1</v>
      </c>
      <c r="F805">
        <v>650</v>
      </c>
      <c r="G805">
        <v>1.4338E-3</v>
      </c>
      <c r="H805" t="s">
        <v>2197</v>
      </c>
    </row>
    <row r="806" spans="1:8">
      <c r="A806" t="s">
        <v>517</v>
      </c>
      <c r="B806" t="s">
        <v>2684</v>
      </c>
      <c r="C806">
        <v>40</v>
      </c>
      <c r="D806">
        <v>1</v>
      </c>
      <c r="E806">
        <v>1</v>
      </c>
      <c r="F806">
        <v>335</v>
      </c>
      <c r="G806">
        <v>7.6230000000000004E-4</v>
      </c>
      <c r="H806" t="s">
        <v>2197</v>
      </c>
    </row>
    <row r="807" spans="1:8">
      <c r="A807" t="s">
        <v>4445</v>
      </c>
      <c r="B807" t="s">
        <v>5705</v>
      </c>
      <c r="C807">
        <v>6</v>
      </c>
      <c r="D807">
        <v>1</v>
      </c>
      <c r="E807">
        <v>1</v>
      </c>
      <c r="F807">
        <v>0</v>
      </c>
      <c r="G807">
        <v>0</v>
      </c>
      <c r="H807" t="s">
        <v>2203</v>
      </c>
    </row>
    <row r="808" spans="1:8">
      <c r="A808" t="s">
        <v>5707</v>
      </c>
      <c r="B808" t="s">
        <v>5706</v>
      </c>
      <c r="C808">
        <v>12</v>
      </c>
      <c r="D808">
        <v>1</v>
      </c>
      <c r="E808">
        <v>1</v>
      </c>
      <c r="F808">
        <v>1333.3333333333301</v>
      </c>
      <c r="G808">
        <v>0</v>
      </c>
      <c r="H808" t="s">
        <v>2197</v>
      </c>
    </row>
    <row r="809" spans="1:8">
      <c r="A809" t="s">
        <v>5709</v>
      </c>
      <c r="B809" t="s">
        <v>5708</v>
      </c>
      <c r="C809">
        <v>1</v>
      </c>
      <c r="D809">
        <v>1</v>
      </c>
      <c r="E809">
        <v>1</v>
      </c>
      <c r="F809">
        <v>24400</v>
      </c>
      <c r="G809">
        <v>0</v>
      </c>
      <c r="H809" t="s">
        <v>2307</v>
      </c>
    </row>
    <row r="810" spans="1:8">
      <c r="A810" t="s">
        <v>5713</v>
      </c>
      <c r="B810" t="s">
        <v>5712</v>
      </c>
      <c r="C810">
        <v>20</v>
      </c>
      <c r="D810">
        <v>1</v>
      </c>
      <c r="E810">
        <v>1</v>
      </c>
      <c r="F810">
        <v>1000</v>
      </c>
      <c r="G810">
        <v>0</v>
      </c>
      <c r="H810" t="s">
        <v>2197</v>
      </c>
    </row>
    <row r="811" spans="1:8">
      <c r="A811" t="s">
        <v>5711</v>
      </c>
      <c r="B811" t="s">
        <v>5710</v>
      </c>
      <c r="C811">
        <v>4</v>
      </c>
      <c r="D811">
        <v>1</v>
      </c>
      <c r="E811">
        <v>1</v>
      </c>
      <c r="F811">
        <v>0</v>
      </c>
      <c r="G811">
        <v>0</v>
      </c>
      <c r="H811" t="s">
        <v>2197</v>
      </c>
    </row>
    <row r="812" spans="1:8">
      <c r="A812" t="s">
        <v>5717</v>
      </c>
      <c r="B812" t="s">
        <v>5716</v>
      </c>
      <c r="C812">
        <v>12</v>
      </c>
      <c r="D812">
        <v>1</v>
      </c>
      <c r="E812">
        <v>1</v>
      </c>
      <c r="F812">
        <v>0</v>
      </c>
      <c r="G812">
        <v>0</v>
      </c>
      <c r="H812" t="s">
        <v>2197</v>
      </c>
    </row>
    <row r="813" spans="1:8">
      <c r="A813" t="s">
        <v>5715</v>
      </c>
      <c r="B813" t="s">
        <v>5714</v>
      </c>
      <c r="C813">
        <v>50</v>
      </c>
      <c r="D813">
        <v>1</v>
      </c>
      <c r="E813">
        <v>1</v>
      </c>
      <c r="F813">
        <v>0</v>
      </c>
      <c r="G813">
        <v>0</v>
      </c>
      <c r="H813" t="s">
        <v>2197</v>
      </c>
    </row>
    <row r="814" spans="1:8">
      <c r="A814" t="s">
        <v>4446</v>
      </c>
      <c r="B814" t="s">
        <v>5718</v>
      </c>
      <c r="C814">
        <v>4</v>
      </c>
      <c r="D814">
        <v>20</v>
      </c>
      <c r="E814">
        <v>1</v>
      </c>
      <c r="F814">
        <v>59.625</v>
      </c>
      <c r="G814">
        <v>1.4981249999999999E-4</v>
      </c>
      <c r="H814" t="s">
        <v>2197</v>
      </c>
    </row>
    <row r="815" spans="1:8">
      <c r="A815" t="s">
        <v>5722</v>
      </c>
      <c r="B815" t="s">
        <v>5721</v>
      </c>
      <c r="C815">
        <v>50</v>
      </c>
      <c r="D815">
        <v>1</v>
      </c>
      <c r="E815">
        <v>1</v>
      </c>
      <c r="F815">
        <v>161</v>
      </c>
      <c r="G815">
        <v>3.3799999999999998E-4</v>
      </c>
      <c r="H815" t="s">
        <v>2197</v>
      </c>
    </row>
    <row r="816" spans="1:8">
      <c r="A816" t="s">
        <v>5720</v>
      </c>
      <c r="B816" t="s">
        <v>5719</v>
      </c>
      <c r="C816">
        <v>50</v>
      </c>
      <c r="D816">
        <v>1</v>
      </c>
      <c r="E816">
        <v>1</v>
      </c>
      <c r="F816">
        <v>334</v>
      </c>
      <c r="G816">
        <v>6.6239999999999995E-4</v>
      </c>
      <c r="H816" t="s">
        <v>2197</v>
      </c>
    </row>
    <row r="817" spans="1:8">
      <c r="A817" t="s">
        <v>5724</v>
      </c>
      <c r="B817" t="s">
        <v>5723</v>
      </c>
      <c r="C817">
        <v>40</v>
      </c>
      <c r="D817">
        <v>1</v>
      </c>
      <c r="E817">
        <v>1</v>
      </c>
      <c r="F817">
        <v>0</v>
      </c>
      <c r="G817">
        <v>0</v>
      </c>
      <c r="H817" t="s">
        <v>2197</v>
      </c>
    </row>
    <row r="818" spans="1:8">
      <c r="A818" t="s">
        <v>8370</v>
      </c>
      <c r="B818" t="s">
        <v>8369</v>
      </c>
      <c r="C818">
        <v>1</v>
      </c>
      <c r="D818">
        <v>1</v>
      </c>
      <c r="E818">
        <v>1</v>
      </c>
      <c r="F818">
        <v>1</v>
      </c>
      <c r="G818">
        <v>0</v>
      </c>
      <c r="H818" t="s">
        <v>2221</v>
      </c>
    </row>
    <row r="819" spans="1:8">
      <c r="A819" t="s">
        <v>519</v>
      </c>
      <c r="B819" t="s">
        <v>2685</v>
      </c>
      <c r="C819">
        <v>20</v>
      </c>
      <c r="D819">
        <v>1</v>
      </c>
      <c r="E819">
        <v>1</v>
      </c>
      <c r="F819">
        <v>686</v>
      </c>
      <c r="G819">
        <v>1.17705E-3</v>
      </c>
      <c r="H819" t="s">
        <v>2197</v>
      </c>
    </row>
    <row r="820" spans="1:8">
      <c r="A820" t="s">
        <v>522</v>
      </c>
      <c r="B820" t="s">
        <v>2687</v>
      </c>
      <c r="C820">
        <v>40</v>
      </c>
      <c r="D820">
        <v>1</v>
      </c>
      <c r="E820">
        <v>1</v>
      </c>
      <c r="F820">
        <v>356.5</v>
      </c>
      <c r="G820">
        <v>6.6949999999999996E-4</v>
      </c>
      <c r="H820" t="s">
        <v>2197</v>
      </c>
    </row>
    <row r="821" spans="1:8">
      <c r="A821" t="s">
        <v>4447</v>
      </c>
      <c r="B821" t="s">
        <v>5725</v>
      </c>
      <c r="C821">
        <v>50</v>
      </c>
      <c r="D821">
        <v>1</v>
      </c>
      <c r="E821">
        <v>1</v>
      </c>
      <c r="F821">
        <v>150.19999999999999</v>
      </c>
      <c r="G821">
        <v>2.7507999999999998E-4</v>
      </c>
      <c r="H821" t="s">
        <v>2197</v>
      </c>
    </row>
    <row r="822" spans="1:8">
      <c r="A822" t="s">
        <v>526</v>
      </c>
      <c r="B822" t="s">
        <v>2688</v>
      </c>
      <c r="C822">
        <v>10</v>
      </c>
      <c r="D822">
        <v>1</v>
      </c>
      <c r="E822">
        <v>1</v>
      </c>
      <c r="F822">
        <v>2450</v>
      </c>
      <c r="G822">
        <v>2.1150000000000001E-3</v>
      </c>
      <c r="H822" t="s">
        <v>2203</v>
      </c>
    </row>
    <row r="823" spans="1:8">
      <c r="A823" t="s">
        <v>4448</v>
      </c>
      <c r="B823" t="s">
        <v>5726</v>
      </c>
      <c r="C823">
        <v>100</v>
      </c>
      <c r="D823">
        <v>1</v>
      </c>
      <c r="E823">
        <v>1</v>
      </c>
      <c r="F823">
        <v>149.69999999999999</v>
      </c>
      <c r="G823">
        <v>2.8037E-4</v>
      </c>
      <c r="H823" t="s">
        <v>2197</v>
      </c>
    </row>
    <row r="824" spans="1:8">
      <c r="A824" t="s">
        <v>4449</v>
      </c>
      <c r="B824" t="s">
        <v>5727</v>
      </c>
      <c r="C824">
        <v>40</v>
      </c>
      <c r="D824">
        <v>1</v>
      </c>
      <c r="E824">
        <v>1</v>
      </c>
      <c r="F824">
        <v>0</v>
      </c>
      <c r="G824">
        <v>0</v>
      </c>
      <c r="H824" t="s">
        <v>2197</v>
      </c>
    </row>
    <row r="825" spans="1:8">
      <c r="A825" t="s">
        <v>5729</v>
      </c>
      <c r="B825" t="s">
        <v>5728</v>
      </c>
      <c r="C825">
        <v>20</v>
      </c>
      <c r="D825">
        <v>1</v>
      </c>
      <c r="E825">
        <v>1</v>
      </c>
      <c r="F825">
        <v>502.5</v>
      </c>
      <c r="G825">
        <v>2.3552E-3</v>
      </c>
      <c r="H825" t="s">
        <v>2203</v>
      </c>
    </row>
    <row r="826" spans="1:8">
      <c r="A826" t="s">
        <v>5731</v>
      </c>
      <c r="B826" t="s">
        <v>5730</v>
      </c>
      <c r="C826">
        <v>100</v>
      </c>
      <c r="D826">
        <v>1</v>
      </c>
      <c r="E826">
        <v>1</v>
      </c>
      <c r="F826">
        <v>100.6</v>
      </c>
      <c r="G826">
        <v>2.5109999999999998E-4</v>
      </c>
      <c r="H826" t="s">
        <v>2197</v>
      </c>
    </row>
    <row r="827" spans="1:8">
      <c r="A827" t="s">
        <v>5733</v>
      </c>
      <c r="B827" t="s">
        <v>5732</v>
      </c>
      <c r="C827">
        <v>40</v>
      </c>
      <c r="D827">
        <v>1</v>
      </c>
      <c r="E827">
        <v>1</v>
      </c>
      <c r="F827">
        <v>358.75</v>
      </c>
      <c r="G827">
        <v>6.8639999999999999E-4</v>
      </c>
      <c r="H827" t="s">
        <v>2197</v>
      </c>
    </row>
    <row r="828" spans="1:8">
      <c r="A828" t="s">
        <v>4450</v>
      </c>
      <c r="B828" t="s">
        <v>5734</v>
      </c>
      <c r="C828">
        <v>40</v>
      </c>
      <c r="D828">
        <v>1</v>
      </c>
      <c r="E828">
        <v>1</v>
      </c>
      <c r="F828">
        <v>358</v>
      </c>
      <c r="G828">
        <v>6.8639999999999999E-4</v>
      </c>
      <c r="H828" t="s">
        <v>2197</v>
      </c>
    </row>
    <row r="829" spans="1:8">
      <c r="A829" t="s">
        <v>9394</v>
      </c>
      <c r="B829" t="s">
        <v>5736</v>
      </c>
      <c r="C829">
        <v>20</v>
      </c>
      <c r="D829">
        <v>1</v>
      </c>
      <c r="E829">
        <v>1</v>
      </c>
      <c r="F829">
        <v>262.5</v>
      </c>
      <c r="G829">
        <v>7.1279999999999998E-4</v>
      </c>
      <c r="H829" t="s">
        <v>2197</v>
      </c>
    </row>
    <row r="830" spans="1:8">
      <c r="A830" t="s">
        <v>9395</v>
      </c>
      <c r="B830" t="s">
        <v>5735</v>
      </c>
      <c r="C830">
        <v>50</v>
      </c>
      <c r="D830">
        <v>1</v>
      </c>
      <c r="E830">
        <v>1</v>
      </c>
      <c r="F830">
        <v>305</v>
      </c>
      <c r="G830">
        <v>7.0379999999999998E-4</v>
      </c>
      <c r="H830" t="s">
        <v>2197</v>
      </c>
    </row>
    <row r="831" spans="1:8">
      <c r="A831" t="s">
        <v>4451</v>
      </c>
      <c r="B831" t="s">
        <v>5737</v>
      </c>
      <c r="C831">
        <v>100</v>
      </c>
      <c r="D831">
        <v>1</v>
      </c>
      <c r="E831">
        <v>1</v>
      </c>
      <c r="F831">
        <v>122.4</v>
      </c>
      <c r="G831">
        <v>2.706025E-4</v>
      </c>
      <c r="H831" t="s">
        <v>2197</v>
      </c>
    </row>
    <row r="832" spans="1:8">
      <c r="A832" t="s">
        <v>5739</v>
      </c>
      <c r="B832" t="s">
        <v>5738</v>
      </c>
      <c r="C832">
        <v>20</v>
      </c>
      <c r="D832">
        <v>1</v>
      </c>
      <c r="E832">
        <v>1</v>
      </c>
      <c r="F832">
        <v>542.5</v>
      </c>
      <c r="G832">
        <v>1.17705E-3</v>
      </c>
      <c r="H832" t="s">
        <v>2197</v>
      </c>
    </row>
    <row r="833" spans="1:8">
      <c r="A833" t="s">
        <v>527</v>
      </c>
      <c r="B833" t="s">
        <v>2690</v>
      </c>
      <c r="C833">
        <v>40</v>
      </c>
      <c r="D833">
        <v>1</v>
      </c>
      <c r="E833">
        <v>1</v>
      </c>
      <c r="F833">
        <v>287.5</v>
      </c>
      <c r="G833">
        <v>6.6949999999999996E-4</v>
      </c>
      <c r="H833" t="s">
        <v>2197</v>
      </c>
    </row>
    <row r="834" spans="1:8">
      <c r="A834" t="s">
        <v>9396</v>
      </c>
      <c r="B834" t="s">
        <v>5740</v>
      </c>
      <c r="C834">
        <v>35</v>
      </c>
      <c r="D834">
        <v>1</v>
      </c>
      <c r="E834">
        <v>1</v>
      </c>
      <c r="F834">
        <v>287.71428571428601</v>
      </c>
      <c r="G834">
        <v>8.9005714285714298E-4</v>
      </c>
      <c r="H834" t="s">
        <v>2197</v>
      </c>
    </row>
    <row r="835" spans="1:8">
      <c r="A835" t="s">
        <v>530</v>
      </c>
      <c r="B835" t="s">
        <v>2692</v>
      </c>
      <c r="C835">
        <v>40</v>
      </c>
      <c r="D835">
        <v>1</v>
      </c>
      <c r="E835">
        <v>1</v>
      </c>
      <c r="F835">
        <v>288.8</v>
      </c>
      <c r="G835">
        <v>1.0575000000000001E-3</v>
      </c>
      <c r="H835" t="s">
        <v>2203</v>
      </c>
    </row>
    <row r="836" spans="1:8">
      <c r="A836" t="s">
        <v>9397</v>
      </c>
      <c r="B836" t="s">
        <v>5741</v>
      </c>
      <c r="C836">
        <v>80</v>
      </c>
      <c r="D836">
        <v>1</v>
      </c>
      <c r="E836">
        <v>1</v>
      </c>
      <c r="F836">
        <v>298.8</v>
      </c>
      <c r="G836">
        <v>1.1733E-3</v>
      </c>
      <c r="H836" t="s">
        <v>2203</v>
      </c>
    </row>
    <row r="837" spans="1:8">
      <c r="A837" t="s">
        <v>534</v>
      </c>
      <c r="B837" t="s">
        <v>2694</v>
      </c>
      <c r="C837">
        <v>20</v>
      </c>
      <c r="D837">
        <v>1</v>
      </c>
      <c r="E837">
        <v>1</v>
      </c>
      <c r="F837">
        <v>1175</v>
      </c>
      <c r="G837">
        <v>2.4599999999999999E-3</v>
      </c>
      <c r="H837" t="s">
        <v>2197</v>
      </c>
    </row>
    <row r="838" spans="1:8">
      <c r="A838" t="s">
        <v>4452</v>
      </c>
      <c r="B838" t="s">
        <v>5742</v>
      </c>
      <c r="C838">
        <v>15</v>
      </c>
      <c r="D838">
        <v>1</v>
      </c>
      <c r="E838">
        <v>1</v>
      </c>
      <c r="F838">
        <v>1890</v>
      </c>
      <c r="G838">
        <v>3.875E-3</v>
      </c>
      <c r="H838" t="s">
        <v>2197</v>
      </c>
    </row>
    <row r="839" spans="1:8">
      <c r="A839" t="s">
        <v>4453</v>
      </c>
      <c r="B839" t="s">
        <v>5743</v>
      </c>
      <c r="C839">
        <v>20</v>
      </c>
      <c r="D839">
        <v>1</v>
      </c>
      <c r="E839">
        <v>1</v>
      </c>
      <c r="F839">
        <v>0</v>
      </c>
      <c r="G839">
        <v>0</v>
      </c>
      <c r="H839" t="s">
        <v>2203</v>
      </c>
    </row>
    <row r="840" spans="1:8">
      <c r="A840" t="s">
        <v>535</v>
      </c>
      <c r="B840" t="s">
        <v>2696</v>
      </c>
      <c r="C840">
        <v>20</v>
      </c>
      <c r="D840">
        <v>1</v>
      </c>
      <c r="E840">
        <v>1</v>
      </c>
      <c r="F840">
        <v>910</v>
      </c>
      <c r="G840">
        <v>3.1326000000000001E-3</v>
      </c>
      <c r="H840" t="s">
        <v>2203</v>
      </c>
    </row>
    <row r="841" spans="1:8">
      <c r="A841" t="s">
        <v>536</v>
      </c>
      <c r="B841" t="s">
        <v>2698</v>
      </c>
      <c r="C841">
        <v>10</v>
      </c>
      <c r="D841">
        <v>1</v>
      </c>
      <c r="E841">
        <v>1</v>
      </c>
      <c r="F841">
        <v>1075</v>
      </c>
      <c r="G841">
        <v>2.64E-3</v>
      </c>
      <c r="H841" t="s">
        <v>2197</v>
      </c>
    </row>
    <row r="842" spans="1:8">
      <c r="A842" t="s">
        <v>537</v>
      </c>
      <c r="B842" t="s">
        <v>2700</v>
      </c>
      <c r="C842">
        <v>30</v>
      </c>
      <c r="D842">
        <v>1</v>
      </c>
      <c r="E842">
        <v>1</v>
      </c>
      <c r="F842">
        <v>571.70000000000005</v>
      </c>
      <c r="G842">
        <v>1.3832E-3</v>
      </c>
      <c r="H842" t="s">
        <v>2197</v>
      </c>
    </row>
    <row r="843" spans="1:8">
      <c r="A843" t="s">
        <v>538</v>
      </c>
      <c r="B843" t="s">
        <v>2701</v>
      </c>
      <c r="C843">
        <v>1</v>
      </c>
      <c r="D843">
        <v>1</v>
      </c>
      <c r="E843">
        <v>1</v>
      </c>
      <c r="F843">
        <v>23030</v>
      </c>
      <c r="G843">
        <v>1.8559099999999999E-2</v>
      </c>
      <c r="H843" t="s">
        <v>2303</v>
      </c>
    </row>
    <row r="844" spans="1:8">
      <c r="A844" t="s">
        <v>540</v>
      </c>
      <c r="B844" t="s">
        <v>2703</v>
      </c>
      <c r="C844">
        <v>20</v>
      </c>
      <c r="D844">
        <v>1</v>
      </c>
      <c r="E844">
        <v>1</v>
      </c>
      <c r="F844">
        <v>1220</v>
      </c>
      <c r="G844">
        <v>2.5625000000000001E-3</v>
      </c>
      <c r="H844" t="s">
        <v>2197</v>
      </c>
    </row>
    <row r="845" spans="1:8">
      <c r="A845" t="s">
        <v>542</v>
      </c>
      <c r="B845" t="s">
        <v>2704</v>
      </c>
      <c r="C845">
        <v>4</v>
      </c>
      <c r="D845">
        <v>1</v>
      </c>
      <c r="E845">
        <v>1</v>
      </c>
      <c r="F845">
        <v>5950</v>
      </c>
      <c r="G845">
        <v>8.7889999999999999E-3</v>
      </c>
      <c r="H845" t="s">
        <v>2307</v>
      </c>
    </row>
    <row r="846" spans="1:8">
      <c r="A846" t="s">
        <v>9398</v>
      </c>
      <c r="B846" t="s">
        <v>5744</v>
      </c>
      <c r="C846">
        <v>20</v>
      </c>
      <c r="D846">
        <v>1</v>
      </c>
      <c r="E846">
        <v>1</v>
      </c>
      <c r="F846">
        <v>589</v>
      </c>
      <c r="G846">
        <v>2.3828E-3</v>
      </c>
      <c r="H846" t="s">
        <v>2203</v>
      </c>
    </row>
    <row r="847" spans="1:8">
      <c r="A847" t="s">
        <v>544</v>
      </c>
      <c r="B847" t="s">
        <v>2705</v>
      </c>
      <c r="C847">
        <v>100</v>
      </c>
      <c r="D847">
        <v>1</v>
      </c>
      <c r="E847">
        <v>1</v>
      </c>
      <c r="F847">
        <v>126.5</v>
      </c>
      <c r="G847">
        <v>2.9730000000000002E-4</v>
      </c>
      <c r="H847" t="s">
        <v>2197</v>
      </c>
    </row>
    <row r="848" spans="1:8">
      <c r="A848" t="s">
        <v>547</v>
      </c>
      <c r="B848" t="s">
        <v>2707</v>
      </c>
      <c r="C848">
        <v>100</v>
      </c>
      <c r="D848">
        <v>1</v>
      </c>
      <c r="E848">
        <v>1</v>
      </c>
      <c r="F848">
        <v>72.5</v>
      </c>
      <c r="G848">
        <v>2.318E-4</v>
      </c>
      <c r="H848" t="s">
        <v>2197</v>
      </c>
    </row>
    <row r="849" spans="1:8">
      <c r="A849" t="s">
        <v>551</v>
      </c>
      <c r="B849" t="s">
        <v>2709</v>
      </c>
      <c r="C849">
        <v>20</v>
      </c>
      <c r="D849">
        <v>1</v>
      </c>
      <c r="E849">
        <v>1</v>
      </c>
      <c r="F849">
        <v>549.5</v>
      </c>
      <c r="G849">
        <v>1.078E-3</v>
      </c>
      <c r="H849" t="s">
        <v>2197</v>
      </c>
    </row>
    <row r="850" spans="1:8">
      <c r="A850" t="s">
        <v>4454</v>
      </c>
      <c r="B850" t="s">
        <v>5745</v>
      </c>
      <c r="C850">
        <v>20</v>
      </c>
      <c r="D850">
        <v>1</v>
      </c>
      <c r="E850">
        <v>1</v>
      </c>
      <c r="F850">
        <v>549.5</v>
      </c>
      <c r="G850">
        <v>1.078E-3</v>
      </c>
      <c r="H850" t="s">
        <v>2197</v>
      </c>
    </row>
    <row r="851" spans="1:8">
      <c r="A851" t="s">
        <v>554</v>
      </c>
      <c r="B851" t="s">
        <v>2710</v>
      </c>
      <c r="C851">
        <v>40</v>
      </c>
      <c r="D851">
        <v>1</v>
      </c>
      <c r="E851">
        <v>1</v>
      </c>
      <c r="F851">
        <v>301.75</v>
      </c>
      <c r="G851">
        <v>6.6923999999999998E-4</v>
      </c>
      <c r="H851" t="s">
        <v>2197</v>
      </c>
    </row>
    <row r="852" spans="1:8">
      <c r="A852" t="s">
        <v>4455</v>
      </c>
      <c r="B852" t="s">
        <v>5746</v>
      </c>
      <c r="C852">
        <v>20</v>
      </c>
      <c r="D852">
        <v>1</v>
      </c>
      <c r="E852">
        <v>1</v>
      </c>
      <c r="F852">
        <v>387.5</v>
      </c>
      <c r="G852">
        <v>1.3035E-3</v>
      </c>
      <c r="H852" t="s">
        <v>2197</v>
      </c>
    </row>
    <row r="853" spans="1:8">
      <c r="A853" t="s">
        <v>4456</v>
      </c>
      <c r="B853" t="s">
        <v>5747</v>
      </c>
      <c r="C853">
        <v>48</v>
      </c>
      <c r="D853">
        <v>1</v>
      </c>
      <c r="E853">
        <v>1</v>
      </c>
      <c r="F853">
        <v>221.458333333333</v>
      </c>
      <c r="G853">
        <v>4.2398437499999999E-4</v>
      </c>
      <c r="H853" t="s">
        <v>2197</v>
      </c>
    </row>
    <row r="854" spans="1:8">
      <c r="A854" t="s">
        <v>558</v>
      </c>
      <c r="B854" t="s">
        <v>2711</v>
      </c>
      <c r="C854">
        <v>50</v>
      </c>
      <c r="D854">
        <v>1</v>
      </c>
      <c r="E854">
        <v>1</v>
      </c>
      <c r="F854">
        <v>146</v>
      </c>
      <c r="G854">
        <v>3.1159999999999998E-4</v>
      </c>
      <c r="H854" t="s">
        <v>2197</v>
      </c>
    </row>
    <row r="855" spans="1:8">
      <c r="A855" t="s">
        <v>561</v>
      </c>
      <c r="B855" t="s">
        <v>2713</v>
      </c>
      <c r="C855">
        <v>12</v>
      </c>
      <c r="D855">
        <v>1</v>
      </c>
      <c r="E855">
        <v>1</v>
      </c>
      <c r="F855">
        <v>1168.3333333333301</v>
      </c>
      <c r="G855">
        <v>2.5500000000000002E-3</v>
      </c>
      <c r="H855" t="s">
        <v>2197</v>
      </c>
    </row>
    <row r="856" spans="1:8">
      <c r="A856" t="s">
        <v>5749</v>
      </c>
      <c r="B856" t="s">
        <v>5748</v>
      </c>
      <c r="C856">
        <v>12</v>
      </c>
      <c r="D856">
        <v>1</v>
      </c>
      <c r="E856">
        <v>1</v>
      </c>
      <c r="F856">
        <v>1</v>
      </c>
      <c r="G856">
        <v>0</v>
      </c>
      <c r="H856" t="s">
        <v>2197</v>
      </c>
    </row>
    <row r="857" spans="1:8">
      <c r="A857" t="s">
        <v>563</v>
      </c>
      <c r="B857" t="s">
        <v>2714</v>
      </c>
      <c r="C857">
        <v>20</v>
      </c>
      <c r="D857">
        <v>1</v>
      </c>
      <c r="E857">
        <v>1</v>
      </c>
      <c r="F857">
        <v>687.5</v>
      </c>
      <c r="G857">
        <v>1.3734999999999999E-3</v>
      </c>
      <c r="H857" t="s">
        <v>2197</v>
      </c>
    </row>
    <row r="858" spans="1:8">
      <c r="A858" t="s">
        <v>566</v>
      </c>
      <c r="B858" t="s">
        <v>2716</v>
      </c>
      <c r="C858">
        <v>50</v>
      </c>
      <c r="D858">
        <v>1</v>
      </c>
      <c r="E858">
        <v>1</v>
      </c>
      <c r="F858">
        <v>150</v>
      </c>
      <c r="G858">
        <v>3.2289999999999999E-4</v>
      </c>
      <c r="H858" t="s">
        <v>2197</v>
      </c>
    </row>
    <row r="859" spans="1:8">
      <c r="A859" t="s">
        <v>568</v>
      </c>
      <c r="B859" t="s">
        <v>2717</v>
      </c>
      <c r="C859">
        <v>12</v>
      </c>
      <c r="D859">
        <v>1</v>
      </c>
      <c r="E859">
        <v>1</v>
      </c>
      <c r="F859">
        <v>1</v>
      </c>
      <c r="G859">
        <v>0</v>
      </c>
      <c r="H859" t="s">
        <v>2197</v>
      </c>
    </row>
    <row r="860" spans="1:8">
      <c r="A860" t="s">
        <v>570</v>
      </c>
      <c r="B860" t="s">
        <v>2719</v>
      </c>
      <c r="C860">
        <v>20</v>
      </c>
      <c r="D860">
        <v>1</v>
      </c>
      <c r="E860">
        <v>1</v>
      </c>
      <c r="F860">
        <v>305</v>
      </c>
      <c r="G860">
        <v>1.4207E-3</v>
      </c>
      <c r="H860" t="s">
        <v>2197</v>
      </c>
    </row>
    <row r="861" spans="1:8">
      <c r="A861" t="s">
        <v>573</v>
      </c>
      <c r="B861" t="s">
        <v>2720</v>
      </c>
      <c r="C861">
        <v>50</v>
      </c>
      <c r="D861">
        <v>1</v>
      </c>
      <c r="E861">
        <v>1</v>
      </c>
      <c r="F861">
        <v>90</v>
      </c>
      <c r="G861">
        <v>3.3700000000000001E-4</v>
      </c>
      <c r="H861" t="s">
        <v>2197</v>
      </c>
    </row>
    <row r="862" spans="1:8">
      <c r="A862" t="s">
        <v>576</v>
      </c>
      <c r="B862" t="s">
        <v>2721</v>
      </c>
      <c r="C862">
        <v>20</v>
      </c>
      <c r="D862">
        <v>1</v>
      </c>
      <c r="E862">
        <v>1</v>
      </c>
      <c r="F862">
        <v>1343</v>
      </c>
      <c r="G862">
        <v>2.1976500000000002E-3</v>
      </c>
      <c r="H862" t="s">
        <v>2197</v>
      </c>
    </row>
    <row r="863" spans="1:8">
      <c r="A863" t="s">
        <v>9399</v>
      </c>
      <c r="B863" t="s">
        <v>5750</v>
      </c>
      <c r="C863">
        <v>20</v>
      </c>
      <c r="D863">
        <v>1</v>
      </c>
      <c r="E863">
        <v>1</v>
      </c>
      <c r="F863">
        <v>711</v>
      </c>
      <c r="G863">
        <v>1.2549937500000001E-3</v>
      </c>
      <c r="H863" t="s">
        <v>2197</v>
      </c>
    </row>
    <row r="864" spans="1:8">
      <c r="A864" t="s">
        <v>577</v>
      </c>
      <c r="B864" t="s">
        <v>2723</v>
      </c>
      <c r="C864">
        <v>25</v>
      </c>
      <c r="D864">
        <v>1</v>
      </c>
      <c r="E864">
        <v>1</v>
      </c>
      <c r="F864">
        <v>714</v>
      </c>
      <c r="G864">
        <v>1.2463999999999999E-3</v>
      </c>
      <c r="H864" t="s">
        <v>2197</v>
      </c>
    </row>
    <row r="865" spans="1:8">
      <c r="A865" t="s">
        <v>578</v>
      </c>
      <c r="B865" t="s">
        <v>2724</v>
      </c>
      <c r="C865">
        <v>40</v>
      </c>
      <c r="D865">
        <v>1</v>
      </c>
      <c r="E865">
        <v>1</v>
      </c>
      <c r="F865">
        <v>308.75</v>
      </c>
      <c r="G865">
        <v>6.5938749999999995E-4</v>
      </c>
      <c r="H865" t="s">
        <v>2197</v>
      </c>
    </row>
    <row r="866" spans="1:8">
      <c r="A866" t="s">
        <v>4457</v>
      </c>
      <c r="B866" t="s">
        <v>5751</v>
      </c>
      <c r="C866">
        <v>100</v>
      </c>
      <c r="D866">
        <v>1</v>
      </c>
      <c r="E866">
        <v>1</v>
      </c>
      <c r="F866">
        <v>127.8</v>
      </c>
      <c r="G866">
        <v>6.0433999999999998E-4</v>
      </c>
      <c r="H866" t="s">
        <v>2203</v>
      </c>
    </row>
    <row r="867" spans="1:8">
      <c r="A867" t="s">
        <v>4458</v>
      </c>
      <c r="B867" t="s">
        <v>5752</v>
      </c>
      <c r="C867">
        <v>20</v>
      </c>
      <c r="D867">
        <v>1</v>
      </c>
      <c r="E867">
        <v>1</v>
      </c>
      <c r="F867">
        <v>609</v>
      </c>
      <c r="G867">
        <v>3.436775E-3</v>
      </c>
      <c r="H867" t="s">
        <v>2203</v>
      </c>
    </row>
    <row r="868" spans="1:8">
      <c r="A868" t="s">
        <v>5754</v>
      </c>
      <c r="B868" t="s">
        <v>5753</v>
      </c>
      <c r="C868">
        <v>50</v>
      </c>
      <c r="D868">
        <v>1</v>
      </c>
      <c r="E868">
        <v>1</v>
      </c>
      <c r="F868">
        <v>609</v>
      </c>
      <c r="G868">
        <v>3.436775E-3</v>
      </c>
      <c r="H868" t="s">
        <v>2197</v>
      </c>
    </row>
    <row r="869" spans="1:8">
      <c r="A869" t="s">
        <v>579</v>
      </c>
      <c r="B869" t="s">
        <v>2725</v>
      </c>
      <c r="C869">
        <v>1</v>
      </c>
      <c r="D869">
        <v>1</v>
      </c>
      <c r="E869">
        <v>1</v>
      </c>
      <c r="F869">
        <v>1</v>
      </c>
      <c r="G869">
        <v>0</v>
      </c>
      <c r="H869" t="s">
        <v>2221</v>
      </c>
    </row>
    <row r="870" spans="1:8">
      <c r="A870" t="s">
        <v>580</v>
      </c>
      <c r="B870" t="s">
        <v>2726</v>
      </c>
      <c r="C870">
        <v>1</v>
      </c>
      <c r="D870">
        <v>1</v>
      </c>
      <c r="E870">
        <v>1</v>
      </c>
      <c r="F870">
        <v>1</v>
      </c>
      <c r="G870">
        <v>0</v>
      </c>
      <c r="H870" t="s">
        <v>2221</v>
      </c>
    </row>
    <row r="871" spans="1:8">
      <c r="A871" t="s">
        <v>581</v>
      </c>
      <c r="B871" t="s">
        <v>5762</v>
      </c>
      <c r="C871">
        <v>1</v>
      </c>
      <c r="D871">
        <v>1</v>
      </c>
      <c r="E871">
        <v>1</v>
      </c>
      <c r="F871">
        <v>1</v>
      </c>
      <c r="G871">
        <v>0</v>
      </c>
      <c r="H871" t="s">
        <v>2221</v>
      </c>
    </row>
    <row r="872" spans="1:8">
      <c r="A872" t="s">
        <v>581</v>
      </c>
      <c r="B872" t="s">
        <v>2727</v>
      </c>
      <c r="C872">
        <v>1</v>
      </c>
      <c r="D872">
        <v>1</v>
      </c>
      <c r="E872">
        <v>1</v>
      </c>
      <c r="F872">
        <v>1</v>
      </c>
      <c r="G872">
        <v>0</v>
      </c>
      <c r="H872" t="s">
        <v>2221</v>
      </c>
    </row>
    <row r="873" spans="1:8">
      <c r="A873" t="s">
        <v>582</v>
      </c>
      <c r="B873" t="s">
        <v>5763</v>
      </c>
      <c r="C873">
        <v>1</v>
      </c>
      <c r="D873">
        <v>1</v>
      </c>
      <c r="E873">
        <v>1</v>
      </c>
      <c r="F873">
        <v>1</v>
      </c>
      <c r="G873">
        <v>0</v>
      </c>
      <c r="H873" t="s">
        <v>2221</v>
      </c>
    </row>
    <row r="874" spans="1:8">
      <c r="A874" t="s">
        <v>582</v>
      </c>
      <c r="B874" t="s">
        <v>2728</v>
      </c>
      <c r="C874">
        <v>1</v>
      </c>
      <c r="D874">
        <v>1</v>
      </c>
      <c r="E874">
        <v>1</v>
      </c>
      <c r="F874">
        <v>1</v>
      </c>
      <c r="G874">
        <v>0</v>
      </c>
      <c r="H874" t="s">
        <v>2221</v>
      </c>
    </row>
    <row r="875" spans="1:8">
      <c r="A875" t="s">
        <v>583</v>
      </c>
      <c r="B875" t="s">
        <v>2729</v>
      </c>
      <c r="C875">
        <v>1</v>
      </c>
      <c r="D875">
        <v>1</v>
      </c>
      <c r="E875">
        <v>1</v>
      </c>
      <c r="F875">
        <v>1</v>
      </c>
      <c r="G875">
        <v>0</v>
      </c>
      <c r="H875" t="s">
        <v>2221</v>
      </c>
    </row>
    <row r="876" spans="1:8">
      <c r="A876" t="s">
        <v>584</v>
      </c>
      <c r="B876" t="s">
        <v>5764</v>
      </c>
      <c r="C876">
        <v>1</v>
      </c>
      <c r="D876">
        <v>1</v>
      </c>
      <c r="E876">
        <v>1</v>
      </c>
      <c r="F876">
        <v>1</v>
      </c>
      <c r="G876">
        <v>0</v>
      </c>
      <c r="H876" t="s">
        <v>2221</v>
      </c>
    </row>
    <row r="877" spans="1:8">
      <c r="A877" t="s">
        <v>584</v>
      </c>
      <c r="B877" t="s">
        <v>2730</v>
      </c>
      <c r="C877">
        <v>1</v>
      </c>
      <c r="D877">
        <v>1</v>
      </c>
      <c r="E877">
        <v>1</v>
      </c>
      <c r="F877">
        <v>1</v>
      </c>
      <c r="G877">
        <v>0</v>
      </c>
      <c r="H877" t="s">
        <v>2221</v>
      </c>
    </row>
    <row r="878" spans="1:8">
      <c r="A878" t="s">
        <v>585</v>
      </c>
      <c r="B878" t="s">
        <v>2731</v>
      </c>
      <c r="C878">
        <v>1</v>
      </c>
      <c r="D878">
        <v>1</v>
      </c>
      <c r="E878">
        <v>1</v>
      </c>
      <c r="F878">
        <v>1</v>
      </c>
      <c r="G878">
        <v>0</v>
      </c>
      <c r="H878" t="s">
        <v>2221</v>
      </c>
    </row>
    <row r="879" spans="1:8">
      <c r="A879" t="s">
        <v>4460</v>
      </c>
      <c r="B879" t="s">
        <v>5756</v>
      </c>
      <c r="C879">
        <v>18</v>
      </c>
      <c r="D879">
        <v>1</v>
      </c>
      <c r="E879">
        <v>1</v>
      </c>
      <c r="F879">
        <v>302.8</v>
      </c>
      <c r="G879">
        <v>7.9569999999999999E-4</v>
      </c>
      <c r="H879" t="s">
        <v>2197</v>
      </c>
    </row>
    <row r="880" spans="1:8">
      <c r="A880" t="s">
        <v>4461</v>
      </c>
      <c r="B880" t="s">
        <v>5757</v>
      </c>
      <c r="C880">
        <v>36</v>
      </c>
      <c r="D880">
        <v>1</v>
      </c>
      <c r="E880">
        <v>1</v>
      </c>
      <c r="F880">
        <v>150</v>
      </c>
      <c r="G880">
        <v>3.6400000000000001E-4</v>
      </c>
      <c r="H880" t="s">
        <v>2197</v>
      </c>
    </row>
    <row r="881" spans="1:8">
      <c r="A881" t="s">
        <v>4459</v>
      </c>
      <c r="B881" t="s">
        <v>5755</v>
      </c>
      <c r="C881">
        <v>72</v>
      </c>
      <c r="D881">
        <v>1</v>
      </c>
      <c r="E881">
        <v>1</v>
      </c>
      <c r="F881">
        <v>90.3</v>
      </c>
      <c r="G881">
        <v>2.1780000000000001E-4</v>
      </c>
      <c r="H881" t="s">
        <v>2197</v>
      </c>
    </row>
    <row r="882" spans="1:8">
      <c r="A882" t="s">
        <v>5761</v>
      </c>
      <c r="B882" t="s">
        <v>5760</v>
      </c>
      <c r="C882">
        <v>100</v>
      </c>
      <c r="D882">
        <v>1</v>
      </c>
      <c r="E882">
        <v>1</v>
      </c>
      <c r="F882">
        <v>1</v>
      </c>
      <c r="G882">
        <v>0</v>
      </c>
      <c r="H882" t="s">
        <v>2197</v>
      </c>
    </row>
    <row r="883" spans="1:8">
      <c r="A883" t="s">
        <v>5759</v>
      </c>
      <c r="B883" t="s">
        <v>5758</v>
      </c>
      <c r="C883">
        <v>50</v>
      </c>
      <c r="D883">
        <v>1</v>
      </c>
      <c r="E883">
        <v>1</v>
      </c>
      <c r="F883">
        <v>161</v>
      </c>
      <c r="G883">
        <v>3.3799999999999998E-4</v>
      </c>
      <c r="H883" t="s">
        <v>2197</v>
      </c>
    </row>
    <row r="884" spans="1:8">
      <c r="A884" t="s">
        <v>586</v>
      </c>
      <c r="B884" t="s">
        <v>2732</v>
      </c>
      <c r="C884">
        <v>100</v>
      </c>
      <c r="D884">
        <v>1</v>
      </c>
      <c r="E884">
        <v>1</v>
      </c>
      <c r="F884">
        <v>131</v>
      </c>
      <c r="G884">
        <v>2.8462499999999999E-4</v>
      </c>
      <c r="H884" t="s">
        <v>2197</v>
      </c>
    </row>
    <row r="885" spans="1:8">
      <c r="A885" t="s">
        <v>4462</v>
      </c>
      <c r="B885" t="s">
        <v>5765</v>
      </c>
      <c r="C885">
        <v>100</v>
      </c>
      <c r="D885">
        <v>1</v>
      </c>
      <c r="E885">
        <v>1</v>
      </c>
      <c r="F885">
        <v>131</v>
      </c>
      <c r="G885">
        <v>0</v>
      </c>
      <c r="H885" t="s">
        <v>2197</v>
      </c>
    </row>
    <row r="886" spans="1:8">
      <c r="A886" t="s">
        <v>588</v>
      </c>
      <c r="B886" t="s">
        <v>2736</v>
      </c>
      <c r="C886">
        <v>40</v>
      </c>
      <c r="D886">
        <v>1</v>
      </c>
      <c r="E886">
        <v>1</v>
      </c>
      <c r="F886">
        <v>315</v>
      </c>
      <c r="G886">
        <v>7.1369999999999995E-4</v>
      </c>
      <c r="H886" t="s">
        <v>2197</v>
      </c>
    </row>
    <row r="887" spans="1:8">
      <c r="A887" t="s">
        <v>4463</v>
      </c>
      <c r="B887" t="s">
        <v>5766</v>
      </c>
      <c r="C887">
        <v>10</v>
      </c>
      <c r="D887">
        <v>20</v>
      </c>
      <c r="E887">
        <v>1</v>
      </c>
      <c r="F887">
        <v>0</v>
      </c>
      <c r="G887">
        <v>0</v>
      </c>
      <c r="H887" t="s">
        <v>2203</v>
      </c>
    </row>
    <row r="888" spans="1:8">
      <c r="A888" t="s">
        <v>5770</v>
      </c>
      <c r="B888" t="s">
        <v>5769</v>
      </c>
      <c r="C888">
        <v>20</v>
      </c>
      <c r="D888">
        <v>1</v>
      </c>
      <c r="E888">
        <v>1</v>
      </c>
      <c r="F888">
        <v>557.5</v>
      </c>
      <c r="G888">
        <v>9.1350000000000003E-4</v>
      </c>
      <c r="H888" t="s">
        <v>2197</v>
      </c>
    </row>
    <row r="889" spans="1:8">
      <c r="A889" t="s">
        <v>5776</v>
      </c>
      <c r="B889" t="s">
        <v>5775</v>
      </c>
      <c r="C889">
        <v>20</v>
      </c>
      <c r="D889">
        <v>1</v>
      </c>
      <c r="E889">
        <v>1</v>
      </c>
      <c r="F889">
        <v>910</v>
      </c>
      <c r="G889">
        <v>1.4352E-3</v>
      </c>
      <c r="H889" t="s">
        <v>2197</v>
      </c>
    </row>
    <row r="890" spans="1:8">
      <c r="A890" t="s">
        <v>5772</v>
      </c>
      <c r="B890" t="s">
        <v>5771</v>
      </c>
      <c r="C890">
        <v>50</v>
      </c>
      <c r="D890">
        <v>1</v>
      </c>
      <c r="E890">
        <v>1</v>
      </c>
      <c r="F890">
        <v>200</v>
      </c>
      <c r="G890">
        <v>3.8949999999999998E-4</v>
      </c>
      <c r="H890" t="s">
        <v>2197</v>
      </c>
    </row>
    <row r="891" spans="1:8">
      <c r="A891" t="s">
        <v>4464</v>
      </c>
      <c r="B891" t="s">
        <v>5767</v>
      </c>
      <c r="C891">
        <v>100</v>
      </c>
      <c r="D891">
        <v>1</v>
      </c>
      <c r="E891">
        <v>1</v>
      </c>
      <c r="F891">
        <v>0</v>
      </c>
      <c r="G891">
        <v>0</v>
      </c>
      <c r="H891" t="s">
        <v>2197</v>
      </c>
    </row>
    <row r="892" spans="1:8">
      <c r="A892" t="s">
        <v>4465</v>
      </c>
      <c r="B892" t="s">
        <v>5768</v>
      </c>
      <c r="C892">
        <v>40</v>
      </c>
      <c r="D892">
        <v>1</v>
      </c>
      <c r="E892">
        <v>1</v>
      </c>
      <c r="F892">
        <v>0</v>
      </c>
      <c r="G892">
        <v>0</v>
      </c>
      <c r="H892" t="s">
        <v>2197</v>
      </c>
    </row>
    <row r="893" spans="1:8">
      <c r="A893" t="s">
        <v>5774</v>
      </c>
      <c r="B893" t="s">
        <v>5773</v>
      </c>
      <c r="C893">
        <v>20</v>
      </c>
      <c r="D893">
        <v>1</v>
      </c>
      <c r="E893">
        <v>1</v>
      </c>
      <c r="F893">
        <v>1130</v>
      </c>
      <c r="G893">
        <v>3.2886999999999999E-3</v>
      </c>
      <c r="H893" t="s">
        <v>2203</v>
      </c>
    </row>
    <row r="894" spans="1:8">
      <c r="A894" t="s">
        <v>590</v>
      </c>
      <c r="B894" t="s">
        <v>2737</v>
      </c>
      <c r="C894">
        <v>15</v>
      </c>
      <c r="D894">
        <v>1</v>
      </c>
      <c r="E894">
        <v>1</v>
      </c>
      <c r="F894">
        <v>1146.7</v>
      </c>
      <c r="G894">
        <v>1.9708E-3</v>
      </c>
      <c r="H894" t="s">
        <v>2197</v>
      </c>
    </row>
    <row r="895" spans="1:8">
      <c r="A895" t="s">
        <v>591</v>
      </c>
      <c r="B895" t="s">
        <v>2739</v>
      </c>
      <c r="C895">
        <v>20</v>
      </c>
      <c r="D895">
        <v>1</v>
      </c>
      <c r="E895">
        <v>1</v>
      </c>
      <c r="F895">
        <v>600</v>
      </c>
      <c r="G895">
        <v>1.062E-3</v>
      </c>
      <c r="H895" t="s">
        <v>2197</v>
      </c>
    </row>
    <row r="896" spans="1:8">
      <c r="A896" t="s">
        <v>592</v>
      </c>
      <c r="B896" t="s">
        <v>2740</v>
      </c>
      <c r="C896">
        <v>1</v>
      </c>
      <c r="D896">
        <v>1</v>
      </c>
      <c r="E896">
        <v>1</v>
      </c>
      <c r="F896">
        <v>1</v>
      </c>
      <c r="G896">
        <v>0</v>
      </c>
      <c r="H896" t="s">
        <v>2197</v>
      </c>
    </row>
    <row r="897" spans="1:8">
      <c r="A897" t="s">
        <v>4466</v>
      </c>
      <c r="B897" t="s">
        <v>5777</v>
      </c>
      <c r="C897">
        <v>20</v>
      </c>
      <c r="D897">
        <v>1</v>
      </c>
      <c r="E897">
        <v>1</v>
      </c>
      <c r="F897">
        <v>1000</v>
      </c>
      <c r="G897">
        <v>0</v>
      </c>
      <c r="H897" t="s">
        <v>2203</v>
      </c>
    </row>
    <row r="898" spans="1:8">
      <c r="A898" t="s">
        <v>5779</v>
      </c>
      <c r="B898" t="s">
        <v>5778</v>
      </c>
      <c r="C898">
        <v>20</v>
      </c>
      <c r="D898">
        <v>1</v>
      </c>
      <c r="E898">
        <v>1</v>
      </c>
      <c r="F898">
        <v>1</v>
      </c>
      <c r="G898">
        <v>0</v>
      </c>
      <c r="H898" t="s">
        <v>2197</v>
      </c>
    </row>
    <row r="899" spans="1:8">
      <c r="A899" t="s">
        <v>5781</v>
      </c>
      <c r="B899" t="s">
        <v>5780</v>
      </c>
      <c r="C899">
        <v>50</v>
      </c>
      <c r="D899">
        <v>1</v>
      </c>
      <c r="E899">
        <v>1</v>
      </c>
      <c r="F899">
        <v>1</v>
      </c>
      <c r="G899">
        <v>0</v>
      </c>
      <c r="H899" t="s">
        <v>2197</v>
      </c>
    </row>
    <row r="900" spans="1:8">
      <c r="A900" t="s">
        <v>5785</v>
      </c>
      <c r="B900" t="s">
        <v>5784</v>
      </c>
      <c r="C900">
        <v>1</v>
      </c>
      <c r="D900">
        <v>1</v>
      </c>
      <c r="E900">
        <v>1</v>
      </c>
      <c r="F900">
        <v>25400</v>
      </c>
      <c r="G900">
        <v>2.205E-2</v>
      </c>
      <c r="H900" t="s">
        <v>2303</v>
      </c>
    </row>
    <row r="901" spans="1:8">
      <c r="A901" t="s">
        <v>5787</v>
      </c>
      <c r="B901" t="s">
        <v>5786</v>
      </c>
      <c r="C901">
        <v>20</v>
      </c>
      <c r="D901">
        <v>1</v>
      </c>
      <c r="E901">
        <v>1</v>
      </c>
      <c r="F901">
        <v>572.5</v>
      </c>
      <c r="G901">
        <v>1.178E-3</v>
      </c>
      <c r="H901" t="s">
        <v>2197</v>
      </c>
    </row>
    <row r="902" spans="1:8">
      <c r="A902" t="s">
        <v>5789</v>
      </c>
      <c r="B902" t="s">
        <v>5788</v>
      </c>
      <c r="C902">
        <v>4</v>
      </c>
      <c r="D902">
        <v>1</v>
      </c>
      <c r="E902">
        <v>1</v>
      </c>
      <c r="F902">
        <v>6587.5</v>
      </c>
      <c r="G902">
        <v>8.1054999999999999E-3</v>
      </c>
      <c r="H902" t="s">
        <v>2307</v>
      </c>
    </row>
    <row r="903" spans="1:8">
      <c r="A903" t="s">
        <v>5783</v>
      </c>
      <c r="B903" t="s">
        <v>5782</v>
      </c>
      <c r="C903">
        <v>40</v>
      </c>
      <c r="D903">
        <v>1</v>
      </c>
      <c r="E903">
        <v>1</v>
      </c>
      <c r="F903">
        <v>308.8</v>
      </c>
      <c r="G903">
        <v>7.5460000000000002E-4</v>
      </c>
      <c r="H903" t="s">
        <v>2197</v>
      </c>
    </row>
    <row r="904" spans="1:8">
      <c r="A904" t="s">
        <v>5791</v>
      </c>
      <c r="B904" t="s">
        <v>5790</v>
      </c>
      <c r="C904">
        <v>20</v>
      </c>
      <c r="D904">
        <v>1</v>
      </c>
      <c r="E904">
        <v>1</v>
      </c>
      <c r="F904">
        <v>610</v>
      </c>
      <c r="G904">
        <v>1.353E-3</v>
      </c>
      <c r="H904" t="s">
        <v>2197</v>
      </c>
    </row>
    <row r="905" spans="1:8">
      <c r="A905" t="s">
        <v>5793</v>
      </c>
      <c r="B905" t="s">
        <v>5792</v>
      </c>
      <c r="C905">
        <v>48</v>
      </c>
      <c r="D905">
        <v>1</v>
      </c>
      <c r="E905">
        <v>1</v>
      </c>
      <c r="F905">
        <v>223.75</v>
      </c>
      <c r="G905">
        <v>4.2398437499999999E-4</v>
      </c>
      <c r="H905" t="s">
        <v>2197</v>
      </c>
    </row>
    <row r="906" spans="1:8">
      <c r="A906" t="s">
        <v>4467</v>
      </c>
      <c r="B906" t="s">
        <v>5794</v>
      </c>
      <c r="C906">
        <v>20</v>
      </c>
      <c r="D906">
        <v>20</v>
      </c>
      <c r="E906">
        <v>1</v>
      </c>
      <c r="F906">
        <v>5</v>
      </c>
      <c r="G906">
        <v>0</v>
      </c>
      <c r="H906" t="s">
        <v>2203</v>
      </c>
    </row>
    <row r="907" spans="1:8">
      <c r="A907" t="s">
        <v>5796</v>
      </c>
      <c r="B907" t="s">
        <v>5795</v>
      </c>
      <c r="C907">
        <v>8</v>
      </c>
      <c r="D907">
        <v>10</v>
      </c>
      <c r="E907">
        <v>1</v>
      </c>
      <c r="F907">
        <v>25</v>
      </c>
      <c r="G907">
        <v>0</v>
      </c>
      <c r="H907" t="s">
        <v>2203</v>
      </c>
    </row>
    <row r="908" spans="1:8">
      <c r="A908" t="s">
        <v>594</v>
      </c>
      <c r="B908" t="s">
        <v>2741</v>
      </c>
      <c r="C908">
        <v>1</v>
      </c>
      <c r="D908">
        <v>1</v>
      </c>
      <c r="E908">
        <v>1</v>
      </c>
      <c r="F908">
        <v>0</v>
      </c>
      <c r="G908">
        <v>0</v>
      </c>
      <c r="H908" t="s">
        <v>2221</v>
      </c>
    </row>
    <row r="909" spans="1:8">
      <c r="A909" t="s">
        <v>595</v>
      </c>
      <c r="B909" t="s">
        <v>2742</v>
      </c>
      <c r="C909">
        <v>1</v>
      </c>
      <c r="D909">
        <v>1</v>
      </c>
      <c r="E909">
        <v>1</v>
      </c>
      <c r="F909">
        <v>1</v>
      </c>
      <c r="G909">
        <v>0</v>
      </c>
      <c r="H909" t="s">
        <v>2221</v>
      </c>
    </row>
    <row r="910" spans="1:8">
      <c r="A910" t="s">
        <v>596</v>
      </c>
      <c r="B910" t="s">
        <v>2743</v>
      </c>
      <c r="C910">
        <v>1</v>
      </c>
      <c r="D910">
        <v>1</v>
      </c>
      <c r="E910">
        <v>1</v>
      </c>
      <c r="F910">
        <v>0</v>
      </c>
      <c r="G910">
        <v>0</v>
      </c>
      <c r="H910" t="s">
        <v>2221</v>
      </c>
    </row>
    <row r="911" spans="1:8">
      <c r="A911" t="s">
        <v>597</v>
      </c>
      <c r="B911" t="s">
        <v>2744</v>
      </c>
      <c r="C911">
        <v>1</v>
      </c>
      <c r="D911">
        <v>1</v>
      </c>
      <c r="E911">
        <v>1</v>
      </c>
      <c r="F911">
        <v>0</v>
      </c>
      <c r="G911">
        <v>0</v>
      </c>
      <c r="H911" t="s">
        <v>2221</v>
      </c>
    </row>
    <row r="912" spans="1:8">
      <c r="A912" t="s">
        <v>598</v>
      </c>
      <c r="B912" t="s">
        <v>2746</v>
      </c>
      <c r="C912">
        <v>40</v>
      </c>
      <c r="D912">
        <v>1</v>
      </c>
      <c r="E912">
        <v>1</v>
      </c>
      <c r="F912">
        <v>570</v>
      </c>
      <c r="G912">
        <v>1.2960000000000001E-3</v>
      </c>
      <c r="H912" t="s">
        <v>2203</v>
      </c>
    </row>
    <row r="913" spans="1:8">
      <c r="A913" t="s">
        <v>599</v>
      </c>
      <c r="B913" t="s">
        <v>2748</v>
      </c>
      <c r="C913">
        <v>1</v>
      </c>
      <c r="D913">
        <v>1</v>
      </c>
      <c r="E913">
        <v>1</v>
      </c>
      <c r="F913">
        <v>1</v>
      </c>
      <c r="G913">
        <v>0</v>
      </c>
      <c r="H913" t="s">
        <v>2221</v>
      </c>
    </row>
    <row r="914" spans="1:8">
      <c r="A914" t="s">
        <v>8374</v>
      </c>
      <c r="B914" t="s">
        <v>8373</v>
      </c>
      <c r="C914">
        <v>1</v>
      </c>
      <c r="D914">
        <v>1</v>
      </c>
      <c r="E914">
        <v>1</v>
      </c>
      <c r="F914">
        <v>1</v>
      </c>
      <c r="G914">
        <v>0</v>
      </c>
      <c r="H914" t="s">
        <v>2221</v>
      </c>
    </row>
    <row r="915" spans="1:8">
      <c r="A915" t="s">
        <v>8372</v>
      </c>
      <c r="B915" t="s">
        <v>8371</v>
      </c>
      <c r="C915">
        <v>1</v>
      </c>
      <c r="D915">
        <v>1</v>
      </c>
      <c r="E915">
        <v>1</v>
      </c>
      <c r="F915">
        <v>1</v>
      </c>
      <c r="G915">
        <v>0</v>
      </c>
      <c r="H915" t="s">
        <v>2221</v>
      </c>
    </row>
    <row r="916" spans="1:8">
      <c r="A916" t="s">
        <v>4468</v>
      </c>
      <c r="B916" t="s">
        <v>5797</v>
      </c>
      <c r="C916">
        <v>20</v>
      </c>
      <c r="D916">
        <v>1</v>
      </c>
      <c r="E916">
        <v>1</v>
      </c>
      <c r="F916">
        <v>1125</v>
      </c>
      <c r="G916">
        <v>3.2162250000000001E-3</v>
      </c>
      <c r="H916" t="s">
        <v>2203</v>
      </c>
    </row>
    <row r="917" spans="1:8">
      <c r="A917" t="s">
        <v>4469</v>
      </c>
      <c r="B917" t="s">
        <v>5798</v>
      </c>
      <c r="C917">
        <v>20</v>
      </c>
      <c r="D917">
        <v>1</v>
      </c>
      <c r="E917">
        <v>1</v>
      </c>
      <c r="F917">
        <v>592.5</v>
      </c>
      <c r="G917">
        <v>1.6317E-3</v>
      </c>
      <c r="H917" t="s">
        <v>2203</v>
      </c>
    </row>
    <row r="918" spans="1:8">
      <c r="A918" t="s">
        <v>4470</v>
      </c>
      <c r="B918" t="s">
        <v>5799</v>
      </c>
      <c r="C918">
        <v>50</v>
      </c>
      <c r="D918">
        <v>1</v>
      </c>
      <c r="E918">
        <v>1</v>
      </c>
      <c r="F918">
        <v>243.2</v>
      </c>
      <c r="G918">
        <v>8.1431500000000003E-4</v>
      </c>
      <c r="H918" t="s">
        <v>2203</v>
      </c>
    </row>
    <row r="919" spans="1:8">
      <c r="A919" t="s">
        <v>5805</v>
      </c>
      <c r="B919" t="s">
        <v>5804</v>
      </c>
      <c r="C919">
        <v>1</v>
      </c>
      <c r="D919">
        <v>1</v>
      </c>
      <c r="E919">
        <v>1</v>
      </c>
      <c r="F919">
        <v>1</v>
      </c>
      <c r="G919">
        <v>0</v>
      </c>
      <c r="H919" t="s">
        <v>2303</v>
      </c>
    </row>
    <row r="920" spans="1:8">
      <c r="A920" t="s">
        <v>5801</v>
      </c>
      <c r="B920" t="s">
        <v>5800</v>
      </c>
      <c r="C920">
        <v>20</v>
      </c>
      <c r="D920">
        <v>1</v>
      </c>
      <c r="E920">
        <v>1</v>
      </c>
      <c r="F920">
        <v>1</v>
      </c>
      <c r="G920">
        <v>0</v>
      </c>
      <c r="H920" t="s">
        <v>2197</v>
      </c>
    </row>
    <row r="921" spans="1:8">
      <c r="A921" t="s">
        <v>5803</v>
      </c>
      <c r="B921" t="s">
        <v>5802</v>
      </c>
      <c r="C921">
        <v>4</v>
      </c>
      <c r="D921">
        <v>1</v>
      </c>
      <c r="E921">
        <v>1</v>
      </c>
      <c r="F921">
        <v>1</v>
      </c>
      <c r="G921">
        <v>0</v>
      </c>
      <c r="H921" t="s">
        <v>2307</v>
      </c>
    </row>
    <row r="922" spans="1:8">
      <c r="A922" t="s">
        <v>600</v>
      </c>
      <c r="B922" t="s">
        <v>2749</v>
      </c>
      <c r="C922">
        <v>40</v>
      </c>
      <c r="D922">
        <v>1</v>
      </c>
      <c r="E922">
        <v>1</v>
      </c>
      <c r="F922">
        <v>250</v>
      </c>
      <c r="G922">
        <v>3.0689999999999998E-4</v>
      </c>
      <c r="H922" t="s">
        <v>2197</v>
      </c>
    </row>
    <row r="923" spans="1:8">
      <c r="A923" t="s">
        <v>602</v>
      </c>
      <c r="B923" t="s">
        <v>2751</v>
      </c>
      <c r="C923">
        <v>20</v>
      </c>
      <c r="D923">
        <v>1</v>
      </c>
      <c r="E923">
        <v>1</v>
      </c>
      <c r="F923">
        <v>625</v>
      </c>
      <c r="G923">
        <v>1.3190999999999999E-3</v>
      </c>
      <c r="H923" t="s">
        <v>2197</v>
      </c>
    </row>
    <row r="924" spans="1:8">
      <c r="A924" t="s">
        <v>604</v>
      </c>
      <c r="B924" t="s">
        <v>2753</v>
      </c>
      <c r="C924">
        <v>40</v>
      </c>
      <c r="D924">
        <v>1</v>
      </c>
      <c r="E924">
        <v>1</v>
      </c>
      <c r="F924">
        <v>340</v>
      </c>
      <c r="G924">
        <v>6.9050000000000003E-4</v>
      </c>
      <c r="H924" t="s">
        <v>2197</v>
      </c>
    </row>
    <row r="925" spans="1:8">
      <c r="A925" t="s">
        <v>605</v>
      </c>
      <c r="B925" t="s">
        <v>2754</v>
      </c>
      <c r="C925">
        <v>50</v>
      </c>
      <c r="D925">
        <v>1</v>
      </c>
      <c r="E925">
        <v>1</v>
      </c>
      <c r="F925">
        <v>132</v>
      </c>
      <c r="G925">
        <v>2.898E-4</v>
      </c>
      <c r="H925" t="s">
        <v>2197</v>
      </c>
    </row>
    <row r="926" spans="1:8">
      <c r="A926" t="s">
        <v>9400</v>
      </c>
      <c r="B926" t="s">
        <v>5807</v>
      </c>
      <c r="C926">
        <v>100</v>
      </c>
      <c r="D926">
        <v>1</v>
      </c>
      <c r="E926">
        <v>1</v>
      </c>
      <c r="F926">
        <v>135.4</v>
      </c>
      <c r="G926">
        <v>2.5921000000000001E-4</v>
      </c>
      <c r="H926" t="s">
        <v>2197</v>
      </c>
    </row>
    <row r="927" spans="1:8">
      <c r="A927" t="s">
        <v>5813</v>
      </c>
      <c r="B927" t="s">
        <v>5812</v>
      </c>
      <c r="C927">
        <v>100</v>
      </c>
      <c r="D927">
        <v>1</v>
      </c>
      <c r="E927">
        <v>1</v>
      </c>
      <c r="F927">
        <v>135.4</v>
      </c>
      <c r="G927">
        <v>2.5921000000000001E-4</v>
      </c>
      <c r="H927" t="s">
        <v>2197</v>
      </c>
    </row>
    <row r="928" spans="1:8">
      <c r="A928" t="s">
        <v>9401</v>
      </c>
      <c r="B928" t="s">
        <v>5806</v>
      </c>
      <c r="C928">
        <v>100</v>
      </c>
      <c r="D928">
        <v>1</v>
      </c>
      <c r="E928">
        <v>1</v>
      </c>
      <c r="F928">
        <v>74.599999999999994</v>
      </c>
      <c r="G928">
        <v>1.5579999999999999E-4</v>
      </c>
      <c r="H928" t="s">
        <v>2197</v>
      </c>
    </row>
    <row r="929" spans="1:8">
      <c r="A929" t="s">
        <v>5811</v>
      </c>
      <c r="B929" t="s">
        <v>5810</v>
      </c>
      <c r="C929">
        <v>100</v>
      </c>
      <c r="D929">
        <v>1</v>
      </c>
      <c r="E929">
        <v>1</v>
      </c>
      <c r="F929">
        <v>74.599999999999994</v>
      </c>
      <c r="G929">
        <v>1.5579999999999999E-4</v>
      </c>
      <c r="H929" t="s">
        <v>2197</v>
      </c>
    </row>
    <row r="930" spans="1:8">
      <c r="A930" t="s">
        <v>9402</v>
      </c>
      <c r="B930" t="s">
        <v>5809</v>
      </c>
      <c r="C930">
        <v>20</v>
      </c>
      <c r="D930">
        <v>1</v>
      </c>
      <c r="E930">
        <v>1</v>
      </c>
      <c r="F930">
        <v>630.5</v>
      </c>
      <c r="G930">
        <v>1.1682000000000001E-3</v>
      </c>
      <c r="H930" t="s">
        <v>2197</v>
      </c>
    </row>
    <row r="931" spans="1:8">
      <c r="A931" t="s">
        <v>9403</v>
      </c>
      <c r="B931" t="s">
        <v>5808</v>
      </c>
      <c r="C931">
        <v>40</v>
      </c>
      <c r="D931">
        <v>1</v>
      </c>
      <c r="E931">
        <v>1</v>
      </c>
      <c r="F931">
        <v>326</v>
      </c>
      <c r="G931">
        <v>5.9631249999999995E-4</v>
      </c>
      <c r="H931" t="s">
        <v>2197</v>
      </c>
    </row>
    <row r="932" spans="1:8">
      <c r="A932" t="s">
        <v>4473</v>
      </c>
      <c r="B932" t="s">
        <v>5817</v>
      </c>
      <c r="C932">
        <v>10</v>
      </c>
      <c r="D932">
        <v>1</v>
      </c>
      <c r="E932">
        <v>1</v>
      </c>
      <c r="F932">
        <v>1300</v>
      </c>
      <c r="G932">
        <v>2.3341999999999998E-3</v>
      </c>
      <c r="H932" t="s">
        <v>2197</v>
      </c>
    </row>
    <row r="933" spans="1:8">
      <c r="A933" t="s">
        <v>4471</v>
      </c>
      <c r="B933" t="s">
        <v>5816</v>
      </c>
      <c r="C933">
        <v>100</v>
      </c>
      <c r="D933">
        <v>1</v>
      </c>
      <c r="E933">
        <v>1</v>
      </c>
      <c r="F933">
        <v>144.1</v>
      </c>
      <c r="G933">
        <v>2.6737499999999998E-4</v>
      </c>
      <c r="H933" t="s">
        <v>2197</v>
      </c>
    </row>
    <row r="934" spans="1:8">
      <c r="A934" t="s">
        <v>4474</v>
      </c>
      <c r="B934" t="s">
        <v>5814</v>
      </c>
      <c r="C934">
        <v>20</v>
      </c>
      <c r="D934">
        <v>1</v>
      </c>
      <c r="E934">
        <v>1</v>
      </c>
      <c r="F934">
        <v>675</v>
      </c>
      <c r="G934">
        <v>1.242E-3</v>
      </c>
      <c r="H934" t="s">
        <v>2197</v>
      </c>
    </row>
    <row r="935" spans="1:8">
      <c r="A935" t="s">
        <v>4472</v>
      </c>
      <c r="B935" t="s">
        <v>5815</v>
      </c>
      <c r="C935">
        <v>40</v>
      </c>
      <c r="D935">
        <v>1</v>
      </c>
      <c r="E935">
        <v>1</v>
      </c>
      <c r="F935">
        <v>350.75</v>
      </c>
      <c r="G935">
        <v>5.9631249999999995E-4</v>
      </c>
      <c r="H935" t="s">
        <v>2197</v>
      </c>
    </row>
    <row r="936" spans="1:8">
      <c r="A936" t="s">
        <v>4475</v>
      </c>
      <c r="B936" t="s">
        <v>5818</v>
      </c>
      <c r="C936">
        <v>10</v>
      </c>
      <c r="D936">
        <v>1</v>
      </c>
      <c r="E936">
        <v>1</v>
      </c>
      <c r="F936">
        <v>1321</v>
      </c>
      <c r="G936">
        <v>2.2477E-3</v>
      </c>
      <c r="H936" t="s">
        <v>2197</v>
      </c>
    </row>
    <row r="937" spans="1:8">
      <c r="A937" t="s">
        <v>5822</v>
      </c>
      <c r="B937" t="s">
        <v>5821</v>
      </c>
      <c r="C937">
        <v>1</v>
      </c>
      <c r="D937">
        <v>1</v>
      </c>
      <c r="E937">
        <v>1</v>
      </c>
      <c r="F937">
        <v>24420</v>
      </c>
      <c r="G937">
        <v>1.8559124999999999E-2</v>
      </c>
      <c r="H937" t="s">
        <v>2303</v>
      </c>
    </row>
    <row r="938" spans="1:8">
      <c r="A938" t="s">
        <v>5820</v>
      </c>
      <c r="B938" t="s">
        <v>5819</v>
      </c>
      <c r="C938">
        <v>4</v>
      </c>
      <c r="D938">
        <v>1</v>
      </c>
      <c r="E938">
        <v>1</v>
      </c>
      <c r="F938">
        <v>6285</v>
      </c>
      <c r="G938">
        <v>8.6141250000000003E-3</v>
      </c>
      <c r="H938" t="s">
        <v>2307</v>
      </c>
    </row>
    <row r="939" spans="1:8">
      <c r="A939" t="s">
        <v>9404</v>
      </c>
      <c r="B939" t="s">
        <v>5833</v>
      </c>
      <c r="C939">
        <v>10</v>
      </c>
      <c r="D939">
        <v>1</v>
      </c>
      <c r="E939">
        <v>1</v>
      </c>
      <c r="F939">
        <v>1221</v>
      </c>
      <c r="G939">
        <v>2.2477E-3</v>
      </c>
      <c r="H939" t="s">
        <v>2197</v>
      </c>
    </row>
    <row r="940" spans="1:8">
      <c r="A940" t="s">
        <v>9405</v>
      </c>
      <c r="B940" t="s">
        <v>5832</v>
      </c>
      <c r="C940">
        <v>100</v>
      </c>
      <c r="D940">
        <v>1</v>
      </c>
      <c r="E940">
        <v>1</v>
      </c>
      <c r="F940">
        <v>133.19999999999999</v>
      </c>
      <c r="G940">
        <v>2.6202750000000003E-4</v>
      </c>
      <c r="H940" t="s">
        <v>2197</v>
      </c>
    </row>
    <row r="941" spans="1:8">
      <c r="A941" t="s">
        <v>9406</v>
      </c>
      <c r="B941" t="s">
        <v>5831</v>
      </c>
      <c r="C941">
        <v>20</v>
      </c>
      <c r="D941">
        <v>1</v>
      </c>
      <c r="E941">
        <v>1</v>
      </c>
      <c r="F941">
        <v>625</v>
      </c>
      <c r="G941">
        <v>1.1715E-3</v>
      </c>
      <c r="H941" t="s">
        <v>2197</v>
      </c>
    </row>
    <row r="942" spans="1:8">
      <c r="A942" t="s">
        <v>9407</v>
      </c>
      <c r="B942" t="s">
        <v>5830</v>
      </c>
      <c r="C942">
        <v>40</v>
      </c>
      <c r="D942">
        <v>1</v>
      </c>
      <c r="E942">
        <v>1</v>
      </c>
      <c r="F942">
        <v>643</v>
      </c>
      <c r="G942">
        <v>1.1926249999999999E-3</v>
      </c>
      <c r="H942" t="s">
        <v>2197</v>
      </c>
    </row>
    <row r="943" spans="1:8">
      <c r="A943" t="s">
        <v>9408</v>
      </c>
      <c r="B943" t="s">
        <v>5826</v>
      </c>
      <c r="C943">
        <v>10</v>
      </c>
      <c r="D943">
        <v>1</v>
      </c>
      <c r="E943">
        <v>1</v>
      </c>
      <c r="F943">
        <v>321.5</v>
      </c>
      <c r="G943">
        <v>5.9631249999999995E-4</v>
      </c>
      <c r="H943" t="s">
        <v>2197</v>
      </c>
    </row>
    <row r="944" spans="1:8">
      <c r="A944" t="s">
        <v>9409</v>
      </c>
      <c r="B944" t="s">
        <v>5828</v>
      </c>
      <c r="C944">
        <v>15</v>
      </c>
      <c r="D944">
        <v>1</v>
      </c>
      <c r="E944">
        <v>1</v>
      </c>
      <c r="F944">
        <v>1812.6666666666699</v>
      </c>
      <c r="G944">
        <v>2.8405000000000001E-3</v>
      </c>
      <c r="H944" t="s">
        <v>2197</v>
      </c>
    </row>
    <row r="945" spans="1:8">
      <c r="A945" t="s">
        <v>9410</v>
      </c>
      <c r="B945" t="s">
        <v>5827</v>
      </c>
      <c r="C945">
        <v>15</v>
      </c>
      <c r="D945">
        <v>1</v>
      </c>
      <c r="E945">
        <v>1</v>
      </c>
      <c r="F945">
        <v>956</v>
      </c>
      <c r="G945">
        <v>1.5216666666666701E-3</v>
      </c>
      <c r="H945" t="s">
        <v>2197</v>
      </c>
    </row>
    <row r="946" spans="1:8">
      <c r="A946" t="s">
        <v>9411</v>
      </c>
      <c r="B946" t="s">
        <v>5829</v>
      </c>
      <c r="C946">
        <v>40</v>
      </c>
      <c r="D946">
        <v>1</v>
      </c>
      <c r="E946">
        <v>1</v>
      </c>
      <c r="F946">
        <v>493.5</v>
      </c>
      <c r="G946">
        <v>7.6862499999999999E-4</v>
      </c>
      <c r="H946" t="s">
        <v>2197</v>
      </c>
    </row>
    <row r="947" spans="1:8">
      <c r="A947" t="s">
        <v>9412</v>
      </c>
      <c r="B947" t="s">
        <v>5835</v>
      </c>
      <c r="C947">
        <v>20</v>
      </c>
      <c r="D947">
        <v>1</v>
      </c>
      <c r="E947">
        <v>1</v>
      </c>
      <c r="F947">
        <v>515</v>
      </c>
      <c r="G947">
        <v>1.3190999999999999E-3</v>
      </c>
      <c r="H947" t="s">
        <v>2197</v>
      </c>
    </row>
    <row r="948" spans="1:8">
      <c r="A948" t="s">
        <v>9413</v>
      </c>
      <c r="B948" t="s">
        <v>5834</v>
      </c>
      <c r="C948">
        <v>40</v>
      </c>
      <c r="D948">
        <v>1</v>
      </c>
      <c r="E948">
        <v>1</v>
      </c>
      <c r="F948">
        <v>286.3</v>
      </c>
      <c r="G948">
        <v>6.9749999999999999E-4</v>
      </c>
      <c r="H948" t="s">
        <v>2197</v>
      </c>
    </row>
    <row r="949" spans="1:8">
      <c r="A949" t="s">
        <v>4477</v>
      </c>
      <c r="B949" t="s">
        <v>5825</v>
      </c>
      <c r="C949">
        <v>1</v>
      </c>
      <c r="D949">
        <v>1</v>
      </c>
      <c r="E949">
        <v>1</v>
      </c>
      <c r="F949">
        <v>0</v>
      </c>
      <c r="G949">
        <v>0</v>
      </c>
      <c r="H949" t="s">
        <v>2303</v>
      </c>
    </row>
    <row r="950" spans="1:8">
      <c r="A950" t="s">
        <v>9414</v>
      </c>
      <c r="B950" t="s">
        <v>5823</v>
      </c>
      <c r="C950">
        <v>20</v>
      </c>
      <c r="D950">
        <v>1</v>
      </c>
      <c r="E950">
        <v>1</v>
      </c>
      <c r="F950">
        <v>1229</v>
      </c>
      <c r="G950">
        <v>2.3810749999999999E-3</v>
      </c>
      <c r="H950" t="s">
        <v>2197</v>
      </c>
    </row>
    <row r="951" spans="1:8">
      <c r="A951" t="s">
        <v>4476</v>
      </c>
      <c r="B951" t="s">
        <v>5824</v>
      </c>
      <c r="C951">
        <v>4</v>
      </c>
      <c r="D951">
        <v>1</v>
      </c>
      <c r="E951">
        <v>1</v>
      </c>
      <c r="F951">
        <v>6020</v>
      </c>
      <c r="G951">
        <v>8.7416874999999995E-3</v>
      </c>
      <c r="H951" t="s">
        <v>2307</v>
      </c>
    </row>
    <row r="952" spans="1:8">
      <c r="A952" t="s">
        <v>9415</v>
      </c>
      <c r="B952" t="s">
        <v>5836</v>
      </c>
      <c r="C952">
        <v>100</v>
      </c>
      <c r="D952">
        <v>1</v>
      </c>
      <c r="E952">
        <v>1</v>
      </c>
      <c r="F952">
        <v>134</v>
      </c>
      <c r="G952">
        <v>2.6449999999999998E-4</v>
      </c>
      <c r="H952" t="s">
        <v>2197</v>
      </c>
    </row>
    <row r="953" spans="1:8">
      <c r="A953" t="s">
        <v>9416</v>
      </c>
      <c r="B953" t="s">
        <v>5838</v>
      </c>
      <c r="C953">
        <v>100</v>
      </c>
      <c r="D953">
        <v>1</v>
      </c>
      <c r="E953">
        <v>1</v>
      </c>
      <c r="F953">
        <v>74.599999999999994</v>
      </c>
      <c r="G953">
        <v>1.5579999999999999E-4</v>
      </c>
      <c r="H953" t="s">
        <v>2197</v>
      </c>
    </row>
    <row r="954" spans="1:8">
      <c r="A954" t="s">
        <v>9417</v>
      </c>
      <c r="B954" t="s">
        <v>5839</v>
      </c>
      <c r="C954">
        <v>20</v>
      </c>
      <c r="D954">
        <v>1</v>
      </c>
      <c r="E954">
        <v>1</v>
      </c>
      <c r="F954">
        <v>630.5</v>
      </c>
      <c r="G954">
        <v>1.1682000000000001E-3</v>
      </c>
      <c r="H954" t="s">
        <v>2197</v>
      </c>
    </row>
    <row r="955" spans="1:8">
      <c r="A955" t="s">
        <v>9418</v>
      </c>
      <c r="B955" t="s">
        <v>5837</v>
      </c>
      <c r="C955">
        <v>40</v>
      </c>
      <c r="D955">
        <v>1</v>
      </c>
      <c r="E955">
        <v>1</v>
      </c>
      <c r="F955">
        <v>322.5</v>
      </c>
      <c r="G955">
        <v>6.2390000000000004E-4</v>
      </c>
      <c r="H955" t="s">
        <v>2197</v>
      </c>
    </row>
    <row r="956" spans="1:8">
      <c r="A956" t="s">
        <v>9419</v>
      </c>
      <c r="B956" t="s">
        <v>5841</v>
      </c>
      <c r="C956">
        <v>20</v>
      </c>
      <c r="D956">
        <v>1</v>
      </c>
      <c r="E956">
        <v>1</v>
      </c>
      <c r="F956">
        <v>720</v>
      </c>
      <c r="G956">
        <v>1.3110000000000001E-3</v>
      </c>
      <c r="H956" t="s">
        <v>2197</v>
      </c>
    </row>
    <row r="957" spans="1:8">
      <c r="A957" t="s">
        <v>9420</v>
      </c>
      <c r="B957" t="s">
        <v>5840</v>
      </c>
      <c r="C957">
        <v>40</v>
      </c>
      <c r="D957">
        <v>1</v>
      </c>
      <c r="E957">
        <v>1</v>
      </c>
      <c r="F957">
        <v>391.3</v>
      </c>
      <c r="G957">
        <v>7.0560000000000002E-4</v>
      </c>
      <c r="H957" t="s">
        <v>2197</v>
      </c>
    </row>
    <row r="958" spans="1:8">
      <c r="A958" t="s">
        <v>9421</v>
      </c>
      <c r="B958" t="s">
        <v>5842</v>
      </c>
      <c r="C958">
        <v>10</v>
      </c>
      <c r="D958">
        <v>1</v>
      </c>
      <c r="E958">
        <v>1</v>
      </c>
      <c r="F958">
        <v>875</v>
      </c>
      <c r="G958">
        <v>2.8800000000000002E-3</v>
      </c>
      <c r="H958" t="s">
        <v>2203</v>
      </c>
    </row>
    <row r="959" spans="1:8">
      <c r="A959" t="s">
        <v>9422</v>
      </c>
      <c r="B959" t="s">
        <v>5843</v>
      </c>
      <c r="C959">
        <v>100</v>
      </c>
      <c r="D959">
        <v>1</v>
      </c>
      <c r="E959">
        <v>1</v>
      </c>
      <c r="F959">
        <v>114.4</v>
      </c>
      <c r="G959">
        <v>2.6449999999999998E-4</v>
      </c>
      <c r="H959" t="s">
        <v>2197</v>
      </c>
    </row>
    <row r="960" spans="1:8">
      <c r="A960" t="s">
        <v>5846</v>
      </c>
      <c r="B960" t="s">
        <v>5845</v>
      </c>
      <c r="C960">
        <v>100</v>
      </c>
      <c r="D960">
        <v>1</v>
      </c>
      <c r="E960">
        <v>1</v>
      </c>
      <c r="F960">
        <v>114.4</v>
      </c>
      <c r="G960">
        <v>2.6449999999999998E-4</v>
      </c>
      <c r="H960" t="s">
        <v>2197</v>
      </c>
    </row>
    <row r="961" spans="1:8">
      <c r="A961" t="s">
        <v>9423</v>
      </c>
      <c r="B961" t="s">
        <v>5844</v>
      </c>
      <c r="C961">
        <v>40</v>
      </c>
      <c r="D961">
        <v>1</v>
      </c>
      <c r="E961">
        <v>1</v>
      </c>
      <c r="F961">
        <v>327</v>
      </c>
      <c r="G961">
        <v>5.9631249999999995E-4</v>
      </c>
      <c r="H961" t="s">
        <v>2197</v>
      </c>
    </row>
    <row r="962" spans="1:8">
      <c r="A962" t="s">
        <v>4479</v>
      </c>
      <c r="B962" t="s">
        <v>5847</v>
      </c>
      <c r="C962">
        <v>20</v>
      </c>
      <c r="D962">
        <v>1</v>
      </c>
      <c r="E962">
        <v>1</v>
      </c>
      <c r="F962">
        <v>671.5</v>
      </c>
      <c r="G962">
        <v>1.2007999999999999E-3</v>
      </c>
      <c r="H962" t="s">
        <v>2197</v>
      </c>
    </row>
    <row r="963" spans="1:8">
      <c r="A963" t="s">
        <v>4480</v>
      </c>
      <c r="B963" t="s">
        <v>5848</v>
      </c>
      <c r="C963">
        <v>24</v>
      </c>
      <c r="D963">
        <v>1</v>
      </c>
      <c r="E963">
        <v>1</v>
      </c>
      <c r="F963">
        <v>320.8</v>
      </c>
      <c r="G963">
        <v>7.8850000000000003E-4</v>
      </c>
      <c r="H963" t="s">
        <v>2197</v>
      </c>
    </row>
    <row r="964" spans="1:8">
      <c r="A964" t="s">
        <v>4478</v>
      </c>
      <c r="B964" t="s">
        <v>5849</v>
      </c>
      <c r="C964">
        <v>40</v>
      </c>
      <c r="D964">
        <v>1</v>
      </c>
      <c r="E964">
        <v>1</v>
      </c>
      <c r="F964">
        <v>0</v>
      </c>
      <c r="G964">
        <v>0</v>
      </c>
      <c r="H964" t="s">
        <v>2197</v>
      </c>
    </row>
    <row r="965" spans="1:8">
      <c r="A965" t="s">
        <v>607</v>
      </c>
      <c r="B965" t="s">
        <v>2755</v>
      </c>
      <c r="C965">
        <v>4</v>
      </c>
      <c r="D965">
        <v>25</v>
      </c>
      <c r="E965">
        <v>1</v>
      </c>
      <c r="F965">
        <v>0</v>
      </c>
      <c r="G965">
        <v>0</v>
      </c>
      <c r="H965" t="s">
        <v>2197</v>
      </c>
    </row>
    <row r="966" spans="1:8">
      <c r="A966" t="s">
        <v>9424</v>
      </c>
      <c r="B966" t="s">
        <v>5850</v>
      </c>
      <c r="C966">
        <v>100</v>
      </c>
      <c r="D966">
        <v>1</v>
      </c>
      <c r="E966">
        <v>1</v>
      </c>
      <c r="F966">
        <v>120</v>
      </c>
      <c r="G966">
        <v>3.591E-4</v>
      </c>
      <c r="H966" t="s">
        <v>2203</v>
      </c>
    </row>
    <row r="967" spans="1:8">
      <c r="A967" t="s">
        <v>608</v>
      </c>
      <c r="B967" t="s">
        <v>2757</v>
      </c>
      <c r="C967">
        <v>100</v>
      </c>
      <c r="D967">
        <v>1</v>
      </c>
      <c r="E967">
        <v>1</v>
      </c>
      <c r="F967">
        <v>120</v>
      </c>
      <c r="G967">
        <v>3.591E-4</v>
      </c>
      <c r="H967" t="s">
        <v>2203</v>
      </c>
    </row>
    <row r="968" spans="1:8">
      <c r="A968" t="s">
        <v>9425</v>
      </c>
      <c r="B968" t="s">
        <v>5851</v>
      </c>
      <c r="C968">
        <v>40</v>
      </c>
      <c r="D968">
        <v>1</v>
      </c>
      <c r="E968">
        <v>1</v>
      </c>
      <c r="F968">
        <v>250</v>
      </c>
      <c r="G968">
        <v>8.2215000000000001E-4</v>
      </c>
      <c r="H968" t="s">
        <v>2203</v>
      </c>
    </row>
    <row r="969" spans="1:8">
      <c r="A969" t="s">
        <v>5854</v>
      </c>
      <c r="B969" t="s">
        <v>5853</v>
      </c>
      <c r="C969">
        <v>40</v>
      </c>
      <c r="D969">
        <v>1</v>
      </c>
      <c r="E969">
        <v>1</v>
      </c>
      <c r="F969">
        <v>249</v>
      </c>
      <c r="G969">
        <v>8.2220000000000004E-4</v>
      </c>
      <c r="H969" t="s">
        <v>2203</v>
      </c>
    </row>
    <row r="970" spans="1:8">
      <c r="A970" t="s">
        <v>9426</v>
      </c>
      <c r="B970" t="s">
        <v>5852</v>
      </c>
      <c r="C970">
        <v>40</v>
      </c>
      <c r="D970">
        <v>1</v>
      </c>
      <c r="E970">
        <v>1</v>
      </c>
      <c r="F970">
        <v>462.5</v>
      </c>
      <c r="G970">
        <v>1.2474000000000001E-3</v>
      </c>
      <c r="H970" t="s">
        <v>2203</v>
      </c>
    </row>
    <row r="971" spans="1:8">
      <c r="A971" t="s">
        <v>5856</v>
      </c>
      <c r="B971" t="s">
        <v>5855</v>
      </c>
      <c r="C971">
        <v>40</v>
      </c>
      <c r="D971">
        <v>1</v>
      </c>
      <c r="E971">
        <v>1</v>
      </c>
      <c r="F971">
        <v>465.75</v>
      </c>
      <c r="G971">
        <v>1.2474000000000001E-3</v>
      </c>
      <c r="H971" t="s">
        <v>2203</v>
      </c>
    </row>
    <row r="972" spans="1:8">
      <c r="A972" t="s">
        <v>5860</v>
      </c>
      <c r="B972" t="s">
        <v>5859</v>
      </c>
      <c r="C972">
        <v>32</v>
      </c>
      <c r="D972">
        <v>1</v>
      </c>
      <c r="E972">
        <v>1</v>
      </c>
      <c r="F972">
        <v>0</v>
      </c>
      <c r="G972">
        <v>0</v>
      </c>
      <c r="H972" t="s">
        <v>2197</v>
      </c>
    </row>
    <row r="973" spans="1:8">
      <c r="A973" t="s">
        <v>5862</v>
      </c>
      <c r="B973" t="s">
        <v>5861</v>
      </c>
      <c r="C973">
        <v>36</v>
      </c>
      <c r="D973">
        <v>1</v>
      </c>
      <c r="E973">
        <v>1</v>
      </c>
      <c r="F973">
        <v>0</v>
      </c>
      <c r="G973">
        <v>0</v>
      </c>
      <c r="H973" t="s">
        <v>2197</v>
      </c>
    </row>
    <row r="974" spans="1:8">
      <c r="A974" t="s">
        <v>4481</v>
      </c>
      <c r="B974" t="s">
        <v>5857</v>
      </c>
      <c r="C974">
        <v>40</v>
      </c>
      <c r="D974">
        <v>1</v>
      </c>
      <c r="E974">
        <v>1</v>
      </c>
      <c r="F974">
        <v>0</v>
      </c>
      <c r="G974">
        <v>0</v>
      </c>
      <c r="H974" t="s">
        <v>2197</v>
      </c>
    </row>
    <row r="975" spans="1:8">
      <c r="A975" t="s">
        <v>4482</v>
      </c>
      <c r="B975" t="s">
        <v>5858</v>
      </c>
      <c r="C975">
        <v>50</v>
      </c>
      <c r="D975">
        <v>1</v>
      </c>
      <c r="E975">
        <v>1</v>
      </c>
      <c r="F975">
        <v>0</v>
      </c>
      <c r="G975">
        <v>0</v>
      </c>
      <c r="H975" t="s">
        <v>2197</v>
      </c>
    </row>
    <row r="976" spans="1:8">
      <c r="A976" t="s">
        <v>609</v>
      </c>
      <c r="B976" t="s">
        <v>2759</v>
      </c>
      <c r="C976">
        <v>1</v>
      </c>
      <c r="D976">
        <v>1</v>
      </c>
      <c r="E976">
        <v>1</v>
      </c>
      <c r="F976">
        <v>0</v>
      </c>
      <c r="G976">
        <v>0</v>
      </c>
      <c r="H976" t="s">
        <v>2221</v>
      </c>
    </row>
    <row r="977" spans="1:8">
      <c r="A977" t="s">
        <v>4967</v>
      </c>
      <c r="B977" t="s">
        <v>5866</v>
      </c>
      <c r="C977">
        <v>1</v>
      </c>
      <c r="D977">
        <v>1</v>
      </c>
      <c r="E977">
        <v>1</v>
      </c>
      <c r="F977">
        <v>24970</v>
      </c>
      <c r="G977">
        <v>1.8559099999999999E-2</v>
      </c>
      <c r="H977" t="s">
        <v>2303</v>
      </c>
    </row>
    <row r="978" spans="1:8">
      <c r="A978" t="s">
        <v>5864</v>
      </c>
      <c r="B978" t="s">
        <v>5863</v>
      </c>
      <c r="C978">
        <v>20</v>
      </c>
      <c r="D978">
        <v>1</v>
      </c>
      <c r="E978">
        <v>1</v>
      </c>
      <c r="F978">
        <v>1331.5</v>
      </c>
      <c r="G978">
        <v>2.3E-3</v>
      </c>
      <c r="H978" t="s">
        <v>2197</v>
      </c>
    </row>
    <row r="979" spans="1:8">
      <c r="A979" t="s">
        <v>5868</v>
      </c>
      <c r="B979" t="s">
        <v>5867</v>
      </c>
      <c r="C979">
        <v>20</v>
      </c>
      <c r="D979">
        <v>1</v>
      </c>
      <c r="E979">
        <v>1</v>
      </c>
      <c r="F979">
        <v>1</v>
      </c>
      <c r="G979">
        <v>0</v>
      </c>
      <c r="H979" t="s">
        <v>2197</v>
      </c>
    </row>
    <row r="980" spans="1:8">
      <c r="A980" t="s">
        <v>4966</v>
      </c>
      <c r="B980" t="s">
        <v>5865</v>
      </c>
      <c r="C980">
        <v>4</v>
      </c>
      <c r="D980">
        <v>1</v>
      </c>
      <c r="E980">
        <v>1</v>
      </c>
      <c r="F980">
        <v>1331.5</v>
      </c>
      <c r="G980">
        <v>2.3E-3</v>
      </c>
      <c r="H980" t="s">
        <v>2307</v>
      </c>
    </row>
    <row r="981" spans="1:8">
      <c r="A981" t="s">
        <v>5884</v>
      </c>
      <c r="B981" t="s">
        <v>5883</v>
      </c>
      <c r="C981">
        <v>100</v>
      </c>
      <c r="D981">
        <v>1</v>
      </c>
      <c r="E981">
        <v>1</v>
      </c>
      <c r="F981">
        <v>1</v>
      </c>
      <c r="G981">
        <v>0</v>
      </c>
      <c r="H981" t="s">
        <v>2197</v>
      </c>
    </row>
    <row r="982" spans="1:8">
      <c r="A982" t="s">
        <v>5870</v>
      </c>
      <c r="B982" t="s">
        <v>5869</v>
      </c>
      <c r="C982">
        <v>1</v>
      </c>
      <c r="D982">
        <v>1</v>
      </c>
      <c r="E982">
        <v>1</v>
      </c>
      <c r="F982">
        <v>0</v>
      </c>
      <c r="G982">
        <v>0</v>
      </c>
      <c r="H982" t="s">
        <v>2303</v>
      </c>
    </row>
    <row r="983" spans="1:8">
      <c r="A983" t="s">
        <v>5874</v>
      </c>
      <c r="B983" t="s">
        <v>5873</v>
      </c>
      <c r="C983">
        <v>20</v>
      </c>
      <c r="D983">
        <v>1</v>
      </c>
      <c r="E983">
        <v>1</v>
      </c>
      <c r="F983">
        <v>0</v>
      </c>
      <c r="G983">
        <v>0</v>
      </c>
      <c r="H983" t="s">
        <v>2197</v>
      </c>
    </row>
    <row r="984" spans="1:8">
      <c r="A984" t="s">
        <v>5880</v>
      </c>
      <c r="B984" t="s">
        <v>5879</v>
      </c>
      <c r="C984">
        <v>20</v>
      </c>
      <c r="D984">
        <v>1</v>
      </c>
      <c r="E984">
        <v>1</v>
      </c>
      <c r="F984">
        <v>0</v>
      </c>
      <c r="G984">
        <v>0</v>
      </c>
      <c r="H984" t="s">
        <v>2197</v>
      </c>
    </row>
    <row r="985" spans="1:8">
      <c r="A985" t="s">
        <v>5882</v>
      </c>
      <c r="B985" t="s">
        <v>5881</v>
      </c>
      <c r="C985">
        <v>30</v>
      </c>
      <c r="D985">
        <v>1</v>
      </c>
      <c r="E985">
        <v>1</v>
      </c>
      <c r="F985">
        <v>0</v>
      </c>
      <c r="G985">
        <v>0</v>
      </c>
      <c r="H985" t="s">
        <v>2197</v>
      </c>
    </row>
    <row r="986" spans="1:8">
      <c r="A986" t="s">
        <v>5872</v>
      </c>
      <c r="B986" t="s">
        <v>5871</v>
      </c>
      <c r="C986">
        <v>40</v>
      </c>
      <c r="D986">
        <v>1</v>
      </c>
      <c r="E986">
        <v>1</v>
      </c>
      <c r="F986">
        <v>306.3</v>
      </c>
      <c r="G986">
        <v>7.5600000000000005E-4</v>
      </c>
      <c r="H986" t="s">
        <v>2197</v>
      </c>
    </row>
    <row r="987" spans="1:8">
      <c r="A987" t="s">
        <v>5878</v>
      </c>
      <c r="B987" t="s">
        <v>5877</v>
      </c>
      <c r="C987">
        <v>50</v>
      </c>
      <c r="D987">
        <v>1</v>
      </c>
      <c r="E987">
        <v>1</v>
      </c>
      <c r="F987">
        <v>0</v>
      </c>
      <c r="G987">
        <v>0</v>
      </c>
      <c r="H987" t="s">
        <v>2197</v>
      </c>
    </row>
    <row r="988" spans="1:8">
      <c r="A988" t="s">
        <v>5876</v>
      </c>
      <c r="B988" t="s">
        <v>5875</v>
      </c>
      <c r="C988">
        <v>50</v>
      </c>
      <c r="D988">
        <v>1</v>
      </c>
      <c r="E988">
        <v>1</v>
      </c>
      <c r="F988">
        <v>0</v>
      </c>
      <c r="G988">
        <v>0</v>
      </c>
      <c r="H988" t="s">
        <v>2197</v>
      </c>
    </row>
    <row r="989" spans="1:8">
      <c r="A989" t="s">
        <v>9427</v>
      </c>
      <c r="B989" t="s">
        <v>5887</v>
      </c>
      <c r="C989">
        <v>10</v>
      </c>
      <c r="D989">
        <v>1</v>
      </c>
      <c r="E989">
        <v>1</v>
      </c>
      <c r="F989">
        <v>1070</v>
      </c>
      <c r="G989">
        <v>2.2528000000000001E-3</v>
      </c>
      <c r="H989" t="s">
        <v>2203</v>
      </c>
    </row>
    <row r="990" spans="1:8">
      <c r="A990" t="s">
        <v>9428</v>
      </c>
      <c r="B990" t="s">
        <v>5885</v>
      </c>
      <c r="C990">
        <v>100</v>
      </c>
      <c r="D990">
        <v>1</v>
      </c>
      <c r="E990">
        <v>1</v>
      </c>
      <c r="F990">
        <v>117.9</v>
      </c>
      <c r="G990">
        <v>3.2489999999999998E-4</v>
      </c>
      <c r="H990" t="s">
        <v>2203</v>
      </c>
    </row>
    <row r="991" spans="1:8">
      <c r="A991" t="s">
        <v>9429</v>
      </c>
      <c r="B991" t="s">
        <v>5886</v>
      </c>
      <c r="C991">
        <v>25</v>
      </c>
      <c r="D991">
        <v>1</v>
      </c>
      <c r="E991">
        <v>1</v>
      </c>
      <c r="F991">
        <v>443.6</v>
      </c>
      <c r="G991">
        <v>1.2401999999999999E-3</v>
      </c>
      <c r="H991" t="s">
        <v>2203</v>
      </c>
    </row>
    <row r="992" spans="1:8">
      <c r="A992" t="s">
        <v>4486</v>
      </c>
      <c r="B992" t="s">
        <v>5888</v>
      </c>
      <c r="C992">
        <v>10</v>
      </c>
      <c r="D992">
        <v>1</v>
      </c>
      <c r="E992">
        <v>1</v>
      </c>
      <c r="F992">
        <v>1084</v>
      </c>
      <c r="G992">
        <v>2.3605750000000002E-3</v>
      </c>
      <c r="H992" t="s">
        <v>2197</v>
      </c>
    </row>
    <row r="993" spans="1:8">
      <c r="A993" t="s">
        <v>4483</v>
      </c>
      <c r="B993" t="s">
        <v>5889</v>
      </c>
      <c r="C993">
        <v>20</v>
      </c>
      <c r="D993">
        <v>1</v>
      </c>
      <c r="E993">
        <v>1</v>
      </c>
      <c r="F993">
        <v>560</v>
      </c>
      <c r="G993">
        <v>1.235E-3</v>
      </c>
      <c r="H993" t="s">
        <v>2197</v>
      </c>
    </row>
    <row r="994" spans="1:8">
      <c r="A994" t="s">
        <v>4487</v>
      </c>
      <c r="B994" t="s">
        <v>5892</v>
      </c>
      <c r="C994">
        <v>24</v>
      </c>
      <c r="D994">
        <v>1</v>
      </c>
      <c r="E994">
        <v>1</v>
      </c>
      <c r="F994">
        <v>305.41666666666703</v>
      </c>
      <c r="G994">
        <v>7.2625000000000001E-4</v>
      </c>
      <c r="H994" t="s">
        <v>2197</v>
      </c>
    </row>
    <row r="995" spans="1:8">
      <c r="A995" t="s">
        <v>4484</v>
      </c>
      <c r="B995" t="s">
        <v>5890</v>
      </c>
      <c r="C995">
        <v>30</v>
      </c>
      <c r="D995">
        <v>1</v>
      </c>
      <c r="E995">
        <v>1</v>
      </c>
      <c r="F995">
        <v>0</v>
      </c>
      <c r="G995">
        <v>0</v>
      </c>
      <c r="H995" t="s">
        <v>2197</v>
      </c>
    </row>
    <row r="996" spans="1:8">
      <c r="A996" t="s">
        <v>4485</v>
      </c>
      <c r="B996" t="s">
        <v>5891</v>
      </c>
      <c r="C996">
        <v>50</v>
      </c>
      <c r="D996">
        <v>1</v>
      </c>
      <c r="E996">
        <v>1</v>
      </c>
      <c r="F996">
        <v>128.6</v>
      </c>
      <c r="G996">
        <v>3.1799999999999998E-4</v>
      </c>
      <c r="H996" t="s">
        <v>2197</v>
      </c>
    </row>
    <row r="997" spans="1:8">
      <c r="A997" t="s">
        <v>610</v>
      </c>
      <c r="B997" t="s">
        <v>2760</v>
      </c>
      <c r="C997">
        <v>20</v>
      </c>
      <c r="D997">
        <v>1</v>
      </c>
      <c r="E997">
        <v>1</v>
      </c>
      <c r="F997">
        <v>2.8</v>
      </c>
      <c r="G997">
        <v>0</v>
      </c>
      <c r="H997" t="s">
        <v>2197</v>
      </c>
    </row>
    <row r="998" spans="1:8">
      <c r="A998" t="s">
        <v>611</v>
      </c>
      <c r="B998" t="s">
        <v>2763</v>
      </c>
      <c r="C998">
        <v>80</v>
      </c>
      <c r="D998">
        <v>1</v>
      </c>
      <c r="E998">
        <v>1</v>
      </c>
      <c r="F998">
        <v>4</v>
      </c>
      <c r="G998">
        <v>0</v>
      </c>
      <c r="H998" t="s">
        <v>2197</v>
      </c>
    </row>
    <row r="999" spans="1:8">
      <c r="A999" t="s">
        <v>8380</v>
      </c>
      <c r="B999" t="s">
        <v>8379</v>
      </c>
      <c r="C999">
        <v>1</v>
      </c>
      <c r="D999">
        <v>1</v>
      </c>
      <c r="E999">
        <v>1</v>
      </c>
      <c r="F999">
        <v>1</v>
      </c>
      <c r="G999">
        <v>0</v>
      </c>
      <c r="H999" t="s">
        <v>2221</v>
      </c>
    </row>
    <row r="1000" spans="1:8">
      <c r="A1000" t="s">
        <v>8376</v>
      </c>
      <c r="B1000" t="s">
        <v>8375</v>
      </c>
      <c r="C1000">
        <v>1</v>
      </c>
      <c r="D1000">
        <v>1</v>
      </c>
      <c r="E1000">
        <v>1</v>
      </c>
      <c r="F1000">
        <v>1</v>
      </c>
      <c r="G1000">
        <v>0</v>
      </c>
      <c r="H1000" t="s">
        <v>2221</v>
      </c>
    </row>
    <row r="1001" spans="1:8">
      <c r="A1001" t="s">
        <v>8378</v>
      </c>
      <c r="B1001" t="s">
        <v>8377</v>
      </c>
      <c r="C1001">
        <v>1</v>
      </c>
      <c r="D1001">
        <v>1</v>
      </c>
      <c r="E1001">
        <v>1</v>
      </c>
      <c r="F1001">
        <v>1</v>
      </c>
      <c r="G1001">
        <v>0</v>
      </c>
      <c r="H1001" t="s">
        <v>2221</v>
      </c>
    </row>
    <row r="1002" spans="1:8">
      <c r="A1002" t="s">
        <v>612</v>
      </c>
      <c r="B1002" t="s">
        <v>2764</v>
      </c>
      <c r="C1002">
        <v>100</v>
      </c>
      <c r="D1002">
        <v>1</v>
      </c>
      <c r="E1002">
        <v>1</v>
      </c>
      <c r="F1002">
        <v>133</v>
      </c>
      <c r="G1002">
        <v>5.3640000000000003E-4</v>
      </c>
      <c r="H1002" t="s">
        <v>2203</v>
      </c>
    </row>
    <row r="1003" spans="1:8">
      <c r="A1003" t="s">
        <v>5896</v>
      </c>
      <c r="B1003" t="s">
        <v>5895</v>
      </c>
      <c r="C1003">
        <v>1</v>
      </c>
      <c r="D1003">
        <v>1</v>
      </c>
      <c r="E1003">
        <v>1</v>
      </c>
      <c r="F1003">
        <v>1</v>
      </c>
      <c r="G1003">
        <v>0</v>
      </c>
      <c r="H1003" t="s">
        <v>2303</v>
      </c>
    </row>
    <row r="1004" spans="1:8">
      <c r="A1004" t="s">
        <v>5894</v>
      </c>
      <c r="B1004" t="s">
        <v>5893</v>
      </c>
      <c r="C1004">
        <v>20</v>
      </c>
      <c r="D1004">
        <v>1</v>
      </c>
      <c r="E1004">
        <v>1</v>
      </c>
      <c r="F1004">
        <v>1</v>
      </c>
      <c r="G1004">
        <v>0</v>
      </c>
      <c r="H1004" t="s">
        <v>2197</v>
      </c>
    </row>
    <row r="1005" spans="1:8">
      <c r="A1005" t="s">
        <v>5898</v>
      </c>
      <c r="B1005" t="s">
        <v>5897</v>
      </c>
      <c r="C1005">
        <v>15</v>
      </c>
      <c r="D1005">
        <v>1</v>
      </c>
      <c r="E1005">
        <v>1</v>
      </c>
      <c r="F1005">
        <v>1</v>
      </c>
      <c r="G1005">
        <v>0</v>
      </c>
      <c r="H1005" t="s">
        <v>2203</v>
      </c>
    </row>
    <row r="1006" spans="1:8">
      <c r="A1006" t="s">
        <v>5900</v>
      </c>
      <c r="B1006" t="s">
        <v>5899</v>
      </c>
      <c r="C1006">
        <v>1</v>
      </c>
      <c r="D1006">
        <v>1</v>
      </c>
      <c r="E1006">
        <v>1</v>
      </c>
      <c r="F1006">
        <v>1</v>
      </c>
      <c r="G1006">
        <v>0</v>
      </c>
      <c r="H1006" t="s">
        <v>2303</v>
      </c>
    </row>
    <row r="1007" spans="1:8">
      <c r="A1007" t="s">
        <v>613</v>
      </c>
      <c r="B1007" t="s">
        <v>2766</v>
      </c>
      <c r="C1007">
        <v>10</v>
      </c>
      <c r="D1007">
        <v>20</v>
      </c>
      <c r="E1007">
        <v>1</v>
      </c>
      <c r="F1007">
        <v>1</v>
      </c>
      <c r="G1007">
        <v>0</v>
      </c>
      <c r="H1007" t="s">
        <v>2203</v>
      </c>
    </row>
    <row r="1008" spans="1:8">
      <c r="A1008" t="s">
        <v>5902</v>
      </c>
      <c r="B1008" t="s">
        <v>5901</v>
      </c>
      <c r="C1008">
        <v>10</v>
      </c>
      <c r="D1008">
        <v>20</v>
      </c>
      <c r="E1008">
        <v>1</v>
      </c>
      <c r="F1008">
        <v>1</v>
      </c>
      <c r="G1008">
        <v>0</v>
      </c>
      <c r="H1008" t="s">
        <v>2203</v>
      </c>
    </row>
    <row r="1009" spans="1:8">
      <c r="A1009" t="s">
        <v>614</v>
      </c>
      <c r="B1009" t="s">
        <v>2768</v>
      </c>
      <c r="C1009">
        <v>10</v>
      </c>
      <c r="D1009">
        <v>20</v>
      </c>
      <c r="E1009">
        <v>1</v>
      </c>
      <c r="F1009">
        <v>63.3</v>
      </c>
      <c r="G1009">
        <v>2.34E-4</v>
      </c>
      <c r="H1009" t="s">
        <v>2203</v>
      </c>
    </row>
    <row r="1010" spans="1:8">
      <c r="A1010" t="s">
        <v>9430</v>
      </c>
      <c r="B1010" t="s">
        <v>5903</v>
      </c>
      <c r="C1010">
        <v>20</v>
      </c>
      <c r="D1010">
        <v>1</v>
      </c>
      <c r="E1010">
        <v>1</v>
      </c>
      <c r="F1010">
        <v>1262.5</v>
      </c>
      <c r="G1010">
        <v>2.4499999999999999E-3</v>
      </c>
      <c r="H1010" t="s">
        <v>2197</v>
      </c>
    </row>
    <row r="1011" spans="1:8">
      <c r="A1011" t="s">
        <v>9431</v>
      </c>
      <c r="B1011" t="s">
        <v>5907</v>
      </c>
      <c r="C1011">
        <v>20</v>
      </c>
      <c r="D1011">
        <v>1</v>
      </c>
      <c r="E1011">
        <v>1</v>
      </c>
      <c r="F1011">
        <v>660</v>
      </c>
      <c r="G1011">
        <v>1.2999999999999999E-3</v>
      </c>
      <c r="H1011" t="s">
        <v>2197</v>
      </c>
    </row>
    <row r="1012" spans="1:8">
      <c r="A1012" t="s">
        <v>9432</v>
      </c>
      <c r="B1012" t="s">
        <v>5908</v>
      </c>
      <c r="C1012">
        <v>40</v>
      </c>
      <c r="D1012">
        <v>1</v>
      </c>
      <c r="E1012">
        <v>1</v>
      </c>
      <c r="F1012">
        <v>351.3</v>
      </c>
      <c r="G1012">
        <v>6.9019999999999997E-4</v>
      </c>
      <c r="H1012" t="s">
        <v>2197</v>
      </c>
    </row>
    <row r="1013" spans="1:8">
      <c r="A1013" t="s">
        <v>9433</v>
      </c>
      <c r="B1013" t="s">
        <v>5904</v>
      </c>
      <c r="C1013">
        <v>20</v>
      </c>
      <c r="D1013">
        <v>1</v>
      </c>
      <c r="E1013">
        <v>1</v>
      </c>
      <c r="F1013">
        <v>1295</v>
      </c>
      <c r="G1013">
        <v>2.5349999999999999E-3</v>
      </c>
      <c r="H1013" t="s">
        <v>2197</v>
      </c>
    </row>
    <row r="1014" spans="1:8">
      <c r="A1014" t="s">
        <v>9434</v>
      </c>
      <c r="B1014" t="s">
        <v>5906</v>
      </c>
      <c r="C1014">
        <v>20</v>
      </c>
      <c r="D1014">
        <v>1</v>
      </c>
      <c r="E1014">
        <v>1</v>
      </c>
      <c r="F1014">
        <v>279</v>
      </c>
      <c r="G1014">
        <v>6.6E-4</v>
      </c>
      <c r="H1014" t="s">
        <v>2197</v>
      </c>
    </row>
    <row r="1015" spans="1:8">
      <c r="A1015" t="s">
        <v>9435</v>
      </c>
      <c r="B1015" t="s">
        <v>5905</v>
      </c>
      <c r="C1015">
        <v>40</v>
      </c>
      <c r="D1015">
        <v>1</v>
      </c>
      <c r="E1015">
        <v>1</v>
      </c>
      <c r="F1015">
        <v>597.5</v>
      </c>
      <c r="G1015">
        <v>1.421E-3</v>
      </c>
      <c r="H1015" t="s">
        <v>2197</v>
      </c>
    </row>
    <row r="1016" spans="1:8">
      <c r="A1016" t="s">
        <v>5910</v>
      </c>
      <c r="B1016" t="s">
        <v>5909</v>
      </c>
      <c r="C1016">
        <v>1</v>
      </c>
      <c r="D1016">
        <v>1</v>
      </c>
      <c r="E1016">
        <v>1</v>
      </c>
      <c r="F1016">
        <v>1</v>
      </c>
      <c r="G1016">
        <v>0</v>
      </c>
      <c r="H1016" t="s">
        <v>2221</v>
      </c>
    </row>
    <row r="1017" spans="1:8">
      <c r="A1017" t="s">
        <v>5914</v>
      </c>
      <c r="B1017" t="s">
        <v>5913</v>
      </c>
      <c r="C1017">
        <v>100</v>
      </c>
      <c r="D1017">
        <v>1</v>
      </c>
      <c r="E1017">
        <v>1</v>
      </c>
      <c r="F1017">
        <v>176</v>
      </c>
      <c r="G1017">
        <v>8.4000000000000003E-4</v>
      </c>
      <c r="H1017" t="s">
        <v>2203</v>
      </c>
    </row>
    <row r="1018" spans="1:8">
      <c r="A1018" t="s">
        <v>5912</v>
      </c>
      <c r="B1018" t="s">
        <v>5911</v>
      </c>
      <c r="C1018">
        <v>20</v>
      </c>
      <c r="D1018">
        <v>1</v>
      </c>
      <c r="E1018">
        <v>1</v>
      </c>
      <c r="F1018">
        <v>640</v>
      </c>
      <c r="G1018">
        <v>2.898E-3</v>
      </c>
      <c r="H1018" t="s">
        <v>2203</v>
      </c>
    </row>
    <row r="1019" spans="1:8">
      <c r="A1019" t="s">
        <v>616</v>
      </c>
      <c r="B1019" t="s">
        <v>2771</v>
      </c>
      <c r="C1019">
        <v>15</v>
      </c>
      <c r="D1019">
        <v>1</v>
      </c>
      <c r="E1019">
        <v>1</v>
      </c>
      <c r="F1019">
        <v>1180</v>
      </c>
      <c r="G1019">
        <v>1.9400999999999999E-3</v>
      </c>
      <c r="H1019" t="s">
        <v>2197</v>
      </c>
    </row>
    <row r="1020" spans="1:8">
      <c r="A1020" t="s">
        <v>617</v>
      </c>
      <c r="B1020" t="s">
        <v>2772</v>
      </c>
      <c r="C1020">
        <v>15</v>
      </c>
      <c r="D1020">
        <v>1</v>
      </c>
      <c r="E1020">
        <v>1</v>
      </c>
      <c r="F1020">
        <v>1180</v>
      </c>
      <c r="G1020">
        <v>1.9400999999999999E-3</v>
      </c>
      <c r="H1020" t="s">
        <v>2197</v>
      </c>
    </row>
    <row r="1021" spans="1:8">
      <c r="A1021" t="s">
        <v>618</v>
      </c>
      <c r="B1021" t="s">
        <v>2774</v>
      </c>
      <c r="C1021">
        <v>15</v>
      </c>
      <c r="D1021">
        <v>1</v>
      </c>
      <c r="E1021">
        <v>1</v>
      </c>
      <c r="F1021">
        <v>1180</v>
      </c>
      <c r="G1021">
        <v>1.9400999999999999E-3</v>
      </c>
      <c r="H1021" t="s">
        <v>2197</v>
      </c>
    </row>
    <row r="1022" spans="1:8">
      <c r="A1022" t="s">
        <v>4488</v>
      </c>
      <c r="B1022" t="s">
        <v>5915</v>
      </c>
      <c r="C1022">
        <v>15</v>
      </c>
      <c r="D1022">
        <v>1</v>
      </c>
      <c r="E1022">
        <v>1</v>
      </c>
      <c r="F1022">
        <v>1180</v>
      </c>
      <c r="G1022">
        <v>1.9400999999999999E-3</v>
      </c>
      <c r="H1022" t="s">
        <v>2197</v>
      </c>
    </row>
    <row r="1023" spans="1:8">
      <c r="A1023" t="s">
        <v>619</v>
      </c>
      <c r="B1023" t="s">
        <v>2776</v>
      </c>
      <c r="C1023">
        <v>10</v>
      </c>
      <c r="D1023">
        <v>1</v>
      </c>
      <c r="E1023">
        <v>1</v>
      </c>
      <c r="F1023">
        <v>1231</v>
      </c>
      <c r="G1023">
        <v>1.8722000000000001E-3</v>
      </c>
      <c r="H1023" t="s">
        <v>2197</v>
      </c>
    </row>
    <row r="1024" spans="1:8">
      <c r="A1024" t="s">
        <v>620</v>
      </c>
      <c r="B1024" t="s">
        <v>2779</v>
      </c>
      <c r="C1024">
        <v>20</v>
      </c>
      <c r="D1024">
        <v>1</v>
      </c>
      <c r="E1024">
        <v>1</v>
      </c>
      <c r="F1024">
        <v>633.5</v>
      </c>
      <c r="G1024">
        <v>9.7294999999999999E-4</v>
      </c>
      <c r="H1024" t="s">
        <v>2197</v>
      </c>
    </row>
    <row r="1025" spans="1:8">
      <c r="A1025" t="s">
        <v>621</v>
      </c>
      <c r="B1025" t="s">
        <v>2780</v>
      </c>
      <c r="C1025">
        <v>40</v>
      </c>
      <c r="D1025">
        <v>1</v>
      </c>
      <c r="E1025">
        <v>1</v>
      </c>
      <c r="F1025">
        <v>327.5</v>
      </c>
      <c r="G1025">
        <v>6.1689999999999998E-4</v>
      </c>
      <c r="H1025" t="s">
        <v>2197</v>
      </c>
    </row>
    <row r="1026" spans="1:8">
      <c r="A1026" t="s">
        <v>622</v>
      </c>
      <c r="B1026" t="s">
        <v>2781</v>
      </c>
      <c r="C1026">
        <v>50</v>
      </c>
      <c r="D1026">
        <v>1</v>
      </c>
      <c r="E1026">
        <v>1</v>
      </c>
      <c r="F1026">
        <v>144.19999999999999</v>
      </c>
      <c r="G1026">
        <v>4.1649999999999999E-4</v>
      </c>
      <c r="H1026" t="s">
        <v>2197</v>
      </c>
    </row>
    <row r="1027" spans="1:8">
      <c r="A1027" t="s">
        <v>9436</v>
      </c>
      <c r="B1027" t="s">
        <v>5916</v>
      </c>
      <c r="C1027">
        <v>50</v>
      </c>
      <c r="D1027">
        <v>1</v>
      </c>
      <c r="E1027">
        <v>1</v>
      </c>
      <c r="F1027">
        <v>307.60000000000002</v>
      </c>
      <c r="G1027">
        <v>7.0290000000000001E-4</v>
      </c>
      <c r="H1027" t="s">
        <v>2197</v>
      </c>
    </row>
    <row r="1028" spans="1:8">
      <c r="A1028" t="s">
        <v>623</v>
      </c>
      <c r="B1028" t="s">
        <v>2782</v>
      </c>
      <c r="C1028">
        <v>20</v>
      </c>
      <c r="D1028">
        <v>1</v>
      </c>
      <c r="E1028">
        <v>1</v>
      </c>
      <c r="F1028">
        <v>1</v>
      </c>
      <c r="G1028">
        <v>0</v>
      </c>
      <c r="H1028" t="s">
        <v>2197</v>
      </c>
    </row>
    <row r="1029" spans="1:8">
      <c r="A1029" t="s">
        <v>624</v>
      </c>
      <c r="B1029" t="s">
        <v>2785</v>
      </c>
      <c r="C1029">
        <v>20</v>
      </c>
      <c r="D1029">
        <v>1</v>
      </c>
      <c r="E1029">
        <v>1</v>
      </c>
      <c r="F1029">
        <v>497.5</v>
      </c>
      <c r="G1029">
        <v>1.32E-3</v>
      </c>
      <c r="H1029" t="s">
        <v>2197</v>
      </c>
    </row>
    <row r="1030" spans="1:8">
      <c r="A1030" t="s">
        <v>9437</v>
      </c>
      <c r="B1030" t="s">
        <v>5918</v>
      </c>
      <c r="C1030">
        <v>25</v>
      </c>
      <c r="D1030">
        <v>1</v>
      </c>
      <c r="E1030">
        <v>1</v>
      </c>
      <c r="F1030">
        <v>502</v>
      </c>
      <c r="G1030">
        <v>1.5744000000000001E-3</v>
      </c>
      <c r="H1030" t="s">
        <v>2197</v>
      </c>
    </row>
    <row r="1031" spans="1:8">
      <c r="A1031" t="s">
        <v>9438</v>
      </c>
      <c r="B1031" t="s">
        <v>5917</v>
      </c>
      <c r="C1031">
        <v>30</v>
      </c>
      <c r="D1031">
        <v>1</v>
      </c>
      <c r="E1031">
        <v>1</v>
      </c>
      <c r="F1031">
        <v>335</v>
      </c>
      <c r="G1031">
        <v>1.0709999999999999E-3</v>
      </c>
      <c r="H1031" t="s">
        <v>2197</v>
      </c>
    </row>
    <row r="1032" spans="1:8">
      <c r="A1032" t="s">
        <v>625</v>
      </c>
      <c r="B1032" t="s">
        <v>2786</v>
      </c>
      <c r="C1032">
        <v>30</v>
      </c>
      <c r="D1032">
        <v>1</v>
      </c>
      <c r="E1032">
        <v>1</v>
      </c>
      <c r="F1032">
        <v>335</v>
      </c>
      <c r="G1032">
        <v>1.0709999999999999E-3</v>
      </c>
      <c r="H1032" t="s">
        <v>2197</v>
      </c>
    </row>
    <row r="1033" spans="1:8">
      <c r="A1033" t="s">
        <v>626</v>
      </c>
      <c r="B1033" t="s">
        <v>2787</v>
      </c>
      <c r="C1033">
        <v>40</v>
      </c>
      <c r="D1033">
        <v>1</v>
      </c>
      <c r="E1033">
        <v>1</v>
      </c>
      <c r="F1033">
        <v>270</v>
      </c>
      <c r="G1033">
        <v>7.5600000000000005E-4</v>
      </c>
      <c r="H1033" t="s">
        <v>2197</v>
      </c>
    </row>
    <row r="1034" spans="1:8">
      <c r="A1034" t="s">
        <v>627</v>
      </c>
      <c r="B1034" t="s">
        <v>2788</v>
      </c>
      <c r="C1034">
        <v>50</v>
      </c>
      <c r="D1034">
        <v>1</v>
      </c>
      <c r="E1034">
        <v>1</v>
      </c>
      <c r="F1034">
        <v>0</v>
      </c>
      <c r="G1034">
        <v>0</v>
      </c>
      <c r="H1034" t="s">
        <v>2197</v>
      </c>
    </row>
    <row r="1035" spans="1:8">
      <c r="A1035" t="s">
        <v>628</v>
      </c>
      <c r="B1035" t="s">
        <v>2789</v>
      </c>
      <c r="C1035">
        <v>50</v>
      </c>
      <c r="D1035">
        <v>1</v>
      </c>
      <c r="E1035">
        <v>1</v>
      </c>
      <c r="F1035">
        <v>123</v>
      </c>
      <c r="G1035">
        <v>3.7859999999999999E-4</v>
      </c>
      <c r="H1035" t="s">
        <v>2197</v>
      </c>
    </row>
    <row r="1036" spans="1:8">
      <c r="A1036" t="s">
        <v>629</v>
      </c>
      <c r="B1036" t="s">
        <v>2791</v>
      </c>
      <c r="C1036">
        <v>20</v>
      </c>
      <c r="D1036">
        <v>1</v>
      </c>
      <c r="E1036">
        <v>1</v>
      </c>
      <c r="F1036">
        <v>1</v>
      </c>
      <c r="G1036">
        <v>0</v>
      </c>
      <c r="H1036" t="s">
        <v>2197</v>
      </c>
    </row>
    <row r="1037" spans="1:8">
      <c r="A1037" t="s">
        <v>630</v>
      </c>
      <c r="B1037" t="s">
        <v>2793</v>
      </c>
      <c r="C1037">
        <v>1</v>
      </c>
      <c r="D1037">
        <v>1</v>
      </c>
      <c r="E1037">
        <v>1</v>
      </c>
      <c r="F1037">
        <v>1</v>
      </c>
      <c r="G1037">
        <v>0</v>
      </c>
      <c r="H1037" t="s">
        <v>2221</v>
      </c>
    </row>
    <row r="1038" spans="1:8">
      <c r="A1038" t="s">
        <v>631</v>
      </c>
      <c r="B1038" t="s">
        <v>2794</v>
      </c>
      <c r="C1038">
        <v>20</v>
      </c>
      <c r="D1038">
        <v>1</v>
      </c>
      <c r="E1038">
        <v>1</v>
      </c>
      <c r="F1038">
        <v>1</v>
      </c>
      <c r="G1038">
        <v>0</v>
      </c>
      <c r="H1038" t="s">
        <v>2197</v>
      </c>
    </row>
    <row r="1039" spans="1:8">
      <c r="A1039" t="s">
        <v>632</v>
      </c>
      <c r="B1039" t="s">
        <v>2796</v>
      </c>
      <c r="C1039">
        <v>50</v>
      </c>
      <c r="D1039">
        <v>1</v>
      </c>
      <c r="E1039">
        <v>1</v>
      </c>
      <c r="F1039">
        <v>1</v>
      </c>
      <c r="G1039">
        <v>0</v>
      </c>
      <c r="H1039" t="s">
        <v>2197</v>
      </c>
    </row>
    <row r="1040" spans="1:8">
      <c r="A1040" t="s">
        <v>4489</v>
      </c>
      <c r="B1040" t="s">
        <v>5919</v>
      </c>
      <c r="C1040">
        <v>100</v>
      </c>
      <c r="D1040">
        <v>1</v>
      </c>
      <c r="E1040">
        <v>1</v>
      </c>
      <c r="F1040">
        <v>120.4</v>
      </c>
      <c r="G1040">
        <v>3.3704999999999998E-4</v>
      </c>
      <c r="H1040" t="s">
        <v>2197</v>
      </c>
    </row>
    <row r="1041" spans="1:8">
      <c r="A1041" t="s">
        <v>4490</v>
      </c>
      <c r="B1041" t="s">
        <v>5920</v>
      </c>
      <c r="C1041">
        <v>40</v>
      </c>
      <c r="D1041">
        <v>1</v>
      </c>
      <c r="E1041">
        <v>1</v>
      </c>
      <c r="F1041">
        <v>0</v>
      </c>
      <c r="G1041">
        <v>0</v>
      </c>
      <c r="H1041" t="s">
        <v>2197</v>
      </c>
    </row>
    <row r="1042" spans="1:8">
      <c r="A1042" t="s">
        <v>634</v>
      </c>
      <c r="B1042" t="s">
        <v>2797</v>
      </c>
      <c r="C1042">
        <v>1</v>
      </c>
      <c r="D1042">
        <v>1</v>
      </c>
      <c r="E1042">
        <v>1</v>
      </c>
      <c r="F1042">
        <v>1000</v>
      </c>
      <c r="G1042">
        <v>0</v>
      </c>
      <c r="H1042" t="s">
        <v>2197</v>
      </c>
    </row>
    <row r="1043" spans="1:8">
      <c r="A1043" t="s">
        <v>4492</v>
      </c>
      <c r="B1043" t="s">
        <v>5921</v>
      </c>
      <c r="C1043">
        <v>100</v>
      </c>
      <c r="D1043">
        <v>1</v>
      </c>
      <c r="E1043">
        <v>1</v>
      </c>
      <c r="F1043">
        <v>78</v>
      </c>
      <c r="G1043">
        <v>2.1249999999999999E-4</v>
      </c>
      <c r="H1043" t="s">
        <v>2197</v>
      </c>
    </row>
    <row r="1044" spans="1:8">
      <c r="A1044" t="s">
        <v>4493</v>
      </c>
      <c r="B1044" t="s">
        <v>5923</v>
      </c>
      <c r="C1044">
        <v>24</v>
      </c>
      <c r="D1044">
        <v>1</v>
      </c>
      <c r="E1044">
        <v>1</v>
      </c>
      <c r="F1044">
        <v>276.25</v>
      </c>
      <c r="G1044">
        <v>6.8119791666666697E-4</v>
      </c>
      <c r="H1044" t="s">
        <v>2197</v>
      </c>
    </row>
    <row r="1045" spans="1:8">
      <c r="A1045" t="s">
        <v>4491</v>
      </c>
      <c r="B1045" t="s">
        <v>5922</v>
      </c>
      <c r="C1045">
        <v>50</v>
      </c>
      <c r="D1045">
        <v>1</v>
      </c>
      <c r="E1045">
        <v>1</v>
      </c>
      <c r="F1045">
        <v>156.19999999999999</v>
      </c>
      <c r="G1045">
        <v>3.5639999999999999E-4</v>
      </c>
      <c r="H1045" t="s">
        <v>2197</v>
      </c>
    </row>
    <row r="1046" spans="1:8">
      <c r="A1046" t="s">
        <v>5925</v>
      </c>
      <c r="B1046" t="s">
        <v>5924</v>
      </c>
      <c r="C1046">
        <v>10</v>
      </c>
      <c r="D1046">
        <v>20</v>
      </c>
      <c r="E1046">
        <v>1</v>
      </c>
      <c r="F1046">
        <v>0</v>
      </c>
      <c r="G1046">
        <v>0</v>
      </c>
      <c r="H1046" t="s">
        <v>2203</v>
      </c>
    </row>
    <row r="1047" spans="1:8">
      <c r="A1047" t="s">
        <v>4494</v>
      </c>
      <c r="B1047" t="s">
        <v>5926</v>
      </c>
      <c r="C1047">
        <v>10</v>
      </c>
      <c r="D1047">
        <v>5</v>
      </c>
      <c r="E1047">
        <v>1</v>
      </c>
      <c r="F1047">
        <v>0</v>
      </c>
      <c r="G1047">
        <v>0</v>
      </c>
      <c r="H1047" t="s">
        <v>2203</v>
      </c>
    </row>
    <row r="1048" spans="1:8">
      <c r="A1048" t="s">
        <v>5930</v>
      </c>
      <c r="B1048" t="s">
        <v>5929</v>
      </c>
      <c r="C1048">
        <v>40</v>
      </c>
      <c r="D1048">
        <v>1</v>
      </c>
      <c r="E1048">
        <v>1</v>
      </c>
      <c r="F1048">
        <v>300</v>
      </c>
      <c r="G1048">
        <v>1.0353000000000001E-3</v>
      </c>
      <c r="H1048" t="s">
        <v>2203</v>
      </c>
    </row>
    <row r="1049" spans="1:8">
      <c r="A1049" t="s">
        <v>5928</v>
      </c>
      <c r="B1049" t="s">
        <v>5927</v>
      </c>
      <c r="C1049">
        <v>50</v>
      </c>
      <c r="D1049">
        <v>1</v>
      </c>
      <c r="E1049">
        <v>1</v>
      </c>
      <c r="F1049">
        <v>126</v>
      </c>
      <c r="G1049">
        <v>5.0160000000000005E-4</v>
      </c>
      <c r="H1049" t="s">
        <v>2203</v>
      </c>
    </row>
    <row r="1050" spans="1:8">
      <c r="A1050" t="s">
        <v>4495</v>
      </c>
      <c r="B1050" t="s">
        <v>5931</v>
      </c>
      <c r="C1050">
        <v>100</v>
      </c>
      <c r="D1050">
        <v>1</v>
      </c>
      <c r="E1050">
        <v>1</v>
      </c>
      <c r="F1050">
        <v>156.5</v>
      </c>
      <c r="G1050">
        <v>2.8570000000000001E-4</v>
      </c>
      <c r="H1050" t="s">
        <v>2197</v>
      </c>
    </row>
    <row r="1051" spans="1:8">
      <c r="A1051" t="s">
        <v>635</v>
      </c>
      <c r="B1051" t="s">
        <v>2799</v>
      </c>
      <c r="C1051">
        <v>100</v>
      </c>
      <c r="D1051">
        <v>1</v>
      </c>
      <c r="E1051">
        <v>1</v>
      </c>
      <c r="F1051">
        <v>156.5</v>
      </c>
      <c r="G1051">
        <v>2.8570000000000001E-4</v>
      </c>
      <c r="H1051" t="s">
        <v>2221</v>
      </c>
    </row>
    <row r="1052" spans="1:8">
      <c r="A1052" t="s">
        <v>5935</v>
      </c>
      <c r="B1052" t="s">
        <v>5934</v>
      </c>
      <c r="C1052">
        <v>20</v>
      </c>
      <c r="D1052">
        <v>1</v>
      </c>
      <c r="E1052">
        <v>1</v>
      </c>
      <c r="F1052">
        <v>155.69999999999999</v>
      </c>
      <c r="G1052">
        <v>2.7427499999999999E-4</v>
      </c>
      <c r="H1052" t="s">
        <v>2197</v>
      </c>
    </row>
    <row r="1053" spans="1:8">
      <c r="A1053" t="s">
        <v>5933</v>
      </c>
      <c r="B1053" t="s">
        <v>5932</v>
      </c>
      <c r="C1053">
        <v>40</v>
      </c>
      <c r="D1053">
        <v>1</v>
      </c>
      <c r="E1053">
        <v>1</v>
      </c>
      <c r="F1053">
        <v>155.69999999999999</v>
      </c>
      <c r="G1053">
        <v>2.7427499999999999E-4</v>
      </c>
      <c r="H1053" t="s">
        <v>2197</v>
      </c>
    </row>
    <row r="1054" spans="1:8">
      <c r="A1054" t="s">
        <v>9439</v>
      </c>
      <c r="B1054" t="s">
        <v>5936</v>
      </c>
      <c r="C1054">
        <v>20</v>
      </c>
      <c r="D1054">
        <v>1</v>
      </c>
      <c r="E1054">
        <v>1</v>
      </c>
      <c r="F1054">
        <v>397</v>
      </c>
      <c r="G1054">
        <v>7.2274999999999998E-4</v>
      </c>
      <c r="H1054" t="s">
        <v>2197</v>
      </c>
    </row>
    <row r="1055" spans="1:8">
      <c r="A1055" t="s">
        <v>4497</v>
      </c>
      <c r="B1055" t="s">
        <v>5938</v>
      </c>
      <c r="C1055">
        <v>50</v>
      </c>
      <c r="D1055">
        <v>1</v>
      </c>
      <c r="E1055">
        <v>1</v>
      </c>
      <c r="F1055">
        <v>154.6</v>
      </c>
      <c r="G1055">
        <v>3.2824999999999998E-4</v>
      </c>
      <c r="H1055" t="s">
        <v>2197</v>
      </c>
    </row>
    <row r="1056" spans="1:8">
      <c r="A1056" t="s">
        <v>4496</v>
      </c>
      <c r="B1056" t="s">
        <v>5937</v>
      </c>
      <c r="C1056">
        <v>50</v>
      </c>
      <c r="D1056">
        <v>1</v>
      </c>
      <c r="E1056">
        <v>1</v>
      </c>
      <c r="F1056">
        <v>302</v>
      </c>
      <c r="G1056">
        <v>7.0215999999999996E-4</v>
      </c>
      <c r="H1056" t="s">
        <v>2197</v>
      </c>
    </row>
    <row r="1057" spans="1:8">
      <c r="A1057" t="s">
        <v>639</v>
      </c>
      <c r="B1057" t="s">
        <v>2801</v>
      </c>
      <c r="C1057">
        <v>10</v>
      </c>
      <c r="D1057">
        <v>1</v>
      </c>
      <c r="E1057">
        <v>1</v>
      </c>
      <c r="F1057">
        <v>1880</v>
      </c>
      <c r="G1057">
        <v>4.1876999999999999E-3</v>
      </c>
      <c r="H1057" t="s">
        <v>2197</v>
      </c>
    </row>
    <row r="1058" spans="1:8">
      <c r="A1058" t="s">
        <v>9440</v>
      </c>
      <c r="B1058" t="s">
        <v>5940</v>
      </c>
      <c r="C1058">
        <v>10</v>
      </c>
      <c r="D1058">
        <v>1</v>
      </c>
      <c r="E1058">
        <v>1</v>
      </c>
      <c r="F1058">
        <v>980</v>
      </c>
      <c r="G1058">
        <v>2.6413000000000001E-3</v>
      </c>
      <c r="H1058" t="s">
        <v>2197</v>
      </c>
    </row>
    <row r="1059" spans="1:8">
      <c r="A1059" t="s">
        <v>9441</v>
      </c>
      <c r="B1059" t="s">
        <v>5939</v>
      </c>
      <c r="C1059">
        <v>18</v>
      </c>
      <c r="D1059">
        <v>1</v>
      </c>
      <c r="E1059">
        <v>1</v>
      </c>
      <c r="F1059">
        <v>1</v>
      </c>
      <c r="G1059">
        <v>0</v>
      </c>
      <c r="H1059" t="s">
        <v>2197</v>
      </c>
    </row>
    <row r="1060" spans="1:8">
      <c r="A1060" t="s">
        <v>9442</v>
      </c>
      <c r="B1060" t="s">
        <v>5941</v>
      </c>
      <c r="C1060">
        <v>20</v>
      </c>
      <c r="D1060">
        <v>1</v>
      </c>
      <c r="E1060">
        <v>1</v>
      </c>
      <c r="F1060">
        <v>550</v>
      </c>
      <c r="G1060">
        <v>1.428E-3</v>
      </c>
      <c r="H1060" t="s">
        <v>2197</v>
      </c>
    </row>
    <row r="1061" spans="1:8">
      <c r="A1061" t="s">
        <v>5943</v>
      </c>
      <c r="B1061" t="s">
        <v>5942</v>
      </c>
      <c r="C1061">
        <v>100</v>
      </c>
      <c r="D1061">
        <v>1</v>
      </c>
      <c r="E1061">
        <v>1</v>
      </c>
      <c r="F1061">
        <v>0</v>
      </c>
      <c r="G1061">
        <v>0</v>
      </c>
      <c r="H1061" t="s">
        <v>2197</v>
      </c>
    </row>
    <row r="1062" spans="1:8">
      <c r="A1062" t="s">
        <v>5945</v>
      </c>
      <c r="B1062" t="s">
        <v>5944</v>
      </c>
      <c r="C1062">
        <v>40</v>
      </c>
      <c r="D1062">
        <v>1</v>
      </c>
      <c r="E1062">
        <v>1</v>
      </c>
      <c r="F1062">
        <v>0</v>
      </c>
      <c r="G1062">
        <v>0</v>
      </c>
      <c r="H1062" t="s">
        <v>2197</v>
      </c>
    </row>
    <row r="1063" spans="1:8">
      <c r="A1063" t="s">
        <v>640</v>
      </c>
      <c r="B1063" t="s">
        <v>2802</v>
      </c>
      <c r="C1063">
        <v>1</v>
      </c>
      <c r="D1063">
        <v>1</v>
      </c>
      <c r="E1063">
        <v>1</v>
      </c>
      <c r="F1063">
        <v>0</v>
      </c>
      <c r="G1063">
        <v>0</v>
      </c>
      <c r="H1063" t="s">
        <v>2221</v>
      </c>
    </row>
    <row r="1064" spans="1:8">
      <c r="A1064" t="s">
        <v>4500</v>
      </c>
      <c r="B1064" t="s">
        <v>5946</v>
      </c>
      <c r="C1064">
        <v>20</v>
      </c>
      <c r="D1064">
        <v>1</v>
      </c>
      <c r="E1064">
        <v>1</v>
      </c>
      <c r="F1064">
        <v>554.5</v>
      </c>
      <c r="G1064">
        <v>1.0773E-3</v>
      </c>
      <c r="H1064" t="s">
        <v>2197</v>
      </c>
    </row>
    <row r="1065" spans="1:8">
      <c r="A1065" t="s">
        <v>5953</v>
      </c>
      <c r="B1065" t="s">
        <v>5952</v>
      </c>
      <c r="C1065">
        <v>24</v>
      </c>
      <c r="D1065">
        <v>1</v>
      </c>
      <c r="E1065">
        <v>1</v>
      </c>
      <c r="F1065">
        <v>312.08333333333297</v>
      </c>
      <c r="G1065">
        <v>7.4141666666666702E-4</v>
      </c>
      <c r="H1065" t="s">
        <v>2197</v>
      </c>
    </row>
    <row r="1066" spans="1:8">
      <c r="A1066" t="s">
        <v>4498</v>
      </c>
      <c r="B1066" t="s">
        <v>5947</v>
      </c>
      <c r="C1066">
        <v>24</v>
      </c>
      <c r="D1066">
        <v>1</v>
      </c>
      <c r="E1066">
        <v>1</v>
      </c>
      <c r="F1066">
        <v>333.33333333333297</v>
      </c>
      <c r="G1066">
        <v>8.6666666666666695E-4</v>
      </c>
      <c r="H1066" t="s">
        <v>2197</v>
      </c>
    </row>
    <row r="1067" spans="1:8">
      <c r="A1067" t="s">
        <v>4501</v>
      </c>
      <c r="B1067" t="s">
        <v>5951</v>
      </c>
      <c r="C1067">
        <v>48</v>
      </c>
      <c r="D1067">
        <v>1</v>
      </c>
      <c r="E1067">
        <v>1</v>
      </c>
      <c r="F1067">
        <v>145.208333333333</v>
      </c>
      <c r="G1067">
        <v>4.4559999999999999E-4</v>
      </c>
      <c r="H1067" t="s">
        <v>2197</v>
      </c>
    </row>
    <row r="1068" spans="1:8">
      <c r="A1068" t="s">
        <v>4499</v>
      </c>
      <c r="B1068" t="s">
        <v>5948</v>
      </c>
      <c r="C1068">
        <v>50</v>
      </c>
      <c r="D1068">
        <v>1</v>
      </c>
      <c r="E1068">
        <v>1</v>
      </c>
      <c r="F1068">
        <v>0</v>
      </c>
      <c r="G1068">
        <v>0</v>
      </c>
      <c r="H1068" t="s">
        <v>2197</v>
      </c>
    </row>
    <row r="1069" spans="1:8">
      <c r="A1069" t="s">
        <v>5950</v>
      </c>
      <c r="B1069" t="s">
        <v>5949</v>
      </c>
      <c r="C1069">
        <v>20</v>
      </c>
      <c r="D1069">
        <v>1</v>
      </c>
      <c r="E1069">
        <v>1</v>
      </c>
      <c r="F1069">
        <v>0</v>
      </c>
      <c r="G1069">
        <v>0</v>
      </c>
      <c r="H1069" t="s">
        <v>2197</v>
      </c>
    </row>
    <row r="1070" spans="1:8">
      <c r="A1070" t="s">
        <v>641</v>
      </c>
      <c r="B1070" t="s">
        <v>2803</v>
      </c>
      <c r="C1070">
        <v>12</v>
      </c>
      <c r="D1070">
        <v>1</v>
      </c>
      <c r="E1070">
        <v>1</v>
      </c>
      <c r="F1070">
        <v>1183.3</v>
      </c>
      <c r="G1070">
        <v>2.7299999999999998E-3</v>
      </c>
      <c r="H1070" t="s">
        <v>2197</v>
      </c>
    </row>
    <row r="1071" spans="1:8">
      <c r="A1071" t="s">
        <v>642</v>
      </c>
      <c r="B1071" t="s">
        <v>2805</v>
      </c>
      <c r="C1071">
        <v>20</v>
      </c>
      <c r="D1071">
        <v>1</v>
      </c>
      <c r="E1071">
        <v>1</v>
      </c>
      <c r="F1071">
        <v>1190</v>
      </c>
      <c r="G1071">
        <v>2.4499999999999999E-3</v>
      </c>
      <c r="H1071" t="s">
        <v>2197</v>
      </c>
    </row>
    <row r="1072" spans="1:8">
      <c r="A1072" t="s">
        <v>643</v>
      </c>
      <c r="B1072" t="s">
        <v>2807</v>
      </c>
      <c r="C1072">
        <v>48</v>
      </c>
      <c r="D1072">
        <v>1</v>
      </c>
      <c r="E1072">
        <v>1</v>
      </c>
      <c r="F1072">
        <v>333.3</v>
      </c>
      <c r="G1072">
        <v>6.6140000000000003E-4</v>
      </c>
      <c r="H1072" t="s">
        <v>2197</v>
      </c>
    </row>
    <row r="1073" spans="1:8">
      <c r="A1073" t="s">
        <v>4502</v>
      </c>
      <c r="B1073" t="s">
        <v>5954</v>
      </c>
      <c r="C1073">
        <v>20</v>
      </c>
      <c r="D1073">
        <v>1</v>
      </c>
      <c r="E1073">
        <v>1</v>
      </c>
      <c r="F1073">
        <v>0</v>
      </c>
      <c r="G1073">
        <v>0</v>
      </c>
      <c r="H1073" t="s">
        <v>2197</v>
      </c>
    </row>
    <row r="1074" spans="1:8">
      <c r="A1074" t="s">
        <v>9443</v>
      </c>
      <c r="B1074" t="s">
        <v>5955</v>
      </c>
      <c r="C1074">
        <v>10</v>
      </c>
      <c r="D1074">
        <v>1</v>
      </c>
      <c r="E1074">
        <v>1</v>
      </c>
      <c r="F1074">
        <v>1090</v>
      </c>
      <c r="G1074">
        <v>2.5725000000000001E-3</v>
      </c>
      <c r="H1074" t="s">
        <v>2197</v>
      </c>
    </row>
    <row r="1075" spans="1:8">
      <c r="A1075" t="s">
        <v>645</v>
      </c>
      <c r="B1075" t="s">
        <v>2809</v>
      </c>
      <c r="C1075">
        <v>20</v>
      </c>
      <c r="D1075">
        <v>1</v>
      </c>
      <c r="E1075">
        <v>1</v>
      </c>
      <c r="F1075">
        <v>575</v>
      </c>
      <c r="G1075">
        <v>1.3163000000000001E-3</v>
      </c>
      <c r="H1075" t="s">
        <v>2197</v>
      </c>
    </row>
    <row r="1076" spans="1:8">
      <c r="A1076" t="s">
        <v>647</v>
      </c>
      <c r="B1076" t="s">
        <v>2811</v>
      </c>
      <c r="C1076">
        <v>20</v>
      </c>
      <c r="D1076">
        <v>1</v>
      </c>
      <c r="E1076">
        <v>1</v>
      </c>
      <c r="F1076">
        <v>1</v>
      </c>
      <c r="G1076">
        <v>0</v>
      </c>
      <c r="H1076" t="s">
        <v>2197</v>
      </c>
    </row>
    <row r="1077" spans="1:8">
      <c r="A1077" t="s">
        <v>648</v>
      </c>
      <c r="B1077" t="s">
        <v>2813</v>
      </c>
      <c r="C1077">
        <v>20</v>
      </c>
      <c r="D1077">
        <v>1</v>
      </c>
      <c r="E1077">
        <v>1</v>
      </c>
      <c r="F1077">
        <v>557.5</v>
      </c>
      <c r="G1077">
        <v>1.3600000000000001E-3</v>
      </c>
      <c r="H1077" t="s">
        <v>2197</v>
      </c>
    </row>
    <row r="1078" spans="1:8">
      <c r="A1078" t="s">
        <v>649</v>
      </c>
      <c r="B1078" t="s">
        <v>2814</v>
      </c>
      <c r="C1078">
        <v>15</v>
      </c>
      <c r="D1078">
        <v>1</v>
      </c>
      <c r="E1078">
        <v>1</v>
      </c>
      <c r="F1078">
        <v>1118</v>
      </c>
      <c r="G1078">
        <v>2.016E-3</v>
      </c>
      <c r="H1078" t="s">
        <v>2197</v>
      </c>
    </row>
    <row r="1079" spans="1:8">
      <c r="A1079" t="s">
        <v>650</v>
      </c>
      <c r="B1079" t="s">
        <v>2816</v>
      </c>
      <c r="C1079">
        <v>20</v>
      </c>
      <c r="D1079">
        <v>1</v>
      </c>
      <c r="E1079">
        <v>1</v>
      </c>
      <c r="F1079">
        <v>315</v>
      </c>
      <c r="G1079">
        <v>8.0999999999999996E-4</v>
      </c>
      <c r="H1079" t="s">
        <v>2197</v>
      </c>
    </row>
    <row r="1080" spans="1:8">
      <c r="A1080" t="s">
        <v>4503</v>
      </c>
      <c r="B1080" t="s">
        <v>5956</v>
      </c>
      <c r="C1080">
        <v>20</v>
      </c>
      <c r="D1080">
        <v>1</v>
      </c>
      <c r="E1080">
        <v>1</v>
      </c>
      <c r="F1080">
        <v>367.5</v>
      </c>
      <c r="G1080">
        <v>7.463875E-4</v>
      </c>
      <c r="H1080" t="s">
        <v>2197</v>
      </c>
    </row>
    <row r="1081" spans="1:8">
      <c r="A1081" t="s">
        <v>651</v>
      </c>
      <c r="B1081" t="s">
        <v>2817</v>
      </c>
      <c r="C1081">
        <v>20</v>
      </c>
      <c r="D1081">
        <v>1</v>
      </c>
      <c r="E1081">
        <v>1</v>
      </c>
      <c r="F1081">
        <v>589</v>
      </c>
      <c r="G1081">
        <v>1.2704875E-3</v>
      </c>
      <c r="H1081" t="s">
        <v>2197</v>
      </c>
    </row>
    <row r="1082" spans="1:8">
      <c r="A1082" t="s">
        <v>652</v>
      </c>
      <c r="B1082" t="s">
        <v>2818</v>
      </c>
      <c r="C1082">
        <v>50</v>
      </c>
      <c r="D1082">
        <v>1</v>
      </c>
      <c r="E1082">
        <v>1</v>
      </c>
      <c r="F1082">
        <v>134.6</v>
      </c>
      <c r="G1082">
        <v>3.3639999999999999E-4</v>
      </c>
      <c r="H1082" t="s">
        <v>2197</v>
      </c>
    </row>
    <row r="1083" spans="1:8">
      <c r="A1083" t="s">
        <v>9444</v>
      </c>
      <c r="B1083" t="s">
        <v>5957</v>
      </c>
      <c r="C1083">
        <v>25</v>
      </c>
      <c r="D1083">
        <v>1</v>
      </c>
      <c r="E1083">
        <v>1</v>
      </c>
      <c r="F1083">
        <v>288</v>
      </c>
      <c r="G1083">
        <v>7.8399999999999997E-4</v>
      </c>
      <c r="H1083" t="s">
        <v>2197</v>
      </c>
    </row>
    <row r="1084" spans="1:8">
      <c r="A1084" t="s">
        <v>653</v>
      </c>
      <c r="B1084" t="s">
        <v>2819</v>
      </c>
      <c r="C1084">
        <v>40</v>
      </c>
      <c r="D1084">
        <v>1</v>
      </c>
      <c r="E1084">
        <v>1</v>
      </c>
      <c r="F1084">
        <v>1</v>
      </c>
      <c r="G1084">
        <v>0</v>
      </c>
      <c r="H1084" t="s">
        <v>2197</v>
      </c>
    </row>
    <row r="1085" spans="1:8">
      <c r="A1085" t="s">
        <v>9445</v>
      </c>
      <c r="B1085" t="s">
        <v>5958</v>
      </c>
      <c r="C1085">
        <v>50</v>
      </c>
      <c r="D1085">
        <v>1</v>
      </c>
      <c r="E1085">
        <v>1</v>
      </c>
      <c r="F1085">
        <v>224</v>
      </c>
      <c r="G1085">
        <v>7.3499999999999998E-4</v>
      </c>
      <c r="H1085" t="s">
        <v>2197</v>
      </c>
    </row>
    <row r="1086" spans="1:8">
      <c r="A1086" t="s">
        <v>4505</v>
      </c>
      <c r="B1086" t="s">
        <v>5959</v>
      </c>
      <c r="C1086">
        <v>10</v>
      </c>
      <c r="D1086">
        <v>1</v>
      </c>
      <c r="E1086">
        <v>1</v>
      </c>
      <c r="F1086">
        <v>2172</v>
      </c>
      <c r="G1086">
        <v>3.29175E-3</v>
      </c>
      <c r="H1086" t="s">
        <v>2203</v>
      </c>
    </row>
    <row r="1087" spans="1:8">
      <c r="A1087" t="s">
        <v>4507</v>
      </c>
      <c r="B1087" t="s">
        <v>5964</v>
      </c>
      <c r="C1087">
        <v>10</v>
      </c>
      <c r="D1087">
        <v>1</v>
      </c>
      <c r="E1087">
        <v>1</v>
      </c>
      <c r="F1087">
        <v>2172</v>
      </c>
      <c r="G1087">
        <v>3.2918000000000001E-3</v>
      </c>
      <c r="H1087" t="s">
        <v>2203</v>
      </c>
    </row>
    <row r="1088" spans="1:8">
      <c r="A1088" t="s">
        <v>4506</v>
      </c>
      <c r="B1088" t="s">
        <v>5963</v>
      </c>
      <c r="C1088">
        <v>20</v>
      </c>
      <c r="D1088">
        <v>1</v>
      </c>
      <c r="E1088">
        <v>1</v>
      </c>
      <c r="F1088">
        <v>0</v>
      </c>
      <c r="G1088">
        <v>0</v>
      </c>
      <c r="H1088" t="s">
        <v>2203</v>
      </c>
    </row>
    <row r="1089" spans="1:8">
      <c r="A1089" t="s">
        <v>5962</v>
      </c>
      <c r="B1089" t="s">
        <v>5961</v>
      </c>
      <c r="C1089">
        <v>1</v>
      </c>
      <c r="D1089">
        <v>1</v>
      </c>
      <c r="E1089">
        <v>1</v>
      </c>
      <c r="F1089">
        <v>25560</v>
      </c>
      <c r="G1089">
        <v>3.168E-2</v>
      </c>
      <c r="H1089" t="s">
        <v>2994</v>
      </c>
    </row>
    <row r="1090" spans="1:8">
      <c r="A1090" t="s">
        <v>4504</v>
      </c>
      <c r="B1090" t="s">
        <v>5960</v>
      </c>
      <c r="C1090">
        <v>5</v>
      </c>
      <c r="D1090">
        <v>1</v>
      </c>
      <c r="E1090">
        <v>1</v>
      </c>
      <c r="F1090">
        <v>0</v>
      </c>
      <c r="G1090">
        <v>0</v>
      </c>
      <c r="H1090" t="s">
        <v>2203</v>
      </c>
    </row>
    <row r="1091" spans="1:8">
      <c r="A1091" t="s">
        <v>4508</v>
      </c>
      <c r="B1091" t="s">
        <v>5965</v>
      </c>
      <c r="C1091">
        <v>10</v>
      </c>
      <c r="D1091">
        <v>1</v>
      </c>
      <c r="E1091">
        <v>1</v>
      </c>
      <c r="F1091">
        <v>0</v>
      </c>
      <c r="G1091">
        <v>0</v>
      </c>
      <c r="H1091" t="s">
        <v>2203</v>
      </c>
    </row>
    <row r="1092" spans="1:8">
      <c r="A1092" t="s">
        <v>9446</v>
      </c>
      <c r="B1092" t="s">
        <v>5966</v>
      </c>
      <c r="C1092">
        <v>12</v>
      </c>
      <c r="D1092">
        <v>200</v>
      </c>
      <c r="E1092">
        <v>1</v>
      </c>
      <c r="F1092">
        <v>4.2</v>
      </c>
      <c r="G1092" s="4">
        <v>1.6399999999999999E-5</v>
      </c>
      <c r="H1092" t="s">
        <v>2203</v>
      </c>
    </row>
    <row r="1093" spans="1:8">
      <c r="A1093" t="s">
        <v>655</v>
      </c>
      <c r="B1093" t="s">
        <v>2821</v>
      </c>
      <c r="C1093">
        <v>12</v>
      </c>
      <c r="D1093">
        <v>40</v>
      </c>
      <c r="E1093">
        <v>1</v>
      </c>
      <c r="F1093">
        <v>30.6</v>
      </c>
      <c r="G1093" s="4">
        <v>8.3200000000000003E-5</v>
      </c>
      <c r="H1093" t="s">
        <v>2203</v>
      </c>
    </row>
    <row r="1094" spans="1:8">
      <c r="A1094" t="s">
        <v>656</v>
      </c>
      <c r="B1094" t="s">
        <v>2822</v>
      </c>
      <c r="C1094">
        <v>100</v>
      </c>
      <c r="D1094">
        <v>1</v>
      </c>
      <c r="E1094">
        <v>1</v>
      </c>
      <c r="F1094">
        <v>81.3</v>
      </c>
      <c r="G1094">
        <v>1.5390375000000001E-4</v>
      </c>
      <c r="H1094" t="s">
        <v>2197</v>
      </c>
    </row>
    <row r="1095" spans="1:8">
      <c r="A1095" t="s">
        <v>660</v>
      </c>
      <c r="B1095" t="s">
        <v>2825</v>
      </c>
      <c r="C1095">
        <v>20</v>
      </c>
      <c r="D1095">
        <v>1</v>
      </c>
      <c r="E1095">
        <v>1</v>
      </c>
      <c r="F1095">
        <v>354.5</v>
      </c>
      <c r="G1095">
        <v>6.6494999999999998E-4</v>
      </c>
      <c r="H1095" t="s">
        <v>2197</v>
      </c>
    </row>
    <row r="1096" spans="1:8">
      <c r="A1096" t="s">
        <v>5969</v>
      </c>
      <c r="B1096" t="s">
        <v>5968</v>
      </c>
      <c r="C1096">
        <v>10</v>
      </c>
      <c r="D1096">
        <v>1</v>
      </c>
      <c r="E1096">
        <v>1</v>
      </c>
      <c r="F1096">
        <v>1250</v>
      </c>
      <c r="G1096">
        <v>9.9320000000000007E-4</v>
      </c>
      <c r="H1096" t="s">
        <v>2197</v>
      </c>
    </row>
    <row r="1097" spans="1:8">
      <c r="A1097" t="s">
        <v>4509</v>
      </c>
      <c r="B1097" t="s">
        <v>5967</v>
      </c>
      <c r="C1097">
        <v>20</v>
      </c>
      <c r="D1097">
        <v>1</v>
      </c>
      <c r="E1097">
        <v>1</v>
      </c>
      <c r="F1097">
        <v>625</v>
      </c>
      <c r="G1097">
        <v>1.3860000000000001E-3</v>
      </c>
      <c r="H1097" t="s">
        <v>2197</v>
      </c>
    </row>
    <row r="1098" spans="1:8">
      <c r="A1098" t="s">
        <v>4511</v>
      </c>
      <c r="B1098" t="s">
        <v>5971</v>
      </c>
      <c r="C1098">
        <v>40</v>
      </c>
      <c r="D1098">
        <v>1</v>
      </c>
      <c r="E1098">
        <v>1</v>
      </c>
      <c r="F1098">
        <v>748.5</v>
      </c>
      <c r="G1098">
        <v>3.1185000000000002E-3</v>
      </c>
      <c r="H1098" t="s">
        <v>2197</v>
      </c>
    </row>
    <row r="1099" spans="1:8">
      <c r="A1099" t="s">
        <v>4510</v>
      </c>
      <c r="B1099" t="s">
        <v>5970</v>
      </c>
      <c r="C1099">
        <v>50</v>
      </c>
      <c r="D1099">
        <v>1</v>
      </c>
      <c r="E1099">
        <v>1</v>
      </c>
      <c r="F1099">
        <v>564.20000000000005</v>
      </c>
      <c r="G1099">
        <v>2.4499474999999998E-3</v>
      </c>
      <c r="H1099" t="s">
        <v>2197</v>
      </c>
    </row>
    <row r="1100" spans="1:8">
      <c r="A1100" t="s">
        <v>9447</v>
      </c>
      <c r="B1100" t="s">
        <v>5972</v>
      </c>
      <c r="C1100">
        <v>40</v>
      </c>
      <c r="D1100">
        <v>1</v>
      </c>
      <c r="E1100">
        <v>1</v>
      </c>
      <c r="F1100">
        <v>337.5</v>
      </c>
      <c r="G1100">
        <v>9.0720000000000004E-4</v>
      </c>
      <c r="H1100" t="s">
        <v>2197</v>
      </c>
    </row>
    <row r="1101" spans="1:8">
      <c r="A1101" t="s">
        <v>5985</v>
      </c>
      <c r="B1101" t="s">
        <v>5984</v>
      </c>
      <c r="C1101">
        <v>12</v>
      </c>
      <c r="D1101">
        <v>1</v>
      </c>
      <c r="E1101">
        <v>1</v>
      </c>
      <c r="F1101">
        <v>0</v>
      </c>
      <c r="G1101">
        <v>0</v>
      </c>
      <c r="H1101" t="s">
        <v>2203</v>
      </c>
    </row>
    <row r="1102" spans="1:8">
      <c r="A1102" t="s">
        <v>5974</v>
      </c>
      <c r="B1102" t="s">
        <v>5973</v>
      </c>
      <c r="C1102">
        <v>20</v>
      </c>
      <c r="D1102">
        <v>1</v>
      </c>
      <c r="E1102">
        <v>1</v>
      </c>
      <c r="F1102">
        <v>0</v>
      </c>
      <c r="G1102">
        <v>0</v>
      </c>
      <c r="H1102" t="s">
        <v>2203</v>
      </c>
    </row>
    <row r="1103" spans="1:8">
      <c r="A1103" t="s">
        <v>4514</v>
      </c>
      <c r="B1103" t="s">
        <v>5975</v>
      </c>
      <c r="C1103">
        <v>40</v>
      </c>
      <c r="D1103">
        <v>1</v>
      </c>
      <c r="E1103">
        <v>1</v>
      </c>
      <c r="F1103">
        <v>310</v>
      </c>
      <c r="G1103">
        <v>1.06E-3</v>
      </c>
      <c r="H1103" t="s">
        <v>2203</v>
      </c>
    </row>
    <row r="1104" spans="1:8">
      <c r="A1104" t="s">
        <v>4513</v>
      </c>
      <c r="B1104" t="s">
        <v>5976</v>
      </c>
      <c r="C1104">
        <v>50</v>
      </c>
      <c r="D1104">
        <v>1</v>
      </c>
      <c r="E1104">
        <v>1</v>
      </c>
      <c r="F1104">
        <v>0</v>
      </c>
      <c r="G1104">
        <v>0</v>
      </c>
      <c r="H1104" t="s">
        <v>2203</v>
      </c>
    </row>
    <row r="1105" spans="1:8">
      <c r="A1105" t="s">
        <v>5983</v>
      </c>
      <c r="B1105" t="s">
        <v>5982</v>
      </c>
      <c r="C1105">
        <v>12</v>
      </c>
      <c r="D1105">
        <v>1</v>
      </c>
      <c r="E1105">
        <v>1</v>
      </c>
      <c r="F1105">
        <v>0</v>
      </c>
      <c r="G1105">
        <v>0</v>
      </c>
      <c r="H1105" t="s">
        <v>2197</v>
      </c>
    </row>
    <row r="1106" spans="1:8">
      <c r="A1106" t="s">
        <v>5978</v>
      </c>
      <c r="B1106" t="s">
        <v>5977</v>
      </c>
      <c r="C1106">
        <v>20</v>
      </c>
      <c r="D1106">
        <v>1</v>
      </c>
      <c r="E1106">
        <v>1</v>
      </c>
      <c r="F1106">
        <v>817.5</v>
      </c>
      <c r="G1106">
        <v>1.32E-3</v>
      </c>
      <c r="H1106" t="s">
        <v>2197</v>
      </c>
    </row>
    <row r="1107" spans="1:8">
      <c r="A1107" t="s">
        <v>5989</v>
      </c>
      <c r="B1107" t="s">
        <v>5988</v>
      </c>
      <c r="C1107">
        <v>20</v>
      </c>
      <c r="D1107">
        <v>1</v>
      </c>
      <c r="E1107">
        <v>1</v>
      </c>
      <c r="F1107">
        <v>1575</v>
      </c>
      <c r="G1107">
        <v>2.496E-3</v>
      </c>
      <c r="H1107" t="s">
        <v>2197</v>
      </c>
    </row>
    <row r="1108" spans="1:8">
      <c r="A1108" t="s">
        <v>5987</v>
      </c>
      <c r="B1108" t="s">
        <v>5986</v>
      </c>
      <c r="C1108">
        <v>20</v>
      </c>
      <c r="D1108">
        <v>1</v>
      </c>
      <c r="E1108">
        <v>1</v>
      </c>
      <c r="F1108">
        <v>817.5</v>
      </c>
      <c r="G1108">
        <v>1.32E-3</v>
      </c>
      <c r="H1108" t="s">
        <v>2197</v>
      </c>
    </row>
    <row r="1109" spans="1:8">
      <c r="A1109" t="s">
        <v>4512</v>
      </c>
      <c r="B1109" t="s">
        <v>5979</v>
      </c>
      <c r="C1109">
        <v>10</v>
      </c>
      <c r="D1109">
        <v>1</v>
      </c>
      <c r="E1109">
        <v>1</v>
      </c>
      <c r="F1109">
        <v>0</v>
      </c>
      <c r="G1109">
        <v>0</v>
      </c>
      <c r="H1109" t="s">
        <v>2203</v>
      </c>
    </row>
    <row r="1110" spans="1:8">
      <c r="A1110" t="s">
        <v>5981</v>
      </c>
      <c r="B1110" t="s">
        <v>5980</v>
      </c>
      <c r="C1110">
        <v>20</v>
      </c>
      <c r="D1110">
        <v>1</v>
      </c>
      <c r="E1110">
        <v>1</v>
      </c>
      <c r="F1110">
        <v>0</v>
      </c>
      <c r="G1110">
        <v>0</v>
      </c>
      <c r="H1110" t="s">
        <v>2203</v>
      </c>
    </row>
    <row r="1111" spans="1:8">
      <c r="A1111" t="s">
        <v>665</v>
      </c>
      <c r="B1111" t="s">
        <v>2826</v>
      </c>
      <c r="C1111">
        <v>40</v>
      </c>
      <c r="D1111">
        <v>1</v>
      </c>
      <c r="E1111">
        <v>1</v>
      </c>
      <c r="F1111">
        <v>135.75</v>
      </c>
      <c r="G1111">
        <v>3.4424999999999999E-4</v>
      </c>
      <c r="H1111" t="s">
        <v>2197</v>
      </c>
    </row>
    <row r="1112" spans="1:8">
      <c r="A1112" t="s">
        <v>4518</v>
      </c>
      <c r="B1112" t="s">
        <v>5995</v>
      </c>
      <c r="C1112">
        <v>100</v>
      </c>
      <c r="D1112">
        <v>1</v>
      </c>
      <c r="E1112">
        <v>1</v>
      </c>
      <c r="F1112">
        <v>0</v>
      </c>
      <c r="G1112">
        <v>0</v>
      </c>
      <c r="H1112" t="s">
        <v>2203</v>
      </c>
    </row>
    <row r="1113" spans="1:8">
      <c r="A1113" t="s">
        <v>5994</v>
      </c>
      <c r="B1113" t="s">
        <v>5993</v>
      </c>
      <c r="C1113">
        <v>200</v>
      </c>
      <c r="D1113">
        <v>1</v>
      </c>
      <c r="E1113">
        <v>1</v>
      </c>
      <c r="F1113">
        <v>0</v>
      </c>
      <c r="G1113">
        <v>0</v>
      </c>
      <c r="H1113" t="s">
        <v>2203</v>
      </c>
    </row>
    <row r="1114" spans="1:8">
      <c r="A1114" t="s">
        <v>5997</v>
      </c>
      <c r="B1114" t="s">
        <v>5996</v>
      </c>
      <c r="C1114">
        <v>40</v>
      </c>
      <c r="D1114">
        <v>1</v>
      </c>
      <c r="E1114">
        <v>1</v>
      </c>
      <c r="F1114">
        <v>0</v>
      </c>
      <c r="G1114">
        <v>0</v>
      </c>
      <c r="H1114" t="s">
        <v>2203</v>
      </c>
    </row>
    <row r="1115" spans="1:8">
      <c r="A1115" t="s">
        <v>4516</v>
      </c>
      <c r="B1115" t="s">
        <v>5990</v>
      </c>
      <c r="C1115">
        <v>100</v>
      </c>
      <c r="D1115">
        <v>1</v>
      </c>
      <c r="E1115">
        <v>1</v>
      </c>
      <c r="F1115">
        <v>149.69999999999999</v>
      </c>
      <c r="G1115">
        <v>2.5874999999999997E-4</v>
      </c>
      <c r="H1115" t="s">
        <v>2197</v>
      </c>
    </row>
    <row r="1116" spans="1:8">
      <c r="A1116" t="s">
        <v>4515</v>
      </c>
      <c r="B1116" t="s">
        <v>5991</v>
      </c>
      <c r="C1116">
        <v>100</v>
      </c>
      <c r="D1116">
        <v>1</v>
      </c>
      <c r="E1116">
        <v>1</v>
      </c>
      <c r="F1116">
        <v>93</v>
      </c>
      <c r="G1116">
        <v>2.0699999999999999E-4</v>
      </c>
      <c r="H1116" t="s">
        <v>2197</v>
      </c>
    </row>
    <row r="1117" spans="1:8">
      <c r="A1117" t="s">
        <v>4517</v>
      </c>
      <c r="B1117" t="s">
        <v>5992</v>
      </c>
      <c r="C1117">
        <v>40</v>
      </c>
      <c r="D1117">
        <v>1</v>
      </c>
      <c r="E1117">
        <v>1</v>
      </c>
      <c r="F1117">
        <v>349.5</v>
      </c>
      <c r="G1117">
        <v>6.6268125000000001E-4</v>
      </c>
      <c r="H1117" t="s">
        <v>2197</v>
      </c>
    </row>
    <row r="1118" spans="1:8">
      <c r="A1118" t="s">
        <v>666</v>
      </c>
      <c r="B1118" t="s">
        <v>2828</v>
      </c>
      <c r="C1118">
        <v>15</v>
      </c>
      <c r="D1118">
        <v>1</v>
      </c>
      <c r="E1118">
        <v>1</v>
      </c>
      <c r="F1118">
        <v>1513.3333333333301</v>
      </c>
      <c r="G1118">
        <v>3.0599999999999998E-3</v>
      </c>
      <c r="H1118" t="s">
        <v>2197</v>
      </c>
    </row>
    <row r="1119" spans="1:8">
      <c r="A1119" t="s">
        <v>667</v>
      </c>
      <c r="B1119" t="s">
        <v>2830</v>
      </c>
      <c r="C1119">
        <v>20</v>
      </c>
      <c r="D1119">
        <v>1</v>
      </c>
      <c r="E1119">
        <v>1</v>
      </c>
      <c r="F1119">
        <v>783</v>
      </c>
      <c r="G1119">
        <v>1.2991875E-3</v>
      </c>
      <c r="H1119" t="s">
        <v>2197</v>
      </c>
    </row>
    <row r="1120" spans="1:8">
      <c r="A1120" t="s">
        <v>668</v>
      </c>
      <c r="B1120" t="s">
        <v>2831</v>
      </c>
      <c r="C1120">
        <v>4</v>
      </c>
      <c r="D1120">
        <v>1</v>
      </c>
      <c r="E1120">
        <v>1</v>
      </c>
      <c r="F1120">
        <v>6800</v>
      </c>
      <c r="G1120">
        <v>8.6774999999999994E-3</v>
      </c>
      <c r="H1120" t="s">
        <v>2307</v>
      </c>
    </row>
    <row r="1121" spans="1:8">
      <c r="A1121" t="s">
        <v>9448</v>
      </c>
      <c r="B1121" t="s">
        <v>5999</v>
      </c>
      <c r="C1121">
        <v>20</v>
      </c>
      <c r="D1121">
        <v>1</v>
      </c>
      <c r="E1121">
        <v>1</v>
      </c>
      <c r="F1121">
        <v>1000</v>
      </c>
      <c r="G1121">
        <v>2.97E-3</v>
      </c>
      <c r="H1121" t="s">
        <v>2197</v>
      </c>
    </row>
    <row r="1122" spans="1:8">
      <c r="A1122" t="s">
        <v>9449</v>
      </c>
      <c r="B1122" t="s">
        <v>5998</v>
      </c>
      <c r="C1122">
        <v>1</v>
      </c>
      <c r="D1122">
        <v>1</v>
      </c>
      <c r="E1122">
        <v>1</v>
      </c>
      <c r="F1122">
        <v>24560</v>
      </c>
      <c r="G1122">
        <v>1.8559124999999999E-2</v>
      </c>
      <c r="H1122" t="s">
        <v>2303</v>
      </c>
    </row>
    <row r="1123" spans="1:8">
      <c r="A1123" t="s">
        <v>669</v>
      </c>
      <c r="B1123" t="s">
        <v>2832</v>
      </c>
      <c r="C1123">
        <v>20</v>
      </c>
      <c r="D1123">
        <v>1</v>
      </c>
      <c r="E1123">
        <v>1</v>
      </c>
      <c r="F1123">
        <v>1362</v>
      </c>
      <c r="G1123">
        <v>2.7907000000000001E-3</v>
      </c>
      <c r="H1123" t="s">
        <v>2197</v>
      </c>
    </row>
    <row r="1124" spans="1:8">
      <c r="A1124" t="s">
        <v>9450</v>
      </c>
      <c r="B1124" t="s">
        <v>6000</v>
      </c>
      <c r="C1124">
        <v>20</v>
      </c>
      <c r="D1124">
        <v>1</v>
      </c>
      <c r="E1124">
        <v>1</v>
      </c>
      <c r="F1124">
        <v>680</v>
      </c>
      <c r="G1124">
        <v>1.3376E-3</v>
      </c>
      <c r="H1124" t="s">
        <v>2197</v>
      </c>
    </row>
    <row r="1125" spans="1:8">
      <c r="A1125" t="s">
        <v>670</v>
      </c>
      <c r="B1125" t="s">
        <v>2834</v>
      </c>
      <c r="C1125">
        <v>20</v>
      </c>
      <c r="D1125">
        <v>1</v>
      </c>
      <c r="E1125">
        <v>1</v>
      </c>
      <c r="F1125">
        <v>400</v>
      </c>
      <c r="G1125">
        <v>9.1799999999999998E-4</v>
      </c>
      <c r="H1125" t="s">
        <v>2197</v>
      </c>
    </row>
    <row r="1126" spans="1:8">
      <c r="A1126" t="s">
        <v>671</v>
      </c>
      <c r="B1126" t="s">
        <v>2836</v>
      </c>
      <c r="C1126">
        <v>20</v>
      </c>
      <c r="D1126">
        <v>1</v>
      </c>
      <c r="E1126">
        <v>1</v>
      </c>
      <c r="F1126">
        <v>765</v>
      </c>
      <c r="G1126">
        <v>1.5334000000000001E-3</v>
      </c>
      <c r="H1126" t="s">
        <v>2197</v>
      </c>
    </row>
    <row r="1127" spans="1:8">
      <c r="A1127" t="s">
        <v>6003</v>
      </c>
      <c r="B1127" t="s">
        <v>6002</v>
      </c>
      <c r="C1127">
        <v>4</v>
      </c>
      <c r="D1127">
        <v>20</v>
      </c>
      <c r="E1127">
        <v>1</v>
      </c>
      <c r="F1127">
        <v>25.6</v>
      </c>
      <c r="G1127" s="4">
        <v>8.7000000000000001E-5</v>
      </c>
      <c r="H1127" t="s">
        <v>2197</v>
      </c>
    </row>
    <row r="1128" spans="1:8">
      <c r="A1128" t="s">
        <v>9451</v>
      </c>
      <c r="B1128" t="s">
        <v>6001</v>
      </c>
      <c r="C1128">
        <v>15</v>
      </c>
      <c r="D1128">
        <v>1</v>
      </c>
      <c r="E1128">
        <v>1</v>
      </c>
      <c r="F1128">
        <v>1100</v>
      </c>
      <c r="G1128">
        <v>2.0944000000000002E-3</v>
      </c>
      <c r="H1128" t="s">
        <v>2197</v>
      </c>
    </row>
    <row r="1129" spans="1:8">
      <c r="A1129" t="s">
        <v>672</v>
      </c>
      <c r="B1129" t="s">
        <v>2837</v>
      </c>
      <c r="C1129">
        <v>1</v>
      </c>
      <c r="D1129">
        <v>1</v>
      </c>
      <c r="E1129">
        <v>1</v>
      </c>
      <c r="F1129">
        <v>1</v>
      </c>
      <c r="G1129">
        <v>0</v>
      </c>
      <c r="H1129" t="s">
        <v>2197</v>
      </c>
    </row>
    <row r="1130" spans="1:8">
      <c r="A1130" t="s">
        <v>4520</v>
      </c>
      <c r="B1130" t="s">
        <v>6004</v>
      </c>
      <c r="C1130">
        <v>20</v>
      </c>
      <c r="D1130">
        <v>1</v>
      </c>
      <c r="E1130">
        <v>1</v>
      </c>
      <c r="F1130">
        <v>0</v>
      </c>
      <c r="G1130">
        <v>0</v>
      </c>
      <c r="H1130" t="s">
        <v>2197</v>
      </c>
    </row>
    <row r="1131" spans="1:8">
      <c r="A1131" t="s">
        <v>4519</v>
      </c>
      <c r="B1131" t="s">
        <v>6005</v>
      </c>
      <c r="C1131">
        <v>50</v>
      </c>
      <c r="D1131">
        <v>1</v>
      </c>
      <c r="E1131">
        <v>1</v>
      </c>
      <c r="F1131">
        <v>0</v>
      </c>
      <c r="G1131">
        <v>0</v>
      </c>
      <c r="H1131" t="s">
        <v>2197</v>
      </c>
    </row>
    <row r="1132" spans="1:8">
      <c r="A1132" t="s">
        <v>674</v>
      </c>
      <c r="B1132" t="s">
        <v>2838</v>
      </c>
      <c r="C1132">
        <v>50</v>
      </c>
      <c r="D1132">
        <v>1</v>
      </c>
      <c r="E1132">
        <v>1</v>
      </c>
      <c r="F1132">
        <v>502</v>
      </c>
      <c r="G1132">
        <v>9.6719999999999998E-4</v>
      </c>
      <c r="H1132" t="s">
        <v>2203</v>
      </c>
    </row>
    <row r="1133" spans="1:8">
      <c r="A1133" t="s">
        <v>9452</v>
      </c>
      <c r="B1133" t="s">
        <v>6006</v>
      </c>
      <c r="C1133">
        <v>10</v>
      </c>
      <c r="D1133">
        <v>100</v>
      </c>
      <c r="E1133">
        <v>1</v>
      </c>
      <c r="F1133">
        <v>12.8</v>
      </c>
      <c r="G1133" s="4">
        <v>3.7400000000000001E-5</v>
      </c>
      <c r="H1133" t="s">
        <v>2203</v>
      </c>
    </row>
    <row r="1134" spans="1:8">
      <c r="A1134" t="s">
        <v>4521</v>
      </c>
      <c r="B1134" t="s">
        <v>6007</v>
      </c>
      <c r="C1134">
        <v>10</v>
      </c>
      <c r="D1134">
        <v>1</v>
      </c>
      <c r="E1134">
        <v>1</v>
      </c>
      <c r="F1134">
        <v>1040</v>
      </c>
      <c r="G1134">
        <v>8.7699999999999996E-4</v>
      </c>
      <c r="H1134" t="s">
        <v>2203</v>
      </c>
    </row>
    <row r="1135" spans="1:8">
      <c r="A1135" t="s">
        <v>4522</v>
      </c>
      <c r="B1135" t="s">
        <v>6008</v>
      </c>
      <c r="C1135">
        <v>10</v>
      </c>
      <c r="D1135">
        <v>1</v>
      </c>
      <c r="E1135">
        <v>1</v>
      </c>
      <c r="F1135">
        <v>2065</v>
      </c>
      <c r="G1135">
        <v>1.872E-3</v>
      </c>
      <c r="H1135" t="s">
        <v>2203</v>
      </c>
    </row>
    <row r="1136" spans="1:8">
      <c r="A1136" t="s">
        <v>4523</v>
      </c>
      <c r="B1136" t="s">
        <v>6009</v>
      </c>
      <c r="C1136">
        <v>40</v>
      </c>
      <c r="D1136">
        <v>1</v>
      </c>
      <c r="E1136">
        <v>1</v>
      </c>
      <c r="F1136">
        <v>155.25</v>
      </c>
      <c r="G1136">
        <v>3.50675E-4</v>
      </c>
      <c r="H1136" t="s">
        <v>2197</v>
      </c>
    </row>
    <row r="1137" spans="1:8">
      <c r="A1137" t="s">
        <v>675</v>
      </c>
      <c r="B1137" t="s">
        <v>2840</v>
      </c>
      <c r="C1137">
        <v>20</v>
      </c>
      <c r="D1137">
        <v>1</v>
      </c>
      <c r="E1137">
        <v>1</v>
      </c>
      <c r="F1137">
        <v>640</v>
      </c>
      <c r="G1137">
        <v>1.6502999999999999E-3</v>
      </c>
      <c r="H1137" t="s">
        <v>2197</v>
      </c>
    </row>
    <row r="1138" spans="1:8">
      <c r="A1138" t="s">
        <v>676</v>
      </c>
      <c r="B1138" t="s">
        <v>2842</v>
      </c>
      <c r="C1138">
        <v>20</v>
      </c>
      <c r="D1138">
        <v>1</v>
      </c>
      <c r="E1138">
        <v>1</v>
      </c>
      <c r="F1138">
        <v>640</v>
      </c>
      <c r="G1138">
        <v>1.6502999999999999E-3</v>
      </c>
      <c r="H1138" t="s">
        <v>2203</v>
      </c>
    </row>
    <row r="1139" spans="1:8">
      <c r="A1139" t="s">
        <v>677</v>
      </c>
      <c r="B1139" t="s">
        <v>2844</v>
      </c>
      <c r="C1139">
        <v>20</v>
      </c>
      <c r="D1139">
        <v>1</v>
      </c>
      <c r="E1139">
        <v>1</v>
      </c>
      <c r="F1139">
        <v>640</v>
      </c>
      <c r="G1139">
        <v>1.6502999999999999E-3</v>
      </c>
      <c r="H1139" t="s">
        <v>2197</v>
      </c>
    </row>
    <row r="1140" spans="1:8">
      <c r="A1140" t="s">
        <v>678</v>
      </c>
      <c r="B1140" t="s">
        <v>2846</v>
      </c>
      <c r="C1140">
        <v>20</v>
      </c>
      <c r="D1140">
        <v>1</v>
      </c>
      <c r="E1140">
        <v>1</v>
      </c>
      <c r="F1140">
        <v>640</v>
      </c>
      <c r="G1140">
        <v>1.6502999999999999E-3</v>
      </c>
      <c r="H1140" t="s">
        <v>2197</v>
      </c>
    </row>
    <row r="1141" spans="1:8">
      <c r="A1141" t="s">
        <v>679</v>
      </c>
      <c r="B1141" t="s">
        <v>2847</v>
      </c>
      <c r="C1141">
        <v>20</v>
      </c>
      <c r="D1141">
        <v>1</v>
      </c>
      <c r="E1141">
        <v>1</v>
      </c>
      <c r="F1141">
        <v>640</v>
      </c>
      <c r="G1141">
        <v>1.6502999999999999E-3</v>
      </c>
      <c r="H1141" t="s">
        <v>2197</v>
      </c>
    </row>
    <row r="1142" spans="1:8">
      <c r="A1142" t="s">
        <v>680</v>
      </c>
      <c r="B1142" t="s">
        <v>2849</v>
      </c>
      <c r="C1142">
        <v>20</v>
      </c>
      <c r="D1142">
        <v>1</v>
      </c>
      <c r="E1142">
        <v>1</v>
      </c>
      <c r="F1142">
        <v>640</v>
      </c>
      <c r="G1142">
        <v>1.6502999999999999E-3</v>
      </c>
      <c r="H1142" t="s">
        <v>2197</v>
      </c>
    </row>
    <row r="1143" spans="1:8">
      <c r="A1143" t="s">
        <v>681</v>
      </c>
      <c r="B1143" t="s">
        <v>2851</v>
      </c>
      <c r="C1143">
        <v>35</v>
      </c>
      <c r="D1143">
        <v>10</v>
      </c>
      <c r="E1143">
        <v>1</v>
      </c>
      <c r="F1143">
        <v>2.7</v>
      </c>
      <c r="G1143" s="4">
        <v>1.34E-5</v>
      </c>
      <c r="H1143" t="s">
        <v>2203</v>
      </c>
    </row>
    <row r="1144" spans="1:8">
      <c r="A1144" t="s">
        <v>9453</v>
      </c>
      <c r="B1144" t="s">
        <v>6054</v>
      </c>
      <c r="C1144">
        <v>30</v>
      </c>
      <c r="D1144">
        <v>15</v>
      </c>
      <c r="E1144">
        <v>1</v>
      </c>
      <c r="F1144">
        <v>1</v>
      </c>
      <c r="G1144">
        <v>0</v>
      </c>
      <c r="H1144" t="s">
        <v>2197</v>
      </c>
    </row>
    <row r="1145" spans="1:8">
      <c r="A1145" t="s">
        <v>9454</v>
      </c>
      <c r="B1145" t="s">
        <v>6055</v>
      </c>
      <c r="C1145">
        <v>50</v>
      </c>
      <c r="D1145">
        <v>1</v>
      </c>
      <c r="E1145">
        <v>1</v>
      </c>
      <c r="F1145">
        <v>1</v>
      </c>
      <c r="G1145">
        <v>0</v>
      </c>
      <c r="H1145" t="s">
        <v>2197</v>
      </c>
    </row>
    <row r="1146" spans="1:8">
      <c r="A1146" t="s">
        <v>683</v>
      </c>
      <c r="B1146" t="s">
        <v>2853</v>
      </c>
      <c r="C1146">
        <v>20</v>
      </c>
      <c r="D1146">
        <v>1</v>
      </c>
      <c r="E1146">
        <v>1</v>
      </c>
      <c r="F1146">
        <v>640</v>
      </c>
      <c r="G1146">
        <v>1.6502999999999999E-3</v>
      </c>
      <c r="H1146" t="s">
        <v>2197</v>
      </c>
    </row>
    <row r="1147" spans="1:8">
      <c r="A1147" t="s">
        <v>684</v>
      </c>
      <c r="B1147" t="s">
        <v>2855</v>
      </c>
      <c r="C1147">
        <v>20</v>
      </c>
      <c r="D1147">
        <v>1</v>
      </c>
      <c r="E1147">
        <v>1</v>
      </c>
      <c r="F1147">
        <v>640</v>
      </c>
      <c r="G1147">
        <v>1.6502999999999999E-3</v>
      </c>
      <c r="H1147" t="s">
        <v>2197</v>
      </c>
    </row>
    <row r="1148" spans="1:8">
      <c r="A1148" t="s">
        <v>6013</v>
      </c>
      <c r="B1148" t="s">
        <v>6012</v>
      </c>
      <c r="C1148">
        <v>1</v>
      </c>
      <c r="D1148">
        <v>1</v>
      </c>
      <c r="E1148">
        <v>1</v>
      </c>
      <c r="F1148">
        <v>1</v>
      </c>
      <c r="G1148">
        <v>0</v>
      </c>
      <c r="H1148" t="s">
        <v>2221</v>
      </c>
    </row>
    <row r="1149" spans="1:8">
      <c r="A1149" t="s">
        <v>6011</v>
      </c>
      <c r="B1149" t="s">
        <v>6010</v>
      </c>
      <c r="C1149">
        <v>1</v>
      </c>
      <c r="D1149">
        <v>1</v>
      </c>
      <c r="E1149">
        <v>1</v>
      </c>
      <c r="F1149">
        <v>115.6</v>
      </c>
      <c r="G1149">
        <v>3.3708000000000002E-4</v>
      </c>
      <c r="H1149" t="s">
        <v>2221</v>
      </c>
    </row>
    <row r="1150" spans="1:8">
      <c r="A1150" t="s">
        <v>4526</v>
      </c>
      <c r="B1150" t="s">
        <v>6016</v>
      </c>
      <c r="C1150">
        <v>100</v>
      </c>
      <c r="D1150">
        <v>1</v>
      </c>
      <c r="E1150">
        <v>1</v>
      </c>
      <c r="F1150">
        <v>139</v>
      </c>
      <c r="G1150">
        <v>2.8959999999999999E-4</v>
      </c>
      <c r="H1150" t="s">
        <v>2197</v>
      </c>
    </row>
    <row r="1151" spans="1:8">
      <c r="A1151" t="s">
        <v>4524</v>
      </c>
      <c r="B1151" t="s">
        <v>6014</v>
      </c>
      <c r="C1151">
        <v>40</v>
      </c>
      <c r="D1151">
        <v>1</v>
      </c>
      <c r="E1151">
        <v>1</v>
      </c>
      <c r="F1151">
        <v>346.75</v>
      </c>
      <c r="G1151">
        <v>6.7252499999999999E-4</v>
      </c>
      <c r="H1151" t="s">
        <v>2197</v>
      </c>
    </row>
    <row r="1152" spans="1:8">
      <c r="A1152" t="s">
        <v>4525</v>
      </c>
      <c r="B1152" t="s">
        <v>6015</v>
      </c>
      <c r="C1152">
        <v>50</v>
      </c>
      <c r="D1152">
        <v>1</v>
      </c>
      <c r="E1152">
        <v>1</v>
      </c>
      <c r="F1152">
        <v>149.80000000000001</v>
      </c>
      <c r="G1152">
        <v>3.3534E-4</v>
      </c>
      <c r="H1152" t="s">
        <v>2197</v>
      </c>
    </row>
    <row r="1153" spans="1:8">
      <c r="A1153" t="s">
        <v>6034</v>
      </c>
      <c r="B1153" t="s">
        <v>6033</v>
      </c>
      <c r="C1153">
        <v>20</v>
      </c>
      <c r="D1153">
        <v>1</v>
      </c>
      <c r="E1153">
        <v>1</v>
      </c>
      <c r="F1153">
        <v>602.5</v>
      </c>
      <c r="G1153">
        <v>1.2675E-3</v>
      </c>
      <c r="H1153" t="s">
        <v>2197</v>
      </c>
    </row>
    <row r="1154" spans="1:8">
      <c r="A1154" t="s">
        <v>4528</v>
      </c>
      <c r="B1154" t="s">
        <v>6017</v>
      </c>
      <c r="C1154">
        <v>10</v>
      </c>
      <c r="D1154">
        <v>1</v>
      </c>
      <c r="E1154">
        <v>1</v>
      </c>
      <c r="F1154">
        <v>1465</v>
      </c>
      <c r="G1154">
        <v>2.4675000000000001E-3</v>
      </c>
      <c r="H1154" t="s">
        <v>2197</v>
      </c>
    </row>
    <row r="1155" spans="1:8">
      <c r="A1155" t="s">
        <v>6027</v>
      </c>
      <c r="B1155" t="s">
        <v>6026</v>
      </c>
      <c r="C1155">
        <v>10</v>
      </c>
      <c r="D1155">
        <v>1</v>
      </c>
      <c r="E1155">
        <v>1</v>
      </c>
      <c r="F1155">
        <v>1465</v>
      </c>
      <c r="G1155">
        <v>2.4675000000000001E-3</v>
      </c>
      <c r="H1155" t="s">
        <v>2197</v>
      </c>
    </row>
    <row r="1156" spans="1:8">
      <c r="A1156" t="s">
        <v>4529</v>
      </c>
      <c r="B1156" t="s">
        <v>6025</v>
      </c>
      <c r="C1156">
        <v>10</v>
      </c>
      <c r="D1156">
        <v>1</v>
      </c>
      <c r="E1156">
        <v>1</v>
      </c>
      <c r="F1156">
        <v>1465</v>
      </c>
      <c r="G1156">
        <v>2.4675000000000001E-3</v>
      </c>
      <c r="H1156" t="s">
        <v>2197</v>
      </c>
    </row>
    <row r="1157" spans="1:8">
      <c r="A1157" t="s">
        <v>685</v>
      </c>
      <c r="B1157" t="s">
        <v>2857</v>
      </c>
      <c r="C1157">
        <v>10</v>
      </c>
      <c r="D1157">
        <v>1</v>
      </c>
      <c r="E1157">
        <v>1</v>
      </c>
      <c r="F1157">
        <v>1465</v>
      </c>
      <c r="G1157">
        <v>2.4675000000000001E-3</v>
      </c>
      <c r="H1157" t="s">
        <v>2197</v>
      </c>
    </row>
    <row r="1158" spans="1:8">
      <c r="A1158" t="s">
        <v>6036</v>
      </c>
      <c r="B1158" t="s">
        <v>6035</v>
      </c>
      <c r="C1158">
        <v>10</v>
      </c>
      <c r="D1158">
        <v>1</v>
      </c>
      <c r="E1158">
        <v>1</v>
      </c>
      <c r="F1158">
        <v>1465</v>
      </c>
      <c r="G1158">
        <v>2.4675000000000001E-3</v>
      </c>
      <c r="H1158" t="s">
        <v>2197</v>
      </c>
    </row>
    <row r="1159" spans="1:8">
      <c r="A1159" t="s">
        <v>4530</v>
      </c>
      <c r="B1159" t="s">
        <v>6030</v>
      </c>
      <c r="C1159">
        <v>10</v>
      </c>
      <c r="D1159">
        <v>1</v>
      </c>
      <c r="E1159">
        <v>1</v>
      </c>
      <c r="F1159">
        <v>1465</v>
      </c>
      <c r="G1159">
        <v>2.4675000000000001E-3</v>
      </c>
      <c r="H1159" t="s">
        <v>2197</v>
      </c>
    </row>
    <row r="1160" spans="1:8">
      <c r="A1160" t="s">
        <v>6042</v>
      </c>
      <c r="B1160" t="s">
        <v>6041</v>
      </c>
      <c r="C1160">
        <v>10</v>
      </c>
      <c r="D1160">
        <v>1</v>
      </c>
      <c r="E1160">
        <v>1</v>
      </c>
      <c r="F1160">
        <v>1465</v>
      </c>
      <c r="G1160">
        <v>2.4675000000000001E-3</v>
      </c>
      <c r="H1160" t="s">
        <v>2197</v>
      </c>
    </row>
    <row r="1161" spans="1:8">
      <c r="A1161" t="s">
        <v>4527</v>
      </c>
      <c r="B1161" t="s">
        <v>6018</v>
      </c>
      <c r="C1161">
        <v>30</v>
      </c>
      <c r="D1161">
        <v>1</v>
      </c>
      <c r="E1161">
        <v>1</v>
      </c>
      <c r="F1161">
        <v>541.70000000000005</v>
      </c>
      <c r="G1161">
        <v>9.1E-4</v>
      </c>
      <c r="H1161" t="s">
        <v>2197</v>
      </c>
    </row>
    <row r="1162" spans="1:8">
      <c r="A1162" t="s">
        <v>6022</v>
      </c>
      <c r="B1162" t="s">
        <v>6021</v>
      </c>
      <c r="C1162">
        <v>30</v>
      </c>
      <c r="D1162">
        <v>1</v>
      </c>
      <c r="E1162">
        <v>1</v>
      </c>
      <c r="F1162">
        <v>541.70000000000005</v>
      </c>
      <c r="G1162">
        <v>9.1E-4</v>
      </c>
      <c r="H1162" t="s">
        <v>2197</v>
      </c>
    </row>
    <row r="1163" spans="1:8">
      <c r="A1163" t="s">
        <v>6024</v>
      </c>
      <c r="B1163" t="s">
        <v>6023</v>
      </c>
      <c r="C1163">
        <v>30</v>
      </c>
      <c r="D1163">
        <v>1</v>
      </c>
      <c r="E1163">
        <v>1</v>
      </c>
      <c r="F1163">
        <v>541.70000000000005</v>
      </c>
      <c r="G1163">
        <v>9.1E-4</v>
      </c>
      <c r="H1163" t="s">
        <v>2197</v>
      </c>
    </row>
    <row r="1164" spans="1:8">
      <c r="A1164" t="s">
        <v>6032</v>
      </c>
      <c r="B1164" t="s">
        <v>6031</v>
      </c>
      <c r="C1164">
        <v>30</v>
      </c>
      <c r="D1164">
        <v>1</v>
      </c>
      <c r="E1164">
        <v>1</v>
      </c>
      <c r="F1164">
        <v>541.70000000000005</v>
      </c>
      <c r="G1164">
        <v>9.1E-4</v>
      </c>
      <c r="H1164" t="s">
        <v>2197</v>
      </c>
    </row>
    <row r="1165" spans="1:8">
      <c r="A1165" t="s">
        <v>686</v>
      </c>
      <c r="B1165" t="s">
        <v>2859</v>
      </c>
      <c r="C1165">
        <v>30</v>
      </c>
      <c r="D1165">
        <v>1</v>
      </c>
      <c r="E1165">
        <v>1</v>
      </c>
      <c r="F1165">
        <v>541.70000000000005</v>
      </c>
      <c r="G1165">
        <v>9.1E-4</v>
      </c>
      <c r="H1165" t="s">
        <v>2197</v>
      </c>
    </row>
    <row r="1166" spans="1:8">
      <c r="A1166" t="s">
        <v>6038</v>
      </c>
      <c r="B1166" t="s">
        <v>6037</v>
      </c>
      <c r="C1166">
        <v>30</v>
      </c>
      <c r="D1166">
        <v>1</v>
      </c>
      <c r="E1166">
        <v>1</v>
      </c>
      <c r="F1166">
        <v>1</v>
      </c>
      <c r="G1166">
        <v>0</v>
      </c>
      <c r="H1166" t="s">
        <v>2197</v>
      </c>
    </row>
    <row r="1167" spans="1:8">
      <c r="A1167" t="s">
        <v>6029</v>
      </c>
      <c r="B1167" t="s">
        <v>6028</v>
      </c>
      <c r="C1167">
        <v>30</v>
      </c>
      <c r="D1167">
        <v>1</v>
      </c>
      <c r="E1167">
        <v>1</v>
      </c>
      <c r="F1167">
        <v>541.70000000000005</v>
      </c>
      <c r="G1167">
        <v>9.1E-4</v>
      </c>
      <c r="H1167" t="s">
        <v>2197</v>
      </c>
    </row>
    <row r="1168" spans="1:8">
      <c r="A1168" t="s">
        <v>6044</v>
      </c>
      <c r="B1168" t="s">
        <v>6043</v>
      </c>
      <c r="C1168">
        <v>30</v>
      </c>
      <c r="D1168">
        <v>1</v>
      </c>
      <c r="E1168">
        <v>1</v>
      </c>
      <c r="F1168">
        <v>541.70000000000005</v>
      </c>
      <c r="G1168">
        <v>9.1E-4</v>
      </c>
      <c r="H1168" t="s">
        <v>2197</v>
      </c>
    </row>
    <row r="1169" spans="1:8">
      <c r="A1169" t="s">
        <v>6050</v>
      </c>
      <c r="B1169" t="s">
        <v>6049</v>
      </c>
      <c r="C1169">
        <v>4</v>
      </c>
      <c r="D1169">
        <v>1</v>
      </c>
      <c r="E1169">
        <v>1</v>
      </c>
      <c r="F1169">
        <v>5287.5</v>
      </c>
      <c r="G1169">
        <v>8.3700000000000007E-3</v>
      </c>
      <c r="H1169" t="s">
        <v>2307</v>
      </c>
    </row>
    <row r="1170" spans="1:8">
      <c r="A1170" t="s">
        <v>6048</v>
      </c>
      <c r="B1170" t="s">
        <v>6047</v>
      </c>
      <c r="C1170">
        <v>4</v>
      </c>
      <c r="D1170">
        <v>1</v>
      </c>
      <c r="E1170">
        <v>1</v>
      </c>
      <c r="F1170">
        <v>5287.5</v>
      </c>
      <c r="G1170">
        <v>8.3700000000000007E-3</v>
      </c>
      <c r="H1170" t="s">
        <v>2307</v>
      </c>
    </row>
    <row r="1171" spans="1:8">
      <c r="A1171" t="s">
        <v>6040</v>
      </c>
      <c r="B1171" t="s">
        <v>6039</v>
      </c>
      <c r="C1171">
        <v>4</v>
      </c>
      <c r="D1171">
        <v>1</v>
      </c>
      <c r="E1171">
        <v>1</v>
      </c>
      <c r="F1171">
        <v>5287.5</v>
      </c>
      <c r="G1171">
        <v>8.3700000000000007E-3</v>
      </c>
      <c r="H1171" t="s">
        <v>2307</v>
      </c>
    </row>
    <row r="1172" spans="1:8">
      <c r="A1172" t="s">
        <v>6046</v>
      </c>
      <c r="B1172" t="s">
        <v>6045</v>
      </c>
      <c r="C1172">
        <v>4</v>
      </c>
      <c r="D1172">
        <v>1</v>
      </c>
      <c r="E1172">
        <v>1</v>
      </c>
      <c r="F1172">
        <v>5287.5</v>
      </c>
      <c r="G1172">
        <v>8.3700000000000007E-3</v>
      </c>
      <c r="H1172" t="s">
        <v>2307</v>
      </c>
    </row>
    <row r="1173" spans="1:8">
      <c r="A1173" t="s">
        <v>687</v>
      </c>
      <c r="B1173" t="s">
        <v>2860</v>
      </c>
      <c r="C1173">
        <v>50</v>
      </c>
      <c r="D1173">
        <v>1</v>
      </c>
      <c r="E1173">
        <v>1</v>
      </c>
      <c r="F1173">
        <v>306.2</v>
      </c>
      <c r="G1173">
        <v>6.1879999999999997E-4</v>
      </c>
      <c r="H1173" t="s">
        <v>2197</v>
      </c>
    </row>
    <row r="1174" spans="1:8">
      <c r="A1174" t="s">
        <v>6020</v>
      </c>
      <c r="B1174" t="s">
        <v>6019</v>
      </c>
      <c r="C1174">
        <v>8</v>
      </c>
      <c r="D1174">
        <v>1</v>
      </c>
      <c r="E1174">
        <v>1</v>
      </c>
      <c r="F1174">
        <v>2000</v>
      </c>
      <c r="G1174">
        <v>0</v>
      </c>
      <c r="H1174" t="s">
        <v>2197</v>
      </c>
    </row>
    <row r="1175" spans="1:8">
      <c r="A1175" t="s">
        <v>688</v>
      </c>
      <c r="B1175" t="s">
        <v>2861</v>
      </c>
      <c r="C1175">
        <v>100</v>
      </c>
      <c r="D1175">
        <v>1</v>
      </c>
      <c r="E1175">
        <v>1</v>
      </c>
      <c r="F1175">
        <v>131.5</v>
      </c>
      <c r="G1175">
        <v>2.9329999999999997E-4</v>
      </c>
      <c r="H1175" t="s">
        <v>2197</v>
      </c>
    </row>
    <row r="1176" spans="1:8">
      <c r="A1176" t="s">
        <v>690</v>
      </c>
      <c r="B1176" t="s">
        <v>2863</v>
      </c>
      <c r="C1176">
        <v>20</v>
      </c>
      <c r="D1176">
        <v>1</v>
      </c>
      <c r="E1176">
        <v>1</v>
      </c>
      <c r="F1176">
        <v>590</v>
      </c>
      <c r="G1176">
        <v>1.2210000000000001E-3</v>
      </c>
      <c r="H1176" t="s">
        <v>2197</v>
      </c>
    </row>
    <row r="1177" spans="1:8">
      <c r="A1177" t="s">
        <v>693</v>
      </c>
      <c r="B1177" t="s">
        <v>2864</v>
      </c>
      <c r="C1177">
        <v>40</v>
      </c>
      <c r="D1177">
        <v>1</v>
      </c>
      <c r="E1177">
        <v>1</v>
      </c>
      <c r="F1177">
        <v>315</v>
      </c>
      <c r="G1177">
        <v>6.6560000000000002E-4</v>
      </c>
      <c r="H1177" t="s">
        <v>2197</v>
      </c>
    </row>
    <row r="1178" spans="1:8">
      <c r="A1178" t="s">
        <v>6052</v>
      </c>
      <c r="B1178" t="s">
        <v>6051</v>
      </c>
      <c r="C1178">
        <v>24</v>
      </c>
      <c r="D1178">
        <v>1</v>
      </c>
      <c r="E1178">
        <v>1</v>
      </c>
      <c r="F1178">
        <v>0</v>
      </c>
      <c r="G1178">
        <v>0</v>
      </c>
      <c r="H1178" t="s">
        <v>2203</v>
      </c>
    </row>
    <row r="1179" spans="1:8">
      <c r="A1179" t="s">
        <v>4531</v>
      </c>
      <c r="B1179" t="s">
        <v>6053</v>
      </c>
      <c r="C1179">
        <v>40</v>
      </c>
      <c r="D1179">
        <v>1</v>
      </c>
      <c r="E1179">
        <v>1</v>
      </c>
      <c r="F1179">
        <v>247.5</v>
      </c>
      <c r="G1179">
        <v>6.0899999999999995E-4</v>
      </c>
      <c r="H1179" t="s">
        <v>2203</v>
      </c>
    </row>
    <row r="1180" spans="1:8">
      <c r="A1180" t="s">
        <v>695</v>
      </c>
      <c r="B1180" t="s">
        <v>2865</v>
      </c>
      <c r="C1180">
        <v>144</v>
      </c>
      <c r="D1180">
        <v>1</v>
      </c>
      <c r="E1180">
        <v>1</v>
      </c>
      <c r="F1180">
        <v>105.6</v>
      </c>
      <c r="G1180">
        <v>1.103E-4</v>
      </c>
      <c r="H1180" t="s">
        <v>2203</v>
      </c>
    </row>
    <row r="1181" spans="1:8">
      <c r="A1181" t="s">
        <v>705</v>
      </c>
      <c r="B1181" t="s">
        <v>2868</v>
      </c>
      <c r="C1181">
        <v>24</v>
      </c>
      <c r="D1181">
        <v>1</v>
      </c>
      <c r="E1181">
        <v>1</v>
      </c>
      <c r="F1181">
        <v>520.79999999999995</v>
      </c>
      <c r="G1181">
        <v>5.3200000000000003E-4</v>
      </c>
      <c r="H1181" t="s">
        <v>2203</v>
      </c>
    </row>
    <row r="1182" spans="1:8">
      <c r="A1182" t="s">
        <v>709</v>
      </c>
      <c r="B1182" t="s">
        <v>2869</v>
      </c>
      <c r="C1182">
        <v>144</v>
      </c>
      <c r="D1182">
        <v>1</v>
      </c>
      <c r="E1182">
        <v>1</v>
      </c>
      <c r="F1182">
        <v>104.9</v>
      </c>
      <c r="G1182">
        <v>1.103E-4</v>
      </c>
      <c r="H1182" t="s">
        <v>2203</v>
      </c>
    </row>
    <row r="1183" spans="1:8">
      <c r="A1183" t="s">
        <v>726</v>
      </c>
      <c r="B1183" t="s">
        <v>2871</v>
      </c>
      <c r="C1183">
        <v>24</v>
      </c>
      <c r="D1183">
        <v>1</v>
      </c>
      <c r="E1183">
        <v>1</v>
      </c>
      <c r="F1183">
        <v>537.5</v>
      </c>
      <c r="G1183">
        <v>5.3200000000000003E-4</v>
      </c>
      <c r="H1183" t="s">
        <v>2203</v>
      </c>
    </row>
    <row r="1184" spans="1:8">
      <c r="A1184" t="s">
        <v>730</v>
      </c>
      <c r="B1184" t="s">
        <v>2872</v>
      </c>
      <c r="C1184">
        <v>34</v>
      </c>
      <c r="D1184">
        <v>1</v>
      </c>
      <c r="E1184">
        <v>1</v>
      </c>
      <c r="F1184">
        <v>332.5</v>
      </c>
      <c r="G1184">
        <v>7.3499999999999998E-4</v>
      </c>
      <c r="H1184" t="s">
        <v>2197</v>
      </c>
    </row>
    <row r="1185" spans="1:8">
      <c r="A1185" t="s">
        <v>731</v>
      </c>
      <c r="B1185" t="s">
        <v>2874</v>
      </c>
      <c r="C1185">
        <v>40</v>
      </c>
      <c r="D1185">
        <v>1</v>
      </c>
      <c r="E1185">
        <v>1</v>
      </c>
      <c r="F1185">
        <v>137.5</v>
      </c>
      <c r="G1185">
        <v>3.7130000000000003E-4</v>
      </c>
      <c r="H1185" t="s">
        <v>2197</v>
      </c>
    </row>
    <row r="1186" spans="1:8">
      <c r="A1186" t="s">
        <v>732</v>
      </c>
      <c r="B1186" t="s">
        <v>2875</v>
      </c>
      <c r="C1186">
        <v>40</v>
      </c>
      <c r="D1186">
        <v>1</v>
      </c>
      <c r="E1186">
        <v>1</v>
      </c>
      <c r="F1186">
        <v>1</v>
      </c>
      <c r="G1186">
        <v>0</v>
      </c>
      <c r="H1186" t="s">
        <v>2197</v>
      </c>
    </row>
    <row r="1187" spans="1:8">
      <c r="A1187" t="s">
        <v>733</v>
      </c>
      <c r="B1187" t="s">
        <v>2878</v>
      </c>
      <c r="C1187">
        <v>100</v>
      </c>
      <c r="D1187">
        <v>1</v>
      </c>
      <c r="E1187">
        <v>1</v>
      </c>
      <c r="F1187">
        <v>117.6</v>
      </c>
      <c r="G1187">
        <v>3.1225749999999998E-4</v>
      </c>
      <c r="H1187" t="s">
        <v>2203</v>
      </c>
    </row>
    <row r="1188" spans="1:8">
      <c r="A1188" t="s">
        <v>6057</v>
      </c>
      <c r="B1188" t="s">
        <v>6056</v>
      </c>
      <c r="C1188">
        <v>40</v>
      </c>
      <c r="D1188">
        <v>1</v>
      </c>
      <c r="E1188">
        <v>1</v>
      </c>
      <c r="F1188">
        <v>515</v>
      </c>
      <c r="G1188">
        <v>8.2819999999999996E-4</v>
      </c>
      <c r="H1188" t="s">
        <v>2203</v>
      </c>
    </row>
    <row r="1189" spans="1:8">
      <c r="A1189" t="s">
        <v>6059</v>
      </c>
      <c r="B1189" t="s">
        <v>6058</v>
      </c>
      <c r="C1189">
        <v>40</v>
      </c>
      <c r="D1189">
        <v>1</v>
      </c>
      <c r="E1189">
        <v>1</v>
      </c>
      <c r="F1189">
        <v>535</v>
      </c>
      <c r="G1189">
        <v>7.2769999999999996E-4</v>
      </c>
      <c r="H1189" t="s">
        <v>2203</v>
      </c>
    </row>
    <row r="1190" spans="1:8">
      <c r="A1190" t="s">
        <v>9455</v>
      </c>
      <c r="B1190" t="s">
        <v>6060</v>
      </c>
      <c r="C1190">
        <v>10</v>
      </c>
      <c r="D1190">
        <v>100</v>
      </c>
      <c r="E1190">
        <v>1</v>
      </c>
      <c r="F1190">
        <v>1</v>
      </c>
      <c r="G1190">
        <v>0</v>
      </c>
      <c r="H1190" t="s">
        <v>2203</v>
      </c>
    </row>
    <row r="1191" spans="1:8">
      <c r="A1191" t="s">
        <v>4532</v>
      </c>
      <c r="B1191" t="s">
        <v>6061</v>
      </c>
      <c r="C1191">
        <v>100</v>
      </c>
      <c r="D1191">
        <v>1</v>
      </c>
      <c r="E1191">
        <v>1</v>
      </c>
      <c r="F1191">
        <v>0</v>
      </c>
      <c r="G1191">
        <v>0</v>
      </c>
      <c r="H1191" t="s">
        <v>2197</v>
      </c>
    </row>
    <row r="1192" spans="1:8">
      <c r="A1192" t="s">
        <v>6063</v>
      </c>
      <c r="B1192" t="s">
        <v>6062</v>
      </c>
      <c r="C1192">
        <v>1</v>
      </c>
      <c r="D1192">
        <v>1</v>
      </c>
      <c r="E1192">
        <v>1</v>
      </c>
      <c r="F1192">
        <v>0</v>
      </c>
      <c r="G1192">
        <v>0</v>
      </c>
      <c r="H1192" t="s">
        <v>2307</v>
      </c>
    </row>
    <row r="1193" spans="1:8">
      <c r="A1193" t="s">
        <v>4533</v>
      </c>
      <c r="B1193" t="s">
        <v>6064</v>
      </c>
      <c r="C1193">
        <v>50</v>
      </c>
      <c r="D1193">
        <v>1</v>
      </c>
      <c r="E1193">
        <v>1</v>
      </c>
      <c r="F1193">
        <v>86.6</v>
      </c>
      <c r="G1193">
        <v>2.7648000000000001E-4</v>
      </c>
      <c r="H1193" t="s">
        <v>2197</v>
      </c>
    </row>
    <row r="1194" spans="1:8">
      <c r="A1194" t="s">
        <v>6066</v>
      </c>
      <c r="B1194" t="s">
        <v>6065</v>
      </c>
      <c r="C1194">
        <v>50</v>
      </c>
      <c r="D1194">
        <v>1</v>
      </c>
      <c r="E1194">
        <v>1</v>
      </c>
      <c r="F1194">
        <v>138</v>
      </c>
      <c r="G1194">
        <v>6.1240000000000003E-4</v>
      </c>
      <c r="H1194" t="s">
        <v>2203</v>
      </c>
    </row>
    <row r="1195" spans="1:8">
      <c r="A1195" t="s">
        <v>4534</v>
      </c>
      <c r="B1195" t="s">
        <v>6067</v>
      </c>
      <c r="C1195">
        <v>20</v>
      </c>
      <c r="D1195">
        <v>1</v>
      </c>
      <c r="E1195">
        <v>1</v>
      </c>
      <c r="F1195">
        <v>0</v>
      </c>
      <c r="G1195">
        <v>0</v>
      </c>
      <c r="H1195" t="s">
        <v>2197</v>
      </c>
    </row>
    <row r="1196" spans="1:8">
      <c r="A1196" t="s">
        <v>734</v>
      </c>
      <c r="B1196" t="s">
        <v>2879</v>
      </c>
      <c r="C1196">
        <v>1</v>
      </c>
      <c r="D1196">
        <v>1</v>
      </c>
      <c r="E1196">
        <v>1</v>
      </c>
      <c r="F1196">
        <v>1</v>
      </c>
      <c r="G1196">
        <v>0</v>
      </c>
      <c r="H1196" t="s">
        <v>2221</v>
      </c>
    </row>
    <row r="1197" spans="1:8">
      <c r="A1197" t="s">
        <v>8382</v>
      </c>
      <c r="B1197" t="s">
        <v>8381</v>
      </c>
      <c r="C1197">
        <v>1</v>
      </c>
      <c r="D1197">
        <v>1</v>
      </c>
      <c r="E1197">
        <v>1</v>
      </c>
      <c r="F1197">
        <v>1</v>
      </c>
      <c r="G1197">
        <v>0</v>
      </c>
      <c r="H1197" t="s">
        <v>2221</v>
      </c>
    </row>
    <row r="1198" spans="1:8">
      <c r="A1198" t="s">
        <v>735</v>
      </c>
      <c r="B1198" t="s">
        <v>2880</v>
      </c>
      <c r="C1198">
        <v>1</v>
      </c>
      <c r="D1198">
        <v>1</v>
      </c>
      <c r="E1198">
        <v>1</v>
      </c>
      <c r="F1198">
        <v>1</v>
      </c>
      <c r="G1198">
        <v>0</v>
      </c>
      <c r="H1198" t="s">
        <v>2221</v>
      </c>
    </row>
    <row r="1199" spans="1:8">
      <c r="A1199" t="s">
        <v>8384</v>
      </c>
      <c r="B1199" t="s">
        <v>8383</v>
      </c>
      <c r="C1199">
        <v>1</v>
      </c>
      <c r="D1199">
        <v>1</v>
      </c>
      <c r="E1199">
        <v>1</v>
      </c>
      <c r="F1199">
        <v>1</v>
      </c>
      <c r="G1199">
        <v>0</v>
      </c>
      <c r="H1199" t="s">
        <v>2221</v>
      </c>
    </row>
    <row r="1200" spans="1:8">
      <c r="A1200" t="s">
        <v>8386</v>
      </c>
      <c r="B1200" t="s">
        <v>8385</v>
      </c>
      <c r="C1200">
        <v>1</v>
      </c>
      <c r="D1200">
        <v>1</v>
      </c>
      <c r="E1200">
        <v>1</v>
      </c>
      <c r="F1200">
        <v>1</v>
      </c>
      <c r="G1200">
        <v>0</v>
      </c>
      <c r="H1200" t="s">
        <v>2221</v>
      </c>
    </row>
    <row r="1201" spans="1:8">
      <c r="A1201" t="s">
        <v>736</v>
      </c>
      <c r="B1201" t="s">
        <v>2881</v>
      </c>
      <c r="C1201">
        <v>1</v>
      </c>
      <c r="D1201">
        <v>1</v>
      </c>
      <c r="E1201">
        <v>1</v>
      </c>
      <c r="F1201">
        <v>1</v>
      </c>
      <c r="G1201">
        <v>0</v>
      </c>
      <c r="H1201" t="s">
        <v>2221</v>
      </c>
    </row>
    <row r="1202" spans="1:8">
      <c r="A1202" t="s">
        <v>737</v>
      </c>
      <c r="B1202" t="s">
        <v>2882</v>
      </c>
      <c r="C1202">
        <v>1</v>
      </c>
      <c r="D1202">
        <v>1</v>
      </c>
      <c r="E1202">
        <v>1</v>
      </c>
      <c r="F1202">
        <v>1</v>
      </c>
      <c r="G1202">
        <v>0</v>
      </c>
      <c r="H1202" t="s">
        <v>2221</v>
      </c>
    </row>
    <row r="1203" spans="1:8">
      <c r="A1203" t="s">
        <v>4972</v>
      </c>
      <c r="B1203" t="s">
        <v>6078</v>
      </c>
      <c r="C1203">
        <v>10</v>
      </c>
      <c r="D1203">
        <v>1</v>
      </c>
      <c r="E1203">
        <v>1</v>
      </c>
      <c r="F1203">
        <v>2000</v>
      </c>
      <c r="G1203">
        <v>0</v>
      </c>
      <c r="H1203" t="s">
        <v>2203</v>
      </c>
    </row>
    <row r="1204" spans="1:8">
      <c r="A1204" t="s">
        <v>4971</v>
      </c>
      <c r="B1204" t="s">
        <v>6077</v>
      </c>
      <c r="C1204">
        <v>20</v>
      </c>
      <c r="D1204">
        <v>1</v>
      </c>
      <c r="E1204">
        <v>1</v>
      </c>
      <c r="F1204">
        <v>1000</v>
      </c>
      <c r="G1204">
        <v>0</v>
      </c>
      <c r="H1204" t="s">
        <v>2203</v>
      </c>
    </row>
    <row r="1205" spans="1:8">
      <c r="A1205" t="s">
        <v>6073</v>
      </c>
      <c r="B1205" t="s">
        <v>6072</v>
      </c>
      <c r="C1205">
        <v>1</v>
      </c>
      <c r="D1205">
        <v>1</v>
      </c>
      <c r="E1205">
        <v>1</v>
      </c>
      <c r="F1205">
        <v>0</v>
      </c>
      <c r="G1205">
        <v>0</v>
      </c>
      <c r="H1205" t="s">
        <v>2303</v>
      </c>
    </row>
    <row r="1206" spans="1:8">
      <c r="A1206" t="s">
        <v>6069</v>
      </c>
      <c r="B1206" t="s">
        <v>6068</v>
      </c>
      <c r="C1206">
        <v>20</v>
      </c>
      <c r="D1206">
        <v>1</v>
      </c>
      <c r="E1206">
        <v>1</v>
      </c>
      <c r="F1206">
        <v>0</v>
      </c>
      <c r="G1206">
        <v>0</v>
      </c>
      <c r="H1206" t="s">
        <v>2197</v>
      </c>
    </row>
    <row r="1207" spans="1:8">
      <c r="A1207" t="s">
        <v>4969</v>
      </c>
      <c r="B1207" t="s">
        <v>6076</v>
      </c>
      <c r="C1207">
        <v>20</v>
      </c>
      <c r="D1207">
        <v>1</v>
      </c>
      <c r="E1207">
        <v>1</v>
      </c>
      <c r="F1207">
        <v>1000</v>
      </c>
      <c r="G1207">
        <v>0</v>
      </c>
      <c r="H1207" t="s">
        <v>2197</v>
      </c>
    </row>
    <row r="1208" spans="1:8">
      <c r="A1208" t="s">
        <v>4973</v>
      </c>
      <c r="B1208" t="s">
        <v>6074</v>
      </c>
      <c r="C1208">
        <v>20</v>
      </c>
      <c r="D1208">
        <v>1</v>
      </c>
      <c r="E1208">
        <v>1</v>
      </c>
      <c r="F1208">
        <v>0</v>
      </c>
      <c r="G1208">
        <v>0</v>
      </c>
      <c r="H1208" t="s">
        <v>2197</v>
      </c>
    </row>
    <row r="1209" spans="1:8">
      <c r="A1209" t="s">
        <v>4968</v>
      </c>
      <c r="B1209" t="s">
        <v>6079</v>
      </c>
      <c r="C1209">
        <v>20</v>
      </c>
      <c r="D1209">
        <v>1</v>
      </c>
      <c r="E1209">
        <v>1</v>
      </c>
      <c r="F1209">
        <v>500</v>
      </c>
      <c r="G1209">
        <v>0</v>
      </c>
      <c r="H1209" t="s">
        <v>2197</v>
      </c>
    </row>
    <row r="1210" spans="1:8">
      <c r="A1210" t="s">
        <v>6071</v>
      </c>
      <c r="B1210" t="s">
        <v>6070</v>
      </c>
      <c r="C1210">
        <v>4</v>
      </c>
      <c r="D1210">
        <v>1</v>
      </c>
      <c r="E1210">
        <v>1</v>
      </c>
      <c r="F1210">
        <v>0</v>
      </c>
      <c r="G1210">
        <v>0</v>
      </c>
      <c r="H1210" t="s">
        <v>2307</v>
      </c>
    </row>
    <row r="1211" spans="1:8">
      <c r="A1211" t="s">
        <v>4970</v>
      </c>
      <c r="B1211" t="s">
        <v>6075</v>
      </c>
      <c r="C1211">
        <v>4</v>
      </c>
      <c r="D1211">
        <v>1</v>
      </c>
      <c r="E1211">
        <v>1</v>
      </c>
      <c r="F1211">
        <v>5000</v>
      </c>
      <c r="G1211">
        <v>0</v>
      </c>
      <c r="H1211" t="s">
        <v>2307</v>
      </c>
    </row>
    <row r="1212" spans="1:8">
      <c r="A1212" t="s">
        <v>6081</v>
      </c>
      <c r="B1212" t="s">
        <v>6080</v>
      </c>
      <c r="C1212">
        <v>12</v>
      </c>
      <c r="D1212">
        <v>1</v>
      </c>
      <c r="E1212">
        <v>1</v>
      </c>
      <c r="F1212">
        <v>550</v>
      </c>
      <c r="G1212">
        <v>2.3039500000000001E-2</v>
      </c>
      <c r="H1212" t="s">
        <v>2221</v>
      </c>
    </row>
    <row r="1213" spans="1:8">
      <c r="A1213" t="s">
        <v>738</v>
      </c>
      <c r="B1213" t="s">
        <v>2883</v>
      </c>
      <c r="C1213">
        <v>16</v>
      </c>
      <c r="D1213">
        <v>1</v>
      </c>
      <c r="E1213">
        <v>1</v>
      </c>
      <c r="F1213">
        <v>1084.375</v>
      </c>
      <c r="G1213">
        <v>2.3588906249999999E-3</v>
      </c>
      <c r="H1213" t="s">
        <v>2197</v>
      </c>
    </row>
    <row r="1214" spans="1:8">
      <c r="A1214" t="s">
        <v>9456</v>
      </c>
      <c r="B1214" t="s">
        <v>6082</v>
      </c>
      <c r="C1214">
        <v>20</v>
      </c>
      <c r="D1214">
        <v>1</v>
      </c>
      <c r="E1214">
        <v>1</v>
      </c>
      <c r="F1214">
        <v>472</v>
      </c>
      <c r="G1214">
        <v>1.1663999999999999E-3</v>
      </c>
      <c r="H1214" t="s">
        <v>2197</v>
      </c>
    </row>
    <row r="1215" spans="1:8">
      <c r="A1215" t="s">
        <v>6088</v>
      </c>
      <c r="B1215" t="s">
        <v>6087</v>
      </c>
      <c r="C1215">
        <v>1</v>
      </c>
      <c r="D1215">
        <v>1</v>
      </c>
      <c r="E1215">
        <v>1</v>
      </c>
      <c r="F1215">
        <v>20000</v>
      </c>
      <c r="G1215">
        <v>0</v>
      </c>
      <c r="H1215" t="s">
        <v>2303</v>
      </c>
    </row>
    <row r="1216" spans="1:8">
      <c r="A1216" t="s">
        <v>6084</v>
      </c>
      <c r="B1216" t="s">
        <v>6083</v>
      </c>
      <c r="C1216">
        <v>20</v>
      </c>
      <c r="D1216">
        <v>1</v>
      </c>
      <c r="E1216">
        <v>1</v>
      </c>
      <c r="F1216">
        <v>1000</v>
      </c>
      <c r="G1216">
        <v>0</v>
      </c>
      <c r="H1216" t="s">
        <v>2197</v>
      </c>
    </row>
    <row r="1217" spans="1:8">
      <c r="A1217" t="s">
        <v>6084</v>
      </c>
      <c r="B1217" t="s">
        <v>6089</v>
      </c>
      <c r="C1217">
        <v>20</v>
      </c>
      <c r="D1217">
        <v>1</v>
      </c>
      <c r="E1217">
        <v>1</v>
      </c>
      <c r="F1217">
        <v>1325</v>
      </c>
      <c r="G1217">
        <v>2.4599999999999999E-3</v>
      </c>
      <c r="H1217" t="s">
        <v>2197</v>
      </c>
    </row>
    <row r="1218" spans="1:8">
      <c r="A1218" t="s">
        <v>6086</v>
      </c>
      <c r="B1218" t="s">
        <v>6085</v>
      </c>
      <c r="C1218">
        <v>4</v>
      </c>
      <c r="D1218">
        <v>1</v>
      </c>
      <c r="E1218">
        <v>1</v>
      </c>
      <c r="F1218">
        <v>5000</v>
      </c>
      <c r="G1218">
        <v>0</v>
      </c>
      <c r="H1218" t="s">
        <v>2307</v>
      </c>
    </row>
    <row r="1219" spans="1:8">
      <c r="A1219" t="s">
        <v>9457</v>
      </c>
      <c r="B1219" t="s">
        <v>6090</v>
      </c>
      <c r="C1219">
        <v>24</v>
      </c>
      <c r="D1219">
        <v>1</v>
      </c>
      <c r="E1219">
        <v>1</v>
      </c>
      <c r="F1219">
        <v>527.91666666666697</v>
      </c>
      <c r="G1219">
        <v>1.24E-3</v>
      </c>
      <c r="H1219" t="s">
        <v>2197</v>
      </c>
    </row>
    <row r="1220" spans="1:8">
      <c r="A1220" t="s">
        <v>4535</v>
      </c>
      <c r="B1220" t="s">
        <v>6091</v>
      </c>
      <c r="C1220">
        <v>24</v>
      </c>
      <c r="D1220">
        <v>1</v>
      </c>
      <c r="E1220">
        <v>1</v>
      </c>
      <c r="F1220">
        <v>541.66666666666697</v>
      </c>
      <c r="G1220">
        <v>1.227875E-3</v>
      </c>
      <c r="H1220" t="s">
        <v>2197</v>
      </c>
    </row>
    <row r="1221" spans="1:8">
      <c r="A1221" t="s">
        <v>739</v>
      </c>
      <c r="B1221" t="s">
        <v>2885</v>
      </c>
      <c r="C1221">
        <v>1</v>
      </c>
      <c r="D1221">
        <v>1</v>
      </c>
      <c r="E1221">
        <v>1</v>
      </c>
      <c r="F1221">
        <v>23090</v>
      </c>
      <c r="G1221">
        <v>2.2113000000000001E-2</v>
      </c>
      <c r="H1221" t="s">
        <v>2303</v>
      </c>
    </row>
    <row r="1222" spans="1:8">
      <c r="A1222" t="s">
        <v>740</v>
      </c>
      <c r="B1222" t="s">
        <v>2887</v>
      </c>
      <c r="C1222">
        <v>20</v>
      </c>
      <c r="D1222">
        <v>1</v>
      </c>
      <c r="E1222">
        <v>1</v>
      </c>
      <c r="F1222">
        <v>1195</v>
      </c>
      <c r="G1222">
        <v>2.8487999999999999E-3</v>
      </c>
      <c r="H1222" t="s">
        <v>2197</v>
      </c>
    </row>
    <row r="1223" spans="1:8">
      <c r="A1223" t="s">
        <v>741</v>
      </c>
      <c r="B1223" t="s">
        <v>2888</v>
      </c>
      <c r="C1223">
        <v>4</v>
      </c>
      <c r="D1223">
        <v>1</v>
      </c>
      <c r="E1223">
        <v>1</v>
      </c>
      <c r="F1223">
        <v>5725</v>
      </c>
      <c r="G1223">
        <v>8.5800000000000008E-3</v>
      </c>
      <c r="H1223" t="s">
        <v>2307</v>
      </c>
    </row>
    <row r="1224" spans="1:8">
      <c r="A1224" t="s">
        <v>9458</v>
      </c>
      <c r="B1224" t="s">
        <v>6093</v>
      </c>
      <c r="C1224">
        <v>20</v>
      </c>
      <c r="D1224">
        <v>1</v>
      </c>
      <c r="E1224">
        <v>1</v>
      </c>
      <c r="F1224">
        <v>540</v>
      </c>
      <c r="G1224">
        <v>1.2869999999999999E-3</v>
      </c>
      <c r="H1224" t="s">
        <v>2197</v>
      </c>
    </row>
    <row r="1225" spans="1:8">
      <c r="A1225" t="s">
        <v>9459</v>
      </c>
      <c r="B1225" t="s">
        <v>6092</v>
      </c>
      <c r="C1225">
        <v>40</v>
      </c>
      <c r="D1225">
        <v>1</v>
      </c>
      <c r="E1225">
        <v>1</v>
      </c>
      <c r="F1225">
        <v>250</v>
      </c>
      <c r="G1225">
        <v>6.9517500000000002E-4</v>
      </c>
      <c r="H1225" t="s">
        <v>2197</v>
      </c>
    </row>
    <row r="1226" spans="1:8">
      <c r="A1226" t="s">
        <v>6122</v>
      </c>
      <c r="B1226" t="s">
        <v>6121</v>
      </c>
      <c r="C1226">
        <v>50</v>
      </c>
      <c r="D1226">
        <v>1</v>
      </c>
      <c r="E1226">
        <v>1</v>
      </c>
      <c r="F1226">
        <v>0</v>
      </c>
      <c r="G1226">
        <v>0</v>
      </c>
      <c r="H1226" t="s">
        <v>2197</v>
      </c>
    </row>
    <row r="1227" spans="1:8">
      <c r="A1227" t="s">
        <v>6124</v>
      </c>
      <c r="B1227" t="s">
        <v>6123</v>
      </c>
      <c r="C1227">
        <v>50</v>
      </c>
      <c r="D1227">
        <v>1</v>
      </c>
      <c r="E1227">
        <v>1</v>
      </c>
      <c r="F1227">
        <v>0</v>
      </c>
      <c r="G1227">
        <v>0</v>
      </c>
      <c r="H1227" t="s">
        <v>2197</v>
      </c>
    </row>
    <row r="1228" spans="1:8">
      <c r="A1228" t="s">
        <v>742</v>
      </c>
      <c r="B1228" t="s">
        <v>2889</v>
      </c>
      <c r="C1228">
        <v>10</v>
      </c>
      <c r="D1228">
        <v>10</v>
      </c>
      <c r="E1228">
        <v>1</v>
      </c>
      <c r="F1228">
        <v>24</v>
      </c>
      <c r="G1228" s="4">
        <v>8.1199999999999995E-5</v>
      </c>
      <c r="H1228" t="s">
        <v>2203</v>
      </c>
    </row>
    <row r="1229" spans="1:8">
      <c r="A1229" t="s">
        <v>743</v>
      </c>
      <c r="B1229" t="s">
        <v>2891</v>
      </c>
      <c r="C1229">
        <v>10</v>
      </c>
      <c r="D1229">
        <v>10</v>
      </c>
      <c r="E1229">
        <v>1</v>
      </c>
      <c r="F1229">
        <v>11</v>
      </c>
      <c r="G1229" s="4">
        <v>8.1199999999999995E-5</v>
      </c>
      <c r="H1229" t="s">
        <v>2203</v>
      </c>
    </row>
    <row r="1230" spans="1:8">
      <c r="A1230" t="s">
        <v>744</v>
      </c>
      <c r="B1230" t="s">
        <v>2892</v>
      </c>
      <c r="C1230">
        <v>50</v>
      </c>
      <c r="D1230">
        <v>1</v>
      </c>
      <c r="E1230">
        <v>1</v>
      </c>
      <c r="F1230">
        <v>140</v>
      </c>
      <c r="G1230">
        <v>4.1310000000000001E-4</v>
      </c>
      <c r="H1230" t="s">
        <v>2197</v>
      </c>
    </row>
    <row r="1231" spans="1:8">
      <c r="A1231" t="s">
        <v>9460</v>
      </c>
      <c r="B1231" t="s">
        <v>6125</v>
      </c>
      <c r="C1231">
        <v>50</v>
      </c>
      <c r="D1231">
        <v>1</v>
      </c>
      <c r="E1231">
        <v>1</v>
      </c>
      <c r="F1231">
        <v>0</v>
      </c>
      <c r="G1231">
        <v>0</v>
      </c>
      <c r="H1231" t="s">
        <v>2197</v>
      </c>
    </row>
    <row r="1232" spans="1:8">
      <c r="A1232" t="s">
        <v>745</v>
      </c>
      <c r="B1232" t="s">
        <v>2893</v>
      </c>
      <c r="C1232">
        <v>70</v>
      </c>
      <c r="D1232">
        <v>1</v>
      </c>
      <c r="E1232">
        <v>1</v>
      </c>
      <c r="F1232">
        <v>24.3</v>
      </c>
      <c r="G1232">
        <v>1.2180000000000001E-4</v>
      </c>
      <c r="H1232" t="s">
        <v>2203</v>
      </c>
    </row>
    <row r="1233" spans="1:8">
      <c r="A1233" t="s">
        <v>746</v>
      </c>
      <c r="B1233" t="s">
        <v>2894</v>
      </c>
      <c r="C1233">
        <v>80</v>
      </c>
      <c r="D1233">
        <v>1</v>
      </c>
      <c r="E1233">
        <v>1</v>
      </c>
      <c r="F1233">
        <v>13.8</v>
      </c>
      <c r="G1233" s="4">
        <v>9.7999999999999997E-5</v>
      </c>
      <c r="H1233" t="s">
        <v>2203</v>
      </c>
    </row>
    <row r="1234" spans="1:8">
      <c r="A1234" t="s">
        <v>747</v>
      </c>
      <c r="B1234" t="s">
        <v>2895</v>
      </c>
      <c r="C1234">
        <v>30</v>
      </c>
      <c r="D1234">
        <v>1</v>
      </c>
      <c r="E1234">
        <v>1</v>
      </c>
      <c r="F1234">
        <v>603.33000000000004</v>
      </c>
      <c r="G1234">
        <v>1.4213333300000001E-3</v>
      </c>
      <c r="H1234" t="s">
        <v>2197</v>
      </c>
    </row>
    <row r="1235" spans="1:8">
      <c r="A1235" t="s">
        <v>748</v>
      </c>
      <c r="B1235" t="s">
        <v>2897</v>
      </c>
      <c r="C1235">
        <v>10</v>
      </c>
      <c r="D1235">
        <v>10</v>
      </c>
      <c r="E1235">
        <v>1</v>
      </c>
      <c r="F1235">
        <v>24</v>
      </c>
      <c r="G1235">
        <v>1.0556E-4</v>
      </c>
      <c r="H1235" t="s">
        <v>2203</v>
      </c>
    </row>
    <row r="1236" spans="1:8">
      <c r="A1236" t="s">
        <v>749</v>
      </c>
      <c r="B1236" t="s">
        <v>2899</v>
      </c>
      <c r="C1236">
        <v>50</v>
      </c>
      <c r="D1236">
        <v>1</v>
      </c>
      <c r="E1236">
        <v>1</v>
      </c>
      <c r="F1236">
        <v>137</v>
      </c>
      <c r="G1236">
        <v>4.1310000000000001E-4</v>
      </c>
      <c r="H1236" t="s">
        <v>2197</v>
      </c>
    </row>
    <row r="1237" spans="1:8">
      <c r="A1237" t="s">
        <v>750</v>
      </c>
      <c r="B1237" t="s">
        <v>2900</v>
      </c>
      <c r="C1237">
        <v>50</v>
      </c>
      <c r="D1237">
        <v>1</v>
      </c>
      <c r="E1237">
        <v>1</v>
      </c>
      <c r="F1237">
        <v>140</v>
      </c>
      <c r="G1237">
        <v>3.7100000000000002E-4</v>
      </c>
      <c r="H1237" t="s">
        <v>2197</v>
      </c>
    </row>
    <row r="1238" spans="1:8">
      <c r="A1238" t="s">
        <v>751</v>
      </c>
      <c r="B1238" t="s">
        <v>2902</v>
      </c>
      <c r="C1238">
        <v>50</v>
      </c>
      <c r="D1238">
        <v>1</v>
      </c>
      <c r="E1238">
        <v>1</v>
      </c>
      <c r="F1238">
        <v>139</v>
      </c>
      <c r="G1238">
        <v>4.1310000000000001E-4</v>
      </c>
      <c r="H1238" t="s">
        <v>2197</v>
      </c>
    </row>
    <row r="1239" spans="1:8">
      <c r="A1239" t="s">
        <v>752</v>
      </c>
      <c r="B1239" t="s">
        <v>2904</v>
      </c>
      <c r="C1239">
        <v>1</v>
      </c>
      <c r="D1239">
        <v>1</v>
      </c>
      <c r="E1239">
        <v>1</v>
      </c>
      <c r="F1239">
        <v>24450</v>
      </c>
      <c r="G1239">
        <v>1.8559099999999999E-2</v>
      </c>
      <c r="H1239" t="s">
        <v>2303</v>
      </c>
    </row>
    <row r="1240" spans="1:8">
      <c r="A1240" t="s">
        <v>753</v>
      </c>
      <c r="B1240" t="s">
        <v>2906</v>
      </c>
      <c r="C1240">
        <v>20</v>
      </c>
      <c r="D1240">
        <v>1</v>
      </c>
      <c r="E1240">
        <v>1</v>
      </c>
      <c r="F1240">
        <v>1323.5</v>
      </c>
      <c r="G1240">
        <v>3.0038E-3</v>
      </c>
      <c r="H1240" t="s">
        <v>2197</v>
      </c>
    </row>
    <row r="1241" spans="1:8">
      <c r="A1241" t="s">
        <v>9461</v>
      </c>
      <c r="B1241" t="s">
        <v>6094</v>
      </c>
      <c r="C1241">
        <v>4</v>
      </c>
      <c r="D1241">
        <v>1</v>
      </c>
      <c r="E1241">
        <v>1</v>
      </c>
      <c r="F1241">
        <v>6087.5</v>
      </c>
      <c r="G1241">
        <v>8.2939999999999993E-3</v>
      </c>
      <c r="H1241" t="s">
        <v>2307</v>
      </c>
    </row>
    <row r="1242" spans="1:8">
      <c r="A1242" t="s">
        <v>6096</v>
      </c>
      <c r="B1242" t="s">
        <v>6095</v>
      </c>
      <c r="C1242">
        <v>24</v>
      </c>
      <c r="D1242">
        <v>40</v>
      </c>
      <c r="E1242">
        <v>1</v>
      </c>
      <c r="F1242">
        <v>2.1979166666666701</v>
      </c>
      <c r="G1242" s="4">
        <v>1.2937499999999999E-5</v>
      </c>
      <c r="H1242" t="s">
        <v>2203</v>
      </c>
    </row>
    <row r="1243" spans="1:8">
      <c r="A1243" t="s">
        <v>754</v>
      </c>
      <c r="B1243" t="s">
        <v>2907</v>
      </c>
      <c r="C1243">
        <v>25</v>
      </c>
      <c r="D1243">
        <v>40</v>
      </c>
      <c r="E1243">
        <v>1</v>
      </c>
      <c r="F1243">
        <v>2.1</v>
      </c>
      <c r="G1243" s="4">
        <v>1.13E-5</v>
      </c>
      <c r="H1243" t="s">
        <v>2203</v>
      </c>
    </row>
    <row r="1244" spans="1:8">
      <c r="A1244" t="s">
        <v>4536</v>
      </c>
      <c r="B1244" t="s">
        <v>6097</v>
      </c>
      <c r="C1244">
        <v>10</v>
      </c>
      <c r="D1244">
        <v>10</v>
      </c>
      <c r="E1244">
        <v>1</v>
      </c>
      <c r="F1244">
        <v>9.5</v>
      </c>
      <c r="G1244" s="4">
        <v>4.6799999999999999E-5</v>
      </c>
      <c r="H1244" t="s">
        <v>2203</v>
      </c>
    </row>
    <row r="1245" spans="1:8">
      <c r="A1245" t="s">
        <v>755</v>
      </c>
      <c r="B1245" t="s">
        <v>2909</v>
      </c>
      <c r="C1245">
        <v>25</v>
      </c>
      <c r="D1245">
        <v>10</v>
      </c>
      <c r="E1245">
        <v>1</v>
      </c>
      <c r="F1245">
        <v>8.8000000000000007</v>
      </c>
      <c r="G1245" s="4">
        <v>4.5099999999999998E-5</v>
      </c>
      <c r="H1245" t="s">
        <v>2203</v>
      </c>
    </row>
    <row r="1246" spans="1:8">
      <c r="A1246" t="s">
        <v>756</v>
      </c>
      <c r="B1246" t="s">
        <v>2910</v>
      </c>
      <c r="C1246">
        <v>100</v>
      </c>
      <c r="D1246">
        <v>1</v>
      </c>
      <c r="E1246">
        <v>1</v>
      </c>
      <c r="F1246">
        <v>117</v>
      </c>
      <c r="G1246">
        <v>2.8800000000000001E-4</v>
      </c>
      <c r="H1246" t="s">
        <v>2197</v>
      </c>
    </row>
    <row r="1247" spans="1:8">
      <c r="A1247" t="s">
        <v>758</v>
      </c>
      <c r="B1247" t="s">
        <v>2912</v>
      </c>
      <c r="C1247">
        <v>25</v>
      </c>
      <c r="D1247">
        <v>1</v>
      </c>
      <c r="E1247">
        <v>1</v>
      </c>
      <c r="F1247">
        <v>516</v>
      </c>
      <c r="G1247">
        <v>5.2499999999999997E-4</v>
      </c>
      <c r="H1247" t="s">
        <v>2197</v>
      </c>
    </row>
    <row r="1248" spans="1:8">
      <c r="A1248" t="s">
        <v>759</v>
      </c>
      <c r="B1248" t="s">
        <v>2913</v>
      </c>
      <c r="C1248">
        <v>50</v>
      </c>
      <c r="D1248">
        <v>1</v>
      </c>
      <c r="E1248">
        <v>1</v>
      </c>
      <c r="F1248">
        <v>266</v>
      </c>
      <c r="G1248">
        <v>6.0079999999999997E-4</v>
      </c>
      <c r="H1248" t="s">
        <v>2197</v>
      </c>
    </row>
    <row r="1249" spans="1:8">
      <c r="A1249" t="s">
        <v>9462</v>
      </c>
      <c r="B1249" t="s">
        <v>6098</v>
      </c>
      <c r="C1249">
        <v>20</v>
      </c>
      <c r="D1249">
        <v>1</v>
      </c>
      <c r="E1249">
        <v>1</v>
      </c>
      <c r="F1249">
        <v>1017.5</v>
      </c>
      <c r="G1249">
        <v>2.9951999999999999E-3</v>
      </c>
      <c r="H1249" t="s">
        <v>2203</v>
      </c>
    </row>
    <row r="1250" spans="1:8">
      <c r="A1250" t="s">
        <v>6100</v>
      </c>
      <c r="B1250" t="s">
        <v>6099</v>
      </c>
      <c r="C1250">
        <v>30</v>
      </c>
      <c r="D1250">
        <v>1</v>
      </c>
      <c r="E1250">
        <v>1</v>
      </c>
      <c r="F1250">
        <v>421.33333333333297</v>
      </c>
      <c r="G1250">
        <v>1.3037999999999999E-3</v>
      </c>
      <c r="H1250" t="s">
        <v>2197</v>
      </c>
    </row>
    <row r="1251" spans="1:8">
      <c r="A1251" t="s">
        <v>4537</v>
      </c>
      <c r="B1251" t="s">
        <v>6102</v>
      </c>
      <c r="C1251">
        <v>50</v>
      </c>
      <c r="D1251">
        <v>1</v>
      </c>
      <c r="E1251">
        <v>1</v>
      </c>
      <c r="F1251">
        <v>0</v>
      </c>
      <c r="G1251">
        <v>0</v>
      </c>
      <c r="H1251" t="s">
        <v>2197</v>
      </c>
    </row>
    <row r="1252" spans="1:8">
      <c r="A1252" t="s">
        <v>4538</v>
      </c>
      <c r="B1252" t="s">
        <v>6101</v>
      </c>
      <c r="C1252">
        <v>50</v>
      </c>
      <c r="D1252">
        <v>1</v>
      </c>
      <c r="E1252">
        <v>1</v>
      </c>
      <c r="F1252">
        <v>0</v>
      </c>
      <c r="G1252">
        <v>0</v>
      </c>
      <c r="H1252" t="s">
        <v>2197</v>
      </c>
    </row>
    <row r="1253" spans="1:8">
      <c r="A1253" t="s">
        <v>4539</v>
      </c>
      <c r="B1253" t="s">
        <v>6103</v>
      </c>
      <c r="C1253">
        <v>20</v>
      </c>
      <c r="D1253">
        <v>1</v>
      </c>
      <c r="E1253">
        <v>1</v>
      </c>
      <c r="F1253">
        <v>1275</v>
      </c>
      <c r="G1253">
        <v>2.4599999999999999E-3</v>
      </c>
      <c r="H1253" t="s">
        <v>2197</v>
      </c>
    </row>
    <row r="1254" spans="1:8">
      <c r="A1254" t="s">
        <v>6109</v>
      </c>
      <c r="B1254" t="s">
        <v>6108</v>
      </c>
      <c r="C1254">
        <v>1</v>
      </c>
      <c r="D1254">
        <v>1</v>
      </c>
      <c r="E1254">
        <v>1</v>
      </c>
      <c r="F1254">
        <v>1</v>
      </c>
      <c r="G1254">
        <v>0</v>
      </c>
      <c r="H1254" t="s">
        <v>2303</v>
      </c>
    </row>
    <row r="1255" spans="1:8">
      <c r="A1255" t="s">
        <v>6105</v>
      </c>
      <c r="B1255" t="s">
        <v>6104</v>
      </c>
      <c r="C1255">
        <v>20</v>
      </c>
      <c r="D1255">
        <v>1</v>
      </c>
      <c r="E1255">
        <v>1</v>
      </c>
      <c r="F1255">
        <v>1</v>
      </c>
      <c r="G1255">
        <v>0</v>
      </c>
      <c r="H1255" t="s">
        <v>2197</v>
      </c>
    </row>
    <row r="1256" spans="1:8">
      <c r="A1256" t="s">
        <v>6107</v>
      </c>
      <c r="B1256" t="s">
        <v>6106</v>
      </c>
      <c r="C1256">
        <v>5</v>
      </c>
      <c r="D1256">
        <v>1</v>
      </c>
      <c r="E1256">
        <v>1</v>
      </c>
      <c r="F1256">
        <v>1</v>
      </c>
      <c r="G1256">
        <v>0</v>
      </c>
      <c r="H1256" t="s">
        <v>2307</v>
      </c>
    </row>
    <row r="1257" spans="1:8">
      <c r="A1257" t="s">
        <v>760</v>
      </c>
      <c r="B1257" t="s">
        <v>2914</v>
      </c>
      <c r="C1257">
        <v>20</v>
      </c>
      <c r="D1257">
        <v>1</v>
      </c>
      <c r="E1257">
        <v>1</v>
      </c>
      <c r="F1257">
        <v>1320</v>
      </c>
      <c r="G1257">
        <v>2.3999999999999998E-3</v>
      </c>
      <c r="H1257" t="s">
        <v>2197</v>
      </c>
    </row>
    <row r="1258" spans="1:8">
      <c r="A1258" t="s">
        <v>9463</v>
      </c>
      <c r="B1258" t="s">
        <v>6111</v>
      </c>
      <c r="C1258">
        <v>1</v>
      </c>
      <c r="D1258">
        <v>1</v>
      </c>
      <c r="E1258">
        <v>1</v>
      </c>
      <c r="F1258">
        <v>25730</v>
      </c>
      <c r="G1258">
        <v>1.8559124999999999E-2</v>
      </c>
      <c r="H1258" t="s">
        <v>2303</v>
      </c>
    </row>
    <row r="1259" spans="1:8">
      <c r="A1259" t="s">
        <v>9464</v>
      </c>
      <c r="B1259" t="s">
        <v>6110</v>
      </c>
      <c r="C1259">
        <v>20</v>
      </c>
      <c r="D1259">
        <v>1</v>
      </c>
      <c r="E1259">
        <v>1</v>
      </c>
      <c r="F1259">
        <v>1317.5</v>
      </c>
      <c r="G1259">
        <v>2.2913E-3</v>
      </c>
      <c r="H1259" t="s">
        <v>2197</v>
      </c>
    </row>
    <row r="1260" spans="1:8">
      <c r="A1260" t="s">
        <v>9465</v>
      </c>
      <c r="B1260" t="s">
        <v>6112</v>
      </c>
      <c r="C1260">
        <v>4</v>
      </c>
      <c r="D1260">
        <v>1</v>
      </c>
      <c r="E1260">
        <v>1</v>
      </c>
      <c r="F1260">
        <v>0</v>
      </c>
      <c r="G1260">
        <v>0</v>
      </c>
      <c r="H1260" t="s">
        <v>2307</v>
      </c>
    </row>
    <row r="1261" spans="1:8">
      <c r="A1261" t="s">
        <v>762</v>
      </c>
      <c r="B1261" t="s">
        <v>2915</v>
      </c>
      <c r="C1261">
        <v>20</v>
      </c>
      <c r="D1261">
        <v>1</v>
      </c>
      <c r="E1261">
        <v>1</v>
      </c>
      <c r="F1261">
        <v>602.5</v>
      </c>
      <c r="G1261">
        <v>1.4207E-3</v>
      </c>
      <c r="H1261" t="s">
        <v>2197</v>
      </c>
    </row>
    <row r="1262" spans="1:8">
      <c r="A1262" t="s">
        <v>763</v>
      </c>
      <c r="B1262" t="s">
        <v>2917</v>
      </c>
      <c r="C1262">
        <v>40</v>
      </c>
      <c r="D1262">
        <v>1</v>
      </c>
      <c r="E1262">
        <v>1</v>
      </c>
      <c r="F1262">
        <v>1</v>
      </c>
      <c r="G1262">
        <v>0</v>
      </c>
      <c r="H1262" t="s">
        <v>2197</v>
      </c>
    </row>
    <row r="1263" spans="1:8">
      <c r="A1263" t="s">
        <v>764</v>
      </c>
      <c r="B1263" t="s">
        <v>2918</v>
      </c>
      <c r="C1263">
        <v>50</v>
      </c>
      <c r="D1263">
        <v>1</v>
      </c>
      <c r="E1263">
        <v>1</v>
      </c>
      <c r="F1263">
        <v>144</v>
      </c>
      <c r="G1263">
        <v>4.7100000000000001E-4</v>
      </c>
      <c r="H1263" t="s">
        <v>2197</v>
      </c>
    </row>
    <row r="1264" spans="1:8">
      <c r="A1264" t="s">
        <v>9466</v>
      </c>
      <c r="B1264" t="s">
        <v>6113</v>
      </c>
      <c r="C1264">
        <v>15</v>
      </c>
      <c r="D1264">
        <v>1</v>
      </c>
      <c r="E1264">
        <v>1</v>
      </c>
      <c r="F1264">
        <v>1283.3</v>
      </c>
      <c r="G1264">
        <v>1.8500000000000001E-3</v>
      </c>
      <c r="H1264" t="s">
        <v>2197</v>
      </c>
    </row>
    <row r="1265" spans="1:8">
      <c r="A1265" t="s">
        <v>9467</v>
      </c>
      <c r="B1265" t="s">
        <v>6114</v>
      </c>
      <c r="C1265">
        <v>30</v>
      </c>
      <c r="D1265">
        <v>1</v>
      </c>
      <c r="E1265">
        <v>1</v>
      </c>
      <c r="F1265">
        <v>641.70000000000005</v>
      </c>
      <c r="G1265">
        <v>1.2539999999999999E-3</v>
      </c>
      <c r="H1265" t="s">
        <v>2197</v>
      </c>
    </row>
    <row r="1266" spans="1:8">
      <c r="A1266" t="s">
        <v>765</v>
      </c>
      <c r="B1266" t="s">
        <v>2919</v>
      </c>
      <c r="C1266">
        <v>20</v>
      </c>
      <c r="D1266">
        <v>1</v>
      </c>
      <c r="E1266">
        <v>1</v>
      </c>
      <c r="F1266">
        <v>1320</v>
      </c>
      <c r="G1266">
        <v>2.5479999999999999E-3</v>
      </c>
      <c r="H1266" t="s">
        <v>2197</v>
      </c>
    </row>
    <row r="1267" spans="1:8">
      <c r="A1267" t="s">
        <v>4540</v>
      </c>
      <c r="B1267" t="s">
        <v>6115</v>
      </c>
      <c r="C1267">
        <v>100</v>
      </c>
      <c r="D1267">
        <v>1</v>
      </c>
      <c r="E1267">
        <v>1</v>
      </c>
      <c r="F1267">
        <v>81</v>
      </c>
      <c r="G1267">
        <v>2.1249999999999999E-4</v>
      </c>
      <c r="H1267" t="s">
        <v>2197</v>
      </c>
    </row>
    <row r="1268" spans="1:8">
      <c r="A1268" t="s">
        <v>766</v>
      </c>
      <c r="B1268" t="s">
        <v>2920</v>
      </c>
      <c r="C1268">
        <v>50</v>
      </c>
      <c r="D1268">
        <v>1</v>
      </c>
      <c r="E1268">
        <v>1</v>
      </c>
      <c r="F1268">
        <v>148.6</v>
      </c>
      <c r="G1268">
        <v>3.1819999999999998E-4</v>
      </c>
      <c r="H1268" t="s">
        <v>2197</v>
      </c>
    </row>
    <row r="1269" spans="1:8">
      <c r="A1269" t="s">
        <v>767</v>
      </c>
      <c r="B1269" t="s">
        <v>2922</v>
      </c>
      <c r="C1269">
        <v>40</v>
      </c>
      <c r="D1269">
        <v>1</v>
      </c>
      <c r="E1269">
        <v>1</v>
      </c>
      <c r="F1269">
        <v>350</v>
      </c>
      <c r="G1269">
        <v>7.5739999999999998E-4</v>
      </c>
      <c r="H1269" t="s">
        <v>2197</v>
      </c>
    </row>
    <row r="1270" spans="1:8">
      <c r="A1270" t="s">
        <v>768</v>
      </c>
      <c r="B1270" t="s">
        <v>2924</v>
      </c>
      <c r="C1270">
        <v>20</v>
      </c>
      <c r="D1270">
        <v>1</v>
      </c>
      <c r="E1270">
        <v>1</v>
      </c>
      <c r="F1270">
        <v>1222.5</v>
      </c>
      <c r="G1270">
        <v>2.4480000000000001E-3</v>
      </c>
      <c r="H1270" t="s">
        <v>2197</v>
      </c>
    </row>
    <row r="1271" spans="1:8">
      <c r="A1271" t="s">
        <v>769</v>
      </c>
      <c r="B1271" t="s">
        <v>2927</v>
      </c>
      <c r="C1271">
        <v>30</v>
      </c>
      <c r="D1271">
        <v>1</v>
      </c>
      <c r="E1271">
        <v>1</v>
      </c>
      <c r="F1271">
        <v>583.29999999999995</v>
      </c>
      <c r="G1271">
        <v>1.1395999999999999E-3</v>
      </c>
      <c r="H1271" t="s">
        <v>2197</v>
      </c>
    </row>
    <row r="1272" spans="1:8">
      <c r="A1272" t="s">
        <v>770</v>
      </c>
      <c r="B1272" t="s">
        <v>2928</v>
      </c>
      <c r="C1272">
        <v>20</v>
      </c>
      <c r="D1272">
        <v>1</v>
      </c>
      <c r="E1272">
        <v>1</v>
      </c>
      <c r="F1272">
        <v>1330</v>
      </c>
      <c r="G1272">
        <v>2.5625000000000001E-3</v>
      </c>
      <c r="H1272" t="s">
        <v>2197</v>
      </c>
    </row>
    <row r="1273" spans="1:8">
      <c r="A1273" t="s">
        <v>6117</v>
      </c>
      <c r="B1273" t="s">
        <v>6116</v>
      </c>
      <c r="C1273">
        <v>20</v>
      </c>
      <c r="D1273">
        <v>1</v>
      </c>
      <c r="E1273">
        <v>1</v>
      </c>
      <c r="F1273">
        <v>0</v>
      </c>
      <c r="G1273">
        <v>0</v>
      </c>
      <c r="H1273" t="s">
        <v>2197</v>
      </c>
    </row>
    <row r="1274" spans="1:8">
      <c r="A1274" t="s">
        <v>6119</v>
      </c>
      <c r="B1274" t="s">
        <v>6118</v>
      </c>
      <c r="C1274">
        <v>20</v>
      </c>
      <c r="D1274">
        <v>1</v>
      </c>
      <c r="E1274">
        <v>1</v>
      </c>
      <c r="F1274">
        <v>638</v>
      </c>
      <c r="G1274">
        <v>1.1808000000000001E-3</v>
      </c>
      <c r="H1274" t="s">
        <v>2197</v>
      </c>
    </row>
    <row r="1275" spans="1:8">
      <c r="A1275" t="s">
        <v>4541</v>
      </c>
      <c r="B1275" t="s">
        <v>6120</v>
      </c>
      <c r="C1275">
        <v>50</v>
      </c>
      <c r="D1275">
        <v>1</v>
      </c>
      <c r="E1275">
        <v>1</v>
      </c>
      <c r="F1275">
        <v>0</v>
      </c>
      <c r="G1275">
        <v>0</v>
      </c>
      <c r="H1275" t="s">
        <v>2197</v>
      </c>
    </row>
    <row r="1276" spans="1:8">
      <c r="A1276" t="s">
        <v>6127</v>
      </c>
      <c r="B1276" t="s">
        <v>6126</v>
      </c>
      <c r="C1276">
        <v>20</v>
      </c>
      <c r="D1276">
        <v>1</v>
      </c>
      <c r="E1276">
        <v>1</v>
      </c>
      <c r="F1276">
        <v>498</v>
      </c>
      <c r="G1276">
        <v>8.6034375E-4</v>
      </c>
      <c r="H1276" t="s">
        <v>2197</v>
      </c>
    </row>
    <row r="1277" spans="1:8">
      <c r="A1277" t="s">
        <v>6129</v>
      </c>
      <c r="B1277" t="s">
        <v>6128</v>
      </c>
      <c r="C1277">
        <v>20</v>
      </c>
      <c r="D1277">
        <v>1</v>
      </c>
      <c r="E1277">
        <v>1</v>
      </c>
      <c r="F1277">
        <v>872.5</v>
      </c>
      <c r="G1277">
        <v>1.30370625E-3</v>
      </c>
      <c r="H1277" t="s">
        <v>2197</v>
      </c>
    </row>
    <row r="1278" spans="1:8">
      <c r="A1278" t="s">
        <v>6131</v>
      </c>
      <c r="B1278" t="s">
        <v>6130</v>
      </c>
      <c r="C1278">
        <v>50</v>
      </c>
      <c r="D1278">
        <v>1</v>
      </c>
      <c r="E1278">
        <v>1</v>
      </c>
      <c r="F1278">
        <v>225.8</v>
      </c>
      <c r="G1278">
        <v>3.4343999999999998E-4</v>
      </c>
      <c r="H1278" t="s">
        <v>2197</v>
      </c>
    </row>
    <row r="1279" spans="1:8">
      <c r="A1279" t="s">
        <v>6135</v>
      </c>
      <c r="B1279" t="s">
        <v>6134</v>
      </c>
      <c r="C1279">
        <v>1</v>
      </c>
      <c r="D1279">
        <v>1</v>
      </c>
      <c r="E1279">
        <v>1</v>
      </c>
      <c r="F1279">
        <v>1</v>
      </c>
      <c r="G1279">
        <v>0</v>
      </c>
      <c r="H1279" t="s">
        <v>2303</v>
      </c>
    </row>
    <row r="1280" spans="1:8">
      <c r="A1280" t="s">
        <v>6133</v>
      </c>
      <c r="B1280" t="s">
        <v>6132</v>
      </c>
      <c r="C1280">
        <v>20</v>
      </c>
      <c r="D1280">
        <v>1</v>
      </c>
      <c r="E1280">
        <v>1</v>
      </c>
      <c r="F1280">
        <v>1</v>
      </c>
      <c r="G1280">
        <v>0</v>
      </c>
      <c r="H1280" t="s">
        <v>2197</v>
      </c>
    </row>
    <row r="1281" spans="1:8">
      <c r="A1281" t="s">
        <v>6137</v>
      </c>
      <c r="B1281" t="s">
        <v>6136</v>
      </c>
      <c r="C1281">
        <v>20</v>
      </c>
      <c r="D1281">
        <v>1</v>
      </c>
      <c r="E1281">
        <v>1</v>
      </c>
      <c r="F1281">
        <v>337.5</v>
      </c>
      <c r="G1281">
        <v>8.3250000000000002E-4</v>
      </c>
      <c r="H1281" t="s">
        <v>2197</v>
      </c>
    </row>
    <row r="1282" spans="1:8">
      <c r="A1282" t="s">
        <v>6139</v>
      </c>
      <c r="B1282" t="s">
        <v>6138</v>
      </c>
      <c r="C1282">
        <v>20</v>
      </c>
      <c r="D1282">
        <v>1</v>
      </c>
      <c r="E1282">
        <v>1</v>
      </c>
      <c r="F1282">
        <v>612.5</v>
      </c>
      <c r="G1282">
        <v>1.2546E-3</v>
      </c>
      <c r="H1282" t="s">
        <v>2197</v>
      </c>
    </row>
    <row r="1283" spans="1:8">
      <c r="A1283" t="s">
        <v>6146</v>
      </c>
      <c r="B1283" t="s">
        <v>6145</v>
      </c>
      <c r="C1283">
        <v>1</v>
      </c>
      <c r="D1283">
        <v>1</v>
      </c>
      <c r="E1283">
        <v>1</v>
      </c>
      <c r="F1283">
        <v>0</v>
      </c>
      <c r="G1283">
        <v>0</v>
      </c>
      <c r="H1283" t="s">
        <v>2303</v>
      </c>
    </row>
    <row r="1284" spans="1:8">
      <c r="A1284" t="s">
        <v>4542</v>
      </c>
      <c r="B1284" t="s">
        <v>6140</v>
      </c>
      <c r="C1284">
        <v>20</v>
      </c>
      <c r="D1284">
        <v>1</v>
      </c>
      <c r="E1284">
        <v>1</v>
      </c>
      <c r="F1284">
        <v>1243</v>
      </c>
      <c r="G1284">
        <v>2.7097000000000002E-3</v>
      </c>
      <c r="H1284" t="s">
        <v>2197</v>
      </c>
    </row>
    <row r="1285" spans="1:8">
      <c r="A1285" t="s">
        <v>4543</v>
      </c>
      <c r="B1285" t="s">
        <v>6141</v>
      </c>
      <c r="C1285">
        <v>20</v>
      </c>
      <c r="D1285">
        <v>1</v>
      </c>
      <c r="E1285">
        <v>1</v>
      </c>
      <c r="F1285">
        <v>632</v>
      </c>
      <c r="G1285">
        <v>1.17705E-3</v>
      </c>
      <c r="H1285" t="s">
        <v>2197</v>
      </c>
    </row>
    <row r="1286" spans="1:8">
      <c r="A1286" t="s">
        <v>6143</v>
      </c>
      <c r="B1286" t="s">
        <v>6142</v>
      </c>
      <c r="C1286">
        <v>1</v>
      </c>
      <c r="D1286">
        <v>1</v>
      </c>
      <c r="E1286">
        <v>1</v>
      </c>
      <c r="F1286">
        <v>25000</v>
      </c>
      <c r="G1286">
        <v>0.31285200000000002</v>
      </c>
      <c r="H1286" t="s">
        <v>4806</v>
      </c>
    </row>
    <row r="1287" spans="1:8">
      <c r="A1287" t="s">
        <v>4545</v>
      </c>
      <c r="B1287" t="s">
        <v>6147</v>
      </c>
      <c r="C1287">
        <v>4</v>
      </c>
      <c r="D1287">
        <v>1</v>
      </c>
      <c r="E1287">
        <v>1</v>
      </c>
      <c r="F1287">
        <v>0</v>
      </c>
      <c r="G1287">
        <v>0</v>
      </c>
      <c r="H1287" t="s">
        <v>2307</v>
      </c>
    </row>
    <row r="1288" spans="1:8">
      <c r="A1288" t="s">
        <v>4544</v>
      </c>
      <c r="B1288" t="s">
        <v>6144</v>
      </c>
      <c r="C1288">
        <v>40</v>
      </c>
      <c r="D1288">
        <v>1</v>
      </c>
      <c r="E1288">
        <v>1</v>
      </c>
      <c r="F1288">
        <v>330.5</v>
      </c>
      <c r="G1288">
        <v>1.025171875E-3</v>
      </c>
      <c r="H1288" t="s">
        <v>2197</v>
      </c>
    </row>
    <row r="1289" spans="1:8">
      <c r="A1289" t="s">
        <v>771</v>
      </c>
      <c r="B1289" t="s">
        <v>2930</v>
      </c>
      <c r="C1289">
        <v>1</v>
      </c>
      <c r="D1289">
        <v>1</v>
      </c>
      <c r="E1289">
        <v>1</v>
      </c>
      <c r="F1289">
        <v>1</v>
      </c>
      <c r="G1289">
        <v>0</v>
      </c>
      <c r="H1289" t="s">
        <v>2221</v>
      </c>
    </row>
    <row r="1290" spans="1:8">
      <c r="A1290" t="s">
        <v>772</v>
      </c>
      <c r="B1290" t="s">
        <v>2933</v>
      </c>
      <c r="C1290">
        <v>1</v>
      </c>
      <c r="D1290">
        <v>1</v>
      </c>
      <c r="E1290">
        <v>1</v>
      </c>
      <c r="F1290">
        <v>0</v>
      </c>
      <c r="G1290">
        <v>0</v>
      </c>
      <c r="H1290" t="s">
        <v>2203</v>
      </c>
    </row>
    <row r="1291" spans="1:8">
      <c r="A1291" t="s">
        <v>773</v>
      </c>
      <c r="B1291" t="s">
        <v>6148</v>
      </c>
      <c r="C1291">
        <v>1</v>
      </c>
      <c r="D1291">
        <v>1</v>
      </c>
      <c r="E1291">
        <v>1</v>
      </c>
      <c r="F1291">
        <v>1</v>
      </c>
      <c r="G1291">
        <v>0</v>
      </c>
      <c r="H1291" t="s">
        <v>2203</v>
      </c>
    </row>
    <row r="1292" spans="1:8">
      <c r="A1292" t="s">
        <v>773</v>
      </c>
      <c r="B1292" t="s">
        <v>2934</v>
      </c>
      <c r="C1292">
        <v>1</v>
      </c>
      <c r="D1292">
        <v>1</v>
      </c>
      <c r="E1292">
        <v>1</v>
      </c>
      <c r="F1292">
        <v>1</v>
      </c>
      <c r="G1292">
        <v>0</v>
      </c>
      <c r="H1292" t="s">
        <v>2203</v>
      </c>
    </row>
    <row r="1293" spans="1:8">
      <c r="A1293" t="s">
        <v>6150</v>
      </c>
      <c r="B1293" t="s">
        <v>6149</v>
      </c>
      <c r="C1293">
        <v>10</v>
      </c>
      <c r="D1293">
        <v>1</v>
      </c>
      <c r="E1293">
        <v>1</v>
      </c>
      <c r="F1293">
        <v>2160</v>
      </c>
      <c r="G1293">
        <v>2.6459999999999999E-3</v>
      </c>
      <c r="H1293" t="s">
        <v>2203</v>
      </c>
    </row>
    <row r="1294" spans="1:8">
      <c r="A1294" t="s">
        <v>774</v>
      </c>
      <c r="B1294" t="s">
        <v>2935</v>
      </c>
      <c r="C1294">
        <v>1</v>
      </c>
      <c r="D1294">
        <v>1</v>
      </c>
      <c r="E1294">
        <v>1</v>
      </c>
      <c r="F1294">
        <v>25540</v>
      </c>
      <c r="G1294">
        <v>1.8559124999999999E-2</v>
      </c>
      <c r="H1294" t="s">
        <v>2307</v>
      </c>
    </row>
    <row r="1295" spans="1:8">
      <c r="A1295" t="s">
        <v>775</v>
      </c>
      <c r="B1295" t="s">
        <v>2937</v>
      </c>
      <c r="C1295">
        <v>20</v>
      </c>
      <c r="D1295">
        <v>1</v>
      </c>
      <c r="E1295">
        <v>1</v>
      </c>
      <c r="F1295">
        <v>1365</v>
      </c>
      <c r="G1295">
        <v>2.5561E-3</v>
      </c>
      <c r="H1295" t="s">
        <v>2197</v>
      </c>
    </row>
    <row r="1296" spans="1:8">
      <c r="A1296" t="s">
        <v>776</v>
      </c>
      <c r="B1296" t="s">
        <v>2938</v>
      </c>
      <c r="C1296">
        <v>4</v>
      </c>
      <c r="D1296">
        <v>1</v>
      </c>
      <c r="E1296">
        <v>1</v>
      </c>
      <c r="F1296">
        <v>6600</v>
      </c>
      <c r="G1296">
        <v>8.3850000000000001E-3</v>
      </c>
      <c r="H1296" t="s">
        <v>2307</v>
      </c>
    </row>
    <row r="1297" spans="1:8">
      <c r="A1297" t="s">
        <v>777</v>
      </c>
      <c r="B1297" t="s">
        <v>2939</v>
      </c>
      <c r="C1297">
        <v>20</v>
      </c>
      <c r="D1297">
        <v>1</v>
      </c>
      <c r="E1297">
        <v>1</v>
      </c>
      <c r="F1297">
        <v>1</v>
      </c>
      <c r="G1297">
        <v>0</v>
      </c>
      <c r="H1297" t="s">
        <v>2197</v>
      </c>
    </row>
    <row r="1298" spans="1:8">
      <c r="A1298" t="s">
        <v>778</v>
      </c>
      <c r="B1298" t="s">
        <v>2941</v>
      </c>
      <c r="C1298">
        <v>6</v>
      </c>
      <c r="D1298">
        <v>1</v>
      </c>
      <c r="E1298">
        <v>1</v>
      </c>
      <c r="F1298">
        <v>5550</v>
      </c>
      <c r="G1298">
        <v>8.6449999999999999E-3</v>
      </c>
      <c r="H1298" t="s">
        <v>2307</v>
      </c>
    </row>
    <row r="1299" spans="1:8">
      <c r="A1299" t="s">
        <v>6152</v>
      </c>
      <c r="B1299" t="s">
        <v>6151</v>
      </c>
      <c r="C1299">
        <v>20</v>
      </c>
      <c r="D1299">
        <v>1</v>
      </c>
      <c r="E1299">
        <v>1</v>
      </c>
      <c r="F1299">
        <v>628.5</v>
      </c>
      <c r="G1299">
        <v>1.3162499999999999E-3</v>
      </c>
      <c r="H1299" t="s">
        <v>2197</v>
      </c>
    </row>
    <row r="1300" spans="1:8">
      <c r="A1300" t="s">
        <v>8388</v>
      </c>
      <c r="B1300" t="s">
        <v>8387</v>
      </c>
      <c r="C1300">
        <v>1</v>
      </c>
      <c r="D1300">
        <v>1</v>
      </c>
      <c r="E1300">
        <v>1</v>
      </c>
      <c r="F1300">
        <v>1</v>
      </c>
      <c r="G1300">
        <v>0</v>
      </c>
      <c r="H1300" t="s">
        <v>2203</v>
      </c>
    </row>
    <row r="1301" spans="1:8">
      <c r="A1301" t="s">
        <v>8390</v>
      </c>
      <c r="B1301" t="s">
        <v>8389</v>
      </c>
      <c r="C1301">
        <v>1</v>
      </c>
      <c r="D1301">
        <v>1</v>
      </c>
      <c r="E1301">
        <v>1</v>
      </c>
      <c r="F1301">
        <v>1</v>
      </c>
      <c r="G1301">
        <v>0</v>
      </c>
      <c r="H1301" t="s">
        <v>2203</v>
      </c>
    </row>
    <row r="1302" spans="1:8">
      <c r="A1302" t="s">
        <v>8392</v>
      </c>
      <c r="B1302" t="s">
        <v>8391</v>
      </c>
      <c r="C1302">
        <v>1</v>
      </c>
      <c r="D1302">
        <v>1</v>
      </c>
      <c r="E1302">
        <v>1</v>
      </c>
      <c r="F1302">
        <v>1</v>
      </c>
      <c r="G1302">
        <v>0</v>
      </c>
      <c r="H1302" t="s">
        <v>2221</v>
      </c>
    </row>
    <row r="1303" spans="1:8">
      <c r="A1303" t="s">
        <v>779</v>
      </c>
      <c r="B1303" t="s">
        <v>2942</v>
      </c>
      <c r="C1303">
        <v>12</v>
      </c>
      <c r="D1303">
        <v>1</v>
      </c>
      <c r="E1303">
        <v>1</v>
      </c>
      <c r="F1303">
        <v>628.5</v>
      </c>
      <c r="G1303">
        <v>1.3162499999999999E-3</v>
      </c>
      <c r="H1303" t="s">
        <v>2221</v>
      </c>
    </row>
    <row r="1304" spans="1:8">
      <c r="A1304" t="s">
        <v>780</v>
      </c>
      <c r="B1304" t="s">
        <v>2945</v>
      </c>
      <c r="C1304">
        <v>10</v>
      </c>
      <c r="D1304">
        <v>10</v>
      </c>
      <c r="E1304">
        <v>1</v>
      </c>
      <c r="F1304">
        <v>628.5</v>
      </c>
      <c r="G1304">
        <v>1.3162499999999999E-3</v>
      </c>
      <c r="H1304" t="s">
        <v>2221</v>
      </c>
    </row>
    <row r="1305" spans="1:8">
      <c r="A1305" t="s">
        <v>6154</v>
      </c>
      <c r="B1305" t="s">
        <v>6153</v>
      </c>
      <c r="C1305">
        <v>100</v>
      </c>
      <c r="D1305">
        <v>1</v>
      </c>
      <c r="E1305">
        <v>1</v>
      </c>
      <c r="F1305">
        <v>1</v>
      </c>
      <c r="G1305">
        <v>0</v>
      </c>
      <c r="H1305" t="s">
        <v>2197</v>
      </c>
    </row>
    <row r="1306" spans="1:8">
      <c r="A1306" t="s">
        <v>6156</v>
      </c>
      <c r="B1306" t="s">
        <v>6155</v>
      </c>
      <c r="C1306">
        <v>50</v>
      </c>
      <c r="D1306">
        <v>1</v>
      </c>
      <c r="E1306">
        <v>1</v>
      </c>
      <c r="F1306">
        <v>1</v>
      </c>
      <c r="G1306">
        <v>0</v>
      </c>
      <c r="H1306" t="s">
        <v>2197</v>
      </c>
    </row>
    <row r="1307" spans="1:8">
      <c r="A1307" t="s">
        <v>4546</v>
      </c>
      <c r="B1307" t="s">
        <v>6157</v>
      </c>
      <c r="C1307">
        <v>12</v>
      </c>
      <c r="D1307">
        <v>1</v>
      </c>
      <c r="E1307">
        <v>1</v>
      </c>
      <c r="F1307">
        <v>1166.6600000000001</v>
      </c>
      <c r="G1307">
        <v>2.2680000000000001E-3</v>
      </c>
      <c r="H1307" t="s">
        <v>2197</v>
      </c>
    </row>
    <row r="1308" spans="1:8">
      <c r="A1308" t="s">
        <v>4547</v>
      </c>
      <c r="B1308" t="s">
        <v>6158</v>
      </c>
      <c r="C1308">
        <v>24</v>
      </c>
      <c r="D1308">
        <v>1</v>
      </c>
      <c r="E1308">
        <v>1</v>
      </c>
      <c r="F1308">
        <v>1208.33</v>
      </c>
      <c r="G1308">
        <v>1.62916666E-3</v>
      </c>
      <c r="H1308" t="s">
        <v>2197</v>
      </c>
    </row>
    <row r="1309" spans="1:8">
      <c r="A1309" t="s">
        <v>781</v>
      </c>
      <c r="B1309" t="s">
        <v>2947</v>
      </c>
      <c r="C1309">
        <v>12</v>
      </c>
      <c r="D1309">
        <v>1</v>
      </c>
      <c r="E1309">
        <v>1</v>
      </c>
      <c r="F1309">
        <v>1158.3</v>
      </c>
      <c r="G1309">
        <v>1.6639999999999999E-3</v>
      </c>
      <c r="H1309" t="s">
        <v>2197</v>
      </c>
    </row>
    <row r="1310" spans="1:8">
      <c r="A1310" t="s">
        <v>9468</v>
      </c>
      <c r="B1310" t="s">
        <v>6159</v>
      </c>
      <c r="C1310">
        <v>24</v>
      </c>
      <c r="D1310">
        <v>1</v>
      </c>
      <c r="E1310">
        <v>1</v>
      </c>
      <c r="F1310">
        <v>1208.33</v>
      </c>
      <c r="G1310">
        <v>1.62916666E-3</v>
      </c>
      <c r="H1310" t="s">
        <v>2197</v>
      </c>
    </row>
    <row r="1311" spans="1:8">
      <c r="A1311" t="s">
        <v>783</v>
      </c>
      <c r="B1311" t="s">
        <v>2950</v>
      </c>
      <c r="C1311">
        <v>48</v>
      </c>
      <c r="D1311">
        <v>1</v>
      </c>
      <c r="E1311">
        <v>1</v>
      </c>
      <c r="F1311">
        <v>325</v>
      </c>
      <c r="G1311">
        <v>8.0979999999999995E-4</v>
      </c>
      <c r="H1311" t="s">
        <v>2197</v>
      </c>
    </row>
    <row r="1312" spans="1:8">
      <c r="A1312" t="s">
        <v>9469</v>
      </c>
      <c r="B1312" t="s">
        <v>6160</v>
      </c>
      <c r="C1312">
        <v>12</v>
      </c>
      <c r="D1312">
        <v>1</v>
      </c>
      <c r="E1312">
        <v>1</v>
      </c>
      <c r="F1312">
        <v>1125</v>
      </c>
      <c r="G1312">
        <v>1.5234000000000001E-3</v>
      </c>
      <c r="H1312" t="s">
        <v>2197</v>
      </c>
    </row>
    <row r="1313" spans="1:8">
      <c r="A1313" t="s">
        <v>9470</v>
      </c>
      <c r="B1313" t="s">
        <v>6161</v>
      </c>
      <c r="C1313">
        <v>24</v>
      </c>
      <c r="D1313">
        <v>1</v>
      </c>
      <c r="E1313">
        <v>1</v>
      </c>
      <c r="F1313">
        <v>1204.2</v>
      </c>
      <c r="G1313">
        <v>1.6646E-3</v>
      </c>
      <c r="H1313" t="s">
        <v>2197</v>
      </c>
    </row>
    <row r="1314" spans="1:8">
      <c r="A1314" t="s">
        <v>784</v>
      </c>
      <c r="B1314" t="s">
        <v>2951</v>
      </c>
      <c r="C1314">
        <v>12</v>
      </c>
      <c r="D1314">
        <v>1</v>
      </c>
      <c r="E1314">
        <v>1</v>
      </c>
      <c r="F1314">
        <v>1125</v>
      </c>
      <c r="G1314">
        <v>1.5234000000000001E-3</v>
      </c>
      <c r="H1314" t="s">
        <v>2197</v>
      </c>
    </row>
    <row r="1315" spans="1:8">
      <c r="A1315" t="s">
        <v>785</v>
      </c>
      <c r="B1315" t="s">
        <v>6163</v>
      </c>
      <c r="C1315">
        <v>100</v>
      </c>
      <c r="D1315">
        <v>1</v>
      </c>
      <c r="E1315">
        <v>1</v>
      </c>
      <c r="F1315">
        <v>126</v>
      </c>
      <c r="G1315">
        <v>2.5579999999999998E-4</v>
      </c>
      <c r="H1315" t="s">
        <v>2197</v>
      </c>
    </row>
    <row r="1316" spans="1:8">
      <c r="A1316" t="s">
        <v>786</v>
      </c>
      <c r="B1316" t="s">
        <v>2955</v>
      </c>
      <c r="C1316">
        <v>12</v>
      </c>
      <c r="D1316">
        <v>1</v>
      </c>
      <c r="E1316">
        <v>1</v>
      </c>
      <c r="F1316">
        <v>1183.3</v>
      </c>
      <c r="G1316">
        <v>2.1870000000000001E-3</v>
      </c>
      <c r="H1316" t="s">
        <v>2197</v>
      </c>
    </row>
    <row r="1317" spans="1:8">
      <c r="A1317" t="s">
        <v>789</v>
      </c>
      <c r="B1317" t="s">
        <v>2956</v>
      </c>
      <c r="C1317">
        <v>24</v>
      </c>
      <c r="D1317">
        <v>1</v>
      </c>
      <c r="E1317">
        <v>1</v>
      </c>
      <c r="F1317">
        <v>579.20000000000005</v>
      </c>
      <c r="G1317">
        <v>1.1803E-3</v>
      </c>
      <c r="H1317" t="s">
        <v>2197</v>
      </c>
    </row>
    <row r="1318" spans="1:8">
      <c r="A1318" t="s">
        <v>9471</v>
      </c>
      <c r="B1318" t="s">
        <v>6162</v>
      </c>
      <c r="C1318">
        <v>32</v>
      </c>
      <c r="D1318">
        <v>1</v>
      </c>
      <c r="E1318">
        <v>1</v>
      </c>
      <c r="F1318">
        <v>182.8</v>
      </c>
      <c r="G1318">
        <v>3.8279999999999998E-4</v>
      </c>
      <c r="H1318" t="s">
        <v>2197</v>
      </c>
    </row>
    <row r="1319" spans="1:8">
      <c r="A1319" t="s">
        <v>9472</v>
      </c>
      <c r="B1319" t="s">
        <v>6165</v>
      </c>
      <c r="C1319">
        <v>50</v>
      </c>
      <c r="D1319">
        <v>1</v>
      </c>
      <c r="E1319">
        <v>1</v>
      </c>
      <c r="F1319">
        <v>182</v>
      </c>
      <c r="G1319">
        <v>3.8440000000000002E-4</v>
      </c>
      <c r="H1319" t="s">
        <v>2197</v>
      </c>
    </row>
    <row r="1320" spans="1:8">
      <c r="A1320" t="s">
        <v>9473</v>
      </c>
      <c r="B1320" t="s">
        <v>6166</v>
      </c>
      <c r="C1320">
        <v>50</v>
      </c>
      <c r="D1320">
        <v>1</v>
      </c>
      <c r="E1320">
        <v>1</v>
      </c>
      <c r="F1320">
        <v>265</v>
      </c>
      <c r="G1320">
        <v>8.0289999999999995E-4</v>
      </c>
      <c r="H1320" t="s">
        <v>2197</v>
      </c>
    </row>
    <row r="1321" spans="1:8">
      <c r="A1321" t="s">
        <v>792</v>
      </c>
      <c r="B1321" t="s">
        <v>2957</v>
      </c>
      <c r="C1321">
        <v>50</v>
      </c>
      <c r="D1321">
        <v>1</v>
      </c>
      <c r="E1321">
        <v>1</v>
      </c>
      <c r="F1321">
        <v>310</v>
      </c>
      <c r="G1321">
        <v>6.7049999999999998E-4</v>
      </c>
      <c r="H1321" t="s">
        <v>2197</v>
      </c>
    </row>
    <row r="1322" spans="1:8">
      <c r="A1322" t="s">
        <v>9474</v>
      </c>
      <c r="B1322" t="s">
        <v>6164</v>
      </c>
      <c r="C1322">
        <v>56</v>
      </c>
      <c r="D1322">
        <v>1</v>
      </c>
      <c r="E1322">
        <v>1</v>
      </c>
      <c r="F1322">
        <v>262.5</v>
      </c>
      <c r="G1322">
        <v>6.5959999999999999E-4</v>
      </c>
      <c r="H1322" t="s">
        <v>2197</v>
      </c>
    </row>
    <row r="1323" spans="1:8">
      <c r="A1323" t="s">
        <v>9475</v>
      </c>
      <c r="B1323" t="s">
        <v>6169</v>
      </c>
      <c r="C1323">
        <v>20</v>
      </c>
      <c r="D1323">
        <v>1</v>
      </c>
      <c r="E1323">
        <v>1</v>
      </c>
      <c r="F1323">
        <v>615</v>
      </c>
      <c r="G1323">
        <v>1.1655000000000001E-3</v>
      </c>
      <c r="H1323" t="s">
        <v>2197</v>
      </c>
    </row>
    <row r="1324" spans="1:8">
      <c r="A1324" t="s">
        <v>9476</v>
      </c>
      <c r="B1324" t="s">
        <v>6168</v>
      </c>
      <c r="C1324">
        <v>40</v>
      </c>
      <c r="D1324">
        <v>1</v>
      </c>
      <c r="E1324">
        <v>1</v>
      </c>
      <c r="F1324">
        <v>316.3</v>
      </c>
      <c r="G1324">
        <v>6.7790000000000005E-4</v>
      </c>
      <c r="H1324" t="s">
        <v>2197</v>
      </c>
    </row>
    <row r="1325" spans="1:8">
      <c r="A1325" t="s">
        <v>9477</v>
      </c>
      <c r="B1325" t="s">
        <v>6167</v>
      </c>
      <c r="C1325">
        <v>50</v>
      </c>
      <c r="D1325">
        <v>1</v>
      </c>
      <c r="E1325">
        <v>1</v>
      </c>
      <c r="F1325">
        <v>135</v>
      </c>
      <c r="G1325">
        <v>2.9399999999999999E-4</v>
      </c>
      <c r="H1325" t="s">
        <v>2197</v>
      </c>
    </row>
    <row r="1326" spans="1:8">
      <c r="A1326" t="s">
        <v>8416</v>
      </c>
      <c r="B1326" t="s">
        <v>8415</v>
      </c>
      <c r="C1326">
        <v>1</v>
      </c>
      <c r="D1326">
        <v>1</v>
      </c>
      <c r="E1326">
        <v>1</v>
      </c>
      <c r="F1326">
        <v>1</v>
      </c>
      <c r="G1326">
        <v>0</v>
      </c>
      <c r="H1326" t="s">
        <v>2221</v>
      </c>
    </row>
    <row r="1327" spans="1:8">
      <c r="A1327" t="s">
        <v>8404</v>
      </c>
      <c r="B1327" t="s">
        <v>8403</v>
      </c>
      <c r="C1327">
        <v>1</v>
      </c>
      <c r="D1327">
        <v>1</v>
      </c>
      <c r="E1327">
        <v>1</v>
      </c>
      <c r="F1327">
        <v>1</v>
      </c>
      <c r="G1327">
        <v>0</v>
      </c>
      <c r="H1327" t="s">
        <v>2221</v>
      </c>
    </row>
    <row r="1328" spans="1:8">
      <c r="A1328" t="s">
        <v>8394</v>
      </c>
      <c r="B1328" t="s">
        <v>8393</v>
      </c>
      <c r="C1328">
        <v>1</v>
      </c>
      <c r="D1328">
        <v>1</v>
      </c>
      <c r="E1328">
        <v>1</v>
      </c>
      <c r="F1328">
        <v>1</v>
      </c>
      <c r="G1328">
        <v>0</v>
      </c>
      <c r="H1328" t="s">
        <v>2221</v>
      </c>
    </row>
    <row r="1329" spans="1:8">
      <c r="A1329" t="s">
        <v>8396</v>
      </c>
      <c r="B1329" t="s">
        <v>8395</v>
      </c>
      <c r="C1329">
        <v>1</v>
      </c>
      <c r="D1329">
        <v>1</v>
      </c>
      <c r="E1329">
        <v>1</v>
      </c>
      <c r="F1329">
        <v>1</v>
      </c>
      <c r="G1329">
        <v>0</v>
      </c>
      <c r="H1329" t="s">
        <v>2221</v>
      </c>
    </row>
    <row r="1330" spans="1:8">
      <c r="A1330" t="s">
        <v>8418</v>
      </c>
      <c r="B1330" t="s">
        <v>8417</v>
      </c>
      <c r="C1330">
        <v>1</v>
      </c>
      <c r="D1330">
        <v>1</v>
      </c>
      <c r="E1330">
        <v>1</v>
      </c>
      <c r="F1330">
        <v>1</v>
      </c>
      <c r="G1330">
        <v>0</v>
      </c>
      <c r="H1330" t="s">
        <v>2221</v>
      </c>
    </row>
    <row r="1331" spans="1:8">
      <c r="A1331" t="s">
        <v>8398</v>
      </c>
      <c r="B1331" t="s">
        <v>8397</v>
      </c>
      <c r="C1331">
        <v>1</v>
      </c>
      <c r="D1331">
        <v>1</v>
      </c>
      <c r="E1331">
        <v>1</v>
      </c>
      <c r="F1331">
        <v>1</v>
      </c>
      <c r="G1331">
        <v>0</v>
      </c>
      <c r="H1331" t="s">
        <v>2221</v>
      </c>
    </row>
    <row r="1332" spans="1:8">
      <c r="A1332" t="s">
        <v>8293</v>
      </c>
      <c r="B1332" t="s">
        <v>8292</v>
      </c>
      <c r="C1332">
        <v>1</v>
      </c>
      <c r="D1332">
        <v>1</v>
      </c>
      <c r="E1332">
        <v>1</v>
      </c>
      <c r="F1332">
        <v>1</v>
      </c>
      <c r="G1332">
        <v>0</v>
      </c>
      <c r="H1332" t="s">
        <v>2221</v>
      </c>
    </row>
    <row r="1333" spans="1:8">
      <c r="A1333" t="s">
        <v>8408</v>
      </c>
      <c r="B1333" t="s">
        <v>8407</v>
      </c>
      <c r="C1333">
        <v>1</v>
      </c>
      <c r="D1333">
        <v>1</v>
      </c>
      <c r="E1333">
        <v>1</v>
      </c>
      <c r="F1333">
        <v>1</v>
      </c>
      <c r="G1333">
        <v>0</v>
      </c>
      <c r="H1333" t="s">
        <v>2221</v>
      </c>
    </row>
    <row r="1334" spans="1:8">
      <c r="A1334" t="s">
        <v>8412</v>
      </c>
      <c r="B1334" t="s">
        <v>8411</v>
      </c>
      <c r="C1334">
        <v>1</v>
      </c>
      <c r="D1334">
        <v>1</v>
      </c>
      <c r="E1334">
        <v>1</v>
      </c>
      <c r="F1334">
        <v>1</v>
      </c>
      <c r="G1334">
        <v>0</v>
      </c>
      <c r="H1334" t="s">
        <v>2221</v>
      </c>
    </row>
    <row r="1335" spans="1:8">
      <c r="A1335" t="s">
        <v>8414</v>
      </c>
      <c r="B1335" t="s">
        <v>8413</v>
      </c>
      <c r="C1335">
        <v>1</v>
      </c>
      <c r="D1335">
        <v>1</v>
      </c>
      <c r="E1335">
        <v>1</v>
      </c>
      <c r="F1335">
        <v>1</v>
      </c>
      <c r="G1335">
        <v>0</v>
      </c>
      <c r="H1335" t="s">
        <v>2221</v>
      </c>
    </row>
    <row r="1336" spans="1:8">
      <c r="A1336" t="s">
        <v>8410</v>
      </c>
      <c r="B1336" t="s">
        <v>8409</v>
      </c>
      <c r="C1336">
        <v>1</v>
      </c>
      <c r="D1336">
        <v>1</v>
      </c>
      <c r="E1336">
        <v>1</v>
      </c>
      <c r="F1336">
        <v>1</v>
      </c>
      <c r="G1336">
        <v>0</v>
      </c>
      <c r="H1336" t="s">
        <v>2221</v>
      </c>
    </row>
    <row r="1337" spans="1:8">
      <c r="A1337" t="s">
        <v>8406</v>
      </c>
      <c r="B1337" t="s">
        <v>8405</v>
      </c>
      <c r="C1337">
        <v>1</v>
      </c>
      <c r="D1337">
        <v>1</v>
      </c>
      <c r="E1337">
        <v>1</v>
      </c>
      <c r="F1337">
        <v>1</v>
      </c>
      <c r="G1337">
        <v>0</v>
      </c>
      <c r="H1337" t="s">
        <v>2221</v>
      </c>
    </row>
    <row r="1338" spans="1:8">
      <c r="A1338" t="s">
        <v>794</v>
      </c>
      <c r="B1338" t="s">
        <v>2959</v>
      </c>
      <c r="C1338">
        <v>1</v>
      </c>
      <c r="D1338">
        <v>1</v>
      </c>
      <c r="E1338">
        <v>1</v>
      </c>
      <c r="F1338">
        <v>0</v>
      </c>
      <c r="G1338">
        <v>0</v>
      </c>
      <c r="H1338" t="s">
        <v>2221</v>
      </c>
    </row>
    <row r="1339" spans="1:8">
      <c r="A1339" t="s">
        <v>795</v>
      </c>
      <c r="B1339" t="s">
        <v>2961</v>
      </c>
      <c r="C1339">
        <v>1</v>
      </c>
      <c r="D1339">
        <v>1</v>
      </c>
      <c r="E1339">
        <v>1</v>
      </c>
      <c r="F1339">
        <v>1</v>
      </c>
      <c r="G1339">
        <v>0</v>
      </c>
      <c r="H1339" t="s">
        <v>2221</v>
      </c>
    </row>
    <row r="1340" spans="1:8">
      <c r="A1340" t="s">
        <v>8400</v>
      </c>
      <c r="B1340" t="s">
        <v>8399</v>
      </c>
      <c r="C1340">
        <v>1</v>
      </c>
      <c r="D1340">
        <v>1</v>
      </c>
      <c r="E1340">
        <v>1</v>
      </c>
      <c r="F1340">
        <v>1</v>
      </c>
      <c r="G1340">
        <v>0</v>
      </c>
      <c r="H1340" t="s">
        <v>2221</v>
      </c>
    </row>
    <row r="1341" spans="1:8">
      <c r="A1341" t="s">
        <v>8402</v>
      </c>
      <c r="B1341" t="s">
        <v>8401</v>
      </c>
      <c r="C1341">
        <v>1</v>
      </c>
      <c r="D1341">
        <v>1</v>
      </c>
      <c r="E1341">
        <v>1</v>
      </c>
      <c r="F1341">
        <v>1</v>
      </c>
      <c r="G1341">
        <v>0</v>
      </c>
      <c r="H1341" t="s">
        <v>2221</v>
      </c>
    </row>
    <row r="1342" spans="1:8">
      <c r="A1342" t="s">
        <v>796</v>
      </c>
      <c r="B1342" t="s">
        <v>2962</v>
      </c>
      <c r="C1342">
        <v>20</v>
      </c>
      <c r="D1342">
        <v>1</v>
      </c>
      <c r="E1342">
        <v>1</v>
      </c>
      <c r="F1342">
        <v>1072.5</v>
      </c>
      <c r="G1342">
        <v>2.3124999999999999E-3</v>
      </c>
      <c r="H1342" t="s">
        <v>2203</v>
      </c>
    </row>
    <row r="1343" spans="1:8">
      <c r="A1343" t="s">
        <v>8420</v>
      </c>
      <c r="B1343" t="s">
        <v>8419</v>
      </c>
      <c r="C1343">
        <v>1</v>
      </c>
      <c r="D1343">
        <v>1</v>
      </c>
      <c r="E1343">
        <v>1</v>
      </c>
      <c r="F1343">
        <v>1</v>
      </c>
      <c r="G1343">
        <v>0</v>
      </c>
      <c r="H1343" t="s">
        <v>2221</v>
      </c>
    </row>
    <row r="1344" spans="1:8">
      <c r="A1344" t="s">
        <v>797</v>
      </c>
      <c r="B1344" t="s">
        <v>2964</v>
      </c>
      <c r="C1344">
        <v>48</v>
      </c>
      <c r="D1344">
        <v>1</v>
      </c>
      <c r="E1344">
        <v>1</v>
      </c>
      <c r="F1344">
        <v>335.4</v>
      </c>
      <c r="G1344">
        <v>6.4749999999999996E-4</v>
      </c>
      <c r="H1344" t="s">
        <v>2197</v>
      </c>
    </row>
    <row r="1345" spans="1:8">
      <c r="A1345" t="s">
        <v>800</v>
      </c>
      <c r="B1345" t="s">
        <v>2966</v>
      </c>
      <c r="C1345">
        <v>10</v>
      </c>
      <c r="D1345">
        <v>1</v>
      </c>
      <c r="E1345">
        <v>1</v>
      </c>
      <c r="F1345">
        <v>1100</v>
      </c>
      <c r="G1345">
        <v>3.8639999999999998E-3</v>
      </c>
      <c r="H1345" t="s">
        <v>2203</v>
      </c>
    </row>
    <row r="1346" spans="1:8">
      <c r="A1346" t="s">
        <v>802</v>
      </c>
      <c r="B1346" t="s">
        <v>2968</v>
      </c>
      <c r="C1346">
        <v>100</v>
      </c>
      <c r="D1346">
        <v>1</v>
      </c>
      <c r="E1346">
        <v>1</v>
      </c>
      <c r="F1346">
        <v>137.5</v>
      </c>
      <c r="G1346">
        <v>3.5619999999999998E-4</v>
      </c>
      <c r="H1346" t="s">
        <v>2197</v>
      </c>
    </row>
    <row r="1347" spans="1:8">
      <c r="A1347" t="s">
        <v>803</v>
      </c>
      <c r="B1347" t="s">
        <v>2970</v>
      </c>
      <c r="C1347">
        <v>20</v>
      </c>
      <c r="D1347">
        <v>1</v>
      </c>
      <c r="E1347">
        <v>1</v>
      </c>
      <c r="F1347">
        <v>1180</v>
      </c>
      <c r="G1347">
        <v>2.6832000000000002E-3</v>
      </c>
      <c r="H1347" t="s">
        <v>2197</v>
      </c>
    </row>
    <row r="1348" spans="1:8">
      <c r="A1348" t="s">
        <v>9478</v>
      </c>
      <c r="B1348" t="s">
        <v>6171</v>
      </c>
      <c r="C1348">
        <v>20</v>
      </c>
      <c r="D1348">
        <v>1</v>
      </c>
      <c r="E1348">
        <v>1</v>
      </c>
      <c r="F1348">
        <v>625</v>
      </c>
      <c r="G1348">
        <v>1.3940000000000001E-3</v>
      </c>
      <c r="H1348" t="s">
        <v>2197</v>
      </c>
    </row>
    <row r="1349" spans="1:8">
      <c r="A1349" t="s">
        <v>804</v>
      </c>
      <c r="B1349" t="s">
        <v>2971</v>
      </c>
      <c r="C1349">
        <v>25</v>
      </c>
      <c r="D1349">
        <v>1</v>
      </c>
      <c r="E1349">
        <v>1</v>
      </c>
      <c r="F1349">
        <v>632</v>
      </c>
      <c r="G1349">
        <v>1.2631999999999999E-3</v>
      </c>
      <c r="H1349" t="s">
        <v>2197</v>
      </c>
    </row>
    <row r="1350" spans="1:8">
      <c r="A1350" t="s">
        <v>805</v>
      </c>
      <c r="B1350" t="s">
        <v>2972</v>
      </c>
      <c r="C1350">
        <v>40</v>
      </c>
      <c r="D1350">
        <v>1</v>
      </c>
      <c r="E1350">
        <v>1</v>
      </c>
      <c r="F1350">
        <v>315</v>
      </c>
      <c r="G1350">
        <v>6.9862500000000003E-4</v>
      </c>
      <c r="H1350" t="s">
        <v>2197</v>
      </c>
    </row>
    <row r="1351" spans="1:8">
      <c r="A1351" t="s">
        <v>9479</v>
      </c>
      <c r="B1351" t="s">
        <v>6170</v>
      </c>
      <c r="C1351">
        <v>50</v>
      </c>
      <c r="D1351">
        <v>1</v>
      </c>
      <c r="E1351">
        <v>1</v>
      </c>
      <c r="F1351">
        <v>134</v>
      </c>
      <c r="G1351">
        <v>3.0420000000000002E-4</v>
      </c>
      <c r="H1351" t="s">
        <v>2197</v>
      </c>
    </row>
    <row r="1352" spans="1:8">
      <c r="A1352" t="s">
        <v>806</v>
      </c>
      <c r="B1352" t="s">
        <v>2973</v>
      </c>
      <c r="C1352">
        <v>25</v>
      </c>
      <c r="D1352">
        <v>1</v>
      </c>
      <c r="E1352">
        <v>1</v>
      </c>
      <c r="F1352">
        <v>476</v>
      </c>
      <c r="G1352">
        <v>1.7748E-3</v>
      </c>
      <c r="H1352" t="s">
        <v>2203</v>
      </c>
    </row>
    <row r="1353" spans="1:8">
      <c r="A1353" t="s">
        <v>807</v>
      </c>
      <c r="B1353" t="s">
        <v>2975</v>
      </c>
      <c r="C1353">
        <v>50</v>
      </c>
      <c r="D1353">
        <v>1</v>
      </c>
      <c r="E1353">
        <v>1</v>
      </c>
      <c r="F1353">
        <v>120</v>
      </c>
      <c r="G1353">
        <v>4.6816000000000002E-4</v>
      </c>
      <c r="H1353" t="s">
        <v>2203</v>
      </c>
    </row>
    <row r="1354" spans="1:8">
      <c r="A1354" t="s">
        <v>808</v>
      </c>
      <c r="B1354" t="s">
        <v>2976</v>
      </c>
      <c r="C1354">
        <v>10</v>
      </c>
      <c r="D1354">
        <v>1</v>
      </c>
      <c r="E1354">
        <v>1</v>
      </c>
      <c r="F1354">
        <v>2075</v>
      </c>
      <c r="G1354">
        <v>1.7531000000000001E-3</v>
      </c>
      <c r="H1354" t="s">
        <v>2203</v>
      </c>
    </row>
    <row r="1355" spans="1:8">
      <c r="A1355" t="s">
        <v>9480</v>
      </c>
      <c r="B1355" t="s">
        <v>6172</v>
      </c>
      <c r="C1355">
        <v>15</v>
      </c>
      <c r="D1355">
        <v>1</v>
      </c>
      <c r="E1355">
        <v>1</v>
      </c>
      <c r="F1355">
        <v>1156.7</v>
      </c>
      <c r="G1355">
        <v>1.9314E-3</v>
      </c>
      <c r="H1355" t="s">
        <v>2197</v>
      </c>
    </row>
    <row r="1356" spans="1:8">
      <c r="A1356" t="s">
        <v>809</v>
      </c>
      <c r="B1356" t="s">
        <v>2979</v>
      </c>
      <c r="C1356">
        <v>1</v>
      </c>
      <c r="D1356">
        <v>1</v>
      </c>
      <c r="E1356">
        <v>1</v>
      </c>
      <c r="F1356">
        <v>1</v>
      </c>
      <c r="G1356">
        <v>0</v>
      </c>
      <c r="H1356" t="s">
        <v>2197</v>
      </c>
    </row>
    <row r="1357" spans="1:8">
      <c r="A1357" t="s">
        <v>9481</v>
      </c>
      <c r="B1357" t="s">
        <v>6173</v>
      </c>
      <c r="C1357">
        <v>15</v>
      </c>
      <c r="D1357">
        <v>1</v>
      </c>
      <c r="E1357">
        <v>1</v>
      </c>
      <c r="F1357">
        <v>1</v>
      </c>
      <c r="G1357">
        <v>0</v>
      </c>
      <c r="H1357" t="s">
        <v>2197</v>
      </c>
    </row>
    <row r="1358" spans="1:8">
      <c r="A1358" t="s">
        <v>6175</v>
      </c>
      <c r="B1358" t="s">
        <v>6174</v>
      </c>
      <c r="C1358">
        <v>15</v>
      </c>
      <c r="D1358">
        <v>1</v>
      </c>
      <c r="E1358">
        <v>1</v>
      </c>
      <c r="F1358">
        <v>1</v>
      </c>
      <c r="G1358">
        <v>0</v>
      </c>
      <c r="H1358" t="s">
        <v>2197</v>
      </c>
    </row>
    <row r="1359" spans="1:8">
      <c r="A1359" t="s">
        <v>810</v>
      </c>
      <c r="B1359" t="s">
        <v>2981</v>
      </c>
      <c r="C1359">
        <v>1</v>
      </c>
      <c r="D1359">
        <v>1</v>
      </c>
      <c r="E1359">
        <v>1</v>
      </c>
      <c r="F1359">
        <v>1</v>
      </c>
      <c r="G1359">
        <v>0</v>
      </c>
      <c r="H1359" t="s">
        <v>2221</v>
      </c>
    </row>
    <row r="1360" spans="1:8">
      <c r="A1360" t="s">
        <v>811</v>
      </c>
      <c r="B1360" t="s">
        <v>2982</v>
      </c>
      <c r="C1360">
        <v>40</v>
      </c>
      <c r="D1360">
        <v>1</v>
      </c>
      <c r="E1360">
        <v>1</v>
      </c>
      <c r="F1360">
        <v>1</v>
      </c>
      <c r="G1360">
        <v>0</v>
      </c>
      <c r="H1360" t="s">
        <v>2203</v>
      </c>
    </row>
    <row r="1361" spans="1:8">
      <c r="A1361" t="s">
        <v>812</v>
      </c>
      <c r="B1361" t="s">
        <v>2983</v>
      </c>
      <c r="C1361">
        <v>16</v>
      </c>
      <c r="D1361">
        <v>1</v>
      </c>
      <c r="E1361">
        <v>1</v>
      </c>
      <c r="F1361">
        <v>1056.3</v>
      </c>
      <c r="G1361">
        <v>2.5000000000000001E-3</v>
      </c>
      <c r="H1361" t="s">
        <v>2197</v>
      </c>
    </row>
    <row r="1362" spans="1:8">
      <c r="A1362" t="s">
        <v>813</v>
      </c>
      <c r="B1362" t="s">
        <v>2985</v>
      </c>
      <c r="C1362">
        <v>20</v>
      </c>
      <c r="D1362">
        <v>1</v>
      </c>
      <c r="E1362">
        <v>1</v>
      </c>
      <c r="F1362">
        <v>477.5</v>
      </c>
      <c r="G1362">
        <v>1.2210000000000001E-3</v>
      </c>
      <c r="H1362" t="s">
        <v>2197</v>
      </c>
    </row>
    <row r="1363" spans="1:8">
      <c r="A1363" t="s">
        <v>9482</v>
      </c>
      <c r="B1363" t="s">
        <v>6179</v>
      </c>
      <c r="C1363">
        <v>50</v>
      </c>
      <c r="D1363">
        <v>1</v>
      </c>
      <c r="E1363">
        <v>1</v>
      </c>
      <c r="F1363">
        <v>139</v>
      </c>
      <c r="G1363">
        <v>4.2119999999999999E-4</v>
      </c>
      <c r="H1363" t="s">
        <v>2197</v>
      </c>
    </row>
    <row r="1364" spans="1:8">
      <c r="A1364" t="s">
        <v>814</v>
      </c>
      <c r="B1364" t="s">
        <v>2986</v>
      </c>
      <c r="C1364">
        <v>15</v>
      </c>
      <c r="D1364">
        <v>1</v>
      </c>
      <c r="E1364">
        <v>1</v>
      </c>
      <c r="F1364">
        <v>1166.7</v>
      </c>
      <c r="G1364">
        <v>2.8050000000000002E-3</v>
      </c>
      <c r="H1364" t="s">
        <v>2197</v>
      </c>
    </row>
    <row r="1365" spans="1:8">
      <c r="A1365" t="s">
        <v>816</v>
      </c>
      <c r="B1365" t="s">
        <v>2987</v>
      </c>
      <c r="C1365">
        <v>20</v>
      </c>
      <c r="D1365">
        <v>1</v>
      </c>
      <c r="E1365">
        <v>1</v>
      </c>
      <c r="F1365">
        <v>600</v>
      </c>
      <c r="G1365">
        <v>1.32E-3</v>
      </c>
      <c r="H1365" t="s">
        <v>2197</v>
      </c>
    </row>
    <row r="1366" spans="1:8">
      <c r="A1366" t="s">
        <v>6183</v>
      </c>
      <c r="B1366" t="s">
        <v>6182</v>
      </c>
      <c r="C1366">
        <v>20</v>
      </c>
      <c r="D1366">
        <v>1</v>
      </c>
      <c r="E1366">
        <v>1</v>
      </c>
      <c r="F1366">
        <v>328.5</v>
      </c>
      <c r="G1366">
        <v>6.9300000000000004E-4</v>
      </c>
      <c r="H1366" t="s">
        <v>2197</v>
      </c>
    </row>
    <row r="1367" spans="1:8">
      <c r="A1367" t="s">
        <v>6181</v>
      </c>
      <c r="B1367" t="s">
        <v>6180</v>
      </c>
      <c r="C1367">
        <v>20</v>
      </c>
      <c r="D1367">
        <v>1</v>
      </c>
      <c r="E1367">
        <v>1</v>
      </c>
      <c r="F1367">
        <v>615.5</v>
      </c>
      <c r="G1367">
        <v>1.1326624999999999E-3</v>
      </c>
      <c r="H1367" t="s">
        <v>2197</v>
      </c>
    </row>
    <row r="1368" spans="1:8">
      <c r="A1368" t="s">
        <v>8422</v>
      </c>
      <c r="B1368" t="s">
        <v>8421</v>
      </c>
      <c r="C1368">
        <v>1</v>
      </c>
      <c r="D1368">
        <v>1</v>
      </c>
      <c r="E1368">
        <v>1</v>
      </c>
      <c r="F1368">
        <v>1</v>
      </c>
      <c r="G1368">
        <v>0</v>
      </c>
      <c r="H1368" t="s">
        <v>2221</v>
      </c>
    </row>
    <row r="1369" spans="1:8">
      <c r="A1369" t="s">
        <v>8424</v>
      </c>
      <c r="B1369" t="s">
        <v>8423</v>
      </c>
      <c r="C1369">
        <v>1</v>
      </c>
      <c r="D1369">
        <v>1</v>
      </c>
      <c r="E1369">
        <v>1</v>
      </c>
      <c r="F1369">
        <v>1</v>
      </c>
      <c r="G1369">
        <v>0</v>
      </c>
      <c r="H1369" t="s">
        <v>2221</v>
      </c>
    </row>
    <row r="1370" spans="1:8">
      <c r="A1370" t="s">
        <v>9483</v>
      </c>
      <c r="B1370" t="s">
        <v>6185</v>
      </c>
      <c r="C1370">
        <v>10</v>
      </c>
      <c r="D1370">
        <v>1</v>
      </c>
      <c r="E1370">
        <v>1</v>
      </c>
      <c r="F1370">
        <v>5130</v>
      </c>
      <c r="G1370">
        <v>6.6316999999999999E-3</v>
      </c>
      <c r="H1370" t="s">
        <v>2203</v>
      </c>
    </row>
    <row r="1371" spans="1:8">
      <c r="A1371" t="s">
        <v>9484</v>
      </c>
      <c r="B1371" t="s">
        <v>6184</v>
      </c>
      <c r="C1371">
        <v>1</v>
      </c>
      <c r="D1371">
        <v>1</v>
      </c>
      <c r="E1371">
        <v>1</v>
      </c>
      <c r="F1371">
        <v>25560</v>
      </c>
      <c r="G1371">
        <v>3.168E-2</v>
      </c>
      <c r="H1371" t="s">
        <v>2994</v>
      </c>
    </row>
    <row r="1372" spans="1:8">
      <c r="A1372" t="s">
        <v>9485</v>
      </c>
      <c r="B1372" t="s">
        <v>6186</v>
      </c>
      <c r="C1372">
        <v>8</v>
      </c>
      <c r="D1372">
        <v>1</v>
      </c>
      <c r="E1372">
        <v>1</v>
      </c>
      <c r="F1372">
        <v>1</v>
      </c>
      <c r="G1372">
        <v>0</v>
      </c>
      <c r="H1372" t="s">
        <v>2203</v>
      </c>
    </row>
    <row r="1373" spans="1:8">
      <c r="A1373" t="s">
        <v>818</v>
      </c>
      <c r="B1373" t="s">
        <v>2989</v>
      </c>
      <c r="C1373">
        <v>1</v>
      </c>
      <c r="D1373">
        <v>1</v>
      </c>
      <c r="E1373">
        <v>1</v>
      </c>
      <c r="F1373">
        <v>1</v>
      </c>
      <c r="G1373">
        <v>0</v>
      </c>
      <c r="H1373" t="s">
        <v>2221</v>
      </c>
    </row>
    <row r="1374" spans="1:8">
      <c r="A1374" t="s">
        <v>9486</v>
      </c>
      <c r="B1374" t="s">
        <v>6176</v>
      </c>
      <c r="C1374">
        <v>10</v>
      </c>
      <c r="D1374">
        <v>1</v>
      </c>
      <c r="E1374">
        <v>1</v>
      </c>
      <c r="F1374">
        <v>1384</v>
      </c>
      <c r="G1374">
        <v>2.4480000000000001E-3</v>
      </c>
      <c r="H1374" t="s">
        <v>2197</v>
      </c>
    </row>
    <row r="1375" spans="1:8">
      <c r="A1375" t="s">
        <v>9487</v>
      </c>
      <c r="B1375" t="s">
        <v>6177</v>
      </c>
      <c r="C1375">
        <v>20</v>
      </c>
      <c r="D1375">
        <v>1</v>
      </c>
      <c r="E1375">
        <v>1</v>
      </c>
      <c r="F1375">
        <v>0</v>
      </c>
      <c r="G1375">
        <v>0</v>
      </c>
      <c r="H1375" t="s">
        <v>2197</v>
      </c>
    </row>
    <row r="1376" spans="1:8">
      <c r="A1376" t="s">
        <v>9488</v>
      </c>
      <c r="B1376" t="s">
        <v>6178</v>
      </c>
      <c r="C1376">
        <v>30</v>
      </c>
      <c r="D1376">
        <v>1</v>
      </c>
      <c r="E1376">
        <v>1</v>
      </c>
      <c r="F1376">
        <v>288.66666666666703</v>
      </c>
      <c r="G1376">
        <v>6.3840000000000001E-4</v>
      </c>
      <c r="H1376" t="s">
        <v>2197</v>
      </c>
    </row>
    <row r="1377" spans="1:8">
      <c r="A1377" t="s">
        <v>9489</v>
      </c>
      <c r="B1377" t="s">
        <v>6188</v>
      </c>
      <c r="C1377">
        <v>4</v>
      </c>
      <c r="D1377">
        <v>25</v>
      </c>
      <c r="E1377">
        <v>1</v>
      </c>
      <c r="F1377">
        <v>41.2</v>
      </c>
      <c r="G1377">
        <v>0</v>
      </c>
      <c r="H1377" t="s">
        <v>2203</v>
      </c>
    </row>
    <row r="1378" spans="1:8">
      <c r="A1378" t="s">
        <v>9490</v>
      </c>
      <c r="B1378" t="s">
        <v>6187</v>
      </c>
      <c r="C1378">
        <v>5</v>
      </c>
      <c r="D1378">
        <v>108</v>
      </c>
      <c r="E1378">
        <v>1</v>
      </c>
      <c r="F1378">
        <v>41.2</v>
      </c>
      <c r="G1378">
        <v>2.065E-4</v>
      </c>
      <c r="H1378" t="s">
        <v>2203</v>
      </c>
    </row>
    <row r="1379" spans="1:8">
      <c r="A1379" t="s">
        <v>6190</v>
      </c>
      <c r="B1379" t="s">
        <v>6189</v>
      </c>
      <c r="C1379">
        <v>10</v>
      </c>
      <c r="D1379">
        <v>1</v>
      </c>
      <c r="E1379">
        <v>1</v>
      </c>
      <c r="F1379">
        <v>1025</v>
      </c>
      <c r="G1379">
        <v>2.0357999999999999E-3</v>
      </c>
      <c r="H1379" t="s">
        <v>2197</v>
      </c>
    </row>
    <row r="1380" spans="1:8">
      <c r="A1380" t="s">
        <v>819</v>
      </c>
      <c r="B1380" t="s">
        <v>2991</v>
      </c>
      <c r="C1380">
        <v>12</v>
      </c>
      <c r="D1380">
        <v>25</v>
      </c>
      <c r="E1380">
        <v>1</v>
      </c>
      <c r="F1380">
        <v>1</v>
      </c>
      <c r="G1380">
        <v>0</v>
      </c>
      <c r="H1380" t="s">
        <v>2197</v>
      </c>
    </row>
    <row r="1381" spans="1:8">
      <c r="A1381" t="s">
        <v>4548</v>
      </c>
      <c r="B1381" t="s">
        <v>6191</v>
      </c>
      <c r="C1381">
        <v>60</v>
      </c>
      <c r="D1381">
        <v>1</v>
      </c>
      <c r="E1381">
        <v>1</v>
      </c>
      <c r="F1381">
        <v>134.666666666667</v>
      </c>
      <c r="G1381">
        <v>5.5199999999999997E-4</v>
      </c>
      <c r="H1381" t="s">
        <v>2203</v>
      </c>
    </row>
    <row r="1382" spans="1:8">
      <c r="A1382" t="s">
        <v>6193</v>
      </c>
      <c r="B1382" t="s">
        <v>6192</v>
      </c>
      <c r="C1382">
        <v>10</v>
      </c>
      <c r="D1382">
        <v>1</v>
      </c>
      <c r="E1382">
        <v>1</v>
      </c>
      <c r="F1382">
        <v>1</v>
      </c>
      <c r="G1382">
        <v>0</v>
      </c>
      <c r="H1382" t="s">
        <v>2203</v>
      </c>
    </row>
    <row r="1383" spans="1:8">
      <c r="A1383" t="s">
        <v>821</v>
      </c>
      <c r="B1383" t="s">
        <v>2993</v>
      </c>
      <c r="C1383">
        <v>1</v>
      </c>
      <c r="D1383">
        <v>1</v>
      </c>
      <c r="E1383">
        <v>1</v>
      </c>
      <c r="F1383">
        <v>51000</v>
      </c>
      <c r="G1383">
        <v>5.3999999999999999E-2</v>
      </c>
      <c r="H1383" t="s">
        <v>2994</v>
      </c>
    </row>
    <row r="1384" spans="1:8">
      <c r="A1384" t="s">
        <v>822</v>
      </c>
      <c r="B1384" t="s">
        <v>2996</v>
      </c>
      <c r="C1384">
        <v>1</v>
      </c>
      <c r="D1384">
        <v>1</v>
      </c>
      <c r="E1384">
        <v>1</v>
      </c>
      <c r="F1384">
        <v>1</v>
      </c>
      <c r="G1384">
        <v>0</v>
      </c>
      <c r="H1384" t="s">
        <v>2197</v>
      </c>
    </row>
    <row r="1385" spans="1:8">
      <c r="A1385" t="s">
        <v>4549</v>
      </c>
      <c r="B1385" t="s">
        <v>6194</v>
      </c>
      <c r="C1385">
        <v>24</v>
      </c>
      <c r="D1385">
        <v>1</v>
      </c>
      <c r="E1385">
        <v>1</v>
      </c>
      <c r="F1385">
        <v>0</v>
      </c>
      <c r="G1385">
        <v>0</v>
      </c>
      <c r="H1385" t="s">
        <v>2197</v>
      </c>
    </row>
    <row r="1386" spans="1:8">
      <c r="A1386" t="s">
        <v>4550</v>
      </c>
      <c r="B1386" t="s">
        <v>6195</v>
      </c>
      <c r="C1386">
        <v>50</v>
      </c>
      <c r="D1386">
        <v>1</v>
      </c>
      <c r="E1386">
        <v>1</v>
      </c>
      <c r="F1386">
        <v>0</v>
      </c>
      <c r="G1386">
        <v>0</v>
      </c>
      <c r="H1386" t="s">
        <v>2197</v>
      </c>
    </row>
    <row r="1387" spans="1:8">
      <c r="A1387" t="s">
        <v>823</v>
      </c>
      <c r="B1387" t="s">
        <v>2998</v>
      </c>
      <c r="C1387">
        <v>20</v>
      </c>
      <c r="D1387">
        <v>1</v>
      </c>
      <c r="E1387">
        <v>1</v>
      </c>
      <c r="F1387">
        <v>1</v>
      </c>
      <c r="G1387">
        <v>0</v>
      </c>
      <c r="H1387" t="s">
        <v>2197</v>
      </c>
    </row>
    <row r="1388" spans="1:8">
      <c r="A1388" t="s">
        <v>6201</v>
      </c>
      <c r="B1388" t="s">
        <v>6200</v>
      </c>
      <c r="C1388">
        <v>15</v>
      </c>
      <c r="D1388">
        <v>1</v>
      </c>
      <c r="E1388">
        <v>1</v>
      </c>
      <c r="F1388">
        <v>1</v>
      </c>
      <c r="G1388">
        <v>0</v>
      </c>
      <c r="H1388" t="s">
        <v>2197</v>
      </c>
    </row>
    <row r="1389" spans="1:8">
      <c r="A1389" t="s">
        <v>6199</v>
      </c>
      <c r="B1389" t="s">
        <v>6198</v>
      </c>
      <c r="C1389">
        <v>20</v>
      </c>
      <c r="D1389">
        <v>1</v>
      </c>
      <c r="E1389">
        <v>1</v>
      </c>
      <c r="F1389">
        <v>500</v>
      </c>
      <c r="G1389">
        <v>0</v>
      </c>
      <c r="H1389" t="s">
        <v>2197</v>
      </c>
    </row>
    <row r="1390" spans="1:8">
      <c r="A1390" t="s">
        <v>6197</v>
      </c>
      <c r="B1390" t="s">
        <v>6196</v>
      </c>
      <c r="C1390">
        <v>40</v>
      </c>
      <c r="D1390">
        <v>1</v>
      </c>
      <c r="E1390">
        <v>1</v>
      </c>
      <c r="F1390">
        <v>250</v>
      </c>
      <c r="G1390">
        <v>0</v>
      </c>
      <c r="H1390" t="s">
        <v>2197</v>
      </c>
    </row>
    <row r="1391" spans="1:8">
      <c r="A1391" t="s">
        <v>4551</v>
      </c>
      <c r="B1391" t="s">
        <v>6202</v>
      </c>
      <c r="C1391">
        <v>100</v>
      </c>
      <c r="D1391">
        <v>1</v>
      </c>
      <c r="E1391">
        <v>1</v>
      </c>
      <c r="F1391">
        <v>100</v>
      </c>
      <c r="G1391">
        <v>2.6830000000000002E-4</v>
      </c>
      <c r="H1391" t="s">
        <v>2197</v>
      </c>
    </row>
    <row r="1392" spans="1:8">
      <c r="A1392" t="s">
        <v>824</v>
      </c>
      <c r="B1392" t="s">
        <v>3000</v>
      </c>
      <c r="C1392">
        <v>24</v>
      </c>
      <c r="D1392">
        <v>1</v>
      </c>
      <c r="E1392">
        <v>1</v>
      </c>
      <c r="F1392">
        <v>350</v>
      </c>
      <c r="G1392">
        <v>7.8870000000000003E-4</v>
      </c>
      <c r="H1392" t="s">
        <v>2197</v>
      </c>
    </row>
    <row r="1393" spans="1:8">
      <c r="A1393" t="s">
        <v>6204</v>
      </c>
      <c r="B1393" t="s">
        <v>6203</v>
      </c>
      <c r="C1393">
        <v>40</v>
      </c>
      <c r="D1393">
        <v>1</v>
      </c>
      <c r="E1393">
        <v>1</v>
      </c>
      <c r="F1393">
        <v>350</v>
      </c>
      <c r="G1393">
        <v>7.1829999999999995E-4</v>
      </c>
      <c r="H1393" t="s">
        <v>2197</v>
      </c>
    </row>
    <row r="1394" spans="1:8">
      <c r="A1394" t="s">
        <v>8426</v>
      </c>
      <c r="B1394" t="s">
        <v>8425</v>
      </c>
      <c r="C1394">
        <v>1</v>
      </c>
      <c r="D1394">
        <v>1</v>
      </c>
      <c r="E1394">
        <v>1</v>
      </c>
      <c r="F1394">
        <v>1</v>
      </c>
      <c r="G1394">
        <v>0</v>
      </c>
      <c r="H1394" t="s">
        <v>2221</v>
      </c>
    </row>
    <row r="1395" spans="1:8">
      <c r="A1395" t="s">
        <v>9491</v>
      </c>
      <c r="B1395" t="s">
        <v>6205</v>
      </c>
      <c r="C1395">
        <v>50</v>
      </c>
      <c r="D1395">
        <v>1</v>
      </c>
      <c r="E1395">
        <v>1</v>
      </c>
      <c r="F1395">
        <v>141</v>
      </c>
      <c r="G1395">
        <v>4.1496000000000003E-4</v>
      </c>
      <c r="H1395" t="s">
        <v>2197</v>
      </c>
    </row>
    <row r="1396" spans="1:8">
      <c r="A1396" t="s">
        <v>825</v>
      </c>
      <c r="B1396" t="s">
        <v>3002</v>
      </c>
      <c r="C1396">
        <v>100</v>
      </c>
      <c r="D1396">
        <v>1</v>
      </c>
      <c r="E1396">
        <v>1</v>
      </c>
      <c r="F1396">
        <v>49.1</v>
      </c>
      <c r="G1396">
        <v>1.3694999999999999E-4</v>
      </c>
      <c r="H1396" t="s">
        <v>2197</v>
      </c>
    </row>
    <row r="1397" spans="1:8">
      <c r="A1397" t="s">
        <v>6207</v>
      </c>
      <c r="B1397" t="s">
        <v>6206</v>
      </c>
      <c r="C1397">
        <v>1</v>
      </c>
      <c r="D1397">
        <v>1</v>
      </c>
      <c r="E1397">
        <v>1</v>
      </c>
      <c r="F1397">
        <v>205000</v>
      </c>
      <c r="G1397">
        <v>0.31285200000000002</v>
      </c>
      <c r="H1397" t="s">
        <v>4806</v>
      </c>
    </row>
    <row r="1398" spans="1:8">
      <c r="A1398" t="s">
        <v>6209</v>
      </c>
      <c r="B1398" t="s">
        <v>6208</v>
      </c>
      <c r="C1398">
        <v>20</v>
      </c>
      <c r="D1398">
        <v>1</v>
      </c>
      <c r="E1398">
        <v>1</v>
      </c>
      <c r="F1398">
        <v>0</v>
      </c>
      <c r="G1398">
        <v>0</v>
      </c>
      <c r="H1398" t="s">
        <v>2203</v>
      </c>
    </row>
    <row r="1399" spans="1:8">
      <c r="A1399" t="s">
        <v>833</v>
      </c>
      <c r="B1399" t="s">
        <v>3005</v>
      </c>
      <c r="C1399">
        <v>50</v>
      </c>
      <c r="D1399">
        <v>20</v>
      </c>
      <c r="E1399">
        <v>1</v>
      </c>
      <c r="F1399">
        <v>7</v>
      </c>
      <c r="G1399" s="4">
        <v>2.51E-5</v>
      </c>
      <c r="H1399" t="s">
        <v>2203</v>
      </c>
    </row>
    <row r="1400" spans="1:8">
      <c r="A1400" t="s">
        <v>834</v>
      </c>
      <c r="B1400" t="s">
        <v>3007</v>
      </c>
      <c r="C1400">
        <v>20</v>
      </c>
      <c r="D1400">
        <v>1</v>
      </c>
      <c r="E1400">
        <v>1</v>
      </c>
      <c r="F1400">
        <v>610</v>
      </c>
      <c r="G1400">
        <v>1.6236E-3</v>
      </c>
      <c r="H1400" t="s">
        <v>2197</v>
      </c>
    </row>
    <row r="1401" spans="1:8">
      <c r="A1401" t="s">
        <v>8428</v>
      </c>
      <c r="B1401" t="s">
        <v>8427</v>
      </c>
      <c r="C1401">
        <v>1</v>
      </c>
      <c r="D1401">
        <v>1</v>
      </c>
      <c r="E1401">
        <v>1</v>
      </c>
      <c r="F1401">
        <v>1</v>
      </c>
      <c r="G1401">
        <v>0</v>
      </c>
      <c r="H1401" t="s">
        <v>2221</v>
      </c>
    </row>
    <row r="1402" spans="1:8">
      <c r="A1402" t="s">
        <v>835</v>
      </c>
      <c r="B1402" t="s">
        <v>3009</v>
      </c>
      <c r="C1402">
        <v>10</v>
      </c>
      <c r="D1402">
        <v>1</v>
      </c>
      <c r="E1402">
        <v>1</v>
      </c>
      <c r="F1402">
        <v>165</v>
      </c>
      <c r="G1402">
        <v>1.2650000000000001E-4</v>
      </c>
      <c r="H1402" t="s">
        <v>2203</v>
      </c>
    </row>
    <row r="1403" spans="1:8">
      <c r="A1403" t="s">
        <v>4552</v>
      </c>
      <c r="B1403" t="s">
        <v>6210</v>
      </c>
      <c r="C1403">
        <v>20</v>
      </c>
      <c r="D1403">
        <v>1</v>
      </c>
      <c r="E1403">
        <v>1</v>
      </c>
      <c r="F1403">
        <v>0</v>
      </c>
      <c r="G1403">
        <v>0</v>
      </c>
      <c r="H1403" t="s">
        <v>2203</v>
      </c>
    </row>
    <row r="1404" spans="1:8">
      <c r="A1404" t="s">
        <v>9492</v>
      </c>
      <c r="B1404" t="s">
        <v>6211</v>
      </c>
      <c r="C1404">
        <v>20</v>
      </c>
      <c r="D1404">
        <v>1</v>
      </c>
      <c r="E1404">
        <v>1</v>
      </c>
      <c r="F1404">
        <v>593</v>
      </c>
      <c r="G1404">
        <v>1.0295E-3</v>
      </c>
      <c r="H1404" t="s">
        <v>2197</v>
      </c>
    </row>
    <row r="1405" spans="1:8">
      <c r="A1405" t="s">
        <v>836</v>
      </c>
      <c r="B1405" t="s">
        <v>3011</v>
      </c>
      <c r="C1405">
        <v>20</v>
      </c>
      <c r="D1405">
        <v>1</v>
      </c>
      <c r="E1405">
        <v>1</v>
      </c>
      <c r="F1405">
        <v>1035</v>
      </c>
      <c r="G1405">
        <v>1.4189999999999999E-3</v>
      </c>
      <c r="H1405" t="s">
        <v>2203</v>
      </c>
    </row>
    <row r="1406" spans="1:8">
      <c r="A1406" t="s">
        <v>4566</v>
      </c>
      <c r="B1406" t="s">
        <v>6235</v>
      </c>
      <c r="C1406">
        <v>20</v>
      </c>
      <c r="D1406">
        <v>1</v>
      </c>
      <c r="E1406">
        <v>1</v>
      </c>
      <c r="F1406">
        <v>1050</v>
      </c>
      <c r="G1406">
        <v>6.7929999999999998E-4</v>
      </c>
      <c r="H1406" t="s">
        <v>2203</v>
      </c>
    </row>
    <row r="1407" spans="1:8">
      <c r="A1407" t="s">
        <v>6302</v>
      </c>
      <c r="B1407" t="s">
        <v>6301</v>
      </c>
      <c r="C1407">
        <v>20</v>
      </c>
      <c r="D1407">
        <v>1</v>
      </c>
      <c r="E1407">
        <v>1</v>
      </c>
      <c r="F1407">
        <v>1035</v>
      </c>
      <c r="G1407">
        <v>1.4189999999999999E-3</v>
      </c>
      <c r="H1407" t="s">
        <v>2203</v>
      </c>
    </row>
    <row r="1408" spans="1:8">
      <c r="A1408" t="s">
        <v>4570</v>
      </c>
      <c r="B1408" t="s">
        <v>6271</v>
      </c>
      <c r="C1408">
        <v>20</v>
      </c>
      <c r="D1408">
        <v>1</v>
      </c>
      <c r="E1408">
        <v>1</v>
      </c>
      <c r="F1408">
        <v>1</v>
      </c>
      <c r="G1408">
        <v>0</v>
      </c>
      <c r="H1408" t="s">
        <v>2203</v>
      </c>
    </row>
    <row r="1409" spans="1:8">
      <c r="A1409" t="s">
        <v>4571</v>
      </c>
      <c r="B1409" t="s">
        <v>6247</v>
      </c>
      <c r="C1409">
        <v>20</v>
      </c>
      <c r="D1409">
        <v>1</v>
      </c>
      <c r="E1409">
        <v>1</v>
      </c>
      <c r="F1409">
        <v>0</v>
      </c>
      <c r="G1409">
        <v>0</v>
      </c>
      <c r="H1409" t="s">
        <v>2203</v>
      </c>
    </row>
    <row r="1410" spans="1:8">
      <c r="A1410" t="s">
        <v>4553</v>
      </c>
      <c r="B1410" t="s">
        <v>6234</v>
      </c>
      <c r="C1410">
        <v>20</v>
      </c>
      <c r="D1410">
        <v>1</v>
      </c>
      <c r="E1410">
        <v>1</v>
      </c>
      <c r="F1410">
        <v>0</v>
      </c>
      <c r="G1410">
        <v>0</v>
      </c>
      <c r="H1410" t="s">
        <v>2203</v>
      </c>
    </row>
    <row r="1411" spans="1:8">
      <c r="A1411" t="s">
        <v>6213</v>
      </c>
      <c r="B1411" t="s">
        <v>6212</v>
      </c>
      <c r="C1411">
        <v>6</v>
      </c>
      <c r="D1411">
        <v>3</v>
      </c>
      <c r="E1411">
        <v>1</v>
      </c>
      <c r="F1411">
        <v>0</v>
      </c>
      <c r="G1411">
        <v>0</v>
      </c>
      <c r="H1411" t="s">
        <v>2203</v>
      </c>
    </row>
    <row r="1412" spans="1:8">
      <c r="A1412" t="s">
        <v>6215</v>
      </c>
      <c r="B1412" t="s">
        <v>6214</v>
      </c>
      <c r="C1412">
        <v>20</v>
      </c>
      <c r="D1412">
        <v>1</v>
      </c>
      <c r="E1412">
        <v>1</v>
      </c>
      <c r="F1412">
        <v>1074</v>
      </c>
      <c r="G1412">
        <v>1.8042875000000001E-3</v>
      </c>
      <c r="H1412" t="s">
        <v>2203</v>
      </c>
    </row>
    <row r="1413" spans="1:8">
      <c r="A1413" t="s">
        <v>845</v>
      </c>
      <c r="B1413" t="s">
        <v>3014</v>
      </c>
      <c r="C1413">
        <v>20</v>
      </c>
      <c r="D1413">
        <v>1</v>
      </c>
      <c r="E1413">
        <v>1</v>
      </c>
      <c r="F1413">
        <v>1074</v>
      </c>
      <c r="G1413">
        <v>1.8042875000000001E-3</v>
      </c>
      <c r="H1413" t="s">
        <v>2203</v>
      </c>
    </row>
    <row r="1414" spans="1:8">
      <c r="A1414" t="s">
        <v>6274</v>
      </c>
      <c r="B1414" t="s">
        <v>6273</v>
      </c>
      <c r="C1414">
        <v>4</v>
      </c>
      <c r="D1414">
        <v>1</v>
      </c>
      <c r="E1414">
        <v>1</v>
      </c>
      <c r="F1414">
        <v>1</v>
      </c>
      <c r="G1414">
        <v>0</v>
      </c>
      <c r="H1414" t="s">
        <v>2203</v>
      </c>
    </row>
    <row r="1415" spans="1:8">
      <c r="A1415" t="s">
        <v>938</v>
      </c>
      <c r="B1415" t="s">
        <v>3016</v>
      </c>
      <c r="C1415">
        <v>20</v>
      </c>
      <c r="D1415">
        <v>1</v>
      </c>
      <c r="E1415">
        <v>1</v>
      </c>
      <c r="F1415">
        <v>1070</v>
      </c>
      <c r="G1415">
        <v>1.8042875000000001E-3</v>
      </c>
      <c r="H1415" t="s">
        <v>2203</v>
      </c>
    </row>
    <row r="1416" spans="1:8">
      <c r="A1416" t="s">
        <v>6276</v>
      </c>
      <c r="B1416" t="s">
        <v>6275</v>
      </c>
      <c r="C1416">
        <v>4</v>
      </c>
      <c r="D1416">
        <v>1</v>
      </c>
      <c r="E1416">
        <v>1</v>
      </c>
      <c r="F1416">
        <v>1</v>
      </c>
      <c r="G1416">
        <v>0</v>
      </c>
      <c r="H1416" t="s">
        <v>2203</v>
      </c>
    </row>
    <row r="1417" spans="1:8">
      <c r="A1417" t="s">
        <v>4580</v>
      </c>
      <c r="B1417" t="s">
        <v>6266</v>
      </c>
      <c r="C1417">
        <v>20</v>
      </c>
      <c r="D1417">
        <v>1</v>
      </c>
      <c r="E1417">
        <v>1</v>
      </c>
      <c r="F1417">
        <v>1070</v>
      </c>
      <c r="G1417">
        <v>1.6669E-3</v>
      </c>
      <c r="H1417" t="s">
        <v>2203</v>
      </c>
    </row>
    <row r="1418" spans="1:8">
      <c r="A1418" t="s">
        <v>4581</v>
      </c>
      <c r="B1418" t="s">
        <v>6272</v>
      </c>
      <c r="C1418">
        <v>4</v>
      </c>
      <c r="D1418">
        <v>1</v>
      </c>
      <c r="E1418">
        <v>1</v>
      </c>
      <c r="F1418">
        <v>6487.5</v>
      </c>
      <c r="G1418">
        <v>1.3547E-2</v>
      </c>
      <c r="H1418" t="s">
        <v>2203</v>
      </c>
    </row>
    <row r="1419" spans="1:8">
      <c r="A1419" t="s">
        <v>4554</v>
      </c>
      <c r="B1419" t="s">
        <v>6216</v>
      </c>
      <c r="C1419">
        <v>20</v>
      </c>
      <c r="D1419">
        <v>1</v>
      </c>
      <c r="E1419">
        <v>1</v>
      </c>
      <c r="F1419">
        <v>0</v>
      </c>
      <c r="G1419">
        <v>0</v>
      </c>
      <c r="H1419" t="s">
        <v>2203</v>
      </c>
    </row>
    <row r="1420" spans="1:8">
      <c r="A1420" t="s">
        <v>6244</v>
      </c>
      <c r="B1420" t="s">
        <v>6243</v>
      </c>
      <c r="C1420">
        <v>20</v>
      </c>
      <c r="D1420">
        <v>1</v>
      </c>
      <c r="E1420">
        <v>1</v>
      </c>
      <c r="F1420">
        <v>0</v>
      </c>
      <c r="G1420">
        <v>0</v>
      </c>
      <c r="H1420" t="s">
        <v>2203</v>
      </c>
    </row>
    <row r="1421" spans="1:8">
      <c r="A1421" t="s">
        <v>4573</v>
      </c>
      <c r="B1421" t="s">
        <v>6245</v>
      </c>
      <c r="C1421">
        <v>20</v>
      </c>
      <c r="D1421">
        <v>1</v>
      </c>
      <c r="E1421">
        <v>1</v>
      </c>
      <c r="F1421">
        <v>1081</v>
      </c>
      <c r="G1421">
        <v>1.8042875000000001E-3</v>
      </c>
      <c r="H1421" t="s">
        <v>2203</v>
      </c>
    </row>
    <row r="1422" spans="1:8">
      <c r="A1422" t="s">
        <v>6265</v>
      </c>
      <c r="B1422" t="s">
        <v>6264</v>
      </c>
      <c r="C1422">
        <v>4</v>
      </c>
      <c r="D1422">
        <v>1</v>
      </c>
      <c r="E1422">
        <v>1</v>
      </c>
      <c r="F1422">
        <v>1</v>
      </c>
      <c r="G1422">
        <v>0</v>
      </c>
      <c r="H1422" t="s">
        <v>2203</v>
      </c>
    </row>
    <row r="1423" spans="1:8">
      <c r="A1423" t="s">
        <v>945</v>
      </c>
      <c r="B1423" t="s">
        <v>3018</v>
      </c>
      <c r="C1423">
        <v>20</v>
      </c>
      <c r="D1423">
        <v>1</v>
      </c>
      <c r="E1423">
        <v>1</v>
      </c>
      <c r="F1423">
        <v>1062.5</v>
      </c>
      <c r="G1423">
        <v>1.6379999999999999E-3</v>
      </c>
      <c r="H1423" t="s">
        <v>2203</v>
      </c>
    </row>
    <row r="1424" spans="1:8">
      <c r="A1424" t="s">
        <v>947</v>
      </c>
      <c r="B1424" t="s">
        <v>3020</v>
      </c>
      <c r="C1424">
        <v>20</v>
      </c>
      <c r="D1424">
        <v>1</v>
      </c>
      <c r="E1424">
        <v>1</v>
      </c>
      <c r="F1424">
        <v>1062.5</v>
      </c>
      <c r="G1424">
        <v>1.6379999999999999E-3</v>
      </c>
      <c r="H1424" t="s">
        <v>2203</v>
      </c>
    </row>
    <row r="1425" spans="1:8">
      <c r="A1425" t="s">
        <v>949</v>
      </c>
      <c r="B1425" t="s">
        <v>3021</v>
      </c>
      <c r="C1425">
        <v>20</v>
      </c>
      <c r="D1425">
        <v>1</v>
      </c>
      <c r="E1425">
        <v>1</v>
      </c>
      <c r="F1425">
        <v>1</v>
      </c>
      <c r="G1425">
        <v>0</v>
      </c>
      <c r="H1425" t="s">
        <v>2203</v>
      </c>
    </row>
    <row r="1426" spans="1:8">
      <c r="A1426" t="s">
        <v>951</v>
      </c>
      <c r="B1426" t="s">
        <v>3022</v>
      </c>
      <c r="C1426">
        <v>20</v>
      </c>
      <c r="D1426">
        <v>1</v>
      </c>
      <c r="E1426">
        <v>1</v>
      </c>
      <c r="F1426">
        <v>1062.5</v>
      </c>
      <c r="G1426">
        <v>1.6379999999999999E-3</v>
      </c>
      <c r="H1426" t="s">
        <v>2203</v>
      </c>
    </row>
    <row r="1427" spans="1:8">
      <c r="A1427" t="s">
        <v>4575</v>
      </c>
      <c r="B1427" t="s">
        <v>6254</v>
      </c>
      <c r="C1427">
        <v>20</v>
      </c>
      <c r="D1427">
        <v>1</v>
      </c>
      <c r="E1427">
        <v>1</v>
      </c>
      <c r="F1427">
        <v>1310</v>
      </c>
      <c r="G1427">
        <v>2.9015999999999998E-3</v>
      </c>
      <c r="H1427" t="s">
        <v>2203</v>
      </c>
    </row>
    <row r="1428" spans="1:8">
      <c r="A1428" t="s">
        <v>4555</v>
      </c>
      <c r="B1428" t="s">
        <v>6217</v>
      </c>
      <c r="C1428">
        <v>20</v>
      </c>
      <c r="D1428">
        <v>1</v>
      </c>
      <c r="E1428">
        <v>1</v>
      </c>
      <c r="F1428">
        <v>1081</v>
      </c>
      <c r="G1428">
        <v>1.8042875000000001E-3</v>
      </c>
      <c r="H1428" t="s">
        <v>2203</v>
      </c>
    </row>
    <row r="1429" spans="1:8">
      <c r="A1429" t="s">
        <v>954</v>
      </c>
      <c r="B1429" t="s">
        <v>3024</v>
      </c>
      <c r="C1429">
        <v>20</v>
      </c>
      <c r="D1429">
        <v>1</v>
      </c>
      <c r="E1429">
        <v>1</v>
      </c>
      <c r="F1429">
        <v>1045</v>
      </c>
      <c r="G1429">
        <v>1.8522E-3</v>
      </c>
      <c r="H1429" t="s">
        <v>2203</v>
      </c>
    </row>
    <row r="1430" spans="1:8">
      <c r="A1430" t="s">
        <v>963</v>
      </c>
      <c r="B1430" t="s">
        <v>3026</v>
      </c>
      <c r="C1430">
        <v>40</v>
      </c>
      <c r="D1430">
        <v>1</v>
      </c>
      <c r="E1430">
        <v>1</v>
      </c>
      <c r="F1430">
        <v>535</v>
      </c>
      <c r="G1430">
        <v>8.3339999999999998E-4</v>
      </c>
      <c r="H1430" t="s">
        <v>2203</v>
      </c>
    </row>
    <row r="1431" spans="1:8">
      <c r="A1431" t="s">
        <v>4579</v>
      </c>
      <c r="B1431" t="s">
        <v>6270</v>
      </c>
      <c r="C1431">
        <v>20</v>
      </c>
      <c r="D1431">
        <v>1</v>
      </c>
      <c r="E1431">
        <v>1</v>
      </c>
      <c r="F1431">
        <v>1310</v>
      </c>
      <c r="G1431">
        <v>2.9015999999999998E-3</v>
      </c>
      <c r="H1431" t="s">
        <v>2203</v>
      </c>
    </row>
    <row r="1432" spans="1:8">
      <c r="A1432" t="s">
        <v>6278</v>
      </c>
      <c r="B1432" t="s">
        <v>6277</v>
      </c>
      <c r="C1432">
        <v>4</v>
      </c>
      <c r="D1432">
        <v>1</v>
      </c>
      <c r="E1432">
        <v>1</v>
      </c>
      <c r="F1432">
        <v>6550</v>
      </c>
      <c r="G1432">
        <v>1.0788000000000001E-2</v>
      </c>
      <c r="H1432" t="s">
        <v>2203</v>
      </c>
    </row>
    <row r="1433" spans="1:8">
      <c r="A1433" t="s">
        <v>4563</v>
      </c>
      <c r="B1433" t="s">
        <v>6229</v>
      </c>
      <c r="C1433">
        <v>20</v>
      </c>
      <c r="D1433">
        <v>1</v>
      </c>
      <c r="E1433">
        <v>1</v>
      </c>
      <c r="F1433">
        <v>1081</v>
      </c>
      <c r="G1433">
        <v>1.8042875000000001E-3</v>
      </c>
      <c r="H1433" t="s">
        <v>2203</v>
      </c>
    </row>
    <row r="1434" spans="1:8">
      <c r="A1434" t="s">
        <v>4556</v>
      </c>
      <c r="B1434" t="s">
        <v>6218</v>
      </c>
      <c r="C1434">
        <v>20</v>
      </c>
      <c r="D1434">
        <v>1</v>
      </c>
      <c r="E1434">
        <v>1</v>
      </c>
      <c r="F1434">
        <v>1045</v>
      </c>
      <c r="G1434">
        <v>1.8522E-3</v>
      </c>
      <c r="H1434" t="s">
        <v>2203</v>
      </c>
    </row>
    <row r="1435" spans="1:8">
      <c r="A1435" t="s">
        <v>4568</v>
      </c>
      <c r="B1435" t="s">
        <v>6232</v>
      </c>
      <c r="C1435">
        <v>20</v>
      </c>
      <c r="D1435">
        <v>1</v>
      </c>
      <c r="E1435">
        <v>1</v>
      </c>
      <c r="F1435">
        <v>1045</v>
      </c>
      <c r="G1435">
        <v>1.8522E-3</v>
      </c>
      <c r="H1435" t="s">
        <v>2203</v>
      </c>
    </row>
    <row r="1436" spans="1:8">
      <c r="A1436" t="s">
        <v>966</v>
      </c>
      <c r="B1436" t="s">
        <v>3027</v>
      </c>
      <c r="C1436">
        <v>20</v>
      </c>
      <c r="D1436">
        <v>1</v>
      </c>
      <c r="E1436">
        <v>1</v>
      </c>
      <c r="F1436">
        <v>1045</v>
      </c>
      <c r="G1436">
        <v>1.8522E-3</v>
      </c>
      <c r="H1436" t="s">
        <v>2203</v>
      </c>
    </row>
    <row r="1437" spans="1:8">
      <c r="A1437" t="s">
        <v>4577</v>
      </c>
      <c r="B1437" t="s">
        <v>6257</v>
      </c>
      <c r="C1437">
        <v>20</v>
      </c>
      <c r="D1437">
        <v>1</v>
      </c>
      <c r="E1437">
        <v>1</v>
      </c>
      <c r="F1437">
        <v>1045</v>
      </c>
      <c r="G1437">
        <v>1.8522E-3</v>
      </c>
      <c r="H1437" t="s">
        <v>2203</v>
      </c>
    </row>
    <row r="1438" spans="1:8">
      <c r="A1438" t="s">
        <v>4557</v>
      </c>
      <c r="B1438" t="s">
        <v>6219</v>
      </c>
      <c r="C1438">
        <v>20</v>
      </c>
      <c r="D1438">
        <v>1</v>
      </c>
      <c r="E1438">
        <v>1</v>
      </c>
      <c r="F1438">
        <v>1045</v>
      </c>
      <c r="G1438">
        <v>1.8522E-3</v>
      </c>
      <c r="H1438" t="s">
        <v>2203</v>
      </c>
    </row>
    <row r="1439" spans="1:8">
      <c r="A1439" t="s">
        <v>4558</v>
      </c>
      <c r="B1439" t="s">
        <v>6220</v>
      </c>
      <c r="C1439">
        <v>20</v>
      </c>
      <c r="D1439">
        <v>1</v>
      </c>
      <c r="E1439">
        <v>1</v>
      </c>
      <c r="F1439">
        <v>1027.5</v>
      </c>
      <c r="G1439">
        <v>1.5839999999999999E-3</v>
      </c>
      <c r="H1439" t="s">
        <v>2203</v>
      </c>
    </row>
    <row r="1440" spans="1:8">
      <c r="A1440" t="s">
        <v>4559</v>
      </c>
      <c r="B1440" t="s">
        <v>6221</v>
      </c>
      <c r="C1440">
        <v>30</v>
      </c>
      <c r="D1440">
        <v>1</v>
      </c>
      <c r="E1440">
        <v>1</v>
      </c>
      <c r="F1440">
        <v>0</v>
      </c>
      <c r="G1440">
        <v>0</v>
      </c>
      <c r="H1440" t="s">
        <v>2203</v>
      </c>
    </row>
    <row r="1441" spans="1:8">
      <c r="A1441" t="s">
        <v>976</v>
      </c>
      <c r="B1441" t="s">
        <v>3029</v>
      </c>
      <c r="C1441">
        <v>20</v>
      </c>
      <c r="D1441">
        <v>1</v>
      </c>
      <c r="E1441">
        <v>1</v>
      </c>
      <c r="F1441">
        <v>1045</v>
      </c>
      <c r="G1441">
        <v>1.8522E-3</v>
      </c>
      <c r="H1441" t="s">
        <v>2203</v>
      </c>
    </row>
    <row r="1442" spans="1:8">
      <c r="A1442" t="s">
        <v>4572</v>
      </c>
      <c r="B1442" t="s">
        <v>6246</v>
      </c>
      <c r="C1442">
        <v>20</v>
      </c>
      <c r="D1442">
        <v>1</v>
      </c>
      <c r="E1442">
        <v>1</v>
      </c>
      <c r="F1442">
        <v>1045</v>
      </c>
      <c r="G1442">
        <v>1.8522E-3</v>
      </c>
      <c r="H1442" t="s">
        <v>2203</v>
      </c>
    </row>
    <row r="1443" spans="1:8">
      <c r="A1443" t="s">
        <v>4576</v>
      </c>
      <c r="B1443" t="s">
        <v>6256</v>
      </c>
      <c r="C1443">
        <v>20</v>
      </c>
      <c r="D1443">
        <v>1</v>
      </c>
      <c r="E1443">
        <v>1</v>
      </c>
      <c r="F1443">
        <v>1045</v>
      </c>
      <c r="G1443">
        <v>1.8522E-3</v>
      </c>
      <c r="H1443" t="s">
        <v>2203</v>
      </c>
    </row>
    <row r="1444" spans="1:8">
      <c r="A1444" t="s">
        <v>6300</v>
      </c>
      <c r="B1444" t="s">
        <v>6299</v>
      </c>
      <c r="C1444">
        <v>20</v>
      </c>
      <c r="D1444">
        <v>1</v>
      </c>
      <c r="E1444">
        <v>1</v>
      </c>
      <c r="F1444">
        <v>1045</v>
      </c>
      <c r="G1444">
        <v>1.8522E-3</v>
      </c>
      <c r="H1444" t="s">
        <v>2203</v>
      </c>
    </row>
    <row r="1445" spans="1:8">
      <c r="A1445" t="s">
        <v>9493</v>
      </c>
      <c r="B1445" t="s">
        <v>6251</v>
      </c>
      <c r="C1445">
        <v>15</v>
      </c>
      <c r="D1445">
        <v>1</v>
      </c>
      <c r="E1445">
        <v>1</v>
      </c>
      <c r="F1445">
        <v>1000</v>
      </c>
      <c r="G1445">
        <v>1.7600000000000001E-3</v>
      </c>
      <c r="H1445" t="s">
        <v>2203</v>
      </c>
    </row>
    <row r="1446" spans="1:8">
      <c r="A1446" t="s">
        <v>6292</v>
      </c>
      <c r="B1446" t="s">
        <v>6291</v>
      </c>
      <c r="C1446">
        <v>20</v>
      </c>
      <c r="D1446">
        <v>1</v>
      </c>
      <c r="E1446">
        <v>1</v>
      </c>
      <c r="F1446">
        <v>1</v>
      </c>
      <c r="G1446">
        <v>0</v>
      </c>
      <c r="H1446" t="s">
        <v>2203</v>
      </c>
    </row>
    <row r="1447" spans="1:8">
      <c r="A1447" t="s">
        <v>4578</v>
      </c>
      <c r="B1447" t="s">
        <v>6267</v>
      </c>
      <c r="C1447">
        <v>20</v>
      </c>
      <c r="D1447">
        <v>1</v>
      </c>
      <c r="E1447">
        <v>1</v>
      </c>
      <c r="F1447">
        <v>1027.5</v>
      </c>
      <c r="G1447">
        <v>1.5839999999999999E-3</v>
      </c>
      <c r="H1447" t="s">
        <v>2203</v>
      </c>
    </row>
    <row r="1448" spans="1:8">
      <c r="A1448" t="s">
        <v>987</v>
      </c>
      <c r="B1448" t="s">
        <v>3031</v>
      </c>
      <c r="C1448">
        <v>20</v>
      </c>
      <c r="D1448">
        <v>1</v>
      </c>
      <c r="E1448">
        <v>1</v>
      </c>
      <c r="F1448">
        <v>1070</v>
      </c>
      <c r="G1448">
        <v>1.6669E-3</v>
      </c>
      <c r="H1448" t="s">
        <v>2203</v>
      </c>
    </row>
    <row r="1449" spans="1:8">
      <c r="A1449" t="s">
        <v>6238</v>
      </c>
      <c r="B1449" t="s">
        <v>6237</v>
      </c>
      <c r="C1449">
        <v>40</v>
      </c>
      <c r="D1449">
        <v>1</v>
      </c>
      <c r="E1449">
        <v>1</v>
      </c>
      <c r="F1449">
        <v>0</v>
      </c>
      <c r="G1449">
        <v>0</v>
      </c>
      <c r="H1449" t="s">
        <v>2203</v>
      </c>
    </row>
    <row r="1450" spans="1:8">
      <c r="A1450" t="s">
        <v>6238</v>
      </c>
      <c r="B1450" t="s">
        <v>6288</v>
      </c>
      <c r="C1450">
        <v>40</v>
      </c>
      <c r="D1450">
        <v>1</v>
      </c>
      <c r="E1450">
        <v>1</v>
      </c>
      <c r="F1450">
        <v>1</v>
      </c>
      <c r="G1450">
        <v>0</v>
      </c>
      <c r="H1450" t="s">
        <v>2203</v>
      </c>
    </row>
    <row r="1451" spans="1:8">
      <c r="A1451" t="s">
        <v>4574</v>
      </c>
      <c r="B1451" t="s">
        <v>6250</v>
      </c>
      <c r="C1451">
        <v>40</v>
      </c>
      <c r="D1451">
        <v>1</v>
      </c>
      <c r="E1451">
        <v>1</v>
      </c>
      <c r="F1451">
        <v>287.5</v>
      </c>
      <c r="G1451">
        <v>6.468E-4</v>
      </c>
      <c r="H1451" t="s">
        <v>2203</v>
      </c>
    </row>
    <row r="1452" spans="1:8">
      <c r="A1452" t="s">
        <v>4565</v>
      </c>
      <c r="B1452" t="s">
        <v>6236</v>
      </c>
      <c r="C1452">
        <v>40</v>
      </c>
      <c r="D1452">
        <v>1</v>
      </c>
      <c r="E1452">
        <v>1</v>
      </c>
      <c r="F1452">
        <v>300</v>
      </c>
      <c r="G1452">
        <v>8.1890000000000001E-4</v>
      </c>
      <c r="H1452" t="s">
        <v>2203</v>
      </c>
    </row>
    <row r="1453" spans="1:8">
      <c r="A1453" t="s">
        <v>6249</v>
      </c>
      <c r="B1453" t="s">
        <v>6248</v>
      </c>
      <c r="C1453">
        <v>20</v>
      </c>
      <c r="D1453">
        <v>1</v>
      </c>
      <c r="E1453">
        <v>1</v>
      </c>
      <c r="F1453">
        <v>0</v>
      </c>
      <c r="G1453">
        <v>0</v>
      </c>
      <c r="H1453" t="s">
        <v>2203</v>
      </c>
    </row>
    <row r="1454" spans="1:8">
      <c r="A1454" t="s">
        <v>988</v>
      </c>
      <c r="B1454" t="s">
        <v>3032</v>
      </c>
      <c r="C1454">
        <v>40</v>
      </c>
      <c r="D1454">
        <v>1</v>
      </c>
      <c r="E1454">
        <v>1</v>
      </c>
      <c r="F1454">
        <v>300</v>
      </c>
      <c r="G1454">
        <v>8.1884999999999998E-4</v>
      </c>
      <c r="H1454" t="s">
        <v>2203</v>
      </c>
    </row>
    <row r="1455" spans="1:8">
      <c r="A1455" t="s">
        <v>6259</v>
      </c>
      <c r="B1455" t="s">
        <v>6258</v>
      </c>
      <c r="C1455">
        <v>40</v>
      </c>
      <c r="D1455">
        <v>1</v>
      </c>
      <c r="E1455">
        <v>1</v>
      </c>
      <c r="F1455">
        <v>282.5</v>
      </c>
      <c r="G1455">
        <v>7.4600000000000003E-4</v>
      </c>
      <c r="H1455" t="s">
        <v>2203</v>
      </c>
    </row>
    <row r="1456" spans="1:8">
      <c r="A1456" t="s">
        <v>6306</v>
      </c>
      <c r="B1456" t="s">
        <v>6305</v>
      </c>
      <c r="C1456">
        <v>10</v>
      </c>
      <c r="D1456">
        <v>1</v>
      </c>
      <c r="E1456">
        <v>1</v>
      </c>
      <c r="F1456">
        <v>1</v>
      </c>
      <c r="G1456">
        <v>0</v>
      </c>
      <c r="H1456" t="s">
        <v>2203</v>
      </c>
    </row>
    <row r="1457" spans="1:8">
      <c r="A1457" t="s">
        <v>989</v>
      </c>
      <c r="B1457" t="s">
        <v>3035</v>
      </c>
      <c r="C1457">
        <v>20</v>
      </c>
      <c r="D1457">
        <v>1</v>
      </c>
      <c r="E1457">
        <v>1</v>
      </c>
      <c r="F1457">
        <v>1</v>
      </c>
      <c r="G1457">
        <v>0</v>
      </c>
      <c r="H1457" t="s">
        <v>2203</v>
      </c>
    </row>
    <row r="1458" spans="1:8">
      <c r="A1458" t="s">
        <v>990</v>
      </c>
      <c r="B1458" t="s">
        <v>3037</v>
      </c>
      <c r="C1458">
        <v>40</v>
      </c>
      <c r="D1458">
        <v>1</v>
      </c>
      <c r="E1458">
        <v>1</v>
      </c>
      <c r="F1458">
        <v>1</v>
      </c>
      <c r="G1458">
        <v>0</v>
      </c>
      <c r="H1458" t="s">
        <v>2203</v>
      </c>
    </row>
    <row r="1459" spans="1:8">
      <c r="A1459" t="s">
        <v>4569</v>
      </c>
      <c r="B1459" t="s">
        <v>6233</v>
      </c>
      <c r="C1459">
        <v>40</v>
      </c>
      <c r="D1459">
        <v>1</v>
      </c>
      <c r="E1459">
        <v>1</v>
      </c>
      <c r="F1459">
        <v>0</v>
      </c>
      <c r="G1459">
        <v>0</v>
      </c>
      <c r="H1459" t="s">
        <v>2203</v>
      </c>
    </row>
    <row r="1460" spans="1:8">
      <c r="A1460" t="s">
        <v>4567</v>
      </c>
      <c r="B1460" t="s">
        <v>6222</v>
      </c>
      <c r="C1460">
        <v>40</v>
      </c>
      <c r="D1460">
        <v>1</v>
      </c>
      <c r="E1460">
        <v>1</v>
      </c>
      <c r="F1460">
        <v>280.5</v>
      </c>
      <c r="G1460">
        <v>7.4778750000000004E-4</v>
      </c>
      <c r="H1460" t="s">
        <v>2203</v>
      </c>
    </row>
    <row r="1461" spans="1:8">
      <c r="A1461" t="s">
        <v>9494</v>
      </c>
      <c r="B1461" t="s">
        <v>6287</v>
      </c>
      <c r="C1461">
        <v>15</v>
      </c>
      <c r="D1461">
        <v>1</v>
      </c>
      <c r="E1461">
        <v>1</v>
      </c>
      <c r="F1461">
        <v>263.3</v>
      </c>
      <c r="G1461">
        <v>1.4567E-3</v>
      </c>
      <c r="H1461" t="s">
        <v>2203</v>
      </c>
    </row>
    <row r="1462" spans="1:8">
      <c r="A1462" t="s">
        <v>991</v>
      </c>
      <c r="B1462" t="s">
        <v>3038</v>
      </c>
      <c r="C1462">
        <v>20</v>
      </c>
      <c r="D1462">
        <v>1</v>
      </c>
      <c r="E1462">
        <v>1</v>
      </c>
      <c r="F1462">
        <v>285</v>
      </c>
      <c r="G1462">
        <v>1.2689999999999999E-3</v>
      </c>
      <c r="H1462" t="s">
        <v>2203</v>
      </c>
    </row>
    <row r="1463" spans="1:8">
      <c r="A1463" t="s">
        <v>6242</v>
      </c>
      <c r="B1463" t="s">
        <v>6241</v>
      </c>
      <c r="C1463">
        <v>40</v>
      </c>
      <c r="D1463">
        <v>1</v>
      </c>
      <c r="E1463">
        <v>1</v>
      </c>
      <c r="F1463">
        <v>280.5</v>
      </c>
      <c r="G1463">
        <v>7.4778750000000004E-4</v>
      </c>
      <c r="H1463" t="s">
        <v>2203</v>
      </c>
    </row>
    <row r="1464" spans="1:8">
      <c r="A1464" t="s">
        <v>993</v>
      </c>
      <c r="B1464" t="s">
        <v>3040</v>
      </c>
      <c r="C1464">
        <v>20</v>
      </c>
      <c r="D1464">
        <v>1</v>
      </c>
      <c r="E1464">
        <v>1</v>
      </c>
      <c r="F1464">
        <v>555</v>
      </c>
      <c r="G1464">
        <v>1.5333E-3</v>
      </c>
      <c r="H1464" t="s">
        <v>2203</v>
      </c>
    </row>
    <row r="1465" spans="1:8">
      <c r="A1465" t="s">
        <v>996</v>
      </c>
      <c r="B1465" t="s">
        <v>3042</v>
      </c>
      <c r="C1465">
        <v>40</v>
      </c>
      <c r="D1465">
        <v>1</v>
      </c>
      <c r="E1465">
        <v>1</v>
      </c>
      <c r="F1465">
        <v>281.3</v>
      </c>
      <c r="G1465">
        <v>7.4600000000000003E-4</v>
      </c>
      <c r="H1465" t="s">
        <v>2203</v>
      </c>
    </row>
    <row r="1466" spans="1:8">
      <c r="A1466" t="s">
        <v>6294</v>
      </c>
      <c r="B1466" t="s">
        <v>6293</v>
      </c>
      <c r="C1466">
        <v>40</v>
      </c>
      <c r="D1466">
        <v>1</v>
      </c>
      <c r="E1466">
        <v>1</v>
      </c>
      <c r="F1466">
        <v>300</v>
      </c>
      <c r="G1466">
        <v>8.1890000000000001E-4</v>
      </c>
      <c r="H1466" t="s">
        <v>2203</v>
      </c>
    </row>
    <row r="1467" spans="1:8">
      <c r="A1467" t="s">
        <v>6224</v>
      </c>
      <c r="B1467" t="s">
        <v>6223</v>
      </c>
      <c r="C1467">
        <v>40</v>
      </c>
      <c r="D1467">
        <v>1</v>
      </c>
      <c r="E1467">
        <v>1</v>
      </c>
      <c r="F1467">
        <v>0</v>
      </c>
      <c r="G1467">
        <v>0</v>
      </c>
      <c r="H1467" t="s">
        <v>2203</v>
      </c>
    </row>
    <row r="1468" spans="1:8">
      <c r="A1468" t="s">
        <v>6240</v>
      </c>
      <c r="B1468" t="s">
        <v>6239</v>
      </c>
      <c r="C1468">
        <v>40</v>
      </c>
      <c r="D1468">
        <v>1</v>
      </c>
      <c r="E1468">
        <v>1</v>
      </c>
      <c r="F1468">
        <v>0</v>
      </c>
      <c r="G1468">
        <v>0</v>
      </c>
      <c r="H1468" t="s">
        <v>2203</v>
      </c>
    </row>
    <row r="1469" spans="1:8">
      <c r="A1469" t="s">
        <v>997</v>
      </c>
      <c r="B1469" t="s">
        <v>3043</v>
      </c>
      <c r="C1469">
        <v>20</v>
      </c>
      <c r="D1469">
        <v>1</v>
      </c>
      <c r="E1469">
        <v>1</v>
      </c>
      <c r="F1469">
        <v>555</v>
      </c>
      <c r="G1469">
        <v>1.5333E-3</v>
      </c>
      <c r="H1469" t="s">
        <v>2203</v>
      </c>
    </row>
    <row r="1470" spans="1:8">
      <c r="A1470" t="s">
        <v>6261</v>
      </c>
      <c r="B1470" t="s">
        <v>6260</v>
      </c>
      <c r="C1470">
        <v>40</v>
      </c>
      <c r="D1470">
        <v>1</v>
      </c>
      <c r="E1470">
        <v>1</v>
      </c>
      <c r="F1470">
        <v>281.3</v>
      </c>
      <c r="G1470">
        <v>7.4600000000000003E-4</v>
      </c>
      <c r="H1470" t="s">
        <v>2203</v>
      </c>
    </row>
    <row r="1471" spans="1:8">
      <c r="A1471" t="s">
        <v>6231</v>
      </c>
      <c r="B1471" t="s">
        <v>6230</v>
      </c>
      <c r="C1471">
        <v>40</v>
      </c>
      <c r="D1471">
        <v>1</v>
      </c>
      <c r="E1471">
        <v>1</v>
      </c>
      <c r="F1471">
        <v>0</v>
      </c>
      <c r="G1471">
        <v>0</v>
      </c>
      <c r="H1471" t="s">
        <v>2203</v>
      </c>
    </row>
    <row r="1472" spans="1:8">
      <c r="A1472" t="s">
        <v>6263</v>
      </c>
      <c r="B1472" t="s">
        <v>6262</v>
      </c>
      <c r="C1472">
        <v>20</v>
      </c>
      <c r="D1472">
        <v>1</v>
      </c>
      <c r="E1472">
        <v>1</v>
      </c>
      <c r="F1472">
        <v>1080</v>
      </c>
      <c r="G1472">
        <v>1.5876E-3</v>
      </c>
      <c r="H1472" t="s">
        <v>2203</v>
      </c>
    </row>
    <row r="1473" spans="1:8">
      <c r="A1473" t="s">
        <v>6296</v>
      </c>
      <c r="B1473" t="s">
        <v>6295</v>
      </c>
      <c r="C1473">
        <v>10</v>
      </c>
      <c r="D1473">
        <v>1</v>
      </c>
      <c r="E1473">
        <v>1</v>
      </c>
      <c r="F1473">
        <v>2155</v>
      </c>
      <c r="G1473">
        <v>3.5200000000000001E-3</v>
      </c>
      <c r="H1473" t="s">
        <v>2203</v>
      </c>
    </row>
    <row r="1474" spans="1:8">
      <c r="A1474" t="s">
        <v>999</v>
      </c>
      <c r="B1474" t="s">
        <v>3045</v>
      </c>
      <c r="C1474">
        <v>20</v>
      </c>
      <c r="D1474">
        <v>1</v>
      </c>
      <c r="E1474">
        <v>1</v>
      </c>
      <c r="F1474">
        <v>1077.5</v>
      </c>
      <c r="G1474">
        <v>1.7600000000000001E-3</v>
      </c>
      <c r="H1474" t="s">
        <v>2203</v>
      </c>
    </row>
    <row r="1475" spans="1:8">
      <c r="A1475" t="s">
        <v>6304</v>
      </c>
      <c r="B1475" t="s">
        <v>6303</v>
      </c>
      <c r="C1475">
        <v>20</v>
      </c>
      <c r="D1475">
        <v>1</v>
      </c>
      <c r="E1475">
        <v>1</v>
      </c>
      <c r="F1475">
        <v>1077.5</v>
      </c>
      <c r="G1475">
        <v>1.7600000000000001E-3</v>
      </c>
      <c r="H1475" t="s">
        <v>2203</v>
      </c>
    </row>
    <row r="1476" spans="1:8">
      <c r="A1476" t="s">
        <v>4560</v>
      </c>
      <c r="B1476" t="s">
        <v>6225</v>
      </c>
      <c r="C1476">
        <v>20</v>
      </c>
      <c r="D1476">
        <v>1</v>
      </c>
      <c r="E1476">
        <v>1</v>
      </c>
      <c r="F1476">
        <v>1080</v>
      </c>
      <c r="G1476">
        <v>1.5876E-3</v>
      </c>
      <c r="H1476" t="s">
        <v>2203</v>
      </c>
    </row>
    <row r="1477" spans="1:8">
      <c r="A1477" t="s">
        <v>6280</v>
      </c>
      <c r="B1477" t="s">
        <v>6279</v>
      </c>
      <c r="C1477">
        <v>20</v>
      </c>
      <c r="D1477">
        <v>1</v>
      </c>
      <c r="E1477">
        <v>1</v>
      </c>
      <c r="F1477">
        <v>1077.5</v>
      </c>
      <c r="G1477">
        <v>1.7600000000000001E-3</v>
      </c>
      <c r="H1477" t="s">
        <v>2203</v>
      </c>
    </row>
    <row r="1478" spans="1:8">
      <c r="A1478" t="s">
        <v>1000</v>
      </c>
      <c r="B1478" t="s">
        <v>3047</v>
      </c>
      <c r="C1478">
        <v>20</v>
      </c>
      <c r="D1478">
        <v>1</v>
      </c>
      <c r="E1478">
        <v>1</v>
      </c>
      <c r="F1478">
        <v>1108</v>
      </c>
      <c r="G1478">
        <v>2.0425999999999999E-3</v>
      </c>
      <c r="H1478" t="s">
        <v>2203</v>
      </c>
    </row>
    <row r="1479" spans="1:8">
      <c r="A1479" t="s">
        <v>6298</v>
      </c>
      <c r="B1479" t="s">
        <v>6297</v>
      </c>
      <c r="C1479">
        <v>10</v>
      </c>
      <c r="D1479">
        <v>1</v>
      </c>
      <c r="E1479">
        <v>1</v>
      </c>
      <c r="F1479">
        <v>2155</v>
      </c>
      <c r="G1479">
        <v>3.5200000000000001E-3</v>
      </c>
      <c r="H1479" t="s">
        <v>2203</v>
      </c>
    </row>
    <row r="1480" spans="1:8">
      <c r="A1480" t="s">
        <v>1001</v>
      </c>
      <c r="B1480" t="s">
        <v>3049</v>
      </c>
      <c r="C1480">
        <v>20</v>
      </c>
      <c r="D1480">
        <v>1</v>
      </c>
      <c r="E1480">
        <v>1</v>
      </c>
      <c r="F1480">
        <v>1080</v>
      </c>
      <c r="G1480">
        <v>1.5876E-3</v>
      </c>
      <c r="H1480" t="s">
        <v>2203</v>
      </c>
    </row>
    <row r="1481" spans="1:8">
      <c r="A1481" t="s">
        <v>4561</v>
      </c>
      <c r="B1481" t="s">
        <v>6226</v>
      </c>
      <c r="C1481">
        <v>20</v>
      </c>
      <c r="D1481">
        <v>1</v>
      </c>
      <c r="E1481">
        <v>1</v>
      </c>
      <c r="F1481">
        <v>1108</v>
      </c>
      <c r="G1481">
        <v>2.0425500000000002E-3</v>
      </c>
      <c r="H1481" t="s">
        <v>2203</v>
      </c>
    </row>
    <row r="1482" spans="1:8">
      <c r="A1482" t="s">
        <v>6284</v>
      </c>
      <c r="B1482" t="s">
        <v>6283</v>
      </c>
      <c r="C1482">
        <v>20</v>
      </c>
      <c r="D1482">
        <v>1</v>
      </c>
      <c r="E1482">
        <v>1</v>
      </c>
      <c r="F1482">
        <v>1045</v>
      </c>
      <c r="G1482">
        <v>1.8522E-3</v>
      </c>
      <c r="H1482" t="s">
        <v>2203</v>
      </c>
    </row>
    <row r="1483" spans="1:8">
      <c r="A1483" t="s">
        <v>1002</v>
      </c>
      <c r="B1483" t="s">
        <v>3051</v>
      </c>
      <c r="C1483">
        <v>20</v>
      </c>
      <c r="D1483">
        <v>1</v>
      </c>
      <c r="E1483">
        <v>1</v>
      </c>
      <c r="F1483">
        <v>1045</v>
      </c>
      <c r="G1483">
        <v>1.8522E-3</v>
      </c>
      <c r="H1483" t="s">
        <v>2203</v>
      </c>
    </row>
    <row r="1484" spans="1:8">
      <c r="A1484" t="s">
        <v>6286</v>
      </c>
      <c r="B1484" t="s">
        <v>6285</v>
      </c>
      <c r="C1484">
        <v>20</v>
      </c>
      <c r="D1484">
        <v>1</v>
      </c>
      <c r="E1484">
        <v>1</v>
      </c>
      <c r="F1484">
        <v>1045</v>
      </c>
      <c r="G1484">
        <v>1.8522E-3</v>
      </c>
      <c r="H1484" t="s">
        <v>2203</v>
      </c>
    </row>
    <row r="1485" spans="1:8">
      <c r="A1485" t="s">
        <v>4562</v>
      </c>
      <c r="B1485" t="s">
        <v>6227</v>
      </c>
      <c r="C1485">
        <v>20</v>
      </c>
      <c r="D1485">
        <v>1</v>
      </c>
      <c r="E1485">
        <v>1</v>
      </c>
      <c r="F1485">
        <v>1062.5</v>
      </c>
      <c r="G1485">
        <v>1.021275E-2</v>
      </c>
      <c r="H1485" t="s">
        <v>2203</v>
      </c>
    </row>
    <row r="1486" spans="1:8">
      <c r="A1486" t="s">
        <v>6282</v>
      </c>
      <c r="B1486" t="s">
        <v>6281</v>
      </c>
      <c r="C1486">
        <v>20</v>
      </c>
      <c r="D1486">
        <v>1</v>
      </c>
      <c r="E1486">
        <v>1</v>
      </c>
      <c r="F1486">
        <v>1062.5</v>
      </c>
      <c r="G1486">
        <v>1.7160000000000001E-3</v>
      </c>
      <c r="H1486" t="s">
        <v>2203</v>
      </c>
    </row>
    <row r="1487" spans="1:8">
      <c r="A1487" t="s">
        <v>6253</v>
      </c>
      <c r="B1487" t="s">
        <v>6252</v>
      </c>
      <c r="C1487">
        <v>20</v>
      </c>
      <c r="D1487">
        <v>1</v>
      </c>
      <c r="E1487">
        <v>1</v>
      </c>
      <c r="F1487">
        <v>1055</v>
      </c>
      <c r="G1487">
        <v>1.6900000000000001E-3</v>
      </c>
      <c r="H1487" t="s">
        <v>2203</v>
      </c>
    </row>
    <row r="1488" spans="1:8">
      <c r="A1488" t="s">
        <v>4564</v>
      </c>
      <c r="B1488" t="s">
        <v>6228</v>
      </c>
      <c r="C1488">
        <v>20</v>
      </c>
      <c r="D1488">
        <v>1</v>
      </c>
      <c r="E1488">
        <v>1</v>
      </c>
      <c r="F1488">
        <v>1062.5</v>
      </c>
      <c r="G1488">
        <v>1.7160000000000001E-3</v>
      </c>
      <c r="H1488" t="s">
        <v>2203</v>
      </c>
    </row>
    <row r="1489" spans="1:8">
      <c r="A1489" t="s">
        <v>6269</v>
      </c>
      <c r="B1489" t="s">
        <v>6268</v>
      </c>
      <c r="C1489">
        <v>20</v>
      </c>
      <c r="D1489">
        <v>1</v>
      </c>
      <c r="E1489">
        <v>1</v>
      </c>
      <c r="F1489">
        <v>1062.5</v>
      </c>
      <c r="G1489">
        <v>1.7160000000000001E-3</v>
      </c>
      <c r="H1489" t="s">
        <v>2203</v>
      </c>
    </row>
    <row r="1490" spans="1:8">
      <c r="A1490" t="s">
        <v>1009</v>
      </c>
      <c r="B1490" t="s">
        <v>3053</v>
      </c>
      <c r="C1490">
        <v>20</v>
      </c>
      <c r="D1490">
        <v>1</v>
      </c>
      <c r="E1490">
        <v>1</v>
      </c>
      <c r="F1490">
        <v>1062.5</v>
      </c>
      <c r="G1490">
        <v>1.7160000000000001E-3</v>
      </c>
      <c r="H1490" t="s">
        <v>2203</v>
      </c>
    </row>
    <row r="1491" spans="1:8">
      <c r="A1491" t="s">
        <v>6290</v>
      </c>
      <c r="B1491" t="s">
        <v>6289</v>
      </c>
      <c r="C1491">
        <v>15</v>
      </c>
      <c r="D1491">
        <v>1</v>
      </c>
      <c r="E1491">
        <v>1</v>
      </c>
      <c r="F1491">
        <v>1</v>
      </c>
      <c r="G1491">
        <v>0</v>
      </c>
      <c r="H1491" t="s">
        <v>2203</v>
      </c>
    </row>
    <row r="1492" spans="1:8">
      <c r="A1492" t="s">
        <v>9495</v>
      </c>
      <c r="B1492" t="s">
        <v>6255</v>
      </c>
      <c r="C1492">
        <v>20</v>
      </c>
      <c r="D1492">
        <v>1</v>
      </c>
      <c r="E1492">
        <v>1</v>
      </c>
      <c r="F1492">
        <v>1077.5</v>
      </c>
      <c r="G1492">
        <v>1.768E-3</v>
      </c>
      <c r="H1492" t="s">
        <v>2203</v>
      </c>
    </row>
    <row r="1493" spans="1:8">
      <c r="A1493" t="s">
        <v>1010</v>
      </c>
      <c r="B1493" t="s">
        <v>3055</v>
      </c>
      <c r="C1493">
        <v>10</v>
      </c>
      <c r="D1493">
        <v>1</v>
      </c>
      <c r="E1493">
        <v>1</v>
      </c>
      <c r="F1493">
        <v>1200</v>
      </c>
      <c r="G1493">
        <v>4.5760000000000001E-4</v>
      </c>
      <c r="H1493" t="s">
        <v>2203</v>
      </c>
    </row>
    <row r="1494" spans="1:8">
      <c r="A1494" t="s">
        <v>1026</v>
      </c>
      <c r="B1494" t="s">
        <v>3058</v>
      </c>
      <c r="C1494">
        <v>1</v>
      </c>
      <c r="D1494">
        <v>1</v>
      </c>
      <c r="E1494">
        <v>1</v>
      </c>
      <c r="F1494">
        <v>1</v>
      </c>
      <c r="G1494">
        <v>0</v>
      </c>
      <c r="H1494" t="s">
        <v>2221</v>
      </c>
    </row>
    <row r="1495" spans="1:8">
      <c r="A1495" t="s">
        <v>8430</v>
      </c>
      <c r="B1495" t="s">
        <v>8429</v>
      </c>
      <c r="C1495">
        <v>1</v>
      </c>
      <c r="D1495">
        <v>1</v>
      </c>
      <c r="E1495">
        <v>1</v>
      </c>
      <c r="F1495">
        <v>1</v>
      </c>
      <c r="G1495">
        <v>0</v>
      </c>
      <c r="H1495" t="s">
        <v>2221</v>
      </c>
    </row>
    <row r="1496" spans="1:8">
      <c r="A1496" t="s">
        <v>1027</v>
      </c>
      <c r="B1496" t="s">
        <v>3059</v>
      </c>
      <c r="C1496">
        <v>1</v>
      </c>
      <c r="D1496">
        <v>1</v>
      </c>
      <c r="E1496">
        <v>1</v>
      </c>
      <c r="F1496">
        <v>1</v>
      </c>
      <c r="G1496">
        <v>0</v>
      </c>
      <c r="H1496" t="s">
        <v>2221</v>
      </c>
    </row>
    <row r="1497" spans="1:8">
      <c r="A1497" t="s">
        <v>1028</v>
      </c>
      <c r="B1497" t="s">
        <v>3061</v>
      </c>
      <c r="C1497">
        <v>1</v>
      </c>
      <c r="D1497">
        <v>1</v>
      </c>
      <c r="E1497">
        <v>1</v>
      </c>
      <c r="F1497">
        <v>1</v>
      </c>
      <c r="G1497">
        <v>0</v>
      </c>
      <c r="H1497" t="s">
        <v>2221</v>
      </c>
    </row>
    <row r="1498" spans="1:8">
      <c r="A1498" t="s">
        <v>1029</v>
      </c>
      <c r="B1498" t="s">
        <v>3062</v>
      </c>
      <c r="C1498">
        <v>1</v>
      </c>
      <c r="D1498">
        <v>1</v>
      </c>
      <c r="E1498">
        <v>1</v>
      </c>
      <c r="F1498">
        <v>1</v>
      </c>
      <c r="G1498">
        <v>0</v>
      </c>
      <c r="H1498" t="s">
        <v>2221</v>
      </c>
    </row>
    <row r="1499" spans="1:8">
      <c r="A1499" t="s">
        <v>1030</v>
      </c>
      <c r="B1499" t="s">
        <v>3063</v>
      </c>
      <c r="C1499">
        <v>1</v>
      </c>
      <c r="D1499">
        <v>1</v>
      </c>
      <c r="E1499">
        <v>1</v>
      </c>
      <c r="F1499">
        <v>1</v>
      </c>
      <c r="G1499">
        <v>0</v>
      </c>
      <c r="H1499" t="s">
        <v>2221</v>
      </c>
    </row>
    <row r="1500" spans="1:8">
      <c r="A1500" t="s">
        <v>8440</v>
      </c>
      <c r="B1500" t="s">
        <v>8439</v>
      </c>
      <c r="C1500">
        <v>1</v>
      </c>
      <c r="D1500">
        <v>1</v>
      </c>
      <c r="E1500">
        <v>1</v>
      </c>
      <c r="F1500">
        <v>1</v>
      </c>
      <c r="G1500">
        <v>0</v>
      </c>
      <c r="H1500" t="s">
        <v>2221</v>
      </c>
    </row>
    <row r="1501" spans="1:8">
      <c r="A1501" t="s">
        <v>1031</v>
      </c>
      <c r="B1501" t="s">
        <v>3064</v>
      </c>
      <c r="C1501">
        <v>1</v>
      </c>
      <c r="D1501">
        <v>1</v>
      </c>
      <c r="E1501">
        <v>1</v>
      </c>
      <c r="F1501">
        <v>1</v>
      </c>
      <c r="G1501">
        <v>0</v>
      </c>
      <c r="H1501" t="s">
        <v>2221</v>
      </c>
    </row>
    <row r="1502" spans="1:8">
      <c r="A1502" t="s">
        <v>8432</v>
      </c>
      <c r="B1502" t="s">
        <v>8431</v>
      </c>
      <c r="C1502">
        <v>1</v>
      </c>
      <c r="D1502">
        <v>1</v>
      </c>
      <c r="E1502">
        <v>1</v>
      </c>
      <c r="F1502">
        <v>1</v>
      </c>
      <c r="G1502">
        <v>0</v>
      </c>
      <c r="H1502" t="s">
        <v>2221</v>
      </c>
    </row>
    <row r="1503" spans="1:8">
      <c r="A1503" t="s">
        <v>8434</v>
      </c>
      <c r="B1503" t="s">
        <v>8433</v>
      </c>
      <c r="C1503">
        <v>1</v>
      </c>
      <c r="D1503">
        <v>1</v>
      </c>
      <c r="E1503">
        <v>1</v>
      </c>
      <c r="F1503">
        <v>1</v>
      </c>
      <c r="G1503">
        <v>0</v>
      </c>
      <c r="H1503" t="s">
        <v>2221</v>
      </c>
    </row>
    <row r="1504" spans="1:8">
      <c r="A1504" t="s">
        <v>1032</v>
      </c>
      <c r="B1504" t="s">
        <v>3065</v>
      </c>
      <c r="C1504">
        <v>1</v>
      </c>
      <c r="D1504">
        <v>1</v>
      </c>
      <c r="E1504">
        <v>1</v>
      </c>
      <c r="F1504">
        <v>1</v>
      </c>
      <c r="G1504">
        <v>0</v>
      </c>
      <c r="H1504" t="s">
        <v>2221</v>
      </c>
    </row>
    <row r="1505" spans="1:8">
      <c r="A1505" t="s">
        <v>1033</v>
      </c>
      <c r="B1505" t="s">
        <v>3066</v>
      </c>
      <c r="C1505">
        <v>1</v>
      </c>
      <c r="D1505">
        <v>1</v>
      </c>
      <c r="E1505">
        <v>1</v>
      </c>
      <c r="F1505">
        <v>1</v>
      </c>
      <c r="G1505">
        <v>0</v>
      </c>
      <c r="H1505" t="s">
        <v>2221</v>
      </c>
    </row>
    <row r="1506" spans="1:8">
      <c r="A1506" t="s">
        <v>1034</v>
      </c>
      <c r="B1506" t="s">
        <v>3067</v>
      </c>
      <c r="C1506">
        <v>1</v>
      </c>
      <c r="D1506">
        <v>1</v>
      </c>
      <c r="E1506">
        <v>1</v>
      </c>
      <c r="F1506">
        <v>1</v>
      </c>
      <c r="G1506">
        <v>0</v>
      </c>
      <c r="H1506" t="s">
        <v>2221</v>
      </c>
    </row>
    <row r="1507" spans="1:8">
      <c r="A1507" t="s">
        <v>8438</v>
      </c>
      <c r="B1507" t="s">
        <v>8437</v>
      </c>
      <c r="C1507">
        <v>1</v>
      </c>
      <c r="D1507">
        <v>1</v>
      </c>
      <c r="E1507">
        <v>1</v>
      </c>
      <c r="F1507">
        <v>1</v>
      </c>
      <c r="G1507">
        <v>0</v>
      </c>
      <c r="H1507" t="s">
        <v>2221</v>
      </c>
    </row>
    <row r="1508" spans="1:8">
      <c r="A1508" t="s">
        <v>8436</v>
      </c>
      <c r="B1508" t="s">
        <v>8435</v>
      </c>
      <c r="C1508">
        <v>1</v>
      </c>
      <c r="D1508">
        <v>1</v>
      </c>
      <c r="E1508">
        <v>1</v>
      </c>
      <c r="F1508">
        <v>1</v>
      </c>
      <c r="G1508">
        <v>0</v>
      </c>
      <c r="H1508" t="s">
        <v>2221</v>
      </c>
    </row>
    <row r="1509" spans="1:8">
      <c r="A1509" t="s">
        <v>1035</v>
      </c>
      <c r="B1509" t="s">
        <v>3068</v>
      </c>
      <c r="C1509">
        <v>1</v>
      </c>
      <c r="D1509">
        <v>1</v>
      </c>
      <c r="E1509">
        <v>1</v>
      </c>
      <c r="F1509">
        <v>1</v>
      </c>
      <c r="G1509">
        <v>0</v>
      </c>
      <c r="H1509" t="s">
        <v>2221</v>
      </c>
    </row>
    <row r="1510" spans="1:8">
      <c r="A1510" t="s">
        <v>8442</v>
      </c>
      <c r="B1510" t="s">
        <v>8441</v>
      </c>
      <c r="C1510">
        <v>1</v>
      </c>
      <c r="D1510">
        <v>1</v>
      </c>
      <c r="E1510">
        <v>1</v>
      </c>
      <c r="F1510">
        <v>1</v>
      </c>
      <c r="G1510">
        <v>0</v>
      </c>
      <c r="H1510" t="s">
        <v>2221</v>
      </c>
    </row>
    <row r="1511" spans="1:8">
      <c r="A1511" t="s">
        <v>9496</v>
      </c>
      <c r="B1511" t="s">
        <v>6309</v>
      </c>
      <c r="C1511">
        <v>20</v>
      </c>
      <c r="D1511">
        <v>1</v>
      </c>
      <c r="E1511">
        <v>1</v>
      </c>
      <c r="F1511">
        <v>1215.5</v>
      </c>
      <c r="G1511">
        <v>2.4480000000000001E-3</v>
      </c>
      <c r="H1511" t="s">
        <v>2197</v>
      </c>
    </row>
    <row r="1512" spans="1:8">
      <c r="A1512" t="s">
        <v>9497</v>
      </c>
      <c r="B1512" t="s">
        <v>6308</v>
      </c>
      <c r="C1512">
        <v>20</v>
      </c>
      <c r="D1512">
        <v>1</v>
      </c>
      <c r="E1512">
        <v>1</v>
      </c>
      <c r="F1512">
        <v>972.5</v>
      </c>
      <c r="G1512">
        <v>2.1032999999999998E-3</v>
      </c>
      <c r="H1512" t="s">
        <v>2197</v>
      </c>
    </row>
    <row r="1513" spans="1:8">
      <c r="A1513" t="s">
        <v>9498</v>
      </c>
      <c r="B1513" t="s">
        <v>6310</v>
      </c>
      <c r="C1513">
        <v>20</v>
      </c>
      <c r="D1513">
        <v>1</v>
      </c>
      <c r="E1513">
        <v>1</v>
      </c>
      <c r="F1513">
        <v>972.5</v>
      </c>
      <c r="G1513">
        <v>2.1032999999999998E-3</v>
      </c>
      <c r="H1513" t="s">
        <v>2197</v>
      </c>
    </row>
    <row r="1514" spans="1:8">
      <c r="A1514" t="s">
        <v>1036</v>
      </c>
      <c r="B1514" t="s">
        <v>3069</v>
      </c>
      <c r="C1514">
        <v>30</v>
      </c>
      <c r="D1514">
        <v>1</v>
      </c>
      <c r="E1514">
        <v>1</v>
      </c>
      <c r="F1514">
        <v>646.70000000000005</v>
      </c>
      <c r="G1514">
        <v>1.3847E-3</v>
      </c>
      <c r="H1514" t="s">
        <v>2197</v>
      </c>
    </row>
    <row r="1515" spans="1:8">
      <c r="A1515" t="s">
        <v>9499</v>
      </c>
      <c r="B1515" t="s">
        <v>6307</v>
      </c>
      <c r="C1515">
        <v>50</v>
      </c>
      <c r="D1515">
        <v>1</v>
      </c>
      <c r="E1515">
        <v>1</v>
      </c>
      <c r="F1515">
        <v>331</v>
      </c>
      <c r="G1515">
        <v>6.8639999999999999E-4</v>
      </c>
      <c r="H1515" t="s">
        <v>2197</v>
      </c>
    </row>
    <row r="1516" spans="1:8">
      <c r="A1516" t="s">
        <v>1037</v>
      </c>
      <c r="B1516" t="s">
        <v>3071</v>
      </c>
      <c r="C1516">
        <v>50</v>
      </c>
      <c r="D1516">
        <v>1</v>
      </c>
      <c r="E1516">
        <v>1</v>
      </c>
      <c r="F1516">
        <v>326</v>
      </c>
      <c r="G1516">
        <v>6.9700000000000003E-4</v>
      </c>
      <c r="H1516" t="s">
        <v>2197</v>
      </c>
    </row>
    <row r="1517" spans="1:8">
      <c r="A1517" t="s">
        <v>4582</v>
      </c>
      <c r="B1517" t="s">
        <v>6311</v>
      </c>
      <c r="C1517">
        <v>12</v>
      </c>
      <c r="D1517">
        <v>1</v>
      </c>
      <c r="E1517">
        <v>1</v>
      </c>
      <c r="F1517">
        <v>762.5</v>
      </c>
      <c r="G1517">
        <v>2.0019999999999999E-3</v>
      </c>
      <c r="H1517" t="s">
        <v>2197</v>
      </c>
    </row>
    <row r="1518" spans="1:8">
      <c r="A1518" t="s">
        <v>6317</v>
      </c>
      <c r="B1518" t="s">
        <v>6316</v>
      </c>
      <c r="C1518">
        <v>15</v>
      </c>
      <c r="D1518">
        <v>1</v>
      </c>
      <c r="E1518">
        <v>1</v>
      </c>
      <c r="F1518">
        <v>436</v>
      </c>
      <c r="G1518">
        <v>1.2820500000000001E-3</v>
      </c>
      <c r="H1518" t="s">
        <v>2197</v>
      </c>
    </row>
    <row r="1519" spans="1:8">
      <c r="A1519" t="s">
        <v>6315</v>
      </c>
      <c r="B1519" t="s">
        <v>6314</v>
      </c>
      <c r="C1519">
        <v>16</v>
      </c>
      <c r="D1519">
        <v>1</v>
      </c>
      <c r="E1519">
        <v>1</v>
      </c>
      <c r="F1519">
        <v>742.5</v>
      </c>
      <c r="G1519">
        <v>1.9593750000000002E-3</v>
      </c>
      <c r="H1519" t="s">
        <v>2197</v>
      </c>
    </row>
    <row r="1520" spans="1:8">
      <c r="A1520" t="s">
        <v>4584</v>
      </c>
      <c r="B1520" t="s">
        <v>6312</v>
      </c>
      <c r="C1520">
        <v>20</v>
      </c>
      <c r="D1520">
        <v>1</v>
      </c>
      <c r="E1520">
        <v>1</v>
      </c>
      <c r="F1520">
        <v>0</v>
      </c>
      <c r="G1520">
        <v>0</v>
      </c>
      <c r="H1520" t="s">
        <v>2197</v>
      </c>
    </row>
    <row r="1521" spans="1:8">
      <c r="A1521" t="s">
        <v>4583</v>
      </c>
      <c r="B1521" t="s">
        <v>6313</v>
      </c>
      <c r="C1521">
        <v>8</v>
      </c>
      <c r="D1521">
        <v>1</v>
      </c>
      <c r="E1521">
        <v>1</v>
      </c>
      <c r="F1521">
        <v>1476.25</v>
      </c>
      <c r="G1521">
        <v>3.2812499999999999E-3</v>
      </c>
      <c r="H1521" t="s">
        <v>2197</v>
      </c>
    </row>
    <row r="1522" spans="1:8">
      <c r="A1522" t="s">
        <v>9500</v>
      </c>
      <c r="B1522" t="s">
        <v>6318</v>
      </c>
      <c r="C1522">
        <v>4</v>
      </c>
      <c r="D1522">
        <v>1</v>
      </c>
      <c r="E1522">
        <v>1</v>
      </c>
      <c r="F1522">
        <v>5100</v>
      </c>
      <c r="G1522">
        <v>1.189E-2</v>
      </c>
      <c r="H1522" t="s">
        <v>2203</v>
      </c>
    </row>
    <row r="1523" spans="1:8">
      <c r="A1523" t="s">
        <v>9501</v>
      </c>
      <c r="B1523" t="s">
        <v>6319</v>
      </c>
      <c r="C1523">
        <v>40</v>
      </c>
      <c r="D1523">
        <v>1</v>
      </c>
      <c r="E1523">
        <v>1</v>
      </c>
      <c r="F1523">
        <v>0</v>
      </c>
      <c r="G1523">
        <v>0</v>
      </c>
      <c r="H1523" t="s">
        <v>2197</v>
      </c>
    </row>
    <row r="1524" spans="1:8">
      <c r="A1524" t="s">
        <v>1038</v>
      </c>
      <c r="B1524" t="s">
        <v>3072</v>
      </c>
      <c r="C1524">
        <v>1</v>
      </c>
      <c r="D1524">
        <v>1</v>
      </c>
      <c r="E1524">
        <v>1</v>
      </c>
      <c r="F1524">
        <v>0</v>
      </c>
      <c r="G1524">
        <v>0</v>
      </c>
      <c r="H1524" t="s">
        <v>2221</v>
      </c>
    </row>
    <row r="1525" spans="1:8">
      <c r="A1525" t="s">
        <v>4974</v>
      </c>
      <c r="B1525" t="s">
        <v>6320</v>
      </c>
      <c r="C1525">
        <v>50</v>
      </c>
      <c r="D1525">
        <v>1</v>
      </c>
      <c r="E1525">
        <v>1</v>
      </c>
      <c r="F1525">
        <v>1</v>
      </c>
      <c r="G1525">
        <v>0</v>
      </c>
      <c r="H1525" t="s">
        <v>2203</v>
      </c>
    </row>
    <row r="1526" spans="1:8">
      <c r="A1526" t="s">
        <v>4585</v>
      </c>
      <c r="B1526" t="s">
        <v>6322</v>
      </c>
      <c r="C1526">
        <v>1</v>
      </c>
      <c r="D1526">
        <v>1</v>
      </c>
      <c r="E1526">
        <v>1</v>
      </c>
      <c r="F1526">
        <v>25540</v>
      </c>
      <c r="G1526">
        <v>1.8559124999999999E-2</v>
      </c>
      <c r="H1526" t="s">
        <v>2303</v>
      </c>
    </row>
    <row r="1527" spans="1:8">
      <c r="A1527" t="s">
        <v>4586</v>
      </c>
      <c r="B1527" t="s">
        <v>6321</v>
      </c>
      <c r="C1527">
        <v>20</v>
      </c>
      <c r="D1527">
        <v>1</v>
      </c>
      <c r="E1527">
        <v>1</v>
      </c>
      <c r="F1527">
        <v>1362</v>
      </c>
      <c r="G1527">
        <v>2.7906562500000002E-3</v>
      </c>
      <c r="H1527" t="s">
        <v>2197</v>
      </c>
    </row>
    <row r="1528" spans="1:8">
      <c r="A1528" t="s">
        <v>6326</v>
      </c>
      <c r="B1528" t="s">
        <v>6325</v>
      </c>
      <c r="C1528">
        <v>4</v>
      </c>
      <c r="D1528">
        <v>1</v>
      </c>
      <c r="E1528">
        <v>1</v>
      </c>
      <c r="F1528">
        <v>0</v>
      </c>
      <c r="G1528">
        <v>0</v>
      </c>
      <c r="H1528" t="s">
        <v>2307</v>
      </c>
    </row>
    <row r="1529" spans="1:8">
      <c r="A1529" t="s">
        <v>6324</v>
      </c>
      <c r="B1529" t="s">
        <v>6323</v>
      </c>
      <c r="C1529">
        <v>1</v>
      </c>
      <c r="D1529">
        <v>1</v>
      </c>
      <c r="E1529">
        <v>1</v>
      </c>
      <c r="F1529">
        <v>205000</v>
      </c>
      <c r="G1529">
        <v>0.31285200000000002</v>
      </c>
      <c r="H1529" t="s">
        <v>4806</v>
      </c>
    </row>
    <row r="1530" spans="1:8">
      <c r="A1530" t="s">
        <v>6330</v>
      </c>
      <c r="B1530" t="s">
        <v>6329</v>
      </c>
      <c r="C1530">
        <v>1</v>
      </c>
      <c r="D1530">
        <v>1</v>
      </c>
      <c r="E1530">
        <v>1</v>
      </c>
      <c r="F1530">
        <v>0</v>
      </c>
      <c r="G1530">
        <v>0</v>
      </c>
      <c r="H1530" t="s">
        <v>2303</v>
      </c>
    </row>
    <row r="1531" spans="1:8">
      <c r="A1531" t="s">
        <v>6328</v>
      </c>
      <c r="B1531" t="s">
        <v>6327</v>
      </c>
      <c r="C1531">
        <v>20</v>
      </c>
      <c r="D1531">
        <v>1</v>
      </c>
      <c r="E1531">
        <v>1</v>
      </c>
      <c r="F1531">
        <v>0</v>
      </c>
      <c r="G1531">
        <v>0</v>
      </c>
      <c r="H1531" t="s">
        <v>2197</v>
      </c>
    </row>
    <row r="1532" spans="1:8">
      <c r="A1532" t="s">
        <v>6332</v>
      </c>
      <c r="B1532" t="s">
        <v>6331</v>
      </c>
      <c r="C1532">
        <v>4</v>
      </c>
      <c r="D1532">
        <v>1</v>
      </c>
      <c r="E1532">
        <v>1</v>
      </c>
      <c r="F1532">
        <v>5000</v>
      </c>
      <c r="G1532">
        <v>0</v>
      </c>
      <c r="H1532" t="s">
        <v>2307</v>
      </c>
    </row>
    <row r="1533" spans="1:8">
      <c r="A1533" t="s">
        <v>9502</v>
      </c>
      <c r="B1533" t="s">
        <v>6356</v>
      </c>
      <c r="C1533">
        <v>25</v>
      </c>
      <c r="D1533">
        <v>1</v>
      </c>
      <c r="E1533">
        <v>1</v>
      </c>
      <c r="F1533">
        <v>1</v>
      </c>
      <c r="G1533">
        <v>0</v>
      </c>
      <c r="H1533" t="s">
        <v>2203</v>
      </c>
    </row>
    <row r="1534" spans="1:8">
      <c r="A1534" t="s">
        <v>6355</v>
      </c>
      <c r="B1534" t="s">
        <v>6354</v>
      </c>
      <c r="C1534">
        <v>1</v>
      </c>
      <c r="D1534">
        <v>1</v>
      </c>
      <c r="E1534">
        <v>1</v>
      </c>
      <c r="F1534">
        <v>1</v>
      </c>
      <c r="G1534">
        <v>0</v>
      </c>
      <c r="H1534" t="s">
        <v>2203</v>
      </c>
    </row>
    <row r="1535" spans="1:8">
      <c r="A1535" t="s">
        <v>4587</v>
      </c>
      <c r="B1535" t="s">
        <v>6333</v>
      </c>
      <c r="C1535">
        <v>30</v>
      </c>
      <c r="D1535">
        <v>1</v>
      </c>
      <c r="E1535">
        <v>1</v>
      </c>
      <c r="F1535">
        <v>541.66666666666697</v>
      </c>
      <c r="G1535">
        <v>9.9704999999999998E-4</v>
      </c>
      <c r="H1535" t="s">
        <v>2203</v>
      </c>
    </row>
    <row r="1536" spans="1:8">
      <c r="A1536" t="s">
        <v>4588</v>
      </c>
      <c r="B1536" t="s">
        <v>6334</v>
      </c>
      <c r="C1536">
        <v>90</v>
      </c>
      <c r="D1536">
        <v>1</v>
      </c>
      <c r="E1536">
        <v>1</v>
      </c>
      <c r="F1536">
        <v>115.2</v>
      </c>
      <c r="G1536">
        <v>3.324E-4</v>
      </c>
      <c r="H1536" t="s">
        <v>2203</v>
      </c>
    </row>
    <row r="1537" spans="1:8">
      <c r="A1537" t="s">
        <v>4591</v>
      </c>
      <c r="B1537" t="s">
        <v>6347</v>
      </c>
      <c r="C1537">
        <v>20</v>
      </c>
      <c r="D1537">
        <v>1</v>
      </c>
      <c r="E1537">
        <v>1</v>
      </c>
      <c r="F1537">
        <v>657.5</v>
      </c>
      <c r="G1537">
        <v>1.3923E-3</v>
      </c>
      <c r="H1537" t="s">
        <v>4617</v>
      </c>
    </row>
    <row r="1538" spans="1:8">
      <c r="A1538" t="s">
        <v>6337</v>
      </c>
      <c r="B1538" t="s">
        <v>6336</v>
      </c>
      <c r="C1538">
        <v>30</v>
      </c>
      <c r="D1538">
        <v>1</v>
      </c>
      <c r="E1538">
        <v>1</v>
      </c>
      <c r="F1538">
        <v>541.66666666666697</v>
      </c>
      <c r="G1538">
        <v>9.9704999999999998E-4</v>
      </c>
      <c r="H1538" t="s">
        <v>2203</v>
      </c>
    </row>
    <row r="1539" spans="1:8">
      <c r="A1539" t="s">
        <v>6353</v>
      </c>
      <c r="B1539" t="s">
        <v>6352</v>
      </c>
      <c r="C1539">
        <v>20</v>
      </c>
      <c r="D1539">
        <v>6</v>
      </c>
      <c r="E1539">
        <v>1</v>
      </c>
      <c r="F1539">
        <v>1</v>
      </c>
      <c r="G1539">
        <v>0</v>
      </c>
      <c r="H1539" t="s">
        <v>2203</v>
      </c>
    </row>
    <row r="1540" spans="1:8">
      <c r="A1540" t="s">
        <v>6351</v>
      </c>
      <c r="B1540" t="s">
        <v>6350</v>
      </c>
      <c r="C1540">
        <v>40</v>
      </c>
      <c r="D1540">
        <v>1</v>
      </c>
      <c r="E1540">
        <v>1</v>
      </c>
      <c r="F1540">
        <v>525</v>
      </c>
      <c r="G1540">
        <v>8.0999999999999996E-4</v>
      </c>
      <c r="H1540" t="s">
        <v>2203</v>
      </c>
    </row>
    <row r="1541" spans="1:8">
      <c r="A1541" t="s">
        <v>6340</v>
      </c>
      <c r="B1541" t="s">
        <v>6339</v>
      </c>
      <c r="C1541">
        <v>30</v>
      </c>
      <c r="D1541">
        <v>1</v>
      </c>
      <c r="E1541">
        <v>1</v>
      </c>
      <c r="F1541">
        <v>0</v>
      </c>
      <c r="G1541">
        <v>0</v>
      </c>
      <c r="H1541" t="s">
        <v>2203</v>
      </c>
    </row>
    <row r="1542" spans="1:8">
      <c r="A1542" t="s">
        <v>6340</v>
      </c>
      <c r="B1542" t="s">
        <v>6359</v>
      </c>
      <c r="C1542">
        <v>30</v>
      </c>
      <c r="D1542">
        <v>1</v>
      </c>
      <c r="E1542">
        <v>1</v>
      </c>
      <c r="F1542">
        <v>541.29999999999995</v>
      </c>
      <c r="G1542">
        <v>9.970999999999999E-4</v>
      </c>
      <c r="H1542" t="s">
        <v>2203</v>
      </c>
    </row>
    <row r="1543" spans="1:8">
      <c r="A1543" t="s">
        <v>6349</v>
      </c>
      <c r="B1543" t="s">
        <v>6348</v>
      </c>
      <c r="C1543">
        <v>20</v>
      </c>
      <c r="D1543">
        <v>6</v>
      </c>
      <c r="E1543">
        <v>1</v>
      </c>
      <c r="F1543">
        <v>68.8</v>
      </c>
      <c r="G1543">
        <v>2.5900000000000001E-4</v>
      </c>
      <c r="H1543" t="s">
        <v>2203</v>
      </c>
    </row>
    <row r="1544" spans="1:8">
      <c r="A1544" t="s">
        <v>6342</v>
      </c>
      <c r="B1544" t="s">
        <v>6341</v>
      </c>
      <c r="C1544">
        <v>40</v>
      </c>
      <c r="D1544">
        <v>1</v>
      </c>
      <c r="E1544">
        <v>1</v>
      </c>
      <c r="F1544">
        <v>547</v>
      </c>
      <c r="G1544">
        <v>8.9999999999999998E-4</v>
      </c>
      <c r="H1544" t="s">
        <v>2203</v>
      </c>
    </row>
    <row r="1545" spans="1:8">
      <c r="A1545" t="s">
        <v>6358</v>
      </c>
      <c r="B1545" t="s">
        <v>6357</v>
      </c>
      <c r="C1545">
        <v>40</v>
      </c>
      <c r="D1545">
        <v>1</v>
      </c>
      <c r="E1545">
        <v>1</v>
      </c>
      <c r="F1545">
        <v>1</v>
      </c>
      <c r="G1545">
        <v>0</v>
      </c>
      <c r="H1545" t="s">
        <v>2203</v>
      </c>
    </row>
    <row r="1546" spans="1:8">
      <c r="A1546" t="s">
        <v>6346</v>
      </c>
      <c r="B1546" t="s">
        <v>6345</v>
      </c>
      <c r="C1546">
        <v>20</v>
      </c>
      <c r="D1546">
        <v>6</v>
      </c>
      <c r="E1546">
        <v>1</v>
      </c>
      <c r="F1546">
        <v>69.165999999999997</v>
      </c>
      <c r="G1546">
        <v>2.4360000000000001E-4</v>
      </c>
      <c r="H1546" t="s">
        <v>2203</v>
      </c>
    </row>
    <row r="1547" spans="1:8">
      <c r="A1547" t="s">
        <v>6344</v>
      </c>
      <c r="B1547" t="s">
        <v>6343</v>
      </c>
      <c r="C1547">
        <v>40</v>
      </c>
      <c r="D1547">
        <v>1</v>
      </c>
      <c r="E1547">
        <v>1</v>
      </c>
      <c r="F1547">
        <v>546.25</v>
      </c>
      <c r="G1547">
        <v>8.9999999999999998E-4</v>
      </c>
      <c r="H1547" t="s">
        <v>2203</v>
      </c>
    </row>
    <row r="1548" spans="1:8">
      <c r="A1548" t="s">
        <v>4589</v>
      </c>
      <c r="B1548" t="s">
        <v>6338</v>
      </c>
      <c r="C1548">
        <v>30</v>
      </c>
      <c r="D1548">
        <v>1</v>
      </c>
      <c r="E1548">
        <v>1</v>
      </c>
      <c r="F1548">
        <v>0</v>
      </c>
      <c r="G1548">
        <v>0</v>
      </c>
      <c r="H1548" t="s">
        <v>2203</v>
      </c>
    </row>
    <row r="1549" spans="1:8">
      <c r="A1549" t="s">
        <v>4590</v>
      </c>
      <c r="B1549" t="s">
        <v>6335</v>
      </c>
      <c r="C1549">
        <v>90</v>
      </c>
      <c r="D1549">
        <v>1</v>
      </c>
      <c r="E1549">
        <v>1</v>
      </c>
      <c r="F1549">
        <v>0</v>
      </c>
      <c r="G1549">
        <v>0</v>
      </c>
      <c r="H1549" t="s">
        <v>2203</v>
      </c>
    </row>
    <row r="1550" spans="1:8">
      <c r="A1550" t="s">
        <v>8444</v>
      </c>
      <c r="B1550" t="s">
        <v>8443</v>
      </c>
      <c r="C1550">
        <v>1</v>
      </c>
      <c r="D1550">
        <v>1</v>
      </c>
      <c r="E1550">
        <v>1</v>
      </c>
      <c r="F1550">
        <v>1</v>
      </c>
      <c r="G1550">
        <v>0</v>
      </c>
      <c r="H1550" t="s">
        <v>2221</v>
      </c>
    </row>
    <row r="1551" spans="1:8">
      <c r="A1551" t="s">
        <v>8446</v>
      </c>
      <c r="B1551" t="s">
        <v>8445</v>
      </c>
      <c r="C1551">
        <v>1</v>
      </c>
      <c r="D1551">
        <v>1</v>
      </c>
      <c r="E1551">
        <v>1</v>
      </c>
      <c r="F1551">
        <v>1</v>
      </c>
      <c r="G1551">
        <v>0</v>
      </c>
      <c r="H1551" t="s">
        <v>2221</v>
      </c>
    </row>
    <row r="1552" spans="1:8">
      <c r="A1552" t="s">
        <v>8448</v>
      </c>
      <c r="B1552" t="s">
        <v>8447</v>
      </c>
      <c r="C1552">
        <v>1</v>
      </c>
      <c r="D1552">
        <v>1</v>
      </c>
      <c r="E1552">
        <v>1</v>
      </c>
      <c r="F1552">
        <v>1</v>
      </c>
      <c r="G1552">
        <v>0</v>
      </c>
      <c r="H1552" t="s">
        <v>2221</v>
      </c>
    </row>
    <row r="1553" spans="1:8">
      <c r="A1553" t="s">
        <v>8448</v>
      </c>
      <c r="B1553" t="s">
        <v>8489</v>
      </c>
      <c r="C1553">
        <v>1</v>
      </c>
      <c r="D1553">
        <v>1</v>
      </c>
      <c r="E1553">
        <v>1</v>
      </c>
      <c r="F1553">
        <v>1</v>
      </c>
      <c r="G1553">
        <v>0</v>
      </c>
      <c r="H1553" t="s">
        <v>2221</v>
      </c>
    </row>
    <row r="1554" spans="1:8">
      <c r="A1554" t="s">
        <v>8478</v>
      </c>
      <c r="B1554" t="s">
        <v>8477</v>
      </c>
      <c r="C1554">
        <v>1</v>
      </c>
      <c r="D1554">
        <v>1</v>
      </c>
      <c r="E1554">
        <v>1</v>
      </c>
      <c r="F1554">
        <v>1</v>
      </c>
      <c r="G1554">
        <v>0</v>
      </c>
      <c r="H1554" t="s">
        <v>2221</v>
      </c>
    </row>
    <row r="1555" spans="1:8">
      <c r="A1555" t="s">
        <v>8468</v>
      </c>
      <c r="B1555" t="s">
        <v>8467</v>
      </c>
      <c r="C1555">
        <v>1</v>
      </c>
      <c r="D1555">
        <v>1</v>
      </c>
      <c r="E1555">
        <v>1</v>
      </c>
      <c r="F1555">
        <v>1</v>
      </c>
      <c r="G1555">
        <v>0</v>
      </c>
      <c r="H1555" t="s">
        <v>2221</v>
      </c>
    </row>
    <row r="1556" spans="1:8">
      <c r="A1556" t="s">
        <v>6361</v>
      </c>
      <c r="B1556" t="s">
        <v>6360</v>
      </c>
      <c r="C1556">
        <v>1</v>
      </c>
      <c r="D1556">
        <v>1</v>
      </c>
      <c r="E1556">
        <v>1</v>
      </c>
      <c r="F1556">
        <v>1</v>
      </c>
      <c r="G1556">
        <v>0</v>
      </c>
      <c r="H1556" t="s">
        <v>2221</v>
      </c>
    </row>
    <row r="1557" spans="1:8">
      <c r="A1557" t="s">
        <v>8458</v>
      </c>
      <c r="B1557" t="s">
        <v>8457</v>
      </c>
      <c r="C1557">
        <v>1</v>
      </c>
      <c r="D1557">
        <v>1</v>
      </c>
      <c r="E1557">
        <v>1</v>
      </c>
      <c r="F1557">
        <v>1</v>
      </c>
      <c r="G1557">
        <v>0</v>
      </c>
      <c r="H1557" t="s">
        <v>2221</v>
      </c>
    </row>
    <row r="1558" spans="1:8">
      <c r="A1558" t="s">
        <v>8484</v>
      </c>
      <c r="B1558" t="s">
        <v>8483</v>
      </c>
      <c r="C1558">
        <v>1</v>
      </c>
      <c r="D1558">
        <v>1</v>
      </c>
      <c r="E1558">
        <v>1</v>
      </c>
      <c r="F1558">
        <v>1</v>
      </c>
      <c r="G1558">
        <v>0</v>
      </c>
      <c r="H1558" t="s">
        <v>2221</v>
      </c>
    </row>
    <row r="1559" spans="1:8">
      <c r="A1559" t="s">
        <v>8460</v>
      </c>
      <c r="B1559" t="s">
        <v>8459</v>
      </c>
      <c r="C1559">
        <v>1</v>
      </c>
      <c r="D1559">
        <v>1</v>
      </c>
      <c r="E1559">
        <v>1</v>
      </c>
      <c r="F1559">
        <v>1</v>
      </c>
      <c r="G1559">
        <v>0</v>
      </c>
      <c r="H1559" t="s">
        <v>2221</v>
      </c>
    </row>
    <row r="1560" spans="1:8">
      <c r="A1560" t="s">
        <v>8460</v>
      </c>
      <c r="B1560" t="s">
        <v>8464</v>
      </c>
      <c r="C1560">
        <v>1</v>
      </c>
      <c r="D1560">
        <v>1</v>
      </c>
      <c r="E1560">
        <v>1</v>
      </c>
      <c r="F1560">
        <v>1</v>
      </c>
      <c r="G1560">
        <v>0</v>
      </c>
      <c r="H1560" t="s">
        <v>2221</v>
      </c>
    </row>
    <row r="1561" spans="1:8">
      <c r="A1561" t="s">
        <v>8460</v>
      </c>
      <c r="B1561" t="s">
        <v>8490</v>
      </c>
      <c r="C1561">
        <v>1</v>
      </c>
      <c r="D1561">
        <v>1</v>
      </c>
      <c r="E1561">
        <v>1</v>
      </c>
      <c r="F1561">
        <v>1</v>
      </c>
      <c r="G1561">
        <v>0</v>
      </c>
      <c r="H1561" t="s">
        <v>2221</v>
      </c>
    </row>
    <row r="1562" spans="1:8">
      <c r="A1562" t="s">
        <v>8472</v>
      </c>
      <c r="B1562" t="s">
        <v>8471</v>
      </c>
      <c r="C1562">
        <v>1</v>
      </c>
      <c r="D1562">
        <v>1</v>
      </c>
      <c r="E1562">
        <v>1</v>
      </c>
      <c r="F1562">
        <v>1</v>
      </c>
      <c r="G1562">
        <v>0</v>
      </c>
      <c r="H1562" t="s">
        <v>3603</v>
      </c>
    </row>
    <row r="1563" spans="1:8">
      <c r="A1563" t="s">
        <v>8472</v>
      </c>
      <c r="B1563" t="s">
        <v>8488</v>
      </c>
      <c r="C1563">
        <v>1</v>
      </c>
      <c r="D1563">
        <v>1</v>
      </c>
      <c r="E1563">
        <v>1</v>
      </c>
      <c r="F1563">
        <v>1</v>
      </c>
      <c r="G1563">
        <v>0</v>
      </c>
      <c r="H1563" t="s">
        <v>2221</v>
      </c>
    </row>
    <row r="1564" spans="1:8">
      <c r="A1564" t="s">
        <v>8470</v>
      </c>
      <c r="B1564" t="s">
        <v>8469</v>
      </c>
      <c r="C1564">
        <v>1</v>
      </c>
      <c r="D1564">
        <v>1</v>
      </c>
      <c r="E1564">
        <v>1</v>
      </c>
      <c r="F1564">
        <v>1</v>
      </c>
      <c r="G1564">
        <v>0</v>
      </c>
      <c r="H1564" t="s">
        <v>2221</v>
      </c>
    </row>
    <row r="1565" spans="1:8">
      <c r="A1565" t="s">
        <v>8452</v>
      </c>
      <c r="B1565" t="s">
        <v>8451</v>
      </c>
      <c r="C1565">
        <v>1</v>
      </c>
      <c r="D1565">
        <v>1</v>
      </c>
      <c r="E1565">
        <v>1</v>
      </c>
      <c r="F1565">
        <v>1</v>
      </c>
      <c r="G1565">
        <v>0</v>
      </c>
      <c r="H1565" t="s">
        <v>2221</v>
      </c>
    </row>
    <row r="1566" spans="1:8">
      <c r="A1566" t="s">
        <v>8452</v>
      </c>
      <c r="B1566" t="s">
        <v>8463</v>
      </c>
      <c r="C1566">
        <v>1</v>
      </c>
      <c r="D1566">
        <v>1</v>
      </c>
      <c r="E1566">
        <v>1</v>
      </c>
      <c r="F1566">
        <v>1</v>
      </c>
      <c r="G1566">
        <v>0</v>
      </c>
      <c r="H1566" t="s">
        <v>2221</v>
      </c>
    </row>
    <row r="1567" spans="1:8">
      <c r="A1567" t="s">
        <v>8480</v>
      </c>
      <c r="B1567" t="s">
        <v>8479</v>
      </c>
      <c r="C1567">
        <v>1</v>
      </c>
      <c r="D1567">
        <v>1</v>
      </c>
      <c r="E1567">
        <v>1</v>
      </c>
      <c r="F1567">
        <v>1</v>
      </c>
      <c r="G1567">
        <v>0</v>
      </c>
      <c r="H1567" t="s">
        <v>2221</v>
      </c>
    </row>
    <row r="1568" spans="1:8">
      <c r="A1568" t="s">
        <v>6363</v>
      </c>
      <c r="B1568" t="s">
        <v>6362</v>
      </c>
      <c r="C1568">
        <v>1</v>
      </c>
      <c r="D1568">
        <v>1</v>
      </c>
      <c r="E1568">
        <v>1</v>
      </c>
      <c r="F1568">
        <v>1</v>
      </c>
      <c r="G1568">
        <v>0</v>
      </c>
      <c r="H1568" t="s">
        <v>2221</v>
      </c>
    </row>
    <row r="1569" spans="1:8">
      <c r="A1569" t="s">
        <v>8482</v>
      </c>
      <c r="B1569" t="s">
        <v>8481</v>
      </c>
      <c r="C1569">
        <v>1</v>
      </c>
      <c r="D1569">
        <v>1</v>
      </c>
      <c r="E1569">
        <v>1</v>
      </c>
      <c r="F1569">
        <v>1</v>
      </c>
      <c r="G1569">
        <v>0</v>
      </c>
      <c r="H1569" t="s">
        <v>2221</v>
      </c>
    </row>
    <row r="1570" spans="1:8">
      <c r="A1570" t="s">
        <v>8462</v>
      </c>
      <c r="B1570" t="s">
        <v>8461</v>
      </c>
      <c r="C1570">
        <v>1</v>
      </c>
      <c r="D1570">
        <v>1</v>
      </c>
      <c r="E1570">
        <v>1</v>
      </c>
      <c r="F1570">
        <v>1</v>
      </c>
      <c r="G1570">
        <v>0</v>
      </c>
      <c r="H1570" t="s">
        <v>2221</v>
      </c>
    </row>
    <row r="1571" spans="1:8">
      <c r="A1571" t="s">
        <v>8466</v>
      </c>
      <c r="B1571" t="s">
        <v>8465</v>
      </c>
      <c r="C1571">
        <v>1</v>
      </c>
      <c r="D1571">
        <v>1</v>
      </c>
      <c r="E1571">
        <v>1</v>
      </c>
      <c r="F1571">
        <v>1</v>
      </c>
      <c r="G1571">
        <v>0</v>
      </c>
      <c r="H1571" t="s">
        <v>2221</v>
      </c>
    </row>
    <row r="1572" spans="1:8">
      <c r="A1572" t="s">
        <v>8476</v>
      </c>
      <c r="B1572" t="s">
        <v>8475</v>
      </c>
      <c r="C1572">
        <v>1</v>
      </c>
      <c r="D1572">
        <v>1</v>
      </c>
      <c r="E1572">
        <v>1</v>
      </c>
      <c r="F1572">
        <v>1</v>
      </c>
      <c r="G1572">
        <v>0</v>
      </c>
      <c r="H1572" t="s">
        <v>2221</v>
      </c>
    </row>
    <row r="1573" spans="1:8">
      <c r="A1573" t="s">
        <v>8450</v>
      </c>
      <c r="B1573" t="s">
        <v>8449</v>
      </c>
      <c r="C1573">
        <v>1</v>
      </c>
      <c r="D1573">
        <v>1</v>
      </c>
      <c r="E1573">
        <v>1</v>
      </c>
      <c r="F1573">
        <v>1</v>
      </c>
      <c r="G1573">
        <v>0</v>
      </c>
      <c r="H1573" t="s">
        <v>2221</v>
      </c>
    </row>
    <row r="1574" spans="1:8">
      <c r="A1574" t="s">
        <v>8456</v>
      </c>
      <c r="B1574" t="s">
        <v>8455</v>
      </c>
      <c r="C1574">
        <v>1</v>
      </c>
      <c r="D1574">
        <v>1</v>
      </c>
      <c r="E1574">
        <v>1</v>
      </c>
      <c r="F1574">
        <v>1</v>
      </c>
      <c r="G1574">
        <v>0</v>
      </c>
      <c r="H1574" t="s">
        <v>2221</v>
      </c>
    </row>
    <row r="1575" spans="1:8">
      <c r="A1575" t="s">
        <v>8486</v>
      </c>
      <c r="B1575" t="s">
        <v>8485</v>
      </c>
      <c r="C1575">
        <v>1</v>
      </c>
      <c r="D1575">
        <v>1</v>
      </c>
      <c r="E1575">
        <v>1</v>
      </c>
      <c r="F1575">
        <v>1</v>
      </c>
      <c r="G1575">
        <v>0</v>
      </c>
      <c r="H1575" t="s">
        <v>2221</v>
      </c>
    </row>
    <row r="1576" spans="1:8">
      <c r="A1576" t="s">
        <v>8474</v>
      </c>
      <c r="B1576" t="s">
        <v>8473</v>
      </c>
      <c r="C1576">
        <v>1</v>
      </c>
      <c r="D1576">
        <v>1</v>
      </c>
      <c r="E1576">
        <v>1</v>
      </c>
      <c r="F1576">
        <v>1</v>
      </c>
      <c r="G1576">
        <v>0</v>
      </c>
      <c r="H1576" t="s">
        <v>2221</v>
      </c>
    </row>
    <row r="1577" spans="1:8">
      <c r="A1577" t="s">
        <v>8474</v>
      </c>
      <c r="B1577" t="s">
        <v>8487</v>
      </c>
      <c r="C1577">
        <v>1</v>
      </c>
      <c r="D1577">
        <v>1</v>
      </c>
      <c r="E1577">
        <v>1</v>
      </c>
      <c r="F1577">
        <v>1</v>
      </c>
      <c r="G1577">
        <v>0</v>
      </c>
      <c r="H1577" t="s">
        <v>2221</v>
      </c>
    </row>
    <row r="1578" spans="1:8">
      <c r="A1578" t="s">
        <v>8454</v>
      </c>
      <c r="B1578" t="s">
        <v>8453</v>
      </c>
      <c r="C1578">
        <v>1</v>
      </c>
      <c r="D1578">
        <v>1</v>
      </c>
      <c r="E1578">
        <v>1</v>
      </c>
      <c r="F1578">
        <v>1</v>
      </c>
      <c r="G1578">
        <v>0</v>
      </c>
      <c r="H1578" t="s">
        <v>2221</v>
      </c>
    </row>
    <row r="1579" spans="1:8">
      <c r="A1579" t="s">
        <v>1039</v>
      </c>
      <c r="B1579" t="s">
        <v>3073</v>
      </c>
      <c r="C1579">
        <v>10</v>
      </c>
      <c r="D1579">
        <v>1</v>
      </c>
      <c r="E1579">
        <v>1</v>
      </c>
      <c r="F1579">
        <v>1210</v>
      </c>
      <c r="G1579">
        <v>2.4599999999999999E-3</v>
      </c>
      <c r="H1579" t="s">
        <v>2197</v>
      </c>
    </row>
    <row r="1580" spans="1:8">
      <c r="A1580" t="s">
        <v>1043</v>
      </c>
      <c r="B1580" t="s">
        <v>3075</v>
      </c>
      <c r="C1580">
        <v>20</v>
      </c>
      <c r="D1580">
        <v>1</v>
      </c>
      <c r="E1580">
        <v>1</v>
      </c>
      <c r="F1580">
        <v>535</v>
      </c>
      <c r="G1580">
        <v>1.2168000000000001E-3</v>
      </c>
      <c r="H1580" t="s">
        <v>2197</v>
      </c>
    </row>
    <row r="1581" spans="1:8">
      <c r="A1581" t="s">
        <v>9505</v>
      </c>
      <c r="B1581" t="s">
        <v>6364</v>
      </c>
      <c r="C1581">
        <v>30</v>
      </c>
      <c r="D1581">
        <v>1</v>
      </c>
      <c r="E1581">
        <v>1</v>
      </c>
      <c r="F1581">
        <v>348.66666666666703</v>
      </c>
      <c r="G1581">
        <v>8.0079999999999995E-4</v>
      </c>
      <c r="H1581" t="s">
        <v>2197</v>
      </c>
    </row>
    <row r="1582" spans="1:8">
      <c r="A1582" t="s">
        <v>9503</v>
      </c>
      <c r="B1582" t="s">
        <v>6366</v>
      </c>
      <c r="C1582">
        <v>30</v>
      </c>
      <c r="D1582">
        <v>1</v>
      </c>
      <c r="E1582">
        <v>1</v>
      </c>
      <c r="F1582">
        <v>346.66666666666703</v>
      </c>
      <c r="G1582">
        <v>1.3147333333333299E-3</v>
      </c>
      <c r="H1582" t="s">
        <v>2197</v>
      </c>
    </row>
    <row r="1583" spans="1:8">
      <c r="A1583" t="s">
        <v>9504</v>
      </c>
      <c r="B1583" t="s">
        <v>6368</v>
      </c>
      <c r="C1583">
        <v>30</v>
      </c>
      <c r="D1583">
        <v>1</v>
      </c>
      <c r="E1583">
        <v>1</v>
      </c>
      <c r="F1583">
        <v>346.66666666666703</v>
      </c>
      <c r="G1583">
        <v>1.3147333333333299E-3</v>
      </c>
      <c r="H1583" t="s">
        <v>2197</v>
      </c>
    </row>
    <row r="1584" spans="1:8">
      <c r="A1584" t="s">
        <v>1045</v>
      </c>
      <c r="B1584" t="s">
        <v>3076</v>
      </c>
      <c r="C1584">
        <v>40</v>
      </c>
      <c r="D1584">
        <v>1</v>
      </c>
      <c r="E1584">
        <v>1</v>
      </c>
      <c r="F1584">
        <v>283.8</v>
      </c>
      <c r="G1584">
        <v>4.7807812499999999E-4</v>
      </c>
      <c r="H1584" t="s">
        <v>2197</v>
      </c>
    </row>
    <row r="1585" spans="1:8">
      <c r="A1585" t="s">
        <v>9506</v>
      </c>
      <c r="B1585" t="s">
        <v>6365</v>
      </c>
      <c r="C1585">
        <v>50</v>
      </c>
      <c r="D1585">
        <v>1</v>
      </c>
      <c r="E1585">
        <v>1</v>
      </c>
      <c r="F1585">
        <v>246.8</v>
      </c>
      <c r="G1585">
        <v>6.7319999999999999E-4</v>
      </c>
      <c r="H1585" t="s">
        <v>2197</v>
      </c>
    </row>
    <row r="1586" spans="1:8">
      <c r="A1586" t="s">
        <v>1048</v>
      </c>
      <c r="B1586" t="s">
        <v>3077</v>
      </c>
      <c r="C1586">
        <v>50</v>
      </c>
      <c r="D1586">
        <v>1</v>
      </c>
      <c r="E1586">
        <v>1</v>
      </c>
      <c r="F1586">
        <v>122</v>
      </c>
      <c r="G1586">
        <v>3.1199999999999999E-4</v>
      </c>
      <c r="H1586" t="s">
        <v>2197</v>
      </c>
    </row>
    <row r="1587" spans="1:8">
      <c r="A1587" t="s">
        <v>9507</v>
      </c>
      <c r="B1587" t="s">
        <v>6367</v>
      </c>
      <c r="C1587">
        <v>50</v>
      </c>
      <c r="D1587">
        <v>1</v>
      </c>
      <c r="E1587">
        <v>1</v>
      </c>
      <c r="F1587">
        <v>122</v>
      </c>
      <c r="G1587">
        <v>3.9543750000000001E-4</v>
      </c>
      <c r="H1587" t="s">
        <v>2197</v>
      </c>
    </row>
    <row r="1588" spans="1:8">
      <c r="A1588" t="s">
        <v>8492</v>
      </c>
      <c r="B1588" t="s">
        <v>8491</v>
      </c>
      <c r="C1588">
        <v>1</v>
      </c>
      <c r="D1588">
        <v>1</v>
      </c>
      <c r="E1588">
        <v>1</v>
      </c>
      <c r="F1588">
        <v>1</v>
      </c>
      <c r="G1588">
        <v>0</v>
      </c>
      <c r="H1588" t="s">
        <v>2221</v>
      </c>
    </row>
    <row r="1589" spans="1:8">
      <c r="A1589" t="s">
        <v>1050</v>
      </c>
      <c r="B1589" t="s">
        <v>3078</v>
      </c>
      <c r="C1589">
        <v>1</v>
      </c>
      <c r="D1589">
        <v>1</v>
      </c>
      <c r="E1589">
        <v>1</v>
      </c>
      <c r="F1589">
        <v>1</v>
      </c>
      <c r="G1589">
        <v>0</v>
      </c>
      <c r="H1589" t="s">
        <v>2221</v>
      </c>
    </row>
    <row r="1590" spans="1:8">
      <c r="A1590" t="s">
        <v>6377</v>
      </c>
      <c r="B1590" t="s">
        <v>6376</v>
      </c>
      <c r="C1590">
        <v>10</v>
      </c>
      <c r="D1590">
        <v>1</v>
      </c>
      <c r="E1590">
        <v>1</v>
      </c>
      <c r="F1590">
        <v>122</v>
      </c>
      <c r="G1590">
        <v>3.9543750000000001E-4</v>
      </c>
      <c r="H1590" t="s">
        <v>2203</v>
      </c>
    </row>
    <row r="1591" spans="1:8">
      <c r="A1591" t="s">
        <v>6379</v>
      </c>
      <c r="B1591" t="s">
        <v>6378</v>
      </c>
      <c r="C1591">
        <v>20</v>
      </c>
      <c r="D1591">
        <v>1</v>
      </c>
      <c r="E1591">
        <v>1</v>
      </c>
      <c r="F1591">
        <v>1082.5</v>
      </c>
      <c r="G1591">
        <v>1.8E-3</v>
      </c>
      <c r="H1591" t="s">
        <v>2203</v>
      </c>
    </row>
    <row r="1592" spans="1:8">
      <c r="A1592" t="s">
        <v>6370</v>
      </c>
      <c r="B1592" t="s">
        <v>6369</v>
      </c>
      <c r="C1592">
        <v>20</v>
      </c>
      <c r="D1592">
        <v>1</v>
      </c>
      <c r="E1592">
        <v>1</v>
      </c>
      <c r="F1592">
        <v>1057.5</v>
      </c>
      <c r="G1592">
        <v>1.6559999999999999E-3</v>
      </c>
      <c r="H1592" t="s">
        <v>2203</v>
      </c>
    </row>
    <row r="1593" spans="1:8">
      <c r="A1593" t="s">
        <v>1051</v>
      </c>
      <c r="B1593" t="s">
        <v>3079</v>
      </c>
      <c r="C1593">
        <v>20</v>
      </c>
      <c r="D1593">
        <v>1</v>
      </c>
      <c r="E1593">
        <v>1</v>
      </c>
      <c r="F1593">
        <v>1057.5</v>
      </c>
      <c r="G1593">
        <v>1.6559999999999999E-3</v>
      </c>
      <c r="H1593" t="s">
        <v>2203</v>
      </c>
    </row>
    <row r="1594" spans="1:8">
      <c r="A1594" t="s">
        <v>1052</v>
      </c>
      <c r="B1594" t="s">
        <v>3082</v>
      </c>
      <c r="C1594">
        <v>20</v>
      </c>
      <c r="D1594">
        <v>1</v>
      </c>
      <c r="E1594">
        <v>1</v>
      </c>
      <c r="F1594">
        <v>1100</v>
      </c>
      <c r="G1594">
        <v>2.1938000000000001E-3</v>
      </c>
      <c r="H1594" t="s">
        <v>2203</v>
      </c>
    </row>
    <row r="1595" spans="1:8">
      <c r="A1595" t="s">
        <v>4592</v>
      </c>
      <c r="B1595" t="s">
        <v>6371</v>
      </c>
      <c r="C1595">
        <v>30</v>
      </c>
      <c r="D1595">
        <v>1</v>
      </c>
      <c r="E1595">
        <v>1</v>
      </c>
      <c r="F1595">
        <v>541.70000000000005</v>
      </c>
      <c r="G1595">
        <v>9.970999999999999E-4</v>
      </c>
      <c r="H1595" t="s">
        <v>2203</v>
      </c>
    </row>
    <row r="1596" spans="1:8">
      <c r="A1596" t="s">
        <v>1053</v>
      </c>
      <c r="B1596" t="s">
        <v>3084</v>
      </c>
      <c r="C1596">
        <v>40</v>
      </c>
      <c r="D1596">
        <v>1</v>
      </c>
      <c r="E1596">
        <v>1</v>
      </c>
      <c r="F1596">
        <v>1</v>
      </c>
      <c r="G1596">
        <v>0</v>
      </c>
      <c r="H1596" t="s">
        <v>2203</v>
      </c>
    </row>
    <row r="1597" spans="1:8">
      <c r="A1597" t="s">
        <v>6381</v>
      </c>
      <c r="B1597" t="s">
        <v>6380</v>
      </c>
      <c r="C1597">
        <v>90</v>
      </c>
      <c r="D1597">
        <v>1</v>
      </c>
      <c r="E1597">
        <v>1</v>
      </c>
      <c r="F1597">
        <v>115.2</v>
      </c>
      <c r="G1597">
        <v>3.324E-4</v>
      </c>
      <c r="H1597" t="s">
        <v>2203</v>
      </c>
    </row>
    <row r="1598" spans="1:8">
      <c r="A1598" t="s">
        <v>6375</v>
      </c>
      <c r="B1598" t="s">
        <v>6374</v>
      </c>
      <c r="C1598">
        <v>20</v>
      </c>
      <c r="D1598">
        <v>1</v>
      </c>
      <c r="E1598">
        <v>1</v>
      </c>
      <c r="F1598">
        <v>0</v>
      </c>
      <c r="G1598">
        <v>0</v>
      </c>
      <c r="H1598" t="s">
        <v>2203</v>
      </c>
    </row>
    <row r="1599" spans="1:8">
      <c r="A1599" t="s">
        <v>4593</v>
      </c>
      <c r="B1599" t="s">
        <v>6372</v>
      </c>
      <c r="C1599">
        <v>15</v>
      </c>
      <c r="D1599">
        <v>1</v>
      </c>
      <c r="E1599">
        <v>1</v>
      </c>
      <c r="F1599">
        <v>0</v>
      </c>
      <c r="G1599">
        <v>0</v>
      </c>
      <c r="H1599" t="s">
        <v>2203</v>
      </c>
    </row>
    <row r="1600" spans="1:8">
      <c r="A1600" t="s">
        <v>4594</v>
      </c>
      <c r="B1600" t="s">
        <v>6373</v>
      </c>
      <c r="C1600">
        <v>30</v>
      </c>
      <c r="D1600">
        <v>1</v>
      </c>
      <c r="E1600">
        <v>1</v>
      </c>
      <c r="F1600">
        <v>542.33333333333303</v>
      </c>
      <c r="G1600">
        <v>9.9704999999999998E-4</v>
      </c>
      <c r="H1600" t="s">
        <v>2203</v>
      </c>
    </row>
    <row r="1601" spans="1:8">
      <c r="A1601" t="s">
        <v>6383</v>
      </c>
      <c r="B1601" t="s">
        <v>6382</v>
      </c>
      <c r="C1601">
        <v>20</v>
      </c>
      <c r="D1601">
        <v>1</v>
      </c>
      <c r="E1601">
        <v>1</v>
      </c>
      <c r="F1601">
        <v>0</v>
      </c>
      <c r="G1601">
        <v>0</v>
      </c>
      <c r="H1601" t="s">
        <v>2203</v>
      </c>
    </row>
    <row r="1602" spans="1:8">
      <c r="A1602" t="s">
        <v>4595</v>
      </c>
      <c r="B1602" t="s">
        <v>6384</v>
      </c>
      <c r="C1602">
        <v>20</v>
      </c>
      <c r="D1602">
        <v>1</v>
      </c>
      <c r="E1602">
        <v>1</v>
      </c>
      <c r="F1602">
        <v>511</v>
      </c>
      <c r="G1602">
        <v>1.1659375000000001E-3</v>
      </c>
      <c r="H1602" t="s">
        <v>2197</v>
      </c>
    </row>
    <row r="1603" spans="1:8">
      <c r="A1603" t="s">
        <v>4596</v>
      </c>
      <c r="B1603" t="s">
        <v>6385</v>
      </c>
      <c r="C1603">
        <v>50</v>
      </c>
      <c r="D1603">
        <v>1</v>
      </c>
      <c r="E1603">
        <v>1</v>
      </c>
      <c r="F1603">
        <v>142.19999999999999</v>
      </c>
      <c r="G1603">
        <v>1.196475E-4</v>
      </c>
      <c r="H1603" t="s">
        <v>2197</v>
      </c>
    </row>
    <row r="1604" spans="1:8">
      <c r="A1604" t="s">
        <v>1055</v>
      </c>
      <c r="B1604" t="s">
        <v>3085</v>
      </c>
      <c r="C1604">
        <v>1</v>
      </c>
      <c r="D1604">
        <v>1</v>
      </c>
      <c r="E1604">
        <v>1</v>
      </c>
      <c r="F1604">
        <v>1</v>
      </c>
      <c r="G1604">
        <v>0</v>
      </c>
      <c r="H1604" t="s">
        <v>2221</v>
      </c>
    </row>
    <row r="1605" spans="1:8">
      <c r="A1605" t="s">
        <v>1056</v>
      </c>
      <c r="B1605" t="s">
        <v>3086</v>
      </c>
      <c r="C1605">
        <v>1</v>
      </c>
      <c r="D1605">
        <v>1</v>
      </c>
      <c r="E1605">
        <v>1</v>
      </c>
      <c r="F1605">
        <v>1</v>
      </c>
      <c r="G1605">
        <v>0</v>
      </c>
      <c r="H1605" t="s">
        <v>2221</v>
      </c>
    </row>
    <row r="1606" spans="1:8">
      <c r="A1606" t="s">
        <v>1057</v>
      </c>
      <c r="B1606" t="s">
        <v>3087</v>
      </c>
      <c r="C1606">
        <v>1</v>
      </c>
      <c r="D1606">
        <v>1</v>
      </c>
      <c r="E1606">
        <v>1</v>
      </c>
      <c r="F1606">
        <v>1</v>
      </c>
      <c r="G1606">
        <v>0</v>
      </c>
      <c r="H1606" t="s">
        <v>2221</v>
      </c>
    </row>
    <row r="1607" spans="1:8">
      <c r="A1607" t="s">
        <v>1058</v>
      </c>
      <c r="B1607" t="s">
        <v>3088</v>
      </c>
      <c r="C1607">
        <v>1</v>
      </c>
      <c r="D1607">
        <v>1</v>
      </c>
      <c r="E1607">
        <v>1</v>
      </c>
      <c r="F1607">
        <v>1</v>
      </c>
      <c r="G1607">
        <v>0</v>
      </c>
      <c r="H1607" t="s">
        <v>2221</v>
      </c>
    </row>
    <row r="1608" spans="1:8">
      <c r="A1608" t="s">
        <v>1059</v>
      </c>
      <c r="B1608" t="s">
        <v>3089</v>
      </c>
      <c r="C1608">
        <v>1</v>
      </c>
      <c r="D1608">
        <v>1</v>
      </c>
      <c r="E1608">
        <v>1</v>
      </c>
      <c r="F1608">
        <v>1</v>
      </c>
      <c r="G1608">
        <v>0</v>
      </c>
      <c r="H1608" t="s">
        <v>2221</v>
      </c>
    </row>
    <row r="1609" spans="1:8">
      <c r="A1609" t="s">
        <v>1060</v>
      </c>
      <c r="B1609" t="s">
        <v>3090</v>
      </c>
      <c r="C1609">
        <v>1</v>
      </c>
      <c r="D1609">
        <v>1</v>
      </c>
      <c r="E1609">
        <v>1</v>
      </c>
      <c r="F1609">
        <v>1</v>
      </c>
      <c r="G1609">
        <v>0</v>
      </c>
      <c r="H1609" t="s">
        <v>2221</v>
      </c>
    </row>
    <row r="1610" spans="1:8">
      <c r="A1610" t="s">
        <v>8623</v>
      </c>
      <c r="B1610" t="s">
        <v>8622</v>
      </c>
      <c r="C1610">
        <v>1</v>
      </c>
      <c r="D1610">
        <v>1</v>
      </c>
      <c r="E1610">
        <v>1</v>
      </c>
      <c r="F1610">
        <v>1</v>
      </c>
      <c r="G1610">
        <v>0</v>
      </c>
      <c r="H1610" t="s">
        <v>2221</v>
      </c>
    </row>
    <row r="1611" spans="1:8">
      <c r="A1611" t="s">
        <v>8494</v>
      </c>
      <c r="B1611" t="s">
        <v>8493</v>
      </c>
      <c r="C1611">
        <v>1</v>
      </c>
      <c r="D1611">
        <v>1</v>
      </c>
      <c r="E1611">
        <v>1</v>
      </c>
      <c r="F1611">
        <v>1</v>
      </c>
      <c r="G1611">
        <v>0</v>
      </c>
      <c r="H1611" t="s">
        <v>2221</v>
      </c>
    </row>
    <row r="1612" spans="1:8">
      <c r="A1612" t="s">
        <v>8818</v>
      </c>
      <c r="B1612" t="s">
        <v>8817</v>
      </c>
      <c r="C1612">
        <v>1</v>
      </c>
      <c r="D1612">
        <v>1</v>
      </c>
      <c r="E1612">
        <v>1</v>
      </c>
      <c r="F1612">
        <v>1</v>
      </c>
      <c r="G1612">
        <v>0</v>
      </c>
      <c r="H1612" t="s">
        <v>2221</v>
      </c>
    </row>
    <row r="1613" spans="1:8">
      <c r="A1613" t="s">
        <v>8496</v>
      </c>
      <c r="B1613" t="s">
        <v>8495</v>
      </c>
      <c r="C1613">
        <v>1</v>
      </c>
      <c r="D1613">
        <v>1</v>
      </c>
      <c r="E1613">
        <v>1</v>
      </c>
      <c r="F1613">
        <v>1</v>
      </c>
      <c r="G1613">
        <v>0</v>
      </c>
      <c r="H1613" t="s">
        <v>2221</v>
      </c>
    </row>
    <row r="1614" spans="1:8">
      <c r="A1614" t="s">
        <v>1061</v>
      </c>
      <c r="B1614" t="s">
        <v>3091</v>
      </c>
      <c r="C1614">
        <v>1</v>
      </c>
      <c r="D1614">
        <v>1</v>
      </c>
      <c r="E1614">
        <v>1</v>
      </c>
      <c r="F1614">
        <v>1</v>
      </c>
      <c r="G1614">
        <v>0</v>
      </c>
      <c r="H1614" t="s">
        <v>2221</v>
      </c>
    </row>
    <row r="1615" spans="1:8">
      <c r="A1615" t="s">
        <v>8498</v>
      </c>
      <c r="B1615" t="s">
        <v>8497</v>
      </c>
      <c r="C1615">
        <v>1</v>
      </c>
      <c r="D1615">
        <v>1</v>
      </c>
      <c r="E1615">
        <v>1</v>
      </c>
      <c r="F1615">
        <v>1</v>
      </c>
      <c r="G1615">
        <v>0</v>
      </c>
      <c r="H1615" t="s">
        <v>2221</v>
      </c>
    </row>
    <row r="1616" spans="1:8">
      <c r="A1616" t="s">
        <v>1062</v>
      </c>
      <c r="B1616" t="s">
        <v>3092</v>
      </c>
      <c r="C1616">
        <v>1</v>
      </c>
      <c r="D1616">
        <v>1</v>
      </c>
      <c r="E1616">
        <v>1</v>
      </c>
      <c r="F1616">
        <v>1</v>
      </c>
      <c r="G1616">
        <v>0</v>
      </c>
      <c r="H1616" t="s">
        <v>2221</v>
      </c>
    </row>
    <row r="1617" spans="1:8">
      <c r="A1617" t="s">
        <v>1063</v>
      </c>
      <c r="B1617" t="s">
        <v>3093</v>
      </c>
      <c r="C1617">
        <v>1</v>
      </c>
      <c r="D1617">
        <v>1</v>
      </c>
      <c r="E1617">
        <v>1</v>
      </c>
      <c r="F1617">
        <v>1</v>
      </c>
      <c r="G1617">
        <v>0</v>
      </c>
      <c r="H1617" t="s">
        <v>2221</v>
      </c>
    </row>
    <row r="1618" spans="1:8">
      <c r="A1618" t="s">
        <v>1064</v>
      </c>
      <c r="B1618" t="s">
        <v>3094</v>
      </c>
      <c r="C1618">
        <v>1</v>
      </c>
      <c r="D1618">
        <v>1</v>
      </c>
      <c r="E1618">
        <v>1</v>
      </c>
      <c r="F1618">
        <v>1</v>
      </c>
      <c r="G1618">
        <v>0</v>
      </c>
      <c r="H1618" t="s">
        <v>2221</v>
      </c>
    </row>
    <row r="1619" spans="1:8">
      <c r="A1619" t="s">
        <v>1065</v>
      </c>
      <c r="B1619" t="s">
        <v>3096</v>
      </c>
      <c r="C1619">
        <v>1</v>
      </c>
      <c r="D1619">
        <v>1</v>
      </c>
      <c r="E1619">
        <v>1</v>
      </c>
      <c r="F1619">
        <v>1</v>
      </c>
      <c r="G1619">
        <v>0</v>
      </c>
      <c r="H1619" t="s">
        <v>2221</v>
      </c>
    </row>
    <row r="1620" spans="1:8">
      <c r="A1620" t="s">
        <v>8510</v>
      </c>
      <c r="B1620" t="s">
        <v>8509</v>
      </c>
      <c r="C1620">
        <v>1</v>
      </c>
      <c r="D1620">
        <v>1</v>
      </c>
      <c r="E1620">
        <v>1</v>
      </c>
      <c r="F1620">
        <v>1</v>
      </c>
      <c r="G1620">
        <v>0</v>
      </c>
      <c r="H1620" t="s">
        <v>2221</v>
      </c>
    </row>
    <row r="1621" spans="1:8">
      <c r="A1621" t="s">
        <v>1066</v>
      </c>
      <c r="B1621" t="s">
        <v>3097</v>
      </c>
      <c r="C1621">
        <v>1</v>
      </c>
      <c r="D1621">
        <v>1</v>
      </c>
      <c r="E1621">
        <v>1</v>
      </c>
      <c r="F1621">
        <v>1</v>
      </c>
      <c r="G1621">
        <v>0</v>
      </c>
      <c r="H1621" t="s">
        <v>2221</v>
      </c>
    </row>
    <row r="1622" spans="1:8">
      <c r="A1622" t="s">
        <v>8814</v>
      </c>
      <c r="B1622" t="s">
        <v>8813</v>
      </c>
      <c r="C1622">
        <v>1</v>
      </c>
      <c r="D1622">
        <v>1</v>
      </c>
      <c r="E1622">
        <v>1</v>
      </c>
      <c r="F1622">
        <v>1</v>
      </c>
      <c r="G1622">
        <v>0</v>
      </c>
      <c r="H1622" t="s">
        <v>2221</v>
      </c>
    </row>
    <row r="1623" spans="1:8">
      <c r="A1623" t="s">
        <v>8500</v>
      </c>
      <c r="B1623" t="s">
        <v>8499</v>
      </c>
      <c r="C1623">
        <v>1</v>
      </c>
      <c r="D1623">
        <v>1</v>
      </c>
      <c r="E1623">
        <v>1</v>
      </c>
      <c r="F1623">
        <v>1</v>
      </c>
      <c r="G1623">
        <v>0</v>
      </c>
      <c r="H1623" t="s">
        <v>2221</v>
      </c>
    </row>
    <row r="1624" spans="1:8">
      <c r="A1624" t="s">
        <v>1067</v>
      </c>
      <c r="B1624" t="s">
        <v>3098</v>
      </c>
      <c r="C1624">
        <v>1</v>
      </c>
      <c r="D1624">
        <v>1</v>
      </c>
      <c r="E1624">
        <v>1</v>
      </c>
      <c r="F1624">
        <v>1</v>
      </c>
      <c r="G1624">
        <v>0</v>
      </c>
      <c r="H1624" t="s">
        <v>2221</v>
      </c>
    </row>
    <row r="1625" spans="1:8">
      <c r="A1625" t="s">
        <v>8502</v>
      </c>
      <c r="B1625" t="s">
        <v>8501</v>
      </c>
      <c r="C1625">
        <v>1</v>
      </c>
      <c r="D1625">
        <v>1</v>
      </c>
      <c r="E1625">
        <v>1</v>
      </c>
      <c r="F1625">
        <v>1</v>
      </c>
      <c r="G1625">
        <v>0</v>
      </c>
      <c r="H1625" t="s">
        <v>2221</v>
      </c>
    </row>
    <row r="1626" spans="1:8">
      <c r="A1626" t="s">
        <v>8812</v>
      </c>
      <c r="B1626" t="s">
        <v>8811</v>
      </c>
      <c r="C1626">
        <v>1</v>
      </c>
      <c r="D1626">
        <v>1</v>
      </c>
      <c r="E1626">
        <v>1</v>
      </c>
      <c r="F1626">
        <v>1</v>
      </c>
      <c r="G1626">
        <v>0</v>
      </c>
      <c r="H1626" t="s">
        <v>2221</v>
      </c>
    </row>
    <row r="1627" spans="1:8">
      <c r="A1627" t="s">
        <v>1068</v>
      </c>
      <c r="B1627" t="s">
        <v>3099</v>
      </c>
      <c r="C1627">
        <v>1</v>
      </c>
      <c r="D1627">
        <v>1</v>
      </c>
      <c r="E1627">
        <v>1</v>
      </c>
      <c r="F1627">
        <v>1</v>
      </c>
      <c r="G1627">
        <v>0</v>
      </c>
      <c r="H1627" t="s">
        <v>2221</v>
      </c>
    </row>
    <row r="1628" spans="1:8">
      <c r="A1628" t="s">
        <v>8512</v>
      </c>
      <c r="B1628" t="s">
        <v>8511</v>
      </c>
      <c r="C1628">
        <v>1</v>
      </c>
      <c r="D1628">
        <v>1</v>
      </c>
      <c r="E1628">
        <v>1</v>
      </c>
      <c r="F1628">
        <v>1</v>
      </c>
      <c r="G1628">
        <v>0</v>
      </c>
      <c r="H1628" t="s">
        <v>2221</v>
      </c>
    </row>
    <row r="1629" spans="1:8">
      <c r="A1629" t="s">
        <v>8652</v>
      </c>
      <c r="B1629" t="s">
        <v>8651</v>
      </c>
      <c r="C1629">
        <v>1</v>
      </c>
      <c r="D1629">
        <v>1</v>
      </c>
      <c r="E1629">
        <v>1</v>
      </c>
      <c r="F1629">
        <v>1</v>
      </c>
      <c r="G1629">
        <v>0</v>
      </c>
      <c r="H1629" t="s">
        <v>2221</v>
      </c>
    </row>
    <row r="1630" spans="1:8">
      <c r="A1630" t="s">
        <v>8514</v>
      </c>
      <c r="B1630" t="s">
        <v>8513</v>
      </c>
      <c r="C1630">
        <v>1</v>
      </c>
      <c r="D1630">
        <v>1</v>
      </c>
      <c r="E1630">
        <v>1</v>
      </c>
      <c r="F1630">
        <v>1</v>
      </c>
      <c r="G1630">
        <v>0</v>
      </c>
      <c r="H1630" t="s">
        <v>2221</v>
      </c>
    </row>
    <row r="1631" spans="1:8">
      <c r="A1631" t="s">
        <v>8516</v>
      </c>
      <c r="B1631" t="s">
        <v>8515</v>
      </c>
      <c r="C1631">
        <v>1</v>
      </c>
      <c r="D1631">
        <v>1</v>
      </c>
      <c r="E1631">
        <v>1</v>
      </c>
      <c r="F1631">
        <v>1</v>
      </c>
      <c r="G1631">
        <v>0</v>
      </c>
      <c r="H1631" t="s">
        <v>2221</v>
      </c>
    </row>
    <row r="1632" spans="1:8">
      <c r="A1632" t="s">
        <v>8518</v>
      </c>
      <c r="B1632" t="s">
        <v>8517</v>
      </c>
      <c r="C1632">
        <v>1</v>
      </c>
      <c r="D1632">
        <v>1</v>
      </c>
      <c r="E1632">
        <v>1</v>
      </c>
      <c r="F1632">
        <v>1</v>
      </c>
      <c r="G1632">
        <v>0</v>
      </c>
      <c r="H1632" t="s">
        <v>2221</v>
      </c>
    </row>
    <row r="1633" spans="1:8">
      <c r="A1633" t="s">
        <v>8520</v>
      </c>
      <c r="B1633" t="s">
        <v>8519</v>
      </c>
      <c r="C1633">
        <v>1</v>
      </c>
      <c r="D1633">
        <v>1</v>
      </c>
      <c r="E1633">
        <v>1</v>
      </c>
      <c r="F1633">
        <v>1</v>
      </c>
      <c r="G1633">
        <v>0</v>
      </c>
      <c r="H1633" t="s">
        <v>2221</v>
      </c>
    </row>
    <row r="1634" spans="1:8">
      <c r="A1634" t="s">
        <v>8522</v>
      </c>
      <c r="B1634" t="s">
        <v>8521</v>
      </c>
      <c r="C1634">
        <v>1</v>
      </c>
      <c r="D1634">
        <v>1</v>
      </c>
      <c r="E1634">
        <v>1</v>
      </c>
      <c r="F1634">
        <v>1</v>
      </c>
      <c r="G1634">
        <v>0</v>
      </c>
      <c r="H1634" t="s">
        <v>2221</v>
      </c>
    </row>
    <row r="1635" spans="1:8">
      <c r="A1635" t="s">
        <v>1069</v>
      </c>
      <c r="B1635" t="s">
        <v>3100</v>
      </c>
      <c r="C1635">
        <v>1</v>
      </c>
      <c r="D1635">
        <v>1</v>
      </c>
      <c r="E1635">
        <v>1</v>
      </c>
      <c r="F1635">
        <v>1</v>
      </c>
      <c r="G1635">
        <v>0</v>
      </c>
      <c r="H1635" t="s">
        <v>2221</v>
      </c>
    </row>
    <row r="1636" spans="1:8">
      <c r="A1636" t="s">
        <v>8504</v>
      </c>
      <c r="B1636" t="s">
        <v>8503</v>
      </c>
      <c r="C1636">
        <v>1</v>
      </c>
      <c r="D1636">
        <v>1</v>
      </c>
      <c r="E1636">
        <v>1</v>
      </c>
      <c r="F1636">
        <v>1</v>
      </c>
      <c r="G1636">
        <v>0</v>
      </c>
      <c r="H1636" t="s">
        <v>2221</v>
      </c>
    </row>
    <row r="1637" spans="1:8">
      <c r="A1637" t="s">
        <v>8694</v>
      </c>
      <c r="B1637" t="s">
        <v>8693</v>
      </c>
      <c r="C1637">
        <v>1</v>
      </c>
      <c r="D1637">
        <v>1</v>
      </c>
      <c r="E1637">
        <v>1</v>
      </c>
      <c r="F1637">
        <v>1</v>
      </c>
      <c r="G1637">
        <v>0</v>
      </c>
      <c r="H1637" t="s">
        <v>2221</v>
      </c>
    </row>
    <row r="1638" spans="1:8">
      <c r="A1638" t="s">
        <v>1070</v>
      </c>
      <c r="B1638" t="s">
        <v>3101</v>
      </c>
      <c r="C1638">
        <v>1</v>
      </c>
      <c r="D1638">
        <v>1</v>
      </c>
      <c r="E1638">
        <v>1</v>
      </c>
      <c r="F1638">
        <v>1</v>
      </c>
      <c r="G1638">
        <v>0</v>
      </c>
      <c r="H1638" t="s">
        <v>2221</v>
      </c>
    </row>
    <row r="1639" spans="1:8">
      <c r="A1639" t="s">
        <v>8524</v>
      </c>
      <c r="B1639" t="s">
        <v>8523</v>
      </c>
      <c r="C1639">
        <v>1</v>
      </c>
      <c r="D1639">
        <v>1</v>
      </c>
      <c r="E1639">
        <v>1</v>
      </c>
      <c r="F1639">
        <v>1</v>
      </c>
      <c r="G1639">
        <v>0</v>
      </c>
      <c r="H1639" t="s">
        <v>2221</v>
      </c>
    </row>
    <row r="1640" spans="1:8">
      <c r="A1640" t="s">
        <v>1071</v>
      </c>
      <c r="B1640" t="s">
        <v>3102</v>
      </c>
      <c r="C1640">
        <v>1</v>
      </c>
      <c r="D1640">
        <v>1</v>
      </c>
      <c r="E1640">
        <v>1</v>
      </c>
      <c r="F1640">
        <v>1</v>
      </c>
      <c r="G1640">
        <v>0</v>
      </c>
      <c r="H1640" t="s">
        <v>2221</v>
      </c>
    </row>
    <row r="1641" spans="1:8">
      <c r="A1641" t="s">
        <v>8506</v>
      </c>
      <c r="B1641" t="s">
        <v>8505</v>
      </c>
      <c r="C1641">
        <v>1</v>
      </c>
      <c r="D1641">
        <v>1</v>
      </c>
      <c r="E1641">
        <v>1</v>
      </c>
      <c r="F1641">
        <v>1</v>
      </c>
      <c r="G1641">
        <v>0</v>
      </c>
      <c r="H1641" t="s">
        <v>2221</v>
      </c>
    </row>
    <row r="1642" spans="1:8">
      <c r="A1642" t="s">
        <v>8688</v>
      </c>
      <c r="B1642" t="s">
        <v>8687</v>
      </c>
      <c r="C1642">
        <v>1</v>
      </c>
      <c r="D1642">
        <v>1</v>
      </c>
      <c r="E1642">
        <v>1</v>
      </c>
      <c r="F1642">
        <v>1</v>
      </c>
      <c r="G1642">
        <v>0</v>
      </c>
      <c r="H1642" t="s">
        <v>2221</v>
      </c>
    </row>
    <row r="1643" spans="1:8">
      <c r="A1643" t="s">
        <v>8508</v>
      </c>
      <c r="B1643" t="s">
        <v>8507</v>
      </c>
      <c r="C1643">
        <v>1</v>
      </c>
      <c r="D1643">
        <v>1</v>
      </c>
      <c r="E1643">
        <v>1</v>
      </c>
      <c r="F1643">
        <v>1</v>
      </c>
      <c r="G1643">
        <v>0</v>
      </c>
      <c r="H1643" t="s">
        <v>2221</v>
      </c>
    </row>
    <row r="1644" spans="1:8">
      <c r="A1644" t="s">
        <v>8804</v>
      </c>
      <c r="B1644" t="s">
        <v>8803</v>
      </c>
      <c r="C1644">
        <v>1</v>
      </c>
      <c r="D1644">
        <v>1</v>
      </c>
      <c r="E1644">
        <v>1</v>
      </c>
      <c r="F1644">
        <v>1</v>
      </c>
      <c r="G1644">
        <v>0</v>
      </c>
      <c r="H1644" t="s">
        <v>2221</v>
      </c>
    </row>
    <row r="1645" spans="1:8">
      <c r="A1645" t="s">
        <v>8528</v>
      </c>
      <c r="B1645" t="s">
        <v>8527</v>
      </c>
      <c r="C1645">
        <v>1</v>
      </c>
      <c r="D1645">
        <v>1</v>
      </c>
      <c r="E1645">
        <v>1</v>
      </c>
      <c r="F1645">
        <v>1</v>
      </c>
      <c r="G1645">
        <v>0</v>
      </c>
      <c r="H1645" t="s">
        <v>2221</v>
      </c>
    </row>
    <row r="1646" spans="1:8">
      <c r="A1646" t="s">
        <v>8548</v>
      </c>
      <c r="B1646" t="s">
        <v>8547</v>
      </c>
      <c r="C1646">
        <v>1</v>
      </c>
      <c r="D1646">
        <v>1</v>
      </c>
      <c r="E1646">
        <v>1</v>
      </c>
      <c r="F1646">
        <v>1</v>
      </c>
      <c r="G1646">
        <v>0</v>
      </c>
      <c r="H1646" t="s">
        <v>2221</v>
      </c>
    </row>
    <row r="1647" spans="1:8">
      <c r="A1647" t="s">
        <v>1072</v>
      </c>
      <c r="B1647" t="s">
        <v>3103</v>
      </c>
      <c r="C1647">
        <v>1</v>
      </c>
      <c r="D1647">
        <v>1</v>
      </c>
      <c r="E1647">
        <v>1</v>
      </c>
      <c r="F1647">
        <v>1</v>
      </c>
      <c r="G1647">
        <v>0</v>
      </c>
      <c r="H1647" t="s">
        <v>2221</v>
      </c>
    </row>
    <row r="1648" spans="1:8">
      <c r="A1648" t="s">
        <v>1073</v>
      </c>
      <c r="B1648" t="s">
        <v>3104</v>
      </c>
      <c r="C1648">
        <v>1</v>
      </c>
      <c r="D1648">
        <v>1</v>
      </c>
      <c r="E1648">
        <v>1</v>
      </c>
      <c r="F1648">
        <v>1</v>
      </c>
      <c r="G1648">
        <v>0</v>
      </c>
      <c r="H1648" t="s">
        <v>2221</v>
      </c>
    </row>
    <row r="1649" spans="1:8">
      <c r="A1649" t="s">
        <v>8580</v>
      </c>
      <c r="B1649" t="s">
        <v>8579</v>
      </c>
      <c r="C1649">
        <v>1</v>
      </c>
      <c r="D1649">
        <v>1</v>
      </c>
      <c r="E1649">
        <v>1</v>
      </c>
      <c r="F1649">
        <v>1</v>
      </c>
      <c r="G1649">
        <v>0</v>
      </c>
      <c r="H1649" t="s">
        <v>2221</v>
      </c>
    </row>
    <row r="1650" spans="1:8">
      <c r="A1650" t="s">
        <v>8646</v>
      </c>
      <c r="B1650" t="s">
        <v>8645</v>
      </c>
      <c r="C1650">
        <v>1</v>
      </c>
      <c r="D1650">
        <v>1</v>
      </c>
      <c r="E1650">
        <v>1</v>
      </c>
      <c r="F1650">
        <v>1</v>
      </c>
      <c r="G1650">
        <v>0</v>
      </c>
      <c r="H1650" t="s">
        <v>2221</v>
      </c>
    </row>
    <row r="1651" spans="1:8">
      <c r="A1651" t="s">
        <v>1074</v>
      </c>
      <c r="B1651" t="s">
        <v>3105</v>
      </c>
      <c r="C1651">
        <v>1</v>
      </c>
      <c r="D1651">
        <v>1</v>
      </c>
      <c r="E1651">
        <v>1</v>
      </c>
      <c r="F1651">
        <v>1</v>
      </c>
      <c r="G1651">
        <v>0</v>
      </c>
      <c r="H1651" t="s">
        <v>2221</v>
      </c>
    </row>
    <row r="1652" spans="1:8">
      <c r="A1652" t="s">
        <v>8822</v>
      </c>
      <c r="B1652" t="s">
        <v>8821</v>
      </c>
      <c r="C1652">
        <v>1</v>
      </c>
      <c r="D1652">
        <v>1</v>
      </c>
      <c r="E1652">
        <v>1</v>
      </c>
      <c r="F1652">
        <v>1</v>
      </c>
      <c r="G1652">
        <v>0</v>
      </c>
      <c r="H1652" t="s">
        <v>2221</v>
      </c>
    </row>
    <row r="1653" spans="1:8">
      <c r="A1653" t="s">
        <v>8800</v>
      </c>
      <c r="B1653" t="s">
        <v>8799</v>
      </c>
      <c r="C1653">
        <v>1</v>
      </c>
      <c r="D1653">
        <v>1</v>
      </c>
      <c r="E1653">
        <v>1</v>
      </c>
      <c r="F1653">
        <v>1</v>
      </c>
      <c r="G1653">
        <v>0</v>
      </c>
      <c r="H1653" t="s">
        <v>2221</v>
      </c>
    </row>
    <row r="1654" spans="1:8">
      <c r="A1654" t="s">
        <v>8802</v>
      </c>
      <c r="B1654" t="s">
        <v>8801</v>
      </c>
      <c r="C1654">
        <v>1</v>
      </c>
      <c r="D1654">
        <v>1</v>
      </c>
      <c r="E1654">
        <v>1</v>
      </c>
      <c r="F1654">
        <v>1</v>
      </c>
      <c r="G1654">
        <v>0</v>
      </c>
      <c r="H1654" t="s">
        <v>2221</v>
      </c>
    </row>
    <row r="1655" spans="1:8">
      <c r="A1655" t="s">
        <v>1075</v>
      </c>
      <c r="B1655" t="s">
        <v>3106</v>
      </c>
      <c r="C1655">
        <v>1</v>
      </c>
      <c r="D1655">
        <v>1</v>
      </c>
      <c r="E1655">
        <v>1</v>
      </c>
      <c r="F1655">
        <v>1</v>
      </c>
      <c r="G1655">
        <v>0</v>
      </c>
      <c r="H1655" t="s">
        <v>2221</v>
      </c>
    </row>
    <row r="1656" spans="1:8">
      <c r="A1656" t="s">
        <v>1076</v>
      </c>
      <c r="B1656" t="s">
        <v>3107</v>
      </c>
      <c r="C1656">
        <v>1</v>
      </c>
      <c r="D1656">
        <v>1</v>
      </c>
      <c r="E1656">
        <v>1</v>
      </c>
      <c r="F1656">
        <v>1</v>
      </c>
      <c r="G1656">
        <v>0</v>
      </c>
      <c r="H1656" t="s">
        <v>2221</v>
      </c>
    </row>
    <row r="1657" spans="1:8">
      <c r="A1657" t="s">
        <v>8674</v>
      </c>
      <c r="B1657" t="s">
        <v>8673</v>
      </c>
      <c r="C1657">
        <v>1</v>
      </c>
      <c r="D1657">
        <v>1</v>
      </c>
      <c r="E1657">
        <v>1</v>
      </c>
      <c r="F1657">
        <v>1</v>
      </c>
      <c r="G1657">
        <v>0</v>
      </c>
      <c r="H1657" t="s">
        <v>2221</v>
      </c>
    </row>
    <row r="1658" spans="1:8">
      <c r="A1658" t="s">
        <v>8672</v>
      </c>
      <c r="B1658" t="s">
        <v>8671</v>
      </c>
      <c r="C1658">
        <v>1</v>
      </c>
      <c r="D1658">
        <v>1</v>
      </c>
      <c r="E1658">
        <v>1</v>
      </c>
      <c r="F1658">
        <v>1</v>
      </c>
      <c r="G1658">
        <v>0</v>
      </c>
      <c r="H1658" t="s">
        <v>2221</v>
      </c>
    </row>
    <row r="1659" spans="1:8">
      <c r="A1659" t="s">
        <v>8648</v>
      </c>
      <c r="B1659" t="s">
        <v>8647</v>
      </c>
      <c r="C1659">
        <v>1</v>
      </c>
      <c r="D1659">
        <v>1</v>
      </c>
      <c r="E1659">
        <v>1</v>
      </c>
      <c r="F1659">
        <v>1</v>
      </c>
      <c r="G1659">
        <v>0</v>
      </c>
      <c r="H1659" t="s">
        <v>2221</v>
      </c>
    </row>
    <row r="1660" spans="1:8">
      <c r="A1660" t="s">
        <v>1077</v>
      </c>
      <c r="B1660" t="s">
        <v>3108</v>
      </c>
      <c r="C1660">
        <v>1</v>
      </c>
      <c r="D1660">
        <v>1</v>
      </c>
      <c r="E1660">
        <v>1</v>
      </c>
      <c r="F1660">
        <v>1</v>
      </c>
      <c r="G1660">
        <v>0</v>
      </c>
      <c r="H1660" t="s">
        <v>2221</v>
      </c>
    </row>
    <row r="1661" spans="1:8">
      <c r="A1661" t="s">
        <v>1078</v>
      </c>
      <c r="B1661" t="s">
        <v>3109</v>
      </c>
      <c r="C1661">
        <v>1</v>
      </c>
      <c r="D1661">
        <v>1</v>
      </c>
      <c r="E1661">
        <v>1</v>
      </c>
      <c r="F1661">
        <v>1</v>
      </c>
      <c r="G1661">
        <v>0</v>
      </c>
      <c r="H1661" t="s">
        <v>2221</v>
      </c>
    </row>
    <row r="1662" spans="1:8">
      <c r="A1662" t="s">
        <v>8816</v>
      </c>
      <c r="B1662" t="s">
        <v>8815</v>
      </c>
      <c r="C1662">
        <v>1</v>
      </c>
      <c r="D1662">
        <v>1</v>
      </c>
      <c r="E1662">
        <v>1</v>
      </c>
      <c r="F1662">
        <v>1</v>
      </c>
      <c r="G1662">
        <v>0</v>
      </c>
      <c r="H1662" t="s">
        <v>2221</v>
      </c>
    </row>
    <row r="1663" spans="1:8">
      <c r="A1663" t="s">
        <v>8613</v>
      </c>
      <c r="B1663" t="s">
        <v>8612</v>
      </c>
      <c r="C1663">
        <v>1</v>
      </c>
      <c r="D1663">
        <v>1</v>
      </c>
      <c r="E1663">
        <v>1</v>
      </c>
      <c r="F1663">
        <v>1</v>
      </c>
      <c r="G1663">
        <v>0</v>
      </c>
      <c r="H1663" t="s">
        <v>2221</v>
      </c>
    </row>
    <row r="1664" spans="1:8">
      <c r="A1664" t="s">
        <v>1079</v>
      </c>
      <c r="B1664" t="s">
        <v>3110</v>
      </c>
      <c r="C1664">
        <v>1</v>
      </c>
      <c r="D1664">
        <v>1</v>
      </c>
      <c r="E1664">
        <v>1</v>
      </c>
      <c r="F1664">
        <v>1</v>
      </c>
      <c r="G1664">
        <v>0</v>
      </c>
      <c r="H1664" t="s">
        <v>2221</v>
      </c>
    </row>
    <row r="1665" spans="1:8">
      <c r="A1665" t="s">
        <v>8650</v>
      </c>
      <c r="B1665" t="s">
        <v>8649</v>
      </c>
      <c r="C1665">
        <v>1</v>
      </c>
      <c r="D1665">
        <v>1</v>
      </c>
      <c r="E1665">
        <v>1</v>
      </c>
      <c r="F1665">
        <v>1</v>
      </c>
      <c r="G1665">
        <v>0</v>
      </c>
      <c r="H1665" t="s">
        <v>2221</v>
      </c>
    </row>
    <row r="1666" spans="1:8">
      <c r="A1666" t="s">
        <v>1080</v>
      </c>
      <c r="B1666" t="s">
        <v>3111</v>
      </c>
      <c r="C1666">
        <v>1</v>
      </c>
      <c r="D1666">
        <v>1</v>
      </c>
      <c r="E1666">
        <v>1</v>
      </c>
      <c r="F1666">
        <v>1</v>
      </c>
      <c r="G1666">
        <v>0</v>
      </c>
      <c r="H1666" t="s">
        <v>2221</v>
      </c>
    </row>
    <row r="1667" spans="1:8">
      <c r="A1667" t="s">
        <v>1081</v>
      </c>
      <c r="B1667" t="s">
        <v>3112</v>
      </c>
      <c r="C1667">
        <v>1</v>
      </c>
      <c r="D1667">
        <v>1</v>
      </c>
      <c r="E1667">
        <v>1</v>
      </c>
      <c r="F1667">
        <v>1</v>
      </c>
      <c r="G1667">
        <v>0</v>
      </c>
      <c r="H1667" t="s">
        <v>2221</v>
      </c>
    </row>
    <row r="1668" spans="1:8">
      <c r="A1668" t="s">
        <v>1082</v>
      </c>
      <c r="B1668" t="s">
        <v>3113</v>
      </c>
      <c r="C1668">
        <v>1</v>
      </c>
      <c r="D1668">
        <v>1</v>
      </c>
      <c r="E1668">
        <v>1</v>
      </c>
      <c r="F1668">
        <v>1</v>
      </c>
      <c r="G1668">
        <v>0</v>
      </c>
      <c r="H1668" t="s">
        <v>2221</v>
      </c>
    </row>
    <row r="1669" spans="1:8">
      <c r="A1669" t="s">
        <v>1083</v>
      </c>
      <c r="B1669" t="s">
        <v>3114</v>
      </c>
      <c r="C1669">
        <v>1</v>
      </c>
      <c r="D1669">
        <v>1</v>
      </c>
      <c r="E1669">
        <v>1</v>
      </c>
      <c r="F1669">
        <v>1</v>
      </c>
      <c r="G1669">
        <v>0</v>
      </c>
      <c r="H1669" t="s">
        <v>2221</v>
      </c>
    </row>
    <row r="1670" spans="1:8">
      <c r="A1670" t="s">
        <v>1084</v>
      </c>
      <c r="B1670" t="s">
        <v>3115</v>
      </c>
      <c r="C1670">
        <v>1</v>
      </c>
      <c r="D1670">
        <v>1</v>
      </c>
      <c r="E1670">
        <v>1</v>
      </c>
      <c r="F1670">
        <v>1</v>
      </c>
      <c r="G1670">
        <v>0</v>
      </c>
      <c r="H1670" t="s">
        <v>2221</v>
      </c>
    </row>
    <row r="1671" spans="1:8">
      <c r="A1671" t="s">
        <v>8601</v>
      </c>
      <c r="B1671" t="s">
        <v>8600</v>
      </c>
      <c r="C1671">
        <v>1</v>
      </c>
      <c r="D1671">
        <v>1</v>
      </c>
      <c r="E1671">
        <v>1</v>
      </c>
      <c r="F1671">
        <v>1</v>
      </c>
      <c r="G1671">
        <v>0</v>
      </c>
      <c r="H1671" t="s">
        <v>2221</v>
      </c>
    </row>
    <row r="1672" spans="1:8">
      <c r="A1672" t="s">
        <v>1085</v>
      </c>
      <c r="B1672" t="s">
        <v>3116</v>
      </c>
      <c r="C1672">
        <v>1</v>
      </c>
      <c r="D1672">
        <v>1</v>
      </c>
      <c r="E1672">
        <v>1</v>
      </c>
      <c r="F1672">
        <v>1</v>
      </c>
      <c r="G1672">
        <v>0</v>
      </c>
      <c r="H1672" t="s">
        <v>2221</v>
      </c>
    </row>
    <row r="1673" spans="1:8">
      <c r="A1673" t="s">
        <v>8530</v>
      </c>
      <c r="B1673" t="s">
        <v>8529</v>
      </c>
      <c r="C1673">
        <v>1</v>
      </c>
      <c r="D1673">
        <v>1</v>
      </c>
      <c r="E1673">
        <v>1</v>
      </c>
      <c r="F1673">
        <v>1</v>
      </c>
      <c r="G1673">
        <v>0</v>
      </c>
      <c r="H1673" t="s">
        <v>2221</v>
      </c>
    </row>
    <row r="1674" spans="1:8">
      <c r="A1674" t="s">
        <v>1086</v>
      </c>
      <c r="B1674" t="s">
        <v>3117</v>
      </c>
      <c r="C1674">
        <v>1</v>
      </c>
      <c r="D1674">
        <v>1</v>
      </c>
      <c r="E1674">
        <v>1</v>
      </c>
      <c r="F1674">
        <v>1</v>
      </c>
      <c r="G1674">
        <v>0</v>
      </c>
      <c r="H1674" t="s">
        <v>2221</v>
      </c>
    </row>
    <row r="1675" spans="1:8">
      <c r="A1675" t="s">
        <v>8798</v>
      </c>
      <c r="B1675" t="s">
        <v>8797</v>
      </c>
      <c r="C1675">
        <v>1</v>
      </c>
      <c r="D1675">
        <v>1</v>
      </c>
      <c r="E1675">
        <v>1</v>
      </c>
      <c r="F1675">
        <v>1</v>
      </c>
      <c r="G1675">
        <v>0</v>
      </c>
      <c r="H1675" t="s">
        <v>2221</v>
      </c>
    </row>
    <row r="1676" spans="1:8">
      <c r="A1676" t="s">
        <v>8820</v>
      </c>
      <c r="B1676" t="s">
        <v>8819</v>
      </c>
      <c r="C1676">
        <v>1</v>
      </c>
      <c r="D1676">
        <v>1</v>
      </c>
      <c r="E1676">
        <v>1</v>
      </c>
      <c r="F1676">
        <v>1</v>
      </c>
      <c r="G1676">
        <v>0</v>
      </c>
      <c r="H1676" t="s">
        <v>2221</v>
      </c>
    </row>
    <row r="1677" spans="1:8">
      <c r="A1677" t="s">
        <v>8656</v>
      </c>
      <c r="B1677" t="s">
        <v>8655</v>
      </c>
      <c r="C1677">
        <v>1</v>
      </c>
      <c r="D1677">
        <v>1</v>
      </c>
      <c r="E1677">
        <v>1</v>
      </c>
      <c r="F1677">
        <v>1</v>
      </c>
      <c r="G1677">
        <v>0</v>
      </c>
      <c r="H1677" t="s">
        <v>2221</v>
      </c>
    </row>
    <row r="1678" spans="1:8">
      <c r="A1678" t="s">
        <v>8668</v>
      </c>
      <c r="B1678" t="s">
        <v>8667</v>
      </c>
      <c r="C1678">
        <v>1</v>
      </c>
      <c r="D1678">
        <v>1</v>
      </c>
      <c r="E1678">
        <v>1</v>
      </c>
      <c r="F1678">
        <v>1</v>
      </c>
      <c r="G1678">
        <v>0</v>
      </c>
      <c r="H1678" t="s">
        <v>2221</v>
      </c>
    </row>
    <row r="1679" spans="1:8">
      <c r="A1679" t="s">
        <v>8603</v>
      </c>
      <c r="B1679" t="s">
        <v>8602</v>
      </c>
      <c r="C1679">
        <v>1</v>
      </c>
      <c r="D1679">
        <v>1</v>
      </c>
      <c r="E1679">
        <v>1</v>
      </c>
      <c r="F1679">
        <v>1</v>
      </c>
      <c r="G1679">
        <v>0</v>
      </c>
      <c r="H1679" t="s">
        <v>2221</v>
      </c>
    </row>
    <row r="1680" spans="1:8">
      <c r="A1680" t="s">
        <v>1087</v>
      </c>
      <c r="B1680" t="s">
        <v>3118</v>
      </c>
      <c r="C1680">
        <v>1</v>
      </c>
      <c r="D1680">
        <v>1</v>
      </c>
      <c r="E1680">
        <v>1</v>
      </c>
      <c r="F1680">
        <v>1</v>
      </c>
      <c r="G1680">
        <v>0</v>
      </c>
      <c r="H1680" t="s">
        <v>2221</v>
      </c>
    </row>
    <row r="1681" spans="1:8">
      <c r="A1681" t="s">
        <v>8716</v>
      </c>
      <c r="B1681" t="s">
        <v>8715</v>
      </c>
      <c r="C1681">
        <v>1</v>
      </c>
      <c r="D1681">
        <v>1</v>
      </c>
      <c r="E1681">
        <v>1</v>
      </c>
      <c r="F1681">
        <v>1</v>
      </c>
      <c r="G1681">
        <v>0</v>
      </c>
      <c r="H1681" t="s">
        <v>2221</v>
      </c>
    </row>
    <row r="1682" spans="1:8">
      <c r="A1682" t="s">
        <v>8682</v>
      </c>
      <c r="B1682" t="s">
        <v>8681</v>
      </c>
      <c r="C1682">
        <v>1</v>
      </c>
      <c r="D1682">
        <v>1</v>
      </c>
      <c r="E1682">
        <v>1</v>
      </c>
      <c r="F1682">
        <v>1</v>
      </c>
      <c r="G1682">
        <v>0</v>
      </c>
      <c r="H1682" t="s">
        <v>2221</v>
      </c>
    </row>
    <row r="1683" spans="1:8">
      <c r="A1683" t="s">
        <v>8532</v>
      </c>
      <c r="B1683" t="s">
        <v>8531</v>
      </c>
      <c r="C1683">
        <v>1</v>
      </c>
      <c r="D1683">
        <v>1</v>
      </c>
      <c r="E1683">
        <v>1</v>
      </c>
      <c r="F1683">
        <v>1</v>
      </c>
      <c r="G1683">
        <v>0</v>
      </c>
      <c r="H1683" t="s">
        <v>2221</v>
      </c>
    </row>
    <row r="1684" spans="1:8">
      <c r="A1684" t="s">
        <v>1088</v>
      </c>
      <c r="B1684" t="s">
        <v>3119</v>
      </c>
      <c r="C1684">
        <v>1</v>
      </c>
      <c r="D1684">
        <v>1</v>
      </c>
      <c r="E1684">
        <v>1</v>
      </c>
      <c r="F1684">
        <v>1</v>
      </c>
      <c r="G1684">
        <v>0</v>
      </c>
      <c r="H1684" t="s">
        <v>2221</v>
      </c>
    </row>
    <row r="1685" spans="1:8">
      <c r="A1685" t="s">
        <v>1089</v>
      </c>
      <c r="B1685" t="s">
        <v>3120</v>
      </c>
      <c r="C1685">
        <v>1</v>
      </c>
      <c r="D1685">
        <v>1</v>
      </c>
      <c r="E1685">
        <v>1</v>
      </c>
      <c r="F1685">
        <v>1</v>
      </c>
      <c r="G1685">
        <v>0</v>
      </c>
      <c r="H1685" t="s">
        <v>2221</v>
      </c>
    </row>
    <row r="1686" spans="1:8">
      <c r="A1686" t="s">
        <v>8621</v>
      </c>
      <c r="B1686" t="s">
        <v>8620</v>
      </c>
      <c r="C1686">
        <v>1</v>
      </c>
      <c r="D1686">
        <v>1</v>
      </c>
      <c r="E1686">
        <v>1</v>
      </c>
      <c r="F1686">
        <v>1</v>
      </c>
      <c r="G1686">
        <v>0</v>
      </c>
      <c r="H1686" t="s">
        <v>2221</v>
      </c>
    </row>
    <row r="1687" spans="1:8">
      <c r="A1687" t="s">
        <v>8692</v>
      </c>
      <c r="B1687" t="s">
        <v>8691</v>
      </c>
      <c r="C1687">
        <v>1</v>
      </c>
      <c r="D1687">
        <v>1</v>
      </c>
      <c r="E1687">
        <v>1</v>
      </c>
      <c r="F1687">
        <v>1</v>
      </c>
      <c r="G1687">
        <v>0</v>
      </c>
      <c r="H1687" t="s">
        <v>2221</v>
      </c>
    </row>
    <row r="1688" spans="1:8">
      <c r="A1688" t="s">
        <v>8702</v>
      </c>
      <c r="B1688" t="s">
        <v>8701</v>
      </c>
      <c r="C1688">
        <v>1</v>
      </c>
      <c r="D1688">
        <v>1</v>
      </c>
      <c r="E1688">
        <v>1</v>
      </c>
      <c r="F1688">
        <v>1</v>
      </c>
      <c r="G1688">
        <v>0</v>
      </c>
      <c r="H1688" t="s">
        <v>2221</v>
      </c>
    </row>
    <row r="1689" spans="1:8">
      <c r="A1689" t="s">
        <v>8706</v>
      </c>
      <c r="B1689" t="s">
        <v>8705</v>
      </c>
      <c r="C1689">
        <v>1</v>
      </c>
      <c r="D1689">
        <v>1</v>
      </c>
      <c r="E1689">
        <v>1</v>
      </c>
      <c r="F1689">
        <v>1</v>
      </c>
      <c r="G1689">
        <v>0</v>
      </c>
      <c r="H1689" t="s">
        <v>2221</v>
      </c>
    </row>
    <row r="1690" spans="1:8">
      <c r="A1690" t="s">
        <v>1090</v>
      </c>
      <c r="B1690" t="s">
        <v>3121</v>
      </c>
      <c r="C1690">
        <v>1</v>
      </c>
      <c r="D1690">
        <v>1</v>
      </c>
      <c r="E1690">
        <v>1</v>
      </c>
      <c r="F1690">
        <v>1</v>
      </c>
      <c r="G1690">
        <v>0</v>
      </c>
      <c r="H1690" t="s">
        <v>2221</v>
      </c>
    </row>
    <row r="1691" spans="1:8">
      <c r="A1691" t="s">
        <v>8710</v>
      </c>
      <c r="B1691" t="s">
        <v>8709</v>
      </c>
      <c r="C1691">
        <v>1</v>
      </c>
      <c r="D1691">
        <v>1</v>
      </c>
      <c r="E1691">
        <v>1</v>
      </c>
      <c r="F1691">
        <v>1</v>
      </c>
      <c r="G1691">
        <v>0</v>
      </c>
      <c r="H1691" t="s">
        <v>2221</v>
      </c>
    </row>
    <row r="1692" spans="1:8">
      <c r="A1692" t="s">
        <v>1091</v>
      </c>
      <c r="B1692" t="s">
        <v>3122</v>
      </c>
      <c r="C1692">
        <v>1</v>
      </c>
      <c r="D1692">
        <v>1</v>
      </c>
      <c r="E1692">
        <v>1</v>
      </c>
      <c r="F1692">
        <v>1</v>
      </c>
      <c r="G1692">
        <v>0</v>
      </c>
      <c r="H1692" t="s">
        <v>2221</v>
      </c>
    </row>
    <row r="1693" spans="1:8">
      <c r="A1693" t="s">
        <v>1092</v>
      </c>
      <c r="B1693" t="s">
        <v>3123</v>
      </c>
      <c r="C1693">
        <v>1</v>
      </c>
      <c r="D1693">
        <v>1</v>
      </c>
      <c r="E1693">
        <v>1</v>
      </c>
      <c r="F1693">
        <v>1</v>
      </c>
      <c r="G1693">
        <v>0</v>
      </c>
      <c r="H1693" t="s">
        <v>2221</v>
      </c>
    </row>
    <row r="1694" spans="1:8">
      <c r="A1694" t="s">
        <v>8698</v>
      </c>
      <c r="B1694" t="s">
        <v>8697</v>
      </c>
      <c r="C1694">
        <v>1</v>
      </c>
      <c r="D1694">
        <v>1</v>
      </c>
      <c r="E1694">
        <v>1</v>
      </c>
      <c r="F1694">
        <v>1</v>
      </c>
      <c r="G1694">
        <v>0</v>
      </c>
      <c r="H1694" t="s">
        <v>2221</v>
      </c>
    </row>
    <row r="1695" spans="1:8">
      <c r="A1695" t="s">
        <v>8696</v>
      </c>
      <c r="B1695" t="s">
        <v>8695</v>
      </c>
      <c r="C1695">
        <v>1</v>
      </c>
      <c r="D1695">
        <v>1</v>
      </c>
      <c r="E1695">
        <v>1</v>
      </c>
      <c r="F1695">
        <v>1</v>
      </c>
      <c r="G1695">
        <v>0</v>
      </c>
      <c r="H1695" t="s">
        <v>2221</v>
      </c>
    </row>
    <row r="1696" spans="1:8">
      <c r="A1696" t="s">
        <v>8794</v>
      </c>
      <c r="B1696" t="s">
        <v>8793</v>
      </c>
      <c r="C1696">
        <v>1</v>
      </c>
      <c r="D1696">
        <v>1</v>
      </c>
      <c r="E1696">
        <v>1</v>
      </c>
      <c r="F1696">
        <v>1</v>
      </c>
      <c r="G1696">
        <v>0</v>
      </c>
      <c r="H1696" t="s">
        <v>2221</v>
      </c>
    </row>
    <row r="1697" spans="1:8">
      <c r="A1697" t="s">
        <v>1093</v>
      </c>
      <c r="B1697" t="s">
        <v>3124</v>
      </c>
      <c r="C1697">
        <v>1</v>
      </c>
      <c r="D1697">
        <v>1</v>
      </c>
      <c r="E1697">
        <v>1</v>
      </c>
      <c r="F1697">
        <v>1</v>
      </c>
      <c r="G1697">
        <v>0</v>
      </c>
      <c r="H1697" t="s">
        <v>2221</v>
      </c>
    </row>
    <row r="1698" spans="1:8">
      <c r="A1698" t="s">
        <v>8723</v>
      </c>
      <c r="B1698" t="s">
        <v>8722</v>
      </c>
      <c r="C1698">
        <v>1</v>
      </c>
      <c r="D1698">
        <v>1</v>
      </c>
      <c r="E1698">
        <v>1</v>
      </c>
      <c r="F1698">
        <v>1</v>
      </c>
      <c r="G1698">
        <v>0</v>
      </c>
      <c r="H1698" t="s">
        <v>2221</v>
      </c>
    </row>
    <row r="1699" spans="1:8">
      <c r="A1699" t="s">
        <v>8704</v>
      </c>
      <c r="B1699" t="s">
        <v>8703</v>
      </c>
      <c r="C1699">
        <v>1</v>
      </c>
      <c r="D1699">
        <v>1</v>
      </c>
      <c r="E1699">
        <v>1</v>
      </c>
      <c r="F1699">
        <v>1</v>
      </c>
      <c r="G1699">
        <v>0</v>
      </c>
      <c r="H1699" t="s">
        <v>2221</v>
      </c>
    </row>
    <row r="1700" spans="1:8">
      <c r="A1700" t="s">
        <v>8664</v>
      </c>
      <c r="B1700" t="s">
        <v>8663</v>
      </c>
      <c r="C1700">
        <v>1</v>
      </c>
      <c r="D1700">
        <v>1</v>
      </c>
      <c r="E1700">
        <v>1</v>
      </c>
      <c r="F1700">
        <v>1</v>
      </c>
      <c r="G1700">
        <v>0</v>
      </c>
      <c r="H1700" t="s">
        <v>2221</v>
      </c>
    </row>
    <row r="1701" spans="1:8">
      <c r="A1701" t="s">
        <v>1094</v>
      </c>
      <c r="B1701" t="s">
        <v>3126</v>
      </c>
      <c r="C1701">
        <v>1</v>
      </c>
      <c r="D1701">
        <v>1</v>
      </c>
      <c r="E1701">
        <v>1</v>
      </c>
      <c r="F1701">
        <v>1</v>
      </c>
      <c r="G1701">
        <v>0</v>
      </c>
      <c r="H1701" t="s">
        <v>2221</v>
      </c>
    </row>
    <row r="1702" spans="1:8">
      <c r="A1702" t="s">
        <v>1094</v>
      </c>
      <c r="B1702" t="s">
        <v>3125</v>
      </c>
      <c r="C1702">
        <v>1</v>
      </c>
      <c r="D1702">
        <v>1</v>
      </c>
      <c r="E1702">
        <v>1</v>
      </c>
      <c r="F1702">
        <v>1</v>
      </c>
      <c r="G1702">
        <v>0</v>
      </c>
      <c r="H1702" t="s">
        <v>2221</v>
      </c>
    </row>
    <row r="1703" spans="1:8">
      <c r="A1703" t="s">
        <v>6387</v>
      </c>
      <c r="B1703" t="s">
        <v>6386</v>
      </c>
      <c r="C1703">
        <v>1</v>
      </c>
      <c r="D1703">
        <v>1</v>
      </c>
      <c r="E1703">
        <v>1</v>
      </c>
      <c r="F1703">
        <v>1</v>
      </c>
      <c r="G1703">
        <v>0</v>
      </c>
      <c r="H1703" t="s">
        <v>2221</v>
      </c>
    </row>
    <row r="1704" spans="1:8">
      <c r="A1704" t="s">
        <v>8725</v>
      </c>
      <c r="B1704" t="s">
        <v>8724</v>
      </c>
      <c r="C1704">
        <v>1</v>
      </c>
      <c r="D1704">
        <v>1</v>
      </c>
      <c r="E1704">
        <v>1</v>
      </c>
      <c r="F1704">
        <v>1</v>
      </c>
      <c r="G1704">
        <v>0</v>
      </c>
      <c r="H1704" t="s">
        <v>2221</v>
      </c>
    </row>
    <row r="1705" spans="1:8">
      <c r="A1705" t="s">
        <v>8534</v>
      </c>
      <c r="B1705" t="s">
        <v>8533</v>
      </c>
      <c r="C1705">
        <v>1</v>
      </c>
      <c r="D1705">
        <v>1</v>
      </c>
      <c r="E1705">
        <v>1</v>
      </c>
      <c r="F1705">
        <v>1</v>
      </c>
      <c r="G1705">
        <v>0</v>
      </c>
      <c r="H1705" t="s">
        <v>2221</v>
      </c>
    </row>
    <row r="1706" spans="1:8">
      <c r="A1706" t="s">
        <v>1095</v>
      </c>
      <c r="B1706" t="s">
        <v>3127</v>
      </c>
      <c r="C1706">
        <v>1</v>
      </c>
      <c r="D1706">
        <v>1</v>
      </c>
      <c r="E1706">
        <v>1</v>
      </c>
      <c r="F1706">
        <v>1</v>
      </c>
      <c r="G1706">
        <v>0</v>
      </c>
      <c r="H1706" t="s">
        <v>2221</v>
      </c>
    </row>
    <row r="1707" spans="1:8">
      <c r="A1707" t="s">
        <v>1095</v>
      </c>
      <c r="B1707" t="s">
        <v>3128</v>
      </c>
      <c r="C1707">
        <v>1</v>
      </c>
      <c r="D1707">
        <v>1</v>
      </c>
      <c r="E1707">
        <v>1</v>
      </c>
      <c r="F1707">
        <v>1</v>
      </c>
      <c r="G1707">
        <v>0</v>
      </c>
      <c r="H1707" t="s">
        <v>2221</v>
      </c>
    </row>
    <row r="1708" spans="1:8">
      <c r="A1708" t="s">
        <v>8605</v>
      </c>
      <c r="B1708" t="s">
        <v>8604</v>
      </c>
      <c r="C1708">
        <v>1</v>
      </c>
      <c r="D1708">
        <v>1</v>
      </c>
      <c r="E1708">
        <v>1</v>
      </c>
      <c r="F1708">
        <v>1</v>
      </c>
      <c r="G1708">
        <v>0</v>
      </c>
      <c r="H1708" t="s">
        <v>2221</v>
      </c>
    </row>
    <row r="1709" spans="1:8">
      <c r="A1709" t="s">
        <v>1096</v>
      </c>
      <c r="B1709" t="s">
        <v>3129</v>
      </c>
      <c r="C1709">
        <v>1</v>
      </c>
      <c r="D1709">
        <v>1</v>
      </c>
      <c r="E1709">
        <v>1</v>
      </c>
      <c r="F1709">
        <v>1</v>
      </c>
      <c r="G1709">
        <v>0</v>
      </c>
      <c r="H1709" t="s">
        <v>2221</v>
      </c>
    </row>
    <row r="1710" spans="1:8">
      <c r="A1710" t="s">
        <v>8727</v>
      </c>
      <c r="B1710" t="s">
        <v>8726</v>
      </c>
      <c r="C1710">
        <v>1</v>
      </c>
      <c r="D1710">
        <v>1</v>
      </c>
      <c r="E1710">
        <v>1</v>
      </c>
      <c r="F1710">
        <v>1</v>
      </c>
      <c r="G1710">
        <v>0</v>
      </c>
      <c r="H1710" t="s">
        <v>2221</v>
      </c>
    </row>
    <row r="1711" spans="1:8">
      <c r="A1711" t="s">
        <v>8729</v>
      </c>
      <c r="B1711" t="s">
        <v>8728</v>
      </c>
      <c r="C1711">
        <v>1</v>
      </c>
      <c r="D1711">
        <v>1</v>
      </c>
      <c r="E1711">
        <v>1</v>
      </c>
      <c r="F1711">
        <v>1</v>
      </c>
      <c r="G1711">
        <v>0</v>
      </c>
      <c r="H1711" t="s">
        <v>2221</v>
      </c>
    </row>
    <row r="1712" spans="1:8">
      <c r="A1712" t="s">
        <v>8536</v>
      </c>
      <c r="B1712" t="s">
        <v>8535</v>
      </c>
      <c r="C1712">
        <v>1</v>
      </c>
      <c r="D1712">
        <v>1</v>
      </c>
      <c r="E1712">
        <v>1</v>
      </c>
      <c r="F1712">
        <v>1</v>
      </c>
      <c r="G1712">
        <v>0</v>
      </c>
      <c r="H1712" t="s">
        <v>2221</v>
      </c>
    </row>
    <row r="1713" spans="1:8">
      <c r="A1713" t="s">
        <v>1097</v>
      </c>
      <c r="B1713" t="s">
        <v>3130</v>
      </c>
      <c r="C1713">
        <v>1</v>
      </c>
      <c r="D1713">
        <v>1</v>
      </c>
      <c r="E1713">
        <v>1</v>
      </c>
      <c r="F1713">
        <v>1</v>
      </c>
      <c r="G1713">
        <v>0</v>
      </c>
      <c r="H1713" t="s">
        <v>2221</v>
      </c>
    </row>
    <row r="1714" spans="1:8">
      <c r="A1714" t="s">
        <v>1098</v>
      </c>
      <c r="B1714" t="s">
        <v>3131</v>
      </c>
      <c r="C1714">
        <v>1</v>
      </c>
      <c r="D1714">
        <v>1</v>
      </c>
      <c r="E1714">
        <v>1</v>
      </c>
      <c r="F1714">
        <v>1</v>
      </c>
      <c r="G1714">
        <v>0</v>
      </c>
      <c r="H1714" t="s">
        <v>2221</v>
      </c>
    </row>
    <row r="1715" spans="1:8">
      <c r="A1715" t="s">
        <v>8638</v>
      </c>
      <c r="B1715" t="s">
        <v>8637</v>
      </c>
      <c r="C1715">
        <v>1</v>
      </c>
      <c r="D1715">
        <v>1</v>
      </c>
      <c r="E1715">
        <v>1</v>
      </c>
      <c r="F1715">
        <v>1</v>
      </c>
      <c r="G1715">
        <v>0</v>
      </c>
      <c r="H1715" t="s">
        <v>2221</v>
      </c>
    </row>
    <row r="1716" spans="1:8">
      <c r="A1716" t="s">
        <v>1099</v>
      </c>
      <c r="B1716" t="s">
        <v>3132</v>
      </c>
      <c r="C1716">
        <v>1</v>
      </c>
      <c r="D1716">
        <v>1</v>
      </c>
      <c r="E1716">
        <v>1</v>
      </c>
      <c r="F1716">
        <v>1</v>
      </c>
      <c r="G1716">
        <v>0</v>
      </c>
      <c r="H1716" t="s">
        <v>2221</v>
      </c>
    </row>
    <row r="1717" spans="1:8">
      <c r="A1717" t="s">
        <v>1100</v>
      </c>
      <c r="B1717" t="s">
        <v>3133</v>
      </c>
      <c r="C1717">
        <v>1</v>
      </c>
      <c r="D1717">
        <v>1</v>
      </c>
      <c r="E1717">
        <v>1</v>
      </c>
      <c r="F1717">
        <v>1</v>
      </c>
      <c r="G1717">
        <v>0</v>
      </c>
      <c r="H1717" t="s">
        <v>2221</v>
      </c>
    </row>
    <row r="1718" spans="1:8">
      <c r="A1718" t="s">
        <v>8540</v>
      </c>
      <c r="B1718" t="s">
        <v>8539</v>
      </c>
      <c r="C1718">
        <v>1</v>
      </c>
      <c r="D1718">
        <v>1</v>
      </c>
      <c r="E1718">
        <v>1</v>
      </c>
      <c r="F1718">
        <v>1</v>
      </c>
      <c r="G1718">
        <v>0</v>
      </c>
      <c r="H1718" t="s">
        <v>2221</v>
      </c>
    </row>
    <row r="1719" spans="1:8">
      <c r="A1719" t="s">
        <v>8609</v>
      </c>
      <c r="B1719" t="s">
        <v>8608</v>
      </c>
      <c r="C1719">
        <v>1</v>
      </c>
      <c r="D1719">
        <v>1</v>
      </c>
      <c r="E1719">
        <v>1</v>
      </c>
      <c r="F1719">
        <v>1</v>
      </c>
      <c r="G1719">
        <v>0</v>
      </c>
      <c r="H1719" t="s">
        <v>2221</v>
      </c>
    </row>
    <row r="1720" spans="1:8">
      <c r="A1720" t="s">
        <v>8607</v>
      </c>
      <c r="B1720" t="s">
        <v>8606</v>
      </c>
      <c r="C1720">
        <v>1</v>
      </c>
      <c r="D1720">
        <v>1</v>
      </c>
      <c r="E1720">
        <v>1</v>
      </c>
      <c r="F1720">
        <v>1</v>
      </c>
      <c r="G1720">
        <v>0</v>
      </c>
      <c r="H1720" t="s">
        <v>2221</v>
      </c>
    </row>
    <row r="1721" spans="1:8">
      <c r="A1721" t="s">
        <v>8731</v>
      </c>
      <c r="B1721" t="s">
        <v>8730</v>
      </c>
      <c r="C1721">
        <v>1</v>
      </c>
      <c r="D1721">
        <v>1</v>
      </c>
      <c r="E1721">
        <v>1</v>
      </c>
      <c r="F1721">
        <v>1</v>
      </c>
      <c r="G1721">
        <v>0</v>
      </c>
      <c r="H1721" t="s">
        <v>2221</v>
      </c>
    </row>
    <row r="1722" spans="1:8">
      <c r="A1722" t="s">
        <v>1101</v>
      </c>
      <c r="B1722" t="s">
        <v>3134</v>
      </c>
      <c r="C1722">
        <v>1</v>
      </c>
      <c r="D1722">
        <v>1</v>
      </c>
      <c r="E1722">
        <v>1</v>
      </c>
      <c r="F1722">
        <v>1</v>
      </c>
      <c r="G1722">
        <v>0</v>
      </c>
      <c r="H1722" t="s">
        <v>2221</v>
      </c>
    </row>
    <row r="1723" spans="1:8">
      <c r="A1723" t="s">
        <v>8542</v>
      </c>
      <c r="B1723" t="s">
        <v>8541</v>
      </c>
      <c r="C1723">
        <v>1</v>
      </c>
      <c r="D1723">
        <v>1</v>
      </c>
      <c r="E1723">
        <v>1</v>
      </c>
      <c r="F1723">
        <v>1</v>
      </c>
      <c r="G1723">
        <v>0</v>
      </c>
      <c r="H1723" t="s">
        <v>2221</v>
      </c>
    </row>
    <row r="1724" spans="1:8">
      <c r="A1724" t="s">
        <v>8721</v>
      </c>
      <c r="B1724" t="s">
        <v>8720</v>
      </c>
      <c r="C1724">
        <v>1</v>
      </c>
      <c r="D1724">
        <v>1</v>
      </c>
      <c r="E1724">
        <v>1</v>
      </c>
      <c r="F1724">
        <v>1</v>
      </c>
      <c r="G1724">
        <v>0</v>
      </c>
      <c r="H1724" t="s">
        <v>2221</v>
      </c>
    </row>
    <row r="1725" spans="1:8">
      <c r="A1725" t="s">
        <v>8640</v>
      </c>
      <c r="B1725" t="s">
        <v>8639</v>
      </c>
      <c r="C1725">
        <v>1</v>
      </c>
      <c r="D1725">
        <v>1</v>
      </c>
      <c r="E1725">
        <v>1</v>
      </c>
      <c r="F1725">
        <v>1</v>
      </c>
      <c r="G1725">
        <v>0</v>
      </c>
      <c r="H1725" t="s">
        <v>2221</v>
      </c>
    </row>
    <row r="1726" spans="1:8">
      <c r="A1726" t="s">
        <v>8718</v>
      </c>
      <c r="B1726" t="s">
        <v>8717</v>
      </c>
      <c r="C1726">
        <v>1</v>
      </c>
      <c r="D1726">
        <v>1</v>
      </c>
      <c r="E1726">
        <v>1</v>
      </c>
      <c r="F1726">
        <v>1</v>
      </c>
      <c r="G1726">
        <v>0</v>
      </c>
      <c r="H1726" t="s">
        <v>2221</v>
      </c>
    </row>
    <row r="1727" spans="1:8">
      <c r="A1727" t="s">
        <v>1102</v>
      </c>
      <c r="B1727" t="s">
        <v>3135</v>
      </c>
      <c r="C1727">
        <v>1</v>
      </c>
      <c r="D1727">
        <v>1</v>
      </c>
      <c r="E1727">
        <v>1</v>
      </c>
      <c r="F1727">
        <v>1</v>
      </c>
      <c r="G1727">
        <v>0</v>
      </c>
      <c r="H1727" t="s">
        <v>2221</v>
      </c>
    </row>
    <row r="1728" spans="1:8">
      <c r="A1728" t="s">
        <v>1103</v>
      </c>
      <c r="B1728" t="s">
        <v>3136</v>
      </c>
      <c r="C1728">
        <v>1</v>
      </c>
      <c r="D1728">
        <v>1</v>
      </c>
      <c r="E1728">
        <v>1</v>
      </c>
      <c r="F1728">
        <v>1</v>
      </c>
      <c r="G1728">
        <v>0</v>
      </c>
      <c r="H1728" t="s">
        <v>2221</v>
      </c>
    </row>
    <row r="1729" spans="1:8">
      <c r="A1729" t="s">
        <v>1104</v>
      </c>
      <c r="B1729" t="s">
        <v>3137</v>
      </c>
      <c r="C1729">
        <v>1</v>
      </c>
      <c r="D1729">
        <v>1</v>
      </c>
      <c r="E1729">
        <v>1</v>
      </c>
      <c r="F1729">
        <v>1</v>
      </c>
      <c r="G1729">
        <v>0</v>
      </c>
      <c r="H1729" t="s">
        <v>2221</v>
      </c>
    </row>
    <row r="1730" spans="1:8">
      <c r="A1730" t="s">
        <v>8611</v>
      </c>
      <c r="B1730" t="s">
        <v>8610</v>
      </c>
      <c r="C1730">
        <v>1</v>
      </c>
      <c r="D1730">
        <v>1</v>
      </c>
      <c r="E1730">
        <v>1</v>
      </c>
      <c r="F1730">
        <v>1</v>
      </c>
      <c r="G1730">
        <v>0</v>
      </c>
      <c r="H1730" t="s">
        <v>2221</v>
      </c>
    </row>
    <row r="1731" spans="1:8">
      <c r="A1731" t="s">
        <v>8615</v>
      </c>
      <c r="B1731" t="s">
        <v>8614</v>
      </c>
      <c r="C1731">
        <v>1</v>
      </c>
      <c r="D1731">
        <v>1</v>
      </c>
      <c r="E1731">
        <v>1</v>
      </c>
      <c r="F1731">
        <v>1</v>
      </c>
      <c r="G1731">
        <v>0</v>
      </c>
      <c r="H1731" t="s">
        <v>2221</v>
      </c>
    </row>
    <row r="1732" spans="1:8">
      <c r="A1732" t="s">
        <v>1105</v>
      </c>
      <c r="B1732" t="s">
        <v>3138</v>
      </c>
      <c r="C1732">
        <v>1</v>
      </c>
      <c r="D1732">
        <v>1</v>
      </c>
      <c r="E1732">
        <v>1</v>
      </c>
      <c r="F1732">
        <v>1</v>
      </c>
      <c r="G1732">
        <v>0</v>
      </c>
      <c r="H1732" t="s">
        <v>2221</v>
      </c>
    </row>
    <row r="1733" spans="1:8">
      <c r="A1733" t="s">
        <v>1106</v>
      </c>
      <c r="B1733" t="s">
        <v>3139</v>
      </c>
      <c r="C1733">
        <v>1</v>
      </c>
      <c r="D1733">
        <v>1</v>
      </c>
      <c r="E1733">
        <v>1</v>
      </c>
      <c r="F1733">
        <v>1</v>
      </c>
      <c r="G1733">
        <v>0</v>
      </c>
      <c r="H1733" t="s">
        <v>2221</v>
      </c>
    </row>
    <row r="1734" spans="1:8">
      <c r="A1734" t="s">
        <v>1107</v>
      </c>
      <c r="B1734" t="s">
        <v>3140</v>
      </c>
      <c r="C1734">
        <v>1</v>
      </c>
      <c r="D1734">
        <v>1</v>
      </c>
      <c r="E1734">
        <v>1</v>
      </c>
      <c r="F1734">
        <v>1</v>
      </c>
      <c r="G1734">
        <v>0</v>
      </c>
      <c r="H1734" t="s">
        <v>2221</v>
      </c>
    </row>
    <row r="1735" spans="1:8">
      <c r="A1735" t="s">
        <v>8642</v>
      </c>
      <c r="B1735" t="s">
        <v>8641</v>
      </c>
      <c r="C1735">
        <v>1</v>
      </c>
      <c r="D1735">
        <v>1</v>
      </c>
      <c r="E1735">
        <v>1</v>
      </c>
      <c r="F1735">
        <v>1</v>
      </c>
      <c r="G1735">
        <v>0</v>
      </c>
      <c r="H1735" t="s">
        <v>2221</v>
      </c>
    </row>
    <row r="1736" spans="1:8">
      <c r="A1736" t="s">
        <v>8544</v>
      </c>
      <c r="B1736" t="s">
        <v>8543</v>
      </c>
      <c r="C1736">
        <v>1</v>
      </c>
      <c r="D1736">
        <v>1</v>
      </c>
      <c r="E1736">
        <v>1</v>
      </c>
      <c r="F1736">
        <v>1</v>
      </c>
      <c r="G1736">
        <v>0</v>
      </c>
      <c r="H1736" t="s">
        <v>2221</v>
      </c>
    </row>
    <row r="1737" spans="1:8">
      <c r="A1737" t="s">
        <v>8733</v>
      </c>
      <c r="B1737" t="s">
        <v>8732</v>
      </c>
      <c r="C1737">
        <v>1</v>
      </c>
      <c r="D1737">
        <v>1</v>
      </c>
      <c r="E1737">
        <v>1</v>
      </c>
      <c r="F1737">
        <v>1</v>
      </c>
      <c r="G1737">
        <v>0</v>
      </c>
      <c r="H1737" t="s">
        <v>2221</v>
      </c>
    </row>
    <row r="1738" spans="1:8">
      <c r="A1738" t="s">
        <v>8735</v>
      </c>
      <c r="B1738" t="s">
        <v>8734</v>
      </c>
      <c r="C1738">
        <v>1</v>
      </c>
      <c r="D1738">
        <v>1</v>
      </c>
      <c r="E1738">
        <v>1</v>
      </c>
      <c r="F1738">
        <v>1</v>
      </c>
      <c r="G1738">
        <v>0</v>
      </c>
      <c r="H1738" t="s">
        <v>2203</v>
      </c>
    </row>
    <row r="1739" spans="1:8">
      <c r="A1739" t="s">
        <v>8737</v>
      </c>
      <c r="B1739" t="s">
        <v>8736</v>
      </c>
      <c r="C1739">
        <v>1</v>
      </c>
      <c r="D1739">
        <v>1</v>
      </c>
      <c r="E1739">
        <v>1</v>
      </c>
      <c r="F1739">
        <v>1</v>
      </c>
      <c r="G1739">
        <v>0</v>
      </c>
      <c r="H1739" t="s">
        <v>2221</v>
      </c>
    </row>
    <row r="1740" spans="1:8">
      <c r="A1740" t="s">
        <v>8739</v>
      </c>
      <c r="B1740" t="s">
        <v>8738</v>
      </c>
      <c r="C1740">
        <v>1</v>
      </c>
      <c r="D1740">
        <v>1</v>
      </c>
      <c r="E1740">
        <v>1</v>
      </c>
      <c r="F1740">
        <v>1</v>
      </c>
      <c r="G1740">
        <v>0</v>
      </c>
      <c r="H1740" t="s">
        <v>2221</v>
      </c>
    </row>
    <row r="1741" spans="1:8">
      <c r="A1741" t="s">
        <v>8741</v>
      </c>
      <c r="B1741" t="s">
        <v>8740</v>
      </c>
      <c r="C1741">
        <v>1</v>
      </c>
      <c r="D1741">
        <v>1</v>
      </c>
      <c r="E1741">
        <v>1</v>
      </c>
      <c r="F1741">
        <v>1</v>
      </c>
      <c r="G1741">
        <v>0</v>
      </c>
      <c r="H1741" t="s">
        <v>2221</v>
      </c>
    </row>
    <row r="1742" spans="1:8">
      <c r="A1742" t="s">
        <v>8743</v>
      </c>
      <c r="B1742" t="s">
        <v>8742</v>
      </c>
      <c r="C1742">
        <v>1</v>
      </c>
      <c r="D1742">
        <v>1</v>
      </c>
      <c r="E1742">
        <v>1</v>
      </c>
      <c r="F1742">
        <v>1</v>
      </c>
      <c r="G1742">
        <v>0</v>
      </c>
      <c r="H1742" t="s">
        <v>2221</v>
      </c>
    </row>
    <row r="1743" spans="1:8">
      <c r="A1743" t="s">
        <v>1108</v>
      </c>
      <c r="B1743" t="s">
        <v>3141</v>
      </c>
      <c r="C1743">
        <v>1</v>
      </c>
      <c r="D1743">
        <v>1</v>
      </c>
      <c r="E1743">
        <v>1</v>
      </c>
      <c r="F1743">
        <v>1</v>
      </c>
      <c r="G1743">
        <v>0</v>
      </c>
      <c r="H1743" t="s">
        <v>2221</v>
      </c>
    </row>
    <row r="1744" spans="1:8">
      <c r="A1744" t="s">
        <v>1109</v>
      </c>
      <c r="B1744" t="s">
        <v>3142</v>
      </c>
      <c r="C1744">
        <v>1</v>
      </c>
      <c r="D1744">
        <v>1</v>
      </c>
      <c r="E1744">
        <v>1</v>
      </c>
      <c r="F1744">
        <v>1</v>
      </c>
      <c r="G1744">
        <v>0</v>
      </c>
      <c r="H1744" t="s">
        <v>2221</v>
      </c>
    </row>
    <row r="1745" spans="1:8">
      <c r="A1745" t="s">
        <v>1110</v>
      </c>
      <c r="B1745" t="s">
        <v>3143</v>
      </c>
      <c r="C1745">
        <v>1</v>
      </c>
      <c r="D1745">
        <v>1</v>
      </c>
      <c r="E1745">
        <v>1</v>
      </c>
      <c r="F1745">
        <v>1</v>
      </c>
      <c r="G1745">
        <v>0</v>
      </c>
      <c r="H1745" t="s">
        <v>2221</v>
      </c>
    </row>
    <row r="1746" spans="1:8">
      <c r="A1746" t="s">
        <v>8619</v>
      </c>
      <c r="B1746" t="s">
        <v>8618</v>
      </c>
      <c r="C1746">
        <v>1</v>
      </c>
      <c r="D1746">
        <v>1</v>
      </c>
      <c r="E1746">
        <v>1</v>
      </c>
      <c r="F1746">
        <v>1</v>
      </c>
      <c r="G1746">
        <v>0</v>
      </c>
      <c r="H1746" t="s">
        <v>2221</v>
      </c>
    </row>
    <row r="1747" spans="1:8">
      <c r="A1747" t="s">
        <v>8712</v>
      </c>
      <c r="B1747" t="s">
        <v>8711</v>
      </c>
      <c r="C1747">
        <v>1</v>
      </c>
      <c r="D1747">
        <v>1</v>
      </c>
      <c r="E1747">
        <v>1</v>
      </c>
      <c r="F1747">
        <v>1</v>
      </c>
      <c r="G1747">
        <v>0</v>
      </c>
      <c r="H1747" t="s">
        <v>2221</v>
      </c>
    </row>
    <row r="1748" spans="1:8">
      <c r="A1748" t="s">
        <v>8546</v>
      </c>
      <c r="B1748" t="s">
        <v>8545</v>
      </c>
      <c r="C1748">
        <v>1</v>
      </c>
      <c r="D1748">
        <v>1</v>
      </c>
      <c r="E1748">
        <v>1</v>
      </c>
      <c r="F1748">
        <v>1</v>
      </c>
      <c r="G1748">
        <v>0</v>
      </c>
      <c r="H1748" t="s">
        <v>2221</v>
      </c>
    </row>
    <row r="1749" spans="1:8">
      <c r="A1749" t="s">
        <v>1111</v>
      </c>
      <c r="B1749" t="s">
        <v>3144</v>
      </c>
      <c r="C1749">
        <v>1</v>
      </c>
      <c r="D1749">
        <v>1</v>
      </c>
      <c r="E1749">
        <v>1</v>
      </c>
      <c r="F1749">
        <v>1</v>
      </c>
      <c r="G1749">
        <v>0</v>
      </c>
      <c r="H1749" t="s">
        <v>2221</v>
      </c>
    </row>
    <row r="1750" spans="1:8">
      <c r="A1750" t="s">
        <v>8745</v>
      </c>
      <c r="B1750" t="s">
        <v>8744</v>
      </c>
      <c r="C1750">
        <v>1</v>
      </c>
      <c r="D1750">
        <v>1</v>
      </c>
      <c r="E1750">
        <v>1</v>
      </c>
      <c r="F1750">
        <v>1</v>
      </c>
      <c r="G1750">
        <v>0</v>
      </c>
      <c r="H1750" t="s">
        <v>2221</v>
      </c>
    </row>
    <row r="1751" spans="1:8">
      <c r="A1751" t="s">
        <v>1112</v>
      </c>
      <c r="B1751" t="s">
        <v>3145</v>
      </c>
      <c r="C1751">
        <v>1</v>
      </c>
      <c r="D1751">
        <v>1</v>
      </c>
      <c r="E1751">
        <v>1</v>
      </c>
      <c r="F1751">
        <v>1</v>
      </c>
      <c r="G1751">
        <v>0</v>
      </c>
      <c r="H1751" t="s">
        <v>2221</v>
      </c>
    </row>
    <row r="1752" spans="1:8">
      <c r="A1752" t="s">
        <v>1113</v>
      </c>
      <c r="B1752" t="s">
        <v>3146</v>
      </c>
      <c r="C1752">
        <v>1</v>
      </c>
      <c r="D1752">
        <v>1</v>
      </c>
      <c r="E1752">
        <v>1</v>
      </c>
      <c r="F1752">
        <v>1</v>
      </c>
      <c r="G1752">
        <v>0</v>
      </c>
      <c r="H1752" t="s">
        <v>2221</v>
      </c>
    </row>
    <row r="1753" spans="1:8">
      <c r="A1753" t="s">
        <v>8810</v>
      </c>
      <c r="B1753" t="s">
        <v>8809</v>
      </c>
      <c r="C1753">
        <v>1</v>
      </c>
      <c r="D1753">
        <v>1</v>
      </c>
      <c r="E1753">
        <v>1</v>
      </c>
      <c r="F1753">
        <v>1</v>
      </c>
      <c r="G1753">
        <v>0</v>
      </c>
      <c r="H1753" t="s">
        <v>2221</v>
      </c>
    </row>
    <row r="1754" spans="1:8">
      <c r="A1754" t="s">
        <v>1114</v>
      </c>
      <c r="B1754" t="s">
        <v>3147</v>
      </c>
      <c r="C1754">
        <v>1</v>
      </c>
      <c r="D1754">
        <v>1</v>
      </c>
      <c r="E1754">
        <v>1</v>
      </c>
      <c r="F1754">
        <v>1</v>
      </c>
      <c r="G1754">
        <v>0</v>
      </c>
      <c r="H1754" t="s">
        <v>2221</v>
      </c>
    </row>
    <row r="1755" spans="1:8">
      <c r="A1755" t="s">
        <v>1115</v>
      </c>
      <c r="B1755" t="s">
        <v>3148</v>
      </c>
      <c r="C1755">
        <v>1</v>
      </c>
      <c r="D1755">
        <v>1</v>
      </c>
      <c r="E1755">
        <v>1</v>
      </c>
      <c r="F1755">
        <v>1</v>
      </c>
      <c r="G1755">
        <v>0</v>
      </c>
      <c r="H1755" t="s">
        <v>2221</v>
      </c>
    </row>
    <row r="1756" spans="1:8">
      <c r="A1756" t="s">
        <v>1116</v>
      </c>
      <c r="B1756" t="s">
        <v>3149</v>
      </c>
      <c r="C1756">
        <v>1</v>
      </c>
      <c r="D1756">
        <v>1</v>
      </c>
      <c r="E1756">
        <v>1</v>
      </c>
      <c r="F1756">
        <v>1</v>
      </c>
      <c r="G1756">
        <v>0</v>
      </c>
      <c r="H1756" t="s">
        <v>2221</v>
      </c>
    </row>
    <row r="1757" spans="1:8">
      <c r="A1757" t="s">
        <v>8796</v>
      </c>
      <c r="B1757" t="s">
        <v>8795</v>
      </c>
      <c r="C1757">
        <v>1</v>
      </c>
      <c r="D1757">
        <v>1</v>
      </c>
      <c r="E1757">
        <v>1</v>
      </c>
      <c r="F1757">
        <v>1</v>
      </c>
      <c r="G1757">
        <v>0</v>
      </c>
      <c r="H1757" t="s">
        <v>2221</v>
      </c>
    </row>
    <row r="1758" spans="1:8">
      <c r="A1758" t="s">
        <v>1117</v>
      </c>
      <c r="B1758" t="s">
        <v>3150</v>
      </c>
      <c r="C1758">
        <v>1</v>
      </c>
      <c r="D1758">
        <v>1</v>
      </c>
      <c r="E1758">
        <v>1</v>
      </c>
      <c r="F1758">
        <v>1</v>
      </c>
      <c r="G1758">
        <v>0</v>
      </c>
      <c r="H1758" t="s">
        <v>2221</v>
      </c>
    </row>
    <row r="1759" spans="1:8">
      <c r="A1759" t="s">
        <v>8550</v>
      </c>
      <c r="B1759" t="s">
        <v>8549</v>
      </c>
      <c r="C1759">
        <v>1</v>
      </c>
      <c r="D1759">
        <v>1</v>
      </c>
      <c r="E1759">
        <v>1</v>
      </c>
      <c r="F1759">
        <v>1</v>
      </c>
      <c r="G1759">
        <v>0</v>
      </c>
      <c r="H1759" t="s">
        <v>2221</v>
      </c>
    </row>
    <row r="1760" spans="1:8">
      <c r="A1760" t="s">
        <v>8714</v>
      </c>
      <c r="B1760" t="s">
        <v>8713</v>
      </c>
      <c r="C1760">
        <v>1</v>
      </c>
      <c r="D1760">
        <v>1</v>
      </c>
      <c r="E1760">
        <v>1</v>
      </c>
      <c r="F1760">
        <v>1</v>
      </c>
      <c r="G1760">
        <v>0</v>
      </c>
      <c r="H1760" t="s">
        <v>2221</v>
      </c>
    </row>
    <row r="1761" spans="1:8">
      <c r="A1761" t="s">
        <v>8552</v>
      </c>
      <c r="B1761" t="s">
        <v>8551</v>
      </c>
      <c r="C1761">
        <v>1</v>
      </c>
      <c r="D1761">
        <v>1</v>
      </c>
      <c r="E1761">
        <v>1</v>
      </c>
      <c r="F1761">
        <v>1</v>
      </c>
      <c r="G1761">
        <v>0</v>
      </c>
      <c r="H1761" t="s">
        <v>2221</v>
      </c>
    </row>
    <row r="1762" spans="1:8">
      <c r="A1762" t="s">
        <v>1118</v>
      </c>
      <c r="B1762" t="s">
        <v>3151</v>
      </c>
      <c r="C1762">
        <v>1</v>
      </c>
      <c r="D1762">
        <v>1</v>
      </c>
      <c r="E1762">
        <v>1</v>
      </c>
      <c r="F1762">
        <v>1</v>
      </c>
      <c r="G1762">
        <v>0</v>
      </c>
      <c r="H1762" t="s">
        <v>2221</v>
      </c>
    </row>
    <row r="1763" spans="1:8">
      <c r="A1763" t="s">
        <v>1119</v>
      </c>
      <c r="B1763" t="s">
        <v>3152</v>
      </c>
      <c r="C1763">
        <v>1</v>
      </c>
      <c r="D1763">
        <v>1</v>
      </c>
      <c r="E1763">
        <v>1</v>
      </c>
      <c r="F1763">
        <v>1</v>
      </c>
      <c r="G1763">
        <v>0</v>
      </c>
      <c r="H1763" t="s">
        <v>2221</v>
      </c>
    </row>
    <row r="1764" spans="1:8">
      <c r="A1764" t="s">
        <v>8599</v>
      </c>
      <c r="B1764" t="s">
        <v>8598</v>
      </c>
      <c r="C1764">
        <v>1</v>
      </c>
      <c r="D1764">
        <v>1</v>
      </c>
      <c r="E1764">
        <v>1</v>
      </c>
      <c r="F1764">
        <v>1</v>
      </c>
      <c r="G1764">
        <v>0</v>
      </c>
      <c r="H1764" t="s">
        <v>2221</v>
      </c>
    </row>
    <row r="1765" spans="1:8">
      <c r="A1765" t="s">
        <v>1120</v>
      </c>
      <c r="B1765" t="s">
        <v>3153</v>
      </c>
      <c r="C1765">
        <v>1</v>
      </c>
      <c r="D1765">
        <v>1</v>
      </c>
      <c r="E1765">
        <v>1</v>
      </c>
      <c r="F1765">
        <v>1</v>
      </c>
      <c r="G1765">
        <v>0</v>
      </c>
      <c r="H1765" t="s">
        <v>2221</v>
      </c>
    </row>
    <row r="1766" spans="1:8">
      <c r="A1766" t="s">
        <v>8747</v>
      </c>
      <c r="B1766" t="s">
        <v>8746</v>
      </c>
      <c r="C1766">
        <v>1</v>
      </c>
      <c r="D1766">
        <v>1</v>
      </c>
      <c r="E1766">
        <v>1</v>
      </c>
      <c r="F1766">
        <v>1</v>
      </c>
      <c r="G1766">
        <v>0</v>
      </c>
      <c r="H1766" t="s">
        <v>2221</v>
      </c>
    </row>
    <row r="1767" spans="1:8">
      <c r="A1767" t="s">
        <v>1121</v>
      </c>
      <c r="B1767" t="s">
        <v>3154</v>
      </c>
      <c r="C1767">
        <v>1</v>
      </c>
      <c r="D1767">
        <v>1</v>
      </c>
      <c r="E1767">
        <v>1</v>
      </c>
      <c r="F1767">
        <v>1</v>
      </c>
      <c r="G1767">
        <v>0</v>
      </c>
      <c r="H1767" t="s">
        <v>2221</v>
      </c>
    </row>
    <row r="1768" spans="1:8">
      <c r="A1768" t="s">
        <v>1122</v>
      </c>
      <c r="B1768" t="s">
        <v>3155</v>
      </c>
      <c r="C1768">
        <v>1</v>
      </c>
      <c r="D1768">
        <v>1</v>
      </c>
      <c r="E1768">
        <v>1</v>
      </c>
      <c r="F1768">
        <v>1</v>
      </c>
      <c r="G1768">
        <v>0</v>
      </c>
      <c r="H1768" t="s">
        <v>2221</v>
      </c>
    </row>
    <row r="1769" spans="1:8">
      <c r="A1769" t="s">
        <v>8749</v>
      </c>
      <c r="B1769" t="s">
        <v>8748</v>
      </c>
      <c r="C1769">
        <v>1</v>
      </c>
      <c r="D1769">
        <v>1</v>
      </c>
      <c r="E1769">
        <v>1</v>
      </c>
      <c r="F1769">
        <v>1</v>
      </c>
      <c r="G1769">
        <v>0</v>
      </c>
      <c r="H1769" t="s">
        <v>2221</v>
      </c>
    </row>
    <row r="1770" spans="1:8">
      <c r="A1770" t="s">
        <v>1123</v>
      </c>
      <c r="B1770" t="s">
        <v>3156</v>
      </c>
      <c r="C1770">
        <v>1</v>
      </c>
      <c r="D1770">
        <v>1</v>
      </c>
      <c r="E1770">
        <v>1</v>
      </c>
      <c r="F1770">
        <v>1</v>
      </c>
      <c r="G1770">
        <v>0</v>
      </c>
      <c r="H1770" t="s">
        <v>2221</v>
      </c>
    </row>
    <row r="1771" spans="1:8">
      <c r="A1771" t="s">
        <v>8751</v>
      </c>
      <c r="B1771" t="s">
        <v>8750</v>
      </c>
      <c r="C1771">
        <v>1</v>
      </c>
      <c r="D1771">
        <v>1</v>
      </c>
      <c r="E1771">
        <v>1</v>
      </c>
      <c r="F1771">
        <v>1</v>
      </c>
      <c r="G1771">
        <v>0</v>
      </c>
      <c r="H1771" t="s">
        <v>2221</v>
      </c>
    </row>
    <row r="1772" spans="1:8">
      <c r="A1772" t="s">
        <v>1124</v>
      </c>
      <c r="B1772" t="s">
        <v>3157</v>
      </c>
      <c r="C1772">
        <v>1</v>
      </c>
      <c r="D1772">
        <v>1</v>
      </c>
      <c r="E1772">
        <v>1</v>
      </c>
      <c r="F1772">
        <v>1</v>
      </c>
      <c r="G1772">
        <v>0</v>
      </c>
      <c r="H1772" t="s">
        <v>2221</v>
      </c>
    </row>
    <row r="1773" spans="1:8">
      <c r="A1773" t="s">
        <v>8670</v>
      </c>
      <c r="B1773" t="s">
        <v>8669</v>
      </c>
      <c r="C1773">
        <v>1</v>
      </c>
      <c r="D1773">
        <v>1</v>
      </c>
      <c r="E1773">
        <v>1</v>
      </c>
      <c r="F1773">
        <v>1</v>
      </c>
      <c r="G1773">
        <v>0</v>
      </c>
      <c r="H1773" t="s">
        <v>2221</v>
      </c>
    </row>
    <row r="1774" spans="1:8">
      <c r="A1774" t="s">
        <v>8654</v>
      </c>
      <c r="B1774" t="s">
        <v>8653</v>
      </c>
      <c r="C1774">
        <v>1</v>
      </c>
      <c r="D1774">
        <v>1</v>
      </c>
      <c r="E1774">
        <v>1</v>
      </c>
      <c r="F1774">
        <v>1</v>
      </c>
      <c r="G1774">
        <v>0</v>
      </c>
      <c r="H1774" t="s">
        <v>2221</v>
      </c>
    </row>
    <row r="1775" spans="1:8">
      <c r="A1775" t="s">
        <v>1125</v>
      </c>
      <c r="B1775" t="s">
        <v>3158</v>
      </c>
      <c r="C1775">
        <v>1</v>
      </c>
      <c r="D1775">
        <v>1</v>
      </c>
      <c r="E1775">
        <v>1</v>
      </c>
      <c r="F1775">
        <v>1</v>
      </c>
      <c r="G1775">
        <v>0</v>
      </c>
      <c r="H1775" t="s">
        <v>2221</v>
      </c>
    </row>
    <row r="1776" spans="1:8">
      <c r="A1776" t="s">
        <v>8554</v>
      </c>
      <c r="B1776" t="s">
        <v>8553</v>
      </c>
      <c r="C1776">
        <v>1</v>
      </c>
      <c r="D1776">
        <v>1</v>
      </c>
      <c r="E1776">
        <v>1</v>
      </c>
      <c r="F1776">
        <v>1</v>
      </c>
      <c r="G1776">
        <v>0</v>
      </c>
      <c r="H1776" t="s">
        <v>2221</v>
      </c>
    </row>
    <row r="1777" spans="1:8">
      <c r="A1777" t="s">
        <v>6391</v>
      </c>
      <c r="B1777" t="s">
        <v>6390</v>
      </c>
      <c r="C1777">
        <v>1</v>
      </c>
      <c r="D1777">
        <v>1</v>
      </c>
      <c r="E1777">
        <v>1</v>
      </c>
      <c r="F1777">
        <v>1</v>
      </c>
      <c r="G1777">
        <v>0</v>
      </c>
      <c r="H1777" t="s">
        <v>2221</v>
      </c>
    </row>
    <row r="1778" spans="1:8">
      <c r="A1778" t="s">
        <v>6391</v>
      </c>
      <c r="B1778" t="s">
        <v>8719</v>
      </c>
      <c r="C1778">
        <v>1</v>
      </c>
      <c r="D1778">
        <v>1</v>
      </c>
      <c r="E1778">
        <v>1</v>
      </c>
      <c r="F1778">
        <v>1</v>
      </c>
      <c r="G1778">
        <v>0</v>
      </c>
      <c r="H1778" t="s">
        <v>2221</v>
      </c>
    </row>
    <row r="1779" spans="1:8">
      <c r="A1779" t="s">
        <v>8676</v>
      </c>
      <c r="B1779" t="s">
        <v>8675</v>
      </c>
      <c r="C1779">
        <v>1</v>
      </c>
      <c r="D1779">
        <v>1</v>
      </c>
      <c r="E1779">
        <v>1</v>
      </c>
      <c r="F1779">
        <v>1</v>
      </c>
      <c r="G1779">
        <v>0</v>
      </c>
      <c r="H1779" t="s">
        <v>2221</v>
      </c>
    </row>
    <row r="1780" spans="1:8">
      <c r="A1780" t="s">
        <v>8678</v>
      </c>
      <c r="B1780" t="s">
        <v>8677</v>
      </c>
      <c r="C1780">
        <v>1</v>
      </c>
      <c r="D1780">
        <v>1</v>
      </c>
      <c r="E1780">
        <v>1</v>
      </c>
      <c r="F1780">
        <v>1</v>
      </c>
      <c r="G1780">
        <v>0</v>
      </c>
      <c r="H1780" t="s">
        <v>2221</v>
      </c>
    </row>
    <row r="1781" spans="1:8">
      <c r="A1781" t="s">
        <v>8680</v>
      </c>
      <c r="B1781" t="s">
        <v>8679</v>
      </c>
      <c r="C1781">
        <v>1</v>
      </c>
      <c r="D1781">
        <v>1</v>
      </c>
      <c r="E1781">
        <v>1</v>
      </c>
      <c r="F1781">
        <v>1</v>
      </c>
      <c r="G1781">
        <v>0</v>
      </c>
      <c r="H1781" t="s">
        <v>2221</v>
      </c>
    </row>
    <row r="1782" spans="1:8">
      <c r="A1782" t="s">
        <v>8684</v>
      </c>
      <c r="B1782" t="s">
        <v>8683</v>
      </c>
      <c r="C1782">
        <v>1</v>
      </c>
      <c r="D1782">
        <v>1</v>
      </c>
      <c r="E1782">
        <v>1</v>
      </c>
      <c r="F1782">
        <v>1</v>
      </c>
      <c r="G1782">
        <v>0</v>
      </c>
      <c r="H1782" t="s">
        <v>2221</v>
      </c>
    </row>
    <row r="1783" spans="1:8">
      <c r="A1783" t="s">
        <v>8708</v>
      </c>
      <c r="B1783" t="s">
        <v>8707</v>
      </c>
      <c r="C1783">
        <v>1</v>
      </c>
      <c r="D1783">
        <v>1</v>
      </c>
      <c r="E1783">
        <v>1</v>
      </c>
      <c r="F1783">
        <v>1</v>
      </c>
      <c r="G1783">
        <v>0</v>
      </c>
      <c r="H1783" t="s">
        <v>2221</v>
      </c>
    </row>
    <row r="1784" spans="1:8">
      <c r="A1784" t="s">
        <v>6395</v>
      </c>
      <c r="B1784" t="s">
        <v>6394</v>
      </c>
      <c r="C1784">
        <v>1</v>
      </c>
      <c r="D1784">
        <v>1</v>
      </c>
      <c r="E1784">
        <v>1</v>
      </c>
      <c r="F1784">
        <v>1</v>
      </c>
      <c r="G1784">
        <v>0</v>
      </c>
      <c r="H1784" t="s">
        <v>2221</v>
      </c>
    </row>
    <row r="1785" spans="1:8">
      <c r="A1785" t="s">
        <v>6393</v>
      </c>
      <c r="B1785" t="s">
        <v>6392</v>
      </c>
      <c r="C1785">
        <v>1</v>
      </c>
      <c r="D1785">
        <v>1</v>
      </c>
      <c r="E1785">
        <v>1</v>
      </c>
      <c r="F1785">
        <v>1</v>
      </c>
      <c r="G1785">
        <v>0</v>
      </c>
      <c r="H1785" t="s">
        <v>2221</v>
      </c>
    </row>
    <row r="1786" spans="1:8">
      <c r="A1786" t="s">
        <v>8753</v>
      </c>
      <c r="B1786" t="s">
        <v>8752</v>
      </c>
      <c r="C1786">
        <v>1</v>
      </c>
      <c r="D1786">
        <v>1</v>
      </c>
      <c r="E1786">
        <v>1</v>
      </c>
      <c r="F1786">
        <v>1</v>
      </c>
      <c r="G1786">
        <v>0</v>
      </c>
      <c r="H1786" t="s">
        <v>2221</v>
      </c>
    </row>
    <row r="1787" spans="1:8">
      <c r="A1787" t="s">
        <v>1126</v>
      </c>
      <c r="B1787" t="s">
        <v>3159</v>
      </c>
      <c r="C1787">
        <v>1</v>
      </c>
      <c r="D1787">
        <v>1</v>
      </c>
      <c r="E1787">
        <v>1</v>
      </c>
      <c r="F1787">
        <v>1</v>
      </c>
      <c r="G1787">
        <v>0</v>
      </c>
      <c r="H1787" t="s">
        <v>2221</v>
      </c>
    </row>
    <row r="1788" spans="1:8">
      <c r="A1788" t="s">
        <v>8755</v>
      </c>
      <c r="B1788" t="s">
        <v>8754</v>
      </c>
      <c r="C1788">
        <v>1</v>
      </c>
      <c r="D1788">
        <v>1</v>
      </c>
      <c r="E1788">
        <v>1</v>
      </c>
      <c r="F1788">
        <v>1</v>
      </c>
      <c r="G1788">
        <v>0</v>
      </c>
      <c r="H1788" t="s">
        <v>2221</v>
      </c>
    </row>
    <row r="1789" spans="1:8">
      <c r="A1789" t="s">
        <v>8556</v>
      </c>
      <c r="B1789" t="s">
        <v>8555</v>
      </c>
      <c r="C1789">
        <v>1</v>
      </c>
      <c r="D1789">
        <v>1</v>
      </c>
      <c r="E1789">
        <v>1</v>
      </c>
      <c r="F1789">
        <v>1</v>
      </c>
      <c r="G1789">
        <v>0</v>
      </c>
      <c r="H1789" t="s">
        <v>2221</v>
      </c>
    </row>
    <row r="1790" spans="1:8">
      <c r="A1790" t="s">
        <v>8558</v>
      </c>
      <c r="B1790" t="s">
        <v>8557</v>
      </c>
      <c r="C1790">
        <v>1</v>
      </c>
      <c r="D1790">
        <v>1</v>
      </c>
      <c r="E1790">
        <v>1</v>
      </c>
      <c r="F1790">
        <v>1</v>
      </c>
      <c r="G1790">
        <v>0</v>
      </c>
      <c r="H1790" t="s">
        <v>2221</v>
      </c>
    </row>
    <row r="1791" spans="1:8">
      <c r="A1791" t="s">
        <v>8644</v>
      </c>
      <c r="B1791" t="s">
        <v>8643</v>
      </c>
      <c r="C1791">
        <v>1</v>
      </c>
      <c r="D1791">
        <v>1</v>
      </c>
      <c r="E1791">
        <v>1</v>
      </c>
      <c r="F1791">
        <v>1</v>
      </c>
      <c r="G1791">
        <v>0</v>
      </c>
      <c r="H1791" t="s">
        <v>2221</v>
      </c>
    </row>
    <row r="1792" spans="1:8">
      <c r="A1792" t="s">
        <v>8560</v>
      </c>
      <c r="B1792" t="s">
        <v>8559</v>
      </c>
      <c r="C1792">
        <v>1</v>
      </c>
      <c r="D1792">
        <v>1</v>
      </c>
      <c r="E1792">
        <v>1</v>
      </c>
      <c r="F1792">
        <v>1</v>
      </c>
      <c r="G1792">
        <v>0</v>
      </c>
      <c r="H1792" t="s">
        <v>2221</v>
      </c>
    </row>
    <row r="1793" spans="1:8">
      <c r="A1793" t="s">
        <v>1127</v>
      </c>
      <c r="B1793" t="s">
        <v>3160</v>
      </c>
      <c r="C1793">
        <v>1</v>
      </c>
      <c r="D1793">
        <v>1</v>
      </c>
      <c r="E1793">
        <v>1</v>
      </c>
      <c r="F1793">
        <v>1</v>
      </c>
      <c r="G1793">
        <v>0</v>
      </c>
      <c r="H1793" t="s">
        <v>2221</v>
      </c>
    </row>
    <row r="1794" spans="1:8">
      <c r="A1794" t="s">
        <v>8562</v>
      </c>
      <c r="B1794" t="s">
        <v>8561</v>
      </c>
      <c r="C1794">
        <v>1</v>
      </c>
      <c r="D1794">
        <v>1</v>
      </c>
      <c r="E1794">
        <v>1</v>
      </c>
      <c r="F1794">
        <v>1</v>
      </c>
      <c r="G1794">
        <v>0</v>
      </c>
      <c r="H1794" t="s">
        <v>2221</v>
      </c>
    </row>
    <row r="1795" spans="1:8">
      <c r="A1795" t="s">
        <v>8757</v>
      </c>
      <c r="B1795" t="s">
        <v>8756</v>
      </c>
      <c r="C1795">
        <v>1</v>
      </c>
      <c r="D1795">
        <v>1</v>
      </c>
      <c r="E1795">
        <v>1</v>
      </c>
      <c r="F1795">
        <v>1</v>
      </c>
      <c r="G1795">
        <v>0</v>
      </c>
      <c r="H1795" t="s">
        <v>2221</v>
      </c>
    </row>
    <row r="1796" spans="1:8">
      <c r="A1796" t="s">
        <v>1128</v>
      </c>
      <c r="B1796" t="s">
        <v>3161</v>
      </c>
      <c r="C1796">
        <v>1</v>
      </c>
      <c r="D1796">
        <v>1</v>
      </c>
      <c r="E1796">
        <v>1</v>
      </c>
      <c r="F1796">
        <v>1</v>
      </c>
      <c r="G1796">
        <v>0</v>
      </c>
      <c r="H1796" t="s">
        <v>2221</v>
      </c>
    </row>
    <row r="1797" spans="1:8">
      <c r="A1797" t="s">
        <v>1129</v>
      </c>
      <c r="B1797" t="s">
        <v>3162</v>
      </c>
      <c r="C1797">
        <v>1</v>
      </c>
      <c r="D1797">
        <v>1</v>
      </c>
      <c r="E1797">
        <v>1</v>
      </c>
      <c r="F1797">
        <v>1</v>
      </c>
      <c r="G1797">
        <v>0</v>
      </c>
      <c r="H1797" t="s">
        <v>2221</v>
      </c>
    </row>
    <row r="1798" spans="1:8">
      <c r="A1798" t="s">
        <v>8564</v>
      </c>
      <c r="B1798" t="s">
        <v>8563</v>
      </c>
      <c r="C1798">
        <v>1</v>
      </c>
      <c r="D1798">
        <v>1</v>
      </c>
      <c r="E1798">
        <v>1</v>
      </c>
      <c r="F1798">
        <v>1</v>
      </c>
      <c r="G1798">
        <v>0</v>
      </c>
      <c r="H1798" t="s">
        <v>2221</v>
      </c>
    </row>
    <row r="1799" spans="1:8">
      <c r="A1799" t="s">
        <v>6389</v>
      </c>
      <c r="B1799" t="s">
        <v>6388</v>
      </c>
      <c r="C1799">
        <v>1</v>
      </c>
      <c r="D1799">
        <v>1</v>
      </c>
      <c r="E1799">
        <v>1</v>
      </c>
      <c r="F1799">
        <v>1</v>
      </c>
      <c r="G1799">
        <v>0</v>
      </c>
      <c r="H1799" t="s">
        <v>2221</v>
      </c>
    </row>
    <row r="1800" spans="1:8">
      <c r="A1800" t="s">
        <v>6389</v>
      </c>
      <c r="B1800" t="s">
        <v>8632</v>
      </c>
      <c r="C1800">
        <v>1</v>
      </c>
      <c r="D1800">
        <v>1</v>
      </c>
      <c r="E1800">
        <v>1</v>
      </c>
      <c r="F1800">
        <v>1</v>
      </c>
      <c r="G1800">
        <v>0</v>
      </c>
      <c r="H1800" t="s">
        <v>2221</v>
      </c>
    </row>
    <row r="1801" spans="1:8">
      <c r="A1801" t="s">
        <v>8792</v>
      </c>
      <c r="B1801" t="s">
        <v>8791</v>
      </c>
      <c r="C1801">
        <v>1</v>
      </c>
      <c r="D1801">
        <v>1</v>
      </c>
      <c r="E1801">
        <v>1</v>
      </c>
      <c r="F1801">
        <v>1</v>
      </c>
      <c r="G1801">
        <v>0</v>
      </c>
      <c r="H1801" t="s">
        <v>2221</v>
      </c>
    </row>
    <row r="1802" spans="1:8">
      <c r="A1802" t="s">
        <v>6397</v>
      </c>
      <c r="B1802" t="s">
        <v>6396</v>
      </c>
      <c r="C1802">
        <v>1</v>
      </c>
      <c r="D1802">
        <v>1</v>
      </c>
      <c r="E1802">
        <v>1</v>
      </c>
      <c r="F1802">
        <v>1</v>
      </c>
      <c r="G1802">
        <v>0</v>
      </c>
      <c r="H1802" t="s">
        <v>2221</v>
      </c>
    </row>
    <row r="1803" spans="1:8">
      <c r="A1803" t="s">
        <v>1130</v>
      </c>
      <c r="B1803" t="s">
        <v>3163</v>
      </c>
      <c r="C1803">
        <v>1</v>
      </c>
      <c r="D1803">
        <v>1</v>
      </c>
      <c r="E1803">
        <v>1</v>
      </c>
      <c r="F1803">
        <v>1</v>
      </c>
      <c r="G1803">
        <v>0</v>
      </c>
      <c r="H1803" t="s">
        <v>2221</v>
      </c>
    </row>
    <row r="1804" spans="1:8">
      <c r="A1804" t="s">
        <v>8666</v>
      </c>
      <c r="B1804" t="s">
        <v>8665</v>
      </c>
      <c r="C1804">
        <v>1</v>
      </c>
      <c r="D1804">
        <v>1</v>
      </c>
      <c r="E1804">
        <v>1</v>
      </c>
      <c r="F1804">
        <v>1</v>
      </c>
      <c r="G1804">
        <v>0</v>
      </c>
      <c r="H1804" t="s">
        <v>2221</v>
      </c>
    </row>
    <row r="1805" spans="1:8">
      <c r="A1805" t="s">
        <v>8759</v>
      </c>
      <c r="B1805" t="s">
        <v>8758</v>
      </c>
      <c r="C1805">
        <v>1</v>
      </c>
      <c r="D1805">
        <v>1</v>
      </c>
      <c r="E1805">
        <v>1</v>
      </c>
      <c r="F1805">
        <v>1</v>
      </c>
      <c r="G1805">
        <v>0</v>
      </c>
      <c r="H1805" t="s">
        <v>2221</v>
      </c>
    </row>
    <row r="1806" spans="1:8">
      <c r="A1806" t="s">
        <v>1131</v>
      </c>
      <c r="B1806" t="s">
        <v>3164</v>
      </c>
      <c r="C1806">
        <v>1</v>
      </c>
      <c r="D1806">
        <v>1</v>
      </c>
      <c r="E1806">
        <v>1</v>
      </c>
      <c r="F1806">
        <v>1</v>
      </c>
      <c r="G1806">
        <v>0</v>
      </c>
      <c r="H1806" t="s">
        <v>2221</v>
      </c>
    </row>
    <row r="1807" spans="1:8">
      <c r="A1807" t="s">
        <v>8761</v>
      </c>
      <c r="B1807" t="s">
        <v>8760</v>
      </c>
      <c r="C1807">
        <v>1</v>
      </c>
      <c r="D1807">
        <v>1</v>
      </c>
      <c r="E1807">
        <v>1</v>
      </c>
      <c r="F1807">
        <v>1</v>
      </c>
      <c r="G1807">
        <v>0</v>
      </c>
      <c r="H1807" t="s">
        <v>2221</v>
      </c>
    </row>
    <row r="1808" spans="1:8">
      <c r="A1808" t="s">
        <v>1132</v>
      </c>
      <c r="B1808" t="s">
        <v>3165</v>
      </c>
      <c r="C1808">
        <v>1</v>
      </c>
      <c r="D1808">
        <v>1</v>
      </c>
      <c r="E1808">
        <v>1</v>
      </c>
      <c r="F1808">
        <v>1</v>
      </c>
      <c r="G1808">
        <v>0</v>
      </c>
      <c r="H1808" t="s">
        <v>2221</v>
      </c>
    </row>
    <row r="1809" spans="1:8">
      <c r="A1809" t="s">
        <v>8566</v>
      </c>
      <c r="B1809" t="s">
        <v>8565</v>
      </c>
      <c r="C1809">
        <v>1</v>
      </c>
      <c r="D1809">
        <v>1</v>
      </c>
      <c r="E1809">
        <v>1</v>
      </c>
      <c r="F1809">
        <v>1</v>
      </c>
      <c r="G1809">
        <v>0</v>
      </c>
      <c r="H1809" t="s">
        <v>2221</v>
      </c>
    </row>
    <row r="1810" spans="1:8">
      <c r="A1810" t="s">
        <v>1133</v>
      </c>
      <c r="B1810" t="s">
        <v>3166</v>
      </c>
      <c r="C1810">
        <v>1</v>
      </c>
      <c r="D1810">
        <v>1</v>
      </c>
      <c r="E1810">
        <v>1</v>
      </c>
      <c r="F1810">
        <v>1</v>
      </c>
      <c r="G1810">
        <v>0</v>
      </c>
      <c r="H1810" t="s">
        <v>2221</v>
      </c>
    </row>
    <row r="1811" spans="1:8">
      <c r="A1811" t="s">
        <v>1134</v>
      </c>
      <c r="B1811" t="s">
        <v>3167</v>
      </c>
      <c r="C1811">
        <v>1</v>
      </c>
      <c r="D1811">
        <v>1</v>
      </c>
      <c r="E1811">
        <v>1</v>
      </c>
      <c r="F1811">
        <v>1</v>
      </c>
      <c r="G1811">
        <v>0</v>
      </c>
      <c r="H1811" t="s">
        <v>2221</v>
      </c>
    </row>
    <row r="1812" spans="1:8">
      <c r="A1812" t="s">
        <v>8808</v>
      </c>
      <c r="B1812" t="s">
        <v>8807</v>
      </c>
      <c r="C1812">
        <v>1</v>
      </c>
      <c r="D1812">
        <v>1</v>
      </c>
      <c r="E1812">
        <v>1</v>
      </c>
      <c r="F1812">
        <v>1</v>
      </c>
      <c r="G1812">
        <v>0</v>
      </c>
      <c r="H1812" t="s">
        <v>2221</v>
      </c>
    </row>
    <row r="1813" spans="1:8">
      <c r="A1813" t="s">
        <v>1135</v>
      </c>
      <c r="B1813" t="s">
        <v>3168</v>
      </c>
      <c r="C1813">
        <v>1</v>
      </c>
      <c r="D1813">
        <v>1</v>
      </c>
      <c r="E1813">
        <v>1</v>
      </c>
      <c r="F1813">
        <v>1</v>
      </c>
      <c r="G1813">
        <v>0</v>
      </c>
      <c r="H1813" t="s">
        <v>2221</v>
      </c>
    </row>
    <row r="1814" spans="1:8">
      <c r="A1814" t="s">
        <v>8763</v>
      </c>
      <c r="B1814" t="s">
        <v>8762</v>
      </c>
      <c r="C1814">
        <v>1</v>
      </c>
      <c r="D1814">
        <v>1</v>
      </c>
      <c r="E1814">
        <v>1</v>
      </c>
      <c r="F1814">
        <v>1</v>
      </c>
      <c r="G1814">
        <v>0</v>
      </c>
      <c r="H1814" t="s">
        <v>2221</v>
      </c>
    </row>
    <row r="1815" spans="1:8">
      <c r="A1815" t="s">
        <v>8634</v>
      </c>
      <c r="B1815" t="s">
        <v>8633</v>
      </c>
      <c r="C1815">
        <v>1</v>
      </c>
      <c r="D1815">
        <v>1</v>
      </c>
      <c r="E1815">
        <v>1</v>
      </c>
      <c r="F1815">
        <v>1</v>
      </c>
      <c r="G1815">
        <v>0</v>
      </c>
      <c r="H1815" t="s">
        <v>2221</v>
      </c>
    </row>
    <row r="1816" spans="1:8">
      <c r="A1816" t="s">
        <v>8568</v>
      </c>
      <c r="B1816" t="s">
        <v>8567</v>
      </c>
      <c r="C1816">
        <v>1</v>
      </c>
      <c r="D1816">
        <v>1</v>
      </c>
      <c r="E1816">
        <v>1</v>
      </c>
      <c r="F1816">
        <v>1</v>
      </c>
      <c r="G1816">
        <v>0</v>
      </c>
      <c r="H1816" t="s">
        <v>2221</v>
      </c>
    </row>
    <row r="1817" spans="1:8">
      <c r="A1817" t="s">
        <v>8636</v>
      </c>
      <c r="B1817" t="s">
        <v>8635</v>
      </c>
      <c r="C1817">
        <v>1</v>
      </c>
      <c r="D1817">
        <v>1</v>
      </c>
      <c r="E1817">
        <v>1</v>
      </c>
      <c r="F1817">
        <v>1</v>
      </c>
      <c r="G1817">
        <v>0</v>
      </c>
      <c r="H1817" t="s">
        <v>2221</v>
      </c>
    </row>
    <row r="1818" spans="1:8">
      <c r="A1818" t="s">
        <v>8662</v>
      </c>
      <c r="B1818" t="s">
        <v>8661</v>
      </c>
      <c r="C1818">
        <v>1</v>
      </c>
      <c r="D1818">
        <v>1</v>
      </c>
      <c r="E1818">
        <v>1</v>
      </c>
      <c r="F1818">
        <v>1</v>
      </c>
      <c r="G1818">
        <v>0</v>
      </c>
      <c r="H1818" t="s">
        <v>2221</v>
      </c>
    </row>
    <row r="1819" spans="1:8">
      <c r="A1819" t="s">
        <v>8570</v>
      </c>
      <c r="B1819" t="s">
        <v>8569</v>
      </c>
      <c r="C1819">
        <v>1</v>
      </c>
      <c r="D1819">
        <v>1</v>
      </c>
      <c r="E1819">
        <v>1</v>
      </c>
      <c r="F1819">
        <v>1</v>
      </c>
      <c r="G1819">
        <v>0</v>
      </c>
      <c r="H1819" t="s">
        <v>2221</v>
      </c>
    </row>
    <row r="1820" spans="1:8">
      <c r="A1820" t="s">
        <v>8572</v>
      </c>
      <c r="B1820" t="s">
        <v>8571</v>
      </c>
      <c r="C1820">
        <v>1</v>
      </c>
      <c r="D1820">
        <v>1</v>
      </c>
      <c r="E1820">
        <v>1</v>
      </c>
      <c r="F1820">
        <v>1</v>
      </c>
      <c r="G1820">
        <v>0</v>
      </c>
      <c r="H1820" t="s">
        <v>2221</v>
      </c>
    </row>
    <row r="1821" spans="1:8">
      <c r="A1821" t="s">
        <v>8617</v>
      </c>
      <c r="B1821" t="s">
        <v>8616</v>
      </c>
      <c r="C1821">
        <v>1</v>
      </c>
      <c r="D1821">
        <v>1</v>
      </c>
      <c r="E1821">
        <v>1</v>
      </c>
      <c r="F1821">
        <v>1</v>
      </c>
      <c r="G1821">
        <v>0</v>
      </c>
      <c r="H1821" t="s">
        <v>2221</v>
      </c>
    </row>
    <row r="1822" spans="1:8">
      <c r="A1822" t="s">
        <v>1136</v>
      </c>
      <c r="B1822" t="s">
        <v>3169</v>
      </c>
      <c r="C1822">
        <v>1</v>
      </c>
      <c r="D1822">
        <v>1</v>
      </c>
      <c r="E1822">
        <v>1</v>
      </c>
      <c r="F1822">
        <v>1</v>
      </c>
      <c r="G1822">
        <v>0</v>
      </c>
      <c r="H1822" t="s">
        <v>2221</v>
      </c>
    </row>
    <row r="1823" spans="1:8">
      <c r="A1823" t="s">
        <v>8574</v>
      </c>
      <c r="B1823" t="s">
        <v>8573</v>
      </c>
      <c r="C1823">
        <v>1</v>
      </c>
      <c r="D1823">
        <v>1</v>
      </c>
      <c r="E1823">
        <v>1</v>
      </c>
      <c r="F1823">
        <v>1</v>
      </c>
      <c r="G1823">
        <v>0</v>
      </c>
      <c r="H1823" t="s">
        <v>2221</v>
      </c>
    </row>
    <row r="1824" spans="1:8">
      <c r="A1824" t="s">
        <v>8700</v>
      </c>
      <c r="B1824" t="s">
        <v>8699</v>
      </c>
      <c r="C1824">
        <v>1</v>
      </c>
      <c r="D1824">
        <v>1</v>
      </c>
      <c r="E1824">
        <v>1</v>
      </c>
      <c r="F1824">
        <v>1</v>
      </c>
      <c r="G1824">
        <v>0</v>
      </c>
      <c r="H1824" t="s">
        <v>2221</v>
      </c>
    </row>
    <row r="1825" spans="1:8">
      <c r="A1825" t="s">
        <v>8765</v>
      </c>
      <c r="B1825" t="s">
        <v>8764</v>
      </c>
      <c r="C1825">
        <v>1</v>
      </c>
      <c r="D1825">
        <v>1</v>
      </c>
      <c r="E1825">
        <v>1</v>
      </c>
      <c r="F1825">
        <v>1</v>
      </c>
      <c r="G1825">
        <v>0</v>
      </c>
      <c r="H1825" t="s">
        <v>2221</v>
      </c>
    </row>
    <row r="1826" spans="1:8">
      <c r="A1826" t="s">
        <v>8576</v>
      </c>
      <c r="B1826" t="s">
        <v>8575</v>
      </c>
      <c r="C1826">
        <v>1</v>
      </c>
      <c r="D1826">
        <v>1</v>
      </c>
      <c r="E1826">
        <v>1</v>
      </c>
      <c r="F1826">
        <v>1</v>
      </c>
      <c r="G1826">
        <v>0</v>
      </c>
      <c r="H1826" t="s">
        <v>2221</v>
      </c>
    </row>
    <row r="1827" spans="1:8">
      <c r="A1827" t="s">
        <v>1137</v>
      </c>
      <c r="B1827" t="s">
        <v>3170</v>
      </c>
      <c r="C1827">
        <v>1</v>
      </c>
      <c r="D1827">
        <v>1</v>
      </c>
      <c r="E1827">
        <v>1</v>
      </c>
      <c r="F1827">
        <v>1</v>
      </c>
      <c r="G1827">
        <v>0</v>
      </c>
      <c r="H1827" t="s">
        <v>2221</v>
      </c>
    </row>
    <row r="1828" spans="1:8">
      <c r="A1828" t="s">
        <v>1138</v>
      </c>
      <c r="B1828" t="s">
        <v>3171</v>
      </c>
      <c r="C1828">
        <v>1</v>
      </c>
      <c r="D1828">
        <v>1</v>
      </c>
      <c r="E1828">
        <v>1</v>
      </c>
      <c r="F1828">
        <v>1</v>
      </c>
      <c r="G1828">
        <v>0</v>
      </c>
      <c r="H1828" t="s">
        <v>2221</v>
      </c>
    </row>
    <row r="1829" spans="1:8">
      <c r="A1829" t="s">
        <v>1139</v>
      </c>
      <c r="B1829" t="s">
        <v>3172</v>
      </c>
      <c r="C1829">
        <v>1</v>
      </c>
      <c r="D1829">
        <v>1</v>
      </c>
      <c r="E1829">
        <v>1</v>
      </c>
      <c r="F1829">
        <v>1</v>
      </c>
      <c r="G1829">
        <v>0</v>
      </c>
      <c r="H1829" t="s">
        <v>2221</v>
      </c>
    </row>
    <row r="1830" spans="1:8">
      <c r="A1830" t="s">
        <v>1140</v>
      </c>
      <c r="B1830" t="s">
        <v>3173</v>
      </c>
      <c r="C1830">
        <v>1</v>
      </c>
      <c r="D1830">
        <v>1</v>
      </c>
      <c r="E1830">
        <v>1</v>
      </c>
      <c r="F1830">
        <v>1</v>
      </c>
      <c r="G1830">
        <v>0</v>
      </c>
      <c r="H1830" t="s">
        <v>2221</v>
      </c>
    </row>
    <row r="1831" spans="1:8">
      <c r="A1831" t="s">
        <v>1141</v>
      </c>
      <c r="B1831" t="s">
        <v>3174</v>
      </c>
      <c r="C1831">
        <v>1</v>
      </c>
      <c r="D1831">
        <v>1</v>
      </c>
      <c r="E1831">
        <v>1</v>
      </c>
      <c r="F1831">
        <v>1</v>
      </c>
      <c r="G1831">
        <v>0</v>
      </c>
      <c r="H1831" t="s">
        <v>2221</v>
      </c>
    </row>
    <row r="1832" spans="1:8">
      <c r="A1832" t="s">
        <v>1141</v>
      </c>
      <c r="B1832" t="s">
        <v>8766</v>
      </c>
      <c r="C1832">
        <v>1</v>
      </c>
      <c r="D1832">
        <v>1</v>
      </c>
      <c r="E1832">
        <v>1</v>
      </c>
      <c r="F1832">
        <v>1</v>
      </c>
      <c r="G1832">
        <v>0</v>
      </c>
      <c r="H1832" t="s">
        <v>2221</v>
      </c>
    </row>
    <row r="1833" spans="1:8">
      <c r="A1833" t="s">
        <v>8686</v>
      </c>
      <c r="B1833" t="s">
        <v>8685</v>
      </c>
      <c r="C1833">
        <v>1</v>
      </c>
      <c r="D1833">
        <v>1</v>
      </c>
      <c r="E1833">
        <v>1</v>
      </c>
      <c r="F1833">
        <v>1</v>
      </c>
      <c r="G1833">
        <v>0</v>
      </c>
      <c r="H1833" t="s">
        <v>2221</v>
      </c>
    </row>
    <row r="1834" spans="1:8">
      <c r="A1834" t="s">
        <v>8768</v>
      </c>
      <c r="B1834" t="s">
        <v>8767</v>
      </c>
      <c r="C1834">
        <v>1</v>
      </c>
      <c r="D1834">
        <v>1</v>
      </c>
      <c r="E1834">
        <v>1</v>
      </c>
      <c r="F1834">
        <v>1</v>
      </c>
      <c r="G1834">
        <v>0</v>
      </c>
      <c r="H1834" t="s">
        <v>2221</v>
      </c>
    </row>
    <row r="1835" spans="1:8">
      <c r="A1835" t="s">
        <v>1142</v>
      </c>
      <c r="B1835" t="s">
        <v>3175</v>
      </c>
      <c r="C1835">
        <v>1</v>
      </c>
      <c r="D1835">
        <v>1</v>
      </c>
      <c r="E1835">
        <v>1</v>
      </c>
      <c r="F1835">
        <v>1</v>
      </c>
      <c r="G1835">
        <v>0</v>
      </c>
      <c r="H1835" t="s">
        <v>2221</v>
      </c>
    </row>
    <row r="1836" spans="1:8">
      <c r="A1836" t="s">
        <v>8578</v>
      </c>
      <c r="B1836" t="s">
        <v>8577</v>
      </c>
      <c r="C1836">
        <v>1</v>
      </c>
      <c r="D1836">
        <v>1</v>
      </c>
      <c r="E1836">
        <v>1</v>
      </c>
      <c r="F1836">
        <v>1</v>
      </c>
      <c r="G1836">
        <v>0</v>
      </c>
      <c r="H1836" t="s">
        <v>2221</v>
      </c>
    </row>
    <row r="1837" spans="1:8">
      <c r="A1837" t="s">
        <v>8690</v>
      </c>
      <c r="B1837" t="s">
        <v>8689</v>
      </c>
      <c r="C1837">
        <v>1</v>
      </c>
      <c r="D1837">
        <v>1</v>
      </c>
      <c r="E1837">
        <v>1</v>
      </c>
      <c r="F1837">
        <v>1</v>
      </c>
      <c r="G1837">
        <v>0</v>
      </c>
      <c r="H1837" t="s">
        <v>2221</v>
      </c>
    </row>
    <row r="1838" spans="1:8">
      <c r="A1838" t="s">
        <v>8526</v>
      </c>
      <c r="B1838" t="s">
        <v>8525</v>
      </c>
      <c r="C1838">
        <v>1</v>
      </c>
      <c r="D1838">
        <v>1</v>
      </c>
      <c r="E1838">
        <v>1</v>
      </c>
      <c r="F1838">
        <v>1</v>
      </c>
      <c r="G1838">
        <v>0</v>
      </c>
      <c r="H1838" t="s">
        <v>2221</v>
      </c>
    </row>
    <row r="1839" spans="1:8">
      <c r="A1839" t="s">
        <v>8770</v>
      </c>
      <c r="B1839" t="s">
        <v>8769</v>
      </c>
      <c r="C1839">
        <v>1</v>
      </c>
      <c r="D1839">
        <v>1</v>
      </c>
      <c r="E1839">
        <v>1</v>
      </c>
      <c r="F1839">
        <v>1</v>
      </c>
      <c r="G1839">
        <v>0</v>
      </c>
      <c r="H1839" t="s">
        <v>2221</v>
      </c>
    </row>
    <row r="1840" spans="1:8">
      <c r="A1840" t="s">
        <v>8538</v>
      </c>
      <c r="B1840" t="s">
        <v>8537</v>
      </c>
      <c r="C1840">
        <v>1</v>
      </c>
      <c r="D1840">
        <v>1</v>
      </c>
      <c r="E1840">
        <v>1</v>
      </c>
      <c r="F1840">
        <v>1</v>
      </c>
      <c r="G1840">
        <v>0</v>
      </c>
      <c r="H1840" t="s">
        <v>2221</v>
      </c>
    </row>
    <row r="1841" spans="1:8">
      <c r="A1841" t="s">
        <v>8658</v>
      </c>
      <c r="B1841" t="s">
        <v>8657</v>
      </c>
      <c r="C1841">
        <v>1</v>
      </c>
      <c r="D1841">
        <v>1</v>
      </c>
      <c r="E1841">
        <v>1</v>
      </c>
      <c r="F1841">
        <v>1</v>
      </c>
      <c r="G1841">
        <v>0</v>
      </c>
      <c r="H1841" t="s">
        <v>2221</v>
      </c>
    </row>
    <row r="1842" spans="1:8">
      <c r="A1842" t="s">
        <v>8772</v>
      </c>
      <c r="B1842" t="s">
        <v>8771</v>
      </c>
      <c r="C1842">
        <v>1</v>
      </c>
      <c r="D1842">
        <v>1</v>
      </c>
      <c r="E1842">
        <v>1</v>
      </c>
      <c r="F1842">
        <v>1</v>
      </c>
      <c r="G1842">
        <v>0</v>
      </c>
      <c r="H1842" t="s">
        <v>2221</v>
      </c>
    </row>
    <row r="1843" spans="1:8">
      <c r="A1843" t="s">
        <v>8774</v>
      </c>
      <c r="B1843" t="s">
        <v>8773</v>
      </c>
      <c r="C1843">
        <v>1</v>
      </c>
      <c r="D1843">
        <v>1</v>
      </c>
      <c r="E1843">
        <v>1</v>
      </c>
      <c r="F1843">
        <v>1</v>
      </c>
      <c r="G1843">
        <v>0</v>
      </c>
      <c r="H1843" t="s">
        <v>2221</v>
      </c>
    </row>
    <row r="1844" spans="1:8">
      <c r="A1844" t="s">
        <v>8776</v>
      </c>
      <c r="B1844" t="s">
        <v>8775</v>
      </c>
      <c r="C1844">
        <v>1</v>
      </c>
      <c r="D1844">
        <v>1</v>
      </c>
      <c r="E1844">
        <v>1</v>
      </c>
      <c r="F1844">
        <v>1</v>
      </c>
      <c r="G1844">
        <v>0</v>
      </c>
      <c r="H1844" t="s">
        <v>2221</v>
      </c>
    </row>
    <row r="1845" spans="1:8">
      <c r="A1845" t="s">
        <v>1143</v>
      </c>
      <c r="B1845" t="s">
        <v>3176</v>
      </c>
      <c r="C1845">
        <v>1</v>
      </c>
      <c r="D1845">
        <v>1</v>
      </c>
      <c r="E1845">
        <v>1</v>
      </c>
      <c r="F1845">
        <v>1</v>
      </c>
      <c r="G1845">
        <v>0</v>
      </c>
      <c r="H1845" t="s">
        <v>2221</v>
      </c>
    </row>
    <row r="1846" spans="1:8">
      <c r="A1846" t="s">
        <v>8778</v>
      </c>
      <c r="B1846" t="s">
        <v>8777</v>
      </c>
      <c r="C1846">
        <v>1</v>
      </c>
      <c r="D1846">
        <v>1</v>
      </c>
      <c r="E1846">
        <v>1</v>
      </c>
      <c r="F1846">
        <v>1</v>
      </c>
      <c r="G1846">
        <v>0</v>
      </c>
      <c r="H1846" t="s">
        <v>2221</v>
      </c>
    </row>
    <row r="1847" spans="1:8">
      <c r="A1847" t="s">
        <v>8582</v>
      </c>
      <c r="B1847" t="s">
        <v>8581</v>
      </c>
      <c r="C1847">
        <v>1</v>
      </c>
      <c r="D1847">
        <v>1</v>
      </c>
      <c r="E1847">
        <v>1</v>
      </c>
      <c r="F1847">
        <v>1</v>
      </c>
      <c r="G1847">
        <v>0</v>
      </c>
      <c r="H1847" t="s">
        <v>2221</v>
      </c>
    </row>
    <row r="1848" spans="1:8">
      <c r="A1848" t="s">
        <v>8806</v>
      </c>
      <c r="B1848" t="s">
        <v>8805</v>
      </c>
      <c r="C1848">
        <v>1</v>
      </c>
      <c r="D1848">
        <v>1</v>
      </c>
      <c r="E1848">
        <v>1</v>
      </c>
      <c r="F1848">
        <v>1</v>
      </c>
      <c r="G1848">
        <v>0</v>
      </c>
      <c r="H1848" t="s">
        <v>2221</v>
      </c>
    </row>
    <row r="1849" spans="1:8">
      <c r="A1849" t="s">
        <v>8780</v>
      </c>
      <c r="B1849" t="s">
        <v>8779</v>
      </c>
      <c r="C1849">
        <v>1</v>
      </c>
      <c r="D1849">
        <v>1</v>
      </c>
      <c r="E1849">
        <v>1</v>
      </c>
      <c r="F1849">
        <v>1</v>
      </c>
      <c r="G1849">
        <v>0</v>
      </c>
      <c r="H1849" t="s">
        <v>2221</v>
      </c>
    </row>
    <row r="1850" spans="1:8">
      <c r="A1850" t="s">
        <v>8782</v>
      </c>
      <c r="B1850" t="s">
        <v>8781</v>
      </c>
      <c r="C1850">
        <v>1</v>
      </c>
      <c r="D1850">
        <v>1</v>
      </c>
      <c r="E1850">
        <v>1</v>
      </c>
      <c r="F1850">
        <v>1</v>
      </c>
      <c r="G1850">
        <v>0</v>
      </c>
      <c r="H1850" t="s">
        <v>2221</v>
      </c>
    </row>
    <row r="1851" spans="1:8">
      <c r="A1851" t="s">
        <v>1144</v>
      </c>
      <c r="B1851" t="s">
        <v>3177</v>
      </c>
      <c r="C1851">
        <v>1</v>
      </c>
      <c r="D1851">
        <v>1</v>
      </c>
      <c r="E1851">
        <v>1</v>
      </c>
      <c r="F1851">
        <v>1</v>
      </c>
      <c r="G1851">
        <v>0</v>
      </c>
      <c r="H1851" t="s">
        <v>2221</v>
      </c>
    </row>
    <row r="1852" spans="1:8">
      <c r="A1852" t="s">
        <v>8784</v>
      </c>
      <c r="B1852" t="s">
        <v>8783</v>
      </c>
      <c r="C1852">
        <v>1</v>
      </c>
      <c r="D1852">
        <v>1</v>
      </c>
      <c r="E1852">
        <v>1</v>
      </c>
      <c r="F1852">
        <v>1</v>
      </c>
      <c r="G1852">
        <v>0</v>
      </c>
      <c r="H1852" t="s">
        <v>2221</v>
      </c>
    </row>
    <row r="1853" spans="1:8">
      <c r="A1853" t="s">
        <v>8786</v>
      </c>
      <c r="B1853" t="s">
        <v>8785</v>
      </c>
      <c r="C1853">
        <v>1</v>
      </c>
      <c r="D1853">
        <v>1</v>
      </c>
      <c r="E1853">
        <v>1</v>
      </c>
      <c r="F1853">
        <v>1</v>
      </c>
      <c r="G1853">
        <v>0</v>
      </c>
      <c r="H1853" t="s">
        <v>2221</v>
      </c>
    </row>
    <row r="1854" spans="1:8">
      <c r="A1854" t="s">
        <v>8584</v>
      </c>
      <c r="B1854" t="s">
        <v>8583</v>
      </c>
      <c r="C1854">
        <v>1</v>
      </c>
      <c r="D1854">
        <v>1</v>
      </c>
      <c r="E1854">
        <v>1</v>
      </c>
      <c r="F1854">
        <v>1</v>
      </c>
      <c r="G1854">
        <v>0</v>
      </c>
      <c r="H1854" t="s">
        <v>2221</v>
      </c>
    </row>
    <row r="1855" spans="1:8">
      <c r="A1855" t="s">
        <v>1145</v>
      </c>
      <c r="B1855" t="s">
        <v>3178</v>
      </c>
      <c r="C1855">
        <v>1</v>
      </c>
      <c r="D1855">
        <v>1</v>
      </c>
      <c r="E1855">
        <v>1</v>
      </c>
      <c r="F1855">
        <v>1</v>
      </c>
      <c r="G1855">
        <v>0</v>
      </c>
      <c r="H1855" t="s">
        <v>2221</v>
      </c>
    </row>
    <row r="1856" spans="1:8">
      <c r="A1856" t="s">
        <v>8629</v>
      </c>
      <c r="B1856" t="s">
        <v>8628</v>
      </c>
      <c r="C1856">
        <v>1</v>
      </c>
      <c r="D1856">
        <v>1</v>
      </c>
      <c r="E1856">
        <v>1</v>
      </c>
      <c r="F1856">
        <v>1</v>
      </c>
      <c r="G1856">
        <v>0</v>
      </c>
      <c r="H1856" t="s">
        <v>2221</v>
      </c>
    </row>
    <row r="1857" spans="1:8">
      <c r="A1857" t="s">
        <v>8788</v>
      </c>
      <c r="B1857" t="s">
        <v>8787</v>
      </c>
      <c r="C1857">
        <v>1</v>
      </c>
      <c r="D1857">
        <v>1</v>
      </c>
      <c r="E1857">
        <v>1</v>
      </c>
      <c r="F1857">
        <v>1</v>
      </c>
      <c r="G1857">
        <v>0</v>
      </c>
      <c r="H1857" t="s">
        <v>2221</v>
      </c>
    </row>
    <row r="1858" spans="1:8">
      <c r="A1858" t="s">
        <v>8660</v>
      </c>
      <c r="B1858" t="s">
        <v>8659</v>
      </c>
      <c r="C1858">
        <v>1</v>
      </c>
      <c r="D1858">
        <v>1</v>
      </c>
      <c r="E1858">
        <v>1</v>
      </c>
      <c r="F1858">
        <v>1</v>
      </c>
      <c r="G1858">
        <v>0</v>
      </c>
      <c r="H1858" t="s">
        <v>2221</v>
      </c>
    </row>
    <row r="1859" spans="1:8">
      <c r="A1859" t="s">
        <v>8586</v>
      </c>
      <c r="B1859" t="s">
        <v>8585</v>
      </c>
      <c r="C1859">
        <v>1</v>
      </c>
      <c r="D1859">
        <v>1</v>
      </c>
      <c r="E1859">
        <v>1</v>
      </c>
      <c r="F1859">
        <v>1</v>
      </c>
      <c r="G1859">
        <v>0</v>
      </c>
      <c r="H1859" t="s">
        <v>2221</v>
      </c>
    </row>
    <row r="1860" spans="1:8">
      <c r="A1860" t="s">
        <v>8588</v>
      </c>
      <c r="B1860" t="s">
        <v>8587</v>
      </c>
      <c r="C1860">
        <v>1</v>
      </c>
      <c r="D1860">
        <v>1</v>
      </c>
      <c r="E1860">
        <v>1</v>
      </c>
      <c r="F1860">
        <v>1</v>
      </c>
      <c r="G1860">
        <v>0</v>
      </c>
      <c r="H1860" t="s">
        <v>2221</v>
      </c>
    </row>
    <row r="1861" spans="1:8">
      <c r="A1861" t="s">
        <v>1146</v>
      </c>
      <c r="B1861" t="s">
        <v>8589</v>
      </c>
      <c r="C1861">
        <v>1</v>
      </c>
      <c r="D1861">
        <v>1</v>
      </c>
      <c r="E1861">
        <v>1</v>
      </c>
      <c r="F1861">
        <v>1</v>
      </c>
      <c r="G1861">
        <v>0</v>
      </c>
      <c r="H1861" t="s">
        <v>2221</v>
      </c>
    </row>
    <row r="1862" spans="1:8">
      <c r="A1862" t="s">
        <v>1146</v>
      </c>
      <c r="B1862" t="s">
        <v>3179</v>
      </c>
      <c r="C1862">
        <v>1</v>
      </c>
      <c r="D1862">
        <v>1</v>
      </c>
      <c r="E1862">
        <v>1</v>
      </c>
      <c r="F1862">
        <v>1</v>
      </c>
      <c r="G1862">
        <v>0</v>
      </c>
      <c r="H1862" t="s">
        <v>2221</v>
      </c>
    </row>
    <row r="1863" spans="1:8">
      <c r="A1863" t="s">
        <v>8591</v>
      </c>
      <c r="B1863" t="s">
        <v>8590</v>
      </c>
      <c r="C1863">
        <v>1</v>
      </c>
      <c r="D1863">
        <v>1</v>
      </c>
      <c r="E1863">
        <v>1</v>
      </c>
      <c r="F1863">
        <v>1</v>
      </c>
      <c r="G1863">
        <v>0</v>
      </c>
      <c r="H1863" t="s">
        <v>2221</v>
      </c>
    </row>
    <row r="1864" spans="1:8">
      <c r="A1864" t="s">
        <v>8790</v>
      </c>
      <c r="B1864" t="s">
        <v>8789</v>
      </c>
      <c r="C1864">
        <v>1</v>
      </c>
      <c r="D1864">
        <v>1</v>
      </c>
      <c r="E1864">
        <v>1</v>
      </c>
      <c r="F1864">
        <v>1</v>
      </c>
      <c r="G1864">
        <v>0</v>
      </c>
      <c r="H1864" t="s">
        <v>2221</v>
      </c>
    </row>
    <row r="1865" spans="1:8">
      <c r="A1865" t="s">
        <v>1147</v>
      </c>
      <c r="B1865" t="s">
        <v>3180</v>
      </c>
      <c r="C1865">
        <v>1</v>
      </c>
      <c r="D1865">
        <v>1</v>
      </c>
      <c r="E1865">
        <v>1</v>
      </c>
      <c r="F1865">
        <v>1</v>
      </c>
      <c r="G1865">
        <v>0</v>
      </c>
      <c r="H1865" t="s">
        <v>2221</v>
      </c>
    </row>
    <row r="1866" spans="1:8">
      <c r="A1866" t="s">
        <v>1148</v>
      </c>
      <c r="B1866" t="s">
        <v>3181</v>
      </c>
      <c r="C1866">
        <v>1</v>
      </c>
      <c r="D1866">
        <v>1</v>
      </c>
      <c r="E1866">
        <v>1</v>
      </c>
      <c r="F1866">
        <v>1</v>
      </c>
      <c r="G1866">
        <v>0</v>
      </c>
      <c r="H1866" t="s">
        <v>2221</v>
      </c>
    </row>
    <row r="1867" spans="1:8">
      <c r="A1867" t="s">
        <v>8593</v>
      </c>
      <c r="B1867" t="s">
        <v>8592</v>
      </c>
      <c r="C1867">
        <v>1</v>
      </c>
      <c r="D1867">
        <v>1</v>
      </c>
      <c r="E1867">
        <v>1</v>
      </c>
      <c r="F1867">
        <v>1</v>
      </c>
      <c r="G1867">
        <v>0</v>
      </c>
      <c r="H1867" t="s">
        <v>2221</v>
      </c>
    </row>
    <row r="1868" spans="1:8">
      <c r="A1868" t="s">
        <v>8595</v>
      </c>
      <c r="B1868" t="s">
        <v>8594</v>
      </c>
      <c r="C1868">
        <v>1</v>
      </c>
      <c r="D1868">
        <v>1</v>
      </c>
      <c r="E1868">
        <v>1</v>
      </c>
      <c r="F1868">
        <v>1</v>
      </c>
      <c r="G1868">
        <v>0</v>
      </c>
      <c r="H1868" t="s">
        <v>2221</v>
      </c>
    </row>
    <row r="1869" spans="1:8">
      <c r="A1869" t="s">
        <v>8631</v>
      </c>
      <c r="B1869" t="s">
        <v>8630</v>
      </c>
      <c r="C1869">
        <v>1</v>
      </c>
      <c r="D1869">
        <v>1</v>
      </c>
      <c r="E1869">
        <v>1</v>
      </c>
      <c r="F1869">
        <v>1</v>
      </c>
      <c r="G1869">
        <v>0</v>
      </c>
      <c r="H1869" t="s">
        <v>2221</v>
      </c>
    </row>
    <row r="1870" spans="1:8">
      <c r="A1870" t="s">
        <v>8625</v>
      </c>
      <c r="B1870" t="s">
        <v>8624</v>
      </c>
      <c r="C1870">
        <v>1</v>
      </c>
      <c r="D1870">
        <v>1</v>
      </c>
      <c r="E1870">
        <v>1</v>
      </c>
      <c r="F1870">
        <v>1</v>
      </c>
      <c r="G1870">
        <v>0</v>
      </c>
      <c r="H1870" t="s">
        <v>2221</v>
      </c>
    </row>
    <row r="1871" spans="1:8">
      <c r="A1871" t="s">
        <v>8597</v>
      </c>
      <c r="B1871" t="s">
        <v>8596</v>
      </c>
      <c r="C1871">
        <v>1</v>
      </c>
      <c r="D1871">
        <v>1</v>
      </c>
      <c r="E1871">
        <v>1</v>
      </c>
      <c r="F1871">
        <v>1</v>
      </c>
      <c r="G1871">
        <v>0</v>
      </c>
      <c r="H1871" t="s">
        <v>2221</v>
      </c>
    </row>
    <row r="1872" spans="1:8">
      <c r="A1872" t="s">
        <v>8627</v>
      </c>
      <c r="B1872" t="s">
        <v>8626</v>
      </c>
      <c r="C1872">
        <v>1</v>
      </c>
      <c r="D1872">
        <v>1</v>
      </c>
      <c r="E1872">
        <v>1</v>
      </c>
      <c r="F1872">
        <v>1</v>
      </c>
      <c r="G1872">
        <v>0</v>
      </c>
      <c r="H1872" t="s">
        <v>2221</v>
      </c>
    </row>
    <row r="1873" spans="1:8">
      <c r="A1873" t="s">
        <v>1149</v>
      </c>
      <c r="B1873" t="s">
        <v>3182</v>
      </c>
      <c r="C1873">
        <v>20</v>
      </c>
      <c r="D1873">
        <v>1</v>
      </c>
      <c r="E1873">
        <v>1</v>
      </c>
      <c r="F1873">
        <v>1</v>
      </c>
      <c r="G1873">
        <v>0</v>
      </c>
      <c r="H1873" t="s">
        <v>2197</v>
      </c>
    </row>
    <row r="1874" spans="1:8">
      <c r="A1874" t="s">
        <v>1151</v>
      </c>
      <c r="B1874" t="s">
        <v>3184</v>
      </c>
      <c r="C1874">
        <v>1</v>
      </c>
      <c r="D1874">
        <v>1</v>
      </c>
      <c r="E1874">
        <v>1</v>
      </c>
      <c r="F1874">
        <v>142.19999999999999</v>
      </c>
      <c r="G1874">
        <v>1.196475E-4</v>
      </c>
      <c r="H1874" t="s">
        <v>2221</v>
      </c>
    </row>
    <row r="1875" spans="1:8">
      <c r="A1875" t="s">
        <v>6405</v>
      </c>
      <c r="B1875" t="s">
        <v>6404</v>
      </c>
      <c r="C1875">
        <v>100</v>
      </c>
      <c r="D1875">
        <v>1</v>
      </c>
      <c r="E1875">
        <v>1</v>
      </c>
      <c r="F1875">
        <v>1</v>
      </c>
      <c r="G1875">
        <v>0</v>
      </c>
      <c r="H1875" t="s">
        <v>2203</v>
      </c>
    </row>
    <row r="1876" spans="1:8">
      <c r="A1876" t="s">
        <v>6399</v>
      </c>
      <c r="B1876" t="s">
        <v>6398</v>
      </c>
      <c r="C1876">
        <v>80</v>
      </c>
      <c r="D1876">
        <v>1</v>
      </c>
      <c r="E1876">
        <v>1</v>
      </c>
      <c r="F1876">
        <v>121.9</v>
      </c>
      <c r="G1876">
        <v>5.2439999999999995E-4</v>
      </c>
      <c r="H1876" t="s">
        <v>2203</v>
      </c>
    </row>
    <row r="1877" spans="1:8">
      <c r="A1877" t="s">
        <v>6403</v>
      </c>
      <c r="B1877" t="s">
        <v>6402</v>
      </c>
      <c r="C1877">
        <v>1</v>
      </c>
      <c r="D1877">
        <v>1</v>
      </c>
      <c r="E1877">
        <v>1</v>
      </c>
      <c r="F1877">
        <v>1</v>
      </c>
      <c r="G1877">
        <v>0</v>
      </c>
      <c r="H1877" t="s">
        <v>2221</v>
      </c>
    </row>
    <row r="1878" spans="1:8">
      <c r="A1878" t="s">
        <v>6401</v>
      </c>
      <c r="B1878" t="s">
        <v>6400</v>
      </c>
      <c r="C1878">
        <v>1</v>
      </c>
      <c r="D1878">
        <v>1</v>
      </c>
      <c r="E1878">
        <v>1</v>
      </c>
      <c r="F1878">
        <v>1</v>
      </c>
      <c r="G1878">
        <v>0</v>
      </c>
      <c r="H1878" t="s">
        <v>2221</v>
      </c>
    </row>
    <row r="1879" spans="1:8">
      <c r="A1879" t="s">
        <v>1152</v>
      </c>
      <c r="B1879" t="s">
        <v>3185</v>
      </c>
      <c r="C1879">
        <v>1</v>
      </c>
      <c r="D1879">
        <v>1</v>
      </c>
      <c r="E1879">
        <v>1</v>
      </c>
      <c r="F1879">
        <v>1</v>
      </c>
      <c r="G1879">
        <v>0</v>
      </c>
      <c r="H1879" t="s">
        <v>2221</v>
      </c>
    </row>
    <row r="1880" spans="1:8">
      <c r="A1880" t="s">
        <v>9508</v>
      </c>
      <c r="B1880" t="s">
        <v>6409</v>
      </c>
      <c r="C1880">
        <v>15</v>
      </c>
      <c r="D1880">
        <v>1</v>
      </c>
      <c r="E1880">
        <v>1</v>
      </c>
      <c r="F1880">
        <v>142.19999999999999</v>
      </c>
      <c r="G1880">
        <v>2.5000000000000001E-3</v>
      </c>
      <c r="H1880" t="s">
        <v>2197</v>
      </c>
    </row>
    <row r="1881" spans="1:8">
      <c r="A1881" t="s">
        <v>9509</v>
      </c>
      <c r="B1881" t="s">
        <v>6416</v>
      </c>
      <c r="C1881">
        <v>20</v>
      </c>
      <c r="D1881">
        <v>1</v>
      </c>
      <c r="E1881">
        <v>1</v>
      </c>
      <c r="F1881">
        <v>1</v>
      </c>
      <c r="G1881">
        <v>0</v>
      </c>
      <c r="H1881" t="s">
        <v>2197</v>
      </c>
    </row>
    <row r="1882" spans="1:8">
      <c r="A1882" t="s">
        <v>1153</v>
      </c>
      <c r="B1882" t="s">
        <v>3187</v>
      </c>
      <c r="C1882">
        <v>20</v>
      </c>
      <c r="D1882">
        <v>1</v>
      </c>
      <c r="E1882">
        <v>1</v>
      </c>
      <c r="F1882">
        <v>1</v>
      </c>
      <c r="G1882">
        <v>0</v>
      </c>
      <c r="H1882" t="s">
        <v>2197</v>
      </c>
    </row>
    <row r="1883" spans="1:8">
      <c r="A1883" t="s">
        <v>9511</v>
      </c>
      <c r="B1883" t="s">
        <v>6410</v>
      </c>
      <c r="C1883">
        <v>20</v>
      </c>
      <c r="D1883">
        <v>1</v>
      </c>
      <c r="E1883">
        <v>1</v>
      </c>
      <c r="F1883">
        <v>142.19999999999999</v>
      </c>
      <c r="G1883">
        <v>1.353E-3</v>
      </c>
      <c r="H1883" t="s">
        <v>2197</v>
      </c>
    </row>
    <row r="1884" spans="1:8">
      <c r="A1884" t="s">
        <v>9510</v>
      </c>
      <c r="B1884" t="s">
        <v>6415</v>
      </c>
      <c r="C1884">
        <v>20</v>
      </c>
      <c r="D1884">
        <v>1</v>
      </c>
      <c r="E1884">
        <v>1</v>
      </c>
      <c r="F1884">
        <v>1</v>
      </c>
      <c r="G1884">
        <v>0</v>
      </c>
      <c r="H1884" t="s">
        <v>2197</v>
      </c>
    </row>
    <row r="1885" spans="1:8">
      <c r="A1885" t="s">
        <v>9510</v>
      </c>
      <c r="B1885" t="s">
        <v>6417</v>
      </c>
      <c r="C1885">
        <v>20</v>
      </c>
      <c r="D1885">
        <v>1</v>
      </c>
      <c r="E1885">
        <v>1</v>
      </c>
      <c r="F1885">
        <v>1</v>
      </c>
      <c r="G1885">
        <v>0</v>
      </c>
      <c r="H1885" t="s">
        <v>2197</v>
      </c>
    </row>
    <row r="1886" spans="1:8">
      <c r="A1886" t="s">
        <v>1155</v>
      </c>
      <c r="B1886" t="s">
        <v>3189</v>
      </c>
      <c r="C1886">
        <v>20</v>
      </c>
      <c r="D1886">
        <v>1</v>
      </c>
      <c r="E1886">
        <v>1</v>
      </c>
      <c r="F1886">
        <v>1047.5</v>
      </c>
      <c r="G1886">
        <v>2.5092000000000001E-3</v>
      </c>
      <c r="H1886" t="s">
        <v>2197</v>
      </c>
    </row>
    <row r="1887" spans="1:8">
      <c r="A1887" t="s">
        <v>9512</v>
      </c>
      <c r="B1887" t="s">
        <v>6411</v>
      </c>
      <c r="C1887">
        <v>25</v>
      </c>
      <c r="D1887">
        <v>1</v>
      </c>
      <c r="E1887">
        <v>1</v>
      </c>
      <c r="F1887">
        <v>554</v>
      </c>
      <c r="G1887">
        <v>1.3446E-3</v>
      </c>
      <c r="H1887" t="s">
        <v>2197</v>
      </c>
    </row>
    <row r="1888" spans="1:8">
      <c r="A1888" t="s">
        <v>1156</v>
      </c>
      <c r="B1888" t="s">
        <v>3190</v>
      </c>
      <c r="C1888">
        <v>40</v>
      </c>
      <c r="D1888">
        <v>1</v>
      </c>
      <c r="E1888">
        <v>1</v>
      </c>
      <c r="F1888">
        <v>282.5</v>
      </c>
      <c r="G1888">
        <v>7.5600000000000005E-4</v>
      </c>
      <c r="H1888" t="s">
        <v>2197</v>
      </c>
    </row>
    <row r="1889" spans="1:8">
      <c r="A1889" t="s">
        <v>6414</v>
      </c>
      <c r="B1889" t="s">
        <v>6413</v>
      </c>
      <c r="C1889">
        <v>40</v>
      </c>
      <c r="D1889">
        <v>1</v>
      </c>
      <c r="E1889">
        <v>1</v>
      </c>
      <c r="F1889">
        <v>1</v>
      </c>
      <c r="G1889">
        <v>0</v>
      </c>
      <c r="H1889" t="s">
        <v>2197</v>
      </c>
    </row>
    <row r="1890" spans="1:8">
      <c r="A1890" t="s">
        <v>9513</v>
      </c>
      <c r="B1890" t="s">
        <v>6412</v>
      </c>
      <c r="C1890">
        <v>50</v>
      </c>
      <c r="D1890">
        <v>1</v>
      </c>
      <c r="E1890">
        <v>1</v>
      </c>
      <c r="F1890">
        <v>139</v>
      </c>
      <c r="G1890">
        <v>3.2449999999999997E-4</v>
      </c>
      <c r="H1890" t="s">
        <v>2197</v>
      </c>
    </row>
    <row r="1891" spans="1:8">
      <c r="A1891" t="s">
        <v>9514</v>
      </c>
      <c r="B1891" t="s">
        <v>6406</v>
      </c>
      <c r="C1891">
        <v>20</v>
      </c>
      <c r="D1891">
        <v>1</v>
      </c>
      <c r="E1891">
        <v>1</v>
      </c>
      <c r="F1891">
        <v>543.5</v>
      </c>
      <c r="G1891">
        <v>1.0295E-3</v>
      </c>
      <c r="H1891" t="s">
        <v>2203</v>
      </c>
    </row>
    <row r="1892" spans="1:8">
      <c r="A1892" t="s">
        <v>9516</v>
      </c>
      <c r="B1892" t="s">
        <v>6407</v>
      </c>
      <c r="C1892">
        <v>50</v>
      </c>
      <c r="D1892">
        <v>1</v>
      </c>
      <c r="E1892">
        <v>1</v>
      </c>
      <c r="F1892">
        <v>216</v>
      </c>
      <c r="G1892">
        <v>4.3520000000000001E-4</v>
      </c>
      <c r="H1892" t="s">
        <v>2203</v>
      </c>
    </row>
    <row r="1893" spans="1:8">
      <c r="A1893" t="s">
        <v>9515</v>
      </c>
      <c r="B1893" t="s">
        <v>6408</v>
      </c>
      <c r="C1893">
        <v>50</v>
      </c>
      <c r="D1893">
        <v>1</v>
      </c>
      <c r="E1893">
        <v>1</v>
      </c>
      <c r="F1893">
        <v>216</v>
      </c>
      <c r="G1893">
        <v>4.3515999999999997E-4</v>
      </c>
      <c r="H1893" t="s">
        <v>2203</v>
      </c>
    </row>
    <row r="1894" spans="1:8">
      <c r="A1894" t="s">
        <v>1158</v>
      </c>
      <c r="B1894" t="s">
        <v>3191</v>
      </c>
      <c r="C1894">
        <v>1</v>
      </c>
      <c r="D1894">
        <v>1</v>
      </c>
      <c r="E1894">
        <v>1</v>
      </c>
      <c r="F1894">
        <v>1</v>
      </c>
      <c r="G1894">
        <v>0</v>
      </c>
      <c r="H1894" t="s">
        <v>2221</v>
      </c>
    </row>
    <row r="1895" spans="1:8">
      <c r="A1895" t="s">
        <v>4597</v>
      </c>
      <c r="B1895" t="s">
        <v>6418</v>
      </c>
      <c r="C1895">
        <v>20</v>
      </c>
      <c r="D1895">
        <v>1</v>
      </c>
      <c r="E1895">
        <v>1</v>
      </c>
      <c r="F1895">
        <v>0</v>
      </c>
      <c r="G1895">
        <v>0</v>
      </c>
      <c r="H1895" t="s">
        <v>2197</v>
      </c>
    </row>
    <row r="1896" spans="1:8">
      <c r="A1896" t="s">
        <v>4598</v>
      </c>
      <c r="B1896" t="s">
        <v>6419</v>
      </c>
      <c r="C1896">
        <v>40</v>
      </c>
      <c r="D1896">
        <v>1</v>
      </c>
      <c r="E1896">
        <v>1</v>
      </c>
      <c r="F1896">
        <v>0</v>
      </c>
      <c r="G1896">
        <v>0</v>
      </c>
      <c r="H1896" t="s">
        <v>2197</v>
      </c>
    </row>
    <row r="1897" spans="1:8">
      <c r="A1897" t="s">
        <v>1159</v>
      </c>
      <c r="B1897" t="s">
        <v>3192</v>
      </c>
      <c r="C1897">
        <v>1</v>
      </c>
      <c r="D1897">
        <v>1</v>
      </c>
      <c r="E1897">
        <v>1</v>
      </c>
      <c r="F1897">
        <v>0</v>
      </c>
      <c r="G1897">
        <v>0</v>
      </c>
      <c r="H1897" t="s">
        <v>2221</v>
      </c>
    </row>
    <row r="1898" spans="1:8">
      <c r="A1898" t="s">
        <v>4599</v>
      </c>
      <c r="B1898" t="s">
        <v>6424</v>
      </c>
      <c r="C1898">
        <v>20</v>
      </c>
      <c r="D1898">
        <v>1</v>
      </c>
      <c r="E1898">
        <v>1</v>
      </c>
      <c r="F1898">
        <v>1</v>
      </c>
      <c r="G1898">
        <v>0</v>
      </c>
      <c r="H1898" t="s">
        <v>2197</v>
      </c>
    </row>
    <row r="1899" spans="1:8">
      <c r="A1899" t="s">
        <v>6421</v>
      </c>
      <c r="B1899" t="s">
        <v>6420</v>
      </c>
      <c r="C1899">
        <v>10</v>
      </c>
      <c r="D1899">
        <v>1</v>
      </c>
      <c r="E1899">
        <v>1</v>
      </c>
      <c r="F1899">
        <v>2080</v>
      </c>
      <c r="G1899">
        <v>4.7736000000000002E-3</v>
      </c>
      <c r="H1899" t="s">
        <v>2197</v>
      </c>
    </row>
    <row r="1900" spans="1:8">
      <c r="A1900" t="s">
        <v>4600</v>
      </c>
      <c r="B1900" t="s">
        <v>6422</v>
      </c>
      <c r="C1900">
        <v>20</v>
      </c>
      <c r="D1900">
        <v>1</v>
      </c>
      <c r="E1900">
        <v>1</v>
      </c>
      <c r="F1900">
        <v>1200</v>
      </c>
      <c r="G1900">
        <v>3.4965E-3</v>
      </c>
      <c r="H1900" t="s">
        <v>2197</v>
      </c>
    </row>
    <row r="1901" spans="1:8">
      <c r="A1901" t="s">
        <v>4601</v>
      </c>
      <c r="B1901" t="s">
        <v>6423</v>
      </c>
      <c r="C1901">
        <v>40</v>
      </c>
      <c r="D1901">
        <v>1</v>
      </c>
      <c r="E1901">
        <v>1</v>
      </c>
      <c r="F1901">
        <v>565</v>
      </c>
      <c r="G1901">
        <v>1.2903999999999999E-3</v>
      </c>
      <c r="H1901" t="s">
        <v>2197</v>
      </c>
    </row>
    <row r="1902" spans="1:8">
      <c r="A1902" t="s">
        <v>9517</v>
      </c>
      <c r="B1902" t="s">
        <v>6425</v>
      </c>
      <c r="C1902">
        <v>5</v>
      </c>
      <c r="D1902">
        <v>1</v>
      </c>
      <c r="E1902">
        <v>1</v>
      </c>
      <c r="F1902">
        <v>5100</v>
      </c>
      <c r="G1902">
        <v>4.5360000000000001E-3</v>
      </c>
      <c r="H1902" t="s">
        <v>2203</v>
      </c>
    </row>
    <row r="1903" spans="1:8">
      <c r="A1903" t="s">
        <v>4602</v>
      </c>
      <c r="B1903" t="s">
        <v>6426</v>
      </c>
      <c r="C1903">
        <v>10</v>
      </c>
      <c r="D1903">
        <v>1</v>
      </c>
      <c r="E1903">
        <v>1</v>
      </c>
      <c r="F1903">
        <v>5010</v>
      </c>
      <c r="G1903">
        <v>4.9919999999999999E-3</v>
      </c>
      <c r="H1903" t="s">
        <v>2203</v>
      </c>
    </row>
    <row r="1904" spans="1:8">
      <c r="A1904" t="s">
        <v>6430</v>
      </c>
      <c r="B1904" t="s">
        <v>6429</v>
      </c>
      <c r="C1904">
        <v>12</v>
      </c>
      <c r="D1904">
        <v>1</v>
      </c>
      <c r="E1904">
        <v>1</v>
      </c>
      <c r="F1904">
        <v>1333.3</v>
      </c>
      <c r="G1904">
        <v>2.5222999999999999E-3</v>
      </c>
      <c r="H1904" t="s">
        <v>2197</v>
      </c>
    </row>
    <row r="1905" spans="1:8">
      <c r="A1905" t="s">
        <v>6428</v>
      </c>
      <c r="B1905" t="s">
        <v>6427</v>
      </c>
      <c r="C1905">
        <v>30</v>
      </c>
      <c r="D1905">
        <v>1</v>
      </c>
      <c r="E1905">
        <v>1</v>
      </c>
      <c r="F1905">
        <v>655</v>
      </c>
      <c r="G1905">
        <v>1.2696000000000001E-3</v>
      </c>
      <c r="H1905" t="s">
        <v>2197</v>
      </c>
    </row>
    <row r="1906" spans="1:8">
      <c r="A1906" t="s">
        <v>6432</v>
      </c>
      <c r="B1906" t="s">
        <v>6431</v>
      </c>
      <c r="C1906">
        <v>20</v>
      </c>
      <c r="D1906">
        <v>1</v>
      </c>
      <c r="E1906">
        <v>1</v>
      </c>
      <c r="F1906">
        <v>565</v>
      </c>
      <c r="G1906">
        <v>2.3625E-3</v>
      </c>
      <c r="H1906" t="s">
        <v>2203</v>
      </c>
    </row>
    <row r="1907" spans="1:8">
      <c r="A1907" t="s">
        <v>4603</v>
      </c>
      <c r="B1907" t="s">
        <v>6433</v>
      </c>
      <c r="C1907">
        <v>1</v>
      </c>
      <c r="D1907">
        <v>1</v>
      </c>
      <c r="E1907">
        <v>1</v>
      </c>
      <c r="F1907">
        <v>1</v>
      </c>
      <c r="G1907">
        <v>0</v>
      </c>
      <c r="H1907" t="s">
        <v>2197</v>
      </c>
    </row>
    <row r="1908" spans="1:8">
      <c r="A1908" t="s">
        <v>1160</v>
      </c>
      <c r="B1908" t="s">
        <v>3193</v>
      </c>
      <c r="C1908">
        <v>20</v>
      </c>
      <c r="D1908">
        <v>1</v>
      </c>
      <c r="E1908">
        <v>1</v>
      </c>
      <c r="F1908">
        <v>630</v>
      </c>
      <c r="G1908">
        <v>1.044E-3</v>
      </c>
      <c r="H1908" t="s">
        <v>2197</v>
      </c>
    </row>
    <row r="1909" spans="1:8">
      <c r="A1909" t="s">
        <v>1161</v>
      </c>
      <c r="B1909" t="s">
        <v>3195</v>
      </c>
      <c r="C1909">
        <v>40</v>
      </c>
      <c r="D1909">
        <v>1</v>
      </c>
      <c r="E1909">
        <v>1</v>
      </c>
      <c r="F1909">
        <v>325</v>
      </c>
      <c r="G1909">
        <v>6.4349999999999997E-4</v>
      </c>
      <c r="H1909" t="s">
        <v>2197</v>
      </c>
    </row>
    <row r="1910" spans="1:8">
      <c r="A1910" t="s">
        <v>1162</v>
      </c>
      <c r="B1910" t="s">
        <v>3196</v>
      </c>
      <c r="C1910">
        <v>50</v>
      </c>
      <c r="D1910">
        <v>1</v>
      </c>
      <c r="E1910">
        <v>1</v>
      </c>
      <c r="F1910">
        <v>136</v>
      </c>
      <c r="G1910">
        <v>2.9579999999999998E-4</v>
      </c>
      <c r="H1910" t="s">
        <v>2197</v>
      </c>
    </row>
    <row r="1911" spans="1:8">
      <c r="A1911" t="s">
        <v>1163</v>
      </c>
      <c r="B1911" t="s">
        <v>3197</v>
      </c>
      <c r="C1911">
        <v>1</v>
      </c>
      <c r="D1911">
        <v>1</v>
      </c>
      <c r="E1911">
        <v>1</v>
      </c>
      <c r="F1911">
        <v>1</v>
      </c>
      <c r="G1911">
        <v>0</v>
      </c>
      <c r="H1911" t="s">
        <v>2221</v>
      </c>
    </row>
    <row r="1912" spans="1:8">
      <c r="A1912" t="s">
        <v>1164</v>
      </c>
      <c r="B1912" t="s">
        <v>3198</v>
      </c>
      <c r="C1912">
        <v>20</v>
      </c>
      <c r="D1912">
        <v>1</v>
      </c>
      <c r="E1912">
        <v>1</v>
      </c>
      <c r="F1912">
        <v>1140</v>
      </c>
      <c r="G1912">
        <v>2.4480000000000001E-3</v>
      </c>
      <c r="H1912" t="s">
        <v>2197</v>
      </c>
    </row>
    <row r="1913" spans="1:8">
      <c r="A1913" t="s">
        <v>1165</v>
      </c>
      <c r="B1913" t="s">
        <v>3199</v>
      </c>
      <c r="C1913">
        <v>24</v>
      </c>
      <c r="D1913">
        <v>1</v>
      </c>
      <c r="E1913">
        <v>1</v>
      </c>
      <c r="F1913">
        <v>583.29999999999995</v>
      </c>
      <c r="G1913">
        <v>1.4149E-3</v>
      </c>
      <c r="H1913" t="s">
        <v>2197</v>
      </c>
    </row>
    <row r="1914" spans="1:8">
      <c r="A1914" t="s">
        <v>4604</v>
      </c>
      <c r="B1914" t="s">
        <v>6434</v>
      </c>
      <c r="C1914">
        <v>10</v>
      </c>
      <c r="D1914">
        <v>1</v>
      </c>
      <c r="E1914">
        <v>1</v>
      </c>
      <c r="F1914">
        <v>2100</v>
      </c>
      <c r="G1914">
        <v>2.6077499999999998E-3</v>
      </c>
      <c r="H1914" t="s">
        <v>2203</v>
      </c>
    </row>
    <row r="1915" spans="1:8">
      <c r="A1915" t="s">
        <v>6436</v>
      </c>
      <c r="B1915" t="s">
        <v>6435</v>
      </c>
      <c r="C1915">
        <v>100</v>
      </c>
      <c r="D1915">
        <v>1</v>
      </c>
      <c r="E1915">
        <v>1</v>
      </c>
      <c r="F1915">
        <v>1</v>
      </c>
      <c r="G1915">
        <v>0</v>
      </c>
      <c r="H1915" t="s">
        <v>2197</v>
      </c>
    </row>
    <row r="1916" spans="1:8">
      <c r="A1916" t="s">
        <v>1166</v>
      </c>
      <c r="B1916" t="s">
        <v>3200</v>
      </c>
      <c r="C1916">
        <v>48</v>
      </c>
      <c r="D1916">
        <v>1</v>
      </c>
      <c r="E1916">
        <v>1</v>
      </c>
      <c r="F1916">
        <v>277.10000000000002</v>
      </c>
      <c r="G1916">
        <v>6.0749999999999997E-4</v>
      </c>
      <c r="H1916" t="s">
        <v>2197</v>
      </c>
    </row>
    <row r="1917" spans="1:8">
      <c r="A1917" t="s">
        <v>1167</v>
      </c>
      <c r="B1917" t="s">
        <v>3201</v>
      </c>
      <c r="C1917">
        <v>100</v>
      </c>
      <c r="D1917">
        <v>1</v>
      </c>
      <c r="E1917">
        <v>1</v>
      </c>
      <c r="F1917">
        <v>130</v>
      </c>
      <c r="G1917">
        <v>3.3750000000000002E-4</v>
      </c>
      <c r="H1917" t="s">
        <v>2197</v>
      </c>
    </row>
    <row r="1918" spans="1:8">
      <c r="A1918" t="s">
        <v>1168</v>
      </c>
      <c r="B1918" t="s">
        <v>3202</v>
      </c>
      <c r="C1918">
        <v>24</v>
      </c>
      <c r="D1918">
        <v>1</v>
      </c>
      <c r="E1918">
        <v>1</v>
      </c>
      <c r="F1918">
        <v>604.20000000000005</v>
      </c>
      <c r="G1918">
        <v>1.1825E-3</v>
      </c>
      <c r="H1918" t="s">
        <v>2197</v>
      </c>
    </row>
    <row r="1919" spans="1:8">
      <c r="A1919" t="s">
        <v>1169</v>
      </c>
      <c r="B1919" t="s">
        <v>3203</v>
      </c>
      <c r="C1919">
        <v>48</v>
      </c>
      <c r="D1919">
        <v>1</v>
      </c>
      <c r="E1919">
        <v>1</v>
      </c>
      <c r="F1919">
        <v>304.2</v>
      </c>
      <c r="G1919">
        <v>6.3619999999999996E-4</v>
      </c>
      <c r="H1919" t="s">
        <v>2197</v>
      </c>
    </row>
    <row r="1920" spans="1:8">
      <c r="A1920" t="s">
        <v>6442</v>
      </c>
      <c r="B1920" t="s">
        <v>6441</v>
      </c>
      <c r="C1920">
        <v>1</v>
      </c>
      <c r="D1920">
        <v>1</v>
      </c>
      <c r="E1920">
        <v>1</v>
      </c>
      <c r="F1920">
        <v>1</v>
      </c>
      <c r="G1920">
        <v>0</v>
      </c>
      <c r="H1920" t="s">
        <v>2197</v>
      </c>
    </row>
    <row r="1921" spans="1:8">
      <c r="A1921" t="s">
        <v>6438</v>
      </c>
      <c r="B1921" t="s">
        <v>6437</v>
      </c>
      <c r="C1921">
        <v>20</v>
      </c>
      <c r="D1921">
        <v>1</v>
      </c>
      <c r="E1921">
        <v>1</v>
      </c>
      <c r="F1921">
        <v>1</v>
      </c>
      <c r="G1921">
        <v>0</v>
      </c>
      <c r="H1921" t="s">
        <v>2197</v>
      </c>
    </row>
    <row r="1922" spans="1:8">
      <c r="A1922" t="s">
        <v>6440</v>
      </c>
      <c r="B1922" t="s">
        <v>6439</v>
      </c>
      <c r="C1922">
        <v>4</v>
      </c>
      <c r="D1922">
        <v>1</v>
      </c>
      <c r="E1922">
        <v>1</v>
      </c>
      <c r="F1922">
        <v>1</v>
      </c>
      <c r="G1922">
        <v>0</v>
      </c>
      <c r="H1922" t="s">
        <v>2197</v>
      </c>
    </row>
    <row r="1923" spans="1:8">
      <c r="A1923" t="s">
        <v>9518</v>
      </c>
      <c r="B1923" t="s">
        <v>6445</v>
      </c>
      <c r="C1923">
        <v>10</v>
      </c>
      <c r="D1923">
        <v>1</v>
      </c>
      <c r="E1923">
        <v>1</v>
      </c>
      <c r="F1923">
        <v>1300</v>
      </c>
      <c r="G1923">
        <v>2.2079999999999999E-3</v>
      </c>
      <c r="H1923" t="s">
        <v>2197</v>
      </c>
    </row>
    <row r="1924" spans="1:8">
      <c r="A1924" t="s">
        <v>9519</v>
      </c>
      <c r="B1924" t="s">
        <v>6444</v>
      </c>
      <c r="C1924">
        <v>20</v>
      </c>
      <c r="D1924">
        <v>1</v>
      </c>
      <c r="E1924">
        <v>1</v>
      </c>
      <c r="F1924">
        <v>141.5</v>
      </c>
      <c r="G1924">
        <v>1.1039999999999999E-3</v>
      </c>
      <c r="H1924" t="s">
        <v>2197</v>
      </c>
    </row>
    <row r="1925" spans="1:8">
      <c r="A1925" t="s">
        <v>9520</v>
      </c>
      <c r="B1925" t="s">
        <v>6443</v>
      </c>
      <c r="C1925">
        <v>40</v>
      </c>
      <c r="D1925">
        <v>1</v>
      </c>
      <c r="E1925">
        <v>1</v>
      </c>
      <c r="F1925">
        <v>307.5</v>
      </c>
      <c r="G1925">
        <v>6.7500000000000004E-4</v>
      </c>
      <c r="H1925" t="s">
        <v>2197</v>
      </c>
    </row>
    <row r="1926" spans="1:8">
      <c r="A1926" t="s">
        <v>1170</v>
      </c>
      <c r="B1926" t="s">
        <v>3204</v>
      </c>
      <c r="C1926">
        <v>20</v>
      </c>
      <c r="D1926">
        <v>1</v>
      </c>
      <c r="E1926">
        <v>1</v>
      </c>
      <c r="F1926">
        <v>1122.5</v>
      </c>
      <c r="G1926">
        <v>2.3644E-3</v>
      </c>
      <c r="H1926" t="s">
        <v>2197</v>
      </c>
    </row>
    <row r="1927" spans="1:8">
      <c r="A1927" t="s">
        <v>9521</v>
      </c>
      <c r="B1927" t="s">
        <v>6446</v>
      </c>
      <c r="C1927">
        <v>20</v>
      </c>
      <c r="D1927">
        <v>1</v>
      </c>
      <c r="E1927">
        <v>1</v>
      </c>
      <c r="F1927">
        <v>317.5</v>
      </c>
      <c r="G1927">
        <v>6.8849999999999998E-4</v>
      </c>
      <c r="H1927" t="s">
        <v>2197</v>
      </c>
    </row>
    <row r="1928" spans="1:8">
      <c r="A1928" t="s">
        <v>9522</v>
      </c>
      <c r="B1928" t="s">
        <v>6447</v>
      </c>
      <c r="C1928">
        <v>20</v>
      </c>
      <c r="D1928">
        <v>1</v>
      </c>
      <c r="E1928">
        <v>1</v>
      </c>
      <c r="F1928">
        <v>587.5</v>
      </c>
      <c r="G1928">
        <v>1.2792000000000001E-3</v>
      </c>
      <c r="H1928" t="s">
        <v>2197</v>
      </c>
    </row>
    <row r="1929" spans="1:8">
      <c r="A1929" t="s">
        <v>1172</v>
      </c>
      <c r="B1929" t="s">
        <v>3206</v>
      </c>
      <c r="C1929">
        <v>48</v>
      </c>
      <c r="D1929">
        <v>1</v>
      </c>
      <c r="E1929">
        <v>1</v>
      </c>
      <c r="F1929">
        <v>131.25</v>
      </c>
      <c r="G1929">
        <v>2.8880000000000003E-4</v>
      </c>
      <c r="H1929" t="s">
        <v>2197</v>
      </c>
    </row>
    <row r="1930" spans="1:8">
      <c r="A1930" t="s">
        <v>1175</v>
      </c>
      <c r="B1930" t="s">
        <v>3207</v>
      </c>
      <c r="C1930">
        <v>6</v>
      </c>
      <c r="D1930">
        <v>50</v>
      </c>
      <c r="E1930">
        <v>1</v>
      </c>
      <c r="F1930">
        <v>39</v>
      </c>
      <c r="G1930">
        <v>2.453E-4</v>
      </c>
      <c r="H1930" t="s">
        <v>2203</v>
      </c>
    </row>
    <row r="1931" spans="1:8">
      <c r="A1931" t="s">
        <v>4605</v>
      </c>
      <c r="B1931" t="s">
        <v>6448</v>
      </c>
      <c r="C1931">
        <v>80</v>
      </c>
      <c r="D1931">
        <v>1</v>
      </c>
      <c r="E1931">
        <v>1</v>
      </c>
      <c r="F1931">
        <v>112.5</v>
      </c>
      <c r="G1931">
        <v>4.1399999999999998E-4</v>
      </c>
      <c r="H1931" t="s">
        <v>2203</v>
      </c>
    </row>
    <row r="1932" spans="1:8">
      <c r="A1932" t="s">
        <v>1176</v>
      </c>
      <c r="B1932" t="s">
        <v>3209</v>
      </c>
      <c r="C1932">
        <v>1</v>
      </c>
      <c r="D1932">
        <v>1</v>
      </c>
      <c r="E1932">
        <v>1</v>
      </c>
      <c r="F1932">
        <v>24250</v>
      </c>
      <c r="G1932">
        <v>1.8559099999999999E-2</v>
      </c>
      <c r="H1932" t="s">
        <v>2303</v>
      </c>
    </row>
    <row r="1933" spans="1:8">
      <c r="A1933" t="s">
        <v>1177</v>
      </c>
      <c r="B1933" t="s">
        <v>3211</v>
      </c>
      <c r="C1933">
        <v>20</v>
      </c>
      <c r="D1933">
        <v>1</v>
      </c>
      <c r="E1933">
        <v>1</v>
      </c>
      <c r="F1933">
        <v>1225</v>
      </c>
      <c r="G1933">
        <v>2.4599999999999999E-3</v>
      </c>
      <c r="H1933" t="s">
        <v>2197</v>
      </c>
    </row>
    <row r="1934" spans="1:8">
      <c r="A1934" t="s">
        <v>1178</v>
      </c>
      <c r="B1934" t="s">
        <v>3212</v>
      </c>
      <c r="C1934">
        <v>4</v>
      </c>
      <c r="D1934">
        <v>1</v>
      </c>
      <c r="E1934">
        <v>1</v>
      </c>
      <c r="F1934">
        <v>5862.5</v>
      </c>
      <c r="G1934">
        <v>8.2500000000000004E-3</v>
      </c>
      <c r="H1934" t="s">
        <v>2307</v>
      </c>
    </row>
    <row r="1935" spans="1:8">
      <c r="A1935" t="s">
        <v>8299</v>
      </c>
      <c r="B1935" t="s">
        <v>8298</v>
      </c>
      <c r="C1935">
        <v>1</v>
      </c>
      <c r="D1935">
        <v>1</v>
      </c>
      <c r="E1935">
        <v>1</v>
      </c>
      <c r="F1935">
        <v>1</v>
      </c>
      <c r="G1935">
        <v>0</v>
      </c>
      <c r="H1935" t="s">
        <v>2221</v>
      </c>
    </row>
    <row r="1936" spans="1:8">
      <c r="A1936" t="s">
        <v>8824</v>
      </c>
      <c r="B1936" t="s">
        <v>8823</v>
      </c>
      <c r="C1936">
        <v>1</v>
      </c>
      <c r="D1936">
        <v>1</v>
      </c>
      <c r="E1936">
        <v>1</v>
      </c>
      <c r="F1936">
        <v>1</v>
      </c>
      <c r="G1936">
        <v>0</v>
      </c>
      <c r="H1936" t="s">
        <v>2221</v>
      </c>
    </row>
    <row r="1937" spans="1:8">
      <c r="A1937" t="s">
        <v>4606</v>
      </c>
      <c r="B1937" t="s">
        <v>6449</v>
      </c>
      <c r="C1937">
        <v>1</v>
      </c>
      <c r="D1937">
        <v>1</v>
      </c>
      <c r="E1937">
        <v>1</v>
      </c>
      <c r="F1937">
        <v>0</v>
      </c>
      <c r="G1937">
        <v>0</v>
      </c>
      <c r="H1937" t="s">
        <v>2307</v>
      </c>
    </row>
    <row r="1938" spans="1:8">
      <c r="A1938" t="s">
        <v>1179</v>
      </c>
      <c r="B1938" t="s">
        <v>3213</v>
      </c>
      <c r="C1938">
        <v>1</v>
      </c>
      <c r="D1938">
        <v>1</v>
      </c>
      <c r="E1938">
        <v>1</v>
      </c>
      <c r="F1938">
        <v>14000</v>
      </c>
      <c r="G1938">
        <v>0</v>
      </c>
      <c r="H1938" t="s">
        <v>2221</v>
      </c>
    </row>
    <row r="1939" spans="1:8">
      <c r="A1939" t="s">
        <v>1180</v>
      </c>
      <c r="B1939" t="s">
        <v>3215</v>
      </c>
      <c r="C1939">
        <v>1</v>
      </c>
      <c r="D1939">
        <v>1</v>
      </c>
      <c r="E1939">
        <v>1</v>
      </c>
      <c r="F1939">
        <v>17000</v>
      </c>
      <c r="G1939">
        <v>0</v>
      </c>
      <c r="H1939" t="s">
        <v>2221</v>
      </c>
    </row>
    <row r="1940" spans="1:8">
      <c r="A1940" t="s">
        <v>6451</v>
      </c>
      <c r="B1940" t="s">
        <v>6450</v>
      </c>
      <c r="C1940">
        <v>10</v>
      </c>
      <c r="D1940">
        <v>1</v>
      </c>
      <c r="E1940">
        <v>1</v>
      </c>
      <c r="F1940">
        <v>1165</v>
      </c>
      <c r="G1940">
        <v>3.0314999999999999E-3</v>
      </c>
      <c r="H1940" t="s">
        <v>2203</v>
      </c>
    </row>
    <row r="1941" spans="1:8">
      <c r="A1941" t="s">
        <v>6453</v>
      </c>
      <c r="B1941" t="s">
        <v>6452</v>
      </c>
      <c r="C1941">
        <v>4</v>
      </c>
      <c r="D1941">
        <v>1</v>
      </c>
      <c r="E1941">
        <v>1</v>
      </c>
      <c r="F1941">
        <v>5387.5</v>
      </c>
      <c r="G1941">
        <v>1.15569E-2</v>
      </c>
      <c r="H1941" t="s">
        <v>2203</v>
      </c>
    </row>
    <row r="1942" spans="1:8">
      <c r="A1942" t="s">
        <v>6455</v>
      </c>
      <c r="B1942" t="s">
        <v>6454</v>
      </c>
      <c r="C1942">
        <v>40</v>
      </c>
      <c r="D1942">
        <v>1</v>
      </c>
      <c r="E1942">
        <v>1</v>
      </c>
      <c r="F1942">
        <v>217.5</v>
      </c>
      <c r="G1942">
        <v>7.2079999999999996E-4</v>
      </c>
      <c r="H1942" t="s">
        <v>2197</v>
      </c>
    </row>
    <row r="1943" spans="1:8">
      <c r="A1943" t="s">
        <v>4608</v>
      </c>
      <c r="B1943" t="s">
        <v>6456</v>
      </c>
      <c r="C1943">
        <v>10</v>
      </c>
      <c r="D1943">
        <v>1</v>
      </c>
      <c r="E1943">
        <v>1</v>
      </c>
      <c r="F1943">
        <v>1250</v>
      </c>
      <c r="G1943">
        <v>2.4499999999999999E-3</v>
      </c>
      <c r="H1943" t="s">
        <v>2197</v>
      </c>
    </row>
    <row r="1944" spans="1:8">
      <c r="A1944" t="s">
        <v>6459</v>
      </c>
      <c r="B1944" t="s">
        <v>6458</v>
      </c>
      <c r="C1944">
        <v>20</v>
      </c>
      <c r="D1944">
        <v>1</v>
      </c>
      <c r="E1944">
        <v>1</v>
      </c>
      <c r="F1944">
        <v>1</v>
      </c>
      <c r="G1944">
        <v>0</v>
      </c>
      <c r="H1944" t="s">
        <v>2197</v>
      </c>
    </row>
    <row r="1945" spans="1:8">
      <c r="A1945" t="s">
        <v>4607</v>
      </c>
      <c r="B1945" t="s">
        <v>6457</v>
      </c>
      <c r="C1945">
        <v>50</v>
      </c>
      <c r="D1945">
        <v>1</v>
      </c>
      <c r="E1945">
        <v>1</v>
      </c>
      <c r="F1945">
        <v>140</v>
      </c>
      <c r="G1945">
        <v>2.7500000000000002E-4</v>
      </c>
      <c r="H1945" t="s">
        <v>2197</v>
      </c>
    </row>
    <row r="1946" spans="1:8">
      <c r="A1946" t="s">
        <v>1181</v>
      </c>
      <c r="B1946" t="s">
        <v>3216</v>
      </c>
      <c r="C1946">
        <v>12</v>
      </c>
      <c r="D1946">
        <v>1</v>
      </c>
      <c r="E1946">
        <v>1</v>
      </c>
      <c r="F1946">
        <v>1475</v>
      </c>
      <c r="G1946">
        <v>2.5833000000000002E-3</v>
      </c>
      <c r="H1946" t="s">
        <v>2197</v>
      </c>
    </row>
    <row r="1947" spans="1:8">
      <c r="A1947" t="s">
        <v>1184</v>
      </c>
      <c r="B1947" t="s">
        <v>3218</v>
      </c>
      <c r="C1947">
        <v>20</v>
      </c>
      <c r="D1947">
        <v>1</v>
      </c>
      <c r="E1947">
        <v>1</v>
      </c>
      <c r="F1947">
        <v>760</v>
      </c>
      <c r="G1947">
        <v>1.4993999999999999E-3</v>
      </c>
      <c r="H1947" t="s">
        <v>2197</v>
      </c>
    </row>
    <row r="1948" spans="1:8">
      <c r="A1948" t="s">
        <v>1185</v>
      </c>
      <c r="B1948" t="s">
        <v>3219</v>
      </c>
      <c r="C1948">
        <v>40</v>
      </c>
      <c r="D1948">
        <v>1</v>
      </c>
      <c r="E1948">
        <v>1</v>
      </c>
      <c r="F1948">
        <v>392.5</v>
      </c>
      <c r="G1948">
        <v>8.9780000000000003E-4</v>
      </c>
      <c r="H1948" t="s">
        <v>2197</v>
      </c>
    </row>
    <row r="1949" spans="1:8">
      <c r="A1949" t="s">
        <v>6461</v>
      </c>
      <c r="B1949" t="s">
        <v>6460</v>
      </c>
      <c r="C1949">
        <v>20</v>
      </c>
      <c r="D1949">
        <v>1</v>
      </c>
      <c r="E1949">
        <v>1</v>
      </c>
      <c r="F1949">
        <v>565</v>
      </c>
      <c r="G1949">
        <v>1.3734999999999999E-3</v>
      </c>
      <c r="H1949" t="s">
        <v>2197</v>
      </c>
    </row>
    <row r="1950" spans="1:8">
      <c r="A1950" t="s">
        <v>8826</v>
      </c>
      <c r="B1950" t="s">
        <v>8825</v>
      </c>
      <c r="C1950">
        <v>1</v>
      </c>
      <c r="D1950">
        <v>1</v>
      </c>
      <c r="E1950">
        <v>1</v>
      </c>
      <c r="F1950">
        <v>1</v>
      </c>
      <c r="G1950">
        <v>0</v>
      </c>
      <c r="H1950" t="s">
        <v>2221</v>
      </c>
    </row>
    <row r="1951" spans="1:8">
      <c r="A1951" t="s">
        <v>4611</v>
      </c>
      <c r="B1951" t="s">
        <v>6465</v>
      </c>
      <c r="C1951">
        <v>10</v>
      </c>
      <c r="D1951">
        <v>1</v>
      </c>
      <c r="E1951">
        <v>1</v>
      </c>
      <c r="F1951">
        <v>2107</v>
      </c>
      <c r="G1951">
        <v>2.1386E-3</v>
      </c>
      <c r="H1951" t="s">
        <v>2203</v>
      </c>
    </row>
    <row r="1952" spans="1:8">
      <c r="A1952" t="s">
        <v>1187</v>
      </c>
      <c r="B1952" t="s">
        <v>3220</v>
      </c>
      <c r="C1952">
        <v>15</v>
      </c>
      <c r="D1952">
        <v>1</v>
      </c>
      <c r="E1952">
        <v>1</v>
      </c>
      <c r="F1952">
        <v>2038</v>
      </c>
      <c r="G1952">
        <v>6.7924999999999995E-4</v>
      </c>
      <c r="H1952" t="s">
        <v>2203</v>
      </c>
    </row>
    <row r="1953" spans="1:8">
      <c r="A1953" t="s">
        <v>6469</v>
      </c>
      <c r="B1953" t="s">
        <v>6468</v>
      </c>
      <c r="C1953">
        <v>30</v>
      </c>
      <c r="D1953">
        <v>1</v>
      </c>
      <c r="E1953">
        <v>1</v>
      </c>
      <c r="F1953">
        <v>2038</v>
      </c>
      <c r="G1953">
        <v>6.7924999999999995E-4</v>
      </c>
      <c r="H1953" t="s">
        <v>2203</v>
      </c>
    </row>
    <row r="1954" spans="1:8">
      <c r="A1954" t="s">
        <v>4613</v>
      </c>
      <c r="B1954" t="s">
        <v>6470</v>
      </c>
      <c r="C1954">
        <v>6</v>
      </c>
      <c r="D1954">
        <v>1</v>
      </c>
      <c r="E1954">
        <v>1</v>
      </c>
      <c r="F1954">
        <v>5075</v>
      </c>
      <c r="G1954">
        <v>1.698125E-3</v>
      </c>
      <c r="H1954" t="s">
        <v>2203</v>
      </c>
    </row>
    <row r="1955" spans="1:8">
      <c r="A1955" t="s">
        <v>4612</v>
      </c>
      <c r="B1955" t="s">
        <v>6462</v>
      </c>
      <c r="C1955">
        <v>12</v>
      </c>
      <c r="D1955">
        <v>1</v>
      </c>
      <c r="E1955">
        <v>1</v>
      </c>
      <c r="F1955">
        <v>2130.8333333333298</v>
      </c>
      <c r="G1955">
        <v>2.679E-3</v>
      </c>
      <c r="H1955" t="s">
        <v>2203</v>
      </c>
    </row>
    <row r="1956" spans="1:8">
      <c r="A1956" t="s">
        <v>1188</v>
      </c>
      <c r="B1956" t="s">
        <v>3222</v>
      </c>
      <c r="C1956">
        <v>15</v>
      </c>
      <c r="D1956">
        <v>1</v>
      </c>
      <c r="E1956">
        <v>1</v>
      </c>
      <c r="F1956">
        <v>2018.6666666666699</v>
      </c>
      <c r="G1956">
        <v>6.7924999999999995E-4</v>
      </c>
      <c r="H1956" t="s">
        <v>2203</v>
      </c>
    </row>
    <row r="1957" spans="1:8">
      <c r="A1957" t="s">
        <v>4609</v>
      </c>
      <c r="B1957" t="s">
        <v>6463</v>
      </c>
      <c r="C1957">
        <v>25</v>
      </c>
      <c r="D1957">
        <v>1</v>
      </c>
      <c r="E1957">
        <v>1</v>
      </c>
      <c r="F1957">
        <v>0</v>
      </c>
      <c r="G1957">
        <v>0</v>
      </c>
      <c r="H1957" t="s">
        <v>2203</v>
      </c>
    </row>
    <row r="1958" spans="1:8">
      <c r="A1958" t="s">
        <v>6467</v>
      </c>
      <c r="B1958" t="s">
        <v>6466</v>
      </c>
      <c r="C1958">
        <v>30</v>
      </c>
      <c r="D1958">
        <v>1</v>
      </c>
      <c r="E1958">
        <v>1</v>
      </c>
      <c r="F1958">
        <v>0</v>
      </c>
      <c r="G1958">
        <v>0</v>
      </c>
      <c r="H1958" t="s">
        <v>2203</v>
      </c>
    </row>
    <row r="1959" spans="1:8">
      <c r="A1959" t="s">
        <v>6472</v>
      </c>
      <c r="B1959" t="s">
        <v>6471</v>
      </c>
      <c r="C1959">
        <v>12</v>
      </c>
      <c r="D1959">
        <v>1</v>
      </c>
      <c r="E1959">
        <v>1</v>
      </c>
      <c r="F1959">
        <v>2000</v>
      </c>
      <c r="G1959">
        <v>0</v>
      </c>
      <c r="H1959" t="s">
        <v>2203</v>
      </c>
    </row>
    <row r="1960" spans="1:8">
      <c r="A1960" t="s">
        <v>4610</v>
      </c>
      <c r="B1960" t="s">
        <v>6464</v>
      </c>
      <c r="C1960">
        <v>10</v>
      </c>
      <c r="D1960">
        <v>1</v>
      </c>
      <c r="E1960">
        <v>1</v>
      </c>
      <c r="F1960">
        <v>2107</v>
      </c>
      <c r="G1960">
        <v>2.1386E-3</v>
      </c>
      <c r="H1960" t="s">
        <v>2203</v>
      </c>
    </row>
    <row r="1961" spans="1:8">
      <c r="A1961" t="s">
        <v>9523</v>
      </c>
      <c r="B1961" t="s">
        <v>6474</v>
      </c>
      <c r="C1961">
        <v>20</v>
      </c>
      <c r="D1961">
        <v>1</v>
      </c>
      <c r="E1961">
        <v>1</v>
      </c>
      <c r="F1961">
        <v>291.3</v>
      </c>
      <c r="G1961">
        <v>7.0350000000000002E-4</v>
      </c>
      <c r="H1961" t="s">
        <v>2197</v>
      </c>
    </row>
    <row r="1962" spans="1:8">
      <c r="A1962" t="s">
        <v>1189</v>
      </c>
      <c r="B1962" t="s">
        <v>3224</v>
      </c>
      <c r="C1962">
        <v>20</v>
      </c>
      <c r="D1962">
        <v>1</v>
      </c>
      <c r="E1962">
        <v>1</v>
      </c>
      <c r="F1962">
        <v>525</v>
      </c>
      <c r="G1962">
        <v>1.1670999999999999E-3</v>
      </c>
      <c r="H1962" t="s">
        <v>2197</v>
      </c>
    </row>
    <row r="1963" spans="1:8">
      <c r="A1963" t="s">
        <v>9524</v>
      </c>
      <c r="B1963" t="s">
        <v>6473</v>
      </c>
      <c r="C1963">
        <v>30</v>
      </c>
      <c r="D1963">
        <v>1</v>
      </c>
      <c r="E1963">
        <v>1</v>
      </c>
      <c r="F1963">
        <v>0</v>
      </c>
      <c r="G1963">
        <v>0</v>
      </c>
      <c r="H1963" t="s">
        <v>2197</v>
      </c>
    </row>
    <row r="1964" spans="1:8">
      <c r="A1964" t="s">
        <v>1190</v>
      </c>
      <c r="B1964" t="s">
        <v>3226</v>
      </c>
      <c r="C1964">
        <v>30</v>
      </c>
      <c r="D1964">
        <v>1</v>
      </c>
      <c r="E1964">
        <v>1</v>
      </c>
      <c r="F1964">
        <v>291.3</v>
      </c>
      <c r="G1964">
        <v>7.0350000000000002E-4</v>
      </c>
      <c r="H1964" t="s">
        <v>2197</v>
      </c>
    </row>
    <row r="1965" spans="1:8">
      <c r="A1965" t="s">
        <v>1191</v>
      </c>
      <c r="B1965" t="s">
        <v>3227</v>
      </c>
      <c r="C1965">
        <v>40</v>
      </c>
      <c r="D1965">
        <v>1</v>
      </c>
      <c r="E1965">
        <v>1</v>
      </c>
      <c r="F1965">
        <v>282.5</v>
      </c>
      <c r="G1965">
        <v>7.6999999999999996E-4</v>
      </c>
      <c r="H1965" t="s">
        <v>2197</v>
      </c>
    </row>
    <row r="1966" spans="1:8">
      <c r="A1966" t="s">
        <v>1192</v>
      </c>
      <c r="B1966" t="s">
        <v>3229</v>
      </c>
      <c r="C1966">
        <v>50</v>
      </c>
      <c r="D1966">
        <v>1</v>
      </c>
      <c r="E1966">
        <v>1</v>
      </c>
      <c r="F1966">
        <v>129.80000000000001</v>
      </c>
      <c r="G1966">
        <v>3.2618250000000001E-4</v>
      </c>
      <c r="H1966" t="s">
        <v>2197</v>
      </c>
    </row>
    <row r="1967" spans="1:8">
      <c r="A1967" t="s">
        <v>4614</v>
      </c>
      <c r="B1967" t="s">
        <v>6475</v>
      </c>
      <c r="C1967">
        <v>100</v>
      </c>
      <c r="D1967">
        <v>1</v>
      </c>
      <c r="E1967">
        <v>1</v>
      </c>
      <c r="F1967">
        <v>125.5</v>
      </c>
      <c r="G1967">
        <v>4.9850000000000003E-4</v>
      </c>
      <c r="H1967" t="s">
        <v>2203</v>
      </c>
    </row>
    <row r="1968" spans="1:8">
      <c r="A1968" t="s">
        <v>6477</v>
      </c>
      <c r="B1968" t="s">
        <v>6476</v>
      </c>
      <c r="C1968">
        <v>4</v>
      </c>
      <c r="D1968">
        <v>1</v>
      </c>
      <c r="E1968">
        <v>1</v>
      </c>
      <c r="F1968">
        <v>0</v>
      </c>
      <c r="G1968">
        <v>0</v>
      </c>
      <c r="H1968" t="s">
        <v>2307</v>
      </c>
    </row>
    <row r="1969" spans="1:8">
      <c r="A1969" t="s">
        <v>8828</v>
      </c>
      <c r="B1969" t="s">
        <v>8827</v>
      </c>
      <c r="C1969">
        <v>1</v>
      </c>
      <c r="D1969">
        <v>1</v>
      </c>
      <c r="E1969">
        <v>1</v>
      </c>
      <c r="F1969">
        <v>1</v>
      </c>
      <c r="G1969">
        <v>0</v>
      </c>
      <c r="H1969" t="s">
        <v>2221</v>
      </c>
    </row>
    <row r="1970" spans="1:8">
      <c r="A1970" t="s">
        <v>8834</v>
      </c>
      <c r="B1970" t="s">
        <v>8833</v>
      </c>
      <c r="C1970">
        <v>1</v>
      </c>
      <c r="D1970">
        <v>1</v>
      </c>
      <c r="E1970">
        <v>1</v>
      </c>
      <c r="F1970">
        <v>1</v>
      </c>
      <c r="G1970">
        <v>0</v>
      </c>
      <c r="H1970" t="s">
        <v>2221</v>
      </c>
    </row>
    <row r="1971" spans="1:8">
      <c r="A1971" t="s">
        <v>1193</v>
      </c>
      <c r="B1971" t="s">
        <v>3230</v>
      </c>
      <c r="C1971">
        <v>1</v>
      </c>
      <c r="D1971">
        <v>1</v>
      </c>
      <c r="E1971">
        <v>1</v>
      </c>
      <c r="F1971">
        <v>1</v>
      </c>
      <c r="G1971">
        <v>0</v>
      </c>
      <c r="H1971" t="s">
        <v>2221</v>
      </c>
    </row>
    <row r="1972" spans="1:8">
      <c r="A1972" t="s">
        <v>8832</v>
      </c>
      <c r="B1972" t="s">
        <v>8831</v>
      </c>
      <c r="C1972">
        <v>1</v>
      </c>
      <c r="D1972">
        <v>1</v>
      </c>
      <c r="E1972">
        <v>1</v>
      </c>
      <c r="F1972">
        <v>1</v>
      </c>
      <c r="G1972">
        <v>0</v>
      </c>
      <c r="H1972" t="s">
        <v>2221</v>
      </c>
    </row>
    <row r="1973" spans="1:8">
      <c r="A1973" t="s">
        <v>8295</v>
      </c>
      <c r="B1973" t="s">
        <v>8294</v>
      </c>
      <c r="C1973">
        <v>1</v>
      </c>
      <c r="D1973">
        <v>1</v>
      </c>
      <c r="E1973">
        <v>1</v>
      </c>
      <c r="F1973">
        <v>1</v>
      </c>
      <c r="G1973">
        <v>0</v>
      </c>
      <c r="H1973" t="s">
        <v>2221</v>
      </c>
    </row>
    <row r="1974" spans="1:8">
      <c r="A1974" t="s">
        <v>8830</v>
      </c>
      <c r="B1974" t="s">
        <v>8829</v>
      </c>
      <c r="C1974">
        <v>1</v>
      </c>
      <c r="D1974">
        <v>1</v>
      </c>
      <c r="E1974">
        <v>1</v>
      </c>
      <c r="F1974">
        <v>1</v>
      </c>
      <c r="G1974">
        <v>0</v>
      </c>
      <c r="H1974" t="s">
        <v>2221</v>
      </c>
    </row>
    <row r="1975" spans="1:8">
      <c r="A1975" t="s">
        <v>1194</v>
      </c>
      <c r="B1975" t="s">
        <v>3232</v>
      </c>
      <c r="C1975">
        <v>1</v>
      </c>
      <c r="D1975">
        <v>1</v>
      </c>
      <c r="E1975">
        <v>1</v>
      </c>
      <c r="F1975">
        <v>1</v>
      </c>
      <c r="G1975">
        <v>0</v>
      </c>
      <c r="H1975" t="s">
        <v>2221</v>
      </c>
    </row>
    <row r="1976" spans="1:8">
      <c r="A1976" t="s">
        <v>1195</v>
      </c>
      <c r="B1976" t="s">
        <v>3233</v>
      </c>
      <c r="C1976">
        <v>100</v>
      </c>
      <c r="D1976">
        <v>1</v>
      </c>
      <c r="E1976">
        <v>1</v>
      </c>
      <c r="F1976">
        <v>123.5</v>
      </c>
      <c r="G1976">
        <v>3.2650000000000002E-4</v>
      </c>
      <c r="H1976" t="s">
        <v>2197</v>
      </c>
    </row>
    <row r="1977" spans="1:8">
      <c r="A1977" t="s">
        <v>1196</v>
      </c>
      <c r="B1977" t="s">
        <v>3235</v>
      </c>
      <c r="C1977">
        <v>20</v>
      </c>
      <c r="D1977">
        <v>1</v>
      </c>
      <c r="E1977">
        <v>1</v>
      </c>
      <c r="F1977">
        <v>1087.5</v>
      </c>
      <c r="G1977">
        <v>3.0656250000000002E-3</v>
      </c>
      <c r="H1977" t="s">
        <v>2197</v>
      </c>
    </row>
    <row r="1978" spans="1:8">
      <c r="A1978" t="s">
        <v>1197</v>
      </c>
      <c r="B1978" t="s">
        <v>3236</v>
      </c>
      <c r="C1978">
        <v>25</v>
      </c>
      <c r="D1978">
        <v>1</v>
      </c>
      <c r="E1978">
        <v>1</v>
      </c>
      <c r="F1978">
        <v>552</v>
      </c>
      <c r="G1978">
        <v>1.2160000000000001E-3</v>
      </c>
      <c r="H1978" t="s">
        <v>2197</v>
      </c>
    </row>
    <row r="1979" spans="1:8">
      <c r="A1979" t="s">
        <v>1198</v>
      </c>
      <c r="B1979" t="s">
        <v>3237</v>
      </c>
      <c r="C1979">
        <v>40</v>
      </c>
      <c r="D1979">
        <v>1</v>
      </c>
      <c r="E1979">
        <v>1</v>
      </c>
      <c r="F1979">
        <v>297</v>
      </c>
      <c r="G1979">
        <v>6.6555E-4</v>
      </c>
      <c r="H1979" t="s">
        <v>2197</v>
      </c>
    </row>
    <row r="1980" spans="1:8">
      <c r="A1980" t="s">
        <v>9525</v>
      </c>
      <c r="B1980" t="s">
        <v>6478</v>
      </c>
      <c r="C1980">
        <v>50</v>
      </c>
      <c r="D1980">
        <v>1</v>
      </c>
      <c r="E1980">
        <v>1</v>
      </c>
      <c r="F1980">
        <v>123.2</v>
      </c>
      <c r="G1980">
        <v>2.5092000000000002E-4</v>
      </c>
      <c r="H1980" t="s">
        <v>2197</v>
      </c>
    </row>
    <row r="1981" spans="1:8">
      <c r="A1981" t="s">
        <v>8840</v>
      </c>
      <c r="B1981" t="s">
        <v>8839</v>
      </c>
      <c r="C1981">
        <v>1</v>
      </c>
      <c r="D1981">
        <v>1</v>
      </c>
      <c r="E1981">
        <v>1</v>
      </c>
      <c r="F1981">
        <v>1</v>
      </c>
      <c r="G1981">
        <v>0</v>
      </c>
      <c r="H1981" t="s">
        <v>2221</v>
      </c>
    </row>
    <row r="1982" spans="1:8">
      <c r="A1982" t="s">
        <v>8842</v>
      </c>
      <c r="B1982" t="s">
        <v>8841</v>
      </c>
      <c r="C1982">
        <v>1</v>
      </c>
      <c r="D1982">
        <v>1</v>
      </c>
      <c r="E1982">
        <v>1</v>
      </c>
      <c r="F1982">
        <v>1</v>
      </c>
      <c r="G1982">
        <v>0</v>
      </c>
      <c r="H1982" t="s">
        <v>2509</v>
      </c>
    </row>
    <row r="1983" spans="1:8">
      <c r="A1983" t="s">
        <v>8836</v>
      </c>
      <c r="B1983" t="s">
        <v>8835</v>
      </c>
      <c r="C1983">
        <v>5</v>
      </c>
      <c r="D1983">
        <v>1</v>
      </c>
      <c r="E1983">
        <v>1</v>
      </c>
      <c r="F1983">
        <v>1</v>
      </c>
      <c r="G1983">
        <v>0</v>
      </c>
      <c r="H1983" t="s">
        <v>2221</v>
      </c>
    </row>
    <row r="1984" spans="1:8">
      <c r="A1984" t="s">
        <v>8838</v>
      </c>
      <c r="B1984" t="s">
        <v>8837</v>
      </c>
      <c r="C1984">
        <v>12</v>
      </c>
      <c r="D1984">
        <v>1</v>
      </c>
      <c r="E1984">
        <v>1</v>
      </c>
      <c r="F1984">
        <v>1</v>
      </c>
      <c r="G1984">
        <v>0</v>
      </c>
      <c r="H1984" t="s">
        <v>2221</v>
      </c>
    </row>
    <row r="1985" spans="1:8">
      <c r="A1985" t="s">
        <v>1199</v>
      </c>
      <c r="B1985" t="s">
        <v>3238</v>
      </c>
      <c r="C1985">
        <v>1</v>
      </c>
      <c r="D1985">
        <v>1</v>
      </c>
      <c r="E1985">
        <v>1</v>
      </c>
      <c r="F1985">
        <v>1</v>
      </c>
      <c r="G1985">
        <v>0</v>
      </c>
      <c r="H1985" t="s">
        <v>2221</v>
      </c>
    </row>
    <row r="1986" spans="1:8">
      <c r="A1986" t="s">
        <v>4975</v>
      </c>
      <c r="B1986" t="s">
        <v>6485</v>
      </c>
      <c r="C1986">
        <v>10</v>
      </c>
      <c r="D1986">
        <v>1</v>
      </c>
      <c r="E1986">
        <v>1</v>
      </c>
      <c r="F1986">
        <v>1000</v>
      </c>
      <c r="G1986">
        <v>0</v>
      </c>
      <c r="H1986" t="s">
        <v>2203</v>
      </c>
    </row>
    <row r="1987" spans="1:8">
      <c r="A1987" t="s">
        <v>6482</v>
      </c>
      <c r="B1987" t="s">
        <v>6481</v>
      </c>
      <c r="C1987">
        <v>100</v>
      </c>
      <c r="D1987">
        <v>1</v>
      </c>
      <c r="E1987">
        <v>1</v>
      </c>
      <c r="F1987">
        <v>100</v>
      </c>
      <c r="G1987">
        <v>0</v>
      </c>
      <c r="H1987" t="s">
        <v>2203</v>
      </c>
    </row>
    <row r="1988" spans="1:8">
      <c r="A1988" t="s">
        <v>6480</v>
      </c>
      <c r="B1988" t="s">
        <v>6479</v>
      </c>
      <c r="C1988">
        <v>1000</v>
      </c>
      <c r="D1988">
        <v>1</v>
      </c>
      <c r="E1988">
        <v>1</v>
      </c>
      <c r="F1988">
        <v>15</v>
      </c>
      <c r="G1988">
        <v>0</v>
      </c>
      <c r="H1988" t="s">
        <v>2203</v>
      </c>
    </row>
    <row r="1989" spans="1:8">
      <c r="A1989" t="s">
        <v>6484</v>
      </c>
      <c r="B1989" t="s">
        <v>6483</v>
      </c>
      <c r="C1989">
        <v>1</v>
      </c>
      <c r="D1989">
        <v>1</v>
      </c>
      <c r="E1989">
        <v>1</v>
      </c>
      <c r="F1989">
        <v>25000</v>
      </c>
      <c r="G1989">
        <v>0</v>
      </c>
      <c r="H1989" t="s">
        <v>4806</v>
      </c>
    </row>
    <row r="1990" spans="1:8">
      <c r="A1990" t="s">
        <v>1200</v>
      </c>
      <c r="B1990" t="s">
        <v>3241</v>
      </c>
      <c r="C1990">
        <v>1</v>
      </c>
      <c r="D1990">
        <v>1</v>
      </c>
      <c r="E1990">
        <v>1</v>
      </c>
      <c r="F1990">
        <v>123.2</v>
      </c>
      <c r="G1990">
        <v>2.5092000000000002E-4</v>
      </c>
      <c r="H1990" t="s">
        <v>2221</v>
      </c>
    </row>
    <row r="1991" spans="1:8">
      <c r="A1991" t="s">
        <v>6487</v>
      </c>
      <c r="B1991" t="s">
        <v>6486</v>
      </c>
      <c r="C1991">
        <v>1</v>
      </c>
      <c r="D1991">
        <v>1</v>
      </c>
      <c r="E1991">
        <v>1</v>
      </c>
      <c r="F1991">
        <v>1</v>
      </c>
      <c r="G1991">
        <v>0</v>
      </c>
      <c r="H1991" t="s">
        <v>2221</v>
      </c>
    </row>
    <row r="1992" spans="1:8">
      <c r="A1992" t="s">
        <v>1201</v>
      </c>
      <c r="B1992" t="s">
        <v>3242</v>
      </c>
      <c r="C1992">
        <v>1</v>
      </c>
      <c r="D1992">
        <v>1</v>
      </c>
      <c r="E1992">
        <v>1</v>
      </c>
      <c r="F1992">
        <v>123.2</v>
      </c>
      <c r="G1992">
        <v>2.5092000000000002E-4</v>
      </c>
      <c r="H1992" t="s">
        <v>2221</v>
      </c>
    </row>
    <row r="1993" spans="1:8">
      <c r="A1993" t="s">
        <v>8844</v>
      </c>
      <c r="B1993" t="s">
        <v>8843</v>
      </c>
      <c r="C1993">
        <v>1</v>
      </c>
      <c r="D1993">
        <v>1</v>
      </c>
      <c r="E1993">
        <v>1</v>
      </c>
      <c r="F1993">
        <v>1</v>
      </c>
      <c r="G1993">
        <v>0</v>
      </c>
      <c r="H1993" t="s">
        <v>2221</v>
      </c>
    </row>
    <row r="1994" spans="1:8">
      <c r="A1994" t="s">
        <v>1202</v>
      </c>
      <c r="B1994" t="s">
        <v>3244</v>
      </c>
      <c r="C1994">
        <v>1</v>
      </c>
      <c r="D1994">
        <v>1</v>
      </c>
      <c r="E1994">
        <v>1</v>
      </c>
      <c r="F1994">
        <v>1</v>
      </c>
      <c r="G1994">
        <v>0</v>
      </c>
      <c r="H1994" t="s">
        <v>2221</v>
      </c>
    </row>
    <row r="1995" spans="1:8">
      <c r="A1995" t="s">
        <v>1203</v>
      </c>
      <c r="B1995" t="s">
        <v>3245</v>
      </c>
      <c r="C1995">
        <v>1</v>
      </c>
      <c r="D1995">
        <v>1</v>
      </c>
      <c r="E1995">
        <v>1</v>
      </c>
      <c r="F1995">
        <v>1</v>
      </c>
      <c r="G1995">
        <v>0</v>
      </c>
      <c r="H1995" t="s">
        <v>2221</v>
      </c>
    </row>
    <row r="1996" spans="1:8">
      <c r="A1996" t="s">
        <v>1204</v>
      </c>
      <c r="B1996" t="s">
        <v>3246</v>
      </c>
      <c r="C1996">
        <v>10</v>
      </c>
      <c r="D1996">
        <v>1</v>
      </c>
      <c r="E1996">
        <v>1</v>
      </c>
      <c r="F1996">
        <v>2090</v>
      </c>
      <c r="G1996">
        <v>2.1299000000000001E-3</v>
      </c>
      <c r="H1996" t="s">
        <v>2203</v>
      </c>
    </row>
    <row r="1997" spans="1:8">
      <c r="A1997" t="s">
        <v>1205</v>
      </c>
      <c r="B1997" t="s">
        <v>3248</v>
      </c>
      <c r="C1997">
        <v>20</v>
      </c>
      <c r="D1997">
        <v>1</v>
      </c>
      <c r="E1997">
        <v>1</v>
      </c>
      <c r="F1997">
        <v>1097.5</v>
      </c>
      <c r="G1997">
        <v>3.02375E-3</v>
      </c>
      <c r="H1997" t="s">
        <v>2203</v>
      </c>
    </row>
    <row r="1998" spans="1:8">
      <c r="A1998" t="s">
        <v>4976</v>
      </c>
      <c r="B1998" t="s">
        <v>6488</v>
      </c>
      <c r="C1998">
        <v>20</v>
      </c>
      <c r="D1998">
        <v>10</v>
      </c>
      <c r="E1998">
        <v>1</v>
      </c>
      <c r="F1998">
        <v>123.3</v>
      </c>
      <c r="G1998">
        <v>3.0709999999999998E-4</v>
      </c>
      <c r="H1998" t="s">
        <v>2203</v>
      </c>
    </row>
    <row r="1999" spans="1:8">
      <c r="A1999" t="s">
        <v>6490</v>
      </c>
      <c r="B1999" t="s">
        <v>6489</v>
      </c>
      <c r="C1999">
        <v>16</v>
      </c>
      <c r="D1999">
        <v>1</v>
      </c>
      <c r="E1999">
        <v>1</v>
      </c>
      <c r="F1999">
        <v>1303.0999999999999</v>
      </c>
      <c r="G1999">
        <v>2.8890999999999999E-3</v>
      </c>
      <c r="H1999" t="s">
        <v>2197</v>
      </c>
    </row>
    <row r="2000" spans="1:8">
      <c r="A2000" t="s">
        <v>1206</v>
      </c>
      <c r="B2000" t="s">
        <v>3251</v>
      </c>
      <c r="C2000">
        <v>1</v>
      </c>
      <c r="D2000">
        <v>1</v>
      </c>
      <c r="E2000">
        <v>1</v>
      </c>
      <c r="F2000">
        <v>23600</v>
      </c>
      <c r="G2000">
        <v>2.6155500000000002E-2</v>
      </c>
      <c r="H2000" t="s">
        <v>2303</v>
      </c>
    </row>
    <row r="2001" spans="1:8">
      <c r="A2001" t="s">
        <v>1207</v>
      </c>
      <c r="B2001" t="s">
        <v>3253</v>
      </c>
      <c r="C2001">
        <v>20</v>
      </c>
      <c r="D2001">
        <v>1</v>
      </c>
      <c r="E2001">
        <v>1</v>
      </c>
      <c r="F2001">
        <v>1323.5</v>
      </c>
      <c r="G2001">
        <v>3.0038E-3</v>
      </c>
      <c r="H2001" t="s">
        <v>2197</v>
      </c>
    </row>
    <row r="2002" spans="1:8">
      <c r="A2002" t="s">
        <v>1208</v>
      </c>
      <c r="B2002" t="s">
        <v>3254</v>
      </c>
      <c r="C2002">
        <v>4</v>
      </c>
      <c r="D2002">
        <v>1</v>
      </c>
      <c r="E2002">
        <v>1</v>
      </c>
      <c r="F2002">
        <v>6087.5</v>
      </c>
      <c r="G2002">
        <v>8.2939999999999993E-3</v>
      </c>
      <c r="H2002" t="s">
        <v>2307</v>
      </c>
    </row>
    <row r="2003" spans="1:8">
      <c r="A2003" t="s">
        <v>1209</v>
      </c>
      <c r="B2003" t="s">
        <v>3255</v>
      </c>
      <c r="C2003">
        <v>1</v>
      </c>
      <c r="D2003">
        <v>1</v>
      </c>
      <c r="E2003">
        <v>1</v>
      </c>
      <c r="F2003">
        <v>25560</v>
      </c>
      <c r="G2003">
        <v>3.168E-2</v>
      </c>
      <c r="H2003" t="s">
        <v>2994</v>
      </c>
    </row>
    <row r="2004" spans="1:8">
      <c r="A2004" t="s">
        <v>6492</v>
      </c>
      <c r="B2004" t="s">
        <v>6491</v>
      </c>
      <c r="C2004">
        <v>20</v>
      </c>
      <c r="D2004">
        <v>1</v>
      </c>
      <c r="E2004">
        <v>1</v>
      </c>
      <c r="F2004">
        <v>0</v>
      </c>
      <c r="G2004">
        <v>0</v>
      </c>
      <c r="H2004" t="s">
        <v>2203</v>
      </c>
    </row>
    <row r="2005" spans="1:8">
      <c r="A2005" t="s">
        <v>4977</v>
      </c>
      <c r="B2005" t="s">
        <v>6493</v>
      </c>
      <c r="C2005">
        <v>1</v>
      </c>
      <c r="D2005">
        <v>1</v>
      </c>
      <c r="E2005">
        <v>1</v>
      </c>
      <c r="F2005">
        <v>1</v>
      </c>
      <c r="G2005">
        <v>0</v>
      </c>
      <c r="H2005" t="s">
        <v>2994</v>
      </c>
    </row>
    <row r="2006" spans="1:8">
      <c r="A2006" t="s">
        <v>1210</v>
      </c>
      <c r="B2006" t="s">
        <v>3257</v>
      </c>
      <c r="C2006">
        <v>20</v>
      </c>
      <c r="D2006">
        <v>12</v>
      </c>
      <c r="E2006">
        <v>1</v>
      </c>
      <c r="F2006">
        <v>28.8</v>
      </c>
      <c r="G2006">
        <v>1.2430000000000001E-4</v>
      </c>
      <c r="H2006" t="s">
        <v>2203</v>
      </c>
    </row>
    <row r="2007" spans="1:8">
      <c r="A2007" t="s">
        <v>6495</v>
      </c>
      <c r="B2007" t="s">
        <v>6494</v>
      </c>
      <c r="C2007">
        <v>20</v>
      </c>
      <c r="D2007">
        <v>12</v>
      </c>
      <c r="E2007">
        <v>1</v>
      </c>
      <c r="F2007">
        <v>0</v>
      </c>
      <c r="G2007">
        <v>0</v>
      </c>
      <c r="H2007" t="s">
        <v>2203</v>
      </c>
    </row>
    <row r="2008" spans="1:8">
      <c r="A2008" t="s">
        <v>6520</v>
      </c>
      <c r="B2008" t="s">
        <v>6519</v>
      </c>
      <c r="C2008">
        <v>20</v>
      </c>
      <c r="D2008">
        <v>12</v>
      </c>
      <c r="E2008">
        <v>1</v>
      </c>
      <c r="F2008">
        <v>28.8</v>
      </c>
      <c r="G2008">
        <v>1.2430000000000001E-4</v>
      </c>
      <c r="H2008" t="s">
        <v>2203</v>
      </c>
    </row>
    <row r="2009" spans="1:8">
      <c r="A2009" t="s">
        <v>1212</v>
      </c>
      <c r="B2009" t="s">
        <v>3260</v>
      </c>
      <c r="C2009">
        <v>100</v>
      </c>
      <c r="D2009">
        <v>10</v>
      </c>
      <c r="E2009">
        <v>1</v>
      </c>
      <c r="F2009">
        <v>19.8</v>
      </c>
      <c r="G2009" s="4">
        <v>7.6100000000000007E-5</v>
      </c>
      <c r="H2009" t="s">
        <v>2203</v>
      </c>
    </row>
    <row r="2010" spans="1:8">
      <c r="A2010" t="s">
        <v>1214</v>
      </c>
      <c r="B2010" t="s">
        <v>3262</v>
      </c>
      <c r="C2010">
        <v>10</v>
      </c>
      <c r="D2010">
        <v>1</v>
      </c>
      <c r="E2010">
        <v>1</v>
      </c>
      <c r="F2010">
        <v>19.8</v>
      </c>
      <c r="G2010" s="4">
        <v>4.1199999999999999E-5</v>
      </c>
      <c r="H2010" t="s">
        <v>2203</v>
      </c>
    </row>
    <row r="2011" spans="1:8">
      <c r="A2011" t="s">
        <v>4616</v>
      </c>
      <c r="B2011" t="s">
        <v>6506</v>
      </c>
      <c r="C2011">
        <v>100</v>
      </c>
      <c r="D2011">
        <v>1</v>
      </c>
      <c r="E2011">
        <v>1</v>
      </c>
      <c r="F2011">
        <v>170.5</v>
      </c>
      <c r="G2011">
        <v>4.1179999999999998E-4</v>
      </c>
      <c r="H2011" t="s">
        <v>4617</v>
      </c>
    </row>
    <row r="2012" spans="1:8">
      <c r="A2012" t="s">
        <v>6512</v>
      </c>
      <c r="B2012" t="s">
        <v>6511</v>
      </c>
      <c r="C2012">
        <v>10</v>
      </c>
      <c r="D2012">
        <v>1</v>
      </c>
      <c r="E2012">
        <v>1</v>
      </c>
      <c r="F2012">
        <v>19.8</v>
      </c>
      <c r="G2012" s="4">
        <v>7.6100000000000007E-5</v>
      </c>
      <c r="H2012" t="s">
        <v>2203</v>
      </c>
    </row>
    <row r="2013" spans="1:8">
      <c r="A2013" t="s">
        <v>4618</v>
      </c>
      <c r="B2013" t="s">
        <v>6496</v>
      </c>
      <c r="C2013">
        <v>100</v>
      </c>
      <c r="D2013">
        <v>10</v>
      </c>
      <c r="E2013">
        <v>1</v>
      </c>
      <c r="F2013">
        <v>19.8</v>
      </c>
      <c r="G2013" s="4">
        <v>6.5199999999999999E-5</v>
      </c>
      <c r="H2013" t="s">
        <v>2203</v>
      </c>
    </row>
    <row r="2014" spans="1:8">
      <c r="A2014" t="s">
        <v>6505</v>
      </c>
      <c r="B2014" t="s">
        <v>6504</v>
      </c>
      <c r="C2014">
        <v>100</v>
      </c>
      <c r="D2014">
        <v>10</v>
      </c>
      <c r="E2014">
        <v>1</v>
      </c>
      <c r="F2014">
        <v>0</v>
      </c>
      <c r="G2014">
        <v>0</v>
      </c>
      <c r="H2014" t="s">
        <v>2203</v>
      </c>
    </row>
    <row r="2015" spans="1:8">
      <c r="A2015" t="s">
        <v>1216</v>
      </c>
      <c r="B2015" t="s">
        <v>3264</v>
      </c>
      <c r="C2015">
        <v>30</v>
      </c>
      <c r="D2015">
        <v>1</v>
      </c>
      <c r="E2015">
        <v>1</v>
      </c>
      <c r="F2015">
        <v>16.7</v>
      </c>
      <c r="G2015">
        <v>1.6799999999999999E-4</v>
      </c>
      <c r="H2015" t="s">
        <v>2203</v>
      </c>
    </row>
    <row r="2016" spans="1:8">
      <c r="A2016" t="s">
        <v>1217</v>
      </c>
      <c r="B2016" t="s">
        <v>3266</v>
      </c>
      <c r="C2016">
        <v>10</v>
      </c>
      <c r="D2016">
        <v>20</v>
      </c>
      <c r="E2016">
        <v>1</v>
      </c>
      <c r="F2016">
        <v>0</v>
      </c>
      <c r="G2016">
        <v>0</v>
      </c>
      <c r="H2016" t="s">
        <v>2203</v>
      </c>
    </row>
    <row r="2017" spans="1:8">
      <c r="A2017" t="s">
        <v>6508</v>
      </c>
      <c r="B2017" t="s">
        <v>6507</v>
      </c>
      <c r="C2017">
        <v>20</v>
      </c>
      <c r="D2017">
        <v>12</v>
      </c>
      <c r="E2017">
        <v>1</v>
      </c>
      <c r="F2017">
        <v>28.33</v>
      </c>
      <c r="G2017">
        <v>1.2433750000000001E-4</v>
      </c>
      <c r="H2017" t="s">
        <v>2203</v>
      </c>
    </row>
    <row r="2018" spans="1:8">
      <c r="A2018" t="s">
        <v>6503</v>
      </c>
      <c r="B2018" t="s">
        <v>6502</v>
      </c>
      <c r="C2018">
        <v>20</v>
      </c>
      <c r="D2018">
        <v>12</v>
      </c>
      <c r="E2018">
        <v>1</v>
      </c>
      <c r="F2018">
        <v>0</v>
      </c>
      <c r="G2018">
        <v>0</v>
      </c>
      <c r="H2018" t="s">
        <v>2203</v>
      </c>
    </row>
    <row r="2019" spans="1:8">
      <c r="A2019" t="s">
        <v>6510</v>
      </c>
      <c r="B2019" t="s">
        <v>6509</v>
      </c>
      <c r="C2019">
        <v>20</v>
      </c>
      <c r="D2019">
        <v>12</v>
      </c>
      <c r="E2019">
        <v>1</v>
      </c>
      <c r="F2019">
        <v>28.8</v>
      </c>
      <c r="G2019">
        <v>1.2430000000000001E-4</v>
      </c>
      <c r="H2019" t="s">
        <v>2203</v>
      </c>
    </row>
    <row r="2020" spans="1:8">
      <c r="A2020" t="s">
        <v>6516</v>
      </c>
      <c r="B2020" t="s">
        <v>6515</v>
      </c>
      <c r="C2020">
        <v>20</v>
      </c>
      <c r="D2020">
        <v>12</v>
      </c>
      <c r="E2020">
        <v>1</v>
      </c>
      <c r="F2020">
        <v>33.5</v>
      </c>
      <c r="G2020">
        <v>1.2430000000000001E-4</v>
      </c>
      <c r="H2020" t="s">
        <v>2203</v>
      </c>
    </row>
    <row r="2021" spans="1:8">
      <c r="A2021" t="s">
        <v>6518</v>
      </c>
      <c r="B2021" t="s">
        <v>6517</v>
      </c>
      <c r="C2021">
        <v>20</v>
      </c>
      <c r="D2021">
        <v>4</v>
      </c>
      <c r="E2021">
        <v>1</v>
      </c>
      <c r="F2021">
        <v>146.30000000000001</v>
      </c>
      <c r="G2021">
        <v>4.5540000000000001E-4</v>
      </c>
      <c r="H2021" t="s">
        <v>2203</v>
      </c>
    </row>
    <row r="2022" spans="1:8">
      <c r="A2022" t="s">
        <v>6498</v>
      </c>
      <c r="B2022" t="s">
        <v>6497</v>
      </c>
      <c r="C2022">
        <v>6</v>
      </c>
      <c r="D2022">
        <v>15</v>
      </c>
      <c r="E2022">
        <v>1</v>
      </c>
      <c r="F2022">
        <v>0</v>
      </c>
      <c r="G2022">
        <v>0</v>
      </c>
      <c r="H2022" t="s">
        <v>2203</v>
      </c>
    </row>
    <row r="2023" spans="1:8">
      <c r="A2023" t="s">
        <v>4615</v>
      </c>
      <c r="B2023" t="s">
        <v>6499</v>
      </c>
      <c r="C2023">
        <v>10</v>
      </c>
      <c r="D2023">
        <v>1</v>
      </c>
      <c r="E2023">
        <v>1</v>
      </c>
      <c r="F2023">
        <v>0</v>
      </c>
      <c r="G2023">
        <v>0</v>
      </c>
      <c r="H2023" t="s">
        <v>2203</v>
      </c>
    </row>
    <row r="2024" spans="1:8">
      <c r="A2024" t="s">
        <v>6501</v>
      </c>
      <c r="B2024" t="s">
        <v>6500</v>
      </c>
      <c r="C2024">
        <v>20</v>
      </c>
      <c r="D2024">
        <v>12</v>
      </c>
      <c r="E2024">
        <v>1</v>
      </c>
      <c r="F2024">
        <v>0</v>
      </c>
      <c r="G2024">
        <v>0</v>
      </c>
      <c r="H2024" t="s">
        <v>2203</v>
      </c>
    </row>
    <row r="2025" spans="1:8">
      <c r="A2025" t="s">
        <v>6514</v>
      </c>
      <c r="B2025" t="s">
        <v>6513</v>
      </c>
      <c r="C2025">
        <v>20</v>
      </c>
      <c r="D2025">
        <v>12</v>
      </c>
      <c r="E2025">
        <v>1</v>
      </c>
      <c r="F2025">
        <v>1</v>
      </c>
      <c r="G2025">
        <v>0</v>
      </c>
      <c r="H2025" t="s">
        <v>2203</v>
      </c>
    </row>
    <row r="2026" spans="1:8">
      <c r="A2026" t="s">
        <v>8856</v>
      </c>
      <c r="B2026" t="s">
        <v>8855</v>
      </c>
      <c r="C2026">
        <v>1</v>
      </c>
      <c r="D2026">
        <v>1</v>
      </c>
      <c r="E2026">
        <v>1</v>
      </c>
      <c r="F2026">
        <v>1</v>
      </c>
      <c r="G2026">
        <v>0</v>
      </c>
      <c r="H2026" t="s">
        <v>2221</v>
      </c>
    </row>
    <row r="2027" spans="1:8">
      <c r="A2027" t="s">
        <v>8852</v>
      </c>
      <c r="B2027" t="s">
        <v>8851</v>
      </c>
      <c r="C2027">
        <v>1</v>
      </c>
      <c r="D2027">
        <v>1</v>
      </c>
      <c r="E2027">
        <v>1</v>
      </c>
      <c r="F2027">
        <v>1</v>
      </c>
      <c r="G2027">
        <v>0</v>
      </c>
      <c r="H2027" t="s">
        <v>2221</v>
      </c>
    </row>
    <row r="2028" spans="1:8">
      <c r="A2028" t="s">
        <v>8854</v>
      </c>
      <c r="B2028" t="s">
        <v>8853</v>
      </c>
      <c r="C2028">
        <v>1</v>
      </c>
      <c r="D2028">
        <v>1</v>
      </c>
      <c r="E2028">
        <v>1</v>
      </c>
      <c r="F2028">
        <v>1</v>
      </c>
      <c r="G2028">
        <v>0</v>
      </c>
      <c r="H2028" t="s">
        <v>2221</v>
      </c>
    </row>
    <row r="2029" spans="1:8">
      <c r="A2029" t="s">
        <v>8860</v>
      </c>
      <c r="B2029" t="s">
        <v>8859</v>
      </c>
      <c r="C2029">
        <v>1</v>
      </c>
      <c r="D2029">
        <v>1</v>
      </c>
      <c r="E2029">
        <v>1</v>
      </c>
      <c r="F2029">
        <v>1</v>
      </c>
      <c r="G2029">
        <v>0</v>
      </c>
      <c r="H2029" t="s">
        <v>2221</v>
      </c>
    </row>
    <row r="2030" spans="1:8">
      <c r="A2030" t="s">
        <v>8864</v>
      </c>
      <c r="B2030" t="s">
        <v>8863</v>
      </c>
      <c r="C2030">
        <v>1</v>
      </c>
      <c r="D2030">
        <v>1</v>
      </c>
      <c r="E2030">
        <v>1</v>
      </c>
      <c r="F2030">
        <v>1</v>
      </c>
      <c r="G2030">
        <v>0</v>
      </c>
      <c r="H2030" t="s">
        <v>2221</v>
      </c>
    </row>
    <row r="2031" spans="1:8">
      <c r="A2031" t="s">
        <v>8846</v>
      </c>
      <c r="B2031" t="s">
        <v>8845</v>
      </c>
      <c r="C2031">
        <v>1</v>
      </c>
      <c r="D2031">
        <v>1</v>
      </c>
      <c r="E2031">
        <v>1</v>
      </c>
      <c r="F2031">
        <v>1</v>
      </c>
      <c r="G2031">
        <v>0</v>
      </c>
      <c r="H2031" t="s">
        <v>2221</v>
      </c>
    </row>
    <row r="2032" spans="1:8">
      <c r="A2032" t="s">
        <v>8862</v>
      </c>
      <c r="B2032" t="s">
        <v>8861</v>
      </c>
      <c r="C2032">
        <v>1</v>
      </c>
      <c r="D2032">
        <v>1</v>
      </c>
      <c r="E2032">
        <v>1</v>
      </c>
      <c r="F2032">
        <v>1</v>
      </c>
      <c r="G2032">
        <v>0</v>
      </c>
      <c r="H2032" t="s">
        <v>2221</v>
      </c>
    </row>
    <row r="2033" spans="1:8">
      <c r="A2033" t="s">
        <v>8848</v>
      </c>
      <c r="B2033" t="s">
        <v>8847</v>
      </c>
      <c r="C2033">
        <v>1</v>
      </c>
      <c r="D2033">
        <v>1</v>
      </c>
      <c r="E2033">
        <v>1</v>
      </c>
      <c r="F2033">
        <v>1</v>
      </c>
      <c r="G2033">
        <v>0</v>
      </c>
      <c r="H2033" t="s">
        <v>2221</v>
      </c>
    </row>
    <row r="2034" spans="1:8">
      <c r="A2034" t="s">
        <v>8858</v>
      </c>
      <c r="B2034" t="s">
        <v>8857</v>
      </c>
      <c r="C2034">
        <v>1</v>
      </c>
      <c r="D2034">
        <v>1</v>
      </c>
      <c r="E2034">
        <v>1</v>
      </c>
      <c r="F2034">
        <v>1</v>
      </c>
      <c r="G2034">
        <v>0</v>
      </c>
      <c r="H2034" t="s">
        <v>2221</v>
      </c>
    </row>
    <row r="2035" spans="1:8">
      <c r="A2035" t="s">
        <v>8866</v>
      </c>
      <c r="B2035" t="s">
        <v>8865</v>
      </c>
      <c r="C2035">
        <v>1</v>
      </c>
      <c r="D2035">
        <v>1</v>
      </c>
      <c r="E2035">
        <v>1</v>
      </c>
      <c r="F2035">
        <v>1</v>
      </c>
      <c r="G2035">
        <v>0</v>
      </c>
      <c r="H2035" t="s">
        <v>2221</v>
      </c>
    </row>
    <row r="2036" spans="1:8">
      <c r="A2036" t="s">
        <v>8850</v>
      </c>
      <c r="B2036" t="s">
        <v>8849</v>
      </c>
      <c r="C2036">
        <v>1</v>
      </c>
      <c r="D2036">
        <v>1</v>
      </c>
      <c r="E2036">
        <v>1</v>
      </c>
      <c r="F2036">
        <v>1</v>
      </c>
      <c r="G2036">
        <v>0</v>
      </c>
      <c r="H2036" t="s">
        <v>2221</v>
      </c>
    </row>
    <row r="2037" spans="1:8">
      <c r="A2037" t="s">
        <v>8297</v>
      </c>
      <c r="B2037" t="s">
        <v>8296</v>
      </c>
      <c r="C2037">
        <v>1</v>
      </c>
      <c r="D2037">
        <v>1</v>
      </c>
      <c r="E2037">
        <v>1</v>
      </c>
      <c r="F2037">
        <v>1</v>
      </c>
      <c r="G2037">
        <v>0</v>
      </c>
      <c r="H2037" t="s">
        <v>2221</v>
      </c>
    </row>
    <row r="2038" spans="1:8">
      <c r="A2038" t="s">
        <v>1218</v>
      </c>
      <c r="B2038" t="s">
        <v>3267</v>
      </c>
      <c r="C2038">
        <v>1</v>
      </c>
      <c r="D2038">
        <v>1</v>
      </c>
      <c r="E2038">
        <v>1</v>
      </c>
      <c r="F2038">
        <v>1</v>
      </c>
      <c r="G2038">
        <v>0</v>
      </c>
      <c r="H2038" t="s">
        <v>2221</v>
      </c>
    </row>
    <row r="2039" spans="1:8">
      <c r="A2039" t="s">
        <v>8870</v>
      </c>
      <c r="B2039" t="s">
        <v>8869</v>
      </c>
      <c r="C2039">
        <v>1</v>
      </c>
      <c r="D2039">
        <v>1</v>
      </c>
      <c r="E2039">
        <v>1</v>
      </c>
      <c r="F2039">
        <v>1</v>
      </c>
      <c r="G2039">
        <v>0</v>
      </c>
      <c r="H2039" t="s">
        <v>2221</v>
      </c>
    </row>
    <row r="2040" spans="1:8">
      <c r="A2040" t="s">
        <v>8870</v>
      </c>
      <c r="B2040" t="s">
        <v>8871</v>
      </c>
      <c r="C2040">
        <v>1</v>
      </c>
      <c r="D2040">
        <v>1</v>
      </c>
      <c r="E2040">
        <v>1</v>
      </c>
      <c r="F2040">
        <v>1</v>
      </c>
      <c r="G2040">
        <v>0</v>
      </c>
      <c r="H2040" t="s">
        <v>2221</v>
      </c>
    </row>
    <row r="2041" spans="1:8">
      <c r="A2041" t="s">
        <v>8868</v>
      </c>
      <c r="B2041" t="s">
        <v>8867</v>
      </c>
      <c r="C2041">
        <v>1</v>
      </c>
      <c r="D2041">
        <v>1</v>
      </c>
      <c r="E2041">
        <v>1</v>
      </c>
      <c r="F2041">
        <v>1</v>
      </c>
      <c r="G2041">
        <v>0</v>
      </c>
      <c r="H2041" t="s">
        <v>2221</v>
      </c>
    </row>
    <row r="2042" spans="1:8">
      <c r="A2042" t="s">
        <v>8873</v>
      </c>
      <c r="B2042" t="s">
        <v>8872</v>
      </c>
      <c r="C2042">
        <v>1</v>
      </c>
      <c r="D2042">
        <v>1</v>
      </c>
      <c r="E2042">
        <v>1</v>
      </c>
      <c r="F2042">
        <v>1</v>
      </c>
      <c r="G2042">
        <v>0</v>
      </c>
      <c r="H2042" t="s">
        <v>2221</v>
      </c>
    </row>
    <row r="2043" spans="1:8">
      <c r="A2043" t="s">
        <v>8875</v>
      </c>
      <c r="B2043" t="s">
        <v>8874</v>
      </c>
      <c r="C2043">
        <v>1</v>
      </c>
      <c r="D2043">
        <v>1</v>
      </c>
      <c r="E2043">
        <v>1</v>
      </c>
      <c r="F2043">
        <v>1</v>
      </c>
      <c r="G2043">
        <v>0</v>
      </c>
      <c r="H2043" t="s">
        <v>2221</v>
      </c>
    </row>
    <row r="2044" spans="1:8">
      <c r="A2044" t="s">
        <v>1219</v>
      </c>
      <c r="B2044" t="s">
        <v>3268</v>
      </c>
      <c r="C2044">
        <v>1</v>
      </c>
      <c r="D2044">
        <v>1</v>
      </c>
      <c r="E2044">
        <v>1</v>
      </c>
      <c r="F2044">
        <v>1</v>
      </c>
      <c r="G2044">
        <v>0</v>
      </c>
      <c r="H2044" t="s">
        <v>2221</v>
      </c>
    </row>
    <row r="2045" spans="1:8">
      <c r="A2045" t="s">
        <v>1220</v>
      </c>
      <c r="B2045" t="s">
        <v>3269</v>
      </c>
      <c r="C2045">
        <v>20</v>
      </c>
      <c r="D2045">
        <v>1</v>
      </c>
      <c r="E2045">
        <v>1</v>
      </c>
      <c r="F2045">
        <v>746</v>
      </c>
      <c r="G2045">
        <v>1.14E-3</v>
      </c>
      <c r="H2045" t="s">
        <v>2197</v>
      </c>
    </row>
    <row r="2046" spans="1:8">
      <c r="A2046" t="s">
        <v>1221</v>
      </c>
      <c r="B2046" t="s">
        <v>3271</v>
      </c>
      <c r="C2046">
        <v>40</v>
      </c>
      <c r="D2046">
        <v>1</v>
      </c>
      <c r="E2046">
        <v>1</v>
      </c>
      <c r="F2046">
        <v>321.75</v>
      </c>
      <c r="G2046">
        <v>7.7962500000000004E-4</v>
      </c>
      <c r="H2046" t="s">
        <v>2197</v>
      </c>
    </row>
    <row r="2047" spans="1:8">
      <c r="A2047" t="s">
        <v>1222</v>
      </c>
      <c r="B2047" t="s">
        <v>3272</v>
      </c>
      <c r="C2047">
        <v>1</v>
      </c>
      <c r="D2047">
        <v>1</v>
      </c>
      <c r="E2047">
        <v>1</v>
      </c>
      <c r="F2047">
        <v>1</v>
      </c>
      <c r="G2047">
        <v>0</v>
      </c>
      <c r="H2047" t="s">
        <v>2203</v>
      </c>
    </row>
    <row r="2048" spans="1:8">
      <c r="A2048" t="s">
        <v>1223</v>
      </c>
      <c r="B2048" t="s">
        <v>3274</v>
      </c>
      <c r="C2048">
        <v>1</v>
      </c>
      <c r="D2048">
        <v>1</v>
      </c>
      <c r="E2048">
        <v>1</v>
      </c>
      <c r="F2048">
        <v>1</v>
      </c>
      <c r="G2048">
        <v>0</v>
      </c>
      <c r="H2048" t="s">
        <v>2203</v>
      </c>
    </row>
    <row r="2049" spans="1:8">
      <c r="A2049" t="s">
        <v>4619</v>
      </c>
      <c r="B2049" t="s">
        <v>6521</v>
      </c>
      <c r="C2049">
        <v>20</v>
      </c>
      <c r="D2049">
        <v>12</v>
      </c>
      <c r="E2049">
        <v>1</v>
      </c>
      <c r="F2049">
        <v>21.7</v>
      </c>
      <c r="G2049">
        <v>1.2430000000000001E-4</v>
      </c>
      <c r="H2049" t="s">
        <v>2203</v>
      </c>
    </row>
    <row r="2050" spans="1:8">
      <c r="A2050" t="s">
        <v>6525</v>
      </c>
      <c r="B2050" t="s">
        <v>6524</v>
      </c>
      <c r="C2050">
        <v>12</v>
      </c>
      <c r="D2050">
        <v>15</v>
      </c>
      <c r="E2050">
        <v>1</v>
      </c>
      <c r="F2050">
        <v>1</v>
      </c>
      <c r="G2050">
        <v>0</v>
      </c>
      <c r="H2050" t="s">
        <v>2203</v>
      </c>
    </row>
    <row r="2051" spans="1:8">
      <c r="A2051" t="s">
        <v>6523</v>
      </c>
      <c r="B2051" t="s">
        <v>6522</v>
      </c>
      <c r="C2051">
        <v>12</v>
      </c>
      <c r="D2051">
        <v>15</v>
      </c>
      <c r="E2051">
        <v>1</v>
      </c>
      <c r="F2051">
        <v>1</v>
      </c>
      <c r="G2051">
        <v>0</v>
      </c>
      <c r="H2051" t="s">
        <v>2203</v>
      </c>
    </row>
    <row r="2052" spans="1:8">
      <c r="A2052" t="s">
        <v>1224</v>
      </c>
      <c r="B2052" t="s">
        <v>3275</v>
      </c>
      <c r="C2052">
        <v>100</v>
      </c>
      <c r="D2052">
        <v>1</v>
      </c>
      <c r="E2052">
        <v>1</v>
      </c>
      <c r="F2052">
        <v>117</v>
      </c>
      <c r="G2052">
        <v>3.7300000000000001E-4</v>
      </c>
      <c r="H2052" t="s">
        <v>2203</v>
      </c>
    </row>
    <row r="2053" spans="1:8">
      <c r="A2053" t="s">
        <v>1226</v>
      </c>
      <c r="B2053" t="s">
        <v>3277</v>
      </c>
      <c r="C2053">
        <v>20</v>
      </c>
      <c r="D2053">
        <v>1</v>
      </c>
      <c r="E2053">
        <v>1</v>
      </c>
      <c r="F2053">
        <v>585</v>
      </c>
      <c r="G2053">
        <v>1.7052E-3</v>
      </c>
      <c r="H2053" t="s">
        <v>2203</v>
      </c>
    </row>
    <row r="2054" spans="1:8">
      <c r="A2054" t="s">
        <v>1228</v>
      </c>
      <c r="B2054" t="s">
        <v>3278</v>
      </c>
      <c r="C2054">
        <v>40</v>
      </c>
      <c r="D2054">
        <v>1</v>
      </c>
      <c r="E2054">
        <v>1</v>
      </c>
      <c r="F2054">
        <v>290</v>
      </c>
      <c r="G2054">
        <v>8.8400000000000002E-4</v>
      </c>
      <c r="H2054" t="s">
        <v>2203</v>
      </c>
    </row>
    <row r="2055" spans="1:8">
      <c r="A2055" t="s">
        <v>4620</v>
      </c>
      <c r="B2055" t="s">
        <v>6526</v>
      </c>
      <c r="C2055">
        <v>20</v>
      </c>
      <c r="D2055">
        <v>1</v>
      </c>
      <c r="E2055">
        <v>1</v>
      </c>
      <c r="F2055">
        <v>1000</v>
      </c>
      <c r="G2055">
        <v>0</v>
      </c>
      <c r="H2055" t="s">
        <v>2197</v>
      </c>
    </row>
    <row r="2056" spans="1:8">
      <c r="A2056" t="s">
        <v>9526</v>
      </c>
      <c r="B2056" t="s">
        <v>6528</v>
      </c>
      <c r="C2056">
        <v>20</v>
      </c>
      <c r="D2056">
        <v>1</v>
      </c>
      <c r="E2056">
        <v>1</v>
      </c>
      <c r="F2056">
        <v>1095</v>
      </c>
      <c r="G2056">
        <v>2.5999999999999999E-3</v>
      </c>
      <c r="H2056" t="s">
        <v>2197</v>
      </c>
    </row>
    <row r="2057" spans="1:8">
      <c r="A2057" t="s">
        <v>9527</v>
      </c>
      <c r="B2057" t="s">
        <v>6527</v>
      </c>
      <c r="C2057">
        <v>20</v>
      </c>
      <c r="D2057">
        <v>1</v>
      </c>
      <c r="E2057">
        <v>1</v>
      </c>
      <c r="F2057">
        <v>457.5</v>
      </c>
      <c r="G2057">
        <v>1.5334000000000001E-3</v>
      </c>
      <c r="H2057" t="s">
        <v>2197</v>
      </c>
    </row>
    <row r="2058" spans="1:8">
      <c r="A2058" t="s">
        <v>9528</v>
      </c>
      <c r="B2058" t="s">
        <v>6529</v>
      </c>
      <c r="C2058">
        <v>50</v>
      </c>
      <c r="D2058">
        <v>1</v>
      </c>
      <c r="E2058">
        <v>1</v>
      </c>
      <c r="F2058">
        <v>1</v>
      </c>
      <c r="G2058">
        <v>0</v>
      </c>
      <c r="H2058" t="s">
        <v>2197</v>
      </c>
    </row>
    <row r="2059" spans="1:8">
      <c r="A2059" t="s">
        <v>4621</v>
      </c>
      <c r="B2059" t="s">
        <v>6530</v>
      </c>
      <c r="C2059">
        <v>20</v>
      </c>
      <c r="D2059">
        <v>1</v>
      </c>
      <c r="E2059">
        <v>1</v>
      </c>
      <c r="F2059">
        <v>1300</v>
      </c>
      <c r="G2059">
        <v>2.5113000000000002E-3</v>
      </c>
      <c r="H2059" t="s">
        <v>2197</v>
      </c>
    </row>
    <row r="2060" spans="1:8">
      <c r="A2060" t="s">
        <v>4622</v>
      </c>
      <c r="B2060" t="s">
        <v>6531</v>
      </c>
      <c r="C2060">
        <v>100</v>
      </c>
      <c r="D2060">
        <v>1</v>
      </c>
      <c r="E2060">
        <v>1</v>
      </c>
      <c r="F2060">
        <v>130.5</v>
      </c>
      <c r="G2060">
        <v>5.2360000000000004E-4</v>
      </c>
      <c r="H2060" t="s">
        <v>2203</v>
      </c>
    </row>
    <row r="2061" spans="1:8">
      <c r="A2061" t="s">
        <v>4624</v>
      </c>
      <c r="B2061" t="s">
        <v>6535</v>
      </c>
      <c r="C2061">
        <v>10</v>
      </c>
      <c r="D2061">
        <v>10</v>
      </c>
      <c r="E2061">
        <v>1</v>
      </c>
      <c r="F2061">
        <v>136.9</v>
      </c>
      <c r="G2061">
        <v>4.8415874999999998E-4</v>
      </c>
      <c r="H2061" t="s">
        <v>2203</v>
      </c>
    </row>
    <row r="2062" spans="1:8">
      <c r="A2062" t="s">
        <v>4627</v>
      </c>
      <c r="B2062" t="s">
        <v>6536</v>
      </c>
      <c r="C2062">
        <v>20</v>
      </c>
      <c r="D2062">
        <v>50</v>
      </c>
      <c r="E2062">
        <v>1</v>
      </c>
      <c r="F2062">
        <v>21.46</v>
      </c>
      <c r="G2062" s="4">
        <v>7.9087500000000005E-5</v>
      </c>
      <c r="H2062" t="s">
        <v>2203</v>
      </c>
    </row>
    <row r="2063" spans="1:8">
      <c r="A2063" t="s">
        <v>4628</v>
      </c>
      <c r="B2063" t="s">
        <v>6537</v>
      </c>
      <c r="C2063">
        <v>20</v>
      </c>
      <c r="D2063">
        <v>1</v>
      </c>
      <c r="E2063">
        <v>1</v>
      </c>
      <c r="F2063">
        <v>580</v>
      </c>
      <c r="G2063">
        <v>2.4272999999999999E-3</v>
      </c>
      <c r="H2063" t="s">
        <v>2203</v>
      </c>
    </row>
    <row r="2064" spans="1:8">
      <c r="A2064" t="s">
        <v>4625</v>
      </c>
      <c r="B2064" t="s">
        <v>6538</v>
      </c>
      <c r="C2064">
        <v>40</v>
      </c>
      <c r="D2064">
        <v>1</v>
      </c>
      <c r="E2064">
        <v>1</v>
      </c>
      <c r="F2064">
        <v>299</v>
      </c>
      <c r="G2064">
        <v>1.2018125E-3</v>
      </c>
      <c r="H2064" t="s">
        <v>2203</v>
      </c>
    </row>
    <row r="2065" spans="1:8">
      <c r="A2065" t="s">
        <v>4629</v>
      </c>
      <c r="B2065" t="s">
        <v>6532</v>
      </c>
      <c r="C2065">
        <v>10</v>
      </c>
      <c r="D2065">
        <v>10</v>
      </c>
      <c r="E2065">
        <v>1</v>
      </c>
      <c r="F2065">
        <v>123.8</v>
      </c>
      <c r="G2065">
        <v>4.8072499999999999E-4</v>
      </c>
      <c r="H2065" t="s">
        <v>2203</v>
      </c>
    </row>
    <row r="2066" spans="1:8">
      <c r="A2066" t="s">
        <v>4623</v>
      </c>
      <c r="B2066" t="s">
        <v>6533</v>
      </c>
      <c r="C2066">
        <v>12</v>
      </c>
      <c r="D2066">
        <v>50</v>
      </c>
      <c r="E2066">
        <v>1</v>
      </c>
      <c r="F2066">
        <v>20.5833333333333</v>
      </c>
      <c r="G2066" s="4">
        <v>8.01208333333333E-5</v>
      </c>
      <c r="H2066" t="s">
        <v>2203</v>
      </c>
    </row>
    <row r="2067" spans="1:8">
      <c r="A2067" t="s">
        <v>4626</v>
      </c>
      <c r="B2067" t="s">
        <v>6534</v>
      </c>
      <c r="C2067">
        <v>40</v>
      </c>
      <c r="D2067">
        <v>1</v>
      </c>
      <c r="E2067">
        <v>1</v>
      </c>
      <c r="F2067">
        <v>289</v>
      </c>
      <c r="G2067">
        <v>1.2018125E-3</v>
      </c>
      <c r="H2067" t="s">
        <v>2203</v>
      </c>
    </row>
    <row r="2068" spans="1:8">
      <c r="A2068" t="s">
        <v>8877</v>
      </c>
      <c r="B2068" t="s">
        <v>8876</v>
      </c>
      <c r="C2068">
        <v>1</v>
      </c>
      <c r="D2068">
        <v>1</v>
      </c>
      <c r="E2068">
        <v>1</v>
      </c>
      <c r="F2068">
        <v>1</v>
      </c>
      <c r="G2068">
        <v>0</v>
      </c>
      <c r="H2068" t="s">
        <v>2221</v>
      </c>
    </row>
    <row r="2069" spans="1:8">
      <c r="A2069" t="s">
        <v>8881</v>
      </c>
      <c r="B2069" t="s">
        <v>8880</v>
      </c>
      <c r="C2069">
        <v>1</v>
      </c>
      <c r="D2069">
        <v>1</v>
      </c>
      <c r="E2069">
        <v>1</v>
      </c>
      <c r="F2069">
        <v>1</v>
      </c>
      <c r="G2069">
        <v>0</v>
      </c>
      <c r="H2069" t="s">
        <v>2221</v>
      </c>
    </row>
    <row r="2070" spans="1:8">
      <c r="A2070" t="s">
        <v>1230</v>
      </c>
      <c r="B2070" t="s">
        <v>3279</v>
      </c>
      <c r="C2070">
        <v>1</v>
      </c>
      <c r="D2070">
        <v>1</v>
      </c>
      <c r="E2070">
        <v>1</v>
      </c>
      <c r="F2070">
        <v>1</v>
      </c>
      <c r="G2070">
        <v>0</v>
      </c>
      <c r="H2070" t="s">
        <v>2221</v>
      </c>
    </row>
    <row r="2071" spans="1:8">
      <c r="A2071" t="s">
        <v>8879</v>
      </c>
      <c r="B2071" t="s">
        <v>8878</v>
      </c>
      <c r="C2071">
        <v>1</v>
      </c>
      <c r="D2071">
        <v>1</v>
      </c>
      <c r="E2071">
        <v>1</v>
      </c>
      <c r="F2071">
        <v>1</v>
      </c>
      <c r="G2071">
        <v>0</v>
      </c>
      <c r="H2071" t="s">
        <v>2221</v>
      </c>
    </row>
    <row r="2072" spans="1:8">
      <c r="A2072" t="s">
        <v>4632</v>
      </c>
      <c r="B2072" t="s">
        <v>6539</v>
      </c>
      <c r="C2072">
        <v>100</v>
      </c>
      <c r="D2072">
        <v>1</v>
      </c>
      <c r="E2072">
        <v>1</v>
      </c>
      <c r="F2072">
        <v>0</v>
      </c>
      <c r="G2072">
        <v>0</v>
      </c>
      <c r="H2072" t="s">
        <v>2197</v>
      </c>
    </row>
    <row r="2073" spans="1:8">
      <c r="A2073" t="s">
        <v>4633</v>
      </c>
      <c r="B2073" t="s">
        <v>6540</v>
      </c>
      <c r="C2073">
        <v>40</v>
      </c>
      <c r="D2073">
        <v>1</v>
      </c>
      <c r="E2073">
        <v>1</v>
      </c>
      <c r="F2073">
        <v>351</v>
      </c>
      <c r="G2073">
        <v>6.4260000000000001E-4</v>
      </c>
      <c r="H2073" t="s">
        <v>2197</v>
      </c>
    </row>
    <row r="2074" spans="1:8">
      <c r="A2074" t="s">
        <v>4630</v>
      </c>
      <c r="B2074" t="s">
        <v>6541</v>
      </c>
      <c r="C2074">
        <v>100</v>
      </c>
      <c r="D2074">
        <v>1</v>
      </c>
      <c r="E2074">
        <v>1</v>
      </c>
      <c r="F2074">
        <v>125.5</v>
      </c>
      <c r="G2074">
        <v>8.5932000000000001E-4</v>
      </c>
      <c r="H2074" t="s">
        <v>2203</v>
      </c>
    </row>
    <row r="2075" spans="1:8">
      <c r="A2075" t="s">
        <v>4631</v>
      </c>
      <c r="B2075" t="s">
        <v>6542</v>
      </c>
      <c r="C2075">
        <v>12</v>
      </c>
      <c r="D2075">
        <v>50</v>
      </c>
      <c r="E2075">
        <v>1</v>
      </c>
      <c r="F2075">
        <v>25.466666666666701</v>
      </c>
      <c r="G2075">
        <v>1.2436666666666699E-4</v>
      </c>
      <c r="H2075" t="s">
        <v>2203</v>
      </c>
    </row>
    <row r="2076" spans="1:8">
      <c r="A2076" t="s">
        <v>1231</v>
      </c>
      <c r="B2076" t="s">
        <v>3280</v>
      </c>
      <c r="C2076">
        <v>20</v>
      </c>
      <c r="D2076">
        <v>1</v>
      </c>
      <c r="E2076">
        <v>1</v>
      </c>
      <c r="F2076">
        <v>632.5</v>
      </c>
      <c r="G2076">
        <v>1.3695000000000001E-3</v>
      </c>
      <c r="H2076" t="s">
        <v>2197</v>
      </c>
    </row>
    <row r="2077" spans="1:8">
      <c r="A2077" t="s">
        <v>1233</v>
      </c>
      <c r="B2077" t="s">
        <v>3282</v>
      </c>
      <c r="C2077">
        <v>40</v>
      </c>
      <c r="D2077">
        <v>1</v>
      </c>
      <c r="E2077">
        <v>1</v>
      </c>
      <c r="F2077">
        <v>325</v>
      </c>
      <c r="G2077">
        <v>1.0055000000000001E-3</v>
      </c>
      <c r="H2077" t="s">
        <v>2197</v>
      </c>
    </row>
    <row r="2078" spans="1:8">
      <c r="A2078" t="s">
        <v>9529</v>
      </c>
      <c r="B2078" t="s">
        <v>6545</v>
      </c>
      <c r="C2078">
        <v>1</v>
      </c>
      <c r="D2078">
        <v>1</v>
      </c>
      <c r="E2078">
        <v>1</v>
      </c>
      <c r="F2078">
        <v>23030</v>
      </c>
      <c r="G2078">
        <v>1.8559099999999999E-2</v>
      </c>
      <c r="H2078" t="s">
        <v>2303</v>
      </c>
    </row>
    <row r="2079" spans="1:8">
      <c r="A2079" t="s">
        <v>9530</v>
      </c>
      <c r="B2079" t="s">
        <v>6543</v>
      </c>
      <c r="C2079">
        <v>20</v>
      </c>
      <c r="D2079">
        <v>1</v>
      </c>
      <c r="E2079">
        <v>1</v>
      </c>
      <c r="F2079">
        <v>1370.5</v>
      </c>
      <c r="G2079">
        <v>3.0037499999999999E-3</v>
      </c>
      <c r="H2079" t="s">
        <v>2197</v>
      </c>
    </row>
    <row r="2080" spans="1:8">
      <c r="A2080" t="s">
        <v>9532</v>
      </c>
      <c r="B2080" t="s">
        <v>6544</v>
      </c>
      <c r="C2080">
        <v>4</v>
      </c>
      <c r="D2080">
        <v>1</v>
      </c>
      <c r="E2080">
        <v>1</v>
      </c>
      <c r="F2080">
        <v>0</v>
      </c>
      <c r="G2080">
        <v>0</v>
      </c>
      <c r="H2080" t="s">
        <v>2307</v>
      </c>
    </row>
    <row r="2081" spans="1:8">
      <c r="A2081" t="s">
        <v>9531</v>
      </c>
      <c r="B2081" t="s">
        <v>6546</v>
      </c>
      <c r="C2081">
        <v>4</v>
      </c>
      <c r="D2081">
        <v>1</v>
      </c>
      <c r="E2081">
        <v>1</v>
      </c>
      <c r="F2081">
        <v>0</v>
      </c>
      <c r="G2081">
        <v>0</v>
      </c>
      <c r="H2081" t="s">
        <v>2307</v>
      </c>
    </row>
    <row r="2082" spans="1:8">
      <c r="A2082" t="s">
        <v>8883</v>
      </c>
      <c r="B2082" t="s">
        <v>8882</v>
      </c>
      <c r="C2082">
        <v>1</v>
      </c>
      <c r="D2082">
        <v>1</v>
      </c>
      <c r="E2082">
        <v>1</v>
      </c>
      <c r="F2082">
        <v>1</v>
      </c>
      <c r="G2082">
        <v>0</v>
      </c>
      <c r="H2082" t="s">
        <v>2221</v>
      </c>
    </row>
    <row r="2083" spans="1:8">
      <c r="A2083" t="s">
        <v>4634</v>
      </c>
      <c r="B2083" t="s">
        <v>6547</v>
      </c>
      <c r="C2083">
        <v>100</v>
      </c>
      <c r="D2083">
        <v>1</v>
      </c>
      <c r="E2083">
        <v>1</v>
      </c>
      <c r="F2083">
        <v>0</v>
      </c>
      <c r="G2083">
        <v>0</v>
      </c>
      <c r="H2083" t="s">
        <v>2197</v>
      </c>
    </row>
    <row r="2084" spans="1:8">
      <c r="A2084" t="s">
        <v>6549</v>
      </c>
      <c r="B2084" t="s">
        <v>6548</v>
      </c>
      <c r="C2084">
        <v>20</v>
      </c>
      <c r="D2084">
        <v>1</v>
      </c>
      <c r="E2084">
        <v>1</v>
      </c>
      <c r="F2084">
        <v>0</v>
      </c>
      <c r="G2084">
        <v>0</v>
      </c>
      <c r="H2084" t="s">
        <v>2197</v>
      </c>
    </row>
    <row r="2085" spans="1:8">
      <c r="A2085" t="s">
        <v>8902</v>
      </c>
      <c r="B2085" t="s">
        <v>8901</v>
      </c>
      <c r="C2085">
        <v>1</v>
      </c>
      <c r="D2085">
        <v>1</v>
      </c>
      <c r="E2085">
        <v>1</v>
      </c>
      <c r="F2085">
        <v>1</v>
      </c>
      <c r="G2085">
        <v>0</v>
      </c>
      <c r="H2085" t="s">
        <v>2221</v>
      </c>
    </row>
    <row r="2086" spans="1:8">
      <c r="A2086" t="s">
        <v>8904</v>
      </c>
      <c r="B2086" t="s">
        <v>8903</v>
      </c>
      <c r="C2086">
        <v>1</v>
      </c>
      <c r="D2086">
        <v>1</v>
      </c>
      <c r="E2086">
        <v>1</v>
      </c>
      <c r="F2086">
        <v>1</v>
      </c>
      <c r="G2086">
        <v>0</v>
      </c>
      <c r="H2086" t="s">
        <v>2221</v>
      </c>
    </row>
    <row r="2087" spans="1:8">
      <c r="A2087" t="s">
        <v>8885</v>
      </c>
      <c r="B2087" t="s">
        <v>8884</v>
      </c>
      <c r="C2087">
        <v>1</v>
      </c>
      <c r="D2087">
        <v>1</v>
      </c>
      <c r="E2087">
        <v>1</v>
      </c>
      <c r="F2087">
        <v>1</v>
      </c>
      <c r="G2087">
        <v>0</v>
      </c>
      <c r="H2087" t="s">
        <v>2221</v>
      </c>
    </row>
    <row r="2088" spans="1:8">
      <c r="A2088" t="s">
        <v>8887</v>
      </c>
      <c r="B2088" t="s">
        <v>8886</v>
      </c>
      <c r="C2088">
        <v>1</v>
      </c>
      <c r="D2088">
        <v>1</v>
      </c>
      <c r="E2088">
        <v>1</v>
      </c>
      <c r="F2088">
        <v>1</v>
      </c>
      <c r="G2088">
        <v>0</v>
      </c>
      <c r="H2088" t="s">
        <v>2221</v>
      </c>
    </row>
    <row r="2089" spans="1:8">
      <c r="A2089" t="s">
        <v>8889</v>
      </c>
      <c r="B2089" t="s">
        <v>8888</v>
      </c>
      <c r="C2089">
        <v>1</v>
      </c>
      <c r="D2089">
        <v>1</v>
      </c>
      <c r="E2089">
        <v>1</v>
      </c>
      <c r="F2089">
        <v>1</v>
      </c>
      <c r="G2089">
        <v>0</v>
      </c>
      <c r="H2089" t="s">
        <v>2221</v>
      </c>
    </row>
    <row r="2090" spans="1:8">
      <c r="A2090" t="s">
        <v>8891</v>
      </c>
      <c r="B2090" t="s">
        <v>8890</v>
      </c>
      <c r="C2090">
        <v>1</v>
      </c>
      <c r="D2090">
        <v>1</v>
      </c>
      <c r="E2090">
        <v>1</v>
      </c>
      <c r="F2090">
        <v>1</v>
      </c>
      <c r="G2090">
        <v>0</v>
      </c>
      <c r="H2090" t="s">
        <v>2221</v>
      </c>
    </row>
    <row r="2091" spans="1:8">
      <c r="A2091" t="s">
        <v>8893</v>
      </c>
      <c r="B2091" t="s">
        <v>8892</v>
      </c>
      <c r="C2091">
        <v>1</v>
      </c>
      <c r="D2091">
        <v>1</v>
      </c>
      <c r="E2091">
        <v>1</v>
      </c>
      <c r="F2091">
        <v>1</v>
      </c>
      <c r="G2091">
        <v>0</v>
      </c>
      <c r="H2091" t="s">
        <v>2221</v>
      </c>
    </row>
    <row r="2092" spans="1:8">
      <c r="A2092" t="s">
        <v>8895</v>
      </c>
      <c r="B2092" t="s">
        <v>8894</v>
      </c>
      <c r="C2092">
        <v>1</v>
      </c>
      <c r="D2092">
        <v>1</v>
      </c>
      <c r="E2092">
        <v>1</v>
      </c>
      <c r="F2092">
        <v>1</v>
      </c>
      <c r="G2092">
        <v>0</v>
      </c>
      <c r="H2092" t="s">
        <v>2221</v>
      </c>
    </row>
    <row r="2093" spans="1:8">
      <c r="A2093" t="s">
        <v>6551</v>
      </c>
      <c r="B2093" t="s">
        <v>6550</v>
      </c>
      <c r="C2093">
        <v>1</v>
      </c>
      <c r="D2093">
        <v>1</v>
      </c>
      <c r="E2093">
        <v>1</v>
      </c>
      <c r="F2093">
        <v>1</v>
      </c>
      <c r="G2093">
        <v>0</v>
      </c>
      <c r="H2093" t="s">
        <v>2221</v>
      </c>
    </row>
    <row r="2094" spans="1:8">
      <c r="A2094" t="s">
        <v>6551</v>
      </c>
      <c r="B2094" t="s">
        <v>8896</v>
      </c>
      <c r="C2094">
        <v>1</v>
      </c>
      <c r="D2094">
        <v>1</v>
      </c>
      <c r="E2094">
        <v>1</v>
      </c>
      <c r="F2094">
        <v>1</v>
      </c>
      <c r="G2094">
        <v>0</v>
      </c>
      <c r="H2094" t="s">
        <v>2221</v>
      </c>
    </row>
    <row r="2095" spans="1:8">
      <c r="A2095" t="s">
        <v>8900</v>
      </c>
      <c r="B2095" t="s">
        <v>8899</v>
      </c>
      <c r="C2095">
        <v>1</v>
      </c>
      <c r="D2095">
        <v>1</v>
      </c>
      <c r="E2095">
        <v>1</v>
      </c>
      <c r="F2095">
        <v>1</v>
      </c>
      <c r="G2095">
        <v>0</v>
      </c>
      <c r="H2095" t="s">
        <v>2221</v>
      </c>
    </row>
    <row r="2096" spans="1:8">
      <c r="A2096" t="s">
        <v>8898</v>
      </c>
      <c r="B2096" t="s">
        <v>8897</v>
      </c>
      <c r="C2096">
        <v>1</v>
      </c>
      <c r="D2096">
        <v>1</v>
      </c>
      <c r="E2096">
        <v>1</v>
      </c>
      <c r="F2096">
        <v>1</v>
      </c>
      <c r="G2096">
        <v>0</v>
      </c>
      <c r="H2096" t="s">
        <v>2221</v>
      </c>
    </row>
    <row r="2097" spans="1:8">
      <c r="A2097" t="s">
        <v>1235</v>
      </c>
      <c r="B2097" t="s">
        <v>3283</v>
      </c>
      <c r="C2097">
        <v>50</v>
      </c>
      <c r="D2097">
        <v>1</v>
      </c>
      <c r="E2097">
        <v>1</v>
      </c>
      <c r="F2097">
        <v>219</v>
      </c>
      <c r="G2097">
        <v>4.0499999999999998E-4</v>
      </c>
      <c r="H2097" t="s">
        <v>2197</v>
      </c>
    </row>
    <row r="2098" spans="1:8">
      <c r="A2098" t="s">
        <v>1236</v>
      </c>
      <c r="B2098" t="s">
        <v>3285</v>
      </c>
      <c r="C2098">
        <v>50</v>
      </c>
      <c r="D2098">
        <v>1</v>
      </c>
      <c r="E2098">
        <v>1</v>
      </c>
      <c r="F2098">
        <v>174</v>
      </c>
      <c r="G2098">
        <v>4.1310000000000001E-4</v>
      </c>
      <c r="H2098" t="s">
        <v>2197</v>
      </c>
    </row>
    <row r="2099" spans="1:8">
      <c r="A2099" t="s">
        <v>8908</v>
      </c>
      <c r="B2099" t="s">
        <v>8907</v>
      </c>
      <c r="C2099">
        <v>1</v>
      </c>
      <c r="D2099">
        <v>1</v>
      </c>
      <c r="E2099">
        <v>1</v>
      </c>
      <c r="F2099">
        <v>1</v>
      </c>
      <c r="G2099">
        <v>0</v>
      </c>
      <c r="H2099" t="s">
        <v>2221</v>
      </c>
    </row>
    <row r="2100" spans="1:8">
      <c r="A2100" t="s">
        <v>8906</v>
      </c>
      <c r="B2100" t="s">
        <v>8905</v>
      </c>
      <c r="C2100">
        <v>1</v>
      </c>
      <c r="D2100">
        <v>1</v>
      </c>
      <c r="E2100">
        <v>1</v>
      </c>
      <c r="F2100">
        <v>1</v>
      </c>
      <c r="G2100">
        <v>0</v>
      </c>
      <c r="H2100" t="s">
        <v>2221</v>
      </c>
    </row>
    <row r="2101" spans="1:8">
      <c r="A2101" t="s">
        <v>6553</v>
      </c>
      <c r="B2101" t="s">
        <v>6552</v>
      </c>
      <c r="C2101">
        <v>100</v>
      </c>
      <c r="D2101">
        <v>1</v>
      </c>
      <c r="E2101">
        <v>1</v>
      </c>
      <c r="F2101">
        <v>120</v>
      </c>
      <c r="G2101">
        <v>4.2230000000000002E-4</v>
      </c>
      <c r="H2101" t="s">
        <v>2203</v>
      </c>
    </row>
    <row r="2102" spans="1:8">
      <c r="A2102" t="s">
        <v>9533</v>
      </c>
      <c r="B2102" t="s">
        <v>6555</v>
      </c>
      <c r="C2102">
        <v>10</v>
      </c>
      <c r="D2102">
        <v>1</v>
      </c>
      <c r="E2102">
        <v>1</v>
      </c>
      <c r="F2102">
        <v>1225</v>
      </c>
      <c r="G2102">
        <v>2.3040000000000001E-3</v>
      </c>
      <c r="H2102" t="s">
        <v>2197</v>
      </c>
    </row>
    <row r="2103" spans="1:8">
      <c r="A2103" t="s">
        <v>1237</v>
      </c>
      <c r="B2103" t="s">
        <v>3286</v>
      </c>
      <c r="C2103">
        <v>20</v>
      </c>
      <c r="D2103">
        <v>1</v>
      </c>
      <c r="E2103">
        <v>1</v>
      </c>
      <c r="F2103">
        <v>555</v>
      </c>
      <c r="G2103">
        <v>1.4109999999999999E-3</v>
      </c>
      <c r="H2103" t="s">
        <v>2197</v>
      </c>
    </row>
    <row r="2104" spans="1:8">
      <c r="A2104" t="s">
        <v>9534</v>
      </c>
      <c r="B2104" t="s">
        <v>6554</v>
      </c>
      <c r="C2104">
        <v>20</v>
      </c>
      <c r="D2104">
        <v>1</v>
      </c>
      <c r="E2104">
        <v>1</v>
      </c>
      <c r="F2104">
        <v>590</v>
      </c>
      <c r="G2104">
        <v>1.3048000000000001E-3</v>
      </c>
      <c r="H2104" t="s">
        <v>2197</v>
      </c>
    </row>
    <row r="2105" spans="1:8">
      <c r="A2105" t="s">
        <v>1238</v>
      </c>
      <c r="B2105" t="s">
        <v>3288</v>
      </c>
      <c r="C2105">
        <v>48</v>
      </c>
      <c r="D2105">
        <v>1</v>
      </c>
      <c r="E2105">
        <v>1</v>
      </c>
      <c r="F2105">
        <v>272.89999999999998</v>
      </c>
      <c r="G2105">
        <v>6.4746093750000003E-4</v>
      </c>
      <c r="H2105" t="s">
        <v>2197</v>
      </c>
    </row>
    <row r="2106" spans="1:8">
      <c r="A2106" t="s">
        <v>1241</v>
      </c>
      <c r="B2106" t="s">
        <v>3291</v>
      </c>
      <c r="C2106">
        <v>64</v>
      </c>
      <c r="D2106">
        <v>1</v>
      </c>
      <c r="E2106">
        <v>1</v>
      </c>
      <c r="F2106">
        <v>1</v>
      </c>
      <c r="G2106">
        <v>0</v>
      </c>
      <c r="H2106" t="s">
        <v>2197</v>
      </c>
    </row>
    <row r="2107" spans="1:8">
      <c r="A2107" t="s">
        <v>4635</v>
      </c>
      <c r="B2107" t="s">
        <v>6556</v>
      </c>
      <c r="C2107">
        <v>20</v>
      </c>
      <c r="D2107">
        <v>1</v>
      </c>
      <c r="E2107">
        <v>1</v>
      </c>
      <c r="F2107">
        <v>0</v>
      </c>
      <c r="G2107">
        <v>0</v>
      </c>
      <c r="H2107" t="s">
        <v>2197</v>
      </c>
    </row>
    <row r="2108" spans="1:8">
      <c r="A2108" t="s">
        <v>4636</v>
      </c>
      <c r="B2108" t="s">
        <v>6557</v>
      </c>
      <c r="C2108">
        <v>40</v>
      </c>
      <c r="D2108">
        <v>1</v>
      </c>
      <c r="E2108">
        <v>1</v>
      </c>
      <c r="F2108">
        <v>0</v>
      </c>
      <c r="G2108">
        <v>0</v>
      </c>
      <c r="H2108" t="s">
        <v>2197</v>
      </c>
    </row>
    <row r="2109" spans="1:8">
      <c r="A2109" t="s">
        <v>6559</v>
      </c>
      <c r="B2109" t="s">
        <v>6558</v>
      </c>
      <c r="C2109">
        <v>20</v>
      </c>
      <c r="D2109">
        <v>1</v>
      </c>
      <c r="E2109">
        <v>1</v>
      </c>
      <c r="F2109">
        <v>1180</v>
      </c>
      <c r="G2109">
        <v>2.1995999999999999E-3</v>
      </c>
      <c r="H2109" t="s">
        <v>2197</v>
      </c>
    </row>
    <row r="2110" spans="1:8">
      <c r="A2110" t="s">
        <v>9535</v>
      </c>
      <c r="B2110" t="s">
        <v>6560</v>
      </c>
      <c r="C2110">
        <v>100</v>
      </c>
      <c r="D2110">
        <v>1</v>
      </c>
      <c r="E2110">
        <v>1</v>
      </c>
      <c r="F2110">
        <v>122</v>
      </c>
      <c r="G2110">
        <v>3.0889999999999997E-4</v>
      </c>
      <c r="H2110" t="s">
        <v>2197</v>
      </c>
    </row>
    <row r="2111" spans="1:8">
      <c r="A2111" t="s">
        <v>9536</v>
      </c>
      <c r="B2111" t="s">
        <v>6562</v>
      </c>
      <c r="C2111">
        <v>20</v>
      </c>
      <c r="D2111">
        <v>1</v>
      </c>
      <c r="E2111">
        <v>1</v>
      </c>
      <c r="F2111">
        <v>1</v>
      </c>
      <c r="G2111">
        <v>0</v>
      </c>
      <c r="H2111" t="s">
        <v>2197</v>
      </c>
    </row>
    <row r="2112" spans="1:8">
      <c r="A2112" t="s">
        <v>9537</v>
      </c>
      <c r="B2112" t="s">
        <v>6561</v>
      </c>
      <c r="C2112">
        <v>40</v>
      </c>
      <c r="D2112">
        <v>1</v>
      </c>
      <c r="E2112">
        <v>1</v>
      </c>
      <c r="F2112">
        <v>285</v>
      </c>
      <c r="G2112">
        <v>7.1049999999999998E-4</v>
      </c>
      <c r="H2112" t="s">
        <v>2197</v>
      </c>
    </row>
    <row r="2113" spans="1:8">
      <c r="A2113" t="s">
        <v>9538</v>
      </c>
      <c r="B2113" t="s">
        <v>6564</v>
      </c>
      <c r="C2113">
        <v>10</v>
      </c>
      <c r="D2113">
        <v>1</v>
      </c>
      <c r="E2113">
        <v>1</v>
      </c>
      <c r="F2113">
        <v>996</v>
      </c>
      <c r="G2113">
        <v>2.4225000000000002E-3</v>
      </c>
      <c r="H2113" t="s">
        <v>2197</v>
      </c>
    </row>
    <row r="2114" spans="1:8">
      <c r="A2114" t="s">
        <v>9539</v>
      </c>
      <c r="B2114" t="s">
        <v>6566</v>
      </c>
      <c r="C2114">
        <v>100</v>
      </c>
      <c r="D2114">
        <v>1</v>
      </c>
      <c r="E2114">
        <v>1</v>
      </c>
      <c r="F2114">
        <v>1</v>
      </c>
      <c r="G2114">
        <v>0</v>
      </c>
      <c r="H2114" t="s">
        <v>2197</v>
      </c>
    </row>
    <row r="2115" spans="1:8">
      <c r="A2115" t="s">
        <v>1243</v>
      </c>
      <c r="B2115" t="s">
        <v>3292</v>
      </c>
      <c r="C2115">
        <v>20</v>
      </c>
      <c r="D2115">
        <v>1</v>
      </c>
      <c r="E2115">
        <v>1</v>
      </c>
      <c r="F2115">
        <v>563.5</v>
      </c>
      <c r="G2115">
        <v>1.2568499999999999E-3</v>
      </c>
      <c r="H2115" t="s">
        <v>2197</v>
      </c>
    </row>
    <row r="2116" spans="1:8">
      <c r="A2116" t="s">
        <v>9540</v>
      </c>
      <c r="B2116" t="s">
        <v>6565</v>
      </c>
      <c r="C2116">
        <v>20</v>
      </c>
      <c r="D2116">
        <v>1</v>
      </c>
      <c r="E2116">
        <v>1</v>
      </c>
      <c r="F2116">
        <v>780</v>
      </c>
      <c r="G2116">
        <v>2.2894E-3</v>
      </c>
      <c r="H2116" t="s">
        <v>2197</v>
      </c>
    </row>
    <row r="2117" spans="1:8">
      <c r="A2117" t="s">
        <v>9541</v>
      </c>
      <c r="B2117" t="s">
        <v>6563</v>
      </c>
      <c r="C2117">
        <v>30</v>
      </c>
      <c r="D2117">
        <v>1</v>
      </c>
      <c r="E2117">
        <v>1</v>
      </c>
      <c r="F2117">
        <v>324</v>
      </c>
      <c r="G2117">
        <v>7.70666666666667E-4</v>
      </c>
      <c r="H2117" t="s">
        <v>2197</v>
      </c>
    </row>
    <row r="2118" spans="1:8">
      <c r="A2118" t="s">
        <v>1244</v>
      </c>
      <c r="B2118" t="s">
        <v>3294</v>
      </c>
      <c r="C2118">
        <v>40</v>
      </c>
      <c r="D2118">
        <v>1</v>
      </c>
      <c r="E2118">
        <v>1</v>
      </c>
      <c r="F2118">
        <v>501.3</v>
      </c>
      <c r="G2118">
        <v>8.786E-4</v>
      </c>
      <c r="H2118" t="s">
        <v>2197</v>
      </c>
    </row>
    <row r="2119" spans="1:8">
      <c r="A2119" t="s">
        <v>1245</v>
      </c>
      <c r="B2119" t="s">
        <v>3295</v>
      </c>
      <c r="C2119">
        <v>50</v>
      </c>
      <c r="D2119">
        <v>1</v>
      </c>
      <c r="E2119">
        <v>1</v>
      </c>
      <c r="F2119">
        <v>113.8</v>
      </c>
      <c r="G2119">
        <v>3.2670000000000003E-4</v>
      </c>
      <c r="H2119" t="s">
        <v>2197</v>
      </c>
    </row>
    <row r="2120" spans="1:8">
      <c r="A2120" t="s">
        <v>4637</v>
      </c>
      <c r="B2120" t="s">
        <v>6567</v>
      </c>
      <c r="C2120">
        <v>20</v>
      </c>
      <c r="D2120">
        <v>50</v>
      </c>
      <c r="E2120">
        <v>1</v>
      </c>
      <c r="F2120">
        <v>4.51</v>
      </c>
      <c r="G2120" s="4">
        <v>2.8195999999999999E-5</v>
      </c>
      <c r="H2120" t="s">
        <v>2203</v>
      </c>
    </row>
    <row r="2121" spans="1:8">
      <c r="A2121" t="s">
        <v>9542</v>
      </c>
      <c r="B2121" t="s">
        <v>6568</v>
      </c>
      <c r="C2121">
        <v>20</v>
      </c>
      <c r="D2121">
        <v>1</v>
      </c>
      <c r="E2121">
        <v>1</v>
      </c>
      <c r="F2121">
        <v>400</v>
      </c>
      <c r="G2121">
        <v>0</v>
      </c>
      <c r="H2121" t="s">
        <v>2203</v>
      </c>
    </row>
    <row r="2122" spans="1:8">
      <c r="A2122" t="s">
        <v>1246</v>
      </c>
      <c r="B2122" t="s">
        <v>3296</v>
      </c>
      <c r="C2122">
        <v>40</v>
      </c>
      <c r="D2122">
        <v>1</v>
      </c>
      <c r="E2122">
        <v>1</v>
      </c>
      <c r="F2122">
        <v>320</v>
      </c>
      <c r="G2122">
        <v>6.9450000000000002E-4</v>
      </c>
      <c r="H2122" t="s">
        <v>2197</v>
      </c>
    </row>
    <row r="2123" spans="1:8">
      <c r="A2123" t="s">
        <v>1247</v>
      </c>
      <c r="B2123" t="s">
        <v>3298</v>
      </c>
      <c r="C2123">
        <v>50</v>
      </c>
      <c r="D2123">
        <v>1</v>
      </c>
      <c r="E2123">
        <v>1</v>
      </c>
      <c r="F2123">
        <v>156</v>
      </c>
      <c r="G2123">
        <v>3.0130000000000001E-4</v>
      </c>
      <c r="H2123" t="s">
        <v>2197</v>
      </c>
    </row>
    <row r="2124" spans="1:8">
      <c r="A2124" t="s">
        <v>1248</v>
      </c>
      <c r="B2124" t="s">
        <v>3299</v>
      </c>
      <c r="C2124">
        <v>20</v>
      </c>
      <c r="D2124">
        <v>1</v>
      </c>
      <c r="E2124">
        <v>1</v>
      </c>
      <c r="F2124">
        <v>585</v>
      </c>
      <c r="G2124">
        <v>1.2999999999999999E-3</v>
      </c>
      <c r="H2124" t="s">
        <v>2197</v>
      </c>
    </row>
    <row r="2125" spans="1:8">
      <c r="A2125" t="s">
        <v>1251</v>
      </c>
      <c r="B2125" t="s">
        <v>3301</v>
      </c>
      <c r="C2125">
        <v>30</v>
      </c>
      <c r="D2125">
        <v>1</v>
      </c>
      <c r="E2125">
        <v>1</v>
      </c>
      <c r="F2125">
        <v>1</v>
      </c>
      <c r="G2125">
        <v>0</v>
      </c>
      <c r="H2125" t="s">
        <v>2197</v>
      </c>
    </row>
    <row r="2126" spans="1:8">
      <c r="A2126" t="s">
        <v>1252</v>
      </c>
      <c r="B2126" t="s">
        <v>3303</v>
      </c>
      <c r="C2126">
        <v>50</v>
      </c>
      <c r="D2126">
        <v>1</v>
      </c>
      <c r="E2126">
        <v>1</v>
      </c>
      <c r="F2126">
        <v>136</v>
      </c>
      <c r="G2126">
        <v>3.4479999999999998E-4</v>
      </c>
      <c r="H2126" t="s">
        <v>2197</v>
      </c>
    </row>
    <row r="2127" spans="1:8">
      <c r="A2127" t="s">
        <v>6572</v>
      </c>
      <c r="B2127" t="s">
        <v>6571</v>
      </c>
      <c r="C2127">
        <v>100</v>
      </c>
      <c r="D2127">
        <v>1</v>
      </c>
      <c r="E2127">
        <v>1</v>
      </c>
      <c r="F2127">
        <v>151.5</v>
      </c>
      <c r="G2127">
        <v>3.0269999999999999E-4</v>
      </c>
      <c r="H2127" t="s">
        <v>2197</v>
      </c>
    </row>
    <row r="2128" spans="1:8">
      <c r="A2128" t="s">
        <v>6570</v>
      </c>
      <c r="B2128" t="s">
        <v>6569</v>
      </c>
      <c r="C2128">
        <v>100</v>
      </c>
      <c r="D2128">
        <v>1</v>
      </c>
      <c r="E2128">
        <v>1</v>
      </c>
      <c r="F2128">
        <v>86</v>
      </c>
      <c r="G2128">
        <v>2.418E-4</v>
      </c>
      <c r="H2128" t="s">
        <v>2197</v>
      </c>
    </row>
    <row r="2129" spans="1:8">
      <c r="A2129" t="s">
        <v>1253</v>
      </c>
      <c r="B2129" t="s">
        <v>3304</v>
      </c>
      <c r="C2129">
        <v>20</v>
      </c>
      <c r="D2129">
        <v>1</v>
      </c>
      <c r="E2129">
        <v>1</v>
      </c>
      <c r="F2129">
        <v>935</v>
      </c>
      <c r="G2129">
        <v>4.0889999999999998E-3</v>
      </c>
      <c r="H2129" t="s">
        <v>2203</v>
      </c>
    </row>
    <row r="2130" spans="1:8">
      <c r="A2130" t="s">
        <v>4638</v>
      </c>
      <c r="B2130" t="s">
        <v>6573</v>
      </c>
      <c r="C2130">
        <v>50</v>
      </c>
      <c r="D2130">
        <v>1</v>
      </c>
      <c r="E2130">
        <v>1</v>
      </c>
      <c r="F2130">
        <v>326</v>
      </c>
      <c r="G2130">
        <v>1.2348000000000001E-3</v>
      </c>
      <c r="H2130" t="s">
        <v>2203</v>
      </c>
    </row>
    <row r="2131" spans="1:8">
      <c r="A2131" t="s">
        <v>6575</v>
      </c>
      <c r="B2131" t="s">
        <v>6574</v>
      </c>
      <c r="C2131">
        <v>10</v>
      </c>
      <c r="D2131">
        <v>1</v>
      </c>
      <c r="E2131">
        <v>1</v>
      </c>
      <c r="F2131">
        <v>1150</v>
      </c>
      <c r="G2131">
        <v>3.4505E-3</v>
      </c>
      <c r="H2131" t="s">
        <v>2203</v>
      </c>
    </row>
    <row r="2132" spans="1:8">
      <c r="A2132" t="s">
        <v>6577</v>
      </c>
      <c r="B2132" t="s">
        <v>6576</v>
      </c>
      <c r="C2132">
        <v>10</v>
      </c>
      <c r="D2132">
        <v>1</v>
      </c>
      <c r="E2132">
        <v>1</v>
      </c>
      <c r="F2132">
        <v>1135</v>
      </c>
      <c r="G2132">
        <v>3.2604000000000001E-3</v>
      </c>
      <c r="H2132" t="s">
        <v>2203</v>
      </c>
    </row>
    <row r="2133" spans="1:8">
      <c r="A2133" t="s">
        <v>1256</v>
      </c>
      <c r="B2133" t="s">
        <v>3306</v>
      </c>
      <c r="C2133">
        <v>10</v>
      </c>
      <c r="D2133">
        <v>1</v>
      </c>
      <c r="E2133">
        <v>1</v>
      </c>
      <c r="F2133">
        <v>1160</v>
      </c>
      <c r="G2133">
        <v>2.1976999999999999E-3</v>
      </c>
      <c r="H2133" t="s">
        <v>2197</v>
      </c>
    </row>
    <row r="2134" spans="1:8">
      <c r="A2134" t="s">
        <v>1257</v>
      </c>
      <c r="B2134" t="s">
        <v>3308</v>
      </c>
      <c r="C2134">
        <v>20</v>
      </c>
      <c r="D2134">
        <v>1</v>
      </c>
      <c r="E2134">
        <v>1</v>
      </c>
      <c r="F2134">
        <v>603.5</v>
      </c>
      <c r="G2134">
        <v>1.08675E-3</v>
      </c>
      <c r="H2134" t="s">
        <v>2197</v>
      </c>
    </row>
    <row r="2135" spans="1:8">
      <c r="A2135" t="s">
        <v>8910</v>
      </c>
      <c r="B2135" t="s">
        <v>8909</v>
      </c>
      <c r="C2135">
        <v>1</v>
      </c>
      <c r="D2135">
        <v>1</v>
      </c>
      <c r="E2135">
        <v>1</v>
      </c>
      <c r="F2135">
        <v>1</v>
      </c>
      <c r="G2135">
        <v>0</v>
      </c>
      <c r="H2135" t="s">
        <v>2221</v>
      </c>
    </row>
    <row r="2136" spans="1:8">
      <c r="A2136" t="s">
        <v>8914</v>
      </c>
      <c r="B2136" t="s">
        <v>8913</v>
      </c>
      <c r="C2136">
        <v>1</v>
      </c>
      <c r="D2136">
        <v>1</v>
      </c>
      <c r="E2136">
        <v>1</v>
      </c>
      <c r="F2136">
        <v>1</v>
      </c>
      <c r="G2136">
        <v>0</v>
      </c>
      <c r="H2136" t="s">
        <v>2221</v>
      </c>
    </row>
    <row r="2137" spans="1:8">
      <c r="A2137" t="s">
        <v>8912</v>
      </c>
      <c r="B2137" t="s">
        <v>8911</v>
      </c>
      <c r="C2137">
        <v>1</v>
      </c>
      <c r="D2137">
        <v>1</v>
      </c>
      <c r="E2137">
        <v>1</v>
      </c>
      <c r="F2137">
        <v>1</v>
      </c>
      <c r="G2137">
        <v>0</v>
      </c>
      <c r="H2137" t="s">
        <v>2221</v>
      </c>
    </row>
    <row r="2138" spans="1:8">
      <c r="A2138" t="s">
        <v>8916</v>
      </c>
      <c r="B2138" t="s">
        <v>8915</v>
      </c>
      <c r="C2138">
        <v>1</v>
      </c>
      <c r="D2138">
        <v>1</v>
      </c>
      <c r="E2138">
        <v>1</v>
      </c>
      <c r="F2138">
        <v>1</v>
      </c>
      <c r="G2138">
        <v>0</v>
      </c>
      <c r="H2138" t="s">
        <v>2221</v>
      </c>
    </row>
    <row r="2139" spans="1:8">
      <c r="A2139" t="s">
        <v>8301</v>
      </c>
      <c r="B2139" t="s">
        <v>8300</v>
      </c>
      <c r="C2139">
        <v>1</v>
      </c>
      <c r="D2139">
        <v>1</v>
      </c>
      <c r="E2139">
        <v>1</v>
      </c>
      <c r="F2139">
        <v>1</v>
      </c>
      <c r="G2139">
        <v>0</v>
      </c>
      <c r="H2139" t="s">
        <v>2221</v>
      </c>
    </row>
    <row r="2140" spans="1:8">
      <c r="A2140" t="s">
        <v>1258</v>
      </c>
      <c r="B2140" t="s">
        <v>3309</v>
      </c>
      <c r="C2140">
        <v>1</v>
      </c>
      <c r="D2140">
        <v>1</v>
      </c>
      <c r="E2140">
        <v>1</v>
      </c>
      <c r="F2140">
        <v>22500</v>
      </c>
      <c r="G2140">
        <v>3.0450000000000001E-2</v>
      </c>
      <c r="H2140" t="s">
        <v>2303</v>
      </c>
    </row>
    <row r="2141" spans="1:8">
      <c r="A2141" t="s">
        <v>1259</v>
      </c>
      <c r="B2141" t="s">
        <v>3311</v>
      </c>
      <c r="C2141">
        <v>20</v>
      </c>
      <c r="D2141">
        <v>1</v>
      </c>
      <c r="E2141">
        <v>1</v>
      </c>
      <c r="F2141">
        <v>1342.5</v>
      </c>
      <c r="G2141">
        <v>2.6832000000000002E-3</v>
      </c>
      <c r="H2141" t="s">
        <v>2197</v>
      </c>
    </row>
    <row r="2142" spans="1:8">
      <c r="A2142" t="s">
        <v>1260</v>
      </c>
      <c r="B2142" t="s">
        <v>3312</v>
      </c>
      <c r="C2142">
        <v>4</v>
      </c>
      <c r="D2142">
        <v>1</v>
      </c>
      <c r="E2142">
        <v>1</v>
      </c>
      <c r="F2142">
        <v>6200</v>
      </c>
      <c r="G2142">
        <v>8.9980000000000008E-3</v>
      </c>
      <c r="H2142" t="s">
        <v>2197</v>
      </c>
    </row>
    <row r="2143" spans="1:8">
      <c r="A2143" t="s">
        <v>6579</v>
      </c>
      <c r="B2143" t="s">
        <v>6578</v>
      </c>
      <c r="C2143">
        <v>20</v>
      </c>
      <c r="D2143">
        <v>1</v>
      </c>
      <c r="E2143">
        <v>1</v>
      </c>
      <c r="F2143">
        <v>1050</v>
      </c>
      <c r="G2143">
        <v>1.3637E-3</v>
      </c>
      <c r="H2143" t="s">
        <v>2203</v>
      </c>
    </row>
    <row r="2144" spans="1:8">
      <c r="A2144" t="s">
        <v>1261</v>
      </c>
      <c r="B2144" t="s">
        <v>3313</v>
      </c>
      <c r="C2144">
        <v>30</v>
      </c>
      <c r="D2144">
        <v>1</v>
      </c>
      <c r="E2144">
        <v>1</v>
      </c>
      <c r="F2144">
        <v>550</v>
      </c>
      <c r="G2144">
        <v>1.0976E-3</v>
      </c>
      <c r="H2144" t="s">
        <v>2203</v>
      </c>
    </row>
    <row r="2145" spans="1:8">
      <c r="A2145" t="s">
        <v>1262</v>
      </c>
      <c r="B2145" t="s">
        <v>3315</v>
      </c>
      <c r="C2145">
        <v>1</v>
      </c>
      <c r="D2145">
        <v>1</v>
      </c>
      <c r="E2145">
        <v>1</v>
      </c>
      <c r="F2145">
        <v>1</v>
      </c>
      <c r="G2145">
        <v>0</v>
      </c>
      <c r="H2145" t="s">
        <v>2303</v>
      </c>
    </row>
    <row r="2146" spans="1:8">
      <c r="A2146" t="s">
        <v>1263</v>
      </c>
      <c r="B2146" t="s">
        <v>3317</v>
      </c>
      <c r="C2146">
        <v>20</v>
      </c>
      <c r="D2146">
        <v>1</v>
      </c>
      <c r="E2146">
        <v>1</v>
      </c>
      <c r="F2146">
        <v>1465</v>
      </c>
      <c r="G2146">
        <v>2.24428E-3</v>
      </c>
      <c r="H2146" t="s">
        <v>2197</v>
      </c>
    </row>
    <row r="2147" spans="1:8">
      <c r="A2147" t="s">
        <v>1267</v>
      </c>
      <c r="B2147" t="s">
        <v>3319</v>
      </c>
      <c r="C2147">
        <v>20</v>
      </c>
      <c r="D2147">
        <v>1</v>
      </c>
      <c r="E2147">
        <v>1</v>
      </c>
      <c r="F2147">
        <v>760</v>
      </c>
      <c r="G2147">
        <v>1.2800000000000001E-3</v>
      </c>
      <c r="H2147" t="s">
        <v>2197</v>
      </c>
    </row>
    <row r="2148" spans="1:8">
      <c r="A2148" t="s">
        <v>4639</v>
      </c>
      <c r="B2148" t="s">
        <v>6584</v>
      </c>
      <c r="C2148">
        <v>40</v>
      </c>
      <c r="D2148">
        <v>1</v>
      </c>
      <c r="E2148">
        <v>1</v>
      </c>
      <c r="F2148">
        <v>630</v>
      </c>
      <c r="G2148">
        <v>1.2656E-3</v>
      </c>
      <c r="H2148" t="s">
        <v>2197</v>
      </c>
    </row>
    <row r="2149" spans="1:8">
      <c r="A2149" t="s">
        <v>6581</v>
      </c>
      <c r="B2149" t="s">
        <v>6580</v>
      </c>
      <c r="C2149">
        <v>20</v>
      </c>
      <c r="D2149">
        <v>1</v>
      </c>
      <c r="E2149">
        <v>1</v>
      </c>
      <c r="F2149">
        <v>0</v>
      </c>
      <c r="G2149">
        <v>0</v>
      </c>
      <c r="H2149" t="s">
        <v>2203</v>
      </c>
    </row>
    <row r="2150" spans="1:8">
      <c r="A2150" t="s">
        <v>6583</v>
      </c>
      <c r="B2150" t="s">
        <v>6582</v>
      </c>
      <c r="C2150">
        <v>20</v>
      </c>
      <c r="D2150">
        <v>1</v>
      </c>
      <c r="E2150">
        <v>1</v>
      </c>
      <c r="F2150">
        <v>0</v>
      </c>
      <c r="G2150">
        <v>0</v>
      </c>
      <c r="H2150" t="s">
        <v>2203</v>
      </c>
    </row>
    <row r="2151" spans="1:8">
      <c r="A2151" t="s">
        <v>9543</v>
      </c>
      <c r="B2151" t="s">
        <v>6585</v>
      </c>
      <c r="C2151">
        <v>1</v>
      </c>
      <c r="D2151">
        <v>1</v>
      </c>
      <c r="E2151">
        <v>1</v>
      </c>
      <c r="F2151">
        <v>0</v>
      </c>
      <c r="G2151">
        <v>0</v>
      </c>
      <c r="H2151" t="s">
        <v>2994</v>
      </c>
    </row>
    <row r="2152" spans="1:8">
      <c r="A2152" t="s">
        <v>1270</v>
      </c>
      <c r="B2152" t="s">
        <v>3320</v>
      </c>
      <c r="C2152">
        <v>1</v>
      </c>
      <c r="D2152">
        <v>1</v>
      </c>
      <c r="E2152">
        <v>1</v>
      </c>
      <c r="F2152">
        <v>22850</v>
      </c>
      <c r="G2152">
        <v>1.8559124999999999E-2</v>
      </c>
      <c r="H2152" t="s">
        <v>2303</v>
      </c>
    </row>
    <row r="2153" spans="1:8">
      <c r="A2153" t="s">
        <v>1271</v>
      </c>
      <c r="B2153" t="s">
        <v>3322</v>
      </c>
      <c r="C2153">
        <v>20</v>
      </c>
      <c r="D2153">
        <v>1</v>
      </c>
      <c r="E2153">
        <v>1</v>
      </c>
      <c r="F2153">
        <v>1225</v>
      </c>
      <c r="G2153">
        <v>2.4057000000000002E-3</v>
      </c>
      <c r="H2153" t="s">
        <v>2197</v>
      </c>
    </row>
    <row r="2154" spans="1:8">
      <c r="A2154" t="s">
        <v>9544</v>
      </c>
      <c r="B2154" t="s">
        <v>6588</v>
      </c>
      <c r="C2154">
        <v>1</v>
      </c>
      <c r="D2154">
        <v>1</v>
      </c>
      <c r="E2154">
        <v>1</v>
      </c>
      <c r="F2154">
        <v>205000</v>
      </c>
      <c r="G2154">
        <v>0.31285200000000002</v>
      </c>
      <c r="H2154" t="s">
        <v>4806</v>
      </c>
    </row>
    <row r="2155" spans="1:8">
      <c r="A2155" t="s">
        <v>9545</v>
      </c>
      <c r="B2155" t="s">
        <v>6587</v>
      </c>
      <c r="C2155">
        <v>25</v>
      </c>
      <c r="D2155">
        <v>1</v>
      </c>
      <c r="E2155">
        <v>1</v>
      </c>
      <c r="F2155">
        <v>644</v>
      </c>
      <c r="G2155">
        <v>1.4120000000000001E-3</v>
      </c>
      <c r="H2155" t="s">
        <v>2197</v>
      </c>
    </row>
    <row r="2156" spans="1:8">
      <c r="A2156" t="s">
        <v>1272</v>
      </c>
      <c r="B2156" t="s">
        <v>3323</v>
      </c>
      <c r="C2156">
        <v>4</v>
      </c>
      <c r="D2156">
        <v>1</v>
      </c>
      <c r="E2156">
        <v>1</v>
      </c>
      <c r="F2156">
        <v>5900</v>
      </c>
      <c r="G2156">
        <v>7.9942499999999996E-3</v>
      </c>
      <c r="H2156" t="s">
        <v>2307</v>
      </c>
    </row>
    <row r="2157" spans="1:8">
      <c r="A2157" t="s">
        <v>9546</v>
      </c>
      <c r="B2157" t="s">
        <v>6586</v>
      </c>
      <c r="C2157">
        <v>40</v>
      </c>
      <c r="D2157">
        <v>1</v>
      </c>
      <c r="E2157">
        <v>1</v>
      </c>
      <c r="F2157">
        <v>0</v>
      </c>
      <c r="G2157">
        <v>0</v>
      </c>
      <c r="H2157" t="s">
        <v>2197</v>
      </c>
    </row>
    <row r="2158" spans="1:8">
      <c r="A2158" t="s">
        <v>9547</v>
      </c>
      <c r="B2158" t="s">
        <v>6590</v>
      </c>
      <c r="C2158">
        <v>20</v>
      </c>
      <c r="D2158">
        <v>1</v>
      </c>
      <c r="E2158">
        <v>1</v>
      </c>
      <c r="F2158">
        <v>1</v>
      </c>
      <c r="G2158">
        <v>0</v>
      </c>
      <c r="H2158" t="s">
        <v>2197</v>
      </c>
    </row>
    <row r="2159" spans="1:8">
      <c r="A2159" t="s">
        <v>9548</v>
      </c>
      <c r="B2159" t="s">
        <v>6589</v>
      </c>
      <c r="C2159">
        <v>20</v>
      </c>
      <c r="D2159">
        <v>1</v>
      </c>
      <c r="E2159">
        <v>1</v>
      </c>
      <c r="F2159">
        <v>1</v>
      </c>
      <c r="G2159">
        <v>0</v>
      </c>
      <c r="H2159" t="s">
        <v>2197</v>
      </c>
    </row>
    <row r="2160" spans="1:8">
      <c r="A2160" t="s">
        <v>1273</v>
      </c>
      <c r="B2160" t="s">
        <v>3324</v>
      </c>
      <c r="C2160">
        <v>1</v>
      </c>
      <c r="D2160">
        <v>1</v>
      </c>
      <c r="E2160">
        <v>1</v>
      </c>
      <c r="F2160">
        <v>1</v>
      </c>
      <c r="G2160">
        <v>0</v>
      </c>
      <c r="H2160" t="s">
        <v>2221</v>
      </c>
    </row>
    <row r="2161" spans="1:8">
      <c r="A2161" t="s">
        <v>8918</v>
      </c>
      <c r="B2161" t="s">
        <v>8917</v>
      </c>
      <c r="C2161">
        <v>1</v>
      </c>
      <c r="D2161">
        <v>1</v>
      </c>
      <c r="E2161">
        <v>1</v>
      </c>
      <c r="F2161">
        <v>1</v>
      </c>
      <c r="G2161">
        <v>0</v>
      </c>
      <c r="H2161" t="s">
        <v>2221</v>
      </c>
    </row>
    <row r="2162" spans="1:8">
      <c r="A2162" t="s">
        <v>6592</v>
      </c>
      <c r="B2162" t="s">
        <v>6591</v>
      </c>
      <c r="C2162">
        <v>500</v>
      </c>
      <c r="D2162">
        <v>1</v>
      </c>
      <c r="E2162">
        <v>1</v>
      </c>
      <c r="F2162">
        <v>1</v>
      </c>
      <c r="G2162">
        <v>0</v>
      </c>
      <c r="H2162" t="s">
        <v>2221</v>
      </c>
    </row>
    <row r="2163" spans="1:8">
      <c r="A2163" t="s">
        <v>9549</v>
      </c>
      <c r="B2163" t="s">
        <v>6596</v>
      </c>
      <c r="C2163">
        <v>20</v>
      </c>
      <c r="D2163">
        <v>1</v>
      </c>
      <c r="E2163">
        <v>1</v>
      </c>
      <c r="F2163">
        <v>590</v>
      </c>
      <c r="G2163">
        <v>1.6646E-3</v>
      </c>
      <c r="H2163" t="s">
        <v>2203</v>
      </c>
    </row>
    <row r="2164" spans="1:8">
      <c r="A2164" t="s">
        <v>4640</v>
      </c>
      <c r="B2164" t="s">
        <v>6593</v>
      </c>
      <c r="C2164">
        <v>12</v>
      </c>
      <c r="D2164">
        <v>10</v>
      </c>
      <c r="E2164">
        <v>1</v>
      </c>
      <c r="F2164">
        <v>0</v>
      </c>
      <c r="G2164">
        <v>0</v>
      </c>
      <c r="H2164" t="s">
        <v>2203</v>
      </c>
    </row>
    <row r="2165" spans="1:8">
      <c r="A2165" t="s">
        <v>6595</v>
      </c>
      <c r="B2165" t="s">
        <v>6594</v>
      </c>
      <c r="C2165">
        <v>12</v>
      </c>
      <c r="D2165">
        <v>15</v>
      </c>
      <c r="E2165">
        <v>1</v>
      </c>
      <c r="F2165">
        <v>20.55</v>
      </c>
      <c r="G2165">
        <v>0</v>
      </c>
      <c r="H2165" t="s">
        <v>2203</v>
      </c>
    </row>
    <row r="2166" spans="1:8">
      <c r="A2166" t="s">
        <v>1274</v>
      </c>
      <c r="B2166" t="s">
        <v>3325</v>
      </c>
      <c r="C2166">
        <v>20</v>
      </c>
      <c r="D2166">
        <v>1</v>
      </c>
      <c r="E2166">
        <v>1</v>
      </c>
      <c r="F2166">
        <v>1037.5</v>
      </c>
      <c r="G2166">
        <v>2.3116E-3</v>
      </c>
      <c r="H2166" t="s">
        <v>2203</v>
      </c>
    </row>
    <row r="2167" spans="1:8">
      <c r="A2167" t="s">
        <v>1275</v>
      </c>
      <c r="B2167" t="s">
        <v>3327</v>
      </c>
      <c r="C2167">
        <v>1</v>
      </c>
      <c r="D2167">
        <v>1</v>
      </c>
      <c r="E2167">
        <v>1</v>
      </c>
      <c r="F2167">
        <v>1</v>
      </c>
      <c r="G2167">
        <v>0</v>
      </c>
      <c r="H2167" t="s">
        <v>2203</v>
      </c>
    </row>
    <row r="2168" spans="1:8">
      <c r="A2168" t="s">
        <v>1276</v>
      </c>
      <c r="B2168" t="s">
        <v>3328</v>
      </c>
      <c r="C2168">
        <v>15</v>
      </c>
      <c r="D2168">
        <v>1</v>
      </c>
      <c r="E2168">
        <v>1</v>
      </c>
      <c r="F2168">
        <v>1080</v>
      </c>
      <c r="G2168">
        <v>2.0533000000000001E-3</v>
      </c>
      <c r="H2168" t="s">
        <v>2197</v>
      </c>
    </row>
    <row r="2169" spans="1:8">
      <c r="A2169" t="s">
        <v>6600</v>
      </c>
      <c r="B2169" t="s">
        <v>6599</v>
      </c>
      <c r="C2169">
        <v>16</v>
      </c>
      <c r="D2169">
        <v>1</v>
      </c>
      <c r="E2169">
        <v>1</v>
      </c>
      <c r="F2169">
        <v>1</v>
      </c>
      <c r="G2169">
        <v>0</v>
      </c>
      <c r="H2169" t="s">
        <v>2203</v>
      </c>
    </row>
    <row r="2170" spans="1:8">
      <c r="A2170" t="s">
        <v>6598</v>
      </c>
      <c r="B2170" t="s">
        <v>6597</v>
      </c>
      <c r="C2170">
        <v>50</v>
      </c>
      <c r="D2170">
        <v>1</v>
      </c>
      <c r="E2170">
        <v>1</v>
      </c>
      <c r="F2170">
        <v>1</v>
      </c>
      <c r="G2170">
        <v>0</v>
      </c>
      <c r="H2170" t="s">
        <v>2203</v>
      </c>
    </row>
    <row r="2171" spans="1:8">
      <c r="A2171" t="s">
        <v>1277</v>
      </c>
      <c r="B2171" t="s">
        <v>3330</v>
      </c>
      <c r="C2171">
        <v>10</v>
      </c>
      <c r="D2171">
        <v>1</v>
      </c>
      <c r="E2171">
        <v>1</v>
      </c>
      <c r="F2171">
        <v>1115</v>
      </c>
      <c r="G2171">
        <v>3.5955000000000002E-3</v>
      </c>
      <c r="H2171" t="s">
        <v>2203</v>
      </c>
    </row>
    <row r="2172" spans="1:8">
      <c r="A2172" t="s">
        <v>1280</v>
      </c>
      <c r="B2172" t="s">
        <v>3332</v>
      </c>
      <c r="C2172">
        <v>20</v>
      </c>
      <c r="D2172">
        <v>1</v>
      </c>
      <c r="E2172">
        <v>1</v>
      </c>
      <c r="F2172">
        <v>560</v>
      </c>
      <c r="G2172">
        <v>1.5379E-3</v>
      </c>
      <c r="H2172" t="s">
        <v>2203</v>
      </c>
    </row>
    <row r="2173" spans="1:8">
      <c r="A2173" t="s">
        <v>4641</v>
      </c>
      <c r="B2173" t="s">
        <v>6601</v>
      </c>
      <c r="C2173">
        <v>40</v>
      </c>
      <c r="D2173">
        <v>1</v>
      </c>
      <c r="E2173">
        <v>1</v>
      </c>
      <c r="F2173">
        <v>166.5</v>
      </c>
      <c r="G2173">
        <v>5.9159999999999996E-4</v>
      </c>
      <c r="H2173" t="s">
        <v>2203</v>
      </c>
    </row>
    <row r="2174" spans="1:8">
      <c r="A2174" t="s">
        <v>6603</v>
      </c>
      <c r="B2174" t="s">
        <v>6602</v>
      </c>
      <c r="C2174">
        <v>60</v>
      </c>
      <c r="D2174">
        <v>1</v>
      </c>
      <c r="E2174">
        <v>1</v>
      </c>
      <c r="F2174">
        <v>0</v>
      </c>
      <c r="G2174">
        <v>0</v>
      </c>
      <c r="H2174" t="s">
        <v>2203</v>
      </c>
    </row>
    <row r="2175" spans="1:8">
      <c r="A2175" t="s">
        <v>6605</v>
      </c>
      <c r="B2175" t="s">
        <v>6604</v>
      </c>
      <c r="C2175">
        <v>20</v>
      </c>
      <c r="D2175">
        <v>1</v>
      </c>
      <c r="E2175">
        <v>1</v>
      </c>
      <c r="F2175">
        <v>0</v>
      </c>
      <c r="G2175">
        <v>0</v>
      </c>
      <c r="H2175" t="s">
        <v>2197</v>
      </c>
    </row>
    <row r="2176" spans="1:8">
      <c r="A2176" t="s">
        <v>1282</v>
      </c>
      <c r="B2176" t="s">
        <v>3333</v>
      </c>
      <c r="C2176">
        <v>100</v>
      </c>
      <c r="D2176">
        <v>1</v>
      </c>
      <c r="E2176">
        <v>1</v>
      </c>
      <c r="F2176">
        <v>140</v>
      </c>
      <c r="G2176">
        <v>4.0460000000000002E-4</v>
      </c>
      <c r="H2176" t="s">
        <v>2197</v>
      </c>
    </row>
    <row r="2177" spans="1:8">
      <c r="A2177" t="s">
        <v>1283</v>
      </c>
      <c r="B2177" t="s">
        <v>3335</v>
      </c>
      <c r="C2177">
        <v>20</v>
      </c>
      <c r="D2177">
        <v>1</v>
      </c>
      <c r="E2177">
        <v>1</v>
      </c>
      <c r="F2177">
        <v>1100</v>
      </c>
      <c r="G2177">
        <v>2.4499999999999999E-3</v>
      </c>
      <c r="H2177" t="s">
        <v>2197</v>
      </c>
    </row>
    <row r="2178" spans="1:8">
      <c r="A2178" t="s">
        <v>1284</v>
      </c>
      <c r="B2178" t="s">
        <v>3336</v>
      </c>
      <c r="C2178">
        <v>24</v>
      </c>
      <c r="D2178">
        <v>1</v>
      </c>
      <c r="E2178">
        <v>1</v>
      </c>
      <c r="F2178">
        <v>583.29999999999995</v>
      </c>
      <c r="G2178">
        <v>1.3860000000000001E-3</v>
      </c>
      <c r="H2178" t="s">
        <v>2197</v>
      </c>
    </row>
    <row r="2179" spans="1:8">
      <c r="A2179" t="s">
        <v>1285</v>
      </c>
      <c r="B2179" t="s">
        <v>3337</v>
      </c>
      <c r="C2179">
        <v>24</v>
      </c>
      <c r="D2179">
        <v>1</v>
      </c>
      <c r="E2179">
        <v>1</v>
      </c>
      <c r="F2179">
        <v>627.1</v>
      </c>
      <c r="G2179">
        <v>1.2310999999999999E-3</v>
      </c>
      <c r="H2179" t="s">
        <v>2197</v>
      </c>
    </row>
    <row r="2180" spans="1:8">
      <c r="A2180" t="s">
        <v>1286</v>
      </c>
      <c r="B2180" t="s">
        <v>3339</v>
      </c>
      <c r="C2180">
        <v>5</v>
      </c>
      <c r="D2180">
        <v>40</v>
      </c>
      <c r="E2180">
        <v>1</v>
      </c>
      <c r="F2180">
        <v>32.9</v>
      </c>
      <c r="G2180">
        <v>1.2289749999999999E-4</v>
      </c>
      <c r="H2180" t="s">
        <v>2203</v>
      </c>
    </row>
    <row r="2181" spans="1:8">
      <c r="A2181" t="s">
        <v>1287</v>
      </c>
      <c r="B2181" t="s">
        <v>3341</v>
      </c>
      <c r="C2181">
        <v>50</v>
      </c>
      <c r="D2181">
        <v>1</v>
      </c>
      <c r="E2181">
        <v>1</v>
      </c>
      <c r="F2181">
        <v>122.6</v>
      </c>
      <c r="G2181">
        <v>4.1754500000000001E-4</v>
      </c>
      <c r="H2181" t="s">
        <v>2203</v>
      </c>
    </row>
    <row r="2182" spans="1:8">
      <c r="A2182" t="s">
        <v>1288</v>
      </c>
      <c r="B2182" t="s">
        <v>3342</v>
      </c>
      <c r="C2182">
        <v>12</v>
      </c>
      <c r="D2182">
        <v>1</v>
      </c>
      <c r="E2182">
        <v>1</v>
      </c>
      <c r="F2182">
        <v>1308.3</v>
      </c>
      <c r="G2182">
        <v>2.4375E-3</v>
      </c>
      <c r="H2182" t="s">
        <v>2197</v>
      </c>
    </row>
    <row r="2183" spans="1:8">
      <c r="A2183" t="s">
        <v>6607</v>
      </c>
      <c r="B2183" t="s">
        <v>6606</v>
      </c>
      <c r="C2183">
        <v>20</v>
      </c>
      <c r="D2183">
        <v>1</v>
      </c>
      <c r="E2183">
        <v>1</v>
      </c>
      <c r="F2183">
        <v>0</v>
      </c>
      <c r="G2183">
        <v>0</v>
      </c>
      <c r="H2183" t="s">
        <v>2197</v>
      </c>
    </row>
    <row r="2184" spans="1:8">
      <c r="A2184" t="s">
        <v>6609</v>
      </c>
      <c r="B2184" t="s">
        <v>6608</v>
      </c>
      <c r="C2184">
        <v>1</v>
      </c>
      <c r="D2184">
        <v>1</v>
      </c>
      <c r="E2184">
        <v>1</v>
      </c>
      <c r="F2184">
        <v>51000</v>
      </c>
      <c r="G2184">
        <v>5.3999999999999999E-2</v>
      </c>
      <c r="H2184" t="s">
        <v>2994</v>
      </c>
    </row>
    <row r="2185" spans="1:8">
      <c r="A2185" t="s">
        <v>1291</v>
      </c>
      <c r="B2185" t="s">
        <v>3344</v>
      </c>
      <c r="C2185">
        <v>20</v>
      </c>
      <c r="D2185">
        <v>1</v>
      </c>
      <c r="E2185">
        <v>1</v>
      </c>
      <c r="F2185">
        <v>1080</v>
      </c>
      <c r="G2185">
        <v>1.8094999999999999E-3</v>
      </c>
      <c r="H2185" t="s">
        <v>2203</v>
      </c>
    </row>
    <row r="2186" spans="1:8">
      <c r="A2186" t="s">
        <v>9550</v>
      </c>
      <c r="B2186" t="s">
        <v>6610</v>
      </c>
      <c r="C2186">
        <v>20</v>
      </c>
      <c r="D2186">
        <v>1</v>
      </c>
      <c r="E2186">
        <v>1</v>
      </c>
      <c r="F2186">
        <v>1080</v>
      </c>
      <c r="G2186">
        <v>1.8094999999999999E-3</v>
      </c>
      <c r="H2186" t="s">
        <v>2203</v>
      </c>
    </row>
    <row r="2187" spans="1:8">
      <c r="A2187" t="s">
        <v>4642</v>
      </c>
      <c r="B2187" t="s">
        <v>6611</v>
      </c>
      <c r="C2187">
        <v>10</v>
      </c>
      <c r="D2187">
        <v>1</v>
      </c>
      <c r="E2187">
        <v>1</v>
      </c>
      <c r="F2187">
        <v>1031</v>
      </c>
      <c r="G2187">
        <v>2.0357999999999999E-3</v>
      </c>
      <c r="H2187" t="s">
        <v>2197</v>
      </c>
    </row>
    <row r="2188" spans="1:8">
      <c r="A2188" t="s">
        <v>1292</v>
      </c>
      <c r="B2188" t="s">
        <v>3346</v>
      </c>
      <c r="C2188">
        <v>100</v>
      </c>
      <c r="D2188">
        <v>1</v>
      </c>
      <c r="E2188">
        <v>1</v>
      </c>
      <c r="F2188">
        <v>67.099999999999994</v>
      </c>
      <c r="G2188">
        <v>1.617E-4</v>
      </c>
      <c r="H2188" t="s">
        <v>2197</v>
      </c>
    </row>
    <row r="2189" spans="1:8">
      <c r="A2189" t="s">
        <v>1296</v>
      </c>
      <c r="B2189" t="s">
        <v>3348</v>
      </c>
      <c r="C2189">
        <v>100</v>
      </c>
      <c r="D2189">
        <v>1</v>
      </c>
      <c r="E2189">
        <v>1</v>
      </c>
      <c r="F2189">
        <v>102.8</v>
      </c>
      <c r="G2189">
        <v>2.8499999999999999E-4</v>
      </c>
      <c r="H2189" t="s">
        <v>2197</v>
      </c>
    </row>
    <row r="2190" spans="1:8">
      <c r="A2190" t="s">
        <v>1299</v>
      </c>
      <c r="B2190" t="s">
        <v>3349</v>
      </c>
      <c r="C2190">
        <v>40</v>
      </c>
      <c r="D2190">
        <v>1</v>
      </c>
      <c r="E2190">
        <v>1</v>
      </c>
      <c r="F2190">
        <v>285.8</v>
      </c>
      <c r="G2190">
        <v>7.2079999999999996E-4</v>
      </c>
      <c r="H2190" t="s">
        <v>2197</v>
      </c>
    </row>
    <row r="2191" spans="1:8">
      <c r="A2191" t="s">
        <v>1304</v>
      </c>
      <c r="B2191" t="s">
        <v>3350</v>
      </c>
      <c r="C2191">
        <v>50</v>
      </c>
      <c r="D2191">
        <v>1</v>
      </c>
      <c r="E2191">
        <v>1</v>
      </c>
      <c r="F2191">
        <v>127.8</v>
      </c>
      <c r="G2191">
        <v>2.8106000000000002E-4</v>
      </c>
      <c r="H2191" t="s">
        <v>2197</v>
      </c>
    </row>
    <row r="2192" spans="1:8">
      <c r="A2192" t="s">
        <v>6613</v>
      </c>
      <c r="B2192" t="s">
        <v>6612</v>
      </c>
      <c r="C2192">
        <v>20</v>
      </c>
      <c r="D2192">
        <v>1</v>
      </c>
      <c r="E2192">
        <v>1</v>
      </c>
      <c r="F2192">
        <v>594</v>
      </c>
      <c r="G2192">
        <v>1.3162499999999999E-3</v>
      </c>
      <c r="H2192" t="s">
        <v>2197</v>
      </c>
    </row>
    <row r="2193" spans="1:8">
      <c r="A2193" t="s">
        <v>4643</v>
      </c>
      <c r="B2193" t="s">
        <v>6614</v>
      </c>
      <c r="C2193">
        <v>40</v>
      </c>
      <c r="D2193">
        <v>1</v>
      </c>
      <c r="E2193">
        <v>1</v>
      </c>
      <c r="F2193">
        <v>375.75</v>
      </c>
      <c r="G2193">
        <v>1.4512500000000001E-3</v>
      </c>
      <c r="H2193" t="s">
        <v>2203</v>
      </c>
    </row>
    <row r="2194" spans="1:8">
      <c r="A2194" t="s">
        <v>6616</v>
      </c>
      <c r="B2194" t="s">
        <v>6615</v>
      </c>
      <c r="C2194">
        <v>50</v>
      </c>
      <c r="D2194">
        <v>1</v>
      </c>
      <c r="E2194">
        <v>1</v>
      </c>
      <c r="F2194">
        <v>1</v>
      </c>
      <c r="G2194">
        <v>0</v>
      </c>
      <c r="H2194" t="s">
        <v>2203</v>
      </c>
    </row>
    <row r="2195" spans="1:8">
      <c r="A2195" t="s">
        <v>6622</v>
      </c>
      <c r="B2195" t="s">
        <v>6621</v>
      </c>
      <c r="C2195">
        <v>1</v>
      </c>
      <c r="D2195">
        <v>1</v>
      </c>
      <c r="E2195">
        <v>1</v>
      </c>
      <c r="F2195">
        <v>1</v>
      </c>
      <c r="G2195">
        <v>0</v>
      </c>
      <c r="H2195" t="s">
        <v>2303</v>
      </c>
    </row>
    <row r="2196" spans="1:8">
      <c r="A2196" t="s">
        <v>6618</v>
      </c>
      <c r="B2196" t="s">
        <v>6617</v>
      </c>
      <c r="C2196">
        <v>20</v>
      </c>
      <c r="D2196">
        <v>1</v>
      </c>
      <c r="E2196">
        <v>1</v>
      </c>
      <c r="F2196">
        <v>1</v>
      </c>
      <c r="G2196">
        <v>0</v>
      </c>
      <c r="H2196" t="s">
        <v>2197</v>
      </c>
    </row>
    <row r="2197" spans="1:8">
      <c r="A2197" t="s">
        <v>6620</v>
      </c>
      <c r="B2197" t="s">
        <v>6619</v>
      </c>
      <c r="C2197">
        <v>4</v>
      </c>
      <c r="D2197">
        <v>1</v>
      </c>
      <c r="E2197">
        <v>1</v>
      </c>
      <c r="F2197">
        <v>1</v>
      </c>
      <c r="G2197">
        <v>0</v>
      </c>
      <c r="H2197" t="s">
        <v>2307</v>
      </c>
    </row>
    <row r="2198" spans="1:8">
      <c r="A2198" t="s">
        <v>9551</v>
      </c>
      <c r="B2198" t="s">
        <v>6627</v>
      </c>
      <c r="C2198">
        <v>1</v>
      </c>
      <c r="D2198">
        <v>1</v>
      </c>
      <c r="E2198">
        <v>1</v>
      </c>
      <c r="F2198">
        <v>24000</v>
      </c>
      <c r="G2198">
        <v>2.2491000000000001E-2</v>
      </c>
      <c r="H2198" t="s">
        <v>2303</v>
      </c>
    </row>
    <row r="2199" spans="1:8">
      <c r="A2199" t="s">
        <v>9552</v>
      </c>
      <c r="B2199" t="s">
        <v>6625</v>
      </c>
      <c r="C2199">
        <v>20</v>
      </c>
      <c r="D2199">
        <v>1</v>
      </c>
      <c r="E2199">
        <v>1</v>
      </c>
      <c r="F2199">
        <v>1257.5</v>
      </c>
      <c r="G2199">
        <v>2.4599999999999999E-3</v>
      </c>
      <c r="H2199" t="s">
        <v>2197</v>
      </c>
    </row>
    <row r="2200" spans="1:8">
      <c r="A2200" t="s">
        <v>9553</v>
      </c>
      <c r="B2200" t="s">
        <v>6626</v>
      </c>
      <c r="C2200">
        <v>4</v>
      </c>
      <c r="D2200">
        <v>1</v>
      </c>
      <c r="E2200">
        <v>1</v>
      </c>
      <c r="F2200">
        <v>6175</v>
      </c>
      <c r="G2200">
        <v>8.1054999999999999E-3</v>
      </c>
      <c r="H2200" t="s">
        <v>2307</v>
      </c>
    </row>
    <row r="2201" spans="1:8">
      <c r="A2201" t="s">
        <v>6624</v>
      </c>
      <c r="B2201" t="s">
        <v>6623</v>
      </c>
      <c r="C2201">
        <v>25</v>
      </c>
      <c r="D2201">
        <v>1</v>
      </c>
      <c r="E2201">
        <v>1</v>
      </c>
      <c r="F2201">
        <v>448</v>
      </c>
      <c r="G2201">
        <v>1.8630000000000001E-3</v>
      </c>
      <c r="H2201" t="s">
        <v>2203</v>
      </c>
    </row>
    <row r="2202" spans="1:8">
      <c r="A2202" t="s">
        <v>1307</v>
      </c>
      <c r="B2202" t="s">
        <v>3352</v>
      </c>
      <c r="C2202">
        <v>1</v>
      </c>
      <c r="D2202">
        <v>1</v>
      </c>
      <c r="E2202">
        <v>1</v>
      </c>
      <c r="F2202">
        <v>23030</v>
      </c>
      <c r="G2202">
        <v>1.8559099999999999E-3</v>
      </c>
      <c r="H2202" t="s">
        <v>2303</v>
      </c>
    </row>
    <row r="2203" spans="1:8">
      <c r="A2203" t="s">
        <v>4980</v>
      </c>
      <c r="B2203" t="s">
        <v>6630</v>
      </c>
      <c r="C2203">
        <v>1</v>
      </c>
      <c r="D2203">
        <v>1</v>
      </c>
      <c r="E2203">
        <v>1</v>
      </c>
      <c r="F2203">
        <v>1</v>
      </c>
      <c r="G2203">
        <v>0</v>
      </c>
      <c r="H2203" t="s">
        <v>2303</v>
      </c>
    </row>
    <row r="2204" spans="1:8">
      <c r="A2204" t="s">
        <v>1308</v>
      </c>
      <c r="B2204" t="s">
        <v>3354</v>
      </c>
      <c r="C2204">
        <v>20</v>
      </c>
      <c r="D2204">
        <v>1</v>
      </c>
      <c r="E2204">
        <v>1</v>
      </c>
      <c r="F2204">
        <v>1167.5</v>
      </c>
      <c r="G2204">
        <v>2.2932E-3</v>
      </c>
      <c r="H2204" t="s">
        <v>2197</v>
      </c>
    </row>
    <row r="2205" spans="1:8">
      <c r="A2205" t="s">
        <v>4978</v>
      </c>
      <c r="B2205" t="s">
        <v>6628</v>
      </c>
      <c r="C2205">
        <v>20</v>
      </c>
      <c r="D2205">
        <v>1</v>
      </c>
      <c r="E2205">
        <v>1</v>
      </c>
      <c r="F2205">
        <v>1</v>
      </c>
      <c r="G2205">
        <v>0</v>
      </c>
      <c r="H2205" t="s">
        <v>2197</v>
      </c>
    </row>
    <row r="2206" spans="1:8">
      <c r="A2206" t="s">
        <v>1309</v>
      </c>
      <c r="B2206" t="s">
        <v>3355</v>
      </c>
      <c r="C2206">
        <v>4</v>
      </c>
      <c r="D2206">
        <v>1</v>
      </c>
      <c r="E2206">
        <v>1</v>
      </c>
      <c r="F2206">
        <v>6175</v>
      </c>
      <c r="G2206">
        <v>8.1054999999999999E-3</v>
      </c>
      <c r="H2206" t="s">
        <v>2197</v>
      </c>
    </row>
    <row r="2207" spans="1:8">
      <c r="A2207" t="s">
        <v>4979</v>
      </c>
      <c r="B2207" t="s">
        <v>6629</v>
      </c>
      <c r="C2207">
        <v>4</v>
      </c>
      <c r="D2207">
        <v>1</v>
      </c>
      <c r="E2207">
        <v>1</v>
      </c>
      <c r="F2207">
        <v>1</v>
      </c>
      <c r="G2207">
        <v>0</v>
      </c>
      <c r="H2207" t="s">
        <v>2307</v>
      </c>
    </row>
    <row r="2208" spans="1:8">
      <c r="A2208" t="s">
        <v>1310</v>
      </c>
      <c r="B2208" t="s">
        <v>3356</v>
      </c>
      <c r="C2208">
        <v>20</v>
      </c>
      <c r="D2208">
        <v>1</v>
      </c>
      <c r="E2208">
        <v>1</v>
      </c>
      <c r="F2208">
        <v>1083.5</v>
      </c>
      <c r="G2208">
        <v>7.1549999999999999E-4</v>
      </c>
      <c r="H2208" t="s">
        <v>2203</v>
      </c>
    </row>
    <row r="2209" spans="1:8">
      <c r="A2209" t="s">
        <v>4646</v>
      </c>
      <c r="B2209" t="s">
        <v>6634</v>
      </c>
      <c r="C2209">
        <v>20</v>
      </c>
      <c r="D2209">
        <v>12</v>
      </c>
      <c r="E2209">
        <v>1</v>
      </c>
      <c r="F2209">
        <v>13</v>
      </c>
      <c r="G2209">
        <v>1.2430000000000001E-4</v>
      </c>
      <c r="H2209" t="s">
        <v>2203</v>
      </c>
    </row>
    <row r="2210" spans="1:8">
      <c r="A2210" t="s">
        <v>6658</v>
      </c>
      <c r="B2210" t="s">
        <v>6657</v>
      </c>
      <c r="C2210">
        <v>10</v>
      </c>
      <c r="D2210">
        <v>20</v>
      </c>
      <c r="E2210">
        <v>1</v>
      </c>
      <c r="F2210">
        <v>1</v>
      </c>
      <c r="G2210">
        <v>0</v>
      </c>
      <c r="H2210" t="s">
        <v>2203</v>
      </c>
    </row>
    <row r="2211" spans="1:8">
      <c r="A2211" t="s">
        <v>1311</v>
      </c>
      <c r="B2211" t="s">
        <v>3358</v>
      </c>
      <c r="C2211">
        <v>20</v>
      </c>
      <c r="D2211">
        <v>10</v>
      </c>
      <c r="E2211">
        <v>1</v>
      </c>
      <c r="F2211">
        <v>26.1</v>
      </c>
      <c r="G2211">
        <v>1.4919999999999999E-4</v>
      </c>
      <c r="H2211" t="s">
        <v>2203</v>
      </c>
    </row>
    <row r="2212" spans="1:8">
      <c r="A2212" t="s">
        <v>4652</v>
      </c>
      <c r="B2212" t="s">
        <v>6656</v>
      </c>
      <c r="C2212">
        <v>20</v>
      </c>
      <c r="D2212">
        <v>10</v>
      </c>
      <c r="E2212">
        <v>1</v>
      </c>
      <c r="F2212">
        <v>1</v>
      </c>
      <c r="G2212">
        <v>0</v>
      </c>
      <c r="H2212" t="s">
        <v>2203</v>
      </c>
    </row>
    <row r="2213" spans="1:8">
      <c r="A2213" t="s">
        <v>4649</v>
      </c>
      <c r="B2213" t="s">
        <v>6631</v>
      </c>
      <c r="C2213">
        <v>20</v>
      </c>
      <c r="D2213">
        <v>12</v>
      </c>
      <c r="E2213">
        <v>1</v>
      </c>
      <c r="F2213">
        <v>29</v>
      </c>
      <c r="G2213">
        <v>1.2779999999999999E-4</v>
      </c>
      <c r="H2213" t="s">
        <v>2203</v>
      </c>
    </row>
    <row r="2214" spans="1:8">
      <c r="A2214" t="s">
        <v>4651</v>
      </c>
      <c r="B2214" t="s">
        <v>6655</v>
      </c>
      <c r="C2214">
        <v>240</v>
      </c>
      <c r="D2214">
        <v>1</v>
      </c>
      <c r="E2214">
        <v>1</v>
      </c>
      <c r="F2214">
        <v>1</v>
      </c>
      <c r="G2214">
        <v>0</v>
      </c>
      <c r="H2214" t="s">
        <v>2203</v>
      </c>
    </row>
    <row r="2215" spans="1:8">
      <c r="A2215" t="s">
        <v>6660</v>
      </c>
      <c r="B2215" t="s">
        <v>6659</v>
      </c>
      <c r="C2215">
        <v>20</v>
      </c>
      <c r="D2215">
        <v>10</v>
      </c>
      <c r="E2215">
        <v>1</v>
      </c>
      <c r="F2215">
        <v>26.1</v>
      </c>
      <c r="G2215">
        <v>1.4919999999999999E-4</v>
      </c>
      <c r="H2215" t="s">
        <v>2203</v>
      </c>
    </row>
    <row r="2216" spans="1:8">
      <c r="A2216" t="s">
        <v>6660</v>
      </c>
      <c r="B2216" t="s">
        <v>6663</v>
      </c>
      <c r="C2216">
        <v>1</v>
      </c>
      <c r="D2216">
        <v>1</v>
      </c>
      <c r="E2216">
        <v>1</v>
      </c>
      <c r="F2216">
        <v>1</v>
      </c>
      <c r="G2216">
        <v>0</v>
      </c>
      <c r="H2216" t="s">
        <v>2221</v>
      </c>
    </row>
    <row r="2217" spans="1:8">
      <c r="A2217" t="s">
        <v>4647</v>
      </c>
      <c r="B2217" t="s">
        <v>6642</v>
      </c>
      <c r="C2217">
        <v>20</v>
      </c>
      <c r="D2217">
        <v>12</v>
      </c>
      <c r="E2217">
        <v>1</v>
      </c>
      <c r="F2217">
        <v>29</v>
      </c>
      <c r="G2217">
        <v>1.2779999999999999E-4</v>
      </c>
      <c r="H2217" t="s">
        <v>2203</v>
      </c>
    </row>
    <row r="2218" spans="1:8">
      <c r="A2218" t="s">
        <v>6646</v>
      </c>
      <c r="B2218" t="s">
        <v>6645</v>
      </c>
      <c r="C2218">
        <v>20</v>
      </c>
      <c r="D2218">
        <v>6</v>
      </c>
      <c r="E2218">
        <v>1</v>
      </c>
      <c r="F2218">
        <v>1</v>
      </c>
      <c r="G2218">
        <v>0</v>
      </c>
      <c r="H2218" t="s">
        <v>2203</v>
      </c>
    </row>
    <row r="2219" spans="1:8">
      <c r="A2219" t="s">
        <v>6652</v>
      </c>
      <c r="B2219" t="s">
        <v>6651</v>
      </c>
      <c r="C2219">
        <v>20</v>
      </c>
      <c r="D2219">
        <v>12</v>
      </c>
      <c r="E2219">
        <v>1</v>
      </c>
      <c r="F2219">
        <v>1</v>
      </c>
      <c r="G2219">
        <v>0</v>
      </c>
      <c r="H2219" t="s">
        <v>2203</v>
      </c>
    </row>
    <row r="2220" spans="1:8">
      <c r="A2220" t="s">
        <v>6662</v>
      </c>
      <c r="B2220" t="s">
        <v>6661</v>
      </c>
      <c r="C2220">
        <v>20</v>
      </c>
      <c r="D2220">
        <v>10</v>
      </c>
      <c r="E2220">
        <v>1</v>
      </c>
      <c r="F2220">
        <v>19</v>
      </c>
      <c r="G2220">
        <v>1.65E-4</v>
      </c>
      <c r="H2220" t="s">
        <v>2203</v>
      </c>
    </row>
    <row r="2221" spans="1:8">
      <c r="A2221" t="s">
        <v>6665</v>
      </c>
      <c r="B2221" t="s">
        <v>6664</v>
      </c>
      <c r="C2221">
        <v>20</v>
      </c>
      <c r="D2221">
        <v>10</v>
      </c>
      <c r="E2221">
        <v>1</v>
      </c>
      <c r="F2221">
        <v>1</v>
      </c>
      <c r="G2221">
        <v>0</v>
      </c>
      <c r="H2221" t="s">
        <v>2203</v>
      </c>
    </row>
    <row r="2222" spans="1:8">
      <c r="A2222" t="s">
        <v>6639</v>
      </c>
      <c r="B2222" t="s">
        <v>6638</v>
      </c>
      <c r="C2222">
        <v>25</v>
      </c>
      <c r="D2222">
        <v>10</v>
      </c>
      <c r="E2222">
        <v>1</v>
      </c>
      <c r="F2222">
        <v>8.8000000000000007</v>
      </c>
      <c r="G2222" s="4">
        <v>7.1600000000000006E-5</v>
      </c>
      <c r="H2222" t="s">
        <v>2203</v>
      </c>
    </row>
    <row r="2223" spans="1:8">
      <c r="A2223" t="s">
        <v>4644</v>
      </c>
      <c r="B2223" t="s">
        <v>6632</v>
      </c>
      <c r="C2223">
        <v>10</v>
      </c>
      <c r="D2223">
        <v>15</v>
      </c>
      <c r="E2223">
        <v>1</v>
      </c>
      <c r="F2223">
        <v>1083.5</v>
      </c>
      <c r="G2223">
        <v>7.1549999999999999E-4</v>
      </c>
      <c r="H2223" t="s">
        <v>2203</v>
      </c>
    </row>
    <row r="2224" spans="1:8">
      <c r="A2224" t="s">
        <v>6644</v>
      </c>
      <c r="B2224" t="s">
        <v>6643</v>
      </c>
      <c r="C2224">
        <v>12</v>
      </c>
      <c r="D2224">
        <v>10</v>
      </c>
      <c r="E2224">
        <v>1</v>
      </c>
      <c r="F2224">
        <v>33.799999999999997</v>
      </c>
      <c r="G2224">
        <v>2.009E-4</v>
      </c>
      <c r="H2224" t="s">
        <v>2203</v>
      </c>
    </row>
    <row r="2225" spans="1:8">
      <c r="A2225" t="s">
        <v>6636</v>
      </c>
      <c r="B2225" t="s">
        <v>6635</v>
      </c>
      <c r="C2225">
        <v>20</v>
      </c>
      <c r="D2225">
        <v>12</v>
      </c>
      <c r="E2225">
        <v>1</v>
      </c>
      <c r="F2225">
        <v>1083.5</v>
      </c>
      <c r="G2225">
        <v>7.1549999999999999E-4</v>
      </c>
      <c r="H2225" t="s">
        <v>2203</v>
      </c>
    </row>
    <row r="2226" spans="1:8">
      <c r="A2226" t="s">
        <v>6648</v>
      </c>
      <c r="B2226" t="s">
        <v>6647</v>
      </c>
      <c r="C2226">
        <v>12</v>
      </c>
      <c r="D2226">
        <v>10</v>
      </c>
      <c r="E2226">
        <v>1</v>
      </c>
      <c r="F2226">
        <v>33.799999999999997</v>
      </c>
      <c r="G2226">
        <v>2.009E-4</v>
      </c>
      <c r="H2226" t="s">
        <v>2203</v>
      </c>
    </row>
    <row r="2227" spans="1:8">
      <c r="A2227" t="s">
        <v>6654</v>
      </c>
      <c r="B2227" t="s">
        <v>6653</v>
      </c>
      <c r="C2227">
        <v>12</v>
      </c>
      <c r="D2227">
        <v>10</v>
      </c>
      <c r="E2227">
        <v>1</v>
      </c>
      <c r="F2227">
        <v>33.799999999999997</v>
      </c>
      <c r="G2227">
        <v>2.009E-4</v>
      </c>
      <c r="H2227" t="s">
        <v>2203</v>
      </c>
    </row>
    <row r="2228" spans="1:8">
      <c r="A2228" t="s">
        <v>6650</v>
      </c>
      <c r="B2228" t="s">
        <v>6649</v>
      </c>
      <c r="C2228">
        <v>12</v>
      </c>
      <c r="D2228">
        <v>10</v>
      </c>
      <c r="E2228">
        <v>1</v>
      </c>
      <c r="F2228">
        <v>33.799999999999997</v>
      </c>
      <c r="G2228">
        <v>2.009E-4</v>
      </c>
      <c r="H2228" t="s">
        <v>2203</v>
      </c>
    </row>
    <row r="2229" spans="1:8">
      <c r="A2229" t="s">
        <v>4648</v>
      </c>
      <c r="B2229" t="s">
        <v>6641</v>
      </c>
      <c r="C2229">
        <v>12</v>
      </c>
      <c r="D2229">
        <v>10</v>
      </c>
      <c r="E2229">
        <v>1</v>
      </c>
      <c r="F2229">
        <v>24.6</v>
      </c>
      <c r="G2229">
        <v>1.9369999999999999E-4</v>
      </c>
      <c r="H2229" t="s">
        <v>2203</v>
      </c>
    </row>
    <row r="2230" spans="1:8">
      <c r="A2230" t="s">
        <v>4650</v>
      </c>
      <c r="B2230" t="s">
        <v>6640</v>
      </c>
      <c r="C2230">
        <v>20</v>
      </c>
      <c r="D2230">
        <v>12</v>
      </c>
      <c r="E2230">
        <v>1</v>
      </c>
      <c r="F2230">
        <v>1</v>
      </c>
      <c r="G2230">
        <v>0</v>
      </c>
      <c r="H2230" t="s">
        <v>2203</v>
      </c>
    </row>
    <row r="2231" spans="1:8">
      <c r="A2231" t="s">
        <v>1312</v>
      </c>
      <c r="B2231" t="s">
        <v>6637</v>
      </c>
      <c r="C2231">
        <v>10</v>
      </c>
      <c r="D2231">
        <v>15</v>
      </c>
      <c r="E2231">
        <v>1</v>
      </c>
      <c r="F2231">
        <v>23.7</v>
      </c>
      <c r="G2231">
        <v>1E-4</v>
      </c>
      <c r="H2231" t="s">
        <v>2203</v>
      </c>
    </row>
    <row r="2232" spans="1:8">
      <c r="A2232" t="s">
        <v>4645</v>
      </c>
      <c r="B2232" t="s">
        <v>6633</v>
      </c>
      <c r="C2232">
        <v>12</v>
      </c>
      <c r="D2232">
        <v>10</v>
      </c>
      <c r="E2232">
        <v>1</v>
      </c>
      <c r="F2232">
        <v>1083.5</v>
      </c>
      <c r="G2232">
        <v>7.1549999999999999E-4</v>
      </c>
      <c r="H2232" t="s">
        <v>2203</v>
      </c>
    </row>
    <row r="2233" spans="1:8">
      <c r="A2233" t="s">
        <v>1313</v>
      </c>
      <c r="B2233" t="s">
        <v>3362</v>
      </c>
      <c r="C2233">
        <v>24</v>
      </c>
      <c r="D2233">
        <v>1</v>
      </c>
      <c r="E2233">
        <v>1</v>
      </c>
      <c r="F2233">
        <v>345.8</v>
      </c>
      <c r="G2233">
        <v>6.7500000000000004E-4</v>
      </c>
      <c r="H2233" t="s">
        <v>2197</v>
      </c>
    </row>
    <row r="2234" spans="1:8">
      <c r="A2234" t="s">
        <v>4654</v>
      </c>
      <c r="B2234" t="s">
        <v>6666</v>
      </c>
      <c r="C2234">
        <v>20</v>
      </c>
      <c r="D2234">
        <v>1</v>
      </c>
      <c r="E2234">
        <v>1</v>
      </c>
      <c r="F2234">
        <v>0</v>
      </c>
      <c r="G2234">
        <v>0</v>
      </c>
      <c r="H2234" t="s">
        <v>2197</v>
      </c>
    </row>
    <row r="2235" spans="1:8">
      <c r="A2235" t="s">
        <v>4653</v>
      </c>
      <c r="B2235" t="s">
        <v>6667</v>
      </c>
      <c r="C2235">
        <v>80</v>
      </c>
      <c r="D2235">
        <v>1</v>
      </c>
      <c r="E2235">
        <v>1</v>
      </c>
      <c r="F2235">
        <v>0</v>
      </c>
      <c r="G2235">
        <v>0</v>
      </c>
      <c r="H2235" t="s">
        <v>2197</v>
      </c>
    </row>
    <row r="2236" spans="1:8">
      <c r="A2236" t="s">
        <v>8920</v>
      </c>
      <c r="B2236" t="s">
        <v>8919</v>
      </c>
      <c r="C2236">
        <v>1</v>
      </c>
      <c r="D2236">
        <v>1</v>
      </c>
      <c r="E2236">
        <v>1</v>
      </c>
      <c r="F2236">
        <v>1</v>
      </c>
      <c r="G2236">
        <v>0</v>
      </c>
      <c r="H2236" t="s">
        <v>2221</v>
      </c>
    </row>
    <row r="2237" spans="1:8">
      <c r="A2237" t="s">
        <v>8303</v>
      </c>
      <c r="B2237" t="s">
        <v>8302</v>
      </c>
      <c r="C2237">
        <v>1</v>
      </c>
      <c r="D2237">
        <v>1</v>
      </c>
      <c r="E2237">
        <v>1</v>
      </c>
      <c r="F2237">
        <v>1</v>
      </c>
      <c r="G2237">
        <v>0</v>
      </c>
      <c r="H2237" t="s">
        <v>2221</v>
      </c>
    </row>
    <row r="2238" spans="1:8">
      <c r="A2238" t="s">
        <v>6671</v>
      </c>
      <c r="B2238" t="s">
        <v>6670</v>
      </c>
      <c r="C2238">
        <v>1</v>
      </c>
      <c r="D2238">
        <v>1</v>
      </c>
      <c r="E2238">
        <v>1</v>
      </c>
      <c r="F2238">
        <v>1750</v>
      </c>
      <c r="G2238">
        <v>0.03</v>
      </c>
      <c r="H2238" t="s">
        <v>2221</v>
      </c>
    </row>
    <row r="2239" spans="1:8">
      <c r="A2239" t="s">
        <v>6679</v>
      </c>
      <c r="B2239" t="s">
        <v>6678</v>
      </c>
      <c r="C2239">
        <v>1</v>
      </c>
      <c r="D2239">
        <v>1</v>
      </c>
      <c r="E2239">
        <v>1</v>
      </c>
      <c r="F2239">
        <v>1</v>
      </c>
      <c r="G2239">
        <v>0</v>
      </c>
      <c r="H2239" t="s">
        <v>2203</v>
      </c>
    </row>
    <row r="2240" spans="1:8">
      <c r="A2240" t="s">
        <v>1315</v>
      </c>
      <c r="B2240" t="s">
        <v>3363</v>
      </c>
      <c r="C2240">
        <v>100</v>
      </c>
      <c r="D2240">
        <v>1</v>
      </c>
      <c r="E2240">
        <v>1</v>
      </c>
      <c r="F2240">
        <v>158</v>
      </c>
      <c r="G2240">
        <v>3.413E-4</v>
      </c>
      <c r="H2240" t="s">
        <v>2197</v>
      </c>
    </row>
    <row r="2241" spans="1:8">
      <c r="A2241" t="s">
        <v>1316</v>
      </c>
      <c r="B2241" t="s">
        <v>3365</v>
      </c>
      <c r="C2241">
        <v>20</v>
      </c>
      <c r="D2241">
        <v>1</v>
      </c>
      <c r="E2241">
        <v>1</v>
      </c>
      <c r="F2241">
        <v>1091</v>
      </c>
      <c r="G2241">
        <v>2.701125E-3</v>
      </c>
      <c r="H2241" t="s">
        <v>2197</v>
      </c>
    </row>
    <row r="2242" spans="1:8">
      <c r="A2242" t="s">
        <v>1317</v>
      </c>
      <c r="B2242" t="s">
        <v>3366</v>
      </c>
      <c r="C2242">
        <v>25</v>
      </c>
      <c r="D2242">
        <v>1</v>
      </c>
      <c r="E2242">
        <v>1</v>
      </c>
      <c r="F2242">
        <v>570</v>
      </c>
      <c r="G2242">
        <v>1.2792000000000001E-3</v>
      </c>
      <c r="H2242" t="s">
        <v>2197</v>
      </c>
    </row>
    <row r="2243" spans="1:8">
      <c r="A2243" t="s">
        <v>1318</v>
      </c>
      <c r="B2243" t="s">
        <v>3367</v>
      </c>
      <c r="C2243">
        <v>1</v>
      </c>
      <c r="D2243">
        <v>1</v>
      </c>
      <c r="E2243">
        <v>1</v>
      </c>
      <c r="F2243">
        <v>0</v>
      </c>
      <c r="G2243">
        <v>0</v>
      </c>
      <c r="H2243" t="s">
        <v>2197</v>
      </c>
    </row>
    <row r="2244" spans="1:8">
      <c r="A2244" t="s">
        <v>9554</v>
      </c>
      <c r="B2244" t="s">
        <v>6675</v>
      </c>
      <c r="C2244">
        <v>50</v>
      </c>
      <c r="D2244">
        <v>1</v>
      </c>
      <c r="E2244">
        <v>1</v>
      </c>
      <c r="F2244">
        <v>150</v>
      </c>
      <c r="G2244">
        <v>3.2180000000000002E-4</v>
      </c>
      <c r="H2244" t="s">
        <v>2197</v>
      </c>
    </row>
    <row r="2245" spans="1:8">
      <c r="A2245" t="s">
        <v>4655</v>
      </c>
      <c r="B2245" t="s">
        <v>6676</v>
      </c>
      <c r="C2245">
        <v>20</v>
      </c>
      <c r="D2245">
        <v>20</v>
      </c>
      <c r="E2245">
        <v>1</v>
      </c>
      <c r="F2245">
        <v>10.8</v>
      </c>
      <c r="G2245" s="4">
        <v>8.6100000000000006E-5</v>
      </c>
      <c r="H2245" t="s">
        <v>2203</v>
      </c>
    </row>
    <row r="2246" spans="1:8">
      <c r="A2246" t="s">
        <v>9555</v>
      </c>
      <c r="B2246" t="s">
        <v>6674</v>
      </c>
      <c r="C2246">
        <v>10</v>
      </c>
      <c r="D2246">
        <v>20</v>
      </c>
      <c r="E2246">
        <v>1</v>
      </c>
      <c r="F2246">
        <v>9.5</v>
      </c>
      <c r="G2246" s="4">
        <v>4.7737500000000002E-5</v>
      </c>
      <c r="H2246" t="s">
        <v>2203</v>
      </c>
    </row>
    <row r="2247" spans="1:8">
      <c r="A2247" t="s">
        <v>1319</v>
      </c>
      <c r="B2247" t="s">
        <v>3369</v>
      </c>
      <c r="C2247">
        <v>15</v>
      </c>
      <c r="D2247">
        <v>1</v>
      </c>
      <c r="E2247">
        <v>1</v>
      </c>
      <c r="F2247">
        <v>593.29999999999995</v>
      </c>
      <c r="G2247">
        <v>1.248E-3</v>
      </c>
      <c r="H2247" t="s">
        <v>2197</v>
      </c>
    </row>
    <row r="2248" spans="1:8">
      <c r="A2248" t="s">
        <v>1320</v>
      </c>
      <c r="B2248" t="s">
        <v>6677</v>
      </c>
      <c r="C2248">
        <v>25</v>
      </c>
      <c r="D2248">
        <v>1</v>
      </c>
      <c r="E2248">
        <v>1</v>
      </c>
      <c r="F2248">
        <v>240</v>
      </c>
      <c r="G2248">
        <v>1.6126000000000001E-3</v>
      </c>
      <c r="H2248" t="s">
        <v>2197</v>
      </c>
    </row>
    <row r="2249" spans="1:8">
      <c r="A2249" t="s">
        <v>4656</v>
      </c>
      <c r="B2249" t="s">
        <v>8921</v>
      </c>
      <c r="C2249">
        <v>1</v>
      </c>
      <c r="D2249">
        <v>1</v>
      </c>
      <c r="E2249">
        <v>1</v>
      </c>
      <c r="F2249">
        <v>1</v>
      </c>
      <c r="G2249">
        <v>0</v>
      </c>
      <c r="H2249" t="s">
        <v>2203</v>
      </c>
    </row>
    <row r="2250" spans="1:8">
      <c r="A2250" t="s">
        <v>6673</v>
      </c>
      <c r="B2250" t="s">
        <v>6672</v>
      </c>
      <c r="C2250">
        <v>40</v>
      </c>
      <c r="D2250">
        <v>1</v>
      </c>
      <c r="E2250">
        <v>1</v>
      </c>
      <c r="F2250">
        <v>0</v>
      </c>
      <c r="G2250">
        <v>0</v>
      </c>
      <c r="H2250" t="s">
        <v>2197</v>
      </c>
    </row>
    <row r="2251" spans="1:8">
      <c r="A2251" t="s">
        <v>4657</v>
      </c>
      <c r="B2251" t="s">
        <v>6683</v>
      </c>
      <c r="C2251">
        <v>40</v>
      </c>
      <c r="D2251">
        <v>1</v>
      </c>
      <c r="E2251">
        <v>1</v>
      </c>
      <c r="F2251">
        <v>289.75</v>
      </c>
      <c r="G2251">
        <v>8.4892500000000005E-4</v>
      </c>
      <c r="H2251" t="s">
        <v>2203</v>
      </c>
    </row>
    <row r="2252" spans="1:8">
      <c r="A2252" t="s">
        <v>1321</v>
      </c>
      <c r="B2252" t="s">
        <v>3372</v>
      </c>
      <c r="C2252">
        <v>10</v>
      </c>
      <c r="D2252">
        <v>10</v>
      </c>
      <c r="E2252">
        <v>1</v>
      </c>
      <c r="F2252">
        <v>116.5</v>
      </c>
      <c r="G2252">
        <v>3.6440000000000002E-4</v>
      </c>
      <c r="H2252" t="s">
        <v>2203</v>
      </c>
    </row>
    <row r="2253" spans="1:8">
      <c r="A2253" t="s">
        <v>9556</v>
      </c>
      <c r="B2253" t="s">
        <v>6681</v>
      </c>
      <c r="C2253">
        <v>20</v>
      </c>
      <c r="D2253">
        <v>50</v>
      </c>
      <c r="E2253">
        <v>1</v>
      </c>
      <c r="F2253">
        <v>0</v>
      </c>
      <c r="G2253">
        <v>0</v>
      </c>
      <c r="H2253" t="s">
        <v>2203</v>
      </c>
    </row>
    <row r="2254" spans="1:8">
      <c r="A2254" t="s">
        <v>9557</v>
      </c>
      <c r="B2254" t="s">
        <v>6682</v>
      </c>
      <c r="C2254">
        <v>40</v>
      </c>
      <c r="D2254">
        <v>1</v>
      </c>
      <c r="E2254">
        <v>1</v>
      </c>
      <c r="F2254">
        <v>300</v>
      </c>
      <c r="G2254">
        <v>8.3739999999999997E-4</v>
      </c>
      <c r="H2254" t="s">
        <v>2203</v>
      </c>
    </row>
    <row r="2255" spans="1:8">
      <c r="A2255" t="s">
        <v>1322</v>
      </c>
      <c r="B2255" t="s">
        <v>3374</v>
      </c>
      <c r="C2255">
        <v>40</v>
      </c>
      <c r="D2255">
        <v>1</v>
      </c>
      <c r="E2255">
        <v>1</v>
      </c>
      <c r="F2255">
        <v>603</v>
      </c>
      <c r="G2255">
        <v>1.9591999999999999E-3</v>
      </c>
      <c r="H2255" t="s">
        <v>2203</v>
      </c>
    </row>
    <row r="2256" spans="1:8">
      <c r="A2256" t="s">
        <v>1323</v>
      </c>
      <c r="B2256" t="s">
        <v>3375</v>
      </c>
      <c r="C2256">
        <v>10</v>
      </c>
      <c r="D2256">
        <v>10</v>
      </c>
      <c r="E2256">
        <v>1</v>
      </c>
      <c r="F2256">
        <v>116.5</v>
      </c>
      <c r="G2256">
        <v>3.6440624999999998E-4</v>
      </c>
      <c r="H2256" t="s">
        <v>2203</v>
      </c>
    </row>
    <row r="2257" spans="1:8">
      <c r="A2257" t="s">
        <v>4658</v>
      </c>
      <c r="B2257" t="s">
        <v>6680</v>
      </c>
      <c r="C2257">
        <v>40</v>
      </c>
      <c r="D2257">
        <v>1</v>
      </c>
      <c r="E2257">
        <v>1</v>
      </c>
      <c r="F2257">
        <v>257.5</v>
      </c>
      <c r="G2257">
        <v>9.2981249999999997E-4</v>
      </c>
      <c r="H2257" t="s">
        <v>2203</v>
      </c>
    </row>
    <row r="2258" spans="1:8">
      <c r="A2258" t="s">
        <v>1324</v>
      </c>
      <c r="B2258" t="s">
        <v>3377</v>
      </c>
      <c r="C2258">
        <v>40</v>
      </c>
      <c r="D2258">
        <v>1</v>
      </c>
      <c r="E2258">
        <v>1</v>
      </c>
      <c r="F2258">
        <v>467.75</v>
      </c>
      <c r="G2258">
        <v>1.2078E-3</v>
      </c>
      <c r="H2258" t="s">
        <v>2203</v>
      </c>
    </row>
    <row r="2259" spans="1:8">
      <c r="A2259" t="s">
        <v>9558</v>
      </c>
      <c r="B2259" t="s">
        <v>6684</v>
      </c>
      <c r="C2259">
        <v>20</v>
      </c>
      <c r="D2259">
        <v>1</v>
      </c>
      <c r="E2259">
        <v>1</v>
      </c>
      <c r="F2259">
        <v>542.5</v>
      </c>
      <c r="G2259">
        <v>1.4882999999999999E-3</v>
      </c>
      <c r="H2259" t="s">
        <v>2197</v>
      </c>
    </row>
    <row r="2260" spans="1:8">
      <c r="A2260" t="s">
        <v>6688</v>
      </c>
      <c r="B2260" t="s">
        <v>6687</v>
      </c>
      <c r="C2260">
        <v>100</v>
      </c>
      <c r="D2260">
        <v>1</v>
      </c>
      <c r="E2260">
        <v>1</v>
      </c>
      <c r="F2260">
        <v>113</v>
      </c>
      <c r="G2260">
        <v>2.7300000000000002E-4</v>
      </c>
      <c r="H2260" t="s">
        <v>2203</v>
      </c>
    </row>
    <row r="2261" spans="1:8">
      <c r="A2261" t="s">
        <v>6690</v>
      </c>
      <c r="B2261" t="s">
        <v>6689</v>
      </c>
      <c r="C2261">
        <v>20</v>
      </c>
      <c r="D2261">
        <v>1</v>
      </c>
      <c r="E2261">
        <v>1</v>
      </c>
      <c r="F2261">
        <v>1065</v>
      </c>
      <c r="G2261">
        <v>1.725E-3</v>
      </c>
      <c r="H2261" t="s">
        <v>2203</v>
      </c>
    </row>
    <row r="2262" spans="1:8">
      <c r="A2262" t="s">
        <v>6686</v>
      </c>
      <c r="B2262" t="s">
        <v>6685</v>
      </c>
      <c r="C2262">
        <v>40</v>
      </c>
      <c r="D2262">
        <v>1</v>
      </c>
      <c r="E2262">
        <v>1</v>
      </c>
      <c r="F2262">
        <v>1</v>
      </c>
      <c r="G2262">
        <v>0</v>
      </c>
      <c r="H2262" t="s">
        <v>2203</v>
      </c>
    </row>
    <row r="2263" spans="1:8">
      <c r="A2263" t="s">
        <v>6694</v>
      </c>
      <c r="B2263" t="s">
        <v>6693</v>
      </c>
      <c r="C2263">
        <v>16</v>
      </c>
      <c r="D2263">
        <v>50</v>
      </c>
      <c r="E2263">
        <v>1</v>
      </c>
      <c r="F2263">
        <v>0</v>
      </c>
      <c r="G2263">
        <v>0</v>
      </c>
      <c r="H2263" t="s">
        <v>2203</v>
      </c>
    </row>
    <row r="2264" spans="1:8">
      <c r="A2264" t="s">
        <v>6692</v>
      </c>
      <c r="B2264" t="s">
        <v>6691</v>
      </c>
      <c r="C2264">
        <v>20</v>
      </c>
      <c r="D2264">
        <v>20</v>
      </c>
      <c r="E2264">
        <v>1</v>
      </c>
      <c r="F2264">
        <v>0</v>
      </c>
      <c r="G2264">
        <v>0</v>
      </c>
      <c r="H2264" t="s">
        <v>2203</v>
      </c>
    </row>
    <row r="2265" spans="1:8">
      <c r="A2265" t="s">
        <v>4984</v>
      </c>
      <c r="B2265" t="s">
        <v>6696</v>
      </c>
      <c r="C2265">
        <v>20</v>
      </c>
      <c r="D2265">
        <v>1</v>
      </c>
      <c r="E2265">
        <v>1</v>
      </c>
      <c r="F2265">
        <v>0</v>
      </c>
      <c r="G2265">
        <v>0</v>
      </c>
      <c r="H2265" t="s">
        <v>2203</v>
      </c>
    </row>
    <row r="2266" spans="1:8">
      <c r="A2266" t="s">
        <v>4981</v>
      </c>
      <c r="B2266" t="s">
        <v>6695</v>
      </c>
      <c r="C2266">
        <v>40</v>
      </c>
      <c r="D2266">
        <v>1</v>
      </c>
      <c r="E2266">
        <v>1</v>
      </c>
      <c r="F2266">
        <v>0</v>
      </c>
      <c r="G2266">
        <v>0</v>
      </c>
      <c r="H2266" t="s">
        <v>2203</v>
      </c>
    </row>
    <row r="2267" spans="1:8">
      <c r="A2267" t="s">
        <v>4982</v>
      </c>
      <c r="B2267" t="s">
        <v>6698</v>
      </c>
      <c r="C2267">
        <v>20</v>
      </c>
      <c r="D2267">
        <v>1</v>
      </c>
      <c r="E2267">
        <v>1</v>
      </c>
      <c r="F2267">
        <v>1</v>
      </c>
      <c r="G2267">
        <v>0</v>
      </c>
      <c r="H2267" t="s">
        <v>2203</v>
      </c>
    </row>
    <row r="2268" spans="1:8">
      <c r="A2268" t="s">
        <v>4983</v>
      </c>
      <c r="B2268" t="s">
        <v>6697</v>
      </c>
      <c r="C2268">
        <v>20</v>
      </c>
      <c r="D2268">
        <v>1</v>
      </c>
      <c r="E2268">
        <v>1</v>
      </c>
      <c r="F2268">
        <v>1</v>
      </c>
      <c r="G2268">
        <v>0</v>
      </c>
      <c r="H2268" t="s">
        <v>2203</v>
      </c>
    </row>
    <row r="2269" spans="1:8">
      <c r="A2269" t="s">
        <v>1325</v>
      </c>
      <c r="B2269" t="s">
        <v>3378</v>
      </c>
      <c r="C2269">
        <v>8</v>
      </c>
      <c r="D2269">
        <v>25</v>
      </c>
      <c r="E2269">
        <v>1</v>
      </c>
      <c r="F2269">
        <v>55</v>
      </c>
      <c r="G2269">
        <v>1.805E-4</v>
      </c>
      <c r="H2269" t="s">
        <v>2203</v>
      </c>
    </row>
    <row r="2270" spans="1:8">
      <c r="A2270" t="s">
        <v>9559</v>
      </c>
      <c r="B2270" t="s">
        <v>6701</v>
      </c>
      <c r="C2270">
        <v>20</v>
      </c>
      <c r="D2270">
        <v>1</v>
      </c>
      <c r="E2270">
        <v>1</v>
      </c>
      <c r="F2270">
        <v>1147.5</v>
      </c>
      <c r="G2270">
        <v>2.5625000000000001E-3</v>
      </c>
      <c r="H2270" t="s">
        <v>2197</v>
      </c>
    </row>
    <row r="2271" spans="1:8">
      <c r="A2271" t="s">
        <v>6703</v>
      </c>
      <c r="B2271" t="s">
        <v>6702</v>
      </c>
      <c r="C2271">
        <v>20</v>
      </c>
      <c r="D2271">
        <v>1</v>
      </c>
      <c r="E2271">
        <v>1</v>
      </c>
      <c r="F2271">
        <v>1147.5</v>
      </c>
      <c r="G2271">
        <v>2.5625000000000001E-3</v>
      </c>
      <c r="H2271" t="s">
        <v>2197</v>
      </c>
    </row>
    <row r="2272" spans="1:8">
      <c r="A2272" t="s">
        <v>6709</v>
      </c>
      <c r="B2272" t="s">
        <v>6708</v>
      </c>
      <c r="C2272">
        <v>20</v>
      </c>
      <c r="D2272">
        <v>1</v>
      </c>
      <c r="E2272">
        <v>1</v>
      </c>
      <c r="F2272">
        <v>1</v>
      </c>
      <c r="G2272">
        <v>0</v>
      </c>
      <c r="H2272" t="s">
        <v>2197</v>
      </c>
    </row>
    <row r="2273" spans="1:8">
      <c r="A2273" t="s">
        <v>1326</v>
      </c>
      <c r="B2273" t="s">
        <v>3381</v>
      </c>
      <c r="C2273">
        <v>20</v>
      </c>
      <c r="D2273">
        <v>1</v>
      </c>
      <c r="E2273">
        <v>1</v>
      </c>
      <c r="F2273">
        <v>1152.5</v>
      </c>
      <c r="G2273">
        <v>2.5113000000000002E-3</v>
      </c>
      <c r="H2273" t="s">
        <v>2197</v>
      </c>
    </row>
    <row r="2274" spans="1:8">
      <c r="A2274" t="s">
        <v>6705</v>
      </c>
      <c r="B2274" t="s">
        <v>6704</v>
      </c>
      <c r="C2274">
        <v>20</v>
      </c>
      <c r="D2274">
        <v>1</v>
      </c>
      <c r="E2274">
        <v>1</v>
      </c>
      <c r="F2274">
        <v>1</v>
      </c>
      <c r="G2274">
        <v>0</v>
      </c>
      <c r="H2274" t="s">
        <v>2197</v>
      </c>
    </row>
    <row r="2275" spans="1:8">
      <c r="A2275" t="s">
        <v>6711</v>
      </c>
      <c r="B2275" t="s">
        <v>6710</v>
      </c>
      <c r="C2275">
        <v>20</v>
      </c>
      <c r="D2275">
        <v>1</v>
      </c>
      <c r="E2275">
        <v>1</v>
      </c>
      <c r="F2275">
        <v>607.5</v>
      </c>
      <c r="G2275">
        <v>1.248E-3</v>
      </c>
      <c r="H2275" t="s">
        <v>2197</v>
      </c>
    </row>
    <row r="2276" spans="1:8">
      <c r="A2276" t="s">
        <v>1327</v>
      </c>
      <c r="B2276" t="s">
        <v>3383</v>
      </c>
      <c r="C2276">
        <v>20</v>
      </c>
      <c r="D2276">
        <v>1</v>
      </c>
      <c r="E2276">
        <v>1</v>
      </c>
      <c r="F2276">
        <v>607.5</v>
      </c>
      <c r="G2276">
        <v>1.248E-3</v>
      </c>
      <c r="H2276" t="s">
        <v>2197</v>
      </c>
    </row>
    <row r="2277" spans="1:8">
      <c r="A2277" t="s">
        <v>4660</v>
      </c>
      <c r="B2277" t="s">
        <v>6699</v>
      </c>
      <c r="C2277">
        <v>40</v>
      </c>
      <c r="D2277">
        <v>1</v>
      </c>
      <c r="E2277">
        <v>1</v>
      </c>
      <c r="F2277">
        <v>281.3</v>
      </c>
      <c r="G2277">
        <v>6.7529999999999999E-4</v>
      </c>
      <c r="H2277" t="s">
        <v>2197</v>
      </c>
    </row>
    <row r="2278" spans="1:8">
      <c r="A2278" t="s">
        <v>6707</v>
      </c>
      <c r="B2278" t="s">
        <v>6706</v>
      </c>
      <c r="C2278">
        <v>40</v>
      </c>
      <c r="D2278">
        <v>1</v>
      </c>
      <c r="E2278">
        <v>1</v>
      </c>
      <c r="F2278">
        <v>1</v>
      </c>
      <c r="G2278">
        <v>0</v>
      </c>
      <c r="H2278" t="s">
        <v>2197</v>
      </c>
    </row>
    <row r="2279" spans="1:8">
      <c r="A2279" t="s">
        <v>6713</v>
      </c>
      <c r="B2279" t="s">
        <v>6712</v>
      </c>
      <c r="C2279">
        <v>40</v>
      </c>
      <c r="D2279">
        <v>1</v>
      </c>
      <c r="E2279">
        <v>1</v>
      </c>
      <c r="F2279">
        <v>281.3</v>
      </c>
      <c r="G2279">
        <v>6.7529999999999999E-4</v>
      </c>
      <c r="H2279" t="s">
        <v>2197</v>
      </c>
    </row>
    <row r="2280" spans="1:8">
      <c r="A2280" t="s">
        <v>1328</v>
      </c>
      <c r="B2280" t="s">
        <v>3384</v>
      </c>
      <c r="C2280">
        <v>40</v>
      </c>
      <c r="D2280">
        <v>1</v>
      </c>
      <c r="E2280">
        <v>1</v>
      </c>
      <c r="F2280">
        <v>323.8</v>
      </c>
      <c r="G2280">
        <v>6.7579999999999995E-4</v>
      </c>
      <c r="H2280" t="s">
        <v>2197</v>
      </c>
    </row>
    <row r="2281" spans="1:8">
      <c r="A2281" t="s">
        <v>1329</v>
      </c>
      <c r="B2281" t="s">
        <v>3385</v>
      </c>
      <c r="C2281">
        <v>50</v>
      </c>
      <c r="D2281">
        <v>1</v>
      </c>
      <c r="E2281">
        <v>1</v>
      </c>
      <c r="F2281">
        <v>0</v>
      </c>
      <c r="G2281">
        <v>0</v>
      </c>
      <c r="H2281" t="s">
        <v>2197</v>
      </c>
    </row>
    <row r="2282" spans="1:8">
      <c r="A2282" t="s">
        <v>6715</v>
      </c>
      <c r="B2282" t="s">
        <v>6714</v>
      </c>
      <c r="C2282">
        <v>50</v>
      </c>
      <c r="D2282">
        <v>1</v>
      </c>
      <c r="E2282">
        <v>1</v>
      </c>
      <c r="F2282">
        <v>1</v>
      </c>
      <c r="G2282">
        <v>0</v>
      </c>
      <c r="H2282" t="s">
        <v>2197</v>
      </c>
    </row>
    <row r="2283" spans="1:8">
      <c r="A2283" t="s">
        <v>4659</v>
      </c>
      <c r="B2283" t="s">
        <v>6700</v>
      </c>
      <c r="C2283">
        <v>50</v>
      </c>
      <c r="D2283">
        <v>1</v>
      </c>
      <c r="E2283">
        <v>1</v>
      </c>
      <c r="F2283">
        <v>84</v>
      </c>
      <c r="G2283">
        <v>2.5480000000000001E-4</v>
      </c>
      <c r="H2283" t="s">
        <v>2197</v>
      </c>
    </row>
    <row r="2284" spans="1:8">
      <c r="A2284" t="s">
        <v>6717</v>
      </c>
      <c r="B2284" t="s">
        <v>6716</v>
      </c>
      <c r="C2284">
        <v>50</v>
      </c>
      <c r="D2284">
        <v>1</v>
      </c>
      <c r="E2284">
        <v>1</v>
      </c>
      <c r="F2284">
        <v>1</v>
      </c>
      <c r="G2284">
        <v>0</v>
      </c>
      <c r="H2284" t="s">
        <v>2197</v>
      </c>
    </row>
    <row r="2285" spans="1:8">
      <c r="A2285" t="s">
        <v>8923</v>
      </c>
      <c r="B2285" t="s">
        <v>8922</v>
      </c>
      <c r="C2285">
        <v>1</v>
      </c>
      <c r="D2285">
        <v>1</v>
      </c>
      <c r="E2285">
        <v>1</v>
      </c>
      <c r="F2285">
        <v>1</v>
      </c>
      <c r="G2285">
        <v>0</v>
      </c>
      <c r="H2285" t="s">
        <v>2221</v>
      </c>
    </row>
    <row r="2286" spans="1:8">
      <c r="A2286" t="s">
        <v>8925</v>
      </c>
      <c r="B2286" t="s">
        <v>8924</v>
      </c>
      <c r="C2286">
        <v>1</v>
      </c>
      <c r="D2286">
        <v>1</v>
      </c>
      <c r="E2286">
        <v>1</v>
      </c>
      <c r="F2286">
        <v>1</v>
      </c>
      <c r="G2286">
        <v>0</v>
      </c>
      <c r="H2286" t="s">
        <v>2203</v>
      </c>
    </row>
    <row r="2287" spans="1:8">
      <c r="A2287" t="s">
        <v>8927</v>
      </c>
      <c r="B2287" t="s">
        <v>8926</v>
      </c>
      <c r="C2287">
        <v>1</v>
      </c>
      <c r="D2287">
        <v>1</v>
      </c>
      <c r="E2287">
        <v>1</v>
      </c>
      <c r="F2287">
        <v>1</v>
      </c>
      <c r="G2287">
        <v>0</v>
      </c>
      <c r="H2287" t="s">
        <v>2203</v>
      </c>
    </row>
    <row r="2288" spans="1:8">
      <c r="A2288" t="s">
        <v>6721</v>
      </c>
      <c r="B2288" t="s">
        <v>6720</v>
      </c>
      <c r="C2288">
        <v>4</v>
      </c>
      <c r="D2288">
        <v>1</v>
      </c>
      <c r="E2288">
        <v>1</v>
      </c>
      <c r="F2288">
        <v>1</v>
      </c>
      <c r="G2288">
        <v>0</v>
      </c>
      <c r="H2288" t="s">
        <v>2203</v>
      </c>
    </row>
    <row r="2289" spans="1:8">
      <c r="A2289" t="s">
        <v>6719</v>
      </c>
      <c r="B2289" t="s">
        <v>6718</v>
      </c>
      <c r="C2289">
        <v>5</v>
      </c>
      <c r="D2289">
        <v>1</v>
      </c>
      <c r="E2289">
        <v>1</v>
      </c>
      <c r="F2289">
        <v>129.83000000000001</v>
      </c>
      <c r="G2289">
        <v>0</v>
      </c>
      <c r="H2289" t="s">
        <v>2203</v>
      </c>
    </row>
    <row r="2290" spans="1:8">
      <c r="A2290" t="s">
        <v>1330</v>
      </c>
      <c r="B2290" t="s">
        <v>3386</v>
      </c>
      <c r="C2290">
        <v>100</v>
      </c>
      <c r="D2290">
        <v>1</v>
      </c>
      <c r="E2290">
        <v>1</v>
      </c>
      <c r="F2290">
        <v>81.5</v>
      </c>
      <c r="G2290">
        <v>1.638E-4</v>
      </c>
      <c r="H2290" t="s">
        <v>2197</v>
      </c>
    </row>
    <row r="2291" spans="1:8">
      <c r="A2291" t="s">
        <v>1332</v>
      </c>
      <c r="B2291" t="s">
        <v>3388</v>
      </c>
      <c r="C2291">
        <v>50</v>
      </c>
      <c r="D2291">
        <v>1</v>
      </c>
      <c r="E2291">
        <v>1</v>
      </c>
      <c r="F2291">
        <v>150</v>
      </c>
      <c r="G2291">
        <v>3.1579999999999998E-4</v>
      </c>
      <c r="H2291" t="s">
        <v>2197</v>
      </c>
    </row>
    <row r="2292" spans="1:8">
      <c r="A2292" t="s">
        <v>1336</v>
      </c>
      <c r="B2292" t="s">
        <v>3389</v>
      </c>
      <c r="C2292">
        <v>1</v>
      </c>
      <c r="D2292">
        <v>1</v>
      </c>
      <c r="E2292">
        <v>1</v>
      </c>
      <c r="F2292">
        <v>1</v>
      </c>
      <c r="G2292">
        <v>0</v>
      </c>
      <c r="H2292" t="s">
        <v>2221</v>
      </c>
    </row>
    <row r="2293" spans="1:8">
      <c r="A2293" t="s">
        <v>8947</v>
      </c>
      <c r="B2293" t="s">
        <v>8946</v>
      </c>
      <c r="C2293">
        <v>1</v>
      </c>
      <c r="D2293">
        <v>1</v>
      </c>
      <c r="E2293">
        <v>1</v>
      </c>
      <c r="F2293">
        <v>1</v>
      </c>
      <c r="G2293">
        <v>0</v>
      </c>
      <c r="H2293" t="s">
        <v>2197</v>
      </c>
    </row>
    <row r="2294" spans="1:8">
      <c r="A2294" t="s">
        <v>8949</v>
      </c>
      <c r="B2294" t="s">
        <v>8948</v>
      </c>
      <c r="C2294">
        <v>1</v>
      </c>
      <c r="D2294">
        <v>1</v>
      </c>
      <c r="E2294">
        <v>1</v>
      </c>
      <c r="F2294">
        <v>1</v>
      </c>
      <c r="G2294">
        <v>0</v>
      </c>
      <c r="H2294" t="s">
        <v>2197</v>
      </c>
    </row>
    <row r="2295" spans="1:8">
      <c r="A2295" t="s">
        <v>8941</v>
      </c>
      <c r="B2295" t="s">
        <v>8940</v>
      </c>
      <c r="C2295">
        <v>1</v>
      </c>
      <c r="D2295">
        <v>1</v>
      </c>
      <c r="E2295">
        <v>1</v>
      </c>
      <c r="F2295">
        <v>1</v>
      </c>
      <c r="G2295">
        <v>0</v>
      </c>
      <c r="H2295" t="s">
        <v>2197</v>
      </c>
    </row>
    <row r="2296" spans="1:8">
      <c r="A2296" t="s">
        <v>8939</v>
      </c>
      <c r="B2296" t="s">
        <v>8938</v>
      </c>
      <c r="C2296">
        <v>1</v>
      </c>
      <c r="D2296">
        <v>1</v>
      </c>
      <c r="E2296">
        <v>1</v>
      </c>
      <c r="F2296">
        <v>1</v>
      </c>
      <c r="G2296">
        <v>0</v>
      </c>
      <c r="H2296" t="s">
        <v>2197</v>
      </c>
    </row>
    <row r="2297" spans="1:8">
      <c r="A2297" t="s">
        <v>8955</v>
      </c>
      <c r="B2297" t="s">
        <v>8954</v>
      </c>
      <c r="C2297">
        <v>1</v>
      </c>
      <c r="D2297">
        <v>1</v>
      </c>
      <c r="E2297">
        <v>1</v>
      </c>
      <c r="F2297">
        <v>1</v>
      </c>
      <c r="G2297">
        <v>0</v>
      </c>
      <c r="H2297" t="s">
        <v>2221</v>
      </c>
    </row>
    <row r="2298" spans="1:8">
      <c r="A2298" t="s">
        <v>8945</v>
      </c>
      <c r="B2298" t="s">
        <v>8944</v>
      </c>
      <c r="C2298">
        <v>1</v>
      </c>
      <c r="D2298">
        <v>1</v>
      </c>
      <c r="E2298">
        <v>1</v>
      </c>
      <c r="F2298">
        <v>1</v>
      </c>
      <c r="G2298">
        <v>0</v>
      </c>
      <c r="H2298" t="s">
        <v>2197</v>
      </c>
    </row>
    <row r="2299" spans="1:8">
      <c r="A2299" t="s">
        <v>1337</v>
      </c>
      <c r="B2299" t="s">
        <v>3390</v>
      </c>
      <c r="C2299">
        <v>1</v>
      </c>
      <c r="D2299">
        <v>1</v>
      </c>
      <c r="E2299">
        <v>1</v>
      </c>
      <c r="F2299">
        <v>1</v>
      </c>
      <c r="G2299">
        <v>0</v>
      </c>
      <c r="H2299" t="s">
        <v>2221</v>
      </c>
    </row>
    <row r="2300" spans="1:8">
      <c r="A2300" t="s">
        <v>8957</v>
      </c>
      <c r="B2300" t="s">
        <v>8956</v>
      </c>
      <c r="C2300">
        <v>1</v>
      </c>
      <c r="D2300">
        <v>1</v>
      </c>
      <c r="E2300">
        <v>1</v>
      </c>
      <c r="F2300">
        <v>1</v>
      </c>
      <c r="G2300">
        <v>0</v>
      </c>
      <c r="H2300" t="s">
        <v>2221</v>
      </c>
    </row>
    <row r="2301" spans="1:8">
      <c r="A2301" t="s">
        <v>8929</v>
      </c>
      <c r="B2301" t="s">
        <v>8928</v>
      </c>
      <c r="C2301">
        <v>1</v>
      </c>
      <c r="D2301">
        <v>1</v>
      </c>
      <c r="E2301">
        <v>1</v>
      </c>
      <c r="F2301">
        <v>1</v>
      </c>
      <c r="G2301">
        <v>0</v>
      </c>
      <c r="H2301" t="s">
        <v>2221</v>
      </c>
    </row>
    <row r="2302" spans="1:8">
      <c r="A2302" t="s">
        <v>8931</v>
      </c>
      <c r="B2302" t="s">
        <v>8930</v>
      </c>
      <c r="C2302">
        <v>1</v>
      </c>
      <c r="D2302">
        <v>1</v>
      </c>
      <c r="E2302">
        <v>1</v>
      </c>
      <c r="F2302">
        <v>1</v>
      </c>
      <c r="G2302">
        <v>0</v>
      </c>
      <c r="H2302" t="s">
        <v>2197</v>
      </c>
    </row>
    <row r="2303" spans="1:8">
      <c r="A2303" t="s">
        <v>1338</v>
      </c>
      <c r="B2303" t="s">
        <v>3391</v>
      </c>
      <c r="C2303">
        <v>1</v>
      </c>
      <c r="D2303">
        <v>1</v>
      </c>
      <c r="E2303">
        <v>1</v>
      </c>
      <c r="F2303">
        <v>1</v>
      </c>
      <c r="G2303">
        <v>0</v>
      </c>
      <c r="H2303" t="s">
        <v>2221</v>
      </c>
    </row>
    <row r="2304" spans="1:8">
      <c r="A2304" t="s">
        <v>8951</v>
      </c>
      <c r="B2304" t="s">
        <v>8950</v>
      </c>
      <c r="C2304">
        <v>12</v>
      </c>
      <c r="D2304">
        <v>1</v>
      </c>
      <c r="E2304">
        <v>1</v>
      </c>
      <c r="F2304">
        <v>1</v>
      </c>
      <c r="G2304">
        <v>0</v>
      </c>
      <c r="H2304" t="s">
        <v>2221</v>
      </c>
    </row>
    <row r="2305" spans="1:8">
      <c r="A2305" t="s">
        <v>8943</v>
      </c>
      <c r="B2305" t="s">
        <v>8942</v>
      </c>
      <c r="C2305">
        <v>12</v>
      </c>
      <c r="D2305">
        <v>1</v>
      </c>
      <c r="E2305">
        <v>1</v>
      </c>
      <c r="F2305">
        <v>1</v>
      </c>
      <c r="G2305">
        <v>0</v>
      </c>
      <c r="H2305" t="s">
        <v>2197</v>
      </c>
    </row>
    <row r="2306" spans="1:8">
      <c r="A2306" t="s">
        <v>8953</v>
      </c>
      <c r="B2306" t="s">
        <v>8952</v>
      </c>
      <c r="C2306">
        <v>1</v>
      </c>
      <c r="D2306">
        <v>1</v>
      </c>
      <c r="E2306">
        <v>1</v>
      </c>
      <c r="F2306">
        <v>1</v>
      </c>
      <c r="G2306">
        <v>0</v>
      </c>
      <c r="H2306" t="s">
        <v>2221</v>
      </c>
    </row>
    <row r="2307" spans="1:8">
      <c r="A2307" t="s">
        <v>8933</v>
      </c>
      <c r="B2307" t="s">
        <v>8932</v>
      </c>
      <c r="C2307">
        <v>1</v>
      </c>
      <c r="D2307">
        <v>1</v>
      </c>
      <c r="E2307">
        <v>1</v>
      </c>
      <c r="F2307">
        <v>1</v>
      </c>
      <c r="G2307">
        <v>0</v>
      </c>
      <c r="H2307" t="s">
        <v>2221</v>
      </c>
    </row>
    <row r="2308" spans="1:8">
      <c r="A2308" t="s">
        <v>8959</v>
      </c>
      <c r="B2308" t="s">
        <v>8958</v>
      </c>
      <c r="C2308">
        <v>1</v>
      </c>
      <c r="D2308">
        <v>1</v>
      </c>
      <c r="E2308">
        <v>1</v>
      </c>
      <c r="F2308">
        <v>1</v>
      </c>
      <c r="G2308">
        <v>0</v>
      </c>
      <c r="H2308" t="s">
        <v>2221</v>
      </c>
    </row>
    <row r="2309" spans="1:8">
      <c r="A2309" t="s">
        <v>8935</v>
      </c>
      <c r="B2309" t="s">
        <v>8934</v>
      </c>
      <c r="C2309">
        <v>1</v>
      </c>
      <c r="D2309">
        <v>1</v>
      </c>
      <c r="E2309">
        <v>1</v>
      </c>
      <c r="F2309">
        <v>1</v>
      </c>
      <c r="G2309">
        <v>0</v>
      </c>
      <c r="H2309" t="s">
        <v>2197</v>
      </c>
    </row>
    <row r="2310" spans="1:8">
      <c r="A2310" t="s">
        <v>8937</v>
      </c>
      <c r="B2310" t="s">
        <v>8936</v>
      </c>
      <c r="C2310">
        <v>1</v>
      </c>
      <c r="D2310">
        <v>1</v>
      </c>
      <c r="E2310">
        <v>1</v>
      </c>
      <c r="F2310">
        <v>1</v>
      </c>
      <c r="G2310">
        <v>0</v>
      </c>
      <c r="H2310" t="s">
        <v>2197</v>
      </c>
    </row>
    <row r="2311" spans="1:8">
      <c r="A2311" t="s">
        <v>8961</v>
      </c>
      <c r="B2311" t="s">
        <v>8960</v>
      </c>
      <c r="C2311">
        <v>1</v>
      </c>
      <c r="D2311">
        <v>1</v>
      </c>
      <c r="E2311">
        <v>1</v>
      </c>
      <c r="F2311">
        <v>1</v>
      </c>
      <c r="G2311">
        <v>0</v>
      </c>
      <c r="H2311" t="s">
        <v>2197</v>
      </c>
    </row>
    <row r="2312" spans="1:8">
      <c r="A2312" t="s">
        <v>4661</v>
      </c>
      <c r="B2312" t="s">
        <v>6722</v>
      </c>
      <c r="C2312">
        <v>10</v>
      </c>
      <c r="D2312">
        <v>10</v>
      </c>
      <c r="E2312">
        <v>1</v>
      </c>
      <c r="F2312">
        <v>0</v>
      </c>
      <c r="G2312">
        <v>0</v>
      </c>
      <c r="H2312" t="s">
        <v>2203</v>
      </c>
    </row>
    <row r="2313" spans="1:8">
      <c r="A2313" t="s">
        <v>6724</v>
      </c>
      <c r="B2313" t="s">
        <v>6723</v>
      </c>
      <c r="C2313">
        <v>20</v>
      </c>
      <c r="D2313">
        <v>1</v>
      </c>
      <c r="E2313">
        <v>1</v>
      </c>
      <c r="F2313">
        <v>0</v>
      </c>
      <c r="G2313">
        <v>0</v>
      </c>
      <c r="H2313" t="s">
        <v>2203</v>
      </c>
    </row>
    <row r="2314" spans="1:8">
      <c r="A2314" t="s">
        <v>1339</v>
      </c>
      <c r="B2314" t="s">
        <v>3392</v>
      </c>
      <c r="C2314">
        <v>20</v>
      </c>
      <c r="D2314">
        <v>5</v>
      </c>
      <c r="E2314">
        <v>1</v>
      </c>
      <c r="F2314">
        <v>116</v>
      </c>
      <c r="G2314">
        <v>4.6509999999999998E-4</v>
      </c>
      <c r="H2314" t="s">
        <v>2203</v>
      </c>
    </row>
    <row r="2315" spans="1:8">
      <c r="A2315" t="s">
        <v>1340</v>
      </c>
      <c r="B2315" t="s">
        <v>3394</v>
      </c>
      <c r="C2315">
        <v>20</v>
      </c>
      <c r="D2315">
        <v>1</v>
      </c>
      <c r="E2315">
        <v>1</v>
      </c>
      <c r="F2315">
        <v>597.5</v>
      </c>
      <c r="G2315">
        <v>2.862E-3</v>
      </c>
      <c r="H2315" t="s">
        <v>2203</v>
      </c>
    </row>
    <row r="2316" spans="1:8">
      <c r="A2316" t="s">
        <v>6726</v>
      </c>
      <c r="B2316" t="s">
        <v>6725</v>
      </c>
      <c r="C2316">
        <v>100</v>
      </c>
      <c r="D2316">
        <v>1</v>
      </c>
      <c r="E2316">
        <v>1</v>
      </c>
      <c r="F2316">
        <v>137.5</v>
      </c>
      <c r="G2316">
        <v>5.1380000000000002E-4</v>
      </c>
      <c r="H2316" t="s">
        <v>2203</v>
      </c>
    </row>
    <row r="2317" spans="1:8">
      <c r="A2317" t="s">
        <v>6728</v>
      </c>
      <c r="B2317" t="s">
        <v>6727</v>
      </c>
      <c r="C2317">
        <v>25</v>
      </c>
      <c r="D2317">
        <v>1</v>
      </c>
      <c r="E2317">
        <v>1</v>
      </c>
      <c r="F2317">
        <v>462</v>
      </c>
      <c r="G2317">
        <v>1.5820000000000001E-3</v>
      </c>
      <c r="H2317" t="s">
        <v>2203</v>
      </c>
    </row>
    <row r="2318" spans="1:8">
      <c r="A2318" t="s">
        <v>6730</v>
      </c>
      <c r="B2318" t="s">
        <v>6729</v>
      </c>
      <c r="C2318">
        <v>50</v>
      </c>
      <c r="D2318">
        <v>1</v>
      </c>
      <c r="E2318">
        <v>1</v>
      </c>
      <c r="F2318">
        <v>1</v>
      </c>
      <c r="G2318">
        <v>0</v>
      </c>
      <c r="H2318" t="s">
        <v>2197</v>
      </c>
    </row>
    <row r="2319" spans="1:8">
      <c r="A2319" t="s">
        <v>6736</v>
      </c>
      <c r="B2319" t="s">
        <v>6735</v>
      </c>
      <c r="C2319">
        <v>10</v>
      </c>
      <c r="D2319">
        <v>1</v>
      </c>
      <c r="E2319">
        <v>1</v>
      </c>
      <c r="F2319">
        <v>1375</v>
      </c>
      <c r="G2319">
        <v>1.6595E-3</v>
      </c>
      <c r="H2319" t="s">
        <v>2197</v>
      </c>
    </row>
    <row r="2320" spans="1:8">
      <c r="A2320" t="s">
        <v>6734</v>
      </c>
      <c r="B2320" t="s">
        <v>6733</v>
      </c>
      <c r="C2320">
        <v>15</v>
      </c>
      <c r="D2320">
        <v>1</v>
      </c>
      <c r="E2320">
        <v>1</v>
      </c>
      <c r="F2320">
        <v>1000</v>
      </c>
      <c r="G2320">
        <v>0</v>
      </c>
      <c r="H2320" t="s">
        <v>2197</v>
      </c>
    </row>
    <row r="2321" spans="1:8">
      <c r="A2321" t="s">
        <v>6732</v>
      </c>
      <c r="B2321" t="s">
        <v>6731</v>
      </c>
      <c r="C2321">
        <v>20</v>
      </c>
      <c r="D2321">
        <v>1</v>
      </c>
      <c r="E2321">
        <v>1</v>
      </c>
      <c r="F2321">
        <v>500</v>
      </c>
      <c r="G2321">
        <v>0</v>
      </c>
      <c r="H2321" t="s">
        <v>2197</v>
      </c>
    </row>
    <row r="2322" spans="1:8">
      <c r="A2322" t="s">
        <v>6738</v>
      </c>
      <c r="B2322" t="s">
        <v>6737</v>
      </c>
      <c r="C2322">
        <v>20</v>
      </c>
      <c r="D2322">
        <v>1</v>
      </c>
      <c r="E2322">
        <v>1</v>
      </c>
      <c r="F2322">
        <v>1</v>
      </c>
      <c r="G2322">
        <v>0</v>
      </c>
      <c r="H2322" t="s">
        <v>2203</v>
      </c>
    </row>
    <row r="2323" spans="1:8">
      <c r="A2323" t="s">
        <v>1341</v>
      </c>
      <c r="B2323" t="s">
        <v>3395</v>
      </c>
      <c r="C2323">
        <v>20</v>
      </c>
      <c r="D2323">
        <v>1</v>
      </c>
      <c r="E2323">
        <v>1</v>
      </c>
      <c r="F2323">
        <v>1037.5</v>
      </c>
      <c r="G2323">
        <v>1.2597000000000001E-3</v>
      </c>
      <c r="H2323" t="s">
        <v>2203</v>
      </c>
    </row>
    <row r="2324" spans="1:8">
      <c r="A2324" t="s">
        <v>6740</v>
      </c>
      <c r="B2324" t="s">
        <v>6739</v>
      </c>
      <c r="C2324">
        <v>10</v>
      </c>
      <c r="D2324">
        <v>20</v>
      </c>
      <c r="E2324">
        <v>1</v>
      </c>
      <c r="F2324">
        <v>12.3</v>
      </c>
      <c r="G2324" s="4">
        <v>7.7299999999999995E-5</v>
      </c>
      <c r="H2324" t="s">
        <v>2203</v>
      </c>
    </row>
    <row r="2325" spans="1:8">
      <c r="A2325" t="s">
        <v>1342</v>
      </c>
      <c r="B2325" t="s">
        <v>3397</v>
      </c>
      <c r="C2325">
        <v>1</v>
      </c>
      <c r="D2325">
        <v>1</v>
      </c>
      <c r="E2325">
        <v>1</v>
      </c>
      <c r="F2325">
        <v>25190</v>
      </c>
      <c r="G2325">
        <v>1.8559124999999999E-2</v>
      </c>
      <c r="H2325" t="s">
        <v>2303</v>
      </c>
    </row>
    <row r="2326" spans="1:8">
      <c r="A2326" t="s">
        <v>1343</v>
      </c>
      <c r="B2326" t="s">
        <v>3399</v>
      </c>
      <c r="C2326">
        <v>20</v>
      </c>
      <c r="D2326">
        <v>1</v>
      </c>
      <c r="E2326">
        <v>1</v>
      </c>
      <c r="F2326">
        <v>1385</v>
      </c>
      <c r="G2326">
        <v>2.2477999999999999E-3</v>
      </c>
      <c r="H2326" t="s">
        <v>2197</v>
      </c>
    </row>
    <row r="2327" spans="1:8">
      <c r="A2327" t="s">
        <v>1344</v>
      </c>
      <c r="B2327" t="s">
        <v>3400</v>
      </c>
      <c r="C2327">
        <v>20</v>
      </c>
      <c r="D2327">
        <v>1</v>
      </c>
      <c r="E2327">
        <v>1</v>
      </c>
      <c r="F2327">
        <v>622.5</v>
      </c>
      <c r="G2327">
        <v>1.2957999999999999E-3</v>
      </c>
      <c r="H2327" t="s">
        <v>2197</v>
      </c>
    </row>
    <row r="2328" spans="1:8">
      <c r="A2328" t="s">
        <v>9560</v>
      </c>
      <c r="B2328" t="s">
        <v>6742</v>
      </c>
      <c r="C2328">
        <v>1</v>
      </c>
      <c r="D2328">
        <v>1</v>
      </c>
      <c r="E2328">
        <v>1</v>
      </c>
      <c r="F2328">
        <v>205000</v>
      </c>
      <c r="G2328">
        <v>0.31285200000000002</v>
      </c>
      <c r="H2328" t="s">
        <v>4806</v>
      </c>
    </row>
    <row r="2329" spans="1:8">
      <c r="A2329" t="s">
        <v>9561</v>
      </c>
      <c r="B2329" t="s">
        <v>6741</v>
      </c>
      <c r="C2329">
        <v>30</v>
      </c>
      <c r="D2329">
        <v>1</v>
      </c>
      <c r="E2329">
        <v>1</v>
      </c>
      <c r="F2329">
        <v>314</v>
      </c>
      <c r="G2329">
        <v>7.9333333333333296E-4</v>
      </c>
      <c r="H2329" t="s">
        <v>2197</v>
      </c>
    </row>
    <row r="2330" spans="1:8">
      <c r="A2330" t="s">
        <v>1345</v>
      </c>
      <c r="B2330" t="s">
        <v>3401</v>
      </c>
      <c r="C2330">
        <v>4</v>
      </c>
      <c r="D2330">
        <v>1</v>
      </c>
      <c r="E2330">
        <v>1</v>
      </c>
      <c r="F2330">
        <v>6712.5</v>
      </c>
      <c r="G2330">
        <v>8.1054999999999999E-3</v>
      </c>
      <c r="H2330" t="s">
        <v>2307</v>
      </c>
    </row>
    <row r="2331" spans="1:8">
      <c r="A2331" t="s">
        <v>1346</v>
      </c>
      <c r="B2331" t="s">
        <v>3402</v>
      </c>
      <c r="C2331">
        <v>40</v>
      </c>
      <c r="D2331">
        <v>1</v>
      </c>
      <c r="E2331">
        <v>1</v>
      </c>
      <c r="F2331">
        <v>315</v>
      </c>
      <c r="G2331">
        <v>7.5140000000000005E-4</v>
      </c>
      <c r="H2331" t="s">
        <v>2197</v>
      </c>
    </row>
    <row r="2332" spans="1:8">
      <c r="A2332" t="s">
        <v>6744</v>
      </c>
      <c r="B2332" t="s">
        <v>6743</v>
      </c>
      <c r="C2332">
        <v>50</v>
      </c>
      <c r="D2332">
        <v>1</v>
      </c>
      <c r="E2332">
        <v>1</v>
      </c>
      <c r="F2332">
        <v>1</v>
      </c>
      <c r="G2332">
        <v>0</v>
      </c>
      <c r="H2332" t="s">
        <v>2197</v>
      </c>
    </row>
    <row r="2333" spans="1:8">
      <c r="A2333" t="s">
        <v>9562</v>
      </c>
      <c r="B2333" t="s">
        <v>6745</v>
      </c>
      <c r="C2333">
        <v>100</v>
      </c>
      <c r="D2333">
        <v>1</v>
      </c>
      <c r="E2333">
        <v>1</v>
      </c>
      <c r="F2333">
        <v>117</v>
      </c>
      <c r="G2333">
        <v>3.2479999999999998E-4</v>
      </c>
      <c r="H2333" t="s">
        <v>2203</v>
      </c>
    </row>
    <row r="2334" spans="1:8">
      <c r="A2334" t="s">
        <v>1347</v>
      </c>
      <c r="B2334" t="s">
        <v>3403</v>
      </c>
      <c r="C2334">
        <v>100</v>
      </c>
      <c r="D2334">
        <v>1</v>
      </c>
      <c r="E2334">
        <v>1</v>
      </c>
      <c r="F2334">
        <v>1</v>
      </c>
      <c r="G2334">
        <v>0</v>
      </c>
      <c r="H2334" t="s">
        <v>2203</v>
      </c>
    </row>
    <row r="2335" spans="1:8">
      <c r="A2335" t="s">
        <v>9563</v>
      </c>
      <c r="B2335" t="s">
        <v>6746</v>
      </c>
      <c r="C2335">
        <v>40</v>
      </c>
      <c r="D2335">
        <v>1</v>
      </c>
      <c r="E2335">
        <v>1</v>
      </c>
      <c r="F2335">
        <v>246.3</v>
      </c>
      <c r="G2335">
        <v>9.3530000000000002E-4</v>
      </c>
      <c r="H2335" t="s">
        <v>2203</v>
      </c>
    </row>
    <row r="2336" spans="1:8">
      <c r="A2336" t="s">
        <v>1348</v>
      </c>
      <c r="B2336" t="s">
        <v>3405</v>
      </c>
      <c r="C2336">
        <v>40</v>
      </c>
      <c r="D2336">
        <v>1</v>
      </c>
      <c r="E2336">
        <v>1</v>
      </c>
      <c r="F2336">
        <v>463.8</v>
      </c>
      <c r="G2336">
        <v>1.32E-3</v>
      </c>
      <c r="H2336" t="s">
        <v>2203</v>
      </c>
    </row>
    <row r="2337" spans="1:8">
      <c r="A2337" t="s">
        <v>9564</v>
      </c>
      <c r="B2337" t="s">
        <v>6749</v>
      </c>
      <c r="C2337">
        <v>20</v>
      </c>
      <c r="D2337">
        <v>1</v>
      </c>
      <c r="E2337">
        <v>1</v>
      </c>
      <c r="F2337">
        <v>570</v>
      </c>
      <c r="G2337">
        <v>1.32E-3</v>
      </c>
      <c r="H2337" t="s">
        <v>2197</v>
      </c>
    </row>
    <row r="2338" spans="1:8">
      <c r="A2338" t="s">
        <v>9565</v>
      </c>
      <c r="B2338" t="s">
        <v>6747</v>
      </c>
      <c r="C2338">
        <v>40</v>
      </c>
      <c r="D2338">
        <v>1</v>
      </c>
      <c r="E2338">
        <v>1</v>
      </c>
      <c r="F2338">
        <v>312.5</v>
      </c>
      <c r="G2338">
        <v>6.6239999999999995E-4</v>
      </c>
      <c r="H2338" t="s">
        <v>2197</v>
      </c>
    </row>
    <row r="2339" spans="1:8">
      <c r="A2339" t="s">
        <v>9566</v>
      </c>
      <c r="B2339" t="s">
        <v>6748</v>
      </c>
      <c r="C2339">
        <v>50</v>
      </c>
      <c r="D2339">
        <v>1</v>
      </c>
      <c r="E2339">
        <v>1</v>
      </c>
      <c r="F2339">
        <v>132</v>
      </c>
      <c r="G2339">
        <v>4.0067999999999999E-4</v>
      </c>
      <c r="H2339" t="s">
        <v>2197</v>
      </c>
    </row>
    <row r="2340" spans="1:8">
      <c r="A2340" t="s">
        <v>9566</v>
      </c>
      <c r="B2340" t="s">
        <v>4662</v>
      </c>
      <c r="C2340">
        <v>50</v>
      </c>
      <c r="D2340">
        <v>1</v>
      </c>
      <c r="E2340">
        <v>1</v>
      </c>
      <c r="F2340">
        <v>132</v>
      </c>
      <c r="G2340">
        <v>4.0067999999999999E-4</v>
      </c>
      <c r="H2340" t="s">
        <v>2197</v>
      </c>
    </row>
    <row r="2341" spans="1:8">
      <c r="A2341" t="s">
        <v>1349</v>
      </c>
      <c r="B2341" t="s">
        <v>3406</v>
      </c>
      <c r="C2341">
        <v>50</v>
      </c>
      <c r="D2341">
        <v>1</v>
      </c>
      <c r="E2341">
        <v>1</v>
      </c>
      <c r="F2341">
        <v>132</v>
      </c>
      <c r="G2341">
        <v>0</v>
      </c>
      <c r="H2341" t="s">
        <v>2197</v>
      </c>
    </row>
    <row r="2342" spans="1:8">
      <c r="A2342" t="s">
        <v>9567</v>
      </c>
      <c r="B2342" t="s">
        <v>6753</v>
      </c>
      <c r="C2342">
        <v>1</v>
      </c>
      <c r="D2342">
        <v>1</v>
      </c>
      <c r="E2342">
        <v>1</v>
      </c>
      <c r="F2342">
        <v>51000</v>
      </c>
      <c r="G2342">
        <v>0.05</v>
      </c>
      <c r="H2342" t="s">
        <v>2994</v>
      </c>
    </row>
    <row r="2343" spans="1:8">
      <c r="A2343" t="s">
        <v>6751</v>
      </c>
      <c r="B2343" t="s">
        <v>6750</v>
      </c>
      <c r="C2343">
        <v>10</v>
      </c>
      <c r="D2343">
        <v>1</v>
      </c>
      <c r="E2343">
        <v>1</v>
      </c>
      <c r="F2343">
        <v>0</v>
      </c>
      <c r="G2343">
        <v>0</v>
      </c>
      <c r="H2343" t="s">
        <v>2203</v>
      </c>
    </row>
    <row r="2344" spans="1:8">
      <c r="A2344" t="s">
        <v>4985</v>
      </c>
      <c r="B2344" t="s">
        <v>6752</v>
      </c>
      <c r="C2344">
        <v>1</v>
      </c>
      <c r="D2344">
        <v>1</v>
      </c>
      <c r="E2344">
        <v>1</v>
      </c>
      <c r="F2344">
        <v>51000</v>
      </c>
      <c r="G2344">
        <v>5.3999999999999999E-2</v>
      </c>
      <c r="H2344" t="s">
        <v>2994</v>
      </c>
    </row>
    <row r="2345" spans="1:8">
      <c r="A2345" t="s">
        <v>4663</v>
      </c>
      <c r="B2345" t="s">
        <v>6754</v>
      </c>
      <c r="C2345">
        <v>20</v>
      </c>
      <c r="D2345">
        <v>1</v>
      </c>
      <c r="E2345">
        <v>1</v>
      </c>
      <c r="F2345">
        <v>156</v>
      </c>
      <c r="G2345">
        <v>4.0020000000000002E-4</v>
      </c>
      <c r="H2345" t="s">
        <v>2197</v>
      </c>
    </row>
    <row r="2346" spans="1:8">
      <c r="A2346" t="s">
        <v>1350</v>
      </c>
      <c r="B2346" t="s">
        <v>3408</v>
      </c>
      <c r="C2346">
        <v>20</v>
      </c>
      <c r="D2346">
        <v>1</v>
      </c>
      <c r="E2346">
        <v>1</v>
      </c>
      <c r="F2346">
        <v>460</v>
      </c>
      <c r="G2346">
        <v>1.1856E-3</v>
      </c>
      <c r="H2346" t="s">
        <v>2197</v>
      </c>
    </row>
    <row r="2347" spans="1:8">
      <c r="A2347" t="s">
        <v>1352</v>
      </c>
      <c r="B2347" t="s">
        <v>3410</v>
      </c>
      <c r="C2347">
        <v>48</v>
      </c>
      <c r="D2347">
        <v>1</v>
      </c>
      <c r="E2347">
        <v>1</v>
      </c>
      <c r="F2347">
        <v>125</v>
      </c>
      <c r="G2347">
        <v>2.8880000000000003E-4</v>
      </c>
      <c r="H2347" t="s">
        <v>2197</v>
      </c>
    </row>
    <row r="2348" spans="1:8">
      <c r="A2348" t="s">
        <v>4664</v>
      </c>
      <c r="B2348" t="s">
        <v>6755</v>
      </c>
      <c r="C2348">
        <v>100</v>
      </c>
      <c r="D2348">
        <v>1</v>
      </c>
      <c r="E2348">
        <v>1</v>
      </c>
      <c r="F2348">
        <v>144.19999999999999</v>
      </c>
      <c r="G2348">
        <v>2.683125E-4</v>
      </c>
      <c r="H2348" t="s">
        <v>2197</v>
      </c>
    </row>
    <row r="2349" spans="1:8">
      <c r="A2349" t="s">
        <v>4665</v>
      </c>
      <c r="B2349" t="s">
        <v>6756</v>
      </c>
      <c r="C2349">
        <v>100</v>
      </c>
      <c r="D2349">
        <v>1</v>
      </c>
      <c r="E2349">
        <v>1</v>
      </c>
      <c r="F2349">
        <v>83.2</v>
      </c>
      <c r="G2349">
        <v>2.0474999999999999E-4</v>
      </c>
      <c r="H2349" t="s">
        <v>2197</v>
      </c>
    </row>
    <row r="2350" spans="1:8">
      <c r="A2350" t="s">
        <v>1354</v>
      </c>
      <c r="B2350" t="s">
        <v>3411</v>
      </c>
      <c r="C2350">
        <v>50</v>
      </c>
      <c r="D2350">
        <v>1</v>
      </c>
      <c r="E2350">
        <v>1</v>
      </c>
      <c r="F2350">
        <v>152</v>
      </c>
      <c r="G2350">
        <v>3.0909999999999998E-4</v>
      </c>
      <c r="H2350" t="s">
        <v>2197</v>
      </c>
    </row>
    <row r="2351" spans="1:8">
      <c r="A2351" t="s">
        <v>6758</v>
      </c>
      <c r="B2351" t="s">
        <v>6757</v>
      </c>
      <c r="C2351">
        <v>50</v>
      </c>
      <c r="D2351">
        <v>1</v>
      </c>
      <c r="E2351">
        <v>1</v>
      </c>
      <c r="F2351">
        <v>84</v>
      </c>
      <c r="G2351">
        <v>2.429E-4</v>
      </c>
      <c r="H2351" t="s">
        <v>2197</v>
      </c>
    </row>
    <row r="2352" spans="1:8">
      <c r="A2352" t="s">
        <v>9568</v>
      </c>
      <c r="B2352" t="s">
        <v>6759</v>
      </c>
      <c r="C2352">
        <v>20</v>
      </c>
      <c r="D2352">
        <v>1</v>
      </c>
      <c r="E2352">
        <v>1</v>
      </c>
      <c r="F2352">
        <v>465</v>
      </c>
      <c r="G2352">
        <v>1.6199999999999999E-3</v>
      </c>
      <c r="H2352" t="s">
        <v>2203</v>
      </c>
    </row>
    <row r="2353" spans="1:8">
      <c r="A2353" t="s">
        <v>6761</v>
      </c>
      <c r="B2353" t="s">
        <v>6760</v>
      </c>
      <c r="C2353">
        <v>50</v>
      </c>
      <c r="D2353">
        <v>1</v>
      </c>
      <c r="E2353">
        <v>1</v>
      </c>
      <c r="F2353">
        <v>0</v>
      </c>
      <c r="G2353">
        <v>0</v>
      </c>
      <c r="H2353" t="s">
        <v>2197</v>
      </c>
    </row>
    <row r="2354" spans="1:8">
      <c r="A2354" t="s">
        <v>1356</v>
      </c>
      <c r="B2354" t="s">
        <v>3412</v>
      </c>
      <c r="C2354">
        <v>30</v>
      </c>
      <c r="D2354">
        <v>1</v>
      </c>
      <c r="E2354">
        <v>1</v>
      </c>
      <c r="F2354">
        <v>436.7</v>
      </c>
      <c r="G2354">
        <v>8.9400000000000005E-4</v>
      </c>
      <c r="H2354" t="s">
        <v>2197</v>
      </c>
    </row>
    <row r="2355" spans="1:8">
      <c r="A2355" t="s">
        <v>1357</v>
      </c>
      <c r="B2355" t="s">
        <v>3413</v>
      </c>
      <c r="C2355">
        <v>1</v>
      </c>
      <c r="D2355">
        <v>1</v>
      </c>
      <c r="E2355">
        <v>1</v>
      </c>
      <c r="F2355">
        <v>1050</v>
      </c>
      <c r="G2355">
        <v>1.7979999999999999E-3</v>
      </c>
      <c r="H2355" t="s">
        <v>2203</v>
      </c>
    </row>
    <row r="2356" spans="1:8">
      <c r="A2356" t="s">
        <v>6834</v>
      </c>
      <c r="B2356" t="s">
        <v>6833</v>
      </c>
      <c r="C2356">
        <v>1</v>
      </c>
      <c r="D2356">
        <v>1</v>
      </c>
      <c r="E2356">
        <v>1</v>
      </c>
      <c r="F2356">
        <v>6050</v>
      </c>
      <c r="G2356">
        <v>1.7979999999999999E-3</v>
      </c>
      <c r="H2356" t="s">
        <v>3417</v>
      </c>
    </row>
    <row r="2357" spans="1:8">
      <c r="A2357" t="s">
        <v>6820</v>
      </c>
      <c r="B2357" t="s">
        <v>6819</v>
      </c>
      <c r="C2357">
        <v>1</v>
      </c>
      <c r="D2357">
        <v>1</v>
      </c>
      <c r="E2357">
        <v>1</v>
      </c>
      <c r="F2357">
        <v>1350</v>
      </c>
      <c r="G2357">
        <v>1.562E-3</v>
      </c>
      <c r="H2357" t="s">
        <v>2203</v>
      </c>
    </row>
    <row r="2358" spans="1:8">
      <c r="A2358" t="s">
        <v>6764</v>
      </c>
      <c r="B2358" t="s">
        <v>6763</v>
      </c>
      <c r="C2358">
        <v>1</v>
      </c>
      <c r="D2358">
        <v>1</v>
      </c>
      <c r="E2358">
        <v>1</v>
      </c>
      <c r="F2358">
        <v>1</v>
      </c>
      <c r="G2358">
        <v>0</v>
      </c>
      <c r="H2358" t="s">
        <v>3417</v>
      </c>
    </row>
    <row r="2359" spans="1:8">
      <c r="A2359" t="s">
        <v>6822</v>
      </c>
      <c r="B2359" t="s">
        <v>6821</v>
      </c>
      <c r="C2359">
        <v>1</v>
      </c>
      <c r="D2359">
        <v>1</v>
      </c>
      <c r="E2359">
        <v>1</v>
      </c>
      <c r="F2359">
        <v>1350</v>
      </c>
      <c r="G2359">
        <v>1.106E-3</v>
      </c>
      <c r="H2359" t="s">
        <v>3417</v>
      </c>
    </row>
    <row r="2360" spans="1:8">
      <c r="A2360" t="s">
        <v>6824</v>
      </c>
      <c r="B2360" t="s">
        <v>6823</v>
      </c>
      <c r="C2360">
        <v>1</v>
      </c>
      <c r="D2360">
        <v>1</v>
      </c>
      <c r="E2360">
        <v>1</v>
      </c>
      <c r="F2360">
        <v>1350</v>
      </c>
      <c r="G2360">
        <v>1.1620000000000001E-3</v>
      </c>
      <c r="H2360" t="s">
        <v>3417</v>
      </c>
    </row>
    <row r="2361" spans="1:8">
      <c r="A2361" t="s">
        <v>4667</v>
      </c>
      <c r="B2361" t="s">
        <v>6762</v>
      </c>
      <c r="C2361">
        <v>1</v>
      </c>
      <c r="D2361">
        <v>1</v>
      </c>
      <c r="E2361">
        <v>1</v>
      </c>
      <c r="F2361">
        <v>19400</v>
      </c>
      <c r="G2361">
        <v>3.1739999999999997E-2</v>
      </c>
      <c r="H2361" t="s">
        <v>3417</v>
      </c>
    </row>
    <row r="2362" spans="1:8">
      <c r="A2362" t="s">
        <v>1358</v>
      </c>
      <c r="B2362" t="s">
        <v>3416</v>
      </c>
      <c r="C2362">
        <v>1</v>
      </c>
      <c r="D2362">
        <v>1</v>
      </c>
      <c r="E2362">
        <v>1</v>
      </c>
      <c r="F2362">
        <v>10350</v>
      </c>
      <c r="G2362">
        <v>1.9439999999999999E-2</v>
      </c>
      <c r="H2362" t="s">
        <v>3417</v>
      </c>
    </row>
    <row r="2363" spans="1:8">
      <c r="A2363" t="s">
        <v>1360</v>
      </c>
      <c r="B2363" t="s">
        <v>3419</v>
      </c>
      <c r="C2363">
        <v>1</v>
      </c>
      <c r="D2363">
        <v>1</v>
      </c>
      <c r="E2363">
        <v>1</v>
      </c>
      <c r="F2363">
        <v>21500</v>
      </c>
      <c r="G2363">
        <v>2.8799999999999999E-2</v>
      </c>
      <c r="H2363" t="s">
        <v>3417</v>
      </c>
    </row>
    <row r="2364" spans="1:8">
      <c r="A2364" t="s">
        <v>1361</v>
      </c>
      <c r="B2364" t="s">
        <v>3421</v>
      </c>
      <c r="C2364">
        <v>1</v>
      </c>
      <c r="D2364">
        <v>1</v>
      </c>
      <c r="E2364">
        <v>1</v>
      </c>
      <c r="F2364">
        <v>1</v>
      </c>
      <c r="G2364">
        <v>0</v>
      </c>
      <c r="H2364" t="s">
        <v>3417</v>
      </c>
    </row>
    <row r="2365" spans="1:8">
      <c r="A2365" t="s">
        <v>1362</v>
      </c>
      <c r="B2365" t="s">
        <v>3422</v>
      </c>
      <c r="C2365">
        <v>1</v>
      </c>
      <c r="D2365">
        <v>1</v>
      </c>
      <c r="E2365">
        <v>1</v>
      </c>
      <c r="F2365">
        <v>9600</v>
      </c>
      <c r="G2365">
        <v>1.6199999999999999E-2</v>
      </c>
      <c r="H2365" t="s">
        <v>3417</v>
      </c>
    </row>
    <row r="2366" spans="1:8">
      <c r="A2366" t="s">
        <v>1363</v>
      </c>
      <c r="B2366" t="s">
        <v>3423</v>
      </c>
      <c r="C2366">
        <v>1</v>
      </c>
      <c r="D2366">
        <v>1</v>
      </c>
      <c r="E2366">
        <v>1</v>
      </c>
      <c r="F2366">
        <v>19400</v>
      </c>
      <c r="G2366">
        <v>3.1740000000000002E-3</v>
      </c>
      <c r="H2366" t="s">
        <v>3417</v>
      </c>
    </row>
    <row r="2367" spans="1:8">
      <c r="A2367" t="s">
        <v>1364</v>
      </c>
      <c r="B2367" t="s">
        <v>3424</v>
      </c>
      <c r="C2367">
        <v>1</v>
      </c>
      <c r="D2367">
        <v>1</v>
      </c>
      <c r="E2367">
        <v>1</v>
      </c>
      <c r="F2367">
        <v>10350</v>
      </c>
      <c r="G2367">
        <v>1.9439999999999999E-2</v>
      </c>
      <c r="H2367" t="s">
        <v>3417</v>
      </c>
    </row>
    <row r="2368" spans="1:8">
      <c r="A2368" t="s">
        <v>9569</v>
      </c>
      <c r="B2368" t="s">
        <v>6849</v>
      </c>
      <c r="C2368">
        <v>1</v>
      </c>
      <c r="D2368">
        <v>1</v>
      </c>
      <c r="E2368">
        <v>1</v>
      </c>
      <c r="F2368">
        <v>19100</v>
      </c>
      <c r="G2368">
        <v>2.9159999999999998E-2</v>
      </c>
      <c r="H2368" t="s">
        <v>3417</v>
      </c>
    </row>
    <row r="2369" spans="1:8">
      <c r="A2369" t="s">
        <v>9570</v>
      </c>
      <c r="B2369" t="s">
        <v>6771</v>
      </c>
      <c r="C2369">
        <v>1</v>
      </c>
      <c r="D2369">
        <v>1</v>
      </c>
      <c r="E2369">
        <v>1</v>
      </c>
      <c r="F2369">
        <v>1</v>
      </c>
      <c r="G2369">
        <v>0</v>
      </c>
      <c r="H2369" t="s">
        <v>3417</v>
      </c>
    </row>
    <row r="2370" spans="1:8">
      <c r="A2370" t="s">
        <v>1365</v>
      </c>
      <c r="B2370" t="s">
        <v>3425</v>
      </c>
      <c r="C2370">
        <v>1</v>
      </c>
      <c r="D2370">
        <v>1</v>
      </c>
      <c r="E2370">
        <v>1</v>
      </c>
      <c r="F2370">
        <v>21500</v>
      </c>
      <c r="G2370">
        <v>2.8799999999999999E-2</v>
      </c>
      <c r="H2370" t="s">
        <v>3417</v>
      </c>
    </row>
    <row r="2371" spans="1:8">
      <c r="A2371" t="s">
        <v>9571</v>
      </c>
      <c r="B2371" t="s">
        <v>6800</v>
      </c>
      <c r="C2371">
        <v>1</v>
      </c>
      <c r="D2371">
        <v>1</v>
      </c>
      <c r="E2371">
        <v>1</v>
      </c>
      <c r="F2371">
        <v>21500</v>
      </c>
      <c r="G2371">
        <v>2.8799999999999999E-2</v>
      </c>
      <c r="H2371" t="s">
        <v>3417</v>
      </c>
    </row>
    <row r="2372" spans="1:8">
      <c r="A2372" t="s">
        <v>1366</v>
      </c>
      <c r="B2372" t="s">
        <v>3427</v>
      </c>
      <c r="C2372">
        <v>1</v>
      </c>
      <c r="D2372">
        <v>1</v>
      </c>
      <c r="E2372">
        <v>1</v>
      </c>
      <c r="F2372">
        <v>1</v>
      </c>
      <c r="G2372">
        <v>0</v>
      </c>
      <c r="H2372" t="s">
        <v>3417</v>
      </c>
    </row>
    <row r="2373" spans="1:8">
      <c r="A2373" t="s">
        <v>9572</v>
      </c>
      <c r="B2373" t="s">
        <v>6801</v>
      </c>
      <c r="C2373">
        <v>1</v>
      </c>
      <c r="D2373">
        <v>1</v>
      </c>
      <c r="E2373">
        <v>1</v>
      </c>
      <c r="F2373">
        <v>9600</v>
      </c>
      <c r="G2373">
        <v>1.6199999999999999E-2</v>
      </c>
      <c r="H2373" t="s">
        <v>3417</v>
      </c>
    </row>
    <row r="2374" spans="1:8">
      <c r="A2374" t="s">
        <v>1367</v>
      </c>
      <c r="B2374" t="s">
        <v>3429</v>
      </c>
      <c r="C2374">
        <v>1</v>
      </c>
      <c r="D2374">
        <v>1</v>
      </c>
      <c r="E2374">
        <v>1</v>
      </c>
      <c r="F2374">
        <v>22000</v>
      </c>
      <c r="G2374">
        <v>2.9524000000000002E-2</v>
      </c>
      <c r="H2374" t="s">
        <v>3417</v>
      </c>
    </row>
    <row r="2375" spans="1:8">
      <c r="A2375" t="s">
        <v>1368</v>
      </c>
      <c r="B2375" t="s">
        <v>8964</v>
      </c>
      <c r="C2375">
        <v>1</v>
      </c>
      <c r="D2375">
        <v>1</v>
      </c>
      <c r="E2375">
        <v>1</v>
      </c>
      <c r="F2375">
        <v>19400</v>
      </c>
      <c r="G2375">
        <v>3.1739999999999997E-2</v>
      </c>
      <c r="H2375" t="s">
        <v>3417</v>
      </c>
    </row>
    <row r="2376" spans="1:8">
      <c r="A2376" t="s">
        <v>1368</v>
      </c>
      <c r="B2376" t="s">
        <v>3430</v>
      </c>
      <c r="C2376">
        <v>1</v>
      </c>
      <c r="D2376">
        <v>1</v>
      </c>
      <c r="E2376">
        <v>1</v>
      </c>
      <c r="F2376">
        <v>19400</v>
      </c>
      <c r="G2376">
        <v>3.1739999999999997E-2</v>
      </c>
      <c r="H2376" t="s">
        <v>3417</v>
      </c>
    </row>
    <row r="2377" spans="1:8">
      <c r="A2377" t="s">
        <v>1369</v>
      </c>
      <c r="B2377" t="s">
        <v>3431</v>
      </c>
      <c r="C2377">
        <v>1</v>
      </c>
      <c r="D2377">
        <v>1</v>
      </c>
      <c r="E2377">
        <v>1</v>
      </c>
      <c r="F2377">
        <v>12000</v>
      </c>
      <c r="G2377">
        <v>2.9524000000000002E-2</v>
      </c>
      <c r="H2377" t="s">
        <v>3417</v>
      </c>
    </row>
    <row r="2378" spans="1:8">
      <c r="A2378" t="s">
        <v>1370</v>
      </c>
      <c r="B2378" t="s">
        <v>3432</v>
      </c>
      <c r="C2378">
        <v>1</v>
      </c>
      <c r="D2378">
        <v>1</v>
      </c>
      <c r="E2378">
        <v>1</v>
      </c>
      <c r="F2378">
        <v>10350</v>
      </c>
      <c r="G2378">
        <v>1.9439999999999999E-2</v>
      </c>
      <c r="H2378" t="s">
        <v>3417</v>
      </c>
    </row>
    <row r="2379" spans="1:8">
      <c r="A2379" t="s">
        <v>9573</v>
      </c>
      <c r="B2379" t="s">
        <v>6802</v>
      </c>
      <c r="C2379">
        <v>1</v>
      </c>
      <c r="D2379">
        <v>1</v>
      </c>
      <c r="E2379">
        <v>1</v>
      </c>
      <c r="F2379">
        <v>19400</v>
      </c>
      <c r="G2379">
        <v>3.0870000000000002E-2</v>
      </c>
      <c r="H2379" t="s">
        <v>3417</v>
      </c>
    </row>
    <row r="2380" spans="1:8">
      <c r="A2380" t="s">
        <v>9574</v>
      </c>
      <c r="B2380" t="s">
        <v>6803</v>
      </c>
      <c r="C2380">
        <v>1</v>
      </c>
      <c r="D2380">
        <v>1</v>
      </c>
      <c r="E2380">
        <v>1</v>
      </c>
      <c r="F2380">
        <v>13000</v>
      </c>
      <c r="G2380">
        <v>1.8176000000000001E-2</v>
      </c>
      <c r="H2380" t="s">
        <v>3417</v>
      </c>
    </row>
    <row r="2381" spans="1:8">
      <c r="A2381" t="s">
        <v>1371</v>
      </c>
      <c r="B2381" t="s">
        <v>3433</v>
      </c>
      <c r="C2381">
        <v>1</v>
      </c>
      <c r="D2381">
        <v>1</v>
      </c>
      <c r="E2381">
        <v>1</v>
      </c>
      <c r="F2381">
        <v>1</v>
      </c>
      <c r="G2381">
        <v>0</v>
      </c>
      <c r="H2381" t="s">
        <v>3417</v>
      </c>
    </row>
    <row r="2382" spans="1:8">
      <c r="A2382" t="s">
        <v>1372</v>
      </c>
      <c r="B2382" t="s">
        <v>3434</v>
      </c>
      <c r="C2382">
        <v>1</v>
      </c>
      <c r="D2382">
        <v>1</v>
      </c>
      <c r="E2382">
        <v>1</v>
      </c>
      <c r="F2382">
        <v>11000</v>
      </c>
      <c r="G2382">
        <v>2.0480000000000002E-2</v>
      </c>
      <c r="H2382" t="s">
        <v>3417</v>
      </c>
    </row>
    <row r="2383" spans="1:8">
      <c r="A2383" t="s">
        <v>6826</v>
      </c>
      <c r="B2383" t="s">
        <v>6825</v>
      </c>
      <c r="C2383">
        <v>1</v>
      </c>
      <c r="D2383">
        <v>1</v>
      </c>
      <c r="E2383">
        <v>1</v>
      </c>
      <c r="F2383">
        <v>1350</v>
      </c>
      <c r="G2383">
        <v>1.364E-3</v>
      </c>
      <c r="H2383" t="s">
        <v>3417</v>
      </c>
    </row>
    <row r="2384" spans="1:8">
      <c r="A2384" t="s">
        <v>6828</v>
      </c>
      <c r="B2384" t="s">
        <v>6827</v>
      </c>
      <c r="C2384">
        <v>1</v>
      </c>
      <c r="D2384">
        <v>1</v>
      </c>
      <c r="E2384">
        <v>1</v>
      </c>
      <c r="F2384">
        <v>1350</v>
      </c>
      <c r="G2384">
        <v>1.562E-3</v>
      </c>
      <c r="H2384" t="s">
        <v>3417</v>
      </c>
    </row>
    <row r="2385" spans="1:8">
      <c r="A2385" t="s">
        <v>6830</v>
      </c>
      <c r="B2385" t="s">
        <v>6829</v>
      </c>
      <c r="C2385">
        <v>1</v>
      </c>
      <c r="D2385">
        <v>1</v>
      </c>
      <c r="E2385">
        <v>1</v>
      </c>
      <c r="F2385">
        <v>1350</v>
      </c>
      <c r="G2385">
        <v>1.8259999999999999E-3</v>
      </c>
      <c r="H2385" t="s">
        <v>3417</v>
      </c>
    </row>
    <row r="2386" spans="1:8">
      <c r="A2386" t="s">
        <v>4987</v>
      </c>
      <c r="B2386" t="s">
        <v>6815</v>
      </c>
      <c r="C2386">
        <v>1</v>
      </c>
      <c r="D2386">
        <v>1</v>
      </c>
      <c r="E2386">
        <v>1</v>
      </c>
      <c r="F2386">
        <v>1</v>
      </c>
      <c r="G2386">
        <v>0</v>
      </c>
      <c r="H2386" t="s">
        <v>3417</v>
      </c>
    </row>
    <row r="2387" spans="1:8">
      <c r="A2387" t="s">
        <v>4986</v>
      </c>
      <c r="B2387" t="s">
        <v>6816</v>
      </c>
      <c r="C2387">
        <v>1</v>
      </c>
      <c r="D2387">
        <v>1</v>
      </c>
      <c r="E2387">
        <v>1</v>
      </c>
      <c r="F2387">
        <v>1</v>
      </c>
      <c r="G2387">
        <v>0</v>
      </c>
      <c r="H2387" t="s">
        <v>3417</v>
      </c>
    </row>
    <row r="2388" spans="1:8">
      <c r="A2388" t="s">
        <v>4666</v>
      </c>
      <c r="B2388" t="s">
        <v>6772</v>
      </c>
      <c r="C2388">
        <v>1</v>
      </c>
      <c r="D2388">
        <v>1</v>
      </c>
      <c r="E2388">
        <v>1</v>
      </c>
      <c r="F2388">
        <v>0</v>
      </c>
      <c r="G2388">
        <v>0</v>
      </c>
      <c r="H2388" t="s">
        <v>2493</v>
      </c>
    </row>
    <row r="2389" spans="1:8">
      <c r="A2389" t="s">
        <v>4989</v>
      </c>
      <c r="B2389" t="s">
        <v>6774</v>
      </c>
      <c r="C2389">
        <v>1</v>
      </c>
      <c r="D2389">
        <v>1</v>
      </c>
      <c r="E2389">
        <v>1</v>
      </c>
      <c r="F2389">
        <v>0</v>
      </c>
      <c r="G2389">
        <v>0</v>
      </c>
      <c r="H2389" t="s">
        <v>2493</v>
      </c>
    </row>
    <row r="2390" spans="1:8">
      <c r="A2390" t="s">
        <v>4988</v>
      </c>
      <c r="B2390" t="s">
        <v>6773</v>
      </c>
      <c r="C2390">
        <v>1</v>
      </c>
      <c r="D2390">
        <v>1</v>
      </c>
      <c r="E2390">
        <v>1</v>
      </c>
      <c r="F2390">
        <v>0</v>
      </c>
      <c r="G2390">
        <v>0</v>
      </c>
      <c r="H2390" t="s">
        <v>2493</v>
      </c>
    </row>
    <row r="2391" spans="1:8">
      <c r="A2391" t="s">
        <v>6840</v>
      </c>
      <c r="B2391" t="s">
        <v>6839</v>
      </c>
      <c r="C2391">
        <v>1</v>
      </c>
      <c r="D2391">
        <v>1</v>
      </c>
      <c r="E2391">
        <v>1</v>
      </c>
      <c r="F2391">
        <v>1</v>
      </c>
      <c r="G2391">
        <v>0</v>
      </c>
      <c r="H2391" t="s">
        <v>2203</v>
      </c>
    </row>
    <row r="2392" spans="1:8">
      <c r="A2392" t="s">
        <v>1373</v>
      </c>
      <c r="B2392" t="s">
        <v>3436</v>
      </c>
      <c r="C2392">
        <v>1</v>
      </c>
      <c r="D2392">
        <v>1</v>
      </c>
      <c r="E2392">
        <v>1</v>
      </c>
      <c r="F2392">
        <v>12000</v>
      </c>
      <c r="G2392">
        <v>1.56188E-2</v>
      </c>
      <c r="H2392" t="s">
        <v>3417</v>
      </c>
    </row>
    <row r="2393" spans="1:8">
      <c r="A2393" t="s">
        <v>1374</v>
      </c>
      <c r="B2393" t="s">
        <v>3438</v>
      </c>
      <c r="C2393">
        <v>1</v>
      </c>
      <c r="D2393">
        <v>1</v>
      </c>
      <c r="E2393">
        <v>1</v>
      </c>
      <c r="F2393">
        <v>20500</v>
      </c>
      <c r="G2393">
        <v>3.1875000000000001E-2</v>
      </c>
      <c r="H2393" t="s">
        <v>3417</v>
      </c>
    </row>
    <row r="2394" spans="1:8">
      <c r="A2394" t="s">
        <v>1375</v>
      </c>
      <c r="B2394" t="s">
        <v>3439</v>
      </c>
      <c r="C2394">
        <v>1</v>
      </c>
      <c r="D2394">
        <v>1</v>
      </c>
      <c r="E2394">
        <v>1</v>
      </c>
      <c r="F2394">
        <v>12500</v>
      </c>
      <c r="G2394">
        <v>1.6607299999999998E-2</v>
      </c>
      <c r="H2394" t="s">
        <v>3417</v>
      </c>
    </row>
    <row r="2395" spans="1:8">
      <c r="A2395" t="s">
        <v>1376</v>
      </c>
      <c r="B2395" t="s">
        <v>3440</v>
      </c>
      <c r="C2395">
        <v>1</v>
      </c>
      <c r="D2395">
        <v>1</v>
      </c>
      <c r="E2395">
        <v>1</v>
      </c>
      <c r="F2395">
        <v>20500</v>
      </c>
      <c r="G2395">
        <v>3.5136000000000001E-2</v>
      </c>
      <c r="H2395" t="s">
        <v>3417</v>
      </c>
    </row>
    <row r="2396" spans="1:8">
      <c r="A2396" t="s">
        <v>1377</v>
      </c>
      <c r="B2396" t="s">
        <v>3441</v>
      </c>
      <c r="C2396">
        <v>1</v>
      </c>
      <c r="D2396">
        <v>1</v>
      </c>
      <c r="E2396">
        <v>1</v>
      </c>
      <c r="F2396">
        <v>10000</v>
      </c>
      <c r="G2396">
        <v>1.8176000000000001E-2</v>
      </c>
      <c r="H2396" t="s">
        <v>3417</v>
      </c>
    </row>
    <row r="2397" spans="1:8">
      <c r="A2397" t="s">
        <v>1378</v>
      </c>
      <c r="B2397" t="s">
        <v>3442</v>
      </c>
      <c r="C2397">
        <v>1</v>
      </c>
      <c r="D2397">
        <v>1</v>
      </c>
      <c r="E2397">
        <v>1</v>
      </c>
      <c r="F2397">
        <v>20000</v>
      </c>
      <c r="G2397">
        <v>1.8176000000000001E-2</v>
      </c>
      <c r="H2397" t="s">
        <v>3417</v>
      </c>
    </row>
    <row r="2398" spans="1:8">
      <c r="A2398" t="s">
        <v>6818</v>
      </c>
      <c r="B2398" t="s">
        <v>6817</v>
      </c>
      <c r="C2398">
        <v>1</v>
      </c>
      <c r="D2398">
        <v>1</v>
      </c>
      <c r="E2398">
        <v>1</v>
      </c>
      <c r="F2398">
        <v>1</v>
      </c>
      <c r="G2398">
        <v>0</v>
      </c>
      <c r="H2398" t="s">
        <v>3417</v>
      </c>
    </row>
    <row r="2399" spans="1:8">
      <c r="A2399" t="s">
        <v>9575</v>
      </c>
      <c r="B2399" t="s">
        <v>6831</v>
      </c>
      <c r="C2399">
        <v>1</v>
      </c>
      <c r="D2399">
        <v>1</v>
      </c>
      <c r="E2399">
        <v>1</v>
      </c>
      <c r="F2399">
        <v>22000</v>
      </c>
      <c r="G2399">
        <v>2.9524000000000002E-2</v>
      </c>
      <c r="H2399" t="s">
        <v>3417</v>
      </c>
    </row>
    <row r="2400" spans="1:8">
      <c r="A2400" t="s">
        <v>9577</v>
      </c>
      <c r="B2400" t="s">
        <v>6781</v>
      </c>
      <c r="C2400">
        <v>1</v>
      </c>
      <c r="D2400">
        <v>1</v>
      </c>
      <c r="E2400">
        <v>1</v>
      </c>
      <c r="F2400">
        <v>21500</v>
      </c>
      <c r="G2400">
        <v>2.8799999999999999E-2</v>
      </c>
      <c r="H2400" t="s">
        <v>3417</v>
      </c>
    </row>
    <row r="2401" spans="1:8">
      <c r="A2401" t="s">
        <v>9576</v>
      </c>
      <c r="B2401" t="s">
        <v>6813</v>
      </c>
      <c r="C2401">
        <v>1</v>
      </c>
      <c r="D2401">
        <v>1</v>
      </c>
      <c r="E2401">
        <v>1</v>
      </c>
      <c r="F2401">
        <v>21500</v>
      </c>
      <c r="G2401">
        <v>2.8799999999999999E-2</v>
      </c>
      <c r="H2401" t="s">
        <v>3417</v>
      </c>
    </row>
    <row r="2402" spans="1:8">
      <c r="A2402" t="s">
        <v>9578</v>
      </c>
      <c r="B2402" t="s">
        <v>6832</v>
      </c>
      <c r="C2402">
        <v>1</v>
      </c>
      <c r="D2402">
        <v>1</v>
      </c>
      <c r="E2402">
        <v>1</v>
      </c>
      <c r="F2402">
        <v>12000</v>
      </c>
      <c r="G2402">
        <v>1.7454799999999999E-2</v>
      </c>
      <c r="H2402" t="s">
        <v>3417</v>
      </c>
    </row>
    <row r="2403" spans="1:8">
      <c r="A2403" t="s">
        <v>9580</v>
      </c>
      <c r="B2403" t="s">
        <v>6780</v>
      </c>
      <c r="C2403">
        <v>1</v>
      </c>
      <c r="D2403">
        <v>1</v>
      </c>
      <c r="E2403">
        <v>1</v>
      </c>
      <c r="F2403">
        <v>13000</v>
      </c>
      <c r="G2403">
        <v>1.7454799999999999E-2</v>
      </c>
      <c r="H2403" t="s">
        <v>3417</v>
      </c>
    </row>
    <row r="2404" spans="1:8">
      <c r="A2404" t="s">
        <v>9579</v>
      </c>
      <c r="B2404" t="s">
        <v>6814</v>
      </c>
      <c r="C2404">
        <v>1</v>
      </c>
      <c r="D2404">
        <v>1</v>
      </c>
      <c r="E2404">
        <v>1</v>
      </c>
      <c r="F2404">
        <v>13000</v>
      </c>
      <c r="G2404">
        <v>1.7454799999999999E-2</v>
      </c>
      <c r="H2404" t="s">
        <v>3417</v>
      </c>
    </row>
    <row r="2405" spans="1:8">
      <c r="A2405" t="s">
        <v>9581</v>
      </c>
      <c r="B2405" t="s">
        <v>6807</v>
      </c>
      <c r="C2405">
        <v>1</v>
      </c>
      <c r="D2405">
        <v>1</v>
      </c>
      <c r="E2405">
        <v>1</v>
      </c>
      <c r="F2405">
        <v>22000</v>
      </c>
      <c r="G2405">
        <v>2.9524000000000002E-2</v>
      </c>
      <c r="H2405" t="s">
        <v>3417</v>
      </c>
    </row>
    <row r="2406" spans="1:8">
      <c r="A2406" t="s">
        <v>9584</v>
      </c>
      <c r="B2406" t="s">
        <v>6775</v>
      </c>
      <c r="C2406">
        <v>1</v>
      </c>
      <c r="D2406">
        <v>1</v>
      </c>
      <c r="E2406">
        <v>1</v>
      </c>
      <c r="F2406">
        <v>22000</v>
      </c>
      <c r="G2406">
        <v>2.9524000000000002E-2</v>
      </c>
      <c r="H2406" t="s">
        <v>2493</v>
      </c>
    </row>
    <row r="2407" spans="1:8">
      <c r="A2407" t="s">
        <v>8966</v>
      </c>
      <c r="B2407" t="s">
        <v>8965</v>
      </c>
      <c r="C2407">
        <v>1</v>
      </c>
      <c r="D2407">
        <v>1</v>
      </c>
      <c r="E2407">
        <v>1</v>
      </c>
      <c r="F2407">
        <v>22000</v>
      </c>
      <c r="G2407">
        <v>2.9524000000000002E-2</v>
      </c>
      <c r="H2407" t="s">
        <v>3417</v>
      </c>
    </row>
    <row r="2408" spans="1:8">
      <c r="A2408" t="s">
        <v>8966</v>
      </c>
      <c r="B2408" t="s">
        <v>6784</v>
      </c>
      <c r="C2408">
        <v>1</v>
      </c>
      <c r="D2408">
        <v>1</v>
      </c>
      <c r="E2408">
        <v>1</v>
      </c>
      <c r="F2408">
        <v>22000</v>
      </c>
      <c r="G2408">
        <v>2.9524000000000002E-2</v>
      </c>
      <c r="H2408" t="s">
        <v>3417</v>
      </c>
    </row>
    <row r="2409" spans="1:8">
      <c r="A2409" t="s">
        <v>9582</v>
      </c>
      <c r="B2409" t="s">
        <v>6811</v>
      </c>
      <c r="C2409">
        <v>1</v>
      </c>
      <c r="D2409">
        <v>1</v>
      </c>
      <c r="E2409">
        <v>1</v>
      </c>
      <c r="F2409">
        <v>22000</v>
      </c>
      <c r="G2409">
        <v>2.9524000000000002E-2</v>
      </c>
      <c r="H2409" t="s">
        <v>3417</v>
      </c>
    </row>
    <row r="2410" spans="1:8">
      <c r="A2410" t="s">
        <v>9583</v>
      </c>
      <c r="B2410" t="s">
        <v>6798</v>
      </c>
      <c r="C2410">
        <v>1</v>
      </c>
      <c r="D2410">
        <v>1</v>
      </c>
      <c r="E2410">
        <v>1</v>
      </c>
      <c r="F2410">
        <v>22000</v>
      </c>
      <c r="G2410">
        <v>2.9524000000000002E-2</v>
      </c>
      <c r="H2410" t="s">
        <v>3417</v>
      </c>
    </row>
    <row r="2411" spans="1:8">
      <c r="A2411" t="s">
        <v>9585</v>
      </c>
      <c r="B2411" t="s">
        <v>6808</v>
      </c>
      <c r="C2411">
        <v>1</v>
      </c>
      <c r="D2411">
        <v>1</v>
      </c>
      <c r="E2411">
        <v>1</v>
      </c>
      <c r="F2411">
        <v>12500</v>
      </c>
      <c r="G2411">
        <v>1.7773500000000001E-2</v>
      </c>
      <c r="H2411" t="s">
        <v>3417</v>
      </c>
    </row>
    <row r="2412" spans="1:8">
      <c r="A2412" t="s">
        <v>9589</v>
      </c>
      <c r="B2412" t="s">
        <v>6776</v>
      </c>
      <c r="C2412">
        <v>1</v>
      </c>
      <c r="D2412">
        <v>1</v>
      </c>
      <c r="E2412">
        <v>1</v>
      </c>
      <c r="F2412">
        <v>13000</v>
      </c>
      <c r="G2412">
        <v>1.9439999999999999E-2</v>
      </c>
      <c r="H2412" t="s">
        <v>2493</v>
      </c>
    </row>
    <row r="2413" spans="1:8">
      <c r="A2413" t="s">
        <v>9588</v>
      </c>
      <c r="B2413" t="s">
        <v>6779</v>
      </c>
      <c r="C2413">
        <v>1</v>
      </c>
      <c r="D2413">
        <v>1</v>
      </c>
      <c r="E2413">
        <v>1</v>
      </c>
      <c r="F2413">
        <v>13000</v>
      </c>
      <c r="G2413">
        <v>1.9439999999999999E-2</v>
      </c>
      <c r="H2413" t="s">
        <v>3417</v>
      </c>
    </row>
    <row r="2414" spans="1:8">
      <c r="A2414" t="s">
        <v>9586</v>
      </c>
      <c r="B2414" t="s">
        <v>6812</v>
      </c>
      <c r="C2414">
        <v>1</v>
      </c>
      <c r="D2414">
        <v>1</v>
      </c>
      <c r="E2414">
        <v>1</v>
      </c>
      <c r="F2414">
        <v>13500</v>
      </c>
      <c r="G2414">
        <v>1.7773500000000001E-2</v>
      </c>
      <c r="H2414" t="s">
        <v>3417</v>
      </c>
    </row>
    <row r="2415" spans="1:8">
      <c r="A2415" t="s">
        <v>9587</v>
      </c>
      <c r="B2415" t="s">
        <v>6806</v>
      </c>
      <c r="C2415">
        <v>1</v>
      </c>
      <c r="D2415">
        <v>1</v>
      </c>
      <c r="E2415">
        <v>1</v>
      </c>
      <c r="F2415">
        <v>13000</v>
      </c>
      <c r="G2415">
        <v>1.9439999999999999E-2</v>
      </c>
      <c r="H2415" t="s">
        <v>3417</v>
      </c>
    </row>
    <row r="2416" spans="1:8">
      <c r="A2416" t="s">
        <v>9591</v>
      </c>
      <c r="B2416" t="s">
        <v>6777</v>
      </c>
      <c r="C2416">
        <v>1</v>
      </c>
      <c r="D2416">
        <v>1</v>
      </c>
      <c r="E2416">
        <v>1</v>
      </c>
      <c r="F2416">
        <v>19400</v>
      </c>
      <c r="G2416">
        <v>3.0870000000000002E-2</v>
      </c>
      <c r="H2416" t="s">
        <v>2493</v>
      </c>
    </row>
    <row r="2417" spans="1:8">
      <c r="A2417" t="s">
        <v>9590</v>
      </c>
      <c r="B2417" t="s">
        <v>6795</v>
      </c>
      <c r="C2417">
        <v>1</v>
      </c>
      <c r="D2417">
        <v>1</v>
      </c>
      <c r="E2417">
        <v>1</v>
      </c>
      <c r="F2417">
        <v>19400</v>
      </c>
      <c r="G2417">
        <v>3.0870000000000002E-2</v>
      </c>
      <c r="H2417" t="s">
        <v>3417</v>
      </c>
    </row>
    <row r="2418" spans="1:8">
      <c r="A2418" t="s">
        <v>9593</v>
      </c>
      <c r="B2418" t="s">
        <v>6778</v>
      </c>
      <c r="C2418">
        <v>1</v>
      </c>
      <c r="D2418">
        <v>1</v>
      </c>
      <c r="E2418">
        <v>1</v>
      </c>
      <c r="F2418">
        <v>13000</v>
      </c>
      <c r="G2418">
        <v>1.8176000000000001E-2</v>
      </c>
      <c r="H2418" t="s">
        <v>2493</v>
      </c>
    </row>
    <row r="2419" spans="1:8">
      <c r="A2419" t="s">
        <v>9592</v>
      </c>
      <c r="B2419" t="s">
        <v>6796</v>
      </c>
      <c r="C2419">
        <v>1</v>
      </c>
      <c r="D2419">
        <v>1</v>
      </c>
      <c r="E2419">
        <v>1</v>
      </c>
      <c r="F2419">
        <v>13000</v>
      </c>
      <c r="G2419">
        <v>1.8176000000000001E-2</v>
      </c>
      <c r="H2419" t="s">
        <v>3417</v>
      </c>
    </row>
    <row r="2420" spans="1:8">
      <c r="A2420" t="s">
        <v>9594</v>
      </c>
      <c r="B2420" t="s">
        <v>6799</v>
      </c>
      <c r="C2420">
        <v>1</v>
      </c>
      <c r="D2420">
        <v>1</v>
      </c>
      <c r="E2420">
        <v>1</v>
      </c>
      <c r="F2420">
        <v>22000</v>
      </c>
      <c r="G2420">
        <v>1.8259999999999999E-3</v>
      </c>
      <c r="H2420" t="s">
        <v>3417</v>
      </c>
    </row>
    <row r="2421" spans="1:8">
      <c r="A2421" t="s">
        <v>9595</v>
      </c>
      <c r="B2421" t="s">
        <v>6797</v>
      </c>
      <c r="C2421">
        <v>1</v>
      </c>
      <c r="D2421">
        <v>1</v>
      </c>
      <c r="E2421">
        <v>1</v>
      </c>
      <c r="F2421">
        <v>13000</v>
      </c>
      <c r="G2421">
        <v>1.8259999999999999E-3</v>
      </c>
      <c r="H2421" t="s">
        <v>3417</v>
      </c>
    </row>
    <row r="2422" spans="1:8">
      <c r="A2422" t="s">
        <v>9597</v>
      </c>
      <c r="B2422" t="s">
        <v>6848</v>
      </c>
      <c r="C2422">
        <v>1</v>
      </c>
      <c r="D2422">
        <v>1</v>
      </c>
      <c r="E2422">
        <v>1</v>
      </c>
      <c r="F2422">
        <v>17250</v>
      </c>
      <c r="G2422">
        <v>1.6524E-2</v>
      </c>
      <c r="H2422" t="s">
        <v>3417</v>
      </c>
    </row>
    <row r="2423" spans="1:8">
      <c r="A2423" t="s">
        <v>9596</v>
      </c>
      <c r="B2423" t="s">
        <v>6856</v>
      </c>
      <c r="C2423">
        <v>1</v>
      </c>
      <c r="D2423">
        <v>1</v>
      </c>
      <c r="E2423">
        <v>1</v>
      </c>
      <c r="F2423">
        <v>1</v>
      </c>
      <c r="G2423">
        <v>0</v>
      </c>
      <c r="H2423" t="s">
        <v>3417</v>
      </c>
    </row>
    <row r="2424" spans="1:8">
      <c r="A2424" t="s">
        <v>1379</v>
      </c>
      <c r="B2424" t="s">
        <v>3443</v>
      </c>
      <c r="C2424">
        <v>1</v>
      </c>
      <c r="D2424">
        <v>1</v>
      </c>
      <c r="E2424">
        <v>1</v>
      </c>
      <c r="F2424">
        <v>22000</v>
      </c>
      <c r="G2424">
        <v>2.9375999999999999E-2</v>
      </c>
      <c r="H2424" t="s">
        <v>3417</v>
      </c>
    </row>
    <row r="2425" spans="1:8">
      <c r="A2425" t="s">
        <v>6783</v>
      </c>
      <c r="B2425" t="s">
        <v>6782</v>
      </c>
      <c r="C2425">
        <v>1</v>
      </c>
      <c r="D2425">
        <v>1</v>
      </c>
      <c r="E2425">
        <v>1</v>
      </c>
      <c r="F2425">
        <v>22000</v>
      </c>
      <c r="G2425">
        <v>2.9375999999999999E-2</v>
      </c>
      <c r="H2425" t="s">
        <v>3417</v>
      </c>
    </row>
    <row r="2426" spans="1:8">
      <c r="A2426" t="s">
        <v>9598</v>
      </c>
      <c r="B2426" t="s">
        <v>6843</v>
      </c>
      <c r="C2426">
        <v>1</v>
      </c>
      <c r="D2426">
        <v>1</v>
      </c>
      <c r="E2426">
        <v>1</v>
      </c>
      <c r="F2426">
        <v>22000</v>
      </c>
      <c r="G2426">
        <v>2.9524000000000002E-2</v>
      </c>
      <c r="H2426" t="s">
        <v>3417</v>
      </c>
    </row>
    <row r="2427" spans="1:8">
      <c r="A2427" t="s">
        <v>9599</v>
      </c>
      <c r="B2427" t="s">
        <v>6837</v>
      </c>
      <c r="C2427">
        <v>1</v>
      </c>
      <c r="D2427">
        <v>1</v>
      </c>
      <c r="E2427">
        <v>1</v>
      </c>
      <c r="F2427">
        <v>21500</v>
      </c>
      <c r="G2427">
        <v>0.03</v>
      </c>
      <c r="H2427" t="s">
        <v>3417</v>
      </c>
    </row>
    <row r="2428" spans="1:8">
      <c r="A2428" t="s">
        <v>1380</v>
      </c>
      <c r="B2428" t="s">
        <v>3449</v>
      </c>
      <c r="C2428">
        <v>1</v>
      </c>
      <c r="D2428">
        <v>1</v>
      </c>
      <c r="E2428">
        <v>1</v>
      </c>
      <c r="F2428">
        <v>9600</v>
      </c>
      <c r="G2428">
        <v>1.6199999999999999E-2</v>
      </c>
      <c r="H2428" t="s">
        <v>3417</v>
      </c>
    </row>
    <row r="2429" spans="1:8">
      <c r="A2429" t="s">
        <v>1382</v>
      </c>
      <c r="B2429" t="s">
        <v>3448</v>
      </c>
      <c r="C2429">
        <v>1</v>
      </c>
      <c r="D2429">
        <v>1</v>
      </c>
      <c r="E2429">
        <v>1</v>
      </c>
      <c r="F2429">
        <v>9600</v>
      </c>
      <c r="G2429">
        <v>1.6199999999999999E-2</v>
      </c>
      <c r="H2429" t="s">
        <v>3417</v>
      </c>
    </row>
    <row r="2430" spans="1:8">
      <c r="A2430" t="s">
        <v>1381</v>
      </c>
      <c r="B2430" t="s">
        <v>3446</v>
      </c>
      <c r="C2430">
        <v>1</v>
      </c>
      <c r="D2430">
        <v>1</v>
      </c>
      <c r="E2430">
        <v>1</v>
      </c>
      <c r="F2430">
        <v>9600</v>
      </c>
      <c r="G2430">
        <v>1.6199999999999999E-2</v>
      </c>
      <c r="H2430" t="s">
        <v>3417</v>
      </c>
    </row>
    <row r="2431" spans="1:8">
      <c r="A2431" t="s">
        <v>1383</v>
      </c>
      <c r="B2431" t="s">
        <v>3450</v>
      </c>
      <c r="C2431">
        <v>1</v>
      </c>
      <c r="D2431">
        <v>1</v>
      </c>
      <c r="E2431">
        <v>1</v>
      </c>
      <c r="F2431">
        <v>13000</v>
      </c>
      <c r="G2431">
        <v>1.7454799999999999E-2</v>
      </c>
      <c r="H2431" t="s">
        <v>3417</v>
      </c>
    </row>
    <row r="2432" spans="1:8">
      <c r="A2432" t="s">
        <v>9600</v>
      </c>
      <c r="B2432" t="s">
        <v>6846</v>
      </c>
      <c r="C2432">
        <v>1</v>
      </c>
      <c r="D2432">
        <v>1</v>
      </c>
      <c r="E2432">
        <v>1</v>
      </c>
      <c r="F2432">
        <v>17250</v>
      </c>
      <c r="G2432">
        <v>2.9524000000000002E-2</v>
      </c>
      <c r="H2432" t="s">
        <v>3417</v>
      </c>
    </row>
    <row r="2433" spans="1:8">
      <c r="A2433" t="s">
        <v>1384</v>
      </c>
      <c r="B2433" t="s">
        <v>3452</v>
      </c>
      <c r="C2433">
        <v>1</v>
      </c>
      <c r="D2433">
        <v>1</v>
      </c>
      <c r="E2433">
        <v>1</v>
      </c>
      <c r="F2433">
        <v>22000</v>
      </c>
      <c r="G2433">
        <v>2.9524000000000002E-2</v>
      </c>
      <c r="H2433" t="s">
        <v>3417</v>
      </c>
    </row>
    <row r="2434" spans="1:8">
      <c r="A2434" t="s">
        <v>9601</v>
      </c>
      <c r="B2434" t="s">
        <v>6841</v>
      </c>
      <c r="C2434">
        <v>1</v>
      </c>
      <c r="D2434">
        <v>1</v>
      </c>
      <c r="E2434">
        <v>1</v>
      </c>
      <c r="F2434">
        <v>22000</v>
      </c>
      <c r="G2434">
        <v>2.9524000000000002E-2</v>
      </c>
      <c r="H2434" t="s">
        <v>3417</v>
      </c>
    </row>
    <row r="2435" spans="1:8">
      <c r="A2435" t="s">
        <v>9602</v>
      </c>
      <c r="B2435" t="s">
        <v>6836</v>
      </c>
      <c r="C2435">
        <v>1</v>
      </c>
      <c r="D2435">
        <v>1</v>
      </c>
      <c r="E2435">
        <v>1</v>
      </c>
      <c r="F2435">
        <v>22000</v>
      </c>
      <c r="G2435">
        <v>0.03</v>
      </c>
      <c r="H2435" t="s">
        <v>3417</v>
      </c>
    </row>
    <row r="2436" spans="1:8">
      <c r="A2436" t="s">
        <v>1385</v>
      </c>
      <c r="B2436" t="s">
        <v>3453</v>
      </c>
      <c r="C2436">
        <v>1</v>
      </c>
      <c r="D2436">
        <v>1</v>
      </c>
      <c r="E2436">
        <v>1</v>
      </c>
      <c r="F2436">
        <v>12000</v>
      </c>
      <c r="G2436">
        <v>2.9524000000000002E-2</v>
      </c>
      <c r="H2436" t="s">
        <v>3417</v>
      </c>
    </row>
    <row r="2437" spans="1:8">
      <c r="A2437" t="s">
        <v>9604</v>
      </c>
      <c r="B2437" t="s">
        <v>6847</v>
      </c>
      <c r="C2437">
        <v>1</v>
      </c>
      <c r="D2437">
        <v>1</v>
      </c>
      <c r="E2437">
        <v>1</v>
      </c>
      <c r="F2437">
        <v>12000</v>
      </c>
      <c r="G2437">
        <v>2.9524000000000002E-2</v>
      </c>
      <c r="H2437" t="s">
        <v>3417</v>
      </c>
    </row>
    <row r="2438" spans="1:8">
      <c r="A2438" t="s">
        <v>9603</v>
      </c>
      <c r="B2438" t="s">
        <v>6842</v>
      </c>
      <c r="C2438">
        <v>1</v>
      </c>
      <c r="D2438">
        <v>1</v>
      </c>
      <c r="E2438">
        <v>1</v>
      </c>
      <c r="F2438">
        <v>12000</v>
      </c>
      <c r="G2438">
        <v>2.9524000000000002E-2</v>
      </c>
      <c r="H2438" t="s">
        <v>3417</v>
      </c>
    </row>
    <row r="2439" spans="1:8">
      <c r="A2439" t="s">
        <v>9605</v>
      </c>
      <c r="B2439" t="s">
        <v>6835</v>
      </c>
      <c r="C2439">
        <v>1</v>
      </c>
      <c r="D2439">
        <v>1</v>
      </c>
      <c r="E2439">
        <v>1</v>
      </c>
      <c r="F2439">
        <v>13000</v>
      </c>
      <c r="G2439">
        <v>0.02</v>
      </c>
      <c r="H2439" t="s">
        <v>3417</v>
      </c>
    </row>
    <row r="2440" spans="1:8">
      <c r="A2440" t="s">
        <v>9606</v>
      </c>
      <c r="B2440" t="s">
        <v>6838</v>
      </c>
      <c r="C2440">
        <v>1</v>
      </c>
      <c r="D2440">
        <v>1</v>
      </c>
      <c r="E2440">
        <v>1</v>
      </c>
      <c r="F2440">
        <v>22000</v>
      </c>
      <c r="G2440">
        <v>2.9524000000000002E-2</v>
      </c>
      <c r="H2440" t="s">
        <v>3417</v>
      </c>
    </row>
    <row r="2441" spans="1:8">
      <c r="A2441" t="s">
        <v>1386</v>
      </c>
      <c r="B2441" t="s">
        <v>3454</v>
      </c>
      <c r="C2441">
        <v>1</v>
      </c>
      <c r="D2441">
        <v>1</v>
      </c>
      <c r="E2441">
        <v>1</v>
      </c>
      <c r="F2441">
        <v>17250</v>
      </c>
      <c r="G2441">
        <v>2.8400000000000002E-2</v>
      </c>
      <c r="H2441" t="s">
        <v>3417</v>
      </c>
    </row>
    <row r="2442" spans="1:8">
      <c r="A2442" t="s">
        <v>9608</v>
      </c>
      <c r="B2442" t="s">
        <v>6850</v>
      </c>
      <c r="C2442">
        <v>1</v>
      </c>
      <c r="D2442">
        <v>1</v>
      </c>
      <c r="E2442">
        <v>1</v>
      </c>
      <c r="F2442">
        <v>22000</v>
      </c>
      <c r="G2442">
        <v>3.0870000000000002E-2</v>
      </c>
      <c r="H2442" t="s">
        <v>3417</v>
      </c>
    </row>
    <row r="2443" spans="1:8">
      <c r="A2443" t="s">
        <v>9607</v>
      </c>
      <c r="B2443" t="s">
        <v>6844</v>
      </c>
      <c r="C2443">
        <v>1</v>
      </c>
      <c r="D2443">
        <v>1</v>
      </c>
      <c r="E2443">
        <v>1</v>
      </c>
      <c r="F2443">
        <v>22000</v>
      </c>
      <c r="G2443">
        <v>3.0870000000000002E-2</v>
      </c>
      <c r="H2443" t="s">
        <v>3417</v>
      </c>
    </row>
    <row r="2444" spans="1:8">
      <c r="A2444" t="s">
        <v>9610</v>
      </c>
      <c r="B2444" t="s">
        <v>6851</v>
      </c>
      <c r="C2444">
        <v>1</v>
      </c>
      <c r="D2444">
        <v>1</v>
      </c>
      <c r="E2444">
        <v>1</v>
      </c>
      <c r="F2444">
        <v>9000</v>
      </c>
      <c r="G2444">
        <v>3.0870000000000002E-2</v>
      </c>
      <c r="H2444" t="s">
        <v>3417</v>
      </c>
    </row>
    <row r="2445" spans="1:8">
      <c r="A2445" t="s">
        <v>1387</v>
      </c>
      <c r="B2445" t="s">
        <v>3455</v>
      </c>
      <c r="C2445">
        <v>1</v>
      </c>
      <c r="D2445">
        <v>1</v>
      </c>
      <c r="E2445">
        <v>1</v>
      </c>
      <c r="F2445">
        <v>9000</v>
      </c>
      <c r="G2445">
        <v>3.0870000000000002E-2</v>
      </c>
      <c r="H2445" t="s">
        <v>3417</v>
      </c>
    </row>
    <row r="2446" spans="1:8">
      <c r="A2446" t="s">
        <v>9609</v>
      </c>
      <c r="B2446" t="s">
        <v>6845</v>
      </c>
      <c r="C2446">
        <v>1</v>
      </c>
      <c r="D2446">
        <v>1</v>
      </c>
      <c r="E2446">
        <v>1</v>
      </c>
      <c r="F2446">
        <v>9000</v>
      </c>
      <c r="G2446">
        <v>3.0870000000000002E-2</v>
      </c>
      <c r="H2446" t="s">
        <v>3417</v>
      </c>
    </row>
    <row r="2447" spans="1:8">
      <c r="A2447" t="s">
        <v>6792</v>
      </c>
      <c r="B2447" t="s">
        <v>6791</v>
      </c>
      <c r="C2447">
        <v>1</v>
      </c>
      <c r="D2447">
        <v>1</v>
      </c>
      <c r="E2447">
        <v>1</v>
      </c>
      <c r="F2447">
        <v>0</v>
      </c>
      <c r="G2447">
        <v>0</v>
      </c>
      <c r="H2447" t="s">
        <v>3417</v>
      </c>
    </row>
    <row r="2448" spans="1:8">
      <c r="A2448" t="s">
        <v>6794</v>
      </c>
      <c r="B2448" t="s">
        <v>6793</v>
      </c>
      <c r="C2448">
        <v>1</v>
      </c>
      <c r="D2448">
        <v>1</v>
      </c>
      <c r="E2448">
        <v>1</v>
      </c>
      <c r="F2448">
        <v>0</v>
      </c>
      <c r="G2448">
        <v>0</v>
      </c>
      <c r="H2448" t="s">
        <v>3417</v>
      </c>
    </row>
    <row r="2449" spans="1:8">
      <c r="A2449" t="s">
        <v>1388</v>
      </c>
      <c r="B2449" t="s">
        <v>3456</v>
      </c>
      <c r="C2449">
        <v>1</v>
      </c>
      <c r="D2449">
        <v>1</v>
      </c>
      <c r="E2449">
        <v>1</v>
      </c>
      <c r="F2449">
        <v>1</v>
      </c>
      <c r="G2449">
        <v>0</v>
      </c>
      <c r="H2449" t="s">
        <v>2221</v>
      </c>
    </row>
    <row r="2450" spans="1:8">
      <c r="A2450" t="s">
        <v>1389</v>
      </c>
      <c r="B2450" t="s">
        <v>3457</v>
      </c>
      <c r="C2450">
        <v>1</v>
      </c>
      <c r="D2450">
        <v>1</v>
      </c>
      <c r="E2450">
        <v>1</v>
      </c>
      <c r="F2450">
        <v>1</v>
      </c>
      <c r="G2450">
        <v>0</v>
      </c>
      <c r="H2450" t="s">
        <v>2221</v>
      </c>
    </row>
    <row r="2451" spans="1:8">
      <c r="A2451" t="s">
        <v>1390</v>
      </c>
      <c r="B2451" t="s">
        <v>3458</v>
      </c>
      <c r="C2451">
        <v>1</v>
      </c>
      <c r="D2451">
        <v>1</v>
      </c>
      <c r="E2451">
        <v>1</v>
      </c>
      <c r="F2451">
        <v>22000</v>
      </c>
      <c r="G2451">
        <v>2.9375999999999999E-2</v>
      </c>
      <c r="H2451" t="s">
        <v>3417</v>
      </c>
    </row>
    <row r="2452" spans="1:8">
      <c r="A2452" t="s">
        <v>1391</v>
      </c>
      <c r="B2452" t="s">
        <v>3460</v>
      </c>
      <c r="C2452">
        <v>1</v>
      </c>
      <c r="D2452">
        <v>1</v>
      </c>
      <c r="E2452">
        <v>1</v>
      </c>
      <c r="F2452">
        <v>22000</v>
      </c>
      <c r="G2452">
        <v>2.9524000000000002E-2</v>
      </c>
      <c r="H2452" t="s">
        <v>3417</v>
      </c>
    </row>
    <row r="2453" spans="1:8">
      <c r="A2453" t="s">
        <v>1392</v>
      </c>
      <c r="B2453" t="s">
        <v>3462</v>
      </c>
      <c r="C2453">
        <v>1</v>
      </c>
      <c r="D2453">
        <v>1</v>
      </c>
      <c r="E2453">
        <v>1</v>
      </c>
      <c r="F2453">
        <v>22000</v>
      </c>
      <c r="G2453">
        <v>2.9524000000000002E-2</v>
      </c>
      <c r="H2453" t="s">
        <v>3417</v>
      </c>
    </row>
    <row r="2454" spans="1:8">
      <c r="A2454" t="s">
        <v>1393</v>
      </c>
      <c r="B2454" t="s">
        <v>3463</v>
      </c>
      <c r="C2454">
        <v>1</v>
      </c>
      <c r="D2454">
        <v>1</v>
      </c>
      <c r="E2454">
        <v>1</v>
      </c>
      <c r="F2454">
        <v>10350</v>
      </c>
      <c r="G2454">
        <v>1.9439999999999999E-2</v>
      </c>
      <c r="H2454" t="s">
        <v>3417</v>
      </c>
    </row>
    <row r="2455" spans="1:8">
      <c r="A2455" t="s">
        <v>1394</v>
      </c>
      <c r="B2455" t="s">
        <v>3464</v>
      </c>
      <c r="C2455">
        <v>1</v>
      </c>
      <c r="D2455">
        <v>1</v>
      </c>
      <c r="E2455">
        <v>1</v>
      </c>
      <c r="F2455">
        <v>1</v>
      </c>
      <c r="G2455">
        <v>0</v>
      </c>
      <c r="H2455" t="s">
        <v>3417</v>
      </c>
    </row>
    <row r="2456" spans="1:8">
      <c r="A2456" t="s">
        <v>1395</v>
      </c>
      <c r="B2456" t="s">
        <v>3466</v>
      </c>
      <c r="C2456">
        <v>1</v>
      </c>
      <c r="D2456">
        <v>1</v>
      </c>
      <c r="E2456">
        <v>1</v>
      </c>
      <c r="F2456">
        <v>1</v>
      </c>
      <c r="G2456">
        <v>0</v>
      </c>
      <c r="H2456" t="s">
        <v>3417</v>
      </c>
    </row>
    <row r="2457" spans="1:8">
      <c r="A2457" t="s">
        <v>1396</v>
      </c>
      <c r="B2457" t="s">
        <v>3467</v>
      </c>
      <c r="C2457">
        <v>1</v>
      </c>
      <c r="D2457">
        <v>1</v>
      </c>
      <c r="E2457">
        <v>1</v>
      </c>
      <c r="F2457">
        <v>1</v>
      </c>
      <c r="G2457">
        <v>0</v>
      </c>
      <c r="H2457" t="s">
        <v>3417</v>
      </c>
    </row>
    <row r="2458" spans="1:8">
      <c r="A2458" t="s">
        <v>1397</v>
      </c>
      <c r="B2458" t="s">
        <v>3468</v>
      </c>
      <c r="C2458">
        <v>1</v>
      </c>
      <c r="D2458">
        <v>1</v>
      </c>
      <c r="E2458">
        <v>1</v>
      </c>
      <c r="F2458">
        <v>1</v>
      </c>
      <c r="G2458">
        <v>0</v>
      </c>
      <c r="H2458" t="s">
        <v>3417</v>
      </c>
    </row>
    <row r="2459" spans="1:8">
      <c r="A2459" t="s">
        <v>1398</v>
      </c>
      <c r="B2459" t="s">
        <v>3469</v>
      </c>
      <c r="C2459">
        <v>1</v>
      </c>
      <c r="D2459">
        <v>1</v>
      </c>
      <c r="E2459">
        <v>1</v>
      </c>
      <c r="F2459">
        <v>1</v>
      </c>
      <c r="G2459">
        <v>0</v>
      </c>
      <c r="H2459" t="s">
        <v>3417</v>
      </c>
    </row>
    <row r="2460" spans="1:8">
      <c r="A2460" t="s">
        <v>1399</v>
      </c>
      <c r="B2460" t="s">
        <v>3470</v>
      </c>
      <c r="C2460">
        <v>1</v>
      </c>
      <c r="D2460">
        <v>1</v>
      </c>
      <c r="E2460">
        <v>1</v>
      </c>
      <c r="F2460">
        <v>1</v>
      </c>
      <c r="G2460">
        <v>0</v>
      </c>
      <c r="H2460" t="s">
        <v>3417</v>
      </c>
    </row>
    <row r="2461" spans="1:8">
      <c r="A2461" t="s">
        <v>1400</v>
      </c>
      <c r="B2461" t="s">
        <v>3471</v>
      </c>
      <c r="C2461">
        <v>1</v>
      </c>
      <c r="D2461">
        <v>1</v>
      </c>
      <c r="E2461">
        <v>1</v>
      </c>
      <c r="F2461">
        <v>1</v>
      </c>
      <c r="G2461">
        <v>0</v>
      </c>
      <c r="H2461" t="s">
        <v>3417</v>
      </c>
    </row>
    <row r="2462" spans="1:8">
      <c r="A2462" t="s">
        <v>1401</v>
      </c>
      <c r="B2462" t="s">
        <v>3472</v>
      </c>
      <c r="C2462">
        <v>1</v>
      </c>
      <c r="D2462">
        <v>1</v>
      </c>
      <c r="E2462">
        <v>1</v>
      </c>
      <c r="F2462">
        <v>1</v>
      </c>
      <c r="G2462">
        <v>0</v>
      </c>
      <c r="H2462" t="s">
        <v>3417</v>
      </c>
    </row>
    <row r="2463" spans="1:8">
      <c r="A2463" t="s">
        <v>1402</v>
      </c>
      <c r="B2463" t="s">
        <v>3473</v>
      </c>
      <c r="C2463">
        <v>1</v>
      </c>
      <c r="D2463">
        <v>1</v>
      </c>
      <c r="E2463">
        <v>1</v>
      </c>
      <c r="F2463">
        <v>1</v>
      </c>
      <c r="G2463">
        <v>0</v>
      </c>
      <c r="H2463" t="s">
        <v>3417</v>
      </c>
    </row>
    <row r="2464" spans="1:8">
      <c r="A2464" t="s">
        <v>1403</v>
      </c>
      <c r="B2464" t="s">
        <v>3474</v>
      </c>
      <c r="C2464">
        <v>1</v>
      </c>
      <c r="D2464">
        <v>1</v>
      </c>
      <c r="E2464">
        <v>1</v>
      </c>
      <c r="F2464">
        <v>19500</v>
      </c>
      <c r="G2464">
        <v>3.1875000000000001E-2</v>
      </c>
      <c r="H2464" t="s">
        <v>3417</v>
      </c>
    </row>
    <row r="2465" spans="1:8">
      <c r="A2465" t="s">
        <v>1404</v>
      </c>
      <c r="B2465" t="s">
        <v>3476</v>
      </c>
      <c r="C2465">
        <v>1</v>
      </c>
      <c r="D2465">
        <v>1</v>
      </c>
      <c r="E2465">
        <v>1</v>
      </c>
      <c r="F2465">
        <v>10.3</v>
      </c>
      <c r="G2465">
        <v>0.02</v>
      </c>
      <c r="H2465" t="s">
        <v>3417</v>
      </c>
    </row>
    <row r="2466" spans="1:8">
      <c r="A2466" t="s">
        <v>1406</v>
      </c>
      <c r="B2466" t="s">
        <v>3478</v>
      </c>
      <c r="C2466">
        <v>1</v>
      </c>
      <c r="D2466">
        <v>1</v>
      </c>
      <c r="E2466">
        <v>1</v>
      </c>
      <c r="F2466">
        <v>19500</v>
      </c>
      <c r="G2466">
        <v>3.1875000000000001E-2</v>
      </c>
      <c r="H2466" t="s">
        <v>3417</v>
      </c>
    </row>
    <row r="2467" spans="1:8">
      <c r="A2467" t="s">
        <v>1405</v>
      </c>
      <c r="B2467" t="s">
        <v>3477</v>
      </c>
      <c r="C2467">
        <v>1</v>
      </c>
      <c r="D2467">
        <v>1</v>
      </c>
      <c r="E2467">
        <v>1</v>
      </c>
      <c r="F2467">
        <v>19500</v>
      </c>
      <c r="G2467">
        <v>3.1875000000000001E-2</v>
      </c>
      <c r="H2467" t="s">
        <v>3417</v>
      </c>
    </row>
    <row r="2468" spans="1:8">
      <c r="A2468" t="s">
        <v>1408</v>
      </c>
      <c r="B2468" t="s">
        <v>3480</v>
      </c>
      <c r="C2468">
        <v>1</v>
      </c>
      <c r="D2468">
        <v>1</v>
      </c>
      <c r="E2468">
        <v>1</v>
      </c>
      <c r="F2468">
        <v>10700</v>
      </c>
      <c r="G2468">
        <v>1.9439999999999999E-2</v>
      </c>
      <c r="H2468" t="s">
        <v>3417</v>
      </c>
    </row>
    <row r="2469" spans="1:8">
      <c r="A2469" t="s">
        <v>1407</v>
      </c>
      <c r="B2469" t="s">
        <v>3479</v>
      </c>
      <c r="C2469">
        <v>1</v>
      </c>
      <c r="D2469">
        <v>1</v>
      </c>
      <c r="E2469">
        <v>1</v>
      </c>
      <c r="F2469">
        <v>10700</v>
      </c>
      <c r="G2469">
        <v>1.9439999999999999E-2</v>
      </c>
      <c r="H2469" t="s">
        <v>3417</v>
      </c>
    </row>
    <row r="2470" spans="1:8">
      <c r="A2470" t="s">
        <v>1409</v>
      </c>
      <c r="B2470" t="s">
        <v>3481</v>
      </c>
      <c r="C2470">
        <v>1</v>
      </c>
      <c r="D2470">
        <v>1</v>
      </c>
      <c r="E2470">
        <v>1</v>
      </c>
      <c r="F2470">
        <v>19200</v>
      </c>
      <c r="G2470">
        <v>3.4363999999999999E-2</v>
      </c>
      <c r="H2470" t="s">
        <v>3417</v>
      </c>
    </row>
    <row r="2471" spans="1:8">
      <c r="A2471" t="s">
        <v>1410</v>
      </c>
      <c r="B2471" t="s">
        <v>3482</v>
      </c>
      <c r="C2471">
        <v>1</v>
      </c>
      <c r="D2471">
        <v>1</v>
      </c>
      <c r="E2471">
        <v>1</v>
      </c>
      <c r="F2471">
        <v>10800</v>
      </c>
      <c r="G2471">
        <v>2.0518999999999999E-2</v>
      </c>
      <c r="H2471" t="s">
        <v>3417</v>
      </c>
    </row>
    <row r="2472" spans="1:8">
      <c r="A2472" t="s">
        <v>9611</v>
      </c>
      <c r="B2472" t="s">
        <v>6769</v>
      </c>
      <c r="C2472">
        <v>1</v>
      </c>
      <c r="D2472">
        <v>1</v>
      </c>
      <c r="E2472">
        <v>1</v>
      </c>
      <c r="F2472">
        <v>1</v>
      </c>
      <c r="G2472">
        <v>0</v>
      </c>
      <c r="H2472" t="s">
        <v>3417</v>
      </c>
    </row>
    <row r="2473" spans="1:8">
      <c r="A2473" t="s">
        <v>9612</v>
      </c>
      <c r="B2473" t="s">
        <v>6770</v>
      </c>
      <c r="C2473">
        <v>1</v>
      </c>
      <c r="D2473">
        <v>1</v>
      </c>
      <c r="E2473">
        <v>1</v>
      </c>
      <c r="F2473">
        <v>1</v>
      </c>
      <c r="G2473">
        <v>0</v>
      </c>
      <c r="H2473" t="s">
        <v>3417</v>
      </c>
    </row>
    <row r="2474" spans="1:8">
      <c r="A2474" t="s">
        <v>1411</v>
      </c>
      <c r="B2474" t="s">
        <v>3483</v>
      </c>
      <c r="C2474">
        <v>1</v>
      </c>
      <c r="D2474">
        <v>1</v>
      </c>
      <c r="E2474">
        <v>1</v>
      </c>
      <c r="F2474">
        <v>18900</v>
      </c>
      <c r="G2474">
        <v>2.8799999999999999E-2</v>
      </c>
      <c r="H2474" t="s">
        <v>3417</v>
      </c>
    </row>
    <row r="2475" spans="1:8">
      <c r="A2475" t="s">
        <v>1412</v>
      </c>
      <c r="B2475" t="s">
        <v>3485</v>
      </c>
      <c r="C2475">
        <v>1</v>
      </c>
      <c r="D2475">
        <v>1</v>
      </c>
      <c r="E2475">
        <v>1</v>
      </c>
      <c r="F2475">
        <v>10000</v>
      </c>
      <c r="G2475">
        <v>1.6199999999999999E-2</v>
      </c>
      <c r="H2475" t="s">
        <v>3417</v>
      </c>
    </row>
    <row r="2476" spans="1:8">
      <c r="A2476" t="s">
        <v>1414</v>
      </c>
      <c r="B2476" t="s">
        <v>3487</v>
      </c>
      <c r="C2476">
        <v>1</v>
      </c>
      <c r="D2476">
        <v>1</v>
      </c>
      <c r="E2476">
        <v>1</v>
      </c>
      <c r="F2476">
        <v>19300</v>
      </c>
      <c r="G2476">
        <v>3.1739999999999997E-2</v>
      </c>
      <c r="H2476" t="s">
        <v>3417</v>
      </c>
    </row>
    <row r="2477" spans="1:8">
      <c r="A2477" t="s">
        <v>1413</v>
      </c>
      <c r="B2477" t="s">
        <v>3486</v>
      </c>
      <c r="C2477">
        <v>1</v>
      </c>
      <c r="D2477">
        <v>1</v>
      </c>
      <c r="E2477">
        <v>1</v>
      </c>
      <c r="F2477">
        <v>19300</v>
      </c>
      <c r="G2477">
        <v>3.1739999999999997E-2</v>
      </c>
      <c r="H2477" t="s">
        <v>3417</v>
      </c>
    </row>
    <row r="2478" spans="1:8">
      <c r="A2478" t="s">
        <v>1416</v>
      </c>
      <c r="B2478" t="s">
        <v>3489</v>
      </c>
      <c r="C2478">
        <v>1</v>
      </c>
      <c r="D2478">
        <v>1</v>
      </c>
      <c r="E2478">
        <v>1</v>
      </c>
      <c r="F2478">
        <v>9400</v>
      </c>
      <c r="G2478">
        <v>1.9439999999999999E-2</v>
      </c>
      <c r="H2478" t="s">
        <v>3417</v>
      </c>
    </row>
    <row r="2479" spans="1:8">
      <c r="A2479" t="s">
        <v>1415</v>
      </c>
      <c r="B2479" t="s">
        <v>3488</v>
      </c>
      <c r="C2479">
        <v>1</v>
      </c>
      <c r="D2479">
        <v>1</v>
      </c>
      <c r="E2479">
        <v>1</v>
      </c>
      <c r="F2479">
        <v>9400</v>
      </c>
      <c r="G2479">
        <v>1.9439999999999999E-2</v>
      </c>
      <c r="H2479" t="s">
        <v>3417</v>
      </c>
    </row>
    <row r="2480" spans="1:8">
      <c r="A2480" t="s">
        <v>1417</v>
      </c>
      <c r="B2480" t="s">
        <v>3490</v>
      </c>
      <c r="C2480">
        <v>1</v>
      </c>
      <c r="D2480">
        <v>1</v>
      </c>
      <c r="E2480">
        <v>1</v>
      </c>
      <c r="F2480">
        <v>19200</v>
      </c>
      <c r="G2480">
        <v>3.0870000000000002E-2</v>
      </c>
      <c r="H2480" t="s">
        <v>3417</v>
      </c>
    </row>
    <row r="2481" spans="1:8">
      <c r="A2481" t="s">
        <v>1418</v>
      </c>
      <c r="B2481" t="s">
        <v>3491</v>
      </c>
      <c r="C2481">
        <v>1</v>
      </c>
      <c r="D2481">
        <v>1</v>
      </c>
      <c r="E2481">
        <v>1</v>
      </c>
      <c r="F2481">
        <v>10100</v>
      </c>
      <c r="G2481">
        <v>1.8176000000000001E-2</v>
      </c>
      <c r="H2481" t="s">
        <v>3417</v>
      </c>
    </row>
    <row r="2482" spans="1:8">
      <c r="A2482" t="s">
        <v>9613</v>
      </c>
      <c r="B2482" t="s">
        <v>6804</v>
      </c>
      <c r="C2482">
        <v>1</v>
      </c>
      <c r="D2482">
        <v>1</v>
      </c>
      <c r="E2482">
        <v>1</v>
      </c>
      <c r="F2482">
        <v>21500</v>
      </c>
      <c r="G2482">
        <v>2.8799999999999999E-2</v>
      </c>
      <c r="H2482" t="s">
        <v>3417</v>
      </c>
    </row>
    <row r="2483" spans="1:8">
      <c r="A2483" t="s">
        <v>9614</v>
      </c>
      <c r="B2483" t="s">
        <v>6809</v>
      </c>
      <c r="C2483">
        <v>1</v>
      </c>
      <c r="D2483">
        <v>1</v>
      </c>
      <c r="E2483">
        <v>1</v>
      </c>
      <c r="F2483">
        <v>18400</v>
      </c>
      <c r="G2483">
        <v>3.1739999999999997E-2</v>
      </c>
      <c r="H2483" t="s">
        <v>3417</v>
      </c>
    </row>
    <row r="2484" spans="1:8">
      <c r="A2484" t="s">
        <v>8963</v>
      </c>
      <c r="B2484" t="s">
        <v>8962</v>
      </c>
      <c r="C2484">
        <v>1</v>
      </c>
      <c r="D2484">
        <v>1</v>
      </c>
      <c r="E2484">
        <v>1</v>
      </c>
      <c r="F2484">
        <v>22000</v>
      </c>
      <c r="G2484">
        <v>2.9524000000000002E-2</v>
      </c>
      <c r="H2484" t="s">
        <v>3417</v>
      </c>
    </row>
    <row r="2485" spans="1:8">
      <c r="A2485" t="s">
        <v>8963</v>
      </c>
      <c r="B2485" t="s">
        <v>6805</v>
      </c>
      <c r="C2485">
        <v>1</v>
      </c>
      <c r="D2485">
        <v>1</v>
      </c>
      <c r="E2485">
        <v>1</v>
      </c>
      <c r="F2485">
        <v>22000</v>
      </c>
      <c r="G2485">
        <v>2.9524000000000002E-2</v>
      </c>
      <c r="H2485" t="s">
        <v>3417</v>
      </c>
    </row>
    <row r="2486" spans="1:8">
      <c r="A2486" t="s">
        <v>9615</v>
      </c>
      <c r="B2486" t="s">
        <v>6810</v>
      </c>
      <c r="C2486">
        <v>1</v>
      </c>
      <c r="D2486">
        <v>1</v>
      </c>
      <c r="E2486">
        <v>1</v>
      </c>
      <c r="F2486">
        <v>12500</v>
      </c>
      <c r="G2486">
        <v>1.7773500000000001E-2</v>
      </c>
      <c r="H2486" t="s">
        <v>3417</v>
      </c>
    </row>
    <row r="2487" spans="1:8">
      <c r="A2487" t="s">
        <v>1419</v>
      </c>
      <c r="B2487" t="s">
        <v>3492</v>
      </c>
      <c r="C2487">
        <v>1</v>
      </c>
      <c r="D2487">
        <v>1</v>
      </c>
      <c r="E2487">
        <v>1</v>
      </c>
      <c r="F2487">
        <v>13000</v>
      </c>
      <c r="G2487">
        <v>1.9439999999999999E-2</v>
      </c>
      <c r="H2487" t="s">
        <v>3417</v>
      </c>
    </row>
    <row r="2488" spans="1:8">
      <c r="A2488" t="s">
        <v>1420</v>
      </c>
      <c r="B2488" t="s">
        <v>3495</v>
      </c>
      <c r="C2488">
        <v>1</v>
      </c>
      <c r="D2488">
        <v>1</v>
      </c>
      <c r="E2488">
        <v>1</v>
      </c>
      <c r="F2488">
        <v>19400</v>
      </c>
      <c r="G2488">
        <v>3.0870000000000002E-2</v>
      </c>
      <c r="H2488" t="s">
        <v>3417</v>
      </c>
    </row>
    <row r="2489" spans="1:8">
      <c r="A2489" t="s">
        <v>6853</v>
      </c>
      <c r="B2489" t="s">
        <v>6852</v>
      </c>
      <c r="C2489">
        <v>1</v>
      </c>
      <c r="D2489">
        <v>1</v>
      </c>
      <c r="E2489">
        <v>1</v>
      </c>
      <c r="F2489">
        <v>13000</v>
      </c>
      <c r="G2489">
        <v>1.8176000000000001E-2</v>
      </c>
      <c r="H2489" t="s">
        <v>3417</v>
      </c>
    </row>
    <row r="2490" spans="1:8">
      <c r="A2490" t="s">
        <v>1421</v>
      </c>
      <c r="B2490" t="s">
        <v>3496</v>
      </c>
      <c r="C2490">
        <v>1</v>
      </c>
      <c r="D2490">
        <v>1</v>
      </c>
      <c r="E2490">
        <v>1</v>
      </c>
      <c r="F2490">
        <v>21500</v>
      </c>
      <c r="G2490">
        <v>2.8799999999999999E-2</v>
      </c>
      <c r="H2490" t="s">
        <v>3417</v>
      </c>
    </row>
    <row r="2491" spans="1:8">
      <c r="A2491" t="s">
        <v>1422</v>
      </c>
      <c r="B2491" t="s">
        <v>3498</v>
      </c>
      <c r="C2491">
        <v>1</v>
      </c>
      <c r="D2491">
        <v>1</v>
      </c>
      <c r="E2491">
        <v>1</v>
      </c>
      <c r="F2491">
        <v>9600</v>
      </c>
      <c r="G2491">
        <v>1.6199999999999999E-2</v>
      </c>
      <c r="H2491" t="s">
        <v>3417</v>
      </c>
    </row>
    <row r="2492" spans="1:8">
      <c r="A2492" t="s">
        <v>6766</v>
      </c>
      <c r="B2492" t="s">
        <v>6765</v>
      </c>
      <c r="C2492">
        <v>1</v>
      </c>
      <c r="D2492">
        <v>1</v>
      </c>
      <c r="E2492">
        <v>1</v>
      </c>
      <c r="F2492">
        <v>22000</v>
      </c>
      <c r="G2492">
        <v>2.9524000000000002E-2</v>
      </c>
      <c r="H2492" t="s">
        <v>3417</v>
      </c>
    </row>
    <row r="2493" spans="1:8">
      <c r="A2493" t="s">
        <v>1423</v>
      </c>
      <c r="B2493" t="s">
        <v>3499</v>
      </c>
      <c r="C2493">
        <v>1</v>
      </c>
      <c r="D2493">
        <v>1</v>
      </c>
      <c r="E2493">
        <v>1</v>
      </c>
      <c r="F2493">
        <v>19400</v>
      </c>
      <c r="G2493">
        <v>3.1739999999999997E-2</v>
      </c>
      <c r="H2493" t="s">
        <v>3417</v>
      </c>
    </row>
    <row r="2494" spans="1:8">
      <c r="A2494" t="s">
        <v>6768</v>
      </c>
      <c r="B2494" t="s">
        <v>6767</v>
      </c>
      <c r="C2494">
        <v>1</v>
      </c>
      <c r="D2494">
        <v>1</v>
      </c>
      <c r="E2494">
        <v>1</v>
      </c>
      <c r="F2494">
        <v>9600</v>
      </c>
      <c r="G2494">
        <v>1.6199999999999999E-2</v>
      </c>
      <c r="H2494" t="s">
        <v>3417</v>
      </c>
    </row>
    <row r="2495" spans="1:8">
      <c r="A2495" t="s">
        <v>1424</v>
      </c>
      <c r="B2495" t="s">
        <v>3500</v>
      </c>
      <c r="C2495">
        <v>1</v>
      </c>
      <c r="D2495">
        <v>1</v>
      </c>
      <c r="E2495">
        <v>1</v>
      </c>
      <c r="F2495">
        <v>10350</v>
      </c>
      <c r="G2495">
        <v>1.9439999999999999E-2</v>
      </c>
      <c r="H2495" t="s">
        <v>3417</v>
      </c>
    </row>
    <row r="2496" spans="1:8">
      <c r="A2496" t="s">
        <v>6855</v>
      </c>
      <c r="B2496" t="s">
        <v>6854</v>
      </c>
      <c r="C2496">
        <v>1</v>
      </c>
      <c r="D2496">
        <v>1</v>
      </c>
      <c r="E2496">
        <v>1</v>
      </c>
      <c r="F2496">
        <v>1</v>
      </c>
      <c r="G2496">
        <v>0</v>
      </c>
      <c r="H2496" t="s">
        <v>3417</v>
      </c>
    </row>
    <row r="2497" spans="1:8">
      <c r="A2497" t="s">
        <v>9616</v>
      </c>
      <c r="B2497" t="s">
        <v>6787</v>
      </c>
      <c r="C2497">
        <v>1</v>
      </c>
      <c r="D2497">
        <v>1</v>
      </c>
      <c r="E2497">
        <v>1</v>
      </c>
      <c r="F2497">
        <v>22500</v>
      </c>
      <c r="G2497">
        <v>3.1213000000000001E-2</v>
      </c>
      <c r="H2497" t="s">
        <v>3417</v>
      </c>
    </row>
    <row r="2498" spans="1:8">
      <c r="A2498" t="s">
        <v>9617</v>
      </c>
      <c r="B2498" t="s">
        <v>6788</v>
      </c>
      <c r="C2498">
        <v>1</v>
      </c>
      <c r="D2498">
        <v>1</v>
      </c>
      <c r="E2498">
        <v>1</v>
      </c>
      <c r="F2498">
        <v>13000</v>
      </c>
      <c r="G2498">
        <v>1.6847999999999998E-2</v>
      </c>
      <c r="H2498" t="s">
        <v>3417</v>
      </c>
    </row>
    <row r="2499" spans="1:8">
      <c r="A2499" t="s">
        <v>9618</v>
      </c>
      <c r="B2499" t="s">
        <v>6785</v>
      </c>
      <c r="C2499">
        <v>1</v>
      </c>
      <c r="D2499">
        <v>1</v>
      </c>
      <c r="E2499">
        <v>1</v>
      </c>
      <c r="F2499">
        <v>23000</v>
      </c>
      <c r="G2499">
        <v>3.1387499999999999E-2</v>
      </c>
      <c r="H2499" t="s">
        <v>3417</v>
      </c>
    </row>
    <row r="2500" spans="1:8">
      <c r="A2500" t="s">
        <v>9619</v>
      </c>
      <c r="B2500" t="s">
        <v>6786</v>
      </c>
      <c r="C2500">
        <v>1</v>
      </c>
      <c r="D2500">
        <v>1</v>
      </c>
      <c r="E2500">
        <v>1</v>
      </c>
      <c r="F2500">
        <v>13500</v>
      </c>
      <c r="G2500">
        <v>1.7773500000000001E-2</v>
      </c>
      <c r="H2500" t="s">
        <v>3417</v>
      </c>
    </row>
    <row r="2501" spans="1:8">
      <c r="A2501" t="s">
        <v>9620</v>
      </c>
      <c r="B2501" t="s">
        <v>6789</v>
      </c>
      <c r="C2501">
        <v>1</v>
      </c>
      <c r="D2501">
        <v>1</v>
      </c>
      <c r="E2501">
        <v>1</v>
      </c>
      <c r="F2501">
        <v>0</v>
      </c>
      <c r="G2501">
        <v>0</v>
      </c>
      <c r="H2501" t="s">
        <v>3417</v>
      </c>
    </row>
    <row r="2502" spans="1:8">
      <c r="A2502" t="s">
        <v>9621</v>
      </c>
      <c r="B2502" t="s">
        <v>6790</v>
      </c>
      <c r="C2502">
        <v>1</v>
      </c>
      <c r="D2502">
        <v>1</v>
      </c>
      <c r="E2502">
        <v>1</v>
      </c>
      <c r="F2502">
        <v>0</v>
      </c>
      <c r="G2502">
        <v>0</v>
      </c>
      <c r="H2502" t="s">
        <v>3417</v>
      </c>
    </row>
    <row r="2503" spans="1:8">
      <c r="A2503" t="s">
        <v>6859</v>
      </c>
      <c r="B2503" t="s">
        <v>6858</v>
      </c>
      <c r="C2503">
        <v>20</v>
      </c>
      <c r="D2503">
        <v>1</v>
      </c>
      <c r="E2503">
        <v>1</v>
      </c>
      <c r="F2503">
        <v>1094.5</v>
      </c>
      <c r="G2503">
        <v>1.323875E-3</v>
      </c>
      <c r="H2503" t="s">
        <v>2203</v>
      </c>
    </row>
    <row r="2504" spans="1:8">
      <c r="A2504" t="s">
        <v>4668</v>
      </c>
      <c r="B2504" t="s">
        <v>6857</v>
      </c>
      <c r="C2504">
        <v>20</v>
      </c>
      <c r="D2504">
        <v>1</v>
      </c>
      <c r="E2504">
        <v>1</v>
      </c>
      <c r="F2504">
        <v>1081.5</v>
      </c>
      <c r="G2504">
        <v>1.3227499999999999E-3</v>
      </c>
      <c r="H2504" t="s">
        <v>2203</v>
      </c>
    </row>
    <row r="2505" spans="1:8">
      <c r="A2505" t="s">
        <v>6861</v>
      </c>
      <c r="B2505" t="s">
        <v>6860</v>
      </c>
      <c r="C2505">
        <v>20</v>
      </c>
      <c r="D2505">
        <v>1</v>
      </c>
      <c r="E2505">
        <v>1</v>
      </c>
      <c r="F2505">
        <v>1065</v>
      </c>
      <c r="G2505">
        <v>1.4174999999999999E-3</v>
      </c>
      <c r="H2505" t="s">
        <v>2203</v>
      </c>
    </row>
    <row r="2506" spans="1:8">
      <c r="A2506" t="s">
        <v>6867</v>
      </c>
      <c r="B2506" t="s">
        <v>6866</v>
      </c>
      <c r="C2506">
        <v>1</v>
      </c>
      <c r="D2506">
        <v>1</v>
      </c>
      <c r="E2506">
        <v>1</v>
      </c>
      <c r="F2506">
        <v>1</v>
      </c>
      <c r="G2506">
        <v>0</v>
      </c>
      <c r="H2506" t="s">
        <v>2303</v>
      </c>
    </row>
    <row r="2507" spans="1:8">
      <c r="A2507" t="s">
        <v>6863</v>
      </c>
      <c r="B2507" t="s">
        <v>6862</v>
      </c>
      <c r="C2507">
        <v>20</v>
      </c>
      <c r="D2507">
        <v>1</v>
      </c>
      <c r="E2507">
        <v>1</v>
      </c>
      <c r="F2507">
        <v>1</v>
      </c>
      <c r="G2507">
        <v>0</v>
      </c>
      <c r="H2507" t="s">
        <v>2197</v>
      </c>
    </row>
    <row r="2508" spans="1:8">
      <c r="A2508" t="s">
        <v>6865</v>
      </c>
      <c r="B2508" t="s">
        <v>6864</v>
      </c>
      <c r="C2508">
        <v>4</v>
      </c>
      <c r="D2508">
        <v>1</v>
      </c>
      <c r="E2508">
        <v>1</v>
      </c>
      <c r="F2508">
        <v>1</v>
      </c>
      <c r="G2508">
        <v>0</v>
      </c>
      <c r="H2508" t="s">
        <v>2307</v>
      </c>
    </row>
    <row r="2509" spans="1:8">
      <c r="A2509" t="s">
        <v>1425</v>
      </c>
      <c r="B2509" t="s">
        <v>3501</v>
      </c>
      <c r="C2509">
        <v>1</v>
      </c>
      <c r="D2509">
        <v>1</v>
      </c>
      <c r="E2509">
        <v>1</v>
      </c>
      <c r="F2509">
        <v>1</v>
      </c>
      <c r="G2509">
        <v>0</v>
      </c>
      <c r="H2509" t="s">
        <v>2221</v>
      </c>
    </row>
    <row r="2510" spans="1:8">
      <c r="A2510" t="s">
        <v>1426</v>
      </c>
      <c r="B2510" t="s">
        <v>3503</v>
      </c>
      <c r="C2510">
        <v>100</v>
      </c>
      <c r="D2510">
        <v>1</v>
      </c>
      <c r="E2510">
        <v>1</v>
      </c>
      <c r="F2510">
        <v>121</v>
      </c>
      <c r="G2510">
        <v>4.7659999999999998E-4</v>
      </c>
      <c r="H2510" t="s">
        <v>2203</v>
      </c>
    </row>
    <row r="2511" spans="1:8">
      <c r="A2511" t="s">
        <v>9622</v>
      </c>
      <c r="B2511" t="s">
        <v>6868</v>
      </c>
      <c r="C2511">
        <v>40</v>
      </c>
      <c r="D2511">
        <v>1</v>
      </c>
      <c r="E2511">
        <v>1</v>
      </c>
      <c r="F2511">
        <v>287.5</v>
      </c>
      <c r="G2511">
        <v>1.0152E-3</v>
      </c>
      <c r="H2511" t="s">
        <v>2203</v>
      </c>
    </row>
    <row r="2512" spans="1:8">
      <c r="A2512" t="s">
        <v>9623</v>
      </c>
      <c r="B2512" t="s">
        <v>6869</v>
      </c>
      <c r="C2512">
        <v>50</v>
      </c>
      <c r="D2512">
        <v>1</v>
      </c>
      <c r="E2512">
        <v>1</v>
      </c>
      <c r="F2512">
        <v>118</v>
      </c>
      <c r="G2512">
        <v>7.0200000000000004E-4</v>
      </c>
      <c r="H2512" t="s">
        <v>2203</v>
      </c>
    </row>
    <row r="2513" spans="1:8">
      <c r="A2513" t="s">
        <v>8968</v>
      </c>
      <c r="B2513" t="s">
        <v>8967</v>
      </c>
      <c r="C2513">
        <v>1</v>
      </c>
      <c r="D2513">
        <v>1</v>
      </c>
      <c r="E2513">
        <v>1</v>
      </c>
      <c r="F2513">
        <v>1</v>
      </c>
      <c r="G2513">
        <v>0</v>
      </c>
      <c r="H2513" t="s">
        <v>2221</v>
      </c>
    </row>
    <row r="2514" spans="1:8">
      <c r="A2514" t="s">
        <v>9624</v>
      </c>
      <c r="B2514" t="s">
        <v>6870</v>
      </c>
      <c r="C2514">
        <v>50</v>
      </c>
      <c r="D2514">
        <v>1</v>
      </c>
      <c r="E2514">
        <v>1</v>
      </c>
      <c r="F2514">
        <v>174.8</v>
      </c>
      <c r="G2514">
        <v>4.4246249999999997E-4</v>
      </c>
      <c r="H2514" t="s">
        <v>2197</v>
      </c>
    </row>
    <row r="2515" spans="1:8">
      <c r="A2515" t="s">
        <v>1428</v>
      </c>
      <c r="B2515" t="s">
        <v>3505</v>
      </c>
      <c r="C2515">
        <v>16</v>
      </c>
      <c r="D2515">
        <v>20</v>
      </c>
      <c r="E2515">
        <v>1</v>
      </c>
      <c r="F2515">
        <v>1</v>
      </c>
      <c r="G2515">
        <v>0</v>
      </c>
      <c r="H2515" t="s">
        <v>2203</v>
      </c>
    </row>
    <row r="2516" spans="1:8">
      <c r="A2516" t="s">
        <v>4669</v>
      </c>
      <c r="B2516" t="s">
        <v>6871</v>
      </c>
      <c r="C2516">
        <v>30</v>
      </c>
      <c r="D2516">
        <v>10</v>
      </c>
      <c r="E2516">
        <v>1</v>
      </c>
      <c r="F2516">
        <v>18.600000000000001</v>
      </c>
      <c r="G2516">
        <v>1.517E-4</v>
      </c>
      <c r="H2516" t="s">
        <v>2203</v>
      </c>
    </row>
    <row r="2517" spans="1:8">
      <c r="A2517" t="s">
        <v>1431</v>
      </c>
      <c r="B2517" t="s">
        <v>3507</v>
      </c>
      <c r="C2517">
        <v>50</v>
      </c>
      <c r="D2517">
        <v>2</v>
      </c>
      <c r="E2517">
        <v>1</v>
      </c>
      <c r="F2517">
        <v>70.900000000000006</v>
      </c>
      <c r="G2517">
        <v>5.6812500000000005E-4</v>
      </c>
      <c r="H2517" t="s">
        <v>2203</v>
      </c>
    </row>
    <row r="2518" spans="1:8">
      <c r="A2518" t="s">
        <v>8970</v>
      </c>
      <c r="B2518" t="s">
        <v>8969</v>
      </c>
      <c r="C2518">
        <v>1</v>
      </c>
      <c r="D2518">
        <v>1</v>
      </c>
      <c r="E2518">
        <v>1</v>
      </c>
      <c r="F2518">
        <v>1</v>
      </c>
      <c r="G2518">
        <v>0</v>
      </c>
      <c r="H2518" t="s">
        <v>2221</v>
      </c>
    </row>
    <row r="2519" spans="1:8">
      <c r="A2519" t="s">
        <v>8974</v>
      </c>
      <c r="B2519" t="s">
        <v>8973</v>
      </c>
      <c r="C2519">
        <v>1</v>
      </c>
      <c r="D2519">
        <v>1</v>
      </c>
      <c r="E2519">
        <v>1</v>
      </c>
      <c r="F2519">
        <v>1</v>
      </c>
      <c r="G2519">
        <v>0</v>
      </c>
      <c r="H2519" t="s">
        <v>2221</v>
      </c>
    </row>
    <row r="2520" spans="1:8">
      <c r="A2520" t="s">
        <v>8976</v>
      </c>
      <c r="B2520" t="s">
        <v>8975</v>
      </c>
      <c r="C2520">
        <v>1</v>
      </c>
      <c r="D2520">
        <v>1</v>
      </c>
      <c r="E2520">
        <v>1</v>
      </c>
      <c r="F2520">
        <v>1</v>
      </c>
      <c r="G2520">
        <v>0</v>
      </c>
      <c r="H2520" t="s">
        <v>2221</v>
      </c>
    </row>
    <row r="2521" spans="1:8">
      <c r="A2521" t="s">
        <v>8972</v>
      </c>
      <c r="B2521" t="s">
        <v>8971</v>
      </c>
      <c r="C2521">
        <v>1</v>
      </c>
      <c r="D2521">
        <v>1</v>
      </c>
      <c r="E2521">
        <v>1</v>
      </c>
      <c r="F2521">
        <v>1</v>
      </c>
      <c r="G2521">
        <v>0</v>
      </c>
      <c r="H2521" t="s">
        <v>2221</v>
      </c>
    </row>
    <row r="2522" spans="1:8">
      <c r="A2522" t="s">
        <v>6873</v>
      </c>
      <c r="B2522" t="s">
        <v>6872</v>
      </c>
      <c r="C2522">
        <v>20</v>
      </c>
      <c r="D2522">
        <v>1</v>
      </c>
      <c r="E2522">
        <v>1</v>
      </c>
      <c r="F2522">
        <v>120</v>
      </c>
      <c r="G2522">
        <v>1.2719999999999999E-3</v>
      </c>
      <c r="H2522" t="s">
        <v>2221</v>
      </c>
    </row>
    <row r="2523" spans="1:8">
      <c r="A2523" t="s">
        <v>1433</v>
      </c>
      <c r="B2523" t="s">
        <v>3508</v>
      </c>
      <c r="C2523">
        <v>10</v>
      </c>
      <c r="D2523">
        <v>1</v>
      </c>
      <c r="E2523">
        <v>1</v>
      </c>
      <c r="F2523">
        <v>1060</v>
      </c>
      <c r="G2523">
        <v>1.2600000000000001E-3</v>
      </c>
      <c r="H2523" t="s">
        <v>2203</v>
      </c>
    </row>
    <row r="2524" spans="1:8">
      <c r="A2524" t="s">
        <v>9625</v>
      </c>
      <c r="B2524" t="s">
        <v>6874</v>
      </c>
      <c r="C2524">
        <v>20</v>
      </c>
      <c r="D2524">
        <v>1</v>
      </c>
      <c r="E2524">
        <v>1</v>
      </c>
      <c r="F2524">
        <v>1095</v>
      </c>
      <c r="G2524">
        <v>2.1373E-3</v>
      </c>
      <c r="H2524" t="s">
        <v>2203</v>
      </c>
    </row>
    <row r="2525" spans="1:8">
      <c r="A2525" t="s">
        <v>1434</v>
      </c>
      <c r="B2525" t="s">
        <v>3510</v>
      </c>
      <c r="C2525">
        <v>20</v>
      </c>
      <c r="D2525">
        <v>1</v>
      </c>
      <c r="E2525">
        <v>1</v>
      </c>
      <c r="F2525">
        <v>575</v>
      </c>
      <c r="G2525">
        <v>2.5392000000000001E-3</v>
      </c>
      <c r="H2525" t="s">
        <v>2203</v>
      </c>
    </row>
    <row r="2526" spans="1:8">
      <c r="A2526" t="s">
        <v>1435</v>
      </c>
      <c r="B2526" t="s">
        <v>3511</v>
      </c>
      <c r="C2526">
        <v>12</v>
      </c>
      <c r="D2526">
        <v>1</v>
      </c>
      <c r="E2526">
        <v>1</v>
      </c>
      <c r="F2526">
        <v>858.3</v>
      </c>
      <c r="G2526">
        <v>2.0281000000000001E-3</v>
      </c>
      <c r="H2526" t="s">
        <v>2197</v>
      </c>
    </row>
    <row r="2527" spans="1:8">
      <c r="A2527" t="s">
        <v>9626</v>
      </c>
      <c r="B2527" t="s">
        <v>6877</v>
      </c>
      <c r="C2527">
        <v>24</v>
      </c>
      <c r="D2527">
        <v>1</v>
      </c>
      <c r="E2527">
        <v>1</v>
      </c>
      <c r="F2527">
        <v>550</v>
      </c>
      <c r="G2527">
        <v>1.2607E-3</v>
      </c>
      <c r="H2527" t="s">
        <v>2197</v>
      </c>
    </row>
    <row r="2528" spans="1:8">
      <c r="A2528" t="s">
        <v>9627</v>
      </c>
      <c r="B2528" t="s">
        <v>6876</v>
      </c>
      <c r="C2528">
        <v>40</v>
      </c>
      <c r="D2528">
        <v>1</v>
      </c>
      <c r="E2528">
        <v>1</v>
      </c>
      <c r="F2528">
        <v>311.3</v>
      </c>
      <c r="G2528">
        <v>8.3219999999999995E-4</v>
      </c>
      <c r="H2528" t="s">
        <v>2197</v>
      </c>
    </row>
    <row r="2529" spans="1:8">
      <c r="A2529" t="s">
        <v>9628</v>
      </c>
      <c r="B2529" t="s">
        <v>6875</v>
      </c>
      <c r="C2529">
        <v>50</v>
      </c>
      <c r="D2529">
        <v>1</v>
      </c>
      <c r="E2529">
        <v>1</v>
      </c>
      <c r="F2529">
        <v>131</v>
      </c>
      <c r="G2529">
        <v>3.8979999999999999E-4</v>
      </c>
      <c r="H2529" t="s">
        <v>2197</v>
      </c>
    </row>
    <row r="2530" spans="1:8">
      <c r="A2530" t="s">
        <v>1436</v>
      </c>
      <c r="B2530" t="s">
        <v>3513</v>
      </c>
      <c r="C2530">
        <v>15</v>
      </c>
      <c r="D2530">
        <v>1</v>
      </c>
      <c r="E2530">
        <v>1</v>
      </c>
      <c r="F2530">
        <v>1136.7</v>
      </c>
      <c r="G2530">
        <v>2.8730000000000001E-3</v>
      </c>
      <c r="H2530" t="s">
        <v>2197</v>
      </c>
    </row>
    <row r="2531" spans="1:8">
      <c r="A2531" t="s">
        <v>1437</v>
      </c>
      <c r="B2531" t="s">
        <v>3515</v>
      </c>
      <c r="C2531">
        <v>20</v>
      </c>
      <c r="D2531">
        <v>1</v>
      </c>
      <c r="E2531">
        <v>1</v>
      </c>
      <c r="F2531">
        <v>327.5</v>
      </c>
      <c r="G2531">
        <v>8.6399999999999997E-4</v>
      </c>
      <c r="H2531" t="s">
        <v>2197</v>
      </c>
    </row>
    <row r="2532" spans="1:8">
      <c r="A2532" t="s">
        <v>1438</v>
      </c>
      <c r="B2532" t="s">
        <v>3516</v>
      </c>
      <c r="C2532">
        <v>20</v>
      </c>
      <c r="D2532">
        <v>1</v>
      </c>
      <c r="E2532">
        <v>1</v>
      </c>
      <c r="F2532">
        <v>612.5</v>
      </c>
      <c r="G2532">
        <v>1.5334000000000001E-3</v>
      </c>
      <c r="H2532" t="s">
        <v>2197</v>
      </c>
    </row>
    <row r="2533" spans="1:8">
      <c r="A2533" t="s">
        <v>1439</v>
      </c>
      <c r="B2533" t="s">
        <v>3517</v>
      </c>
      <c r="C2533">
        <v>16</v>
      </c>
      <c r="D2533">
        <v>1</v>
      </c>
      <c r="E2533">
        <v>1</v>
      </c>
      <c r="F2533">
        <v>300</v>
      </c>
      <c r="G2533">
        <v>8.9099999999999997E-4</v>
      </c>
      <c r="H2533" t="s">
        <v>2203</v>
      </c>
    </row>
    <row r="2534" spans="1:8">
      <c r="A2534" t="s">
        <v>1441</v>
      </c>
      <c r="B2534" t="s">
        <v>3518</v>
      </c>
      <c r="C2534">
        <v>16</v>
      </c>
      <c r="D2534">
        <v>1</v>
      </c>
      <c r="E2534">
        <v>1</v>
      </c>
      <c r="F2534">
        <v>1</v>
      </c>
      <c r="G2534">
        <v>0</v>
      </c>
      <c r="H2534" t="s">
        <v>2203</v>
      </c>
    </row>
    <row r="2535" spans="1:8">
      <c r="A2535" t="s">
        <v>6880</v>
      </c>
      <c r="B2535" t="s">
        <v>6879</v>
      </c>
      <c r="C2535">
        <v>50</v>
      </c>
      <c r="D2535">
        <v>1</v>
      </c>
      <c r="E2535">
        <v>1</v>
      </c>
      <c r="F2535">
        <v>1</v>
      </c>
      <c r="G2535">
        <v>0</v>
      </c>
      <c r="H2535" t="s">
        <v>2203</v>
      </c>
    </row>
    <row r="2536" spans="1:8">
      <c r="A2536" t="s">
        <v>9629</v>
      </c>
      <c r="B2536" t="s">
        <v>6878</v>
      </c>
      <c r="C2536">
        <v>50</v>
      </c>
      <c r="D2536">
        <v>1</v>
      </c>
      <c r="E2536">
        <v>1</v>
      </c>
      <c r="F2536">
        <v>63</v>
      </c>
      <c r="G2536">
        <v>2.3855999999999999E-4</v>
      </c>
      <c r="H2536" t="s">
        <v>2203</v>
      </c>
    </row>
    <row r="2537" spans="1:8">
      <c r="A2537" t="s">
        <v>1443</v>
      </c>
      <c r="B2537" t="s">
        <v>3520</v>
      </c>
      <c r="C2537">
        <v>4</v>
      </c>
      <c r="D2537">
        <v>75</v>
      </c>
      <c r="E2537">
        <v>1</v>
      </c>
      <c r="F2537">
        <v>36.799999999999997</v>
      </c>
      <c r="G2537" s="4">
        <v>7.9800000000000002E-5</v>
      </c>
      <c r="H2537" t="s">
        <v>2197</v>
      </c>
    </row>
    <row r="2538" spans="1:8">
      <c r="A2538" t="s">
        <v>8978</v>
      </c>
      <c r="B2538" t="s">
        <v>8977</v>
      </c>
      <c r="C2538">
        <v>1</v>
      </c>
      <c r="D2538">
        <v>1</v>
      </c>
      <c r="E2538">
        <v>1</v>
      </c>
      <c r="F2538">
        <v>1</v>
      </c>
      <c r="G2538">
        <v>0</v>
      </c>
      <c r="H2538" t="s">
        <v>2221</v>
      </c>
    </row>
    <row r="2539" spans="1:8">
      <c r="A2539" t="s">
        <v>6882</v>
      </c>
      <c r="B2539" t="s">
        <v>6881</v>
      </c>
      <c r="C2539">
        <v>30</v>
      </c>
      <c r="D2539">
        <v>1</v>
      </c>
      <c r="E2539">
        <v>1</v>
      </c>
      <c r="F2539">
        <v>1</v>
      </c>
      <c r="G2539">
        <v>0</v>
      </c>
      <c r="H2539" t="s">
        <v>2203</v>
      </c>
    </row>
    <row r="2540" spans="1:8">
      <c r="A2540" t="s">
        <v>6884</v>
      </c>
      <c r="B2540" t="s">
        <v>6883</v>
      </c>
      <c r="C2540">
        <v>30</v>
      </c>
      <c r="D2540">
        <v>1</v>
      </c>
      <c r="E2540">
        <v>1</v>
      </c>
      <c r="F2540">
        <v>1</v>
      </c>
      <c r="G2540">
        <v>0</v>
      </c>
      <c r="H2540" t="s">
        <v>2203</v>
      </c>
    </row>
    <row r="2541" spans="1:8">
      <c r="A2541" t="s">
        <v>6886</v>
      </c>
      <c r="B2541" t="s">
        <v>6885</v>
      </c>
      <c r="C2541">
        <v>30</v>
      </c>
      <c r="D2541">
        <v>1</v>
      </c>
      <c r="E2541">
        <v>1</v>
      </c>
      <c r="F2541">
        <v>1</v>
      </c>
      <c r="G2541">
        <v>0</v>
      </c>
      <c r="H2541" t="s">
        <v>2203</v>
      </c>
    </row>
    <row r="2542" spans="1:8">
      <c r="A2542" t="s">
        <v>1444</v>
      </c>
      <c r="B2542" t="s">
        <v>3521</v>
      </c>
      <c r="C2542">
        <v>1</v>
      </c>
      <c r="D2542">
        <v>1</v>
      </c>
      <c r="E2542">
        <v>1</v>
      </c>
      <c r="F2542">
        <v>1</v>
      </c>
      <c r="G2542">
        <v>0</v>
      </c>
      <c r="H2542" t="s">
        <v>2197</v>
      </c>
    </row>
    <row r="2543" spans="1:8">
      <c r="A2543" t="s">
        <v>4670</v>
      </c>
      <c r="B2543" t="s">
        <v>6887</v>
      </c>
      <c r="C2543">
        <v>40</v>
      </c>
      <c r="D2543">
        <v>1</v>
      </c>
      <c r="E2543">
        <v>1</v>
      </c>
      <c r="F2543">
        <v>310.25</v>
      </c>
      <c r="G2543">
        <v>6.7252499999999999E-4</v>
      </c>
      <c r="H2543" t="s">
        <v>2197</v>
      </c>
    </row>
    <row r="2544" spans="1:8">
      <c r="A2544" t="s">
        <v>9630</v>
      </c>
      <c r="B2544" t="s">
        <v>6889</v>
      </c>
      <c r="C2544">
        <v>1</v>
      </c>
      <c r="D2544">
        <v>1</v>
      </c>
      <c r="E2544">
        <v>1</v>
      </c>
      <c r="F2544">
        <v>25560</v>
      </c>
      <c r="G2544">
        <v>3.168E-2</v>
      </c>
      <c r="H2544" t="s">
        <v>2994</v>
      </c>
    </row>
    <row r="2545" spans="1:8">
      <c r="A2545" t="s">
        <v>9631</v>
      </c>
      <c r="B2545" t="s">
        <v>6888</v>
      </c>
      <c r="C2545">
        <v>4</v>
      </c>
      <c r="D2545">
        <v>1</v>
      </c>
      <c r="E2545">
        <v>1</v>
      </c>
      <c r="F2545">
        <v>5100</v>
      </c>
      <c r="G2545">
        <v>1.189E-2</v>
      </c>
      <c r="H2545" t="s">
        <v>2203</v>
      </c>
    </row>
    <row r="2546" spans="1:8">
      <c r="A2546" t="s">
        <v>6891</v>
      </c>
      <c r="B2546" t="s">
        <v>6890</v>
      </c>
      <c r="C2546">
        <v>20</v>
      </c>
      <c r="D2546">
        <v>1</v>
      </c>
      <c r="E2546">
        <v>1</v>
      </c>
      <c r="F2546">
        <v>1000</v>
      </c>
      <c r="G2546">
        <v>0</v>
      </c>
      <c r="H2546" t="s">
        <v>2197</v>
      </c>
    </row>
    <row r="2547" spans="1:8">
      <c r="A2547" t="s">
        <v>6893</v>
      </c>
      <c r="B2547" t="s">
        <v>6892</v>
      </c>
      <c r="C2547">
        <v>4</v>
      </c>
      <c r="D2547">
        <v>1</v>
      </c>
      <c r="E2547">
        <v>1</v>
      </c>
      <c r="F2547">
        <v>5000</v>
      </c>
      <c r="G2547">
        <v>0</v>
      </c>
      <c r="H2547" t="s">
        <v>2307</v>
      </c>
    </row>
    <row r="2548" spans="1:8">
      <c r="A2548" t="s">
        <v>1445</v>
      </c>
      <c r="B2548" t="s">
        <v>3523</v>
      </c>
      <c r="C2548">
        <v>1</v>
      </c>
      <c r="D2548">
        <v>1</v>
      </c>
      <c r="E2548">
        <v>1</v>
      </c>
      <c r="F2548">
        <v>1</v>
      </c>
      <c r="G2548">
        <v>0</v>
      </c>
      <c r="H2548" t="s">
        <v>2221</v>
      </c>
    </row>
    <row r="2549" spans="1:8">
      <c r="A2549" t="s">
        <v>1446</v>
      </c>
      <c r="B2549" t="s">
        <v>3524</v>
      </c>
      <c r="C2549">
        <v>1</v>
      </c>
      <c r="D2549">
        <v>1</v>
      </c>
      <c r="E2549">
        <v>1</v>
      </c>
      <c r="F2549">
        <v>1</v>
      </c>
      <c r="G2549">
        <v>0</v>
      </c>
      <c r="H2549" t="s">
        <v>2221</v>
      </c>
    </row>
    <row r="2550" spans="1:8">
      <c r="A2550" t="s">
        <v>1447</v>
      </c>
      <c r="B2550" t="s">
        <v>3525</v>
      </c>
      <c r="C2550">
        <v>1</v>
      </c>
      <c r="D2550">
        <v>1</v>
      </c>
      <c r="E2550">
        <v>1</v>
      </c>
      <c r="F2550">
        <v>1</v>
      </c>
      <c r="G2550">
        <v>0</v>
      </c>
      <c r="H2550" t="s">
        <v>2221</v>
      </c>
    </row>
    <row r="2551" spans="1:8">
      <c r="A2551" t="s">
        <v>4671</v>
      </c>
      <c r="B2551" t="s">
        <v>6894</v>
      </c>
      <c r="C2551">
        <v>40</v>
      </c>
      <c r="D2551">
        <v>1</v>
      </c>
      <c r="E2551">
        <v>1</v>
      </c>
      <c r="F2551">
        <v>0</v>
      </c>
      <c r="G2551">
        <v>0</v>
      </c>
      <c r="H2551" t="s">
        <v>2197</v>
      </c>
    </row>
    <row r="2552" spans="1:8">
      <c r="A2552" t="s">
        <v>4672</v>
      </c>
      <c r="B2552" t="s">
        <v>6895</v>
      </c>
      <c r="C2552">
        <v>100</v>
      </c>
      <c r="D2552">
        <v>1</v>
      </c>
      <c r="E2552">
        <v>1</v>
      </c>
      <c r="F2552">
        <v>0</v>
      </c>
      <c r="G2552">
        <v>0</v>
      </c>
      <c r="H2552" t="s">
        <v>2203</v>
      </c>
    </row>
    <row r="2553" spans="1:8">
      <c r="A2553" t="s">
        <v>4675</v>
      </c>
      <c r="B2553" t="s">
        <v>6897</v>
      </c>
      <c r="C2553">
        <v>150</v>
      </c>
      <c r="D2553">
        <v>1</v>
      </c>
      <c r="E2553">
        <v>1</v>
      </c>
      <c r="F2553">
        <v>115.4</v>
      </c>
      <c r="G2553">
        <v>1.9968000000000001E-4</v>
      </c>
      <c r="H2553" t="s">
        <v>2203</v>
      </c>
    </row>
    <row r="2554" spans="1:8">
      <c r="A2554" t="s">
        <v>4673</v>
      </c>
      <c r="B2554" t="s">
        <v>6896</v>
      </c>
      <c r="C2554">
        <v>20</v>
      </c>
      <c r="D2554">
        <v>1</v>
      </c>
      <c r="E2554">
        <v>1</v>
      </c>
      <c r="F2554">
        <v>825.5</v>
      </c>
      <c r="G2554">
        <v>9.8999999999999999E-4</v>
      </c>
      <c r="H2554" t="s">
        <v>2197</v>
      </c>
    </row>
    <row r="2555" spans="1:8">
      <c r="A2555" t="s">
        <v>4674</v>
      </c>
      <c r="B2555" t="s">
        <v>6898</v>
      </c>
      <c r="C2555">
        <v>30</v>
      </c>
      <c r="D2555">
        <v>1</v>
      </c>
      <c r="E2555">
        <v>1</v>
      </c>
      <c r="F2555">
        <v>0</v>
      </c>
      <c r="G2555">
        <v>0</v>
      </c>
      <c r="H2555" t="s">
        <v>2203</v>
      </c>
    </row>
    <row r="2556" spans="1:8">
      <c r="A2556" t="s">
        <v>1448</v>
      </c>
      <c r="B2556" t="s">
        <v>3526</v>
      </c>
      <c r="C2556">
        <v>1</v>
      </c>
      <c r="D2556">
        <v>1</v>
      </c>
      <c r="E2556">
        <v>1</v>
      </c>
      <c r="F2556">
        <v>1</v>
      </c>
      <c r="G2556">
        <v>0</v>
      </c>
      <c r="H2556" t="s">
        <v>2221</v>
      </c>
    </row>
    <row r="2557" spans="1:8">
      <c r="A2557" t="s">
        <v>1449</v>
      </c>
      <c r="B2557" t="s">
        <v>3527</v>
      </c>
      <c r="C2557">
        <v>1</v>
      </c>
      <c r="D2557">
        <v>1</v>
      </c>
      <c r="E2557">
        <v>1</v>
      </c>
      <c r="F2557">
        <v>1</v>
      </c>
      <c r="G2557">
        <v>0</v>
      </c>
      <c r="H2557" t="s">
        <v>2221</v>
      </c>
    </row>
    <row r="2558" spans="1:8">
      <c r="A2558" t="s">
        <v>1450</v>
      </c>
      <c r="B2558" t="s">
        <v>3528</v>
      </c>
      <c r="C2558">
        <v>1</v>
      </c>
      <c r="D2558">
        <v>1</v>
      </c>
      <c r="E2558">
        <v>1</v>
      </c>
      <c r="F2558">
        <v>1</v>
      </c>
      <c r="G2558">
        <v>0</v>
      </c>
      <c r="H2558" t="s">
        <v>2221</v>
      </c>
    </row>
    <row r="2559" spans="1:8">
      <c r="A2559" t="s">
        <v>1451</v>
      </c>
      <c r="B2559" t="s">
        <v>3529</v>
      </c>
      <c r="C2559">
        <v>1</v>
      </c>
      <c r="D2559">
        <v>1</v>
      </c>
      <c r="E2559">
        <v>1</v>
      </c>
      <c r="F2559">
        <v>1</v>
      </c>
      <c r="G2559">
        <v>0</v>
      </c>
      <c r="H2559" t="s">
        <v>2221</v>
      </c>
    </row>
    <row r="2560" spans="1:8">
      <c r="A2560" t="s">
        <v>1452</v>
      </c>
      <c r="B2560" t="s">
        <v>3531</v>
      </c>
      <c r="C2560">
        <v>1</v>
      </c>
      <c r="D2560">
        <v>1</v>
      </c>
      <c r="E2560">
        <v>1</v>
      </c>
      <c r="F2560">
        <v>1</v>
      </c>
      <c r="G2560">
        <v>0</v>
      </c>
      <c r="H2560" t="s">
        <v>2221</v>
      </c>
    </row>
    <row r="2561" spans="1:8">
      <c r="A2561" t="s">
        <v>1453</v>
      </c>
      <c r="B2561" t="s">
        <v>3533</v>
      </c>
      <c r="C2561">
        <v>20</v>
      </c>
      <c r="D2561">
        <v>1</v>
      </c>
      <c r="E2561">
        <v>1</v>
      </c>
      <c r="F2561">
        <v>615</v>
      </c>
      <c r="G2561">
        <v>1.2539999999999999E-3</v>
      </c>
      <c r="H2561" t="s">
        <v>2197</v>
      </c>
    </row>
    <row r="2562" spans="1:8">
      <c r="A2562" t="s">
        <v>1455</v>
      </c>
      <c r="B2562" t="s">
        <v>3535</v>
      </c>
      <c r="C2562">
        <v>20</v>
      </c>
      <c r="D2562">
        <v>1</v>
      </c>
      <c r="E2562">
        <v>1</v>
      </c>
      <c r="F2562">
        <v>1</v>
      </c>
      <c r="G2562">
        <v>0</v>
      </c>
      <c r="H2562" t="s">
        <v>2197</v>
      </c>
    </row>
    <row r="2563" spans="1:8">
      <c r="A2563" t="s">
        <v>1457</v>
      </c>
      <c r="B2563" t="s">
        <v>3536</v>
      </c>
      <c r="C2563">
        <v>40</v>
      </c>
      <c r="D2563">
        <v>1</v>
      </c>
      <c r="E2563">
        <v>1</v>
      </c>
      <c r="F2563">
        <v>326.3</v>
      </c>
      <c r="G2563">
        <v>6.6989999999999997E-4</v>
      </c>
      <c r="H2563" t="s">
        <v>2197</v>
      </c>
    </row>
    <row r="2564" spans="1:8">
      <c r="A2564" t="s">
        <v>1458</v>
      </c>
      <c r="B2564" t="s">
        <v>3537</v>
      </c>
      <c r="C2564">
        <v>40</v>
      </c>
      <c r="D2564">
        <v>1</v>
      </c>
      <c r="E2564">
        <v>1</v>
      </c>
      <c r="F2564">
        <v>1</v>
      </c>
      <c r="G2564">
        <v>0</v>
      </c>
      <c r="H2564" t="s">
        <v>2197</v>
      </c>
    </row>
    <row r="2565" spans="1:8">
      <c r="A2565" t="s">
        <v>9632</v>
      </c>
      <c r="B2565" t="s">
        <v>6899</v>
      </c>
      <c r="C2565">
        <v>50</v>
      </c>
      <c r="D2565">
        <v>1</v>
      </c>
      <c r="E2565">
        <v>1</v>
      </c>
      <c r="F2565">
        <v>131</v>
      </c>
      <c r="G2565">
        <v>2.9740000000000002E-4</v>
      </c>
      <c r="H2565" t="s">
        <v>2197</v>
      </c>
    </row>
    <row r="2566" spans="1:8">
      <c r="A2566" t="s">
        <v>8305</v>
      </c>
      <c r="B2566" t="s">
        <v>8304</v>
      </c>
      <c r="C2566">
        <v>1</v>
      </c>
      <c r="D2566">
        <v>1</v>
      </c>
      <c r="E2566">
        <v>1</v>
      </c>
      <c r="F2566">
        <v>1</v>
      </c>
      <c r="G2566">
        <v>0</v>
      </c>
      <c r="H2566" t="s">
        <v>2221</v>
      </c>
    </row>
    <row r="2567" spans="1:8">
      <c r="A2567" t="s">
        <v>8980</v>
      </c>
      <c r="B2567" t="s">
        <v>8979</v>
      </c>
      <c r="C2567">
        <v>1</v>
      </c>
      <c r="D2567">
        <v>1</v>
      </c>
      <c r="E2567">
        <v>1</v>
      </c>
      <c r="F2567">
        <v>1</v>
      </c>
      <c r="G2567">
        <v>0</v>
      </c>
      <c r="H2567" t="s">
        <v>2221</v>
      </c>
    </row>
    <row r="2568" spans="1:8">
      <c r="A2568" t="s">
        <v>8982</v>
      </c>
      <c r="B2568" t="s">
        <v>8981</v>
      </c>
      <c r="C2568">
        <v>1</v>
      </c>
      <c r="D2568">
        <v>1</v>
      </c>
      <c r="E2568">
        <v>1</v>
      </c>
      <c r="F2568">
        <v>1</v>
      </c>
      <c r="G2568">
        <v>0</v>
      </c>
      <c r="H2568" t="s">
        <v>2203</v>
      </c>
    </row>
    <row r="2569" spans="1:8">
      <c r="A2569" t="s">
        <v>6901</v>
      </c>
      <c r="B2569" t="s">
        <v>6900</v>
      </c>
      <c r="C2569">
        <v>20</v>
      </c>
      <c r="D2569">
        <v>1</v>
      </c>
      <c r="E2569">
        <v>1</v>
      </c>
      <c r="F2569">
        <v>587.5</v>
      </c>
      <c r="G2569">
        <v>1.2999999999999999E-3</v>
      </c>
      <c r="H2569" t="s">
        <v>2197</v>
      </c>
    </row>
    <row r="2570" spans="1:8">
      <c r="A2570" t="s">
        <v>9633</v>
      </c>
      <c r="B2570" t="s">
        <v>6902</v>
      </c>
      <c r="C2570">
        <v>50</v>
      </c>
      <c r="D2570">
        <v>1</v>
      </c>
      <c r="E2570">
        <v>1</v>
      </c>
      <c r="F2570">
        <v>138</v>
      </c>
      <c r="G2570">
        <v>3.3700000000000001E-4</v>
      </c>
      <c r="H2570" t="s">
        <v>2197</v>
      </c>
    </row>
    <row r="2571" spans="1:8">
      <c r="A2571" t="s">
        <v>9634</v>
      </c>
      <c r="B2571" t="s">
        <v>6903</v>
      </c>
      <c r="C2571">
        <v>50</v>
      </c>
      <c r="D2571">
        <v>1</v>
      </c>
      <c r="E2571">
        <v>1</v>
      </c>
      <c r="F2571">
        <v>88</v>
      </c>
      <c r="G2571">
        <v>3.1690000000000001E-4</v>
      </c>
      <c r="H2571" t="s">
        <v>2197</v>
      </c>
    </row>
    <row r="2572" spans="1:8">
      <c r="A2572" t="s">
        <v>4990</v>
      </c>
      <c r="B2572" t="s">
        <v>6918</v>
      </c>
      <c r="C2572">
        <v>20</v>
      </c>
      <c r="D2572">
        <v>1</v>
      </c>
      <c r="E2572">
        <v>1</v>
      </c>
      <c r="F2572">
        <v>1211.5</v>
      </c>
      <c r="G2572">
        <v>2.6137999999999999E-3</v>
      </c>
      <c r="H2572" t="s">
        <v>2197</v>
      </c>
    </row>
    <row r="2573" spans="1:8">
      <c r="A2573" t="s">
        <v>6916</v>
      </c>
      <c r="B2573" t="s">
        <v>6915</v>
      </c>
      <c r="C2573">
        <v>1</v>
      </c>
      <c r="D2573">
        <v>1</v>
      </c>
      <c r="E2573">
        <v>1</v>
      </c>
      <c r="F2573">
        <v>0</v>
      </c>
      <c r="G2573">
        <v>0</v>
      </c>
      <c r="H2573" t="s">
        <v>2303</v>
      </c>
    </row>
    <row r="2574" spans="1:8">
      <c r="A2574" t="s">
        <v>4676</v>
      </c>
      <c r="B2574" t="s">
        <v>6904</v>
      </c>
      <c r="C2574">
        <v>20</v>
      </c>
      <c r="D2574">
        <v>1</v>
      </c>
      <c r="E2574">
        <v>1</v>
      </c>
      <c r="F2574">
        <v>1211.5</v>
      </c>
      <c r="G2574">
        <v>2.6137500000000002E-3</v>
      </c>
      <c r="H2574" t="s">
        <v>2197</v>
      </c>
    </row>
    <row r="2575" spans="1:8">
      <c r="A2575" t="s">
        <v>6906</v>
      </c>
      <c r="B2575" t="s">
        <v>6905</v>
      </c>
      <c r="C2575">
        <v>20</v>
      </c>
      <c r="D2575">
        <v>1</v>
      </c>
      <c r="E2575">
        <v>1</v>
      </c>
      <c r="F2575">
        <v>651</v>
      </c>
      <c r="G2575">
        <v>1.3162499999999999E-3</v>
      </c>
      <c r="H2575" t="s">
        <v>2197</v>
      </c>
    </row>
    <row r="2576" spans="1:8">
      <c r="A2576" t="s">
        <v>4677</v>
      </c>
      <c r="B2576" t="s">
        <v>6917</v>
      </c>
      <c r="C2576">
        <v>4</v>
      </c>
      <c r="D2576">
        <v>1</v>
      </c>
      <c r="E2576">
        <v>1</v>
      </c>
      <c r="F2576">
        <v>651</v>
      </c>
      <c r="G2576">
        <v>1.3162499999999999E-3</v>
      </c>
      <c r="H2576" t="s">
        <v>2307</v>
      </c>
    </row>
    <row r="2577" spans="1:8">
      <c r="A2577" t="s">
        <v>6908</v>
      </c>
      <c r="B2577" t="s">
        <v>6907</v>
      </c>
      <c r="C2577">
        <v>50</v>
      </c>
      <c r="D2577">
        <v>1</v>
      </c>
      <c r="E2577">
        <v>1</v>
      </c>
      <c r="F2577">
        <v>0</v>
      </c>
      <c r="G2577">
        <v>0</v>
      </c>
      <c r="H2577" t="s">
        <v>2197</v>
      </c>
    </row>
    <row r="2578" spans="1:8">
      <c r="A2578" t="s">
        <v>6914</v>
      </c>
      <c r="B2578" t="s">
        <v>6913</v>
      </c>
      <c r="C2578">
        <v>1</v>
      </c>
      <c r="D2578">
        <v>1</v>
      </c>
      <c r="E2578">
        <v>1</v>
      </c>
      <c r="F2578">
        <v>0</v>
      </c>
      <c r="G2578">
        <v>0</v>
      </c>
      <c r="H2578" t="s">
        <v>2303</v>
      </c>
    </row>
    <row r="2579" spans="1:8">
      <c r="A2579" t="s">
        <v>6910</v>
      </c>
      <c r="B2579" t="s">
        <v>6909</v>
      </c>
      <c r="C2579">
        <v>20</v>
      </c>
      <c r="D2579">
        <v>1</v>
      </c>
      <c r="E2579">
        <v>1</v>
      </c>
      <c r="F2579">
        <v>0</v>
      </c>
      <c r="G2579">
        <v>0</v>
      </c>
      <c r="H2579" t="s">
        <v>2197</v>
      </c>
    </row>
    <row r="2580" spans="1:8">
      <c r="A2580" t="s">
        <v>6912</v>
      </c>
      <c r="B2580" t="s">
        <v>6911</v>
      </c>
      <c r="C2580">
        <v>4</v>
      </c>
      <c r="D2580">
        <v>1</v>
      </c>
      <c r="E2580">
        <v>1</v>
      </c>
      <c r="F2580">
        <v>0</v>
      </c>
      <c r="G2580">
        <v>0</v>
      </c>
      <c r="H2580" t="s">
        <v>2307</v>
      </c>
    </row>
    <row r="2581" spans="1:8">
      <c r="A2581" t="s">
        <v>1459</v>
      </c>
      <c r="B2581" t="s">
        <v>3539</v>
      </c>
      <c r="C2581">
        <v>1</v>
      </c>
      <c r="D2581">
        <v>1</v>
      </c>
      <c r="E2581">
        <v>1</v>
      </c>
      <c r="F2581">
        <v>0</v>
      </c>
      <c r="G2581">
        <v>0</v>
      </c>
      <c r="H2581" t="s">
        <v>2221</v>
      </c>
    </row>
    <row r="2582" spans="1:8">
      <c r="A2582" t="s">
        <v>1460</v>
      </c>
      <c r="B2582" t="s">
        <v>3540</v>
      </c>
      <c r="C2582">
        <v>1</v>
      </c>
      <c r="D2582">
        <v>1</v>
      </c>
      <c r="E2582">
        <v>1</v>
      </c>
      <c r="F2582">
        <v>25560</v>
      </c>
      <c r="G2582">
        <v>3.168E-2</v>
      </c>
      <c r="H2582" t="s">
        <v>2994</v>
      </c>
    </row>
    <row r="2583" spans="1:8">
      <c r="A2583" t="s">
        <v>6934</v>
      </c>
      <c r="B2583" t="s">
        <v>6933</v>
      </c>
      <c r="C2583">
        <v>25</v>
      </c>
      <c r="D2583">
        <v>1</v>
      </c>
      <c r="E2583">
        <v>1</v>
      </c>
      <c r="F2583">
        <v>1000</v>
      </c>
      <c r="G2583">
        <v>0</v>
      </c>
      <c r="H2583" t="s">
        <v>2203</v>
      </c>
    </row>
    <row r="2584" spans="1:8">
      <c r="A2584" t="s">
        <v>1461</v>
      </c>
      <c r="B2584" t="s">
        <v>3541</v>
      </c>
      <c r="C2584">
        <v>1</v>
      </c>
      <c r="D2584">
        <v>1</v>
      </c>
      <c r="E2584">
        <v>1</v>
      </c>
      <c r="F2584">
        <v>51000</v>
      </c>
      <c r="G2584">
        <v>5.3999999999999999E-2</v>
      </c>
      <c r="H2584" t="s">
        <v>2994</v>
      </c>
    </row>
    <row r="2585" spans="1:8">
      <c r="A2585" t="s">
        <v>6920</v>
      </c>
      <c r="B2585" t="s">
        <v>6919</v>
      </c>
      <c r="C2585">
        <v>1</v>
      </c>
      <c r="D2585">
        <v>1</v>
      </c>
      <c r="E2585">
        <v>1</v>
      </c>
      <c r="F2585">
        <v>0</v>
      </c>
      <c r="G2585">
        <v>0</v>
      </c>
      <c r="H2585" t="s">
        <v>2994</v>
      </c>
    </row>
    <row r="2586" spans="1:8">
      <c r="A2586" t="s">
        <v>6924</v>
      </c>
      <c r="B2586" t="s">
        <v>6923</v>
      </c>
      <c r="C2586">
        <v>20</v>
      </c>
      <c r="D2586">
        <v>1</v>
      </c>
      <c r="E2586">
        <v>1</v>
      </c>
      <c r="F2586">
        <v>0</v>
      </c>
      <c r="G2586">
        <v>0</v>
      </c>
      <c r="H2586" t="s">
        <v>2203</v>
      </c>
    </row>
    <row r="2587" spans="1:8">
      <c r="A2587" t="s">
        <v>6922</v>
      </c>
      <c r="B2587" t="s">
        <v>6921</v>
      </c>
      <c r="C2587">
        <v>1</v>
      </c>
      <c r="D2587">
        <v>1</v>
      </c>
      <c r="E2587">
        <v>1</v>
      </c>
      <c r="F2587">
        <v>51000</v>
      </c>
      <c r="G2587">
        <v>5.3999999999999999E-2</v>
      </c>
      <c r="H2587" t="s">
        <v>2994</v>
      </c>
    </row>
    <row r="2588" spans="1:8">
      <c r="A2588" t="s">
        <v>6926</v>
      </c>
      <c r="B2588" t="s">
        <v>6925</v>
      </c>
      <c r="C2588">
        <v>50</v>
      </c>
      <c r="D2588">
        <v>1</v>
      </c>
      <c r="E2588">
        <v>1</v>
      </c>
      <c r="F2588">
        <v>0</v>
      </c>
      <c r="G2588">
        <v>0</v>
      </c>
      <c r="H2588" t="s">
        <v>2203</v>
      </c>
    </row>
    <row r="2589" spans="1:8">
      <c r="A2589" t="s">
        <v>6945</v>
      </c>
      <c r="B2589" t="s">
        <v>6944</v>
      </c>
      <c r="C2589">
        <v>1</v>
      </c>
      <c r="D2589">
        <v>1</v>
      </c>
      <c r="E2589">
        <v>1</v>
      </c>
      <c r="F2589">
        <v>1</v>
      </c>
      <c r="G2589">
        <v>0</v>
      </c>
      <c r="H2589" t="s">
        <v>2994</v>
      </c>
    </row>
    <row r="2590" spans="1:8">
      <c r="A2590" t="s">
        <v>4678</v>
      </c>
      <c r="B2590" t="s">
        <v>6936</v>
      </c>
      <c r="C2590">
        <v>1</v>
      </c>
      <c r="D2590">
        <v>1</v>
      </c>
      <c r="E2590">
        <v>1</v>
      </c>
      <c r="F2590">
        <v>51000</v>
      </c>
      <c r="G2590">
        <v>5.3999999999999999E-2</v>
      </c>
      <c r="H2590" t="s">
        <v>2994</v>
      </c>
    </row>
    <row r="2591" spans="1:8">
      <c r="A2591" t="s">
        <v>4680</v>
      </c>
      <c r="B2591" t="s">
        <v>6948</v>
      </c>
      <c r="C2591">
        <v>1</v>
      </c>
      <c r="D2591">
        <v>1</v>
      </c>
      <c r="E2591">
        <v>1</v>
      </c>
      <c r="F2591">
        <v>21000</v>
      </c>
      <c r="G2591">
        <v>3.168E-2</v>
      </c>
      <c r="H2591" t="s">
        <v>2994</v>
      </c>
    </row>
    <row r="2592" spans="1:8">
      <c r="A2592" t="s">
        <v>6943</v>
      </c>
      <c r="B2592" t="s">
        <v>6942</v>
      </c>
      <c r="C2592">
        <v>20</v>
      </c>
      <c r="D2592">
        <v>1</v>
      </c>
      <c r="E2592">
        <v>1</v>
      </c>
      <c r="F2592">
        <v>1048</v>
      </c>
      <c r="G2592">
        <v>1.3680000000000001E-3</v>
      </c>
      <c r="H2592" t="s">
        <v>2203</v>
      </c>
    </row>
    <row r="2593" spans="1:8">
      <c r="A2593" t="s">
        <v>4679</v>
      </c>
      <c r="B2593" t="s">
        <v>6935</v>
      </c>
      <c r="C2593">
        <v>1</v>
      </c>
      <c r="D2593">
        <v>1</v>
      </c>
      <c r="E2593">
        <v>1</v>
      </c>
      <c r="F2593">
        <v>51000</v>
      </c>
      <c r="G2593">
        <v>5.3999999999999999E-2</v>
      </c>
      <c r="H2593" t="s">
        <v>2994</v>
      </c>
    </row>
    <row r="2594" spans="1:8">
      <c r="A2594" t="s">
        <v>9635</v>
      </c>
      <c r="B2594" t="s">
        <v>6928</v>
      </c>
      <c r="C2594">
        <v>1</v>
      </c>
      <c r="D2594">
        <v>1</v>
      </c>
      <c r="E2594">
        <v>1</v>
      </c>
      <c r="F2594">
        <v>51000</v>
      </c>
      <c r="G2594">
        <v>5.3999999999999999E-2</v>
      </c>
      <c r="H2594" t="s">
        <v>2994</v>
      </c>
    </row>
    <row r="2595" spans="1:8">
      <c r="A2595" t="s">
        <v>9636</v>
      </c>
      <c r="B2595" t="s">
        <v>6937</v>
      </c>
      <c r="C2595">
        <v>1</v>
      </c>
      <c r="D2595">
        <v>1</v>
      </c>
      <c r="E2595">
        <v>1</v>
      </c>
      <c r="F2595">
        <v>20000</v>
      </c>
      <c r="G2595">
        <v>0</v>
      </c>
      <c r="H2595" t="s">
        <v>2994</v>
      </c>
    </row>
    <row r="2596" spans="1:8">
      <c r="A2596" t="s">
        <v>9637</v>
      </c>
      <c r="B2596" t="s">
        <v>6930</v>
      </c>
      <c r="C2596">
        <v>20</v>
      </c>
      <c r="D2596">
        <v>1</v>
      </c>
      <c r="E2596">
        <v>1</v>
      </c>
      <c r="F2596">
        <v>1040</v>
      </c>
      <c r="G2596">
        <v>0</v>
      </c>
      <c r="H2596" t="s">
        <v>2203</v>
      </c>
    </row>
    <row r="2597" spans="1:8">
      <c r="A2597" t="s">
        <v>9638</v>
      </c>
      <c r="B2597" t="s">
        <v>6927</v>
      </c>
      <c r="C2597">
        <v>1</v>
      </c>
      <c r="D2597">
        <v>1</v>
      </c>
      <c r="E2597">
        <v>1</v>
      </c>
      <c r="F2597">
        <v>51000</v>
      </c>
      <c r="G2597">
        <v>5.3999999999999999E-2</v>
      </c>
      <c r="H2597" t="s">
        <v>2994</v>
      </c>
    </row>
    <row r="2598" spans="1:8">
      <c r="A2598" t="s">
        <v>9639</v>
      </c>
      <c r="B2598" t="s">
        <v>6931</v>
      </c>
      <c r="C2598">
        <v>50</v>
      </c>
      <c r="D2598">
        <v>1</v>
      </c>
      <c r="E2598">
        <v>1</v>
      </c>
      <c r="F2598">
        <v>0</v>
      </c>
      <c r="G2598">
        <v>0</v>
      </c>
      <c r="H2598" t="s">
        <v>2203</v>
      </c>
    </row>
    <row r="2599" spans="1:8">
      <c r="A2599" t="s">
        <v>9640</v>
      </c>
      <c r="B2599" t="s">
        <v>6932</v>
      </c>
      <c r="C2599">
        <v>1</v>
      </c>
      <c r="D2599">
        <v>1</v>
      </c>
      <c r="E2599">
        <v>1</v>
      </c>
      <c r="F2599">
        <v>20000</v>
      </c>
      <c r="G2599">
        <v>0</v>
      </c>
      <c r="H2599" t="s">
        <v>2994</v>
      </c>
    </row>
    <row r="2600" spans="1:8">
      <c r="A2600" t="s">
        <v>9641</v>
      </c>
      <c r="B2600" t="s">
        <v>6929</v>
      </c>
      <c r="C2600">
        <v>1</v>
      </c>
      <c r="D2600">
        <v>1</v>
      </c>
      <c r="E2600">
        <v>1</v>
      </c>
      <c r="F2600">
        <v>51000</v>
      </c>
      <c r="G2600">
        <v>5.3999999999999999E-2</v>
      </c>
      <c r="H2600" t="s">
        <v>2994</v>
      </c>
    </row>
    <row r="2601" spans="1:8">
      <c r="A2601" t="s">
        <v>6939</v>
      </c>
      <c r="B2601" t="s">
        <v>6938</v>
      </c>
      <c r="C2601">
        <v>20</v>
      </c>
      <c r="D2601">
        <v>1</v>
      </c>
      <c r="E2601">
        <v>1</v>
      </c>
      <c r="F2601">
        <v>1000</v>
      </c>
      <c r="G2601">
        <v>0</v>
      </c>
      <c r="H2601" t="s">
        <v>2203</v>
      </c>
    </row>
    <row r="2602" spans="1:8">
      <c r="A2602" t="s">
        <v>6941</v>
      </c>
      <c r="B2602" t="s">
        <v>6940</v>
      </c>
      <c r="C2602">
        <v>1</v>
      </c>
      <c r="D2602">
        <v>1</v>
      </c>
      <c r="E2602">
        <v>1</v>
      </c>
      <c r="F2602">
        <v>25000</v>
      </c>
      <c r="G2602">
        <v>0</v>
      </c>
      <c r="H2602" t="s">
        <v>2994</v>
      </c>
    </row>
    <row r="2603" spans="1:8">
      <c r="A2603" t="s">
        <v>9642</v>
      </c>
      <c r="B2603" t="s">
        <v>6949</v>
      </c>
      <c r="C2603">
        <v>10</v>
      </c>
      <c r="D2603">
        <v>1</v>
      </c>
      <c r="E2603">
        <v>1</v>
      </c>
      <c r="F2603">
        <v>5275</v>
      </c>
      <c r="G2603">
        <v>8.8464000000000008E-3</v>
      </c>
      <c r="H2603" t="s">
        <v>2203</v>
      </c>
    </row>
    <row r="2604" spans="1:8">
      <c r="A2604" t="s">
        <v>9643</v>
      </c>
      <c r="B2604" t="s">
        <v>6946</v>
      </c>
      <c r="C2604">
        <v>25</v>
      </c>
      <c r="D2604">
        <v>1</v>
      </c>
      <c r="E2604">
        <v>1</v>
      </c>
      <c r="F2604">
        <v>1000</v>
      </c>
      <c r="G2604">
        <v>0</v>
      </c>
      <c r="H2604" t="s">
        <v>2203</v>
      </c>
    </row>
    <row r="2605" spans="1:8">
      <c r="A2605" t="s">
        <v>9644</v>
      </c>
      <c r="B2605" t="s">
        <v>6950</v>
      </c>
      <c r="C2605">
        <v>5</v>
      </c>
      <c r="D2605">
        <v>1</v>
      </c>
      <c r="E2605">
        <v>1</v>
      </c>
      <c r="F2605">
        <v>5020</v>
      </c>
      <c r="G2605">
        <v>8.7083999999999998E-3</v>
      </c>
      <c r="H2605" t="s">
        <v>2203</v>
      </c>
    </row>
    <row r="2606" spans="1:8">
      <c r="A2606" t="s">
        <v>1463</v>
      </c>
      <c r="B2606" t="s">
        <v>3542</v>
      </c>
      <c r="C2606">
        <v>1</v>
      </c>
      <c r="D2606">
        <v>1</v>
      </c>
      <c r="E2606">
        <v>1</v>
      </c>
      <c r="F2606">
        <v>51000</v>
      </c>
      <c r="G2606">
        <v>5.3999999999999999E-2</v>
      </c>
      <c r="H2606" t="s">
        <v>2994</v>
      </c>
    </row>
    <row r="2607" spans="1:8">
      <c r="A2607" t="s">
        <v>9645</v>
      </c>
      <c r="B2607" t="s">
        <v>6947</v>
      </c>
      <c r="C2607">
        <v>6</v>
      </c>
      <c r="D2607">
        <v>1</v>
      </c>
      <c r="E2607">
        <v>1</v>
      </c>
      <c r="F2607">
        <v>5100</v>
      </c>
      <c r="G2607">
        <v>8.2000000000000007E-3</v>
      </c>
      <c r="H2607" t="s">
        <v>2203</v>
      </c>
    </row>
    <row r="2608" spans="1:8">
      <c r="A2608" t="s">
        <v>1464</v>
      </c>
      <c r="B2608" t="s">
        <v>3545</v>
      </c>
      <c r="C2608">
        <v>1</v>
      </c>
      <c r="D2608">
        <v>1</v>
      </c>
      <c r="E2608">
        <v>1</v>
      </c>
      <c r="F2608">
        <v>21000</v>
      </c>
      <c r="G2608">
        <v>3.168E-2</v>
      </c>
      <c r="H2608" t="s">
        <v>2994</v>
      </c>
    </row>
    <row r="2609" spans="1:8">
      <c r="A2609" t="s">
        <v>6952</v>
      </c>
      <c r="B2609" t="s">
        <v>6951</v>
      </c>
      <c r="C2609">
        <v>1</v>
      </c>
      <c r="D2609">
        <v>1</v>
      </c>
      <c r="E2609">
        <v>1</v>
      </c>
      <c r="F2609">
        <v>26000</v>
      </c>
      <c r="G2609">
        <v>2.3199999999999998E-2</v>
      </c>
      <c r="H2609" t="s">
        <v>2994</v>
      </c>
    </row>
    <row r="2610" spans="1:8">
      <c r="A2610" t="s">
        <v>9646</v>
      </c>
      <c r="B2610" t="s">
        <v>6959</v>
      </c>
      <c r="C2610">
        <v>1</v>
      </c>
      <c r="D2610">
        <v>1</v>
      </c>
      <c r="E2610">
        <v>1</v>
      </c>
      <c r="F2610">
        <v>51000</v>
      </c>
      <c r="G2610">
        <v>5.3999999999999999E-2</v>
      </c>
      <c r="H2610" t="s">
        <v>2994</v>
      </c>
    </row>
    <row r="2611" spans="1:8">
      <c r="A2611" t="s">
        <v>4686</v>
      </c>
      <c r="B2611" t="s">
        <v>6958</v>
      </c>
      <c r="C2611">
        <v>1</v>
      </c>
      <c r="D2611">
        <v>1</v>
      </c>
      <c r="E2611">
        <v>1</v>
      </c>
      <c r="F2611">
        <v>25560</v>
      </c>
      <c r="G2611">
        <v>3.168E-2</v>
      </c>
      <c r="H2611" t="s">
        <v>2994</v>
      </c>
    </row>
    <row r="2612" spans="1:8">
      <c r="A2612" t="s">
        <v>4683</v>
      </c>
      <c r="B2612" t="s">
        <v>6956</v>
      </c>
      <c r="C2612">
        <v>10</v>
      </c>
      <c r="D2612">
        <v>1</v>
      </c>
      <c r="E2612">
        <v>1</v>
      </c>
      <c r="F2612">
        <v>1040</v>
      </c>
      <c r="G2612">
        <v>1.0403999999999999E-3</v>
      </c>
      <c r="H2612" t="s">
        <v>2203</v>
      </c>
    </row>
    <row r="2613" spans="1:8">
      <c r="A2613" t="s">
        <v>4684</v>
      </c>
      <c r="B2613" t="s">
        <v>6955</v>
      </c>
      <c r="C2613">
        <v>1</v>
      </c>
      <c r="D2613">
        <v>1</v>
      </c>
      <c r="E2613">
        <v>1</v>
      </c>
      <c r="F2613">
        <v>25560</v>
      </c>
      <c r="G2613">
        <v>3.168E-2</v>
      </c>
      <c r="H2613" t="s">
        <v>2994</v>
      </c>
    </row>
    <row r="2614" spans="1:8">
      <c r="A2614" t="s">
        <v>4685</v>
      </c>
      <c r="B2614" t="s">
        <v>6960</v>
      </c>
      <c r="C2614">
        <v>1</v>
      </c>
      <c r="D2614">
        <v>1</v>
      </c>
      <c r="E2614">
        <v>1</v>
      </c>
      <c r="F2614">
        <v>25560</v>
      </c>
      <c r="G2614">
        <v>3.168E-2</v>
      </c>
      <c r="H2614" t="s">
        <v>2994</v>
      </c>
    </row>
    <row r="2615" spans="1:8">
      <c r="A2615" t="s">
        <v>6962</v>
      </c>
      <c r="B2615" t="s">
        <v>6961</v>
      </c>
      <c r="C2615">
        <v>25</v>
      </c>
      <c r="D2615">
        <v>1</v>
      </c>
      <c r="E2615">
        <v>1</v>
      </c>
      <c r="F2615">
        <v>1</v>
      </c>
      <c r="G2615">
        <v>0</v>
      </c>
      <c r="H2615" t="s">
        <v>2203</v>
      </c>
    </row>
    <row r="2616" spans="1:8">
      <c r="A2616" t="s">
        <v>4682</v>
      </c>
      <c r="B2616" t="s">
        <v>6953</v>
      </c>
      <c r="C2616">
        <v>1</v>
      </c>
      <c r="D2616">
        <v>1</v>
      </c>
      <c r="E2616">
        <v>1</v>
      </c>
      <c r="F2616">
        <v>51000</v>
      </c>
      <c r="G2616">
        <v>5.3999999999999999E-2</v>
      </c>
      <c r="H2616" t="s">
        <v>2994</v>
      </c>
    </row>
    <row r="2617" spans="1:8">
      <c r="A2617" t="s">
        <v>4992</v>
      </c>
      <c r="B2617" t="s">
        <v>6963</v>
      </c>
      <c r="C2617">
        <v>10</v>
      </c>
      <c r="D2617">
        <v>1</v>
      </c>
      <c r="E2617">
        <v>1</v>
      </c>
      <c r="F2617">
        <v>1</v>
      </c>
      <c r="G2617">
        <v>0</v>
      </c>
      <c r="H2617" t="s">
        <v>2203</v>
      </c>
    </row>
    <row r="2618" spans="1:8">
      <c r="A2618" t="s">
        <v>4991</v>
      </c>
      <c r="B2618" t="s">
        <v>6957</v>
      </c>
      <c r="C2618">
        <v>20</v>
      </c>
      <c r="D2618">
        <v>1</v>
      </c>
      <c r="E2618">
        <v>1</v>
      </c>
      <c r="F2618">
        <v>1040</v>
      </c>
      <c r="G2618">
        <v>1.0403999999999999E-3</v>
      </c>
      <c r="H2618" t="s">
        <v>2203</v>
      </c>
    </row>
    <row r="2619" spans="1:8">
      <c r="A2619" t="s">
        <v>6965</v>
      </c>
      <c r="B2619" t="s">
        <v>6964</v>
      </c>
      <c r="C2619">
        <v>1</v>
      </c>
      <c r="D2619">
        <v>1</v>
      </c>
      <c r="E2619">
        <v>1</v>
      </c>
      <c r="F2619">
        <v>1</v>
      </c>
      <c r="G2619">
        <v>0</v>
      </c>
      <c r="H2619" t="s">
        <v>2994</v>
      </c>
    </row>
    <row r="2620" spans="1:8">
      <c r="A2620" t="s">
        <v>4681</v>
      </c>
      <c r="B2620" t="s">
        <v>6954</v>
      </c>
      <c r="C2620">
        <v>4</v>
      </c>
      <c r="D2620">
        <v>1</v>
      </c>
      <c r="E2620">
        <v>1</v>
      </c>
      <c r="F2620">
        <v>0</v>
      </c>
      <c r="G2620">
        <v>0</v>
      </c>
      <c r="H2620" t="s">
        <v>2203</v>
      </c>
    </row>
    <row r="2621" spans="1:8">
      <c r="A2621" t="s">
        <v>6971</v>
      </c>
      <c r="B2621" t="s">
        <v>6970</v>
      </c>
      <c r="C2621">
        <v>1</v>
      </c>
      <c r="D2621">
        <v>1</v>
      </c>
      <c r="E2621">
        <v>1</v>
      </c>
      <c r="F2621">
        <v>0</v>
      </c>
      <c r="G2621">
        <v>0</v>
      </c>
      <c r="H2621" t="s">
        <v>2994</v>
      </c>
    </row>
    <row r="2622" spans="1:8">
      <c r="A2622" t="s">
        <v>6969</v>
      </c>
      <c r="B2622" t="s">
        <v>6968</v>
      </c>
      <c r="C2622">
        <v>1</v>
      </c>
      <c r="D2622">
        <v>1</v>
      </c>
      <c r="E2622">
        <v>1</v>
      </c>
      <c r="F2622">
        <v>51000</v>
      </c>
      <c r="G2622">
        <v>5.3999999999999999E-2</v>
      </c>
      <c r="H2622" t="s">
        <v>2994</v>
      </c>
    </row>
    <row r="2623" spans="1:8">
      <c r="A2623" t="s">
        <v>6978</v>
      </c>
      <c r="B2623" t="s">
        <v>6977</v>
      </c>
      <c r="C2623">
        <v>10</v>
      </c>
      <c r="D2623">
        <v>1</v>
      </c>
      <c r="E2623">
        <v>1</v>
      </c>
      <c r="F2623">
        <v>5000</v>
      </c>
      <c r="G2623">
        <v>0</v>
      </c>
      <c r="H2623" t="s">
        <v>2203</v>
      </c>
    </row>
    <row r="2624" spans="1:8">
      <c r="A2624" t="s">
        <v>4994</v>
      </c>
      <c r="B2624" t="s">
        <v>6972</v>
      </c>
      <c r="C2624">
        <v>20</v>
      </c>
      <c r="D2624">
        <v>1</v>
      </c>
      <c r="E2624">
        <v>1</v>
      </c>
      <c r="F2624">
        <v>1000</v>
      </c>
      <c r="G2624">
        <v>0</v>
      </c>
      <c r="H2624" t="s">
        <v>2203</v>
      </c>
    </row>
    <row r="2625" spans="1:8">
      <c r="A2625" t="s">
        <v>6974</v>
      </c>
      <c r="B2625" t="s">
        <v>6973</v>
      </c>
      <c r="C2625">
        <v>1</v>
      </c>
      <c r="D2625">
        <v>1</v>
      </c>
      <c r="E2625">
        <v>1</v>
      </c>
      <c r="F2625">
        <v>25000</v>
      </c>
      <c r="G2625">
        <v>0</v>
      </c>
      <c r="H2625" t="s">
        <v>2994</v>
      </c>
    </row>
    <row r="2626" spans="1:8">
      <c r="A2626" t="s">
        <v>4996</v>
      </c>
      <c r="B2626" t="s">
        <v>6975</v>
      </c>
      <c r="C2626">
        <v>1</v>
      </c>
      <c r="D2626">
        <v>1</v>
      </c>
      <c r="E2626">
        <v>1</v>
      </c>
      <c r="F2626">
        <v>50000</v>
      </c>
      <c r="G2626">
        <v>0</v>
      </c>
      <c r="H2626" t="s">
        <v>2994</v>
      </c>
    </row>
    <row r="2627" spans="1:8">
      <c r="A2627" t="s">
        <v>4689</v>
      </c>
      <c r="B2627" t="s">
        <v>6976</v>
      </c>
      <c r="C2627">
        <v>10</v>
      </c>
      <c r="D2627">
        <v>1</v>
      </c>
      <c r="E2627">
        <v>1</v>
      </c>
      <c r="F2627">
        <v>5130</v>
      </c>
      <c r="G2627">
        <v>6.6316999999999999E-3</v>
      </c>
      <c r="H2627" t="s">
        <v>2203</v>
      </c>
    </row>
    <row r="2628" spans="1:8">
      <c r="A2628" t="s">
        <v>4993</v>
      </c>
      <c r="B2628" t="s">
        <v>6981</v>
      </c>
      <c r="C2628">
        <v>20</v>
      </c>
      <c r="D2628">
        <v>1</v>
      </c>
      <c r="E2628">
        <v>1</v>
      </c>
      <c r="F2628">
        <v>1048</v>
      </c>
      <c r="G2628">
        <v>1.3680000000000001E-3</v>
      </c>
      <c r="H2628" t="s">
        <v>2203</v>
      </c>
    </row>
    <row r="2629" spans="1:8">
      <c r="A2629" t="s">
        <v>6980</v>
      </c>
      <c r="B2629" t="s">
        <v>6979</v>
      </c>
      <c r="C2629">
        <v>1</v>
      </c>
      <c r="D2629">
        <v>1</v>
      </c>
      <c r="E2629">
        <v>1</v>
      </c>
      <c r="F2629">
        <v>25000</v>
      </c>
      <c r="G2629">
        <v>0</v>
      </c>
      <c r="H2629" t="s">
        <v>2994</v>
      </c>
    </row>
    <row r="2630" spans="1:8">
      <c r="A2630" t="s">
        <v>4688</v>
      </c>
      <c r="B2630" t="s">
        <v>6966</v>
      </c>
      <c r="C2630">
        <v>4</v>
      </c>
      <c r="D2630">
        <v>1</v>
      </c>
      <c r="E2630">
        <v>1</v>
      </c>
      <c r="F2630">
        <v>5325</v>
      </c>
      <c r="G2630">
        <v>6.6299999999999996E-3</v>
      </c>
      <c r="H2630" t="s">
        <v>2203</v>
      </c>
    </row>
    <row r="2631" spans="1:8">
      <c r="A2631" t="s">
        <v>4687</v>
      </c>
      <c r="B2631" t="s">
        <v>6967</v>
      </c>
      <c r="C2631">
        <v>1</v>
      </c>
      <c r="D2631">
        <v>1</v>
      </c>
      <c r="E2631">
        <v>1</v>
      </c>
      <c r="F2631">
        <v>51000</v>
      </c>
      <c r="G2631">
        <v>5.3999999999999999E-2</v>
      </c>
      <c r="H2631" t="s">
        <v>2994</v>
      </c>
    </row>
    <row r="2632" spans="1:8">
      <c r="A2632" t="s">
        <v>4995</v>
      </c>
      <c r="B2632" t="s">
        <v>6982</v>
      </c>
      <c r="C2632">
        <v>10</v>
      </c>
      <c r="D2632">
        <v>1</v>
      </c>
      <c r="E2632">
        <v>1</v>
      </c>
      <c r="F2632">
        <v>5130</v>
      </c>
      <c r="G2632">
        <v>6.6316999999999999E-3</v>
      </c>
      <c r="H2632" t="s">
        <v>2203</v>
      </c>
    </row>
    <row r="2633" spans="1:8">
      <c r="A2633" t="s">
        <v>4690</v>
      </c>
      <c r="B2633" t="s">
        <v>6983</v>
      </c>
      <c r="C2633">
        <v>24</v>
      </c>
      <c r="D2633">
        <v>1</v>
      </c>
      <c r="E2633">
        <v>1</v>
      </c>
      <c r="F2633">
        <v>1040</v>
      </c>
      <c r="G2633">
        <v>1.0403999999999999E-3</v>
      </c>
      <c r="H2633" t="s">
        <v>2203</v>
      </c>
    </row>
    <row r="2634" spans="1:8">
      <c r="A2634" t="s">
        <v>6990</v>
      </c>
      <c r="B2634" t="s">
        <v>6989</v>
      </c>
      <c r="C2634">
        <v>1</v>
      </c>
      <c r="D2634">
        <v>1</v>
      </c>
      <c r="E2634">
        <v>1</v>
      </c>
      <c r="F2634">
        <v>25560</v>
      </c>
      <c r="G2634">
        <v>3.168E-2</v>
      </c>
      <c r="H2634" t="s">
        <v>2994</v>
      </c>
    </row>
    <row r="2635" spans="1:8">
      <c r="A2635" t="s">
        <v>4692</v>
      </c>
      <c r="B2635" t="s">
        <v>6984</v>
      </c>
      <c r="C2635">
        <v>1</v>
      </c>
      <c r="D2635">
        <v>1</v>
      </c>
      <c r="E2635">
        <v>1</v>
      </c>
      <c r="F2635">
        <v>51000</v>
      </c>
      <c r="G2635">
        <v>5.3999999999999999E-2</v>
      </c>
      <c r="H2635" t="s">
        <v>2994</v>
      </c>
    </row>
    <row r="2636" spans="1:8">
      <c r="A2636" t="s">
        <v>7000</v>
      </c>
      <c r="B2636" t="s">
        <v>6999</v>
      </c>
      <c r="C2636">
        <v>24</v>
      </c>
      <c r="D2636">
        <v>1</v>
      </c>
      <c r="E2636">
        <v>1</v>
      </c>
      <c r="F2636">
        <v>0</v>
      </c>
      <c r="G2636">
        <v>0</v>
      </c>
      <c r="H2636" t="s">
        <v>2203</v>
      </c>
    </row>
    <row r="2637" spans="1:8">
      <c r="A2637" t="s">
        <v>6996</v>
      </c>
      <c r="B2637" t="s">
        <v>6995</v>
      </c>
      <c r="C2637">
        <v>1</v>
      </c>
      <c r="D2637">
        <v>1</v>
      </c>
      <c r="E2637">
        <v>1</v>
      </c>
      <c r="F2637">
        <v>25560</v>
      </c>
      <c r="G2637">
        <v>3.168E-2</v>
      </c>
      <c r="H2637" t="s">
        <v>2994</v>
      </c>
    </row>
    <row r="2638" spans="1:8">
      <c r="A2638" t="s">
        <v>4693</v>
      </c>
      <c r="B2638" t="s">
        <v>6985</v>
      </c>
      <c r="C2638">
        <v>1</v>
      </c>
      <c r="D2638">
        <v>1</v>
      </c>
      <c r="E2638">
        <v>1</v>
      </c>
      <c r="F2638">
        <v>51000</v>
      </c>
      <c r="G2638">
        <v>5.3999999999999999E-2</v>
      </c>
      <c r="H2638" t="s">
        <v>2994</v>
      </c>
    </row>
    <row r="2639" spans="1:8">
      <c r="A2639" t="s">
        <v>4694</v>
      </c>
      <c r="B2639" t="s">
        <v>6986</v>
      </c>
      <c r="C2639">
        <v>6</v>
      </c>
      <c r="D2639">
        <v>1</v>
      </c>
      <c r="E2639">
        <v>1</v>
      </c>
      <c r="F2639">
        <v>5000</v>
      </c>
      <c r="G2639">
        <v>0</v>
      </c>
      <c r="H2639" t="s">
        <v>2203</v>
      </c>
    </row>
    <row r="2640" spans="1:8">
      <c r="A2640" t="s">
        <v>4691</v>
      </c>
      <c r="B2640" t="s">
        <v>6987</v>
      </c>
      <c r="C2640">
        <v>24</v>
      </c>
      <c r="D2640">
        <v>1</v>
      </c>
      <c r="E2640">
        <v>1</v>
      </c>
      <c r="F2640">
        <v>1040</v>
      </c>
      <c r="G2640">
        <v>1.0403999999999999E-3</v>
      </c>
      <c r="H2640" t="s">
        <v>2203</v>
      </c>
    </row>
    <row r="2641" spans="1:8">
      <c r="A2641" t="s">
        <v>6998</v>
      </c>
      <c r="B2641" t="s">
        <v>6997</v>
      </c>
      <c r="C2641">
        <v>1</v>
      </c>
      <c r="D2641">
        <v>1</v>
      </c>
      <c r="E2641">
        <v>1</v>
      </c>
      <c r="F2641">
        <v>25560</v>
      </c>
      <c r="G2641">
        <v>3.168E-2</v>
      </c>
      <c r="H2641" t="s">
        <v>2994</v>
      </c>
    </row>
    <row r="2642" spans="1:8">
      <c r="A2642" t="s">
        <v>4695</v>
      </c>
      <c r="B2642" t="s">
        <v>6988</v>
      </c>
      <c r="C2642">
        <v>1</v>
      </c>
      <c r="D2642">
        <v>1</v>
      </c>
      <c r="E2642">
        <v>1</v>
      </c>
      <c r="F2642">
        <v>51000</v>
      </c>
      <c r="G2642">
        <v>5.3999999999999999E-2</v>
      </c>
      <c r="H2642" t="s">
        <v>2994</v>
      </c>
    </row>
    <row r="2643" spans="1:8">
      <c r="A2643" t="s">
        <v>1465</v>
      </c>
      <c r="B2643" t="s">
        <v>6994</v>
      </c>
      <c r="C2643">
        <v>1</v>
      </c>
      <c r="D2643">
        <v>1</v>
      </c>
      <c r="E2643">
        <v>1</v>
      </c>
      <c r="F2643">
        <v>25730</v>
      </c>
      <c r="G2643">
        <v>1.018875E-2</v>
      </c>
      <c r="H2643" t="s">
        <v>2994</v>
      </c>
    </row>
    <row r="2644" spans="1:8">
      <c r="A2644" t="s">
        <v>6993</v>
      </c>
      <c r="B2644" t="s">
        <v>6992</v>
      </c>
      <c r="C2644">
        <v>1</v>
      </c>
      <c r="D2644">
        <v>1</v>
      </c>
      <c r="E2644">
        <v>1</v>
      </c>
      <c r="F2644">
        <v>25730</v>
      </c>
      <c r="G2644">
        <v>1.018875E-2</v>
      </c>
      <c r="H2644" t="s">
        <v>2994</v>
      </c>
    </row>
    <row r="2645" spans="1:8">
      <c r="A2645" t="s">
        <v>4696</v>
      </c>
      <c r="B2645" t="s">
        <v>6991</v>
      </c>
      <c r="C2645">
        <v>30</v>
      </c>
      <c r="D2645">
        <v>1</v>
      </c>
      <c r="E2645">
        <v>1</v>
      </c>
      <c r="F2645">
        <v>0</v>
      </c>
      <c r="G2645">
        <v>0</v>
      </c>
      <c r="H2645" t="s">
        <v>2203</v>
      </c>
    </row>
    <row r="2646" spans="1:8">
      <c r="A2646" t="s">
        <v>4697</v>
      </c>
      <c r="B2646" t="s">
        <v>7001</v>
      </c>
      <c r="C2646">
        <v>1</v>
      </c>
      <c r="D2646">
        <v>1</v>
      </c>
      <c r="E2646">
        <v>1</v>
      </c>
      <c r="F2646">
        <v>51000</v>
      </c>
      <c r="G2646">
        <v>5.3999999999999999E-2</v>
      </c>
      <c r="H2646" t="s">
        <v>2994</v>
      </c>
    </row>
    <row r="2647" spans="1:8">
      <c r="A2647" t="s">
        <v>7005</v>
      </c>
      <c r="B2647" t="s">
        <v>7004</v>
      </c>
      <c r="C2647">
        <v>1</v>
      </c>
      <c r="D2647">
        <v>1</v>
      </c>
      <c r="E2647">
        <v>1</v>
      </c>
      <c r="F2647">
        <v>51000</v>
      </c>
      <c r="G2647">
        <v>5.3999999999999999E-2</v>
      </c>
      <c r="H2647" t="s">
        <v>2994</v>
      </c>
    </row>
    <row r="2648" spans="1:8">
      <c r="A2648" t="s">
        <v>7012</v>
      </c>
      <c r="B2648" t="s">
        <v>7011</v>
      </c>
      <c r="C2648">
        <v>1</v>
      </c>
      <c r="D2648">
        <v>1</v>
      </c>
      <c r="E2648">
        <v>1</v>
      </c>
      <c r="F2648">
        <v>50000</v>
      </c>
      <c r="G2648">
        <v>0</v>
      </c>
      <c r="H2648" t="s">
        <v>2994</v>
      </c>
    </row>
    <row r="2649" spans="1:8">
      <c r="A2649" t="s">
        <v>7008</v>
      </c>
      <c r="B2649" t="s">
        <v>7007</v>
      </c>
      <c r="C2649">
        <v>1</v>
      </c>
      <c r="D2649">
        <v>1</v>
      </c>
      <c r="E2649">
        <v>1</v>
      </c>
      <c r="F2649">
        <v>0</v>
      </c>
      <c r="G2649">
        <v>0</v>
      </c>
      <c r="H2649" t="s">
        <v>2994</v>
      </c>
    </row>
    <row r="2650" spans="1:8">
      <c r="A2650" t="s">
        <v>7003</v>
      </c>
      <c r="B2650" t="s">
        <v>7002</v>
      </c>
      <c r="C2650">
        <v>20</v>
      </c>
      <c r="D2650">
        <v>1</v>
      </c>
      <c r="E2650">
        <v>1</v>
      </c>
      <c r="F2650">
        <v>0</v>
      </c>
      <c r="G2650">
        <v>0</v>
      </c>
      <c r="H2650" t="s">
        <v>2203</v>
      </c>
    </row>
    <row r="2651" spans="1:8">
      <c r="A2651" t="s">
        <v>4698</v>
      </c>
      <c r="B2651" t="s">
        <v>7006</v>
      </c>
      <c r="C2651">
        <v>1</v>
      </c>
      <c r="D2651">
        <v>1</v>
      </c>
      <c r="E2651">
        <v>1</v>
      </c>
      <c r="F2651">
        <v>51000</v>
      </c>
      <c r="G2651">
        <v>5.3999999999999999E-2</v>
      </c>
      <c r="H2651" t="s">
        <v>2994</v>
      </c>
    </row>
    <row r="2652" spans="1:8">
      <c r="A2652" t="s">
        <v>7015</v>
      </c>
      <c r="B2652" t="s">
        <v>7014</v>
      </c>
      <c r="C2652">
        <v>1</v>
      </c>
      <c r="D2652">
        <v>1</v>
      </c>
      <c r="E2652">
        <v>1</v>
      </c>
      <c r="F2652">
        <v>687.5</v>
      </c>
      <c r="G2652">
        <v>1.5560000000000001E-3</v>
      </c>
      <c r="H2652" t="s">
        <v>2994</v>
      </c>
    </row>
    <row r="2653" spans="1:8">
      <c r="A2653" t="s">
        <v>1466</v>
      </c>
      <c r="B2653" t="s">
        <v>3547</v>
      </c>
      <c r="C2653">
        <v>1</v>
      </c>
      <c r="D2653">
        <v>1</v>
      </c>
      <c r="E2653">
        <v>1</v>
      </c>
      <c r="F2653">
        <v>20000</v>
      </c>
      <c r="G2653">
        <v>3.168E-2</v>
      </c>
      <c r="H2653" t="s">
        <v>2994</v>
      </c>
    </row>
    <row r="2654" spans="1:8">
      <c r="A2654" t="s">
        <v>9647</v>
      </c>
      <c r="B2654" t="s">
        <v>7010</v>
      </c>
      <c r="C2654">
        <v>1</v>
      </c>
      <c r="D2654">
        <v>1</v>
      </c>
      <c r="E2654">
        <v>1</v>
      </c>
      <c r="F2654">
        <v>51000</v>
      </c>
      <c r="G2654">
        <v>5.3999999999999999E-2</v>
      </c>
      <c r="H2654" t="s">
        <v>2994</v>
      </c>
    </row>
    <row r="2655" spans="1:8">
      <c r="A2655" t="s">
        <v>9648</v>
      </c>
      <c r="B2655" t="s">
        <v>7009</v>
      </c>
      <c r="C2655">
        <v>1</v>
      </c>
      <c r="D2655">
        <v>1</v>
      </c>
      <c r="E2655">
        <v>1</v>
      </c>
      <c r="F2655">
        <v>51000</v>
      </c>
      <c r="G2655">
        <v>5.3999999999999999E-2</v>
      </c>
      <c r="H2655" t="s">
        <v>2994</v>
      </c>
    </row>
    <row r="2656" spans="1:8">
      <c r="A2656" t="s">
        <v>9649</v>
      </c>
      <c r="B2656" t="s">
        <v>7013</v>
      </c>
      <c r="C2656">
        <v>1</v>
      </c>
      <c r="D2656">
        <v>1</v>
      </c>
      <c r="E2656">
        <v>1</v>
      </c>
      <c r="F2656">
        <v>25560</v>
      </c>
      <c r="G2656">
        <v>2.8000000000000001E-2</v>
      </c>
      <c r="H2656" t="s">
        <v>2994</v>
      </c>
    </row>
    <row r="2657" spans="1:8">
      <c r="A2657" t="s">
        <v>9650</v>
      </c>
      <c r="B2657" t="s">
        <v>7018</v>
      </c>
      <c r="C2657">
        <v>10</v>
      </c>
      <c r="D2657">
        <v>1</v>
      </c>
      <c r="E2657">
        <v>1</v>
      </c>
      <c r="F2657">
        <v>0</v>
      </c>
      <c r="G2657">
        <v>0</v>
      </c>
      <c r="H2657" t="s">
        <v>2203</v>
      </c>
    </row>
    <row r="2658" spans="1:8">
      <c r="A2658" t="s">
        <v>1467</v>
      </c>
      <c r="B2658" t="s">
        <v>3549</v>
      </c>
      <c r="C2658">
        <v>1</v>
      </c>
      <c r="D2658">
        <v>1</v>
      </c>
      <c r="E2658">
        <v>1</v>
      </c>
      <c r="F2658">
        <v>25560</v>
      </c>
      <c r="G2658">
        <v>3.168E-2</v>
      </c>
      <c r="H2658" t="s">
        <v>2994</v>
      </c>
    </row>
    <row r="2659" spans="1:8">
      <c r="A2659" t="s">
        <v>9651</v>
      </c>
      <c r="B2659" t="s">
        <v>7019</v>
      </c>
      <c r="C2659">
        <v>25</v>
      </c>
      <c r="D2659">
        <v>1</v>
      </c>
      <c r="E2659">
        <v>1</v>
      </c>
      <c r="F2659">
        <v>1018</v>
      </c>
      <c r="G2659">
        <v>1.024E-3</v>
      </c>
      <c r="H2659" t="s">
        <v>2203</v>
      </c>
    </row>
    <row r="2660" spans="1:8">
      <c r="A2660" t="s">
        <v>9652</v>
      </c>
      <c r="B2660" t="s">
        <v>7021</v>
      </c>
      <c r="C2660">
        <v>5</v>
      </c>
      <c r="D2660">
        <v>1</v>
      </c>
      <c r="E2660">
        <v>1</v>
      </c>
      <c r="F2660">
        <v>5020</v>
      </c>
      <c r="G2660">
        <v>8.7083999999999998E-3</v>
      </c>
      <c r="H2660" t="s">
        <v>2203</v>
      </c>
    </row>
    <row r="2661" spans="1:8">
      <c r="A2661" t="s">
        <v>9653</v>
      </c>
      <c r="B2661" t="s">
        <v>7017</v>
      </c>
      <c r="C2661">
        <v>10</v>
      </c>
      <c r="D2661">
        <v>1</v>
      </c>
      <c r="E2661">
        <v>1</v>
      </c>
      <c r="F2661">
        <v>0</v>
      </c>
      <c r="G2661">
        <v>0</v>
      </c>
      <c r="H2661" t="s">
        <v>2203</v>
      </c>
    </row>
    <row r="2662" spans="1:8">
      <c r="A2662" t="s">
        <v>9654</v>
      </c>
      <c r="B2662" t="s">
        <v>7016</v>
      </c>
      <c r="C2662">
        <v>1</v>
      </c>
      <c r="D2662">
        <v>1</v>
      </c>
      <c r="E2662">
        <v>1</v>
      </c>
      <c r="F2662">
        <v>25560</v>
      </c>
      <c r="G2662">
        <v>3.168E-2</v>
      </c>
      <c r="H2662" t="s">
        <v>2994</v>
      </c>
    </row>
    <row r="2663" spans="1:8">
      <c r="A2663" t="s">
        <v>9655</v>
      </c>
      <c r="B2663" t="s">
        <v>7020</v>
      </c>
      <c r="C2663">
        <v>25</v>
      </c>
      <c r="D2663">
        <v>1</v>
      </c>
      <c r="E2663">
        <v>1</v>
      </c>
      <c r="F2663">
        <v>1018</v>
      </c>
      <c r="G2663">
        <v>1.024E-3</v>
      </c>
      <c r="H2663" t="s">
        <v>2203</v>
      </c>
    </row>
    <row r="2664" spans="1:8">
      <c r="A2664" t="s">
        <v>1468</v>
      </c>
      <c r="B2664" t="s">
        <v>3551</v>
      </c>
      <c r="C2664">
        <v>1</v>
      </c>
      <c r="D2664">
        <v>1</v>
      </c>
      <c r="E2664">
        <v>1</v>
      </c>
      <c r="F2664">
        <v>51000</v>
      </c>
      <c r="G2664">
        <v>5.3999999999999999E-2</v>
      </c>
      <c r="H2664" t="s">
        <v>2994</v>
      </c>
    </row>
    <row r="2665" spans="1:8">
      <c r="A2665" t="s">
        <v>4701</v>
      </c>
      <c r="B2665" t="s">
        <v>7024</v>
      </c>
      <c r="C2665">
        <v>1</v>
      </c>
      <c r="D2665">
        <v>1</v>
      </c>
      <c r="E2665">
        <v>1</v>
      </c>
      <c r="F2665">
        <v>25560</v>
      </c>
      <c r="G2665">
        <v>3.168E-2</v>
      </c>
      <c r="H2665" t="s">
        <v>2994</v>
      </c>
    </row>
    <row r="2666" spans="1:8">
      <c r="A2666" t="s">
        <v>4702</v>
      </c>
      <c r="B2666" t="s">
        <v>7025</v>
      </c>
      <c r="C2666">
        <v>1</v>
      </c>
      <c r="D2666">
        <v>1</v>
      </c>
      <c r="E2666">
        <v>1</v>
      </c>
      <c r="F2666">
        <v>25560</v>
      </c>
      <c r="G2666">
        <v>3.168E-2</v>
      </c>
      <c r="H2666" t="s">
        <v>2994</v>
      </c>
    </row>
    <row r="2667" spans="1:8">
      <c r="A2667" t="s">
        <v>4699</v>
      </c>
      <c r="B2667" t="s">
        <v>7023</v>
      </c>
      <c r="C2667">
        <v>1</v>
      </c>
      <c r="D2667">
        <v>1</v>
      </c>
      <c r="E2667">
        <v>1</v>
      </c>
      <c r="F2667">
        <v>25560</v>
      </c>
      <c r="G2667">
        <v>3.168E-2</v>
      </c>
      <c r="H2667" t="s">
        <v>2994</v>
      </c>
    </row>
    <row r="2668" spans="1:8">
      <c r="A2668" t="s">
        <v>4700</v>
      </c>
      <c r="B2668" t="s">
        <v>7022</v>
      </c>
      <c r="C2668">
        <v>1</v>
      </c>
      <c r="D2668">
        <v>1</v>
      </c>
      <c r="E2668">
        <v>1</v>
      </c>
      <c r="F2668">
        <v>25560</v>
      </c>
      <c r="G2668">
        <v>3.168E-2</v>
      </c>
      <c r="H2668" t="s">
        <v>2994</v>
      </c>
    </row>
    <row r="2669" spans="1:8">
      <c r="A2669" t="s">
        <v>7027</v>
      </c>
      <c r="B2669" t="s">
        <v>7026</v>
      </c>
      <c r="C2669">
        <v>1</v>
      </c>
      <c r="D2669">
        <v>1</v>
      </c>
      <c r="E2669">
        <v>1</v>
      </c>
      <c r="F2669">
        <v>51000</v>
      </c>
      <c r="G2669">
        <v>5.3999999999999999E-2</v>
      </c>
      <c r="H2669" t="s">
        <v>2994</v>
      </c>
    </row>
    <row r="2670" spans="1:8">
      <c r="A2670" t="s">
        <v>7029</v>
      </c>
      <c r="B2670" t="s">
        <v>7028</v>
      </c>
      <c r="C2670">
        <v>1</v>
      </c>
      <c r="D2670">
        <v>1</v>
      </c>
      <c r="E2670">
        <v>1</v>
      </c>
      <c r="F2670">
        <v>51000</v>
      </c>
      <c r="G2670">
        <v>5.3999999999999999E-2</v>
      </c>
      <c r="H2670" t="s">
        <v>2994</v>
      </c>
    </row>
    <row r="2671" spans="1:8">
      <c r="A2671" t="s">
        <v>1471</v>
      </c>
      <c r="B2671" t="s">
        <v>3554</v>
      </c>
      <c r="C2671">
        <v>1</v>
      </c>
      <c r="D2671">
        <v>1</v>
      </c>
      <c r="E2671">
        <v>1</v>
      </c>
      <c r="F2671">
        <v>25560</v>
      </c>
      <c r="G2671">
        <v>3.168E-2</v>
      </c>
      <c r="H2671" t="s">
        <v>2994</v>
      </c>
    </row>
    <row r="2672" spans="1:8">
      <c r="A2672" t="s">
        <v>1472</v>
      </c>
      <c r="B2672" t="s">
        <v>3556</v>
      </c>
      <c r="C2672">
        <v>1</v>
      </c>
      <c r="D2672">
        <v>1</v>
      </c>
      <c r="E2672">
        <v>1</v>
      </c>
      <c r="F2672">
        <v>51000</v>
      </c>
      <c r="G2672">
        <v>5.3999999999999999E-2</v>
      </c>
      <c r="H2672" t="s">
        <v>2994</v>
      </c>
    </row>
    <row r="2673" spans="1:8">
      <c r="A2673" t="s">
        <v>1473</v>
      </c>
      <c r="B2673" t="s">
        <v>3557</v>
      </c>
      <c r="C2673">
        <v>1</v>
      </c>
      <c r="D2673">
        <v>1</v>
      </c>
      <c r="E2673">
        <v>1</v>
      </c>
      <c r="F2673">
        <v>1</v>
      </c>
      <c r="G2673">
        <v>0</v>
      </c>
      <c r="H2673" t="s">
        <v>2203</v>
      </c>
    </row>
    <row r="2674" spans="1:8">
      <c r="A2674" t="s">
        <v>1474</v>
      </c>
      <c r="B2674" t="s">
        <v>3558</v>
      </c>
      <c r="C2674">
        <v>8</v>
      </c>
      <c r="D2674">
        <v>1</v>
      </c>
      <c r="E2674">
        <v>1</v>
      </c>
      <c r="F2674">
        <v>5125</v>
      </c>
      <c r="G2674">
        <v>3.96E-3</v>
      </c>
      <c r="H2674" t="s">
        <v>2203</v>
      </c>
    </row>
    <row r="2675" spans="1:8">
      <c r="A2675" t="s">
        <v>1475</v>
      </c>
      <c r="B2675" t="s">
        <v>3560</v>
      </c>
      <c r="C2675">
        <v>1</v>
      </c>
      <c r="D2675">
        <v>1</v>
      </c>
      <c r="E2675">
        <v>1</v>
      </c>
      <c r="F2675">
        <v>25560</v>
      </c>
      <c r="G2675">
        <v>3.168E-2</v>
      </c>
      <c r="H2675" t="s">
        <v>2994</v>
      </c>
    </row>
    <row r="2676" spans="1:8">
      <c r="A2676" t="s">
        <v>1476</v>
      </c>
      <c r="B2676" t="s">
        <v>3562</v>
      </c>
      <c r="C2676">
        <v>1</v>
      </c>
      <c r="D2676">
        <v>1</v>
      </c>
      <c r="E2676">
        <v>1</v>
      </c>
      <c r="F2676">
        <v>51000</v>
      </c>
      <c r="G2676">
        <v>5.3999999999999999E-2</v>
      </c>
      <c r="H2676" t="s">
        <v>2994</v>
      </c>
    </row>
    <row r="2677" spans="1:8">
      <c r="A2677" t="s">
        <v>1477</v>
      </c>
      <c r="B2677" t="s">
        <v>3563</v>
      </c>
      <c r="C2677">
        <v>1</v>
      </c>
      <c r="D2677">
        <v>1</v>
      </c>
      <c r="E2677">
        <v>1</v>
      </c>
      <c r="F2677">
        <v>1</v>
      </c>
      <c r="G2677">
        <v>0</v>
      </c>
      <c r="H2677" t="s">
        <v>2203</v>
      </c>
    </row>
    <row r="2678" spans="1:8">
      <c r="A2678" t="s">
        <v>1478</v>
      </c>
      <c r="B2678" t="s">
        <v>3564</v>
      </c>
      <c r="C2678">
        <v>8</v>
      </c>
      <c r="D2678">
        <v>1</v>
      </c>
      <c r="E2678">
        <v>1</v>
      </c>
      <c r="F2678">
        <v>5125</v>
      </c>
      <c r="G2678">
        <v>3.96E-3</v>
      </c>
      <c r="H2678" t="s">
        <v>2203</v>
      </c>
    </row>
    <row r="2679" spans="1:8">
      <c r="A2679" t="s">
        <v>4705</v>
      </c>
      <c r="B2679" t="s">
        <v>7030</v>
      </c>
      <c r="C2679">
        <v>1</v>
      </c>
      <c r="D2679">
        <v>1</v>
      </c>
      <c r="E2679">
        <v>1</v>
      </c>
      <c r="F2679">
        <v>0</v>
      </c>
      <c r="G2679">
        <v>0</v>
      </c>
      <c r="H2679" t="s">
        <v>2303</v>
      </c>
    </row>
    <row r="2680" spans="1:8">
      <c r="A2680" t="s">
        <v>4705</v>
      </c>
      <c r="B2680" t="s">
        <v>7033</v>
      </c>
      <c r="C2680">
        <v>1</v>
      </c>
      <c r="D2680">
        <v>1</v>
      </c>
      <c r="E2680">
        <v>1</v>
      </c>
      <c r="F2680">
        <v>23030</v>
      </c>
      <c r="G2680">
        <v>1.8559099999999999E-2</v>
      </c>
      <c r="H2680" t="s">
        <v>2303</v>
      </c>
    </row>
    <row r="2681" spans="1:8">
      <c r="A2681" t="s">
        <v>4703</v>
      </c>
      <c r="B2681" t="s">
        <v>7031</v>
      </c>
      <c r="C2681">
        <v>20</v>
      </c>
      <c r="D2681">
        <v>1</v>
      </c>
      <c r="E2681">
        <v>1</v>
      </c>
      <c r="F2681">
        <v>1200</v>
      </c>
      <c r="G2681">
        <v>2.5313000000000002E-3</v>
      </c>
      <c r="H2681" t="s">
        <v>2197</v>
      </c>
    </row>
    <row r="2682" spans="1:8">
      <c r="A2682" t="s">
        <v>4704</v>
      </c>
      <c r="B2682" t="s">
        <v>7032</v>
      </c>
      <c r="C2682">
        <v>4</v>
      </c>
      <c r="D2682">
        <v>1</v>
      </c>
      <c r="E2682">
        <v>1</v>
      </c>
      <c r="F2682">
        <v>5550</v>
      </c>
      <c r="G2682">
        <v>7.9749999999999995E-3</v>
      </c>
      <c r="H2682" t="s">
        <v>2307</v>
      </c>
    </row>
    <row r="2683" spans="1:8">
      <c r="A2683" t="s">
        <v>7037</v>
      </c>
      <c r="B2683" t="s">
        <v>7036</v>
      </c>
      <c r="C2683">
        <v>12</v>
      </c>
      <c r="D2683">
        <v>1</v>
      </c>
      <c r="E2683">
        <v>1</v>
      </c>
      <c r="F2683">
        <v>1341.66</v>
      </c>
      <c r="G2683">
        <v>2.6324999999999999E-3</v>
      </c>
      <c r="H2683" t="s">
        <v>2197</v>
      </c>
    </row>
    <row r="2684" spans="1:8">
      <c r="A2684" t="s">
        <v>7035</v>
      </c>
      <c r="B2684" t="s">
        <v>7034</v>
      </c>
      <c r="C2684">
        <v>15</v>
      </c>
      <c r="D2684">
        <v>1</v>
      </c>
      <c r="E2684">
        <v>1</v>
      </c>
      <c r="F2684">
        <v>1366.66</v>
      </c>
      <c r="G2684">
        <v>2.8050000000000002E-3</v>
      </c>
      <c r="H2684" t="s">
        <v>2197</v>
      </c>
    </row>
    <row r="2685" spans="1:8">
      <c r="A2685" t="s">
        <v>7041</v>
      </c>
      <c r="B2685" t="s">
        <v>7040</v>
      </c>
      <c r="C2685">
        <v>40</v>
      </c>
      <c r="D2685">
        <v>1</v>
      </c>
      <c r="E2685">
        <v>1</v>
      </c>
      <c r="F2685">
        <v>0</v>
      </c>
      <c r="G2685">
        <v>0</v>
      </c>
      <c r="H2685" t="s">
        <v>2197</v>
      </c>
    </row>
    <row r="2686" spans="1:8">
      <c r="A2686" t="s">
        <v>7039</v>
      </c>
      <c r="B2686" t="s">
        <v>7038</v>
      </c>
      <c r="C2686">
        <v>50</v>
      </c>
      <c r="D2686">
        <v>1</v>
      </c>
      <c r="E2686">
        <v>1</v>
      </c>
      <c r="F2686">
        <v>0</v>
      </c>
      <c r="G2686">
        <v>0</v>
      </c>
      <c r="H2686" t="s">
        <v>2197</v>
      </c>
    </row>
    <row r="2687" spans="1:8">
      <c r="A2687" t="s">
        <v>9656</v>
      </c>
      <c r="B2687" t="s">
        <v>7042</v>
      </c>
      <c r="C2687">
        <v>15</v>
      </c>
      <c r="D2687">
        <v>1</v>
      </c>
      <c r="E2687">
        <v>1</v>
      </c>
      <c r="F2687">
        <v>1166.7</v>
      </c>
      <c r="G2687">
        <v>3.9199999999999999E-3</v>
      </c>
      <c r="H2687" t="s">
        <v>2197</v>
      </c>
    </row>
    <row r="2688" spans="1:8">
      <c r="A2688" t="s">
        <v>4706</v>
      </c>
      <c r="B2688" t="s">
        <v>7043</v>
      </c>
      <c r="C2688">
        <v>20</v>
      </c>
      <c r="D2688">
        <v>1</v>
      </c>
      <c r="E2688">
        <v>1</v>
      </c>
      <c r="F2688">
        <v>671.5</v>
      </c>
      <c r="G2688">
        <v>1.1509312500000001E-3</v>
      </c>
      <c r="H2688" t="s">
        <v>2197</v>
      </c>
    </row>
    <row r="2689" spans="1:8">
      <c r="A2689" t="s">
        <v>4707</v>
      </c>
      <c r="B2689" t="s">
        <v>7044</v>
      </c>
      <c r="C2689">
        <v>50</v>
      </c>
      <c r="D2689">
        <v>1</v>
      </c>
      <c r="E2689">
        <v>1</v>
      </c>
      <c r="F2689">
        <v>147.80000000000001</v>
      </c>
      <c r="G2689">
        <v>3.1824000000000002E-4</v>
      </c>
      <c r="H2689" t="s">
        <v>2197</v>
      </c>
    </row>
    <row r="2690" spans="1:8">
      <c r="A2690" t="s">
        <v>7046</v>
      </c>
      <c r="B2690" t="s">
        <v>7045</v>
      </c>
      <c r="C2690">
        <v>20</v>
      </c>
      <c r="D2690">
        <v>1</v>
      </c>
      <c r="E2690">
        <v>1</v>
      </c>
      <c r="F2690">
        <v>147.80000000000001</v>
      </c>
      <c r="G2690">
        <v>3.1824000000000002E-4</v>
      </c>
      <c r="H2690" t="s">
        <v>2197</v>
      </c>
    </row>
    <row r="2691" spans="1:8">
      <c r="A2691" t="s">
        <v>4708</v>
      </c>
      <c r="B2691" t="s">
        <v>7047</v>
      </c>
      <c r="C2691">
        <v>10</v>
      </c>
      <c r="D2691">
        <v>1</v>
      </c>
      <c r="E2691">
        <v>1</v>
      </c>
      <c r="F2691">
        <v>0</v>
      </c>
      <c r="G2691">
        <v>0</v>
      </c>
      <c r="H2691" t="s">
        <v>2197</v>
      </c>
    </row>
    <row r="2692" spans="1:8">
      <c r="A2692" t="s">
        <v>4709</v>
      </c>
      <c r="B2692" t="s">
        <v>7048</v>
      </c>
      <c r="C2692">
        <v>100</v>
      </c>
      <c r="D2692">
        <v>1</v>
      </c>
      <c r="E2692">
        <v>1</v>
      </c>
      <c r="F2692">
        <v>130.5</v>
      </c>
      <c r="G2692">
        <v>4.4288999999999998E-4</v>
      </c>
      <c r="H2692" t="s">
        <v>2197</v>
      </c>
    </row>
    <row r="2693" spans="1:8">
      <c r="A2693" t="s">
        <v>7050</v>
      </c>
      <c r="B2693" t="s">
        <v>7049</v>
      </c>
      <c r="C2693">
        <v>20</v>
      </c>
      <c r="D2693">
        <v>1</v>
      </c>
      <c r="E2693">
        <v>1</v>
      </c>
      <c r="F2693">
        <v>768</v>
      </c>
      <c r="G2693">
        <v>1.2131437499999999E-3</v>
      </c>
      <c r="H2693" t="s">
        <v>2197</v>
      </c>
    </row>
    <row r="2694" spans="1:8">
      <c r="A2694" t="s">
        <v>1479</v>
      </c>
      <c r="B2694" t="s">
        <v>3565</v>
      </c>
      <c r="C2694">
        <v>16</v>
      </c>
      <c r="D2694">
        <v>1</v>
      </c>
      <c r="E2694">
        <v>1</v>
      </c>
      <c r="F2694">
        <v>587.5</v>
      </c>
      <c r="G2694">
        <v>1.9469999999999999E-3</v>
      </c>
      <c r="H2694" t="s">
        <v>2203</v>
      </c>
    </row>
    <row r="2695" spans="1:8">
      <c r="A2695" t="s">
        <v>4997</v>
      </c>
      <c r="B2695" t="s">
        <v>7056</v>
      </c>
      <c r="C2695">
        <v>20</v>
      </c>
      <c r="D2695">
        <v>1</v>
      </c>
      <c r="E2695">
        <v>1</v>
      </c>
      <c r="F2695">
        <v>1</v>
      </c>
      <c r="G2695">
        <v>0</v>
      </c>
      <c r="H2695" t="s">
        <v>2197</v>
      </c>
    </row>
    <row r="2696" spans="1:8">
      <c r="A2696" t="s">
        <v>4998</v>
      </c>
      <c r="B2696" t="s">
        <v>7057</v>
      </c>
      <c r="C2696">
        <v>4</v>
      </c>
      <c r="D2696">
        <v>1</v>
      </c>
      <c r="E2696">
        <v>1</v>
      </c>
      <c r="F2696">
        <v>1</v>
      </c>
      <c r="G2696">
        <v>0</v>
      </c>
      <c r="H2696" t="s">
        <v>2307</v>
      </c>
    </row>
    <row r="2697" spans="1:8">
      <c r="A2697" t="s">
        <v>9657</v>
      </c>
      <c r="B2697" t="s">
        <v>7052</v>
      </c>
      <c r="C2697">
        <v>40</v>
      </c>
      <c r="D2697">
        <v>1</v>
      </c>
      <c r="E2697">
        <v>1</v>
      </c>
      <c r="F2697">
        <v>344</v>
      </c>
      <c r="G2697">
        <v>6.5450000000000003E-4</v>
      </c>
      <c r="H2697" t="s">
        <v>2197</v>
      </c>
    </row>
    <row r="2698" spans="1:8">
      <c r="A2698" t="s">
        <v>9658</v>
      </c>
      <c r="B2698" t="s">
        <v>7051</v>
      </c>
      <c r="C2698">
        <v>50</v>
      </c>
      <c r="D2698">
        <v>1</v>
      </c>
      <c r="E2698">
        <v>1</v>
      </c>
      <c r="F2698">
        <v>137</v>
      </c>
      <c r="G2698">
        <v>4.4059999999999998E-4</v>
      </c>
      <c r="H2698" t="s">
        <v>2197</v>
      </c>
    </row>
    <row r="2699" spans="1:8">
      <c r="A2699" t="s">
        <v>9659</v>
      </c>
      <c r="B2699" t="s">
        <v>7055</v>
      </c>
      <c r="C2699">
        <v>100</v>
      </c>
      <c r="D2699">
        <v>1</v>
      </c>
      <c r="E2699">
        <v>1</v>
      </c>
      <c r="F2699">
        <v>196</v>
      </c>
      <c r="G2699">
        <v>3.8279999999999998E-4</v>
      </c>
      <c r="H2699" t="s">
        <v>2197</v>
      </c>
    </row>
    <row r="2700" spans="1:8">
      <c r="A2700" t="s">
        <v>9660</v>
      </c>
      <c r="B2700" t="s">
        <v>7054</v>
      </c>
      <c r="C2700">
        <v>20</v>
      </c>
      <c r="D2700">
        <v>1</v>
      </c>
      <c r="E2700">
        <v>1</v>
      </c>
      <c r="F2700">
        <v>872.5</v>
      </c>
      <c r="G2700">
        <v>1.4801E-3</v>
      </c>
      <c r="H2700" t="s">
        <v>2197</v>
      </c>
    </row>
    <row r="2701" spans="1:8">
      <c r="A2701" t="s">
        <v>9661</v>
      </c>
      <c r="B2701" t="s">
        <v>7053</v>
      </c>
      <c r="C2701">
        <v>40</v>
      </c>
      <c r="D2701">
        <v>1</v>
      </c>
      <c r="E2701">
        <v>1</v>
      </c>
      <c r="F2701">
        <v>498.8</v>
      </c>
      <c r="G2701">
        <v>8.0999999999999996E-4</v>
      </c>
      <c r="H2701" t="s">
        <v>2197</v>
      </c>
    </row>
    <row r="2702" spans="1:8">
      <c r="A2702" t="s">
        <v>1481</v>
      </c>
      <c r="B2702" t="s">
        <v>3567</v>
      </c>
      <c r="C2702">
        <v>10</v>
      </c>
      <c r="D2702">
        <v>1</v>
      </c>
      <c r="E2702">
        <v>1</v>
      </c>
      <c r="F2702">
        <v>1075</v>
      </c>
      <c r="G2702">
        <v>2.5661999999999998E-3</v>
      </c>
      <c r="H2702" t="s">
        <v>2197</v>
      </c>
    </row>
    <row r="2703" spans="1:8">
      <c r="A2703" t="s">
        <v>1482</v>
      </c>
      <c r="B2703" t="s">
        <v>3569</v>
      </c>
      <c r="C2703">
        <v>20</v>
      </c>
      <c r="D2703">
        <v>1</v>
      </c>
      <c r="E2703">
        <v>1</v>
      </c>
      <c r="F2703">
        <v>557</v>
      </c>
      <c r="G2703">
        <v>1.2227E-3</v>
      </c>
      <c r="H2703" t="s">
        <v>2197</v>
      </c>
    </row>
    <row r="2704" spans="1:8">
      <c r="A2704" t="s">
        <v>1483</v>
      </c>
      <c r="B2704" t="s">
        <v>3570</v>
      </c>
      <c r="C2704">
        <v>40</v>
      </c>
      <c r="D2704">
        <v>1</v>
      </c>
      <c r="E2704">
        <v>1</v>
      </c>
      <c r="F2704">
        <v>290</v>
      </c>
      <c r="G2704">
        <v>6.5950000000000004E-4</v>
      </c>
      <c r="H2704" t="s">
        <v>2197</v>
      </c>
    </row>
    <row r="2705" spans="1:8">
      <c r="A2705" t="s">
        <v>1484</v>
      </c>
      <c r="B2705" t="s">
        <v>3571</v>
      </c>
      <c r="C2705">
        <v>50</v>
      </c>
      <c r="D2705">
        <v>1</v>
      </c>
      <c r="E2705">
        <v>1</v>
      </c>
      <c r="F2705">
        <v>129</v>
      </c>
      <c r="G2705">
        <v>3.3809999999999998E-4</v>
      </c>
      <c r="H2705" t="s">
        <v>2197</v>
      </c>
    </row>
    <row r="2706" spans="1:8">
      <c r="A2706" t="s">
        <v>4710</v>
      </c>
      <c r="B2706" t="s">
        <v>7058</v>
      </c>
      <c r="C2706">
        <v>30</v>
      </c>
      <c r="D2706">
        <v>4</v>
      </c>
      <c r="E2706">
        <v>1</v>
      </c>
      <c r="F2706">
        <v>0</v>
      </c>
      <c r="G2706">
        <v>0</v>
      </c>
      <c r="H2706" t="s">
        <v>2203</v>
      </c>
    </row>
    <row r="2707" spans="1:8">
      <c r="A2707" t="s">
        <v>4711</v>
      </c>
      <c r="B2707" t="s">
        <v>7059</v>
      </c>
      <c r="C2707">
        <v>32</v>
      </c>
      <c r="D2707">
        <v>4</v>
      </c>
      <c r="E2707">
        <v>1</v>
      </c>
      <c r="F2707">
        <v>0</v>
      </c>
      <c r="G2707">
        <v>0</v>
      </c>
      <c r="H2707" t="s">
        <v>2203</v>
      </c>
    </row>
    <row r="2708" spans="1:8">
      <c r="A2708" t="s">
        <v>4712</v>
      </c>
      <c r="B2708" t="s">
        <v>7060</v>
      </c>
      <c r="C2708">
        <v>48</v>
      </c>
      <c r="D2708">
        <v>1</v>
      </c>
      <c r="E2708">
        <v>1</v>
      </c>
      <c r="F2708">
        <v>0</v>
      </c>
      <c r="G2708">
        <v>0</v>
      </c>
      <c r="H2708" t="s">
        <v>2197</v>
      </c>
    </row>
    <row r="2709" spans="1:8">
      <c r="A2709" t="s">
        <v>1485</v>
      </c>
      <c r="B2709" t="s">
        <v>3572</v>
      </c>
      <c r="C2709">
        <v>1</v>
      </c>
      <c r="D2709">
        <v>1</v>
      </c>
      <c r="E2709">
        <v>1</v>
      </c>
      <c r="F2709">
        <v>24650</v>
      </c>
      <c r="G2709">
        <v>2.4840000000000001E-2</v>
      </c>
      <c r="H2709" t="s">
        <v>2303</v>
      </c>
    </row>
    <row r="2710" spans="1:8">
      <c r="A2710" t="s">
        <v>1486</v>
      </c>
      <c r="B2710" t="s">
        <v>3574</v>
      </c>
      <c r="C2710">
        <v>20</v>
      </c>
      <c r="D2710">
        <v>1</v>
      </c>
      <c r="E2710">
        <v>1</v>
      </c>
      <c r="F2710">
        <v>1312.5</v>
      </c>
      <c r="G2710">
        <v>2.5625000000000001E-3</v>
      </c>
      <c r="H2710" t="s">
        <v>2197</v>
      </c>
    </row>
    <row r="2711" spans="1:8">
      <c r="A2711" t="s">
        <v>7064</v>
      </c>
      <c r="B2711" t="s">
        <v>7063</v>
      </c>
      <c r="C2711">
        <v>1</v>
      </c>
      <c r="D2711">
        <v>1</v>
      </c>
      <c r="E2711">
        <v>1</v>
      </c>
      <c r="F2711">
        <v>205000</v>
      </c>
      <c r="G2711">
        <v>0.31285200000000002</v>
      </c>
      <c r="H2711" t="s">
        <v>4806</v>
      </c>
    </row>
    <row r="2712" spans="1:8">
      <c r="A2712" t="s">
        <v>7062</v>
      </c>
      <c r="B2712" t="s">
        <v>7061</v>
      </c>
      <c r="C2712">
        <v>4</v>
      </c>
      <c r="D2712">
        <v>1</v>
      </c>
      <c r="E2712">
        <v>1</v>
      </c>
      <c r="F2712">
        <v>6412.5</v>
      </c>
      <c r="G2712">
        <v>7.8571999999999999E-3</v>
      </c>
      <c r="H2712" t="s">
        <v>2197</v>
      </c>
    </row>
    <row r="2713" spans="1:8">
      <c r="A2713" t="s">
        <v>4713</v>
      </c>
      <c r="B2713" t="s">
        <v>7065</v>
      </c>
      <c r="C2713">
        <v>1</v>
      </c>
      <c r="D2713">
        <v>1</v>
      </c>
      <c r="E2713">
        <v>1</v>
      </c>
      <c r="F2713">
        <v>0</v>
      </c>
      <c r="G2713">
        <v>0</v>
      </c>
      <c r="H2713" t="s">
        <v>2221</v>
      </c>
    </row>
    <row r="2714" spans="1:8">
      <c r="A2714" t="s">
        <v>1487</v>
      </c>
      <c r="B2714" t="s">
        <v>3575</v>
      </c>
      <c r="C2714">
        <v>20</v>
      </c>
      <c r="D2714">
        <v>1</v>
      </c>
      <c r="E2714">
        <v>1</v>
      </c>
      <c r="F2714">
        <v>680</v>
      </c>
      <c r="G2714">
        <v>1.2369E-3</v>
      </c>
      <c r="H2714" t="s">
        <v>2197</v>
      </c>
    </row>
    <row r="2715" spans="1:8">
      <c r="A2715" t="s">
        <v>7067</v>
      </c>
      <c r="B2715" t="s">
        <v>7066</v>
      </c>
      <c r="C2715">
        <v>20</v>
      </c>
      <c r="D2715">
        <v>1</v>
      </c>
      <c r="E2715">
        <v>1</v>
      </c>
      <c r="F2715">
        <v>564</v>
      </c>
      <c r="G2715">
        <v>1.1199999999999999E-3</v>
      </c>
      <c r="H2715" t="s">
        <v>2197</v>
      </c>
    </row>
    <row r="2716" spans="1:8">
      <c r="A2716" t="s">
        <v>7069</v>
      </c>
      <c r="B2716" t="s">
        <v>7068</v>
      </c>
      <c r="C2716">
        <v>50</v>
      </c>
      <c r="D2716">
        <v>1</v>
      </c>
      <c r="E2716">
        <v>1</v>
      </c>
      <c r="F2716">
        <v>125.6</v>
      </c>
      <c r="G2716">
        <v>1.7655749999999999E-4</v>
      </c>
      <c r="H2716" t="s">
        <v>2197</v>
      </c>
    </row>
    <row r="2717" spans="1:8">
      <c r="A2717" t="s">
        <v>1490</v>
      </c>
      <c r="B2717" t="s">
        <v>3577</v>
      </c>
      <c r="C2717">
        <v>24</v>
      </c>
      <c r="D2717">
        <v>1</v>
      </c>
      <c r="E2717">
        <v>1</v>
      </c>
      <c r="F2717">
        <v>545.79999999999995</v>
      </c>
      <c r="G2717">
        <v>7.5000000000000002E-4</v>
      </c>
      <c r="H2717" t="s">
        <v>2203</v>
      </c>
    </row>
    <row r="2718" spans="1:8">
      <c r="A2718" t="s">
        <v>1496</v>
      </c>
      <c r="B2718" t="s">
        <v>3579</v>
      </c>
      <c r="C2718">
        <v>40</v>
      </c>
      <c r="D2718">
        <v>1</v>
      </c>
      <c r="E2718">
        <v>1</v>
      </c>
      <c r="F2718">
        <v>115</v>
      </c>
      <c r="G2718">
        <v>2.31E-4</v>
      </c>
      <c r="H2718" t="s">
        <v>2203</v>
      </c>
    </row>
    <row r="2719" spans="1:8">
      <c r="A2719" t="s">
        <v>9662</v>
      </c>
      <c r="B2719" t="s">
        <v>7071</v>
      </c>
      <c r="C2719">
        <v>24</v>
      </c>
      <c r="D2719">
        <v>1</v>
      </c>
      <c r="E2719">
        <v>1</v>
      </c>
      <c r="F2719">
        <v>539.6</v>
      </c>
      <c r="G2719">
        <v>7.5000000000000002E-4</v>
      </c>
      <c r="H2719" t="s">
        <v>2203</v>
      </c>
    </row>
    <row r="2720" spans="1:8">
      <c r="A2720" t="s">
        <v>9663</v>
      </c>
      <c r="B2720" t="s">
        <v>7070</v>
      </c>
      <c r="C2720">
        <v>40</v>
      </c>
      <c r="D2720">
        <v>1</v>
      </c>
      <c r="E2720">
        <v>1</v>
      </c>
      <c r="F2720">
        <v>112.5</v>
      </c>
      <c r="G2720">
        <v>2.31E-4</v>
      </c>
      <c r="H2720" t="s">
        <v>2203</v>
      </c>
    </row>
    <row r="2721" spans="1:8">
      <c r="A2721" t="s">
        <v>1499</v>
      </c>
      <c r="B2721" t="s">
        <v>3580</v>
      </c>
      <c r="C2721">
        <v>24</v>
      </c>
      <c r="D2721">
        <v>1</v>
      </c>
      <c r="E2721">
        <v>1</v>
      </c>
      <c r="F2721">
        <v>545.79999999999995</v>
      </c>
      <c r="G2721">
        <v>7.5000000000000002E-4</v>
      </c>
      <c r="H2721" t="s">
        <v>2203</v>
      </c>
    </row>
    <row r="2722" spans="1:8">
      <c r="A2722" t="s">
        <v>1500</v>
      </c>
      <c r="B2722" t="s">
        <v>3582</v>
      </c>
      <c r="C2722">
        <v>40</v>
      </c>
      <c r="D2722">
        <v>1</v>
      </c>
      <c r="E2722">
        <v>1</v>
      </c>
      <c r="F2722">
        <v>112.5</v>
      </c>
      <c r="G2722">
        <v>2.3000000000000001E-4</v>
      </c>
      <c r="H2722" t="s">
        <v>2203</v>
      </c>
    </row>
    <row r="2723" spans="1:8">
      <c r="A2723" t="s">
        <v>7073</v>
      </c>
      <c r="B2723" t="s">
        <v>7072</v>
      </c>
      <c r="C2723">
        <v>100</v>
      </c>
      <c r="D2723">
        <v>1</v>
      </c>
      <c r="E2723">
        <v>1</v>
      </c>
      <c r="F2723">
        <v>100</v>
      </c>
      <c r="G2723">
        <v>0</v>
      </c>
      <c r="H2723" t="s">
        <v>2197</v>
      </c>
    </row>
    <row r="2724" spans="1:8">
      <c r="A2724" t="s">
        <v>4714</v>
      </c>
      <c r="B2724" t="s">
        <v>7074</v>
      </c>
      <c r="C2724">
        <v>20</v>
      </c>
      <c r="D2724">
        <v>12</v>
      </c>
      <c r="E2724">
        <v>1</v>
      </c>
      <c r="F2724">
        <v>24</v>
      </c>
      <c r="G2724" s="4">
        <v>9.8999999999999994E-5</v>
      </c>
      <c r="H2724" t="s">
        <v>2203</v>
      </c>
    </row>
    <row r="2725" spans="1:8">
      <c r="A2725" t="s">
        <v>4715</v>
      </c>
      <c r="B2725" t="s">
        <v>7082</v>
      </c>
      <c r="C2725">
        <v>20</v>
      </c>
      <c r="D2725">
        <v>24</v>
      </c>
      <c r="E2725">
        <v>1</v>
      </c>
      <c r="F2725">
        <v>125.6</v>
      </c>
      <c r="G2725">
        <v>1.7655749999999999E-4</v>
      </c>
      <c r="H2725" t="s">
        <v>2203</v>
      </c>
    </row>
    <row r="2726" spans="1:8">
      <c r="A2726" t="s">
        <v>7078</v>
      </c>
      <c r="B2726" t="s">
        <v>7077</v>
      </c>
      <c r="C2726">
        <v>25</v>
      </c>
      <c r="D2726">
        <v>1</v>
      </c>
      <c r="E2726">
        <v>1</v>
      </c>
      <c r="F2726">
        <v>125.6</v>
      </c>
      <c r="G2726">
        <v>1.7655749999999999E-4</v>
      </c>
      <c r="H2726" t="s">
        <v>2203</v>
      </c>
    </row>
    <row r="2727" spans="1:8">
      <c r="A2727" t="s">
        <v>7086</v>
      </c>
      <c r="B2727" t="s">
        <v>7085</v>
      </c>
      <c r="C2727">
        <v>20</v>
      </c>
      <c r="D2727">
        <v>12</v>
      </c>
      <c r="E2727">
        <v>1</v>
      </c>
      <c r="F2727">
        <v>1</v>
      </c>
      <c r="G2727">
        <v>0</v>
      </c>
      <c r="H2727" t="s">
        <v>2203</v>
      </c>
    </row>
    <row r="2728" spans="1:8">
      <c r="A2728" t="s">
        <v>1502</v>
      </c>
      <c r="B2728" t="s">
        <v>3583</v>
      </c>
      <c r="C2728">
        <v>12</v>
      </c>
      <c r="D2728">
        <v>15</v>
      </c>
      <c r="E2728">
        <v>1</v>
      </c>
      <c r="F2728">
        <v>21.4</v>
      </c>
      <c r="G2728">
        <v>1.3070000000000001E-4</v>
      </c>
      <c r="H2728" t="s">
        <v>2203</v>
      </c>
    </row>
    <row r="2729" spans="1:8">
      <c r="A2729" t="s">
        <v>9664</v>
      </c>
      <c r="B2729" t="s">
        <v>7081</v>
      </c>
      <c r="C2729">
        <v>12</v>
      </c>
      <c r="D2729">
        <v>15</v>
      </c>
      <c r="E2729">
        <v>1</v>
      </c>
      <c r="F2729">
        <v>10</v>
      </c>
      <c r="G2729">
        <v>1.7655749999999999E-4</v>
      </c>
      <c r="H2729" t="s">
        <v>2203</v>
      </c>
    </row>
    <row r="2730" spans="1:8">
      <c r="A2730" t="s">
        <v>7084</v>
      </c>
      <c r="B2730" t="s">
        <v>7083</v>
      </c>
      <c r="C2730">
        <v>12</v>
      </c>
      <c r="D2730">
        <v>15</v>
      </c>
      <c r="E2730">
        <v>1</v>
      </c>
      <c r="F2730">
        <v>10</v>
      </c>
      <c r="G2730">
        <v>0</v>
      </c>
      <c r="H2730" t="s">
        <v>2203</v>
      </c>
    </row>
    <row r="2731" spans="1:8">
      <c r="A2731" t="s">
        <v>7076</v>
      </c>
      <c r="B2731" t="s">
        <v>7075</v>
      </c>
      <c r="C2731">
        <v>12</v>
      </c>
      <c r="D2731">
        <v>15</v>
      </c>
      <c r="E2731">
        <v>1</v>
      </c>
      <c r="F2731">
        <v>125.6</v>
      </c>
      <c r="G2731">
        <v>1.7655749999999999E-4</v>
      </c>
      <c r="H2731" t="s">
        <v>2203</v>
      </c>
    </row>
    <row r="2732" spans="1:8">
      <c r="A2732" t="s">
        <v>7080</v>
      </c>
      <c r="B2732" t="s">
        <v>7079</v>
      </c>
      <c r="C2732">
        <v>12</v>
      </c>
      <c r="D2732">
        <v>15</v>
      </c>
      <c r="E2732">
        <v>1</v>
      </c>
      <c r="F2732">
        <v>10</v>
      </c>
      <c r="G2732">
        <v>1.7655749999999999E-4</v>
      </c>
      <c r="H2732" t="s">
        <v>2203</v>
      </c>
    </row>
    <row r="2733" spans="1:8">
      <c r="A2733" t="s">
        <v>1503</v>
      </c>
      <c r="B2733" t="s">
        <v>3586</v>
      </c>
      <c r="C2733">
        <v>16</v>
      </c>
      <c r="D2733">
        <v>5</v>
      </c>
      <c r="E2733">
        <v>1</v>
      </c>
      <c r="F2733">
        <v>144.4</v>
      </c>
      <c r="G2733">
        <v>5.2019999999999996E-4</v>
      </c>
      <c r="H2733" t="s">
        <v>2203</v>
      </c>
    </row>
    <row r="2734" spans="1:8">
      <c r="A2734" t="s">
        <v>4717</v>
      </c>
      <c r="B2734" t="s">
        <v>7091</v>
      </c>
      <c r="C2734">
        <v>15</v>
      </c>
      <c r="D2734">
        <v>1</v>
      </c>
      <c r="E2734">
        <v>1</v>
      </c>
      <c r="F2734">
        <v>0</v>
      </c>
      <c r="G2734">
        <v>0</v>
      </c>
      <c r="H2734" t="s">
        <v>2203</v>
      </c>
    </row>
    <row r="2735" spans="1:8">
      <c r="A2735" t="s">
        <v>4718</v>
      </c>
      <c r="B2735" t="s">
        <v>7092</v>
      </c>
      <c r="C2735">
        <v>15</v>
      </c>
      <c r="D2735">
        <v>1</v>
      </c>
      <c r="E2735">
        <v>1</v>
      </c>
      <c r="F2735">
        <v>0</v>
      </c>
      <c r="G2735">
        <v>0</v>
      </c>
      <c r="H2735" t="s">
        <v>2203</v>
      </c>
    </row>
    <row r="2736" spans="1:8">
      <c r="A2736" t="s">
        <v>4720</v>
      </c>
      <c r="B2736" t="s">
        <v>7095</v>
      </c>
      <c r="C2736">
        <v>20</v>
      </c>
      <c r="D2736">
        <v>1</v>
      </c>
      <c r="E2736">
        <v>1</v>
      </c>
      <c r="F2736">
        <v>1030</v>
      </c>
      <c r="G2736">
        <v>2.1438E-3</v>
      </c>
      <c r="H2736" t="s">
        <v>2203</v>
      </c>
    </row>
    <row r="2737" spans="1:8">
      <c r="A2737" t="s">
        <v>4719</v>
      </c>
      <c r="B2737" t="s">
        <v>7089</v>
      </c>
      <c r="C2737">
        <v>8</v>
      </c>
      <c r="D2737">
        <v>1</v>
      </c>
      <c r="E2737">
        <v>1</v>
      </c>
      <c r="F2737">
        <v>5375</v>
      </c>
      <c r="G2737">
        <v>1.0687500000000001E-2</v>
      </c>
      <c r="H2737" t="s">
        <v>2203</v>
      </c>
    </row>
    <row r="2738" spans="1:8">
      <c r="A2738" t="s">
        <v>7124</v>
      </c>
      <c r="B2738" t="s">
        <v>7123</v>
      </c>
      <c r="C2738">
        <v>8</v>
      </c>
      <c r="D2738">
        <v>1</v>
      </c>
      <c r="E2738">
        <v>1</v>
      </c>
      <c r="F2738">
        <v>5250</v>
      </c>
      <c r="G2738">
        <v>1.3545E-2</v>
      </c>
      <c r="H2738" t="s">
        <v>2203</v>
      </c>
    </row>
    <row r="2739" spans="1:8">
      <c r="A2739" t="s">
        <v>7126</v>
      </c>
      <c r="B2739" t="s">
        <v>7125</v>
      </c>
      <c r="C2739">
        <v>8</v>
      </c>
      <c r="D2739">
        <v>1</v>
      </c>
      <c r="E2739">
        <v>1</v>
      </c>
      <c r="F2739">
        <v>5250</v>
      </c>
      <c r="G2739">
        <v>1.3545E-2</v>
      </c>
      <c r="H2739" t="s">
        <v>2203</v>
      </c>
    </row>
    <row r="2740" spans="1:8">
      <c r="A2740" t="s">
        <v>7088</v>
      </c>
      <c r="B2740" t="s">
        <v>7087</v>
      </c>
      <c r="C2740">
        <v>20</v>
      </c>
      <c r="D2740">
        <v>1</v>
      </c>
      <c r="E2740">
        <v>1</v>
      </c>
      <c r="F2740">
        <v>1080</v>
      </c>
      <c r="G2740">
        <v>0</v>
      </c>
      <c r="H2740" t="s">
        <v>2203</v>
      </c>
    </row>
    <row r="2741" spans="1:8">
      <c r="A2741" t="s">
        <v>9665</v>
      </c>
      <c r="B2741" t="s">
        <v>7093</v>
      </c>
      <c r="C2741">
        <v>20</v>
      </c>
      <c r="D2741">
        <v>1</v>
      </c>
      <c r="E2741">
        <v>1</v>
      </c>
      <c r="F2741">
        <v>1075</v>
      </c>
      <c r="G2741">
        <v>2.3532000000000002E-3</v>
      </c>
      <c r="H2741" t="s">
        <v>2203</v>
      </c>
    </row>
    <row r="2742" spans="1:8">
      <c r="A2742" t="s">
        <v>7115</v>
      </c>
      <c r="B2742" t="s">
        <v>7114</v>
      </c>
      <c r="C2742">
        <v>4</v>
      </c>
      <c r="D2742">
        <v>1</v>
      </c>
      <c r="E2742">
        <v>1</v>
      </c>
      <c r="F2742">
        <v>5225</v>
      </c>
      <c r="G2742">
        <v>1.0947999999999999E-2</v>
      </c>
      <c r="H2742" t="s">
        <v>2203</v>
      </c>
    </row>
    <row r="2743" spans="1:8">
      <c r="A2743" t="s">
        <v>9666</v>
      </c>
      <c r="B2743" t="s">
        <v>7094</v>
      </c>
      <c r="C2743">
        <v>4</v>
      </c>
      <c r="D2743">
        <v>1</v>
      </c>
      <c r="E2743">
        <v>1</v>
      </c>
      <c r="F2743">
        <v>5000</v>
      </c>
      <c r="G2743">
        <v>1.1172E-2</v>
      </c>
      <c r="H2743" t="s">
        <v>2203</v>
      </c>
    </row>
    <row r="2744" spans="1:8">
      <c r="A2744" t="s">
        <v>7132</v>
      </c>
      <c r="B2744" t="s">
        <v>7131</v>
      </c>
      <c r="C2744">
        <v>4</v>
      </c>
      <c r="D2744">
        <v>1</v>
      </c>
      <c r="E2744">
        <v>1</v>
      </c>
      <c r="F2744">
        <v>1</v>
      </c>
      <c r="G2744">
        <v>0</v>
      </c>
      <c r="H2744" t="s">
        <v>2221</v>
      </c>
    </row>
    <row r="2745" spans="1:8">
      <c r="A2745" t="s">
        <v>9667</v>
      </c>
      <c r="B2745" t="s">
        <v>7100</v>
      </c>
      <c r="C2745">
        <v>4</v>
      </c>
      <c r="D2745">
        <v>1</v>
      </c>
      <c r="E2745">
        <v>1</v>
      </c>
      <c r="F2745">
        <v>5000</v>
      </c>
      <c r="G2745">
        <v>1.1172E-2</v>
      </c>
      <c r="H2745" t="s">
        <v>2203</v>
      </c>
    </row>
    <row r="2746" spans="1:8">
      <c r="A2746" t="s">
        <v>9668</v>
      </c>
      <c r="B2746" t="s">
        <v>7108</v>
      </c>
      <c r="C2746">
        <v>4</v>
      </c>
      <c r="D2746">
        <v>1</v>
      </c>
      <c r="E2746">
        <v>1</v>
      </c>
      <c r="F2746">
        <v>5000</v>
      </c>
      <c r="G2746">
        <v>1.1172E-2</v>
      </c>
      <c r="H2746" t="s">
        <v>2203</v>
      </c>
    </row>
    <row r="2747" spans="1:8">
      <c r="A2747" t="s">
        <v>7130</v>
      </c>
      <c r="B2747" t="s">
        <v>7129</v>
      </c>
      <c r="C2747">
        <v>1</v>
      </c>
      <c r="D2747">
        <v>1</v>
      </c>
      <c r="E2747">
        <v>1</v>
      </c>
      <c r="F2747">
        <v>1</v>
      </c>
      <c r="G2747">
        <v>0</v>
      </c>
      <c r="H2747" t="s">
        <v>2221</v>
      </c>
    </row>
    <row r="2748" spans="1:8">
      <c r="A2748" t="s">
        <v>9669</v>
      </c>
      <c r="B2748" t="s">
        <v>7111</v>
      </c>
      <c r="C2748">
        <v>4</v>
      </c>
      <c r="D2748">
        <v>1</v>
      </c>
      <c r="E2748">
        <v>1</v>
      </c>
      <c r="F2748">
        <v>1</v>
      </c>
      <c r="G2748">
        <v>0</v>
      </c>
      <c r="H2748" t="s">
        <v>2203</v>
      </c>
    </row>
    <row r="2749" spans="1:8">
      <c r="A2749" t="s">
        <v>9670</v>
      </c>
      <c r="B2749" t="s">
        <v>7099</v>
      </c>
      <c r="C2749">
        <v>4</v>
      </c>
      <c r="D2749">
        <v>1</v>
      </c>
      <c r="E2749">
        <v>1</v>
      </c>
      <c r="F2749">
        <v>5000</v>
      </c>
      <c r="G2749">
        <v>1.1172E-2</v>
      </c>
      <c r="H2749" t="s">
        <v>2203</v>
      </c>
    </row>
    <row r="2750" spans="1:8">
      <c r="A2750" t="s">
        <v>9671</v>
      </c>
      <c r="B2750" t="s">
        <v>7096</v>
      </c>
      <c r="C2750">
        <v>4</v>
      </c>
      <c r="D2750">
        <v>1</v>
      </c>
      <c r="E2750">
        <v>1</v>
      </c>
      <c r="F2750">
        <v>5000</v>
      </c>
      <c r="G2750">
        <v>1.1172E-2</v>
      </c>
      <c r="H2750" t="s">
        <v>2203</v>
      </c>
    </row>
    <row r="2751" spans="1:8">
      <c r="A2751" t="s">
        <v>9672</v>
      </c>
      <c r="B2751" t="s">
        <v>7098</v>
      </c>
      <c r="C2751">
        <v>4</v>
      </c>
      <c r="D2751">
        <v>1</v>
      </c>
      <c r="E2751">
        <v>1</v>
      </c>
      <c r="F2751">
        <v>5000</v>
      </c>
      <c r="G2751">
        <v>0</v>
      </c>
      <c r="H2751" t="s">
        <v>2203</v>
      </c>
    </row>
    <row r="2752" spans="1:8">
      <c r="A2752" t="s">
        <v>7120</v>
      </c>
      <c r="B2752" t="s">
        <v>7119</v>
      </c>
      <c r="C2752">
        <v>4</v>
      </c>
      <c r="D2752">
        <v>1</v>
      </c>
      <c r="E2752">
        <v>1</v>
      </c>
      <c r="F2752">
        <v>1</v>
      </c>
      <c r="G2752">
        <v>0</v>
      </c>
      <c r="H2752" t="s">
        <v>2203</v>
      </c>
    </row>
    <row r="2753" spans="1:8">
      <c r="A2753" t="s">
        <v>7117</v>
      </c>
      <c r="B2753" t="s">
        <v>7116</v>
      </c>
      <c r="C2753">
        <v>4</v>
      </c>
      <c r="D2753">
        <v>1</v>
      </c>
      <c r="E2753">
        <v>1</v>
      </c>
      <c r="F2753">
        <v>1</v>
      </c>
      <c r="G2753">
        <v>0</v>
      </c>
      <c r="H2753" t="s">
        <v>2203</v>
      </c>
    </row>
    <row r="2754" spans="1:8">
      <c r="A2754" t="s">
        <v>9673</v>
      </c>
      <c r="B2754" t="s">
        <v>7097</v>
      </c>
      <c r="C2754">
        <v>4</v>
      </c>
      <c r="D2754">
        <v>1</v>
      </c>
      <c r="E2754">
        <v>1</v>
      </c>
      <c r="F2754">
        <v>5000</v>
      </c>
      <c r="G2754">
        <v>0</v>
      </c>
      <c r="H2754" t="s">
        <v>2203</v>
      </c>
    </row>
    <row r="2755" spans="1:8">
      <c r="A2755" t="s">
        <v>4721</v>
      </c>
      <c r="B2755" t="s">
        <v>7118</v>
      </c>
      <c r="C2755">
        <v>20</v>
      </c>
      <c r="D2755">
        <v>1</v>
      </c>
      <c r="E2755">
        <v>1</v>
      </c>
      <c r="F2755">
        <v>1100</v>
      </c>
      <c r="G2755">
        <v>2.2737E-3</v>
      </c>
      <c r="H2755" t="s">
        <v>2203</v>
      </c>
    </row>
    <row r="2756" spans="1:8">
      <c r="A2756" t="s">
        <v>1504</v>
      </c>
      <c r="B2756" t="s">
        <v>3588</v>
      </c>
      <c r="C2756">
        <v>1</v>
      </c>
      <c r="D2756">
        <v>1</v>
      </c>
      <c r="E2756">
        <v>1</v>
      </c>
      <c r="F2756">
        <v>1</v>
      </c>
      <c r="G2756">
        <v>0</v>
      </c>
      <c r="H2756" t="s">
        <v>2221</v>
      </c>
    </row>
    <row r="2757" spans="1:8">
      <c r="A2757" t="s">
        <v>4716</v>
      </c>
      <c r="B2757" t="s">
        <v>7090</v>
      </c>
      <c r="C2757">
        <v>8</v>
      </c>
      <c r="D2757">
        <v>1</v>
      </c>
      <c r="E2757">
        <v>1</v>
      </c>
      <c r="F2757">
        <v>5050</v>
      </c>
      <c r="G2757">
        <v>1.044E-3</v>
      </c>
      <c r="H2757" t="s">
        <v>2203</v>
      </c>
    </row>
    <row r="2758" spans="1:8">
      <c r="A2758" t="s">
        <v>7122</v>
      </c>
      <c r="B2758" t="s">
        <v>7121</v>
      </c>
      <c r="C2758">
        <v>4</v>
      </c>
      <c r="D2758">
        <v>1</v>
      </c>
      <c r="E2758">
        <v>1</v>
      </c>
      <c r="F2758">
        <v>1</v>
      </c>
      <c r="G2758">
        <v>0</v>
      </c>
      <c r="H2758" t="s">
        <v>2203</v>
      </c>
    </row>
    <row r="2759" spans="1:8">
      <c r="A2759" t="s">
        <v>9674</v>
      </c>
      <c r="B2759" t="s">
        <v>7101</v>
      </c>
      <c r="C2759">
        <v>4</v>
      </c>
      <c r="D2759">
        <v>1</v>
      </c>
      <c r="E2759">
        <v>1</v>
      </c>
      <c r="F2759">
        <v>5225</v>
      </c>
      <c r="G2759">
        <v>1.0947999999999999E-2</v>
      </c>
      <c r="H2759" t="s">
        <v>2203</v>
      </c>
    </row>
    <row r="2760" spans="1:8">
      <c r="A2760" t="s">
        <v>1506</v>
      </c>
      <c r="B2760" t="s">
        <v>3589</v>
      </c>
      <c r="C2760">
        <v>4</v>
      </c>
      <c r="D2760">
        <v>1</v>
      </c>
      <c r="E2760">
        <v>1</v>
      </c>
      <c r="F2760">
        <v>5225</v>
      </c>
      <c r="G2760">
        <v>1.0947999999999999E-2</v>
      </c>
      <c r="H2760" t="s">
        <v>2203</v>
      </c>
    </row>
    <row r="2761" spans="1:8">
      <c r="A2761" t="s">
        <v>9675</v>
      </c>
      <c r="B2761" t="s">
        <v>7105</v>
      </c>
      <c r="C2761">
        <v>4</v>
      </c>
      <c r="D2761">
        <v>1</v>
      </c>
      <c r="E2761">
        <v>1</v>
      </c>
      <c r="F2761">
        <v>5225</v>
      </c>
      <c r="G2761">
        <v>1.0947999999999999E-2</v>
      </c>
      <c r="H2761" t="s">
        <v>2203</v>
      </c>
    </row>
    <row r="2762" spans="1:8">
      <c r="A2762" t="s">
        <v>9676</v>
      </c>
      <c r="B2762" t="s">
        <v>7109</v>
      </c>
      <c r="C2762">
        <v>4</v>
      </c>
      <c r="D2762">
        <v>1</v>
      </c>
      <c r="E2762">
        <v>1</v>
      </c>
      <c r="F2762">
        <v>5225</v>
      </c>
      <c r="G2762">
        <v>1.0947999999999999E-2</v>
      </c>
      <c r="H2762" t="s">
        <v>2203</v>
      </c>
    </row>
    <row r="2763" spans="1:8">
      <c r="A2763" t="s">
        <v>9677</v>
      </c>
      <c r="B2763" t="s">
        <v>7104</v>
      </c>
      <c r="C2763">
        <v>4</v>
      </c>
      <c r="D2763">
        <v>1</v>
      </c>
      <c r="E2763">
        <v>1</v>
      </c>
      <c r="F2763">
        <v>5225</v>
      </c>
      <c r="G2763">
        <v>1.0947999999999999E-2</v>
      </c>
      <c r="H2763" t="s">
        <v>2203</v>
      </c>
    </row>
    <row r="2764" spans="1:8">
      <c r="A2764" t="s">
        <v>9678</v>
      </c>
      <c r="B2764" t="s">
        <v>7110</v>
      </c>
      <c r="C2764">
        <v>4</v>
      </c>
      <c r="D2764">
        <v>1</v>
      </c>
      <c r="E2764">
        <v>1</v>
      </c>
      <c r="F2764">
        <v>5225</v>
      </c>
      <c r="G2764">
        <v>1.0947999999999999E-2</v>
      </c>
      <c r="H2764" t="s">
        <v>2203</v>
      </c>
    </row>
    <row r="2765" spans="1:8">
      <c r="A2765" t="s">
        <v>7113</v>
      </c>
      <c r="B2765" t="s">
        <v>7112</v>
      </c>
      <c r="C2765">
        <v>4</v>
      </c>
      <c r="D2765">
        <v>1</v>
      </c>
      <c r="E2765">
        <v>1</v>
      </c>
      <c r="F2765">
        <v>5225</v>
      </c>
      <c r="G2765">
        <v>1.0947999999999999E-2</v>
      </c>
      <c r="H2765" t="s">
        <v>2203</v>
      </c>
    </row>
    <row r="2766" spans="1:8">
      <c r="A2766" t="s">
        <v>9679</v>
      </c>
      <c r="B2766" t="s">
        <v>7107</v>
      </c>
      <c r="C2766">
        <v>4</v>
      </c>
      <c r="D2766">
        <v>1</v>
      </c>
      <c r="E2766">
        <v>1</v>
      </c>
      <c r="F2766">
        <v>5200</v>
      </c>
      <c r="G2766">
        <v>1.1542999999999999E-2</v>
      </c>
      <c r="H2766" t="s">
        <v>2203</v>
      </c>
    </row>
    <row r="2767" spans="1:8">
      <c r="A2767" t="s">
        <v>9680</v>
      </c>
      <c r="B2767" t="s">
        <v>7103</v>
      </c>
      <c r="C2767">
        <v>4</v>
      </c>
      <c r="D2767">
        <v>1</v>
      </c>
      <c r="E2767">
        <v>1</v>
      </c>
      <c r="F2767">
        <v>5225</v>
      </c>
      <c r="G2767">
        <v>1.0947999999999999E-2</v>
      </c>
      <c r="H2767" t="s">
        <v>2203</v>
      </c>
    </row>
    <row r="2768" spans="1:8">
      <c r="A2768" t="s">
        <v>7134</v>
      </c>
      <c r="B2768" t="s">
        <v>7133</v>
      </c>
      <c r="C2768">
        <v>4</v>
      </c>
      <c r="D2768">
        <v>1</v>
      </c>
      <c r="E2768">
        <v>1</v>
      </c>
      <c r="F2768">
        <v>1</v>
      </c>
      <c r="G2768">
        <v>0</v>
      </c>
      <c r="H2768" t="s">
        <v>2203</v>
      </c>
    </row>
    <row r="2769" spans="1:8">
      <c r="A2769" t="s">
        <v>9681</v>
      </c>
      <c r="B2769" t="s">
        <v>7106</v>
      </c>
      <c r="C2769">
        <v>4</v>
      </c>
      <c r="D2769">
        <v>1</v>
      </c>
      <c r="E2769">
        <v>1</v>
      </c>
      <c r="F2769">
        <v>5225</v>
      </c>
      <c r="G2769">
        <v>1.0947999999999999E-2</v>
      </c>
      <c r="H2769" t="s">
        <v>2203</v>
      </c>
    </row>
    <row r="2770" spans="1:8">
      <c r="A2770" t="s">
        <v>9682</v>
      </c>
      <c r="B2770" t="s">
        <v>7102</v>
      </c>
      <c r="C2770">
        <v>4</v>
      </c>
      <c r="D2770">
        <v>1</v>
      </c>
      <c r="E2770">
        <v>1</v>
      </c>
      <c r="F2770">
        <v>5225</v>
      </c>
      <c r="G2770">
        <v>1.0947999999999999E-2</v>
      </c>
      <c r="H2770" t="s">
        <v>2203</v>
      </c>
    </row>
    <row r="2771" spans="1:8">
      <c r="A2771" t="s">
        <v>7128</v>
      </c>
      <c r="B2771" t="s">
        <v>7127</v>
      </c>
      <c r="C2771">
        <v>4</v>
      </c>
      <c r="D2771">
        <v>1</v>
      </c>
      <c r="E2771">
        <v>1</v>
      </c>
      <c r="F2771">
        <v>5225</v>
      </c>
      <c r="G2771">
        <v>1.0947999999999999E-2</v>
      </c>
      <c r="H2771" t="s">
        <v>2203</v>
      </c>
    </row>
    <row r="2772" spans="1:8">
      <c r="A2772" t="s">
        <v>7136</v>
      </c>
      <c r="B2772" t="s">
        <v>7135</v>
      </c>
      <c r="C2772">
        <v>4</v>
      </c>
      <c r="D2772">
        <v>1</v>
      </c>
      <c r="E2772">
        <v>1</v>
      </c>
      <c r="F2772">
        <v>5225</v>
      </c>
      <c r="G2772">
        <v>1.0947999999999999E-2</v>
      </c>
      <c r="H2772" t="s">
        <v>2203</v>
      </c>
    </row>
    <row r="2773" spans="1:8">
      <c r="A2773" t="s">
        <v>7141</v>
      </c>
      <c r="B2773" t="s">
        <v>7140</v>
      </c>
      <c r="C2773">
        <v>24</v>
      </c>
      <c r="D2773">
        <v>1</v>
      </c>
      <c r="E2773">
        <v>1</v>
      </c>
      <c r="F2773">
        <v>1</v>
      </c>
      <c r="G2773">
        <v>0</v>
      </c>
      <c r="H2773" t="s">
        <v>2197</v>
      </c>
    </row>
    <row r="2774" spans="1:8">
      <c r="A2774" t="s">
        <v>1507</v>
      </c>
      <c r="B2774" t="s">
        <v>3591</v>
      </c>
      <c r="C2774">
        <v>10</v>
      </c>
      <c r="D2774">
        <v>1</v>
      </c>
      <c r="E2774">
        <v>1</v>
      </c>
      <c r="F2774">
        <v>1874</v>
      </c>
      <c r="G2774">
        <v>5.7086000000000003E-3</v>
      </c>
      <c r="H2774" t="s">
        <v>2197</v>
      </c>
    </row>
    <row r="2775" spans="1:8">
      <c r="A2775" t="s">
        <v>1508</v>
      </c>
      <c r="B2775" t="s">
        <v>3593</v>
      </c>
      <c r="C2775">
        <v>20</v>
      </c>
      <c r="D2775">
        <v>1</v>
      </c>
      <c r="E2775">
        <v>1</v>
      </c>
      <c r="F2775">
        <v>1077.5</v>
      </c>
      <c r="G2775">
        <v>3.4145999999999998E-3</v>
      </c>
      <c r="H2775" t="s">
        <v>2197</v>
      </c>
    </row>
    <row r="2776" spans="1:8">
      <c r="A2776" t="s">
        <v>7138</v>
      </c>
      <c r="B2776" t="s">
        <v>7137</v>
      </c>
      <c r="C2776">
        <v>5</v>
      </c>
      <c r="D2776">
        <v>1</v>
      </c>
      <c r="E2776">
        <v>1</v>
      </c>
      <c r="F2776">
        <v>3200</v>
      </c>
      <c r="G2776">
        <v>7.9924000000000002E-3</v>
      </c>
      <c r="H2776" t="s">
        <v>2197</v>
      </c>
    </row>
    <row r="2777" spans="1:8">
      <c r="A2777" t="s">
        <v>8986</v>
      </c>
      <c r="B2777" t="s">
        <v>8985</v>
      </c>
      <c r="C2777">
        <v>1</v>
      </c>
      <c r="D2777">
        <v>1</v>
      </c>
      <c r="E2777">
        <v>1</v>
      </c>
      <c r="F2777">
        <v>1</v>
      </c>
      <c r="G2777">
        <v>0</v>
      </c>
      <c r="H2777" t="s">
        <v>2221</v>
      </c>
    </row>
    <row r="2778" spans="1:8">
      <c r="A2778" t="s">
        <v>1509</v>
      </c>
      <c r="B2778" t="s">
        <v>3594</v>
      </c>
      <c r="C2778">
        <v>24</v>
      </c>
      <c r="D2778">
        <v>1</v>
      </c>
      <c r="E2778">
        <v>1</v>
      </c>
      <c r="F2778">
        <v>500</v>
      </c>
      <c r="G2778">
        <v>1.7453E-3</v>
      </c>
      <c r="H2778" t="s">
        <v>2197</v>
      </c>
    </row>
    <row r="2779" spans="1:8">
      <c r="A2779" t="s">
        <v>1510</v>
      </c>
      <c r="B2779" t="s">
        <v>3595</v>
      </c>
      <c r="C2779">
        <v>10</v>
      </c>
      <c r="D2779">
        <v>1</v>
      </c>
      <c r="E2779">
        <v>1</v>
      </c>
      <c r="F2779">
        <v>1850</v>
      </c>
      <c r="G2779">
        <v>5.6962999999999996E-3</v>
      </c>
      <c r="H2779" t="s">
        <v>2197</v>
      </c>
    </row>
    <row r="2780" spans="1:8">
      <c r="A2780" t="s">
        <v>1520</v>
      </c>
      <c r="B2780" t="s">
        <v>3597</v>
      </c>
      <c r="C2780">
        <v>20</v>
      </c>
      <c r="D2780">
        <v>1</v>
      </c>
      <c r="E2780">
        <v>1</v>
      </c>
      <c r="F2780">
        <v>955</v>
      </c>
      <c r="G2780">
        <v>2.8289999999999999E-3</v>
      </c>
      <c r="H2780" t="s">
        <v>2197</v>
      </c>
    </row>
    <row r="2781" spans="1:8">
      <c r="A2781" t="s">
        <v>1522</v>
      </c>
      <c r="B2781" t="s">
        <v>3598</v>
      </c>
      <c r="C2781">
        <v>20</v>
      </c>
      <c r="D2781">
        <v>1</v>
      </c>
      <c r="E2781">
        <v>1</v>
      </c>
      <c r="F2781">
        <v>1070</v>
      </c>
      <c r="G2781">
        <v>3.5178000000000002E-3</v>
      </c>
      <c r="H2781" t="s">
        <v>2197</v>
      </c>
    </row>
    <row r="2782" spans="1:8">
      <c r="A2782" t="s">
        <v>1523</v>
      </c>
      <c r="B2782" t="s">
        <v>3600</v>
      </c>
      <c r="C2782">
        <v>1</v>
      </c>
      <c r="D2782">
        <v>1</v>
      </c>
      <c r="E2782">
        <v>1</v>
      </c>
      <c r="F2782">
        <v>24</v>
      </c>
      <c r="G2782">
        <v>2.5099999999999998E-4</v>
      </c>
      <c r="H2782" t="s">
        <v>2203</v>
      </c>
    </row>
    <row r="2783" spans="1:8">
      <c r="A2783" t="s">
        <v>1524</v>
      </c>
      <c r="B2783" t="s">
        <v>3601</v>
      </c>
      <c r="C2783">
        <v>1</v>
      </c>
      <c r="D2783">
        <v>1</v>
      </c>
      <c r="E2783">
        <v>1</v>
      </c>
      <c r="F2783">
        <v>1</v>
      </c>
      <c r="G2783">
        <v>0</v>
      </c>
      <c r="H2783" t="s">
        <v>2221</v>
      </c>
    </row>
    <row r="2784" spans="1:8">
      <c r="A2784" t="s">
        <v>1525</v>
      </c>
      <c r="B2784" t="s">
        <v>3602</v>
      </c>
      <c r="C2784">
        <v>6</v>
      </c>
      <c r="D2784">
        <v>25</v>
      </c>
      <c r="E2784">
        <v>1</v>
      </c>
      <c r="F2784">
        <v>103.7</v>
      </c>
      <c r="G2784">
        <v>4.4650000000000001E-4</v>
      </c>
      <c r="H2784" t="s">
        <v>3603</v>
      </c>
    </row>
    <row r="2785" spans="1:8">
      <c r="A2785" t="s">
        <v>1526</v>
      </c>
      <c r="B2785" t="s">
        <v>3605</v>
      </c>
      <c r="C2785">
        <v>50</v>
      </c>
      <c r="D2785">
        <v>1</v>
      </c>
      <c r="E2785">
        <v>1</v>
      </c>
      <c r="F2785">
        <v>438</v>
      </c>
      <c r="G2785">
        <v>1.3439999999999999E-3</v>
      </c>
      <c r="H2785" t="s">
        <v>2197</v>
      </c>
    </row>
    <row r="2786" spans="1:8">
      <c r="A2786" t="s">
        <v>9683</v>
      </c>
      <c r="B2786" t="s">
        <v>7139</v>
      </c>
      <c r="C2786">
        <v>50</v>
      </c>
      <c r="D2786">
        <v>1</v>
      </c>
      <c r="E2786">
        <v>1</v>
      </c>
      <c r="F2786">
        <v>438</v>
      </c>
      <c r="G2786">
        <v>1.3439999999999999E-3</v>
      </c>
      <c r="H2786" t="s">
        <v>2197</v>
      </c>
    </row>
    <row r="2787" spans="1:8">
      <c r="A2787" t="s">
        <v>8984</v>
      </c>
      <c r="B2787" t="s">
        <v>8983</v>
      </c>
      <c r="C2787">
        <v>1</v>
      </c>
      <c r="D2787">
        <v>1</v>
      </c>
      <c r="E2787">
        <v>1</v>
      </c>
      <c r="F2787">
        <v>1</v>
      </c>
      <c r="G2787">
        <v>0</v>
      </c>
      <c r="H2787" t="s">
        <v>2221</v>
      </c>
    </row>
    <row r="2788" spans="1:8">
      <c r="A2788" t="s">
        <v>8988</v>
      </c>
      <c r="B2788" t="s">
        <v>8987</v>
      </c>
      <c r="C2788">
        <v>1</v>
      </c>
      <c r="D2788">
        <v>1</v>
      </c>
      <c r="E2788">
        <v>1</v>
      </c>
      <c r="F2788">
        <v>1</v>
      </c>
      <c r="G2788">
        <v>0</v>
      </c>
      <c r="H2788" t="s">
        <v>2221</v>
      </c>
    </row>
    <row r="2789" spans="1:8">
      <c r="A2789" t="s">
        <v>1528</v>
      </c>
      <c r="B2789" t="s">
        <v>3606</v>
      </c>
      <c r="C2789">
        <v>100</v>
      </c>
      <c r="D2789">
        <v>1</v>
      </c>
      <c r="E2789">
        <v>1</v>
      </c>
      <c r="F2789">
        <v>123</v>
      </c>
      <c r="G2789">
        <v>4.752E-4</v>
      </c>
      <c r="H2789" t="s">
        <v>2203</v>
      </c>
    </row>
    <row r="2790" spans="1:8">
      <c r="A2790" t="s">
        <v>1529</v>
      </c>
      <c r="B2790" t="s">
        <v>3608</v>
      </c>
      <c r="C2790">
        <v>1</v>
      </c>
      <c r="D2790">
        <v>1</v>
      </c>
      <c r="E2790">
        <v>1</v>
      </c>
      <c r="F2790">
        <v>24250</v>
      </c>
      <c r="G2790">
        <v>1.8559099999999999E-2</v>
      </c>
      <c r="H2790" t="s">
        <v>2303</v>
      </c>
    </row>
    <row r="2791" spans="1:8">
      <c r="A2791" t="s">
        <v>1530</v>
      </c>
      <c r="B2791" t="s">
        <v>3610</v>
      </c>
      <c r="C2791">
        <v>20</v>
      </c>
      <c r="D2791">
        <v>1</v>
      </c>
      <c r="E2791">
        <v>1</v>
      </c>
      <c r="F2791">
        <v>1342.5</v>
      </c>
      <c r="G2791">
        <v>2.6832000000000002E-3</v>
      </c>
      <c r="H2791" t="s">
        <v>2197</v>
      </c>
    </row>
    <row r="2792" spans="1:8">
      <c r="A2792" t="s">
        <v>7143</v>
      </c>
      <c r="B2792" t="s">
        <v>7142</v>
      </c>
      <c r="C2792">
        <v>1</v>
      </c>
      <c r="D2792">
        <v>1</v>
      </c>
      <c r="E2792">
        <v>1</v>
      </c>
      <c r="F2792">
        <v>205000</v>
      </c>
      <c r="G2792">
        <v>0.31285200000000002</v>
      </c>
      <c r="H2792" t="s">
        <v>4806</v>
      </c>
    </row>
    <row r="2793" spans="1:8">
      <c r="A2793" t="s">
        <v>1531</v>
      </c>
      <c r="B2793" t="s">
        <v>3611</v>
      </c>
      <c r="C2793">
        <v>4</v>
      </c>
      <c r="D2793">
        <v>1</v>
      </c>
      <c r="E2793">
        <v>1</v>
      </c>
      <c r="F2793">
        <v>6200</v>
      </c>
      <c r="G2793">
        <v>8.1997500000000004E-3</v>
      </c>
      <c r="H2793" t="s">
        <v>2307</v>
      </c>
    </row>
    <row r="2794" spans="1:8">
      <c r="A2794" t="s">
        <v>7149</v>
      </c>
      <c r="B2794" t="s">
        <v>7148</v>
      </c>
      <c r="C2794">
        <v>20</v>
      </c>
      <c r="D2794">
        <v>1</v>
      </c>
      <c r="E2794">
        <v>1</v>
      </c>
      <c r="F2794">
        <v>1175</v>
      </c>
      <c r="G2794">
        <v>2.5000000000000001E-3</v>
      </c>
      <c r="H2794" t="s">
        <v>2197</v>
      </c>
    </row>
    <row r="2795" spans="1:8">
      <c r="A2795" t="s">
        <v>9684</v>
      </c>
      <c r="B2795" t="s">
        <v>7147</v>
      </c>
      <c r="C2795">
        <v>1</v>
      </c>
      <c r="D2795">
        <v>1</v>
      </c>
      <c r="E2795">
        <v>1</v>
      </c>
      <c r="F2795">
        <v>205000</v>
      </c>
      <c r="G2795">
        <v>0.31285200000000002</v>
      </c>
      <c r="H2795" t="s">
        <v>4806</v>
      </c>
    </row>
    <row r="2796" spans="1:8">
      <c r="A2796" t="s">
        <v>9685</v>
      </c>
      <c r="B2796" t="s">
        <v>7145</v>
      </c>
      <c r="C2796">
        <v>12</v>
      </c>
      <c r="D2796">
        <v>1</v>
      </c>
      <c r="E2796">
        <v>1</v>
      </c>
      <c r="F2796">
        <v>1300.8333333333301</v>
      </c>
      <c r="G2796">
        <v>2.3661458333333299E-3</v>
      </c>
      <c r="H2796" t="s">
        <v>2197</v>
      </c>
    </row>
    <row r="2797" spans="1:8">
      <c r="A2797" t="s">
        <v>9686</v>
      </c>
      <c r="B2797" t="s">
        <v>7146</v>
      </c>
      <c r="C2797">
        <v>1</v>
      </c>
      <c r="D2797">
        <v>1</v>
      </c>
      <c r="E2797">
        <v>1</v>
      </c>
      <c r="F2797">
        <v>23270</v>
      </c>
      <c r="G2797">
        <v>1.8559124999999999E-2</v>
      </c>
      <c r="H2797" t="s">
        <v>2303</v>
      </c>
    </row>
    <row r="2798" spans="1:8">
      <c r="A2798" t="s">
        <v>4722</v>
      </c>
      <c r="B2798" t="s">
        <v>7144</v>
      </c>
      <c r="C2798">
        <v>1</v>
      </c>
      <c r="D2798">
        <v>1</v>
      </c>
      <c r="E2798">
        <v>1</v>
      </c>
      <c r="F2798">
        <v>23030</v>
      </c>
      <c r="G2798">
        <v>1.8559124999999999E-2</v>
      </c>
      <c r="H2798" t="s">
        <v>2303</v>
      </c>
    </row>
    <row r="2799" spans="1:8">
      <c r="A2799" t="s">
        <v>1532</v>
      </c>
      <c r="B2799" t="s">
        <v>3612</v>
      </c>
      <c r="C2799">
        <v>20</v>
      </c>
      <c r="D2799">
        <v>1</v>
      </c>
      <c r="E2799">
        <v>1</v>
      </c>
      <c r="F2799">
        <v>1280.5</v>
      </c>
      <c r="G2799">
        <v>2.3568999999999999E-3</v>
      </c>
      <c r="H2799" t="s">
        <v>2197</v>
      </c>
    </row>
    <row r="2800" spans="1:8">
      <c r="A2800" t="s">
        <v>1533</v>
      </c>
      <c r="B2800" t="s">
        <v>3614</v>
      </c>
      <c r="C2800">
        <v>20</v>
      </c>
      <c r="D2800">
        <v>1</v>
      </c>
      <c r="E2800">
        <v>1</v>
      </c>
      <c r="F2800">
        <v>627.5</v>
      </c>
      <c r="G2800">
        <v>1.1590000000000001E-3</v>
      </c>
      <c r="H2800" t="s">
        <v>2197</v>
      </c>
    </row>
    <row r="2801" spans="1:8">
      <c r="A2801" t="s">
        <v>8990</v>
      </c>
      <c r="B2801" t="s">
        <v>8989</v>
      </c>
      <c r="C2801">
        <v>1</v>
      </c>
      <c r="D2801">
        <v>1</v>
      </c>
      <c r="E2801">
        <v>1</v>
      </c>
      <c r="F2801">
        <v>1</v>
      </c>
      <c r="G2801">
        <v>0</v>
      </c>
      <c r="H2801" t="s">
        <v>2221</v>
      </c>
    </row>
    <row r="2802" spans="1:8">
      <c r="A2802" t="s">
        <v>1534</v>
      </c>
      <c r="B2802" t="s">
        <v>3615</v>
      </c>
      <c r="C2802">
        <v>1</v>
      </c>
      <c r="D2802">
        <v>1</v>
      </c>
      <c r="E2802">
        <v>1</v>
      </c>
      <c r="F2802">
        <v>1</v>
      </c>
      <c r="G2802">
        <v>0</v>
      </c>
      <c r="H2802" t="s">
        <v>2221</v>
      </c>
    </row>
    <row r="2803" spans="1:8">
      <c r="A2803" t="s">
        <v>1535</v>
      </c>
      <c r="B2803" t="s">
        <v>3616</v>
      </c>
      <c r="C2803">
        <v>1</v>
      </c>
      <c r="D2803">
        <v>1</v>
      </c>
      <c r="E2803">
        <v>1</v>
      </c>
      <c r="F2803">
        <v>1</v>
      </c>
      <c r="G2803">
        <v>0</v>
      </c>
      <c r="H2803" t="s">
        <v>2221</v>
      </c>
    </row>
    <row r="2804" spans="1:8">
      <c r="A2804" t="s">
        <v>1536</v>
      </c>
      <c r="B2804" t="s">
        <v>3617</v>
      </c>
      <c r="C2804">
        <v>1</v>
      </c>
      <c r="D2804">
        <v>1</v>
      </c>
      <c r="E2804">
        <v>1</v>
      </c>
      <c r="F2804">
        <v>1</v>
      </c>
      <c r="G2804">
        <v>0</v>
      </c>
      <c r="H2804" t="s">
        <v>2221</v>
      </c>
    </row>
    <row r="2805" spans="1:8">
      <c r="A2805" t="s">
        <v>1537</v>
      </c>
      <c r="B2805" t="s">
        <v>3618</v>
      </c>
      <c r="C2805">
        <v>1</v>
      </c>
      <c r="D2805">
        <v>1</v>
      </c>
      <c r="E2805">
        <v>1</v>
      </c>
      <c r="F2805">
        <v>1</v>
      </c>
      <c r="G2805">
        <v>0</v>
      </c>
      <c r="H2805" t="s">
        <v>2221</v>
      </c>
    </row>
    <row r="2806" spans="1:8">
      <c r="A2806" t="s">
        <v>1538</v>
      </c>
      <c r="B2806" t="s">
        <v>3619</v>
      </c>
      <c r="C2806">
        <v>1</v>
      </c>
      <c r="D2806">
        <v>1</v>
      </c>
      <c r="E2806">
        <v>1</v>
      </c>
      <c r="F2806">
        <v>1</v>
      </c>
      <c r="G2806">
        <v>0</v>
      </c>
      <c r="H2806" t="s">
        <v>2221</v>
      </c>
    </row>
    <row r="2807" spans="1:8">
      <c r="A2807" t="s">
        <v>1539</v>
      </c>
      <c r="B2807" t="s">
        <v>3620</v>
      </c>
      <c r="C2807">
        <v>1</v>
      </c>
      <c r="D2807">
        <v>1</v>
      </c>
      <c r="E2807">
        <v>1</v>
      </c>
      <c r="F2807">
        <v>1</v>
      </c>
      <c r="G2807">
        <v>0</v>
      </c>
      <c r="H2807" t="s">
        <v>2221</v>
      </c>
    </row>
    <row r="2808" spans="1:8">
      <c r="A2808" t="s">
        <v>7156</v>
      </c>
      <c r="B2808" t="s">
        <v>7155</v>
      </c>
      <c r="C2808">
        <v>12</v>
      </c>
      <c r="D2808">
        <v>15</v>
      </c>
      <c r="E2808">
        <v>1</v>
      </c>
      <c r="F2808">
        <v>19.166</v>
      </c>
      <c r="G2808" s="4">
        <v>8.4972220000000001E-5</v>
      </c>
      <c r="H2808" t="s">
        <v>2203</v>
      </c>
    </row>
    <row r="2809" spans="1:8">
      <c r="A2809" t="s">
        <v>4723</v>
      </c>
      <c r="B2809" t="s">
        <v>7154</v>
      </c>
      <c r="C2809">
        <v>20</v>
      </c>
      <c r="D2809">
        <v>12</v>
      </c>
      <c r="E2809">
        <v>1</v>
      </c>
      <c r="F2809">
        <v>23.75</v>
      </c>
      <c r="G2809">
        <v>1.2433750000000001E-4</v>
      </c>
      <c r="H2809" t="s">
        <v>2203</v>
      </c>
    </row>
    <row r="2810" spans="1:8">
      <c r="A2810" t="s">
        <v>7162</v>
      </c>
      <c r="B2810" t="s">
        <v>7161</v>
      </c>
      <c r="C2810">
        <v>12</v>
      </c>
      <c r="D2810">
        <v>15</v>
      </c>
      <c r="E2810">
        <v>1</v>
      </c>
      <c r="F2810">
        <v>1</v>
      </c>
      <c r="G2810">
        <v>0</v>
      </c>
      <c r="H2810" t="s">
        <v>2203</v>
      </c>
    </row>
    <row r="2811" spans="1:8">
      <c r="A2811" t="s">
        <v>7153</v>
      </c>
      <c r="B2811" t="s">
        <v>7152</v>
      </c>
      <c r="C2811">
        <v>20</v>
      </c>
      <c r="D2811">
        <v>15</v>
      </c>
      <c r="E2811">
        <v>1</v>
      </c>
      <c r="F2811">
        <v>1280.5</v>
      </c>
      <c r="G2811">
        <v>2.3568999999999999E-3</v>
      </c>
      <c r="H2811" t="s">
        <v>2203</v>
      </c>
    </row>
    <row r="2812" spans="1:8">
      <c r="A2812" t="s">
        <v>1541</v>
      </c>
      <c r="B2812" t="s">
        <v>3621</v>
      </c>
      <c r="C2812">
        <v>12</v>
      </c>
      <c r="D2812">
        <v>15</v>
      </c>
      <c r="E2812">
        <v>1</v>
      </c>
      <c r="F2812">
        <v>20.8</v>
      </c>
      <c r="G2812">
        <v>1.339E-4</v>
      </c>
      <c r="H2812" t="s">
        <v>2203</v>
      </c>
    </row>
    <row r="2813" spans="1:8">
      <c r="A2813" t="s">
        <v>7160</v>
      </c>
      <c r="B2813" t="s">
        <v>7159</v>
      </c>
      <c r="C2813">
        <v>20</v>
      </c>
      <c r="D2813">
        <v>12</v>
      </c>
      <c r="E2813">
        <v>1</v>
      </c>
      <c r="F2813">
        <v>1</v>
      </c>
      <c r="G2813">
        <v>0</v>
      </c>
      <c r="H2813" t="s">
        <v>2203</v>
      </c>
    </row>
    <row r="2814" spans="1:8">
      <c r="A2814" t="s">
        <v>7151</v>
      </c>
      <c r="B2814" t="s">
        <v>7150</v>
      </c>
      <c r="C2814">
        <v>20</v>
      </c>
      <c r="D2814">
        <v>12</v>
      </c>
      <c r="E2814">
        <v>1</v>
      </c>
      <c r="F2814">
        <v>1280.5</v>
      </c>
      <c r="G2814">
        <v>2.3568999999999999E-3</v>
      </c>
      <c r="H2814" t="s">
        <v>2203</v>
      </c>
    </row>
    <row r="2815" spans="1:8">
      <c r="A2815" t="s">
        <v>7158</v>
      </c>
      <c r="B2815" t="s">
        <v>7157</v>
      </c>
      <c r="C2815">
        <v>20</v>
      </c>
      <c r="D2815">
        <v>12</v>
      </c>
      <c r="E2815">
        <v>1</v>
      </c>
      <c r="F2815">
        <v>21.7</v>
      </c>
      <c r="G2815">
        <v>1.2430000000000001E-4</v>
      </c>
      <c r="H2815" t="s">
        <v>2203</v>
      </c>
    </row>
    <row r="2816" spans="1:8">
      <c r="A2816" t="s">
        <v>9687</v>
      </c>
      <c r="B2816" t="s">
        <v>7163</v>
      </c>
      <c r="C2816">
        <v>16</v>
      </c>
      <c r="D2816">
        <v>1</v>
      </c>
      <c r="E2816">
        <v>1</v>
      </c>
      <c r="F2816">
        <v>433.75</v>
      </c>
      <c r="G2816">
        <v>1.773984375E-3</v>
      </c>
      <c r="H2816" t="s">
        <v>2203</v>
      </c>
    </row>
    <row r="2817" spans="1:8">
      <c r="A2817" t="s">
        <v>1542</v>
      </c>
      <c r="B2817" t="s">
        <v>3624</v>
      </c>
      <c r="C2817">
        <v>20</v>
      </c>
      <c r="D2817">
        <v>1</v>
      </c>
      <c r="E2817">
        <v>1</v>
      </c>
      <c r="F2817">
        <v>560</v>
      </c>
      <c r="G2817">
        <v>2.0592000000000002E-3</v>
      </c>
      <c r="H2817" t="s">
        <v>2203</v>
      </c>
    </row>
    <row r="2818" spans="1:8">
      <c r="A2818" t="s">
        <v>1546</v>
      </c>
      <c r="B2818" t="s">
        <v>3626</v>
      </c>
      <c r="C2818">
        <v>24</v>
      </c>
      <c r="D2818">
        <v>1</v>
      </c>
      <c r="E2818">
        <v>1</v>
      </c>
      <c r="F2818">
        <v>289.16666666666703</v>
      </c>
      <c r="G2818">
        <v>1.1826562499999999E-3</v>
      </c>
      <c r="H2818" t="s">
        <v>2203</v>
      </c>
    </row>
    <row r="2819" spans="1:8">
      <c r="A2819" t="s">
        <v>1548</v>
      </c>
      <c r="B2819" t="s">
        <v>3627</v>
      </c>
      <c r="C2819">
        <v>32</v>
      </c>
      <c r="D2819">
        <v>1</v>
      </c>
      <c r="E2819">
        <v>1</v>
      </c>
      <c r="F2819">
        <v>271.89999999999998</v>
      </c>
      <c r="G2819">
        <v>1.0422000000000001E-3</v>
      </c>
      <c r="H2819" t="s">
        <v>2197</v>
      </c>
    </row>
    <row r="2820" spans="1:8">
      <c r="A2820" t="s">
        <v>1550</v>
      </c>
      <c r="B2820" t="s">
        <v>3628</v>
      </c>
      <c r="C2820">
        <v>60</v>
      </c>
      <c r="D2820">
        <v>1</v>
      </c>
      <c r="E2820">
        <v>1</v>
      </c>
      <c r="F2820">
        <v>115.666666666667</v>
      </c>
      <c r="G2820">
        <v>4.7306250000000001E-4</v>
      </c>
      <c r="H2820" t="s">
        <v>2203</v>
      </c>
    </row>
    <row r="2821" spans="1:8">
      <c r="A2821" t="s">
        <v>1554</v>
      </c>
      <c r="B2821" t="s">
        <v>3629</v>
      </c>
      <c r="C2821">
        <v>1</v>
      </c>
      <c r="D2821">
        <v>1</v>
      </c>
      <c r="E2821">
        <v>1</v>
      </c>
      <c r="F2821">
        <v>23030</v>
      </c>
      <c r="G2821">
        <v>1.8559099999999999E-2</v>
      </c>
      <c r="H2821" t="s">
        <v>2303</v>
      </c>
    </row>
    <row r="2822" spans="1:8">
      <c r="A2822" t="s">
        <v>1555</v>
      </c>
      <c r="B2822" t="s">
        <v>3631</v>
      </c>
      <c r="C2822">
        <v>20</v>
      </c>
      <c r="D2822">
        <v>1</v>
      </c>
      <c r="E2822">
        <v>1</v>
      </c>
      <c r="F2822">
        <v>1255</v>
      </c>
      <c r="G2822">
        <v>2.5000000000000001E-3</v>
      </c>
      <c r="H2822" t="s">
        <v>2197</v>
      </c>
    </row>
    <row r="2823" spans="1:8">
      <c r="A2823" t="s">
        <v>1556</v>
      </c>
      <c r="B2823" t="s">
        <v>3632</v>
      </c>
      <c r="C2823">
        <v>4</v>
      </c>
      <c r="D2823">
        <v>1</v>
      </c>
      <c r="E2823">
        <v>1</v>
      </c>
      <c r="F2823">
        <v>5950</v>
      </c>
      <c r="G2823">
        <v>8.7889999999999999E-3</v>
      </c>
      <c r="H2823" t="s">
        <v>2307</v>
      </c>
    </row>
    <row r="2824" spans="1:8">
      <c r="A2824" t="s">
        <v>8994</v>
      </c>
      <c r="B2824" t="s">
        <v>8993</v>
      </c>
      <c r="C2824">
        <v>1</v>
      </c>
      <c r="D2824">
        <v>1</v>
      </c>
      <c r="E2824">
        <v>1</v>
      </c>
      <c r="F2824">
        <v>1</v>
      </c>
      <c r="G2824">
        <v>0</v>
      </c>
      <c r="H2824" t="s">
        <v>2221</v>
      </c>
    </row>
    <row r="2825" spans="1:8">
      <c r="A2825" t="s">
        <v>8996</v>
      </c>
      <c r="B2825" t="s">
        <v>8995</v>
      </c>
      <c r="C2825">
        <v>1</v>
      </c>
      <c r="D2825">
        <v>1</v>
      </c>
      <c r="E2825">
        <v>1</v>
      </c>
      <c r="F2825">
        <v>1</v>
      </c>
      <c r="G2825">
        <v>0</v>
      </c>
      <c r="H2825" t="s">
        <v>2221</v>
      </c>
    </row>
    <row r="2826" spans="1:8">
      <c r="A2826" t="s">
        <v>1557</v>
      </c>
      <c r="B2826" t="s">
        <v>3633</v>
      </c>
      <c r="C2826">
        <v>1</v>
      </c>
      <c r="D2826">
        <v>1</v>
      </c>
      <c r="E2826">
        <v>1</v>
      </c>
      <c r="F2826">
        <v>1</v>
      </c>
      <c r="G2826">
        <v>0</v>
      </c>
      <c r="H2826" t="s">
        <v>2221</v>
      </c>
    </row>
    <row r="2827" spans="1:8">
      <c r="A2827" t="s">
        <v>1558</v>
      </c>
      <c r="B2827" t="s">
        <v>3634</v>
      </c>
      <c r="C2827">
        <v>1</v>
      </c>
      <c r="D2827">
        <v>1</v>
      </c>
      <c r="E2827">
        <v>1</v>
      </c>
      <c r="F2827">
        <v>1</v>
      </c>
      <c r="G2827">
        <v>0</v>
      </c>
      <c r="H2827" t="s">
        <v>2221</v>
      </c>
    </row>
    <row r="2828" spans="1:8">
      <c r="A2828" t="s">
        <v>8992</v>
      </c>
      <c r="B2828" t="s">
        <v>8991</v>
      </c>
      <c r="C2828">
        <v>1</v>
      </c>
      <c r="D2828">
        <v>1</v>
      </c>
      <c r="E2828">
        <v>1</v>
      </c>
      <c r="F2828">
        <v>1</v>
      </c>
      <c r="G2828">
        <v>0</v>
      </c>
      <c r="H2828" t="s">
        <v>2221</v>
      </c>
    </row>
    <row r="2829" spans="1:8">
      <c r="A2829" t="s">
        <v>8307</v>
      </c>
      <c r="B2829" t="s">
        <v>8306</v>
      </c>
      <c r="C2829">
        <v>1</v>
      </c>
      <c r="D2829">
        <v>1</v>
      </c>
      <c r="E2829">
        <v>1</v>
      </c>
      <c r="F2829">
        <v>1</v>
      </c>
      <c r="G2829">
        <v>0</v>
      </c>
      <c r="H2829" t="s">
        <v>2221</v>
      </c>
    </row>
    <row r="2830" spans="1:8">
      <c r="A2830" t="s">
        <v>1559</v>
      </c>
      <c r="B2830" t="s">
        <v>3635</v>
      </c>
      <c r="C2830">
        <v>50</v>
      </c>
      <c r="D2830">
        <v>1</v>
      </c>
      <c r="E2830">
        <v>1</v>
      </c>
      <c r="F2830">
        <v>119</v>
      </c>
      <c r="G2830">
        <v>3.1579999999999998E-4</v>
      </c>
      <c r="H2830" t="s">
        <v>2197</v>
      </c>
    </row>
    <row r="2831" spans="1:8">
      <c r="A2831" t="s">
        <v>1566</v>
      </c>
      <c r="B2831" t="s">
        <v>3637</v>
      </c>
      <c r="C2831">
        <v>1</v>
      </c>
      <c r="D2831">
        <v>1</v>
      </c>
      <c r="E2831">
        <v>1</v>
      </c>
      <c r="F2831">
        <v>1</v>
      </c>
      <c r="G2831">
        <v>0</v>
      </c>
      <c r="H2831" t="s">
        <v>2221</v>
      </c>
    </row>
    <row r="2832" spans="1:8">
      <c r="A2832" t="s">
        <v>1567</v>
      </c>
      <c r="B2832" t="s">
        <v>3638</v>
      </c>
      <c r="C2832">
        <v>1</v>
      </c>
      <c r="D2832">
        <v>1</v>
      </c>
      <c r="E2832">
        <v>1</v>
      </c>
      <c r="F2832">
        <v>1</v>
      </c>
      <c r="G2832">
        <v>0</v>
      </c>
      <c r="H2832" t="s">
        <v>2221</v>
      </c>
    </row>
    <row r="2833" spans="1:8">
      <c r="A2833" t="s">
        <v>1568</v>
      </c>
      <c r="B2833" t="s">
        <v>3639</v>
      </c>
      <c r="C2833">
        <v>15</v>
      </c>
      <c r="D2833">
        <v>1</v>
      </c>
      <c r="E2833">
        <v>1</v>
      </c>
      <c r="F2833">
        <v>1046.7</v>
      </c>
      <c r="G2833">
        <v>2.8600000000000001E-3</v>
      </c>
      <c r="H2833" t="s">
        <v>2197</v>
      </c>
    </row>
    <row r="2834" spans="1:8">
      <c r="A2834" t="s">
        <v>1570</v>
      </c>
      <c r="B2834" t="s">
        <v>3641</v>
      </c>
      <c r="C2834">
        <v>20</v>
      </c>
      <c r="D2834">
        <v>1</v>
      </c>
      <c r="E2834">
        <v>1</v>
      </c>
      <c r="F2834">
        <v>450</v>
      </c>
      <c r="G2834">
        <v>1.0032000000000001E-3</v>
      </c>
      <c r="H2834" t="s">
        <v>2197</v>
      </c>
    </row>
    <row r="2835" spans="1:8">
      <c r="A2835" t="s">
        <v>4724</v>
      </c>
      <c r="B2835" t="s">
        <v>7164</v>
      </c>
      <c r="C2835">
        <v>40</v>
      </c>
      <c r="D2835">
        <v>1</v>
      </c>
      <c r="E2835">
        <v>1</v>
      </c>
      <c r="F2835">
        <v>165.5</v>
      </c>
      <c r="G2835">
        <v>2.5024999999999998E-4</v>
      </c>
      <c r="H2835" t="s">
        <v>2197</v>
      </c>
    </row>
    <row r="2836" spans="1:8">
      <c r="A2836" t="s">
        <v>4725</v>
      </c>
      <c r="B2836" t="s">
        <v>7165</v>
      </c>
      <c r="C2836">
        <v>50</v>
      </c>
      <c r="D2836">
        <v>1</v>
      </c>
      <c r="E2836">
        <v>1</v>
      </c>
      <c r="F2836">
        <v>161.4</v>
      </c>
      <c r="G2836">
        <v>2.5168499999999997E-4</v>
      </c>
      <c r="H2836" t="s">
        <v>2197</v>
      </c>
    </row>
    <row r="2837" spans="1:8">
      <c r="A2837" t="s">
        <v>7171</v>
      </c>
      <c r="B2837" t="s">
        <v>7170</v>
      </c>
      <c r="C2837">
        <v>1</v>
      </c>
      <c r="D2837">
        <v>1</v>
      </c>
      <c r="E2837">
        <v>1</v>
      </c>
      <c r="F2837">
        <v>1</v>
      </c>
      <c r="G2837">
        <v>0</v>
      </c>
      <c r="H2837" t="s">
        <v>2303</v>
      </c>
    </row>
    <row r="2838" spans="1:8">
      <c r="A2838" t="s">
        <v>7167</v>
      </c>
      <c r="B2838" t="s">
        <v>7166</v>
      </c>
      <c r="C2838">
        <v>20</v>
      </c>
      <c r="D2838">
        <v>1</v>
      </c>
      <c r="E2838">
        <v>1</v>
      </c>
      <c r="F2838">
        <v>1</v>
      </c>
      <c r="G2838">
        <v>0</v>
      </c>
      <c r="H2838" t="s">
        <v>2197</v>
      </c>
    </row>
    <row r="2839" spans="1:8">
      <c r="A2839" t="s">
        <v>7169</v>
      </c>
      <c r="B2839" t="s">
        <v>7168</v>
      </c>
      <c r="C2839">
        <v>4</v>
      </c>
      <c r="D2839">
        <v>1</v>
      </c>
      <c r="E2839">
        <v>1</v>
      </c>
      <c r="F2839">
        <v>1</v>
      </c>
      <c r="G2839">
        <v>0</v>
      </c>
      <c r="H2839" t="s">
        <v>2307</v>
      </c>
    </row>
    <row r="2840" spans="1:8">
      <c r="A2840" t="s">
        <v>1572</v>
      </c>
      <c r="B2840" t="s">
        <v>3642</v>
      </c>
      <c r="C2840">
        <v>20</v>
      </c>
      <c r="D2840">
        <v>1</v>
      </c>
      <c r="E2840">
        <v>1</v>
      </c>
      <c r="F2840">
        <v>1370</v>
      </c>
      <c r="G2840">
        <v>2.5625000000000001E-3</v>
      </c>
      <c r="H2840" t="s">
        <v>2197</v>
      </c>
    </row>
    <row r="2841" spans="1:8">
      <c r="A2841" t="s">
        <v>1573</v>
      </c>
      <c r="B2841" t="s">
        <v>3644</v>
      </c>
      <c r="C2841">
        <v>1</v>
      </c>
      <c r="D2841">
        <v>1</v>
      </c>
      <c r="E2841">
        <v>1</v>
      </c>
      <c r="F2841">
        <v>161.4</v>
      </c>
      <c r="G2841">
        <v>2.5168499999999997E-4</v>
      </c>
      <c r="H2841" t="s">
        <v>2197</v>
      </c>
    </row>
    <row r="2842" spans="1:8">
      <c r="A2842" t="s">
        <v>1574</v>
      </c>
      <c r="B2842" t="s">
        <v>3645</v>
      </c>
      <c r="C2842">
        <v>1</v>
      </c>
      <c r="D2842">
        <v>1</v>
      </c>
      <c r="E2842">
        <v>1</v>
      </c>
      <c r="F2842">
        <v>161.4</v>
      </c>
      <c r="G2842">
        <v>2.5168499999999997E-4</v>
      </c>
      <c r="H2842" t="s">
        <v>2197</v>
      </c>
    </row>
    <row r="2843" spans="1:8">
      <c r="A2843" t="s">
        <v>1575</v>
      </c>
      <c r="B2843" t="s">
        <v>3646</v>
      </c>
      <c r="C2843">
        <v>80</v>
      </c>
      <c r="D2843">
        <v>1</v>
      </c>
      <c r="E2843">
        <v>1</v>
      </c>
      <c r="F2843">
        <v>161.4</v>
      </c>
      <c r="G2843">
        <v>2.5168499999999997E-4</v>
      </c>
      <c r="H2843" t="s">
        <v>2203</v>
      </c>
    </row>
    <row r="2844" spans="1:8">
      <c r="A2844" t="s">
        <v>8998</v>
      </c>
      <c r="B2844" t="s">
        <v>8997</v>
      </c>
      <c r="C2844">
        <v>1</v>
      </c>
      <c r="D2844">
        <v>1</v>
      </c>
      <c r="E2844">
        <v>1</v>
      </c>
      <c r="F2844">
        <v>1</v>
      </c>
      <c r="G2844">
        <v>0</v>
      </c>
      <c r="H2844" t="s">
        <v>2221</v>
      </c>
    </row>
    <row r="2845" spans="1:8">
      <c r="A2845" t="s">
        <v>7173</v>
      </c>
      <c r="B2845" t="s">
        <v>7172</v>
      </c>
      <c r="C2845">
        <v>1</v>
      </c>
      <c r="D2845">
        <v>1</v>
      </c>
      <c r="E2845">
        <v>1</v>
      </c>
      <c r="F2845">
        <v>161.4</v>
      </c>
      <c r="G2845">
        <v>2.5168499999999997E-4</v>
      </c>
      <c r="H2845" t="s">
        <v>2221</v>
      </c>
    </row>
    <row r="2846" spans="1:8">
      <c r="A2846" t="s">
        <v>7176</v>
      </c>
      <c r="B2846" t="s">
        <v>7175</v>
      </c>
      <c r="C2846">
        <v>40</v>
      </c>
      <c r="D2846">
        <v>1</v>
      </c>
      <c r="E2846">
        <v>1</v>
      </c>
      <c r="F2846">
        <v>1</v>
      </c>
      <c r="G2846">
        <v>0</v>
      </c>
      <c r="H2846" t="s">
        <v>2203</v>
      </c>
    </row>
    <row r="2847" spans="1:8">
      <c r="A2847" t="s">
        <v>4726</v>
      </c>
      <c r="B2847" t="s">
        <v>7174</v>
      </c>
      <c r="C2847">
        <v>20</v>
      </c>
      <c r="D2847">
        <v>25</v>
      </c>
      <c r="E2847">
        <v>1</v>
      </c>
      <c r="F2847">
        <v>161.4</v>
      </c>
      <c r="G2847">
        <v>0</v>
      </c>
      <c r="H2847" t="s">
        <v>2203</v>
      </c>
    </row>
    <row r="2848" spans="1:8">
      <c r="A2848" t="s">
        <v>1576</v>
      </c>
      <c r="B2848" t="s">
        <v>3647</v>
      </c>
      <c r="C2848">
        <v>14</v>
      </c>
      <c r="D2848">
        <v>1</v>
      </c>
      <c r="E2848">
        <v>1</v>
      </c>
      <c r="F2848">
        <v>1064.3</v>
      </c>
      <c r="G2848">
        <v>2.9399999999999999E-3</v>
      </c>
      <c r="H2848" t="s">
        <v>2203</v>
      </c>
    </row>
    <row r="2849" spans="1:8">
      <c r="A2849" t="s">
        <v>1577</v>
      </c>
      <c r="B2849" t="s">
        <v>3649</v>
      </c>
      <c r="C2849">
        <v>15</v>
      </c>
      <c r="D2849">
        <v>1</v>
      </c>
      <c r="E2849">
        <v>1</v>
      </c>
      <c r="F2849">
        <v>453.3</v>
      </c>
      <c r="G2849">
        <v>1.9835999999999999E-3</v>
      </c>
      <c r="H2849" t="s">
        <v>2203</v>
      </c>
    </row>
    <row r="2850" spans="1:8">
      <c r="A2850" t="s">
        <v>1578</v>
      </c>
      <c r="B2850" t="s">
        <v>3650</v>
      </c>
      <c r="C2850">
        <v>60</v>
      </c>
      <c r="D2850">
        <v>1</v>
      </c>
      <c r="E2850">
        <v>1</v>
      </c>
      <c r="F2850">
        <v>171.7</v>
      </c>
      <c r="G2850">
        <v>5.1519999999999995E-4</v>
      </c>
      <c r="H2850" t="s">
        <v>2203</v>
      </c>
    </row>
    <row r="2851" spans="1:8">
      <c r="A2851" t="s">
        <v>7178</v>
      </c>
      <c r="B2851" t="s">
        <v>7177</v>
      </c>
      <c r="C2851">
        <v>1</v>
      </c>
      <c r="D2851">
        <v>1</v>
      </c>
      <c r="E2851">
        <v>1</v>
      </c>
      <c r="F2851">
        <v>161.4</v>
      </c>
      <c r="G2851">
        <v>2.5168499999999997E-4</v>
      </c>
      <c r="H2851" t="s">
        <v>2303</v>
      </c>
    </row>
    <row r="2852" spans="1:8">
      <c r="A2852" t="s">
        <v>1579</v>
      </c>
      <c r="B2852" t="s">
        <v>3651</v>
      </c>
      <c r="C2852">
        <v>20</v>
      </c>
      <c r="D2852">
        <v>20</v>
      </c>
      <c r="E2852">
        <v>1</v>
      </c>
      <c r="F2852">
        <v>24.6</v>
      </c>
      <c r="G2852" s="4">
        <v>5.0899999999999997E-5</v>
      </c>
      <c r="H2852" t="s">
        <v>2197</v>
      </c>
    </row>
    <row r="2853" spans="1:8">
      <c r="A2853" t="s">
        <v>7180</v>
      </c>
      <c r="B2853" t="s">
        <v>7179</v>
      </c>
      <c r="C2853">
        <v>20</v>
      </c>
      <c r="D2853">
        <v>1</v>
      </c>
      <c r="E2853">
        <v>1</v>
      </c>
      <c r="F2853">
        <v>1000</v>
      </c>
      <c r="G2853">
        <v>0</v>
      </c>
      <c r="H2853" t="s">
        <v>2203</v>
      </c>
    </row>
    <row r="2854" spans="1:8">
      <c r="A2854" t="s">
        <v>1580</v>
      </c>
      <c r="B2854" t="s">
        <v>3654</v>
      </c>
      <c r="C2854">
        <v>20</v>
      </c>
      <c r="D2854">
        <v>10</v>
      </c>
      <c r="E2854">
        <v>1</v>
      </c>
      <c r="F2854">
        <v>114.5</v>
      </c>
      <c r="G2854">
        <v>1.8769500000000001E-4</v>
      </c>
      <c r="H2854" t="s">
        <v>2203</v>
      </c>
    </row>
    <row r="2855" spans="1:8">
      <c r="A2855" t="s">
        <v>1581</v>
      </c>
      <c r="B2855" t="s">
        <v>3656</v>
      </c>
      <c r="C2855">
        <v>24</v>
      </c>
      <c r="D2855">
        <v>1</v>
      </c>
      <c r="E2855">
        <v>1</v>
      </c>
      <c r="F2855">
        <v>329.2</v>
      </c>
      <c r="G2855">
        <v>7.9270000000000002E-4</v>
      </c>
      <c r="H2855" t="s">
        <v>2197</v>
      </c>
    </row>
    <row r="2856" spans="1:8">
      <c r="A2856" t="s">
        <v>7182</v>
      </c>
      <c r="B2856" t="s">
        <v>7181</v>
      </c>
      <c r="C2856">
        <v>30</v>
      </c>
      <c r="D2856">
        <v>1</v>
      </c>
      <c r="E2856">
        <v>1</v>
      </c>
      <c r="F2856">
        <v>160</v>
      </c>
      <c r="G2856">
        <v>4.3810000000000002E-4</v>
      </c>
      <c r="H2856" t="s">
        <v>2197</v>
      </c>
    </row>
    <row r="2857" spans="1:8">
      <c r="A2857" t="s">
        <v>1583</v>
      </c>
      <c r="B2857" t="s">
        <v>3657</v>
      </c>
      <c r="C2857">
        <v>50</v>
      </c>
      <c r="D2857">
        <v>1</v>
      </c>
      <c r="E2857">
        <v>1</v>
      </c>
      <c r="F2857">
        <v>148</v>
      </c>
      <c r="G2857">
        <v>3.5799999999999997E-4</v>
      </c>
      <c r="H2857" t="s">
        <v>2197</v>
      </c>
    </row>
    <row r="2858" spans="1:8">
      <c r="A2858" t="s">
        <v>1585</v>
      </c>
      <c r="B2858" t="s">
        <v>3658</v>
      </c>
      <c r="C2858">
        <v>1</v>
      </c>
      <c r="D2858">
        <v>1</v>
      </c>
      <c r="E2858">
        <v>1</v>
      </c>
      <c r="F2858">
        <v>1</v>
      </c>
      <c r="G2858">
        <v>0</v>
      </c>
      <c r="H2858" t="s">
        <v>2197</v>
      </c>
    </row>
    <row r="2859" spans="1:8">
      <c r="A2859" t="s">
        <v>4728</v>
      </c>
      <c r="B2859" t="s">
        <v>7183</v>
      </c>
      <c r="C2859">
        <v>20</v>
      </c>
      <c r="D2859">
        <v>1</v>
      </c>
      <c r="E2859">
        <v>1</v>
      </c>
      <c r="F2859">
        <v>0</v>
      </c>
      <c r="G2859">
        <v>0</v>
      </c>
      <c r="H2859" t="s">
        <v>2221</v>
      </c>
    </row>
    <row r="2860" spans="1:8">
      <c r="A2860" t="s">
        <v>4727</v>
      </c>
      <c r="B2860" t="s">
        <v>7184</v>
      </c>
      <c r="C2860">
        <v>50</v>
      </c>
      <c r="D2860">
        <v>1</v>
      </c>
      <c r="E2860">
        <v>1</v>
      </c>
      <c r="F2860">
        <v>0</v>
      </c>
      <c r="G2860">
        <v>0</v>
      </c>
      <c r="H2860" t="s">
        <v>2197</v>
      </c>
    </row>
    <row r="2861" spans="1:8">
      <c r="A2861" t="s">
        <v>1586</v>
      </c>
      <c r="B2861" t="s">
        <v>3660</v>
      </c>
      <c r="C2861">
        <v>1</v>
      </c>
      <c r="D2861">
        <v>1</v>
      </c>
      <c r="E2861">
        <v>1</v>
      </c>
      <c r="F2861">
        <v>51000</v>
      </c>
      <c r="G2861">
        <v>5.3999999999999999E-2</v>
      </c>
      <c r="H2861" t="s">
        <v>2994</v>
      </c>
    </row>
    <row r="2862" spans="1:8">
      <c r="A2862" t="s">
        <v>1587</v>
      </c>
      <c r="B2862" t="s">
        <v>3662</v>
      </c>
      <c r="C2862">
        <v>100</v>
      </c>
      <c r="D2862">
        <v>1</v>
      </c>
      <c r="E2862">
        <v>1</v>
      </c>
      <c r="F2862">
        <v>1</v>
      </c>
      <c r="G2862">
        <v>0</v>
      </c>
      <c r="H2862" t="s">
        <v>2203</v>
      </c>
    </row>
    <row r="2863" spans="1:8">
      <c r="A2863" t="s">
        <v>7186</v>
      </c>
      <c r="B2863" t="s">
        <v>7185</v>
      </c>
      <c r="C2863">
        <v>1</v>
      </c>
      <c r="D2863">
        <v>1</v>
      </c>
      <c r="E2863">
        <v>1</v>
      </c>
      <c r="F2863">
        <v>300</v>
      </c>
      <c r="G2863">
        <v>0</v>
      </c>
      <c r="H2863" t="s">
        <v>2197</v>
      </c>
    </row>
    <row r="2864" spans="1:8">
      <c r="A2864" t="s">
        <v>4729</v>
      </c>
      <c r="B2864" t="s">
        <v>7187</v>
      </c>
      <c r="C2864">
        <v>10</v>
      </c>
      <c r="D2864">
        <v>10</v>
      </c>
      <c r="E2864">
        <v>1</v>
      </c>
      <c r="F2864">
        <v>155.4</v>
      </c>
      <c r="G2864">
        <v>3.1090499999999999E-4</v>
      </c>
      <c r="H2864" t="s">
        <v>2197</v>
      </c>
    </row>
    <row r="2865" spans="1:8">
      <c r="A2865" t="s">
        <v>4730</v>
      </c>
      <c r="B2865" t="s">
        <v>7188</v>
      </c>
      <c r="C2865">
        <v>12</v>
      </c>
      <c r="D2865">
        <v>20</v>
      </c>
      <c r="E2865">
        <v>1</v>
      </c>
      <c r="F2865">
        <v>70.7916666666667</v>
      </c>
      <c r="G2865">
        <v>1.6057708333333301E-4</v>
      </c>
      <c r="H2865" t="s">
        <v>2197</v>
      </c>
    </row>
    <row r="2866" spans="1:8">
      <c r="A2866" t="s">
        <v>4731</v>
      </c>
      <c r="B2866" t="s">
        <v>7189</v>
      </c>
      <c r="C2866">
        <v>50</v>
      </c>
      <c r="D2866">
        <v>1</v>
      </c>
      <c r="E2866">
        <v>1</v>
      </c>
      <c r="F2866">
        <v>0</v>
      </c>
      <c r="G2866">
        <v>0</v>
      </c>
      <c r="H2866" t="s">
        <v>2197</v>
      </c>
    </row>
    <row r="2867" spans="1:8">
      <c r="A2867" t="s">
        <v>5001</v>
      </c>
      <c r="B2867" t="s">
        <v>7196</v>
      </c>
      <c r="C2867">
        <v>1</v>
      </c>
      <c r="D2867">
        <v>1</v>
      </c>
      <c r="E2867">
        <v>1</v>
      </c>
      <c r="F2867">
        <v>1</v>
      </c>
      <c r="G2867">
        <v>0</v>
      </c>
      <c r="H2867" t="s">
        <v>2303</v>
      </c>
    </row>
    <row r="2868" spans="1:8">
      <c r="A2868" t="s">
        <v>4999</v>
      </c>
      <c r="B2868" t="s">
        <v>7194</v>
      </c>
      <c r="C2868">
        <v>20</v>
      </c>
      <c r="D2868">
        <v>1</v>
      </c>
      <c r="E2868">
        <v>1</v>
      </c>
      <c r="F2868">
        <v>1</v>
      </c>
      <c r="G2868">
        <v>0</v>
      </c>
      <c r="H2868" t="s">
        <v>2197</v>
      </c>
    </row>
    <row r="2869" spans="1:8">
      <c r="A2869" t="s">
        <v>5000</v>
      </c>
      <c r="B2869" t="s">
        <v>7195</v>
      </c>
      <c r="C2869">
        <v>4</v>
      </c>
      <c r="D2869">
        <v>1</v>
      </c>
      <c r="E2869">
        <v>1</v>
      </c>
      <c r="F2869">
        <v>1</v>
      </c>
      <c r="G2869">
        <v>0</v>
      </c>
      <c r="H2869" t="s">
        <v>2307</v>
      </c>
    </row>
    <row r="2870" spans="1:8">
      <c r="A2870" t="s">
        <v>7191</v>
      </c>
      <c r="B2870" t="s">
        <v>7190</v>
      </c>
      <c r="C2870">
        <v>20</v>
      </c>
      <c r="D2870">
        <v>1</v>
      </c>
      <c r="E2870">
        <v>1</v>
      </c>
      <c r="F2870">
        <v>0</v>
      </c>
      <c r="G2870">
        <v>0</v>
      </c>
      <c r="H2870" t="s">
        <v>2197</v>
      </c>
    </row>
    <row r="2871" spans="1:8">
      <c r="A2871" t="s">
        <v>7193</v>
      </c>
      <c r="B2871" t="s">
        <v>7192</v>
      </c>
      <c r="C2871">
        <v>32</v>
      </c>
      <c r="D2871">
        <v>1</v>
      </c>
      <c r="E2871">
        <v>1</v>
      </c>
      <c r="F2871">
        <v>0</v>
      </c>
      <c r="G2871">
        <v>0</v>
      </c>
      <c r="H2871" t="s">
        <v>2197</v>
      </c>
    </row>
    <row r="2872" spans="1:8">
      <c r="A2872" t="s">
        <v>1589</v>
      </c>
      <c r="B2872" t="s">
        <v>3664</v>
      </c>
      <c r="C2872">
        <v>1</v>
      </c>
      <c r="D2872">
        <v>1</v>
      </c>
      <c r="E2872">
        <v>1</v>
      </c>
      <c r="F2872">
        <v>1</v>
      </c>
      <c r="G2872">
        <v>0</v>
      </c>
      <c r="H2872" t="s">
        <v>2203</v>
      </c>
    </row>
    <row r="2873" spans="1:8">
      <c r="A2873" t="s">
        <v>1590</v>
      </c>
      <c r="B2873" t="s">
        <v>3666</v>
      </c>
      <c r="C2873">
        <v>15</v>
      </c>
      <c r="D2873">
        <v>1</v>
      </c>
      <c r="E2873">
        <v>1</v>
      </c>
      <c r="F2873">
        <v>1166.7</v>
      </c>
      <c r="G2873">
        <v>3.055E-3</v>
      </c>
      <c r="H2873" t="s">
        <v>2197</v>
      </c>
    </row>
    <row r="2874" spans="1:8">
      <c r="A2874" t="s">
        <v>9688</v>
      </c>
      <c r="B2874" t="s">
        <v>7200</v>
      </c>
      <c r="C2874">
        <v>15</v>
      </c>
      <c r="D2874">
        <v>1</v>
      </c>
      <c r="E2874">
        <v>1</v>
      </c>
      <c r="F2874">
        <v>1166.7</v>
      </c>
      <c r="G2874">
        <v>3.055E-3</v>
      </c>
      <c r="H2874" t="s">
        <v>2197</v>
      </c>
    </row>
    <row r="2875" spans="1:8">
      <c r="A2875" t="s">
        <v>1594</v>
      </c>
      <c r="B2875" t="s">
        <v>3668</v>
      </c>
      <c r="C2875">
        <v>20</v>
      </c>
      <c r="D2875">
        <v>1</v>
      </c>
      <c r="E2875">
        <v>1</v>
      </c>
      <c r="F2875">
        <v>1030</v>
      </c>
      <c r="G2875">
        <v>2.3519999999999999E-3</v>
      </c>
      <c r="H2875" t="s">
        <v>2197</v>
      </c>
    </row>
    <row r="2876" spans="1:8">
      <c r="A2876" t="s">
        <v>9690</v>
      </c>
      <c r="B2876" t="s">
        <v>7198</v>
      </c>
      <c r="C2876">
        <v>20</v>
      </c>
      <c r="D2876">
        <v>1</v>
      </c>
      <c r="E2876">
        <v>1</v>
      </c>
      <c r="F2876">
        <v>540</v>
      </c>
      <c r="G2876">
        <v>1.2999999999999999E-3</v>
      </c>
      <c r="H2876" t="s">
        <v>2197</v>
      </c>
    </row>
    <row r="2877" spans="1:8">
      <c r="A2877" t="s">
        <v>1597</v>
      </c>
      <c r="B2877" t="s">
        <v>3669</v>
      </c>
      <c r="C2877">
        <v>20</v>
      </c>
      <c r="D2877">
        <v>1</v>
      </c>
      <c r="E2877">
        <v>1</v>
      </c>
      <c r="F2877">
        <v>540</v>
      </c>
      <c r="G2877">
        <v>1.2999999999999999E-3</v>
      </c>
      <c r="H2877" t="s">
        <v>2197</v>
      </c>
    </row>
    <row r="2878" spans="1:8">
      <c r="A2878" t="s">
        <v>9689</v>
      </c>
      <c r="B2878" t="s">
        <v>7201</v>
      </c>
      <c r="C2878">
        <v>20</v>
      </c>
      <c r="D2878">
        <v>1</v>
      </c>
      <c r="E2878">
        <v>1</v>
      </c>
      <c r="F2878">
        <v>1</v>
      </c>
      <c r="G2878">
        <v>0</v>
      </c>
      <c r="H2878" t="s">
        <v>2197</v>
      </c>
    </row>
    <row r="2879" spans="1:8">
      <c r="A2879" t="s">
        <v>1600</v>
      </c>
      <c r="B2879" t="s">
        <v>3671</v>
      </c>
      <c r="C2879">
        <v>40</v>
      </c>
      <c r="D2879">
        <v>1</v>
      </c>
      <c r="E2879">
        <v>1</v>
      </c>
      <c r="F2879">
        <v>287.5</v>
      </c>
      <c r="G2879">
        <v>6.6830000000000004E-4</v>
      </c>
      <c r="H2879" t="s">
        <v>2197</v>
      </c>
    </row>
    <row r="2880" spans="1:8">
      <c r="A2880" t="s">
        <v>1599</v>
      </c>
      <c r="B2880" t="s">
        <v>3670</v>
      </c>
      <c r="C2880">
        <v>40</v>
      </c>
      <c r="D2880">
        <v>1</v>
      </c>
      <c r="E2880">
        <v>1</v>
      </c>
      <c r="F2880">
        <v>287.5</v>
      </c>
      <c r="G2880">
        <v>6.6830000000000004E-4</v>
      </c>
      <c r="H2880" t="s">
        <v>2197</v>
      </c>
    </row>
    <row r="2881" spans="1:8">
      <c r="A2881" t="s">
        <v>9692</v>
      </c>
      <c r="B2881" t="s">
        <v>7197</v>
      </c>
      <c r="C2881">
        <v>50</v>
      </c>
      <c r="D2881">
        <v>1</v>
      </c>
      <c r="E2881">
        <v>1</v>
      </c>
      <c r="F2881">
        <v>116</v>
      </c>
      <c r="G2881">
        <v>2.875E-4</v>
      </c>
      <c r="H2881" t="s">
        <v>2197</v>
      </c>
    </row>
    <row r="2882" spans="1:8">
      <c r="A2882" t="s">
        <v>1602</v>
      </c>
      <c r="B2882" t="s">
        <v>3672</v>
      </c>
      <c r="C2882">
        <v>50</v>
      </c>
      <c r="D2882">
        <v>1</v>
      </c>
      <c r="E2882">
        <v>1</v>
      </c>
      <c r="F2882">
        <v>116</v>
      </c>
      <c r="G2882">
        <v>2.875E-4</v>
      </c>
      <c r="H2882" t="s">
        <v>2197</v>
      </c>
    </row>
    <row r="2883" spans="1:8">
      <c r="A2883" t="s">
        <v>9691</v>
      </c>
      <c r="B2883" t="s">
        <v>7202</v>
      </c>
      <c r="C2883">
        <v>50</v>
      </c>
      <c r="D2883">
        <v>1</v>
      </c>
      <c r="E2883">
        <v>1</v>
      </c>
      <c r="F2883">
        <v>1</v>
      </c>
      <c r="G2883">
        <v>0</v>
      </c>
      <c r="H2883" t="s">
        <v>2197</v>
      </c>
    </row>
    <row r="2884" spans="1:8">
      <c r="A2884" t="s">
        <v>9693</v>
      </c>
      <c r="B2884" t="s">
        <v>7199</v>
      </c>
      <c r="C2884">
        <v>50</v>
      </c>
      <c r="D2884">
        <v>1</v>
      </c>
      <c r="E2884">
        <v>1</v>
      </c>
      <c r="F2884">
        <v>1</v>
      </c>
      <c r="G2884">
        <v>0</v>
      </c>
      <c r="H2884" t="s">
        <v>2197</v>
      </c>
    </row>
    <row r="2885" spans="1:8">
      <c r="A2885" t="s">
        <v>9694</v>
      </c>
      <c r="B2885" t="s">
        <v>7203</v>
      </c>
      <c r="C2885">
        <v>50</v>
      </c>
      <c r="D2885">
        <v>1</v>
      </c>
      <c r="E2885">
        <v>1</v>
      </c>
      <c r="F2885">
        <v>1</v>
      </c>
      <c r="G2885">
        <v>0</v>
      </c>
      <c r="H2885" t="s">
        <v>2197</v>
      </c>
    </row>
    <row r="2886" spans="1:8">
      <c r="A2886" t="s">
        <v>1603</v>
      </c>
      <c r="B2886" t="s">
        <v>3673</v>
      </c>
      <c r="C2886">
        <v>1</v>
      </c>
      <c r="D2886">
        <v>1</v>
      </c>
      <c r="E2886">
        <v>1</v>
      </c>
      <c r="F2886">
        <v>0</v>
      </c>
      <c r="G2886">
        <v>0</v>
      </c>
      <c r="H2886" t="s">
        <v>2221</v>
      </c>
    </row>
    <row r="2887" spans="1:8">
      <c r="A2887" t="s">
        <v>1604</v>
      </c>
      <c r="B2887" t="s">
        <v>3676</v>
      </c>
      <c r="C2887">
        <v>1</v>
      </c>
      <c r="D2887">
        <v>1</v>
      </c>
      <c r="E2887">
        <v>1</v>
      </c>
      <c r="F2887">
        <v>0</v>
      </c>
      <c r="G2887">
        <v>0</v>
      </c>
      <c r="H2887" t="s">
        <v>2221</v>
      </c>
    </row>
    <row r="2888" spans="1:8">
      <c r="A2888" t="s">
        <v>1605</v>
      </c>
      <c r="B2888" t="s">
        <v>3679</v>
      </c>
      <c r="C2888">
        <v>1</v>
      </c>
      <c r="D2888">
        <v>1</v>
      </c>
      <c r="E2888">
        <v>1</v>
      </c>
      <c r="F2888">
        <v>0</v>
      </c>
      <c r="G2888">
        <v>0</v>
      </c>
      <c r="H2888" t="s">
        <v>2221</v>
      </c>
    </row>
    <row r="2889" spans="1:8">
      <c r="A2889" t="s">
        <v>1606</v>
      </c>
      <c r="B2889" t="s">
        <v>3680</v>
      </c>
      <c r="C2889">
        <v>1</v>
      </c>
      <c r="D2889">
        <v>1</v>
      </c>
      <c r="E2889">
        <v>1</v>
      </c>
      <c r="F2889">
        <v>1</v>
      </c>
      <c r="G2889">
        <v>0</v>
      </c>
      <c r="H2889" t="s">
        <v>2221</v>
      </c>
    </row>
    <row r="2890" spans="1:8">
      <c r="A2890" t="s">
        <v>1607</v>
      </c>
      <c r="B2890" t="s">
        <v>3681</v>
      </c>
      <c r="C2890">
        <v>100</v>
      </c>
      <c r="D2890">
        <v>1</v>
      </c>
      <c r="E2890">
        <v>1</v>
      </c>
      <c r="F2890">
        <v>129.5</v>
      </c>
      <c r="G2890">
        <v>2.9002999999999999E-4</v>
      </c>
      <c r="H2890" t="s">
        <v>2197</v>
      </c>
    </row>
    <row r="2891" spans="1:8">
      <c r="A2891" t="s">
        <v>7205</v>
      </c>
      <c r="B2891" t="s">
        <v>7204</v>
      </c>
      <c r="C2891">
        <v>100</v>
      </c>
      <c r="D2891">
        <v>1</v>
      </c>
      <c r="E2891">
        <v>1</v>
      </c>
      <c r="F2891">
        <v>129.5</v>
      </c>
      <c r="G2891">
        <v>0</v>
      </c>
      <c r="H2891" t="s">
        <v>2197</v>
      </c>
    </row>
    <row r="2892" spans="1:8">
      <c r="A2892" t="s">
        <v>1608</v>
      </c>
      <c r="B2892" t="s">
        <v>3683</v>
      </c>
      <c r="C2892">
        <v>40</v>
      </c>
      <c r="D2892">
        <v>1</v>
      </c>
      <c r="E2892">
        <v>1</v>
      </c>
      <c r="F2892">
        <v>308.8</v>
      </c>
      <c r="G2892">
        <v>7.5460000000000002E-4</v>
      </c>
      <c r="H2892" t="s">
        <v>2197</v>
      </c>
    </row>
    <row r="2893" spans="1:8">
      <c r="A2893" t="s">
        <v>4733</v>
      </c>
      <c r="B2893" t="s">
        <v>7206</v>
      </c>
      <c r="C2893">
        <v>100</v>
      </c>
      <c r="D2893">
        <v>1</v>
      </c>
      <c r="E2893">
        <v>1</v>
      </c>
      <c r="F2893">
        <v>0</v>
      </c>
      <c r="G2893">
        <v>0</v>
      </c>
      <c r="H2893" t="s">
        <v>2197</v>
      </c>
    </row>
    <row r="2894" spans="1:8">
      <c r="A2894" t="s">
        <v>9695</v>
      </c>
      <c r="B2894" t="s">
        <v>7207</v>
      </c>
      <c r="C2894">
        <v>50</v>
      </c>
      <c r="D2894">
        <v>1</v>
      </c>
      <c r="E2894">
        <v>1</v>
      </c>
      <c r="F2894">
        <v>226</v>
      </c>
      <c r="G2894">
        <v>8.3005999999999998E-4</v>
      </c>
      <c r="H2894" t="s">
        <v>2197</v>
      </c>
    </row>
    <row r="2895" spans="1:8">
      <c r="A2895" t="s">
        <v>9695</v>
      </c>
      <c r="B2895" t="s">
        <v>4732</v>
      </c>
      <c r="C2895">
        <v>50</v>
      </c>
      <c r="D2895">
        <v>1</v>
      </c>
      <c r="E2895">
        <v>1</v>
      </c>
      <c r="F2895">
        <v>226</v>
      </c>
      <c r="G2895">
        <v>8.3005999999999998E-4</v>
      </c>
      <c r="H2895" t="s">
        <v>2197</v>
      </c>
    </row>
    <row r="2896" spans="1:8">
      <c r="A2896" t="s">
        <v>1609</v>
      </c>
      <c r="B2896" t="s">
        <v>3684</v>
      </c>
      <c r="C2896">
        <v>50</v>
      </c>
      <c r="D2896">
        <v>1</v>
      </c>
      <c r="E2896">
        <v>1</v>
      </c>
      <c r="F2896">
        <v>226</v>
      </c>
      <c r="G2896">
        <v>8.3005999999999998E-4</v>
      </c>
      <c r="H2896" t="s">
        <v>2197</v>
      </c>
    </row>
    <row r="2897" spans="1:8">
      <c r="A2897" t="s">
        <v>4734</v>
      </c>
      <c r="B2897" t="s">
        <v>7208</v>
      </c>
      <c r="C2897">
        <v>50</v>
      </c>
      <c r="D2897">
        <v>1</v>
      </c>
      <c r="E2897">
        <v>1</v>
      </c>
      <c r="F2897">
        <v>0</v>
      </c>
      <c r="G2897">
        <v>0</v>
      </c>
      <c r="H2897" t="s">
        <v>2197</v>
      </c>
    </row>
    <row r="2898" spans="1:8">
      <c r="A2898" t="s">
        <v>4735</v>
      </c>
      <c r="B2898" t="s">
        <v>7209</v>
      </c>
      <c r="C2898">
        <v>50</v>
      </c>
      <c r="D2898">
        <v>1</v>
      </c>
      <c r="E2898">
        <v>1</v>
      </c>
      <c r="F2898">
        <v>1</v>
      </c>
      <c r="G2898">
        <v>0</v>
      </c>
      <c r="H2898" t="s">
        <v>2197</v>
      </c>
    </row>
    <row r="2899" spans="1:8">
      <c r="A2899" t="s">
        <v>9000</v>
      </c>
      <c r="B2899" t="s">
        <v>8999</v>
      </c>
      <c r="C2899">
        <v>1</v>
      </c>
      <c r="D2899">
        <v>1</v>
      </c>
      <c r="E2899">
        <v>1</v>
      </c>
      <c r="F2899">
        <v>1</v>
      </c>
      <c r="G2899">
        <v>0</v>
      </c>
      <c r="H2899" t="s">
        <v>2221</v>
      </c>
    </row>
    <row r="2900" spans="1:8">
      <c r="A2900" t="s">
        <v>1610</v>
      </c>
      <c r="B2900" t="s">
        <v>3686</v>
      </c>
      <c r="C2900">
        <v>1</v>
      </c>
      <c r="D2900">
        <v>1</v>
      </c>
      <c r="E2900">
        <v>1</v>
      </c>
      <c r="F2900">
        <v>1</v>
      </c>
      <c r="G2900">
        <v>0</v>
      </c>
      <c r="H2900" t="s">
        <v>2221</v>
      </c>
    </row>
    <row r="2901" spans="1:8">
      <c r="A2901" t="s">
        <v>9002</v>
      </c>
      <c r="B2901" t="s">
        <v>9001</v>
      </c>
      <c r="C2901">
        <v>1</v>
      </c>
      <c r="D2901">
        <v>1</v>
      </c>
      <c r="E2901">
        <v>1</v>
      </c>
      <c r="F2901">
        <v>1</v>
      </c>
      <c r="G2901">
        <v>0</v>
      </c>
      <c r="H2901" t="s">
        <v>2221</v>
      </c>
    </row>
    <row r="2902" spans="1:8">
      <c r="A2902" t="s">
        <v>1611</v>
      </c>
      <c r="B2902" t="s">
        <v>3687</v>
      </c>
      <c r="C2902">
        <v>25</v>
      </c>
      <c r="D2902">
        <v>20</v>
      </c>
      <c r="E2902">
        <v>1</v>
      </c>
      <c r="F2902">
        <v>30</v>
      </c>
      <c r="G2902" s="4">
        <v>5.5099999999999998E-5</v>
      </c>
      <c r="H2902" t="s">
        <v>3417</v>
      </c>
    </row>
    <row r="2903" spans="1:8">
      <c r="A2903" t="s">
        <v>7213</v>
      </c>
      <c r="B2903" t="s">
        <v>7212</v>
      </c>
      <c r="C2903">
        <v>1</v>
      </c>
      <c r="D2903">
        <v>1</v>
      </c>
      <c r="E2903">
        <v>1</v>
      </c>
      <c r="F2903">
        <v>0</v>
      </c>
      <c r="G2903">
        <v>0</v>
      </c>
      <c r="H2903" t="s">
        <v>2221</v>
      </c>
    </row>
    <row r="2904" spans="1:8">
      <c r="A2904" t="s">
        <v>9696</v>
      </c>
      <c r="B2904" t="s">
        <v>7223</v>
      </c>
      <c r="C2904">
        <v>50</v>
      </c>
      <c r="D2904">
        <v>1</v>
      </c>
      <c r="E2904">
        <v>1</v>
      </c>
      <c r="F2904">
        <v>370</v>
      </c>
      <c r="G2904">
        <v>9.8499999999999998E-4</v>
      </c>
      <c r="H2904" t="s">
        <v>2221</v>
      </c>
    </row>
    <row r="2905" spans="1:8">
      <c r="A2905" t="s">
        <v>1612</v>
      </c>
      <c r="B2905" t="s">
        <v>3689</v>
      </c>
      <c r="C2905">
        <v>150</v>
      </c>
      <c r="D2905">
        <v>1</v>
      </c>
      <c r="E2905">
        <v>1</v>
      </c>
      <c r="F2905">
        <v>66.3</v>
      </c>
      <c r="G2905">
        <v>2.218E-4</v>
      </c>
      <c r="H2905" t="s">
        <v>2221</v>
      </c>
    </row>
    <row r="2906" spans="1:8">
      <c r="A2906" t="s">
        <v>1613</v>
      </c>
      <c r="B2906" t="s">
        <v>3691</v>
      </c>
      <c r="C2906">
        <v>150</v>
      </c>
      <c r="D2906">
        <v>1</v>
      </c>
      <c r="E2906">
        <v>1</v>
      </c>
      <c r="F2906">
        <v>74.7</v>
      </c>
      <c r="G2906">
        <v>2.6640000000000002E-4</v>
      </c>
      <c r="H2906" t="s">
        <v>2221</v>
      </c>
    </row>
    <row r="2907" spans="1:8">
      <c r="A2907" t="s">
        <v>9697</v>
      </c>
      <c r="B2907" t="s">
        <v>7224</v>
      </c>
      <c r="C2907">
        <v>40</v>
      </c>
      <c r="D2907">
        <v>1</v>
      </c>
      <c r="E2907">
        <v>1</v>
      </c>
      <c r="F2907">
        <v>433.8</v>
      </c>
      <c r="G2907">
        <v>1.1590000000000001E-3</v>
      </c>
      <c r="H2907" t="s">
        <v>2221</v>
      </c>
    </row>
    <row r="2908" spans="1:8">
      <c r="A2908" t="s">
        <v>1614</v>
      </c>
      <c r="B2908" t="s">
        <v>3692</v>
      </c>
      <c r="C2908">
        <v>150</v>
      </c>
      <c r="D2908">
        <v>1</v>
      </c>
      <c r="E2908">
        <v>1</v>
      </c>
      <c r="F2908">
        <v>82.3</v>
      </c>
      <c r="G2908">
        <v>2.3039999999999999E-4</v>
      </c>
      <c r="H2908" t="s">
        <v>2221</v>
      </c>
    </row>
    <row r="2909" spans="1:8">
      <c r="A2909" t="s">
        <v>9698</v>
      </c>
      <c r="B2909" t="s">
        <v>7216</v>
      </c>
      <c r="C2909">
        <v>150</v>
      </c>
      <c r="D2909">
        <v>1</v>
      </c>
      <c r="E2909">
        <v>1</v>
      </c>
      <c r="F2909">
        <v>83.7</v>
      </c>
      <c r="G2909">
        <v>2.9379999999999999E-4</v>
      </c>
      <c r="H2909" t="s">
        <v>2221</v>
      </c>
    </row>
    <row r="2910" spans="1:8">
      <c r="A2910" t="s">
        <v>9699</v>
      </c>
      <c r="B2910" t="s">
        <v>7225</v>
      </c>
      <c r="C2910">
        <v>30</v>
      </c>
      <c r="D2910">
        <v>1</v>
      </c>
      <c r="E2910">
        <v>1</v>
      </c>
      <c r="F2910">
        <v>481.7</v>
      </c>
      <c r="G2910">
        <v>1.7587E-3</v>
      </c>
      <c r="H2910" t="s">
        <v>2221</v>
      </c>
    </row>
    <row r="2911" spans="1:8">
      <c r="A2911" t="s">
        <v>9700</v>
      </c>
      <c r="B2911" t="s">
        <v>7217</v>
      </c>
      <c r="C2911">
        <v>150</v>
      </c>
      <c r="D2911">
        <v>1</v>
      </c>
      <c r="E2911">
        <v>1</v>
      </c>
      <c r="F2911">
        <v>94.3</v>
      </c>
      <c r="G2911">
        <v>3.098E-4</v>
      </c>
      <c r="H2911" t="s">
        <v>2221</v>
      </c>
    </row>
    <row r="2912" spans="1:8">
      <c r="A2912" t="s">
        <v>9701</v>
      </c>
      <c r="B2912" t="s">
        <v>7226</v>
      </c>
      <c r="C2912">
        <v>30</v>
      </c>
      <c r="D2912">
        <v>1</v>
      </c>
      <c r="E2912">
        <v>1</v>
      </c>
      <c r="F2912">
        <v>750</v>
      </c>
      <c r="G2912">
        <v>2.2872999999999999E-3</v>
      </c>
      <c r="H2912" t="s">
        <v>2221</v>
      </c>
    </row>
    <row r="2913" spans="1:8">
      <c r="A2913" t="s">
        <v>1615</v>
      </c>
      <c r="B2913" t="s">
        <v>3693</v>
      </c>
      <c r="C2913">
        <v>150</v>
      </c>
      <c r="D2913">
        <v>1</v>
      </c>
      <c r="E2913">
        <v>1</v>
      </c>
      <c r="F2913">
        <v>101.3</v>
      </c>
      <c r="G2913">
        <v>3.8529999999999999E-4</v>
      </c>
      <c r="H2913" t="s">
        <v>2221</v>
      </c>
    </row>
    <row r="2914" spans="1:8">
      <c r="A2914" t="s">
        <v>1616</v>
      </c>
      <c r="B2914" t="s">
        <v>3694</v>
      </c>
      <c r="C2914">
        <v>200</v>
      </c>
      <c r="D2914">
        <v>1</v>
      </c>
      <c r="E2914">
        <v>1</v>
      </c>
      <c r="F2914">
        <v>22.3</v>
      </c>
      <c r="G2914" s="4">
        <v>6.7600000000000003E-5</v>
      </c>
      <c r="H2914" t="s">
        <v>2221</v>
      </c>
    </row>
    <row r="2915" spans="1:8">
      <c r="A2915" t="s">
        <v>9702</v>
      </c>
      <c r="B2915" t="s">
        <v>7218</v>
      </c>
      <c r="C2915">
        <v>150</v>
      </c>
      <c r="D2915">
        <v>1</v>
      </c>
      <c r="E2915">
        <v>1</v>
      </c>
      <c r="F2915">
        <v>101.3</v>
      </c>
      <c r="G2915">
        <v>3.8529999999999999E-4</v>
      </c>
      <c r="H2915" t="s">
        <v>2221</v>
      </c>
    </row>
    <row r="2916" spans="1:8">
      <c r="A2916" t="s">
        <v>9703</v>
      </c>
      <c r="B2916" t="s">
        <v>7227</v>
      </c>
      <c r="C2916">
        <v>20</v>
      </c>
      <c r="D2916">
        <v>1</v>
      </c>
      <c r="E2916">
        <v>1</v>
      </c>
      <c r="F2916">
        <v>790</v>
      </c>
      <c r="G2916">
        <v>4.6163000000000003E-3</v>
      </c>
      <c r="H2916" t="s">
        <v>2221</v>
      </c>
    </row>
    <row r="2917" spans="1:8">
      <c r="A2917" t="s">
        <v>9704</v>
      </c>
      <c r="B2917" t="s">
        <v>7219</v>
      </c>
      <c r="C2917">
        <v>150</v>
      </c>
      <c r="D2917">
        <v>1</v>
      </c>
      <c r="E2917">
        <v>1</v>
      </c>
      <c r="F2917">
        <v>107</v>
      </c>
      <c r="G2917">
        <v>3.8000000000000002E-4</v>
      </c>
      <c r="H2917" t="s">
        <v>2221</v>
      </c>
    </row>
    <row r="2918" spans="1:8">
      <c r="A2918" t="s">
        <v>9705</v>
      </c>
      <c r="B2918" t="s">
        <v>7220</v>
      </c>
      <c r="C2918">
        <v>100</v>
      </c>
      <c r="D2918">
        <v>1</v>
      </c>
      <c r="E2918">
        <v>1</v>
      </c>
      <c r="F2918">
        <v>131</v>
      </c>
      <c r="G2918">
        <v>3.726E-4</v>
      </c>
      <c r="H2918" t="s">
        <v>2221</v>
      </c>
    </row>
    <row r="2919" spans="1:8">
      <c r="A2919" t="s">
        <v>1617</v>
      </c>
      <c r="B2919" t="s">
        <v>3695</v>
      </c>
      <c r="C2919">
        <v>200</v>
      </c>
      <c r="D2919">
        <v>1</v>
      </c>
      <c r="E2919">
        <v>1</v>
      </c>
      <c r="F2919">
        <v>30.3</v>
      </c>
      <c r="G2919">
        <v>1.013E-4</v>
      </c>
      <c r="H2919" t="s">
        <v>2221</v>
      </c>
    </row>
    <row r="2920" spans="1:8">
      <c r="A2920" t="s">
        <v>9706</v>
      </c>
      <c r="B2920" t="s">
        <v>7221</v>
      </c>
      <c r="C2920">
        <v>100</v>
      </c>
      <c r="D2920">
        <v>1</v>
      </c>
      <c r="E2920">
        <v>1</v>
      </c>
      <c r="F2920">
        <v>136.5</v>
      </c>
      <c r="G2920">
        <v>3.6719999999999998E-4</v>
      </c>
      <c r="H2920" t="s">
        <v>2221</v>
      </c>
    </row>
    <row r="2921" spans="1:8">
      <c r="A2921" t="s">
        <v>9707</v>
      </c>
      <c r="B2921" t="s">
        <v>7228</v>
      </c>
      <c r="C2921">
        <v>50</v>
      </c>
      <c r="D2921">
        <v>1</v>
      </c>
      <c r="E2921">
        <v>1</v>
      </c>
      <c r="F2921">
        <v>1</v>
      </c>
      <c r="G2921">
        <v>0</v>
      </c>
      <c r="H2921" t="s">
        <v>2221</v>
      </c>
    </row>
    <row r="2922" spans="1:8">
      <c r="A2922" t="s">
        <v>9707</v>
      </c>
      <c r="B2922" t="s">
        <v>7229</v>
      </c>
      <c r="C2922">
        <v>50</v>
      </c>
      <c r="D2922">
        <v>1</v>
      </c>
      <c r="E2922">
        <v>1</v>
      </c>
      <c r="F2922">
        <v>189</v>
      </c>
      <c r="G2922">
        <v>6.8639999999999999E-4</v>
      </c>
      <c r="H2922" t="s">
        <v>2221</v>
      </c>
    </row>
    <row r="2923" spans="1:8">
      <c r="A2923" t="s">
        <v>9708</v>
      </c>
      <c r="B2923" t="s">
        <v>7222</v>
      </c>
      <c r="C2923">
        <v>75</v>
      </c>
      <c r="D2923">
        <v>1</v>
      </c>
      <c r="E2923">
        <v>1</v>
      </c>
      <c r="F2923">
        <v>187.3</v>
      </c>
      <c r="G2923">
        <v>8.9039999999999996E-4</v>
      </c>
      <c r="H2923" t="s">
        <v>2221</v>
      </c>
    </row>
    <row r="2924" spans="1:8">
      <c r="A2924" t="s">
        <v>4736</v>
      </c>
      <c r="B2924" t="s">
        <v>7210</v>
      </c>
      <c r="C2924">
        <v>40</v>
      </c>
      <c r="D2924">
        <v>1</v>
      </c>
      <c r="E2924">
        <v>1</v>
      </c>
      <c r="F2924">
        <v>169.25</v>
      </c>
      <c r="G2924">
        <v>7.0854374999999999E-4</v>
      </c>
      <c r="H2924" t="s">
        <v>2203</v>
      </c>
    </row>
    <row r="2925" spans="1:8">
      <c r="A2925" t="s">
        <v>7215</v>
      </c>
      <c r="B2925" t="s">
        <v>7214</v>
      </c>
      <c r="C2925">
        <v>80</v>
      </c>
      <c r="D2925">
        <v>1</v>
      </c>
      <c r="E2925">
        <v>1</v>
      </c>
      <c r="F2925">
        <v>1</v>
      </c>
      <c r="G2925">
        <v>0</v>
      </c>
      <c r="H2925" t="s">
        <v>2203</v>
      </c>
    </row>
    <row r="2926" spans="1:8">
      <c r="A2926" t="s">
        <v>4737</v>
      </c>
      <c r="B2926" t="s">
        <v>7211</v>
      </c>
      <c r="C2926">
        <v>2</v>
      </c>
      <c r="D2926">
        <v>100</v>
      </c>
      <c r="E2926">
        <v>1</v>
      </c>
      <c r="F2926">
        <v>16.95</v>
      </c>
      <c r="G2926" s="4">
        <v>8.9066249999999994E-5</v>
      </c>
      <c r="H2926" t="s">
        <v>2203</v>
      </c>
    </row>
    <row r="2927" spans="1:8">
      <c r="A2927" t="s">
        <v>4738</v>
      </c>
      <c r="B2927" t="s">
        <v>7230</v>
      </c>
      <c r="C2927">
        <v>1</v>
      </c>
      <c r="D2927">
        <v>1</v>
      </c>
      <c r="E2927">
        <v>1</v>
      </c>
      <c r="F2927">
        <v>24880</v>
      </c>
      <c r="G2927">
        <v>1.8559124999999999E-2</v>
      </c>
      <c r="H2927" t="s">
        <v>2303</v>
      </c>
    </row>
    <row r="2928" spans="1:8">
      <c r="A2928" t="s">
        <v>7236</v>
      </c>
      <c r="B2928" t="s">
        <v>7235</v>
      </c>
      <c r="C2928">
        <v>1</v>
      </c>
      <c r="D2928">
        <v>1</v>
      </c>
      <c r="E2928">
        <v>1</v>
      </c>
      <c r="F2928">
        <v>19300</v>
      </c>
      <c r="G2928">
        <v>2.4E-2</v>
      </c>
      <c r="H2928" t="s">
        <v>3417</v>
      </c>
    </row>
    <row r="2929" spans="1:8">
      <c r="A2929" t="s">
        <v>7234</v>
      </c>
      <c r="B2929" t="s">
        <v>7233</v>
      </c>
      <c r="C2929">
        <v>1</v>
      </c>
      <c r="D2929">
        <v>1</v>
      </c>
      <c r="E2929">
        <v>1</v>
      </c>
      <c r="F2929">
        <v>19300</v>
      </c>
      <c r="G2929">
        <v>3.2000000000000001E-2</v>
      </c>
      <c r="H2929" t="s">
        <v>3417</v>
      </c>
    </row>
    <row r="2930" spans="1:8">
      <c r="A2930" t="s">
        <v>7232</v>
      </c>
      <c r="B2930" t="s">
        <v>7231</v>
      </c>
      <c r="C2930">
        <v>1</v>
      </c>
      <c r="D2930">
        <v>1</v>
      </c>
      <c r="E2930">
        <v>1</v>
      </c>
      <c r="F2930">
        <v>10350</v>
      </c>
      <c r="G2930">
        <v>2.0480000000000002E-2</v>
      </c>
      <c r="H2930" t="s">
        <v>3417</v>
      </c>
    </row>
    <row r="2931" spans="1:8">
      <c r="A2931" t="s">
        <v>1618</v>
      </c>
      <c r="B2931" t="s">
        <v>3696</v>
      </c>
      <c r="C2931">
        <v>12</v>
      </c>
      <c r="D2931">
        <v>10</v>
      </c>
      <c r="E2931">
        <v>1</v>
      </c>
      <c r="F2931">
        <v>40.4</v>
      </c>
      <c r="G2931">
        <v>2.1330000000000001E-4</v>
      </c>
      <c r="H2931" t="s">
        <v>2203</v>
      </c>
    </row>
    <row r="2932" spans="1:8">
      <c r="A2932" t="s">
        <v>1620</v>
      </c>
      <c r="B2932" t="s">
        <v>3699</v>
      </c>
      <c r="C2932">
        <v>50</v>
      </c>
      <c r="D2932">
        <v>1</v>
      </c>
      <c r="E2932">
        <v>1</v>
      </c>
      <c r="F2932">
        <v>141</v>
      </c>
      <c r="G2932">
        <v>6.6811500000000005E-4</v>
      </c>
      <c r="H2932" t="s">
        <v>2203</v>
      </c>
    </row>
    <row r="2933" spans="1:8">
      <c r="A2933" t="s">
        <v>7240</v>
      </c>
      <c r="B2933" t="s">
        <v>7239</v>
      </c>
      <c r="C2933">
        <v>20</v>
      </c>
      <c r="D2933">
        <v>1</v>
      </c>
      <c r="E2933">
        <v>1</v>
      </c>
      <c r="F2933">
        <v>1</v>
      </c>
      <c r="G2933">
        <v>0</v>
      </c>
      <c r="H2933" t="s">
        <v>2197</v>
      </c>
    </row>
    <row r="2934" spans="1:8">
      <c r="A2934" t="s">
        <v>7238</v>
      </c>
      <c r="B2934" t="s">
        <v>7237</v>
      </c>
      <c r="C2934">
        <v>40</v>
      </c>
      <c r="D2934">
        <v>1</v>
      </c>
      <c r="E2934">
        <v>1</v>
      </c>
      <c r="F2934">
        <v>1</v>
      </c>
      <c r="G2934">
        <v>0</v>
      </c>
      <c r="H2934" t="s">
        <v>2197</v>
      </c>
    </row>
    <row r="2935" spans="1:8">
      <c r="A2935" t="s">
        <v>7242</v>
      </c>
      <c r="B2935" t="s">
        <v>7241</v>
      </c>
      <c r="C2935">
        <v>48</v>
      </c>
      <c r="D2935">
        <v>1</v>
      </c>
      <c r="E2935">
        <v>1</v>
      </c>
      <c r="F2935">
        <v>500</v>
      </c>
      <c r="G2935">
        <v>0</v>
      </c>
      <c r="H2935" t="s">
        <v>2197</v>
      </c>
    </row>
    <row r="2936" spans="1:8">
      <c r="A2936" t="s">
        <v>4739</v>
      </c>
      <c r="B2936" t="s">
        <v>7243</v>
      </c>
      <c r="C2936">
        <v>6</v>
      </c>
      <c r="D2936">
        <v>1</v>
      </c>
      <c r="E2936">
        <v>1</v>
      </c>
      <c r="F2936">
        <v>0</v>
      </c>
      <c r="G2936">
        <v>0</v>
      </c>
      <c r="H2936" t="s">
        <v>2203</v>
      </c>
    </row>
    <row r="2937" spans="1:8">
      <c r="A2937" t="s">
        <v>9709</v>
      </c>
      <c r="B2937" t="s">
        <v>7245</v>
      </c>
      <c r="C2937">
        <v>1</v>
      </c>
      <c r="D2937">
        <v>1</v>
      </c>
      <c r="E2937">
        <v>1</v>
      </c>
      <c r="F2937">
        <v>22750</v>
      </c>
      <c r="G2937">
        <v>2.6875E-2</v>
      </c>
      <c r="H2937" t="s">
        <v>2303</v>
      </c>
    </row>
    <row r="2938" spans="1:8">
      <c r="A2938" t="s">
        <v>1627</v>
      </c>
      <c r="B2938" t="s">
        <v>3700</v>
      </c>
      <c r="C2938">
        <v>20</v>
      </c>
      <c r="D2938">
        <v>1</v>
      </c>
      <c r="E2938">
        <v>1</v>
      </c>
      <c r="F2938">
        <v>1252.5</v>
      </c>
      <c r="G2938">
        <v>2.3403E-3</v>
      </c>
      <c r="H2938" t="s">
        <v>2197</v>
      </c>
    </row>
    <row r="2939" spans="1:8">
      <c r="A2939" t="s">
        <v>9710</v>
      </c>
      <c r="B2939" t="s">
        <v>7244</v>
      </c>
      <c r="C2939">
        <v>4</v>
      </c>
      <c r="D2939">
        <v>1</v>
      </c>
      <c r="E2939">
        <v>1</v>
      </c>
      <c r="F2939">
        <v>5850</v>
      </c>
      <c r="G2939">
        <v>9.4050000000000002E-3</v>
      </c>
      <c r="H2939" t="s">
        <v>2307</v>
      </c>
    </row>
    <row r="2940" spans="1:8">
      <c r="A2940" t="s">
        <v>1628</v>
      </c>
      <c r="B2940" t="s">
        <v>3702</v>
      </c>
      <c r="C2940">
        <v>1</v>
      </c>
      <c r="D2940">
        <v>1</v>
      </c>
      <c r="E2940">
        <v>1</v>
      </c>
      <c r="F2940">
        <v>1</v>
      </c>
      <c r="G2940">
        <v>0</v>
      </c>
      <c r="H2940" t="s">
        <v>2221</v>
      </c>
    </row>
    <row r="2941" spans="1:8">
      <c r="A2941" t="s">
        <v>5004</v>
      </c>
      <c r="B2941" t="s">
        <v>7284</v>
      </c>
      <c r="C2941">
        <v>1</v>
      </c>
      <c r="D2941">
        <v>1</v>
      </c>
      <c r="E2941">
        <v>1</v>
      </c>
      <c r="F2941">
        <v>1</v>
      </c>
      <c r="G2941">
        <v>0</v>
      </c>
      <c r="H2941" t="s">
        <v>2493</v>
      </c>
    </row>
    <row r="2942" spans="1:8">
      <c r="A2942" t="s">
        <v>4751</v>
      </c>
      <c r="B2942" t="s">
        <v>7260</v>
      </c>
      <c r="C2942">
        <v>1</v>
      </c>
      <c r="D2942">
        <v>1</v>
      </c>
      <c r="E2942">
        <v>1</v>
      </c>
      <c r="F2942">
        <v>728</v>
      </c>
      <c r="G2942">
        <v>1.1100000000000001E-3</v>
      </c>
      <c r="H2942" t="s">
        <v>2493</v>
      </c>
    </row>
    <row r="2943" spans="1:8">
      <c r="A2943" t="s">
        <v>4749</v>
      </c>
      <c r="B2943" t="s">
        <v>7259</v>
      </c>
      <c r="C2943">
        <v>1</v>
      </c>
      <c r="D2943">
        <v>1</v>
      </c>
      <c r="E2943">
        <v>1</v>
      </c>
      <c r="F2943">
        <v>728</v>
      </c>
      <c r="G2943">
        <v>0</v>
      </c>
      <c r="H2943" t="s">
        <v>2493</v>
      </c>
    </row>
    <row r="2944" spans="1:8">
      <c r="A2944" t="s">
        <v>5002</v>
      </c>
      <c r="B2944" t="s">
        <v>7266</v>
      </c>
      <c r="C2944">
        <v>1</v>
      </c>
      <c r="D2944">
        <v>1</v>
      </c>
      <c r="E2944">
        <v>1</v>
      </c>
      <c r="F2944">
        <v>1</v>
      </c>
      <c r="G2944">
        <v>0</v>
      </c>
      <c r="H2944" t="s">
        <v>2493</v>
      </c>
    </row>
    <row r="2945" spans="1:8">
      <c r="A2945" t="s">
        <v>4745</v>
      </c>
      <c r="B2945" t="s">
        <v>7253</v>
      </c>
      <c r="C2945">
        <v>1</v>
      </c>
      <c r="D2945">
        <v>1</v>
      </c>
      <c r="E2945">
        <v>1</v>
      </c>
      <c r="F2945">
        <v>728</v>
      </c>
      <c r="G2945">
        <v>0</v>
      </c>
      <c r="H2945" t="s">
        <v>2493</v>
      </c>
    </row>
    <row r="2946" spans="1:8">
      <c r="A2946" t="s">
        <v>4746</v>
      </c>
      <c r="B2946" t="s">
        <v>7262</v>
      </c>
      <c r="C2946">
        <v>1</v>
      </c>
      <c r="D2946">
        <v>1</v>
      </c>
      <c r="E2946">
        <v>1</v>
      </c>
      <c r="F2946">
        <v>728</v>
      </c>
      <c r="G2946">
        <v>1.1100000000000001E-3</v>
      </c>
      <c r="H2946" t="s">
        <v>2493</v>
      </c>
    </row>
    <row r="2947" spans="1:8">
      <c r="A2947" t="s">
        <v>4750</v>
      </c>
      <c r="B2947" t="s">
        <v>7261</v>
      </c>
      <c r="C2947">
        <v>1</v>
      </c>
      <c r="D2947">
        <v>1</v>
      </c>
      <c r="E2947">
        <v>1</v>
      </c>
      <c r="F2947">
        <v>728</v>
      </c>
      <c r="G2947">
        <v>1.1100000000000001E-3</v>
      </c>
      <c r="H2947" t="s">
        <v>2493</v>
      </c>
    </row>
    <row r="2948" spans="1:8">
      <c r="A2948" t="s">
        <v>4747</v>
      </c>
      <c r="B2948" t="s">
        <v>7263</v>
      </c>
      <c r="C2948">
        <v>1</v>
      </c>
      <c r="D2948">
        <v>1</v>
      </c>
      <c r="E2948">
        <v>1</v>
      </c>
      <c r="F2948">
        <v>728</v>
      </c>
      <c r="G2948">
        <v>1.1100000000000001E-3</v>
      </c>
      <c r="H2948" t="s">
        <v>2493</v>
      </c>
    </row>
    <row r="2949" spans="1:8">
      <c r="A2949" t="s">
        <v>4752</v>
      </c>
      <c r="B2949" t="s">
        <v>7264</v>
      </c>
      <c r="C2949">
        <v>1</v>
      </c>
      <c r="D2949">
        <v>1</v>
      </c>
      <c r="E2949">
        <v>1</v>
      </c>
      <c r="F2949">
        <v>728</v>
      </c>
      <c r="G2949">
        <v>1.1100000000000001E-3</v>
      </c>
      <c r="H2949" t="s">
        <v>2493</v>
      </c>
    </row>
    <row r="2950" spans="1:8">
      <c r="A2950" t="s">
        <v>4748</v>
      </c>
      <c r="B2950" t="s">
        <v>7254</v>
      </c>
      <c r="C2950">
        <v>1</v>
      </c>
      <c r="D2950">
        <v>1</v>
      </c>
      <c r="E2950">
        <v>1</v>
      </c>
      <c r="F2950">
        <v>728</v>
      </c>
      <c r="G2950">
        <v>0</v>
      </c>
      <c r="H2950" t="s">
        <v>2493</v>
      </c>
    </row>
    <row r="2951" spans="1:8">
      <c r="A2951" t="s">
        <v>5003</v>
      </c>
      <c r="B2951" t="s">
        <v>7258</v>
      </c>
      <c r="C2951">
        <v>1</v>
      </c>
      <c r="D2951">
        <v>1</v>
      </c>
      <c r="E2951">
        <v>1</v>
      </c>
      <c r="F2951">
        <v>728</v>
      </c>
      <c r="G2951">
        <v>0</v>
      </c>
      <c r="H2951" t="s">
        <v>2493</v>
      </c>
    </row>
    <row r="2952" spans="1:8">
      <c r="A2952" t="s">
        <v>4754</v>
      </c>
      <c r="B2952" t="s">
        <v>7257</v>
      </c>
      <c r="C2952">
        <v>1</v>
      </c>
      <c r="D2952">
        <v>1</v>
      </c>
      <c r="E2952">
        <v>1</v>
      </c>
      <c r="F2952">
        <v>728</v>
      </c>
      <c r="G2952">
        <v>0</v>
      </c>
      <c r="H2952" t="s">
        <v>2493</v>
      </c>
    </row>
    <row r="2953" spans="1:8">
      <c r="A2953" t="s">
        <v>4740</v>
      </c>
      <c r="B2953" t="s">
        <v>7252</v>
      </c>
      <c r="C2953">
        <v>1</v>
      </c>
      <c r="D2953">
        <v>1</v>
      </c>
      <c r="E2953">
        <v>1</v>
      </c>
      <c r="F2953">
        <v>728</v>
      </c>
      <c r="G2953">
        <v>0</v>
      </c>
      <c r="H2953" t="s">
        <v>2493</v>
      </c>
    </row>
    <row r="2954" spans="1:8">
      <c r="A2954" t="s">
        <v>4741</v>
      </c>
      <c r="B2954" t="s">
        <v>7251</v>
      </c>
      <c r="C2954">
        <v>1</v>
      </c>
      <c r="D2954">
        <v>1</v>
      </c>
      <c r="E2954">
        <v>1</v>
      </c>
      <c r="F2954">
        <v>728</v>
      </c>
      <c r="G2954">
        <v>0</v>
      </c>
      <c r="H2954" t="s">
        <v>2493</v>
      </c>
    </row>
    <row r="2955" spans="1:8">
      <c r="A2955" t="s">
        <v>4742</v>
      </c>
      <c r="B2955" t="s">
        <v>7255</v>
      </c>
      <c r="C2955">
        <v>1</v>
      </c>
      <c r="D2955">
        <v>1</v>
      </c>
      <c r="E2955">
        <v>1</v>
      </c>
      <c r="F2955">
        <v>728</v>
      </c>
      <c r="G2955">
        <v>0</v>
      </c>
      <c r="H2955" t="s">
        <v>2493</v>
      </c>
    </row>
    <row r="2956" spans="1:8">
      <c r="A2956" t="s">
        <v>4744</v>
      </c>
      <c r="B2956" t="s">
        <v>7256</v>
      </c>
      <c r="C2956">
        <v>1</v>
      </c>
      <c r="D2956">
        <v>1</v>
      </c>
      <c r="E2956">
        <v>1</v>
      </c>
      <c r="F2956">
        <v>728</v>
      </c>
      <c r="G2956">
        <v>0</v>
      </c>
      <c r="H2956" t="s">
        <v>2493</v>
      </c>
    </row>
    <row r="2957" spans="1:8">
      <c r="A2957" t="s">
        <v>4743</v>
      </c>
      <c r="B2957" t="s">
        <v>7265</v>
      </c>
      <c r="C2957">
        <v>1</v>
      </c>
      <c r="D2957">
        <v>1</v>
      </c>
      <c r="E2957">
        <v>1</v>
      </c>
      <c r="F2957">
        <v>728</v>
      </c>
      <c r="G2957">
        <v>1.1100000000000001E-3</v>
      </c>
      <c r="H2957" t="s">
        <v>2493</v>
      </c>
    </row>
    <row r="2958" spans="1:8">
      <c r="A2958" t="s">
        <v>9711</v>
      </c>
      <c r="B2958" t="s">
        <v>7274</v>
      </c>
      <c r="C2958">
        <v>25</v>
      </c>
      <c r="D2958">
        <v>1</v>
      </c>
      <c r="E2958">
        <v>1</v>
      </c>
      <c r="F2958">
        <v>1026</v>
      </c>
      <c r="G2958">
        <v>1.5115E-3</v>
      </c>
      <c r="H2958" t="s">
        <v>2203</v>
      </c>
    </row>
    <row r="2959" spans="1:8">
      <c r="A2959" t="s">
        <v>1629</v>
      </c>
      <c r="B2959" t="s">
        <v>3703</v>
      </c>
      <c r="C2959">
        <v>25</v>
      </c>
      <c r="D2959">
        <v>1</v>
      </c>
      <c r="E2959">
        <v>1</v>
      </c>
      <c r="F2959">
        <v>1026</v>
      </c>
      <c r="G2959">
        <v>1.7856E-3</v>
      </c>
      <c r="H2959" t="s">
        <v>2203</v>
      </c>
    </row>
    <row r="2960" spans="1:8">
      <c r="A2960" t="s">
        <v>1630</v>
      </c>
      <c r="B2960" t="s">
        <v>3707</v>
      </c>
      <c r="C2960">
        <v>25</v>
      </c>
      <c r="D2960">
        <v>1</v>
      </c>
      <c r="E2960">
        <v>1</v>
      </c>
      <c r="F2960">
        <v>1026</v>
      </c>
      <c r="G2960">
        <v>1.7856E-3</v>
      </c>
      <c r="H2960" t="s">
        <v>2203</v>
      </c>
    </row>
    <row r="2961" spans="1:8">
      <c r="A2961" t="s">
        <v>1631</v>
      </c>
      <c r="B2961" t="s">
        <v>3708</v>
      </c>
      <c r="C2961">
        <v>25</v>
      </c>
      <c r="D2961">
        <v>1</v>
      </c>
      <c r="E2961">
        <v>1</v>
      </c>
      <c r="F2961">
        <v>1026</v>
      </c>
      <c r="G2961">
        <v>1.7856E-3</v>
      </c>
      <c r="H2961" t="s">
        <v>2203</v>
      </c>
    </row>
    <row r="2962" spans="1:8">
      <c r="A2962" t="s">
        <v>1632</v>
      </c>
      <c r="B2962" t="s">
        <v>3709</v>
      </c>
      <c r="C2962">
        <v>25</v>
      </c>
      <c r="D2962">
        <v>1</v>
      </c>
      <c r="E2962">
        <v>1</v>
      </c>
      <c r="F2962">
        <v>1026</v>
      </c>
      <c r="G2962">
        <v>1.7856E-3</v>
      </c>
      <c r="H2962" t="s">
        <v>2203</v>
      </c>
    </row>
    <row r="2963" spans="1:8">
      <c r="A2963" t="s">
        <v>9712</v>
      </c>
      <c r="B2963" t="s">
        <v>7282</v>
      </c>
      <c r="C2963">
        <v>25</v>
      </c>
      <c r="D2963">
        <v>1</v>
      </c>
      <c r="E2963">
        <v>1</v>
      </c>
      <c r="F2963">
        <v>1026</v>
      </c>
      <c r="G2963">
        <v>1.7856E-3</v>
      </c>
      <c r="H2963" t="s">
        <v>2203</v>
      </c>
    </row>
    <row r="2964" spans="1:8">
      <c r="A2964" t="s">
        <v>9713</v>
      </c>
      <c r="B2964" t="s">
        <v>7279</v>
      </c>
      <c r="C2964">
        <v>25</v>
      </c>
      <c r="D2964">
        <v>1</v>
      </c>
      <c r="E2964">
        <v>1</v>
      </c>
      <c r="F2964">
        <v>1026</v>
      </c>
      <c r="G2964">
        <v>1.7221999999999999E-3</v>
      </c>
      <c r="H2964" t="s">
        <v>2203</v>
      </c>
    </row>
    <row r="2965" spans="1:8">
      <c r="A2965" t="s">
        <v>9714</v>
      </c>
      <c r="B2965" t="s">
        <v>7273</v>
      </c>
      <c r="C2965">
        <v>25</v>
      </c>
      <c r="D2965">
        <v>1</v>
      </c>
      <c r="E2965">
        <v>1</v>
      </c>
      <c r="F2965">
        <v>1026</v>
      </c>
      <c r="G2965">
        <v>1.5529000000000001E-3</v>
      </c>
      <c r="H2965" t="s">
        <v>2203</v>
      </c>
    </row>
    <row r="2966" spans="1:8">
      <c r="A2966" t="s">
        <v>9715</v>
      </c>
      <c r="B2966" t="s">
        <v>7272</v>
      </c>
      <c r="C2966">
        <v>25</v>
      </c>
      <c r="D2966">
        <v>1</v>
      </c>
      <c r="E2966">
        <v>1</v>
      </c>
      <c r="F2966">
        <v>1026</v>
      </c>
      <c r="G2966">
        <v>1.4469999999999999E-3</v>
      </c>
      <c r="H2966" t="s">
        <v>2203</v>
      </c>
    </row>
    <row r="2967" spans="1:8">
      <c r="A2967" t="s">
        <v>9716</v>
      </c>
      <c r="B2967" t="s">
        <v>7278</v>
      </c>
      <c r="C2967">
        <v>25</v>
      </c>
      <c r="D2967">
        <v>1</v>
      </c>
      <c r="E2967">
        <v>1</v>
      </c>
      <c r="F2967">
        <v>1026</v>
      </c>
      <c r="G2967">
        <v>1.4469999999999999E-3</v>
      </c>
      <c r="H2967" t="s">
        <v>2203</v>
      </c>
    </row>
    <row r="2968" spans="1:8">
      <c r="A2968" t="s">
        <v>9717</v>
      </c>
      <c r="B2968" t="s">
        <v>7271</v>
      </c>
      <c r="C2968">
        <v>25</v>
      </c>
      <c r="D2968">
        <v>1</v>
      </c>
      <c r="E2968">
        <v>1</v>
      </c>
      <c r="F2968">
        <v>1026</v>
      </c>
      <c r="G2968">
        <v>1.4469999999999999E-3</v>
      </c>
      <c r="H2968" t="s">
        <v>2203</v>
      </c>
    </row>
    <row r="2969" spans="1:8">
      <c r="A2969" t="s">
        <v>1633</v>
      </c>
      <c r="B2969" t="s">
        <v>3710</v>
      </c>
      <c r="C2969">
        <v>25</v>
      </c>
      <c r="D2969">
        <v>1</v>
      </c>
      <c r="E2969">
        <v>1</v>
      </c>
      <c r="F2969">
        <v>1026</v>
      </c>
      <c r="G2969">
        <v>1.4469999999999999E-3</v>
      </c>
      <c r="H2969" t="s">
        <v>2203</v>
      </c>
    </row>
    <row r="2970" spans="1:8">
      <c r="A2970" t="s">
        <v>1634</v>
      </c>
      <c r="B2970" t="s">
        <v>3711</v>
      </c>
      <c r="C2970">
        <v>25</v>
      </c>
      <c r="D2970">
        <v>1</v>
      </c>
      <c r="E2970">
        <v>1</v>
      </c>
      <c r="F2970">
        <v>1026</v>
      </c>
      <c r="G2970">
        <v>1.5444E-3</v>
      </c>
      <c r="H2970" t="s">
        <v>2203</v>
      </c>
    </row>
    <row r="2971" spans="1:8">
      <c r="A2971" t="s">
        <v>1635</v>
      </c>
      <c r="B2971" t="s">
        <v>3712</v>
      </c>
      <c r="C2971">
        <v>50</v>
      </c>
      <c r="D2971">
        <v>1</v>
      </c>
      <c r="E2971">
        <v>1</v>
      </c>
      <c r="F2971">
        <v>513</v>
      </c>
      <c r="G2971">
        <v>8.0090000000000001E-4</v>
      </c>
      <c r="H2971" t="s">
        <v>2203</v>
      </c>
    </row>
    <row r="2972" spans="1:8">
      <c r="A2972" t="s">
        <v>9718</v>
      </c>
      <c r="B2972" t="s">
        <v>7270</v>
      </c>
      <c r="C2972">
        <v>25</v>
      </c>
      <c r="D2972">
        <v>1</v>
      </c>
      <c r="E2972">
        <v>1</v>
      </c>
      <c r="F2972">
        <v>1026</v>
      </c>
      <c r="G2972">
        <v>1.7741E-3</v>
      </c>
      <c r="H2972" t="s">
        <v>2203</v>
      </c>
    </row>
    <row r="2973" spans="1:8">
      <c r="A2973" t="s">
        <v>9719</v>
      </c>
      <c r="B2973" t="s">
        <v>7269</v>
      </c>
      <c r="C2973">
        <v>25</v>
      </c>
      <c r="D2973">
        <v>1</v>
      </c>
      <c r="E2973">
        <v>1</v>
      </c>
      <c r="F2973">
        <v>1026</v>
      </c>
      <c r="G2973">
        <v>1.872E-3</v>
      </c>
      <c r="H2973" t="s">
        <v>2203</v>
      </c>
    </row>
    <row r="2974" spans="1:8">
      <c r="A2974" t="s">
        <v>9720</v>
      </c>
      <c r="B2974" t="s">
        <v>7277</v>
      </c>
      <c r="C2974">
        <v>25</v>
      </c>
      <c r="D2974">
        <v>1</v>
      </c>
      <c r="E2974">
        <v>1</v>
      </c>
      <c r="F2974">
        <v>1026</v>
      </c>
      <c r="G2974">
        <v>1.7741E-3</v>
      </c>
      <c r="H2974" t="s">
        <v>2203</v>
      </c>
    </row>
    <row r="2975" spans="1:8">
      <c r="A2975" t="s">
        <v>9721</v>
      </c>
      <c r="B2975" t="s">
        <v>7276</v>
      </c>
      <c r="C2975">
        <v>25</v>
      </c>
      <c r="D2975">
        <v>1</v>
      </c>
      <c r="E2975">
        <v>1</v>
      </c>
      <c r="F2975">
        <v>1026</v>
      </c>
      <c r="G2975">
        <v>1.7741E-3</v>
      </c>
      <c r="H2975" t="s">
        <v>2203</v>
      </c>
    </row>
    <row r="2976" spans="1:8">
      <c r="A2976" t="s">
        <v>1636</v>
      </c>
      <c r="B2976" t="s">
        <v>3713</v>
      </c>
      <c r="C2976">
        <v>25</v>
      </c>
      <c r="D2976">
        <v>1</v>
      </c>
      <c r="E2976">
        <v>1</v>
      </c>
      <c r="F2976">
        <v>1012</v>
      </c>
      <c r="G2976">
        <v>1.8106000000000001E-3</v>
      </c>
      <c r="H2976" t="s">
        <v>2203</v>
      </c>
    </row>
    <row r="2977" spans="1:8">
      <c r="A2977" t="s">
        <v>9722</v>
      </c>
      <c r="B2977" t="s">
        <v>7268</v>
      </c>
      <c r="C2977">
        <v>25</v>
      </c>
      <c r="D2977">
        <v>1</v>
      </c>
      <c r="E2977">
        <v>1</v>
      </c>
      <c r="F2977">
        <v>1012</v>
      </c>
      <c r="G2977">
        <v>1.8106000000000001E-3</v>
      </c>
      <c r="H2977" t="s">
        <v>2203</v>
      </c>
    </row>
    <row r="2978" spans="1:8">
      <c r="A2978" t="s">
        <v>1637</v>
      </c>
      <c r="B2978" t="s">
        <v>3714</v>
      </c>
      <c r="C2978">
        <v>25</v>
      </c>
      <c r="D2978">
        <v>1</v>
      </c>
      <c r="E2978">
        <v>1</v>
      </c>
      <c r="F2978">
        <v>1026</v>
      </c>
      <c r="G2978">
        <v>1.7741E-3</v>
      </c>
      <c r="H2978" t="s">
        <v>2203</v>
      </c>
    </row>
    <row r="2979" spans="1:8">
      <c r="A2979" t="s">
        <v>1637</v>
      </c>
      <c r="B2979" t="s">
        <v>7283</v>
      </c>
      <c r="C2979">
        <v>25</v>
      </c>
      <c r="D2979">
        <v>1</v>
      </c>
      <c r="E2979">
        <v>1</v>
      </c>
      <c r="F2979">
        <v>1026</v>
      </c>
      <c r="G2979">
        <v>1.3939E-3</v>
      </c>
      <c r="H2979" t="s">
        <v>2203</v>
      </c>
    </row>
    <row r="2980" spans="1:8">
      <c r="A2980" t="s">
        <v>9723</v>
      </c>
      <c r="B2980" t="s">
        <v>7275</v>
      </c>
      <c r="C2980">
        <v>25</v>
      </c>
      <c r="D2980">
        <v>1</v>
      </c>
      <c r="E2980">
        <v>1</v>
      </c>
      <c r="F2980">
        <v>1026</v>
      </c>
      <c r="G2980">
        <v>1.7741E-3</v>
      </c>
      <c r="H2980" t="s">
        <v>2203</v>
      </c>
    </row>
    <row r="2981" spans="1:8">
      <c r="A2981" t="s">
        <v>1638</v>
      </c>
      <c r="B2981" t="s">
        <v>3715</v>
      </c>
      <c r="C2981">
        <v>50</v>
      </c>
      <c r="D2981">
        <v>1</v>
      </c>
      <c r="E2981">
        <v>1</v>
      </c>
      <c r="F2981">
        <v>513</v>
      </c>
      <c r="G2981">
        <v>9.2159999999999996E-4</v>
      </c>
      <c r="H2981" t="s">
        <v>2203</v>
      </c>
    </row>
    <row r="2982" spans="1:8">
      <c r="A2982" t="s">
        <v>4755</v>
      </c>
      <c r="B2982" t="s">
        <v>7281</v>
      </c>
      <c r="C2982">
        <v>50</v>
      </c>
      <c r="D2982">
        <v>1</v>
      </c>
      <c r="E2982">
        <v>1</v>
      </c>
      <c r="F2982">
        <v>513</v>
      </c>
      <c r="G2982">
        <v>1.0077E-3</v>
      </c>
      <c r="H2982" t="s">
        <v>2203</v>
      </c>
    </row>
    <row r="2983" spans="1:8">
      <c r="A2983" t="s">
        <v>9724</v>
      </c>
      <c r="B2983" t="s">
        <v>7267</v>
      </c>
      <c r="C2983">
        <v>25</v>
      </c>
      <c r="D2983">
        <v>1</v>
      </c>
      <c r="E2983">
        <v>1</v>
      </c>
      <c r="F2983">
        <v>1026</v>
      </c>
      <c r="G2983">
        <v>1.5115E-3</v>
      </c>
      <c r="H2983" t="s">
        <v>2203</v>
      </c>
    </row>
    <row r="2984" spans="1:8">
      <c r="A2984" t="s">
        <v>9725</v>
      </c>
      <c r="B2984" t="s">
        <v>7280</v>
      </c>
      <c r="C2984">
        <v>25</v>
      </c>
      <c r="D2984">
        <v>1</v>
      </c>
      <c r="E2984">
        <v>1</v>
      </c>
      <c r="F2984">
        <v>1026</v>
      </c>
      <c r="G2984">
        <v>1.5115E-3</v>
      </c>
      <c r="H2984" t="s">
        <v>2203</v>
      </c>
    </row>
    <row r="2985" spans="1:8">
      <c r="A2985" t="s">
        <v>1639</v>
      </c>
      <c r="B2985" t="s">
        <v>3716</v>
      </c>
      <c r="C2985">
        <v>1</v>
      </c>
      <c r="D2985">
        <v>1</v>
      </c>
      <c r="E2985">
        <v>1</v>
      </c>
      <c r="F2985">
        <v>1</v>
      </c>
      <c r="G2985">
        <v>0</v>
      </c>
      <c r="H2985" t="s">
        <v>2221</v>
      </c>
    </row>
    <row r="2986" spans="1:8">
      <c r="A2986" t="s">
        <v>1641</v>
      </c>
      <c r="B2986" t="s">
        <v>3717</v>
      </c>
      <c r="C2986">
        <v>1</v>
      </c>
      <c r="D2986">
        <v>1</v>
      </c>
      <c r="E2986">
        <v>1</v>
      </c>
      <c r="F2986">
        <v>1</v>
      </c>
      <c r="G2986">
        <v>0</v>
      </c>
      <c r="H2986" t="s">
        <v>2221</v>
      </c>
    </row>
    <row r="2987" spans="1:8">
      <c r="A2987" t="s">
        <v>1642</v>
      </c>
      <c r="B2987" t="s">
        <v>3718</v>
      </c>
      <c r="C2987">
        <v>1</v>
      </c>
      <c r="D2987">
        <v>1</v>
      </c>
      <c r="E2987">
        <v>1</v>
      </c>
      <c r="F2987">
        <v>1</v>
      </c>
      <c r="G2987">
        <v>0</v>
      </c>
      <c r="H2987" t="s">
        <v>2221</v>
      </c>
    </row>
    <row r="2988" spans="1:8">
      <c r="A2988" t="s">
        <v>1643</v>
      </c>
      <c r="B2988" t="s">
        <v>3719</v>
      </c>
      <c r="C2988">
        <v>1</v>
      </c>
      <c r="D2988">
        <v>1</v>
      </c>
      <c r="E2988">
        <v>1</v>
      </c>
      <c r="F2988">
        <v>1</v>
      </c>
      <c r="G2988">
        <v>0</v>
      </c>
      <c r="H2988" t="s">
        <v>2221</v>
      </c>
    </row>
    <row r="2989" spans="1:8">
      <c r="A2989" t="s">
        <v>1644</v>
      </c>
      <c r="B2989" t="s">
        <v>3720</v>
      </c>
      <c r="C2989">
        <v>1</v>
      </c>
      <c r="D2989">
        <v>1</v>
      </c>
      <c r="E2989">
        <v>1</v>
      </c>
      <c r="F2989">
        <v>1</v>
      </c>
      <c r="G2989">
        <v>0</v>
      </c>
      <c r="H2989" t="s">
        <v>2221</v>
      </c>
    </row>
    <row r="2990" spans="1:8">
      <c r="A2990" t="s">
        <v>1645</v>
      </c>
      <c r="B2990" t="s">
        <v>3721</v>
      </c>
      <c r="C2990">
        <v>1</v>
      </c>
      <c r="D2990">
        <v>1</v>
      </c>
      <c r="E2990">
        <v>1</v>
      </c>
      <c r="F2990">
        <v>1</v>
      </c>
      <c r="G2990">
        <v>0</v>
      </c>
      <c r="H2990" t="s">
        <v>2221</v>
      </c>
    </row>
    <row r="2991" spans="1:8">
      <c r="A2991" t="s">
        <v>1646</v>
      </c>
      <c r="B2991" t="s">
        <v>3722</v>
      </c>
      <c r="C2991">
        <v>1</v>
      </c>
      <c r="D2991">
        <v>1</v>
      </c>
      <c r="E2991">
        <v>1</v>
      </c>
      <c r="F2991">
        <v>1</v>
      </c>
      <c r="G2991">
        <v>0</v>
      </c>
      <c r="H2991" t="s">
        <v>2221</v>
      </c>
    </row>
    <row r="2992" spans="1:8">
      <c r="A2992" t="s">
        <v>1647</v>
      </c>
      <c r="B2992" t="s">
        <v>3723</v>
      </c>
      <c r="C2992">
        <v>1</v>
      </c>
      <c r="D2992">
        <v>1</v>
      </c>
      <c r="E2992">
        <v>1</v>
      </c>
      <c r="F2992">
        <v>1</v>
      </c>
      <c r="G2992">
        <v>0</v>
      </c>
      <c r="H2992" t="s">
        <v>2221</v>
      </c>
    </row>
    <row r="2993" spans="1:8">
      <c r="A2993" t="s">
        <v>1648</v>
      </c>
      <c r="B2993" t="s">
        <v>3724</v>
      </c>
      <c r="C2993">
        <v>1</v>
      </c>
      <c r="D2993">
        <v>1</v>
      </c>
      <c r="E2993">
        <v>1</v>
      </c>
      <c r="F2993">
        <v>1</v>
      </c>
      <c r="G2993">
        <v>0</v>
      </c>
      <c r="H2993" t="s">
        <v>2221</v>
      </c>
    </row>
    <row r="2994" spans="1:8">
      <c r="A2994" t="s">
        <v>4753</v>
      </c>
      <c r="B2994" t="s">
        <v>7246</v>
      </c>
      <c r="C2994">
        <v>20</v>
      </c>
      <c r="D2994">
        <v>1</v>
      </c>
      <c r="E2994">
        <v>1</v>
      </c>
      <c r="F2994">
        <v>0</v>
      </c>
      <c r="G2994">
        <v>0</v>
      </c>
      <c r="H2994" t="s">
        <v>2203</v>
      </c>
    </row>
    <row r="2995" spans="1:8">
      <c r="A2995" t="s">
        <v>7248</v>
      </c>
      <c r="B2995" t="s">
        <v>7247</v>
      </c>
      <c r="C2995">
        <v>40</v>
      </c>
      <c r="D2995">
        <v>1</v>
      </c>
      <c r="E2995">
        <v>1</v>
      </c>
      <c r="F2995">
        <v>0</v>
      </c>
      <c r="G2995">
        <v>0</v>
      </c>
      <c r="H2995" t="s">
        <v>2203</v>
      </c>
    </row>
    <row r="2996" spans="1:8">
      <c r="A2996" t="s">
        <v>7250</v>
      </c>
      <c r="B2996" t="s">
        <v>7249</v>
      </c>
      <c r="C2996">
        <v>80</v>
      </c>
      <c r="D2996">
        <v>1</v>
      </c>
      <c r="E2996">
        <v>1</v>
      </c>
      <c r="F2996">
        <v>0</v>
      </c>
      <c r="G2996">
        <v>0</v>
      </c>
      <c r="H2996" t="s">
        <v>2203</v>
      </c>
    </row>
    <row r="2997" spans="1:8">
      <c r="A2997" t="s">
        <v>1649</v>
      </c>
      <c r="B2997" t="s">
        <v>3725</v>
      </c>
      <c r="C2997">
        <v>1</v>
      </c>
      <c r="D2997">
        <v>1</v>
      </c>
      <c r="E2997">
        <v>1</v>
      </c>
      <c r="F2997">
        <v>0</v>
      </c>
      <c r="G2997">
        <v>0</v>
      </c>
      <c r="H2997" t="s">
        <v>2221</v>
      </c>
    </row>
    <row r="2998" spans="1:8">
      <c r="A2998" t="s">
        <v>1650</v>
      </c>
      <c r="B2998" t="s">
        <v>3727</v>
      </c>
      <c r="C2998">
        <v>48</v>
      </c>
      <c r="D2998">
        <v>1</v>
      </c>
      <c r="E2998">
        <v>1</v>
      </c>
      <c r="F2998">
        <v>358.3</v>
      </c>
      <c r="G2998">
        <v>6.3880000000000002E-4</v>
      </c>
      <c r="H2998" t="s">
        <v>2197</v>
      </c>
    </row>
    <row r="2999" spans="1:8">
      <c r="A2999" t="s">
        <v>1653</v>
      </c>
      <c r="B2999" t="s">
        <v>3729</v>
      </c>
      <c r="C2999">
        <v>64</v>
      </c>
      <c r="D2999">
        <v>1</v>
      </c>
      <c r="E2999">
        <v>1</v>
      </c>
      <c r="F2999">
        <v>159.4</v>
      </c>
      <c r="G2999">
        <v>3.1270000000000001E-4</v>
      </c>
      <c r="H2999" t="s">
        <v>2197</v>
      </c>
    </row>
    <row r="3000" spans="1:8">
      <c r="A3000" t="s">
        <v>4756</v>
      </c>
      <c r="B3000" t="s">
        <v>7285</v>
      </c>
      <c r="C3000">
        <v>10</v>
      </c>
      <c r="D3000">
        <v>1</v>
      </c>
      <c r="E3000">
        <v>1</v>
      </c>
      <c r="F3000">
        <v>0</v>
      </c>
      <c r="G3000">
        <v>0</v>
      </c>
      <c r="H3000" t="s">
        <v>2197</v>
      </c>
    </row>
    <row r="3001" spans="1:8">
      <c r="A3001" t="s">
        <v>4757</v>
      </c>
      <c r="B3001" t="s">
        <v>7286</v>
      </c>
      <c r="C3001">
        <v>20</v>
      </c>
      <c r="D3001">
        <v>1</v>
      </c>
      <c r="E3001">
        <v>1</v>
      </c>
      <c r="F3001">
        <v>0</v>
      </c>
      <c r="G3001">
        <v>0</v>
      </c>
      <c r="H3001" t="s">
        <v>2197</v>
      </c>
    </row>
    <row r="3002" spans="1:8">
      <c r="A3002" t="s">
        <v>7291</v>
      </c>
      <c r="B3002" t="s">
        <v>7290</v>
      </c>
      <c r="C3002">
        <v>30</v>
      </c>
      <c r="D3002">
        <v>1</v>
      </c>
      <c r="E3002">
        <v>1</v>
      </c>
      <c r="F3002">
        <v>0</v>
      </c>
      <c r="G3002">
        <v>0</v>
      </c>
      <c r="H3002" t="s">
        <v>2197</v>
      </c>
    </row>
    <row r="3003" spans="1:8">
      <c r="A3003" t="s">
        <v>4758</v>
      </c>
      <c r="B3003" t="s">
        <v>7287</v>
      </c>
      <c r="C3003">
        <v>40</v>
      </c>
      <c r="D3003">
        <v>1</v>
      </c>
      <c r="E3003">
        <v>1</v>
      </c>
      <c r="F3003">
        <v>0</v>
      </c>
      <c r="G3003">
        <v>0</v>
      </c>
      <c r="H3003" t="s">
        <v>2197</v>
      </c>
    </row>
    <row r="3004" spans="1:8">
      <c r="A3004" t="s">
        <v>7289</v>
      </c>
      <c r="B3004" t="s">
        <v>7288</v>
      </c>
      <c r="C3004">
        <v>50</v>
      </c>
      <c r="D3004">
        <v>1</v>
      </c>
      <c r="E3004">
        <v>1</v>
      </c>
      <c r="F3004">
        <v>0</v>
      </c>
      <c r="G3004">
        <v>6.4260000000000001E-4</v>
      </c>
      <c r="H3004" t="s">
        <v>2197</v>
      </c>
    </row>
    <row r="3005" spans="1:8">
      <c r="A3005" t="s">
        <v>9004</v>
      </c>
      <c r="B3005" t="s">
        <v>9003</v>
      </c>
      <c r="C3005">
        <v>1</v>
      </c>
      <c r="D3005">
        <v>1</v>
      </c>
      <c r="E3005">
        <v>1</v>
      </c>
      <c r="F3005">
        <v>1</v>
      </c>
      <c r="G3005">
        <v>0</v>
      </c>
      <c r="H3005" t="s">
        <v>2221</v>
      </c>
    </row>
    <row r="3006" spans="1:8">
      <c r="A3006" t="s">
        <v>9010</v>
      </c>
      <c r="B3006" t="s">
        <v>9009</v>
      </c>
      <c r="C3006">
        <v>1</v>
      </c>
      <c r="D3006">
        <v>1</v>
      </c>
      <c r="E3006">
        <v>1</v>
      </c>
      <c r="F3006">
        <v>1</v>
      </c>
      <c r="G3006">
        <v>0</v>
      </c>
      <c r="H3006" t="s">
        <v>2221</v>
      </c>
    </row>
    <row r="3007" spans="1:8">
      <c r="A3007" t="s">
        <v>9012</v>
      </c>
      <c r="B3007" t="s">
        <v>9011</v>
      </c>
      <c r="C3007">
        <v>1</v>
      </c>
      <c r="D3007">
        <v>1</v>
      </c>
      <c r="E3007">
        <v>1</v>
      </c>
      <c r="F3007">
        <v>1</v>
      </c>
      <c r="G3007">
        <v>0</v>
      </c>
      <c r="H3007" t="s">
        <v>2221</v>
      </c>
    </row>
    <row r="3008" spans="1:8">
      <c r="A3008" t="s">
        <v>9008</v>
      </c>
      <c r="B3008" t="s">
        <v>9007</v>
      </c>
      <c r="C3008">
        <v>1</v>
      </c>
      <c r="D3008">
        <v>1</v>
      </c>
      <c r="E3008">
        <v>1</v>
      </c>
      <c r="F3008">
        <v>1</v>
      </c>
      <c r="G3008">
        <v>0</v>
      </c>
      <c r="H3008" t="s">
        <v>2221</v>
      </c>
    </row>
    <row r="3009" spans="1:8">
      <c r="A3009" t="s">
        <v>1656</v>
      </c>
      <c r="B3009" t="s">
        <v>3730</v>
      </c>
      <c r="C3009">
        <v>1</v>
      </c>
      <c r="D3009">
        <v>1</v>
      </c>
      <c r="E3009">
        <v>1</v>
      </c>
      <c r="F3009">
        <v>1</v>
      </c>
      <c r="G3009">
        <v>0</v>
      </c>
      <c r="H3009" t="s">
        <v>2221</v>
      </c>
    </row>
    <row r="3010" spans="1:8">
      <c r="A3010" t="s">
        <v>9006</v>
      </c>
      <c r="B3010" t="s">
        <v>9005</v>
      </c>
      <c r="C3010">
        <v>1</v>
      </c>
      <c r="D3010">
        <v>1</v>
      </c>
      <c r="E3010">
        <v>1</v>
      </c>
      <c r="F3010">
        <v>1</v>
      </c>
      <c r="G3010">
        <v>0</v>
      </c>
      <c r="H3010" t="s">
        <v>2221</v>
      </c>
    </row>
    <row r="3011" spans="1:8">
      <c r="A3011" t="s">
        <v>7293</v>
      </c>
      <c r="B3011" t="s">
        <v>7292</v>
      </c>
      <c r="C3011">
        <v>100</v>
      </c>
      <c r="D3011">
        <v>1</v>
      </c>
      <c r="E3011">
        <v>1</v>
      </c>
      <c r="F3011">
        <v>1</v>
      </c>
      <c r="G3011">
        <v>0</v>
      </c>
      <c r="H3011" t="s">
        <v>2221</v>
      </c>
    </row>
    <row r="3012" spans="1:8">
      <c r="A3012" t="s">
        <v>7297</v>
      </c>
      <c r="B3012" t="s">
        <v>7296</v>
      </c>
      <c r="C3012">
        <v>100</v>
      </c>
      <c r="D3012">
        <v>1</v>
      </c>
      <c r="E3012">
        <v>1</v>
      </c>
      <c r="F3012">
        <v>1</v>
      </c>
      <c r="G3012">
        <v>0</v>
      </c>
      <c r="H3012" t="s">
        <v>2221</v>
      </c>
    </row>
    <row r="3013" spans="1:8">
      <c r="A3013" t="s">
        <v>1657</v>
      </c>
      <c r="B3013" t="s">
        <v>3732</v>
      </c>
      <c r="C3013">
        <v>1</v>
      </c>
      <c r="D3013">
        <v>1</v>
      </c>
      <c r="E3013">
        <v>1</v>
      </c>
      <c r="F3013">
        <v>1</v>
      </c>
      <c r="G3013">
        <v>0</v>
      </c>
      <c r="H3013" t="s">
        <v>2221</v>
      </c>
    </row>
    <row r="3014" spans="1:8">
      <c r="A3014" t="s">
        <v>1658</v>
      </c>
      <c r="B3014" t="s">
        <v>3734</v>
      </c>
      <c r="C3014">
        <v>1</v>
      </c>
      <c r="D3014">
        <v>1</v>
      </c>
      <c r="E3014">
        <v>1</v>
      </c>
      <c r="F3014">
        <v>1</v>
      </c>
      <c r="G3014">
        <v>0</v>
      </c>
      <c r="H3014" t="s">
        <v>2221</v>
      </c>
    </row>
    <row r="3015" spans="1:8">
      <c r="A3015" t="s">
        <v>7295</v>
      </c>
      <c r="B3015" t="s">
        <v>7294</v>
      </c>
      <c r="C3015">
        <v>150</v>
      </c>
      <c r="D3015">
        <v>1</v>
      </c>
      <c r="E3015">
        <v>1</v>
      </c>
      <c r="F3015">
        <v>1</v>
      </c>
      <c r="G3015">
        <v>0</v>
      </c>
      <c r="H3015" t="s">
        <v>2221</v>
      </c>
    </row>
    <row r="3016" spans="1:8">
      <c r="A3016" t="s">
        <v>1659</v>
      </c>
      <c r="B3016" t="s">
        <v>3735</v>
      </c>
      <c r="C3016">
        <v>1</v>
      </c>
      <c r="D3016">
        <v>1</v>
      </c>
      <c r="E3016">
        <v>1</v>
      </c>
      <c r="F3016">
        <v>1</v>
      </c>
      <c r="G3016">
        <v>0</v>
      </c>
      <c r="H3016" t="s">
        <v>2221</v>
      </c>
    </row>
    <row r="3017" spans="1:8">
      <c r="A3017" t="s">
        <v>1660</v>
      </c>
      <c r="B3017" t="s">
        <v>3736</v>
      </c>
      <c r="C3017">
        <v>1</v>
      </c>
      <c r="D3017">
        <v>1</v>
      </c>
      <c r="E3017">
        <v>1</v>
      </c>
      <c r="F3017">
        <v>1</v>
      </c>
      <c r="G3017">
        <v>0</v>
      </c>
      <c r="H3017" t="s">
        <v>2221</v>
      </c>
    </row>
    <row r="3018" spans="1:8">
      <c r="A3018" t="s">
        <v>1661</v>
      </c>
      <c r="B3018" t="s">
        <v>3737</v>
      </c>
      <c r="C3018">
        <v>1</v>
      </c>
      <c r="D3018">
        <v>1</v>
      </c>
      <c r="E3018">
        <v>1</v>
      </c>
      <c r="F3018">
        <v>1</v>
      </c>
      <c r="G3018">
        <v>0</v>
      </c>
      <c r="H3018" t="s">
        <v>2221</v>
      </c>
    </row>
    <row r="3019" spans="1:8">
      <c r="A3019" t="s">
        <v>1662</v>
      </c>
      <c r="B3019" t="s">
        <v>3738</v>
      </c>
      <c r="C3019">
        <v>1</v>
      </c>
      <c r="D3019">
        <v>1</v>
      </c>
      <c r="E3019">
        <v>1</v>
      </c>
      <c r="F3019">
        <v>1</v>
      </c>
      <c r="G3019">
        <v>0</v>
      </c>
      <c r="H3019" t="s">
        <v>2221</v>
      </c>
    </row>
    <row r="3020" spans="1:8">
      <c r="A3020" t="s">
        <v>1663</v>
      </c>
      <c r="B3020" t="s">
        <v>3739</v>
      </c>
      <c r="C3020">
        <v>1</v>
      </c>
      <c r="D3020">
        <v>1</v>
      </c>
      <c r="E3020">
        <v>1</v>
      </c>
      <c r="F3020">
        <v>1</v>
      </c>
      <c r="G3020">
        <v>0</v>
      </c>
      <c r="H3020" t="s">
        <v>2221</v>
      </c>
    </row>
    <row r="3021" spans="1:8">
      <c r="A3021" t="s">
        <v>5005</v>
      </c>
      <c r="B3021" t="s">
        <v>7299</v>
      </c>
      <c r="C3021">
        <v>100</v>
      </c>
      <c r="D3021">
        <v>1</v>
      </c>
      <c r="E3021">
        <v>1</v>
      </c>
      <c r="F3021">
        <v>127</v>
      </c>
      <c r="G3021">
        <v>4.704E-4</v>
      </c>
      <c r="H3021" t="s">
        <v>2221</v>
      </c>
    </row>
    <row r="3022" spans="1:8">
      <c r="A3022" t="s">
        <v>5006</v>
      </c>
      <c r="B3022" t="s">
        <v>7300</v>
      </c>
      <c r="C3022">
        <v>100</v>
      </c>
      <c r="D3022">
        <v>1</v>
      </c>
      <c r="E3022">
        <v>1</v>
      </c>
      <c r="F3022">
        <v>127</v>
      </c>
      <c r="G3022">
        <v>4.704E-4</v>
      </c>
      <c r="H3022" t="s">
        <v>2221</v>
      </c>
    </row>
    <row r="3023" spans="1:8">
      <c r="A3023" t="s">
        <v>1664</v>
      </c>
      <c r="B3023" t="s">
        <v>3740</v>
      </c>
      <c r="C3023">
        <v>100</v>
      </c>
      <c r="D3023">
        <v>1</v>
      </c>
      <c r="E3023">
        <v>1</v>
      </c>
      <c r="F3023">
        <v>127</v>
      </c>
      <c r="G3023">
        <v>4.704E-4</v>
      </c>
      <c r="H3023" t="s">
        <v>2221</v>
      </c>
    </row>
    <row r="3024" spans="1:8">
      <c r="A3024" t="s">
        <v>1665</v>
      </c>
      <c r="B3024" t="s">
        <v>3741</v>
      </c>
      <c r="C3024">
        <v>100</v>
      </c>
      <c r="D3024">
        <v>1</v>
      </c>
      <c r="E3024">
        <v>1</v>
      </c>
      <c r="F3024">
        <v>127</v>
      </c>
      <c r="G3024">
        <v>4.704E-4</v>
      </c>
      <c r="H3024" t="s">
        <v>2221</v>
      </c>
    </row>
    <row r="3025" spans="1:8">
      <c r="A3025" t="s">
        <v>1666</v>
      </c>
      <c r="B3025" t="s">
        <v>3742</v>
      </c>
      <c r="C3025">
        <v>100</v>
      </c>
      <c r="D3025">
        <v>1</v>
      </c>
      <c r="E3025">
        <v>1</v>
      </c>
      <c r="F3025">
        <v>127</v>
      </c>
      <c r="G3025">
        <v>4.704E-4</v>
      </c>
      <c r="H3025" t="s">
        <v>2221</v>
      </c>
    </row>
    <row r="3026" spans="1:8">
      <c r="A3026" t="s">
        <v>5007</v>
      </c>
      <c r="B3026" t="s">
        <v>7298</v>
      </c>
      <c r="C3026">
        <v>100</v>
      </c>
      <c r="D3026">
        <v>1</v>
      </c>
      <c r="E3026">
        <v>1</v>
      </c>
      <c r="F3026">
        <v>127</v>
      </c>
      <c r="G3026">
        <v>4.704E-4</v>
      </c>
      <c r="H3026" t="s">
        <v>2221</v>
      </c>
    </row>
    <row r="3027" spans="1:8">
      <c r="A3027" t="s">
        <v>1667</v>
      </c>
      <c r="B3027" t="s">
        <v>3744</v>
      </c>
      <c r="C3027">
        <v>100</v>
      </c>
      <c r="D3027">
        <v>1</v>
      </c>
      <c r="E3027">
        <v>1</v>
      </c>
      <c r="F3027">
        <v>1</v>
      </c>
      <c r="G3027">
        <v>0</v>
      </c>
      <c r="H3027" t="s">
        <v>2221</v>
      </c>
    </row>
    <row r="3028" spans="1:8">
      <c r="A3028" t="s">
        <v>4759</v>
      </c>
      <c r="B3028" t="s">
        <v>7301</v>
      </c>
      <c r="C3028">
        <v>20</v>
      </c>
      <c r="D3028">
        <v>1</v>
      </c>
      <c r="E3028">
        <v>1</v>
      </c>
      <c r="F3028">
        <v>0</v>
      </c>
      <c r="G3028">
        <v>0</v>
      </c>
      <c r="H3028" t="s">
        <v>2197</v>
      </c>
    </row>
    <row r="3029" spans="1:8">
      <c r="A3029" t="s">
        <v>1668</v>
      </c>
      <c r="B3029" t="s">
        <v>3745</v>
      </c>
      <c r="C3029">
        <v>24</v>
      </c>
      <c r="D3029">
        <v>1</v>
      </c>
      <c r="E3029">
        <v>1</v>
      </c>
      <c r="F3029">
        <v>545.79999999999995</v>
      </c>
      <c r="G3029">
        <v>1.1812999999999999E-3</v>
      </c>
      <c r="H3029" t="s">
        <v>2197</v>
      </c>
    </row>
    <row r="3030" spans="1:8">
      <c r="A3030" t="s">
        <v>1669</v>
      </c>
      <c r="B3030" t="s">
        <v>3747</v>
      </c>
      <c r="C3030">
        <v>20</v>
      </c>
      <c r="D3030">
        <v>1</v>
      </c>
      <c r="E3030">
        <v>1</v>
      </c>
      <c r="F3030">
        <v>1115</v>
      </c>
      <c r="G3030">
        <v>1.98E-3</v>
      </c>
      <c r="H3030" t="s">
        <v>2197</v>
      </c>
    </row>
    <row r="3031" spans="1:8">
      <c r="A3031" t="s">
        <v>1670</v>
      </c>
      <c r="B3031" t="s">
        <v>3749</v>
      </c>
      <c r="C3031">
        <v>1</v>
      </c>
      <c r="D3031">
        <v>1</v>
      </c>
      <c r="E3031">
        <v>1</v>
      </c>
      <c r="F3031">
        <v>0</v>
      </c>
      <c r="G3031">
        <v>0</v>
      </c>
      <c r="H3031" t="s">
        <v>2221</v>
      </c>
    </row>
    <row r="3032" spans="1:8">
      <c r="A3032" t="s">
        <v>1671</v>
      </c>
      <c r="B3032" t="s">
        <v>3750</v>
      </c>
      <c r="C3032">
        <v>20</v>
      </c>
      <c r="D3032">
        <v>1</v>
      </c>
      <c r="E3032">
        <v>1</v>
      </c>
      <c r="F3032">
        <v>1095</v>
      </c>
      <c r="G3032">
        <v>1.98E-3</v>
      </c>
      <c r="H3032" t="s">
        <v>2197</v>
      </c>
    </row>
    <row r="3033" spans="1:8">
      <c r="A3033" t="s">
        <v>4760</v>
      </c>
      <c r="B3033" t="s">
        <v>7302</v>
      </c>
      <c r="C3033">
        <v>24</v>
      </c>
      <c r="D3033">
        <v>1</v>
      </c>
      <c r="E3033">
        <v>1</v>
      </c>
      <c r="F3033">
        <v>342.5</v>
      </c>
      <c r="G3033">
        <v>7.59114583333333E-4</v>
      </c>
      <c r="H3033" t="s">
        <v>2197</v>
      </c>
    </row>
    <row r="3034" spans="1:8">
      <c r="A3034" t="s">
        <v>4761</v>
      </c>
      <c r="B3034" t="s">
        <v>7303</v>
      </c>
      <c r="C3034">
        <v>40</v>
      </c>
      <c r="D3034">
        <v>1</v>
      </c>
      <c r="E3034">
        <v>1</v>
      </c>
      <c r="F3034">
        <v>154.5</v>
      </c>
      <c r="G3034">
        <v>3.6259999999999998E-4</v>
      </c>
      <c r="H3034" t="s">
        <v>2197</v>
      </c>
    </row>
    <row r="3035" spans="1:8">
      <c r="A3035" t="s">
        <v>1672</v>
      </c>
      <c r="B3035" t="s">
        <v>3752</v>
      </c>
      <c r="C3035">
        <v>100</v>
      </c>
      <c r="D3035">
        <v>1</v>
      </c>
      <c r="E3035">
        <v>1</v>
      </c>
      <c r="F3035">
        <v>144.19999999999999</v>
      </c>
      <c r="G3035">
        <v>2.7732249999999999E-4</v>
      </c>
      <c r="H3035" t="s">
        <v>2197</v>
      </c>
    </row>
    <row r="3036" spans="1:8">
      <c r="A3036" t="s">
        <v>1674</v>
      </c>
      <c r="B3036" t="s">
        <v>3754</v>
      </c>
      <c r="C3036">
        <v>20</v>
      </c>
      <c r="D3036">
        <v>1</v>
      </c>
      <c r="E3036">
        <v>1</v>
      </c>
      <c r="F3036">
        <v>649</v>
      </c>
      <c r="G3036">
        <v>1.09837E-3</v>
      </c>
      <c r="H3036" t="s">
        <v>2197</v>
      </c>
    </row>
    <row r="3037" spans="1:8">
      <c r="A3037" t="s">
        <v>4762</v>
      </c>
      <c r="B3037" t="s">
        <v>7304</v>
      </c>
      <c r="C3037">
        <v>12</v>
      </c>
      <c r="D3037">
        <v>1</v>
      </c>
      <c r="E3037">
        <v>1</v>
      </c>
      <c r="F3037">
        <v>351.66666666666703</v>
      </c>
      <c r="G3037">
        <v>1.1900000000000001E-3</v>
      </c>
      <c r="H3037" t="s">
        <v>2197</v>
      </c>
    </row>
    <row r="3038" spans="1:8">
      <c r="A3038" t="s">
        <v>4763</v>
      </c>
      <c r="B3038" t="s">
        <v>7305</v>
      </c>
      <c r="C3038">
        <v>40</v>
      </c>
      <c r="D3038">
        <v>1</v>
      </c>
      <c r="E3038">
        <v>1</v>
      </c>
      <c r="F3038">
        <v>93.8</v>
      </c>
      <c r="G3038">
        <v>2.7060000000000002E-4</v>
      </c>
      <c r="H3038" t="s">
        <v>2197</v>
      </c>
    </row>
    <row r="3039" spans="1:8">
      <c r="A3039" t="s">
        <v>7342</v>
      </c>
      <c r="B3039" t="s">
        <v>7341</v>
      </c>
      <c r="C3039">
        <v>10</v>
      </c>
      <c r="D3039">
        <v>1</v>
      </c>
      <c r="E3039">
        <v>1</v>
      </c>
      <c r="F3039">
        <v>1</v>
      </c>
      <c r="G3039">
        <v>0</v>
      </c>
      <c r="H3039" t="s">
        <v>2203</v>
      </c>
    </row>
    <row r="3040" spans="1:8">
      <c r="A3040" t="s">
        <v>4766</v>
      </c>
      <c r="B3040" t="s">
        <v>7322</v>
      </c>
      <c r="C3040">
        <v>10</v>
      </c>
      <c r="D3040">
        <v>20</v>
      </c>
      <c r="E3040">
        <v>1</v>
      </c>
      <c r="F3040">
        <v>5</v>
      </c>
      <c r="G3040">
        <v>0</v>
      </c>
      <c r="H3040" t="s">
        <v>2203</v>
      </c>
    </row>
    <row r="3041" spans="1:8">
      <c r="A3041" t="s">
        <v>9726</v>
      </c>
      <c r="B3041" t="s">
        <v>7326</v>
      </c>
      <c r="C3041">
        <v>10</v>
      </c>
      <c r="D3041">
        <v>1</v>
      </c>
      <c r="E3041">
        <v>1</v>
      </c>
      <c r="F3041">
        <v>1140</v>
      </c>
      <c r="G3041">
        <v>2.4191999999999998E-3</v>
      </c>
      <c r="H3041" t="s">
        <v>2197</v>
      </c>
    </row>
    <row r="3042" spans="1:8">
      <c r="A3042" t="s">
        <v>9727</v>
      </c>
      <c r="B3042" t="s">
        <v>7325</v>
      </c>
      <c r="C3042">
        <v>20</v>
      </c>
      <c r="D3042">
        <v>1</v>
      </c>
      <c r="E3042">
        <v>1</v>
      </c>
      <c r="F3042">
        <v>590</v>
      </c>
      <c r="G3042">
        <v>1.1823999999999999E-3</v>
      </c>
      <c r="H3042" t="s">
        <v>2197</v>
      </c>
    </row>
    <row r="3043" spans="1:8">
      <c r="A3043" t="s">
        <v>9728</v>
      </c>
      <c r="B3043" t="s">
        <v>7324</v>
      </c>
      <c r="C3043">
        <v>40</v>
      </c>
      <c r="D3043">
        <v>1</v>
      </c>
      <c r="E3043">
        <v>1</v>
      </c>
      <c r="F3043">
        <v>303.8</v>
      </c>
      <c r="G3043">
        <v>6.6940000000000001E-4</v>
      </c>
      <c r="H3043" t="s">
        <v>2197</v>
      </c>
    </row>
    <row r="3044" spans="1:8">
      <c r="A3044" t="s">
        <v>9729</v>
      </c>
      <c r="B3044" t="s">
        <v>7323</v>
      </c>
      <c r="C3044">
        <v>50</v>
      </c>
      <c r="D3044">
        <v>1</v>
      </c>
      <c r="E3044">
        <v>1</v>
      </c>
      <c r="F3044">
        <v>122</v>
      </c>
      <c r="G3044">
        <v>2.7849999999999999E-4</v>
      </c>
      <c r="H3044" t="s">
        <v>2197</v>
      </c>
    </row>
    <row r="3045" spans="1:8">
      <c r="A3045" t="s">
        <v>1676</v>
      </c>
      <c r="B3045" t="s">
        <v>3755</v>
      </c>
      <c r="C3045">
        <v>20</v>
      </c>
      <c r="D3045">
        <v>1</v>
      </c>
      <c r="E3045">
        <v>1</v>
      </c>
      <c r="F3045">
        <v>320</v>
      </c>
      <c r="G3045">
        <v>6.9019999999999997E-4</v>
      </c>
      <c r="H3045" t="s">
        <v>2197</v>
      </c>
    </row>
    <row r="3046" spans="1:8">
      <c r="A3046" t="s">
        <v>7346</v>
      </c>
      <c r="B3046" t="s">
        <v>7345</v>
      </c>
      <c r="C3046">
        <v>20</v>
      </c>
      <c r="D3046">
        <v>1</v>
      </c>
      <c r="E3046">
        <v>1</v>
      </c>
      <c r="F3046">
        <v>320</v>
      </c>
      <c r="G3046">
        <v>6.9019999999999997E-4</v>
      </c>
      <c r="H3046" t="s">
        <v>2197</v>
      </c>
    </row>
    <row r="3047" spans="1:8">
      <c r="A3047" t="s">
        <v>1677</v>
      </c>
      <c r="B3047" t="s">
        <v>3756</v>
      </c>
      <c r="C3047">
        <v>50</v>
      </c>
      <c r="D3047">
        <v>1</v>
      </c>
      <c r="E3047">
        <v>1</v>
      </c>
      <c r="F3047">
        <v>138</v>
      </c>
      <c r="G3047">
        <v>2.8390000000000002E-4</v>
      </c>
      <c r="H3047" t="s">
        <v>2197</v>
      </c>
    </row>
    <row r="3048" spans="1:8">
      <c r="A3048" t="s">
        <v>7344</v>
      </c>
      <c r="B3048" t="s">
        <v>7343</v>
      </c>
      <c r="C3048">
        <v>1</v>
      </c>
      <c r="D3048">
        <v>50</v>
      </c>
      <c r="E3048">
        <v>1</v>
      </c>
      <c r="F3048">
        <v>138</v>
      </c>
      <c r="G3048">
        <v>2.8390000000000002E-4</v>
      </c>
      <c r="H3048" t="s">
        <v>2197</v>
      </c>
    </row>
    <row r="3049" spans="1:8">
      <c r="A3049" t="s">
        <v>7309</v>
      </c>
      <c r="B3049" t="s">
        <v>7308</v>
      </c>
      <c r="C3049">
        <v>10</v>
      </c>
      <c r="D3049">
        <v>1</v>
      </c>
      <c r="E3049">
        <v>1</v>
      </c>
      <c r="F3049">
        <v>0</v>
      </c>
      <c r="G3049">
        <v>0</v>
      </c>
      <c r="H3049" t="s">
        <v>2203</v>
      </c>
    </row>
    <row r="3050" spans="1:8">
      <c r="A3050" t="s">
        <v>4764</v>
      </c>
      <c r="B3050" t="s">
        <v>7306</v>
      </c>
      <c r="C3050">
        <v>10</v>
      </c>
      <c r="D3050">
        <v>1</v>
      </c>
      <c r="E3050">
        <v>1</v>
      </c>
      <c r="F3050">
        <v>0</v>
      </c>
      <c r="G3050">
        <v>0</v>
      </c>
      <c r="H3050" t="s">
        <v>2203</v>
      </c>
    </row>
    <row r="3051" spans="1:8">
      <c r="A3051" t="s">
        <v>7311</v>
      </c>
      <c r="B3051" t="s">
        <v>7310</v>
      </c>
      <c r="C3051">
        <v>20</v>
      </c>
      <c r="D3051">
        <v>1</v>
      </c>
      <c r="E3051">
        <v>1</v>
      </c>
      <c r="F3051">
        <v>1000</v>
      </c>
      <c r="G3051">
        <v>0</v>
      </c>
      <c r="H3051" t="s">
        <v>2203</v>
      </c>
    </row>
    <row r="3052" spans="1:8">
      <c r="A3052" t="s">
        <v>7321</v>
      </c>
      <c r="B3052" t="s">
        <v>7320</v>
      </c>
      <c r="C3052">
        <v>20</v>
      </c>
      <c r="D3052">
        <v>1</v>
      </c>
      <c r="E3052">
        <v>1</v>
      </c>
      <c r="F3052">
        <v>1000</v>
      </c>
      <c r="G3052">
        <v>0</v>
      </c>
      <c r="H3052" t="s">
        <v>2197</v>
      </c>
    </row>
    <row r="3053" spans="1:8">
      <c r="A3053" t="s">
        <v>7319</v>
      </c>
      <c r="B3053" t="s">
        <v>7318</v>
      </c>
      <c r="C3053">
        <v>20</v>
      </c>
      <c r="D3053">
        <v>1</v>
      </c>
      <c r="E3053">
        <v>1</v>
      </c>
      <c r="F3053">
        <v>400</v>
      </c>
      <c r="G3053">
        <v>0</v>
      </c>
      <c r="H3053" t="s">
        <v>2197</v>
      </c>
    </row>
    <row r="3054" spans="1:8">
      <c r="A3054" t="s">
        <v>7340</v>
      </c>
      <c r="B3054" t="s">
        <v>7339</v>
      </c>
      <c r="C3054">
        <v>1</v>
      </c>
      <c r="D3054">
        <v>1</v>
      </c>
      <c r="E3054">
        <v>1</v>
      </c>
      <c r="F3054">
        <v>1</v>
      </c>
      <c r="G3054">
        <v>0</v>
      </c>
      <c r="H3054" t="s">
        <v>2303</v>
      </c>
    </row>
    <row r="3055" spans="1:8">
      <c r="A3055" t="s">
        <v>7336</v>
      </c>
      <c r="B3055" t="s">
        <v>7335</v>
      </c>
      <c r="C3055">
        <v>20</v>
      </c>
      <c r="D3055">
        <v>1</v>
      </c>
      <c r="E3055">
        <v>1</v>
      </c>
      <c r="F3055">
        <v>1</v>
      </c>
      <c r="G3055">
        <v>0</v>
      </c>
      <c r="H3055" t="s">
        <v>2197</v>
      </c>
    </row>
    <row r="3056" spans="1:8">
      <c r="A3056" t="s">
        <v>7338</v>
      </c>
      <c r="B3056" t="s">
        <v>7337</v>
      </c>
      <c r="C3056">
        <v>4</v>
      </c>
      <c r="D3056">
        <v>1</v>
      </c>
      <c r="E3056">
        <v>1</v>
      </c>
      <c r="F3056">
        <v>1</v>
      </c>
      <c r="G3056">
        <v>0</v>
      </c>
      <c r="H3056" t="s">
        <v>2307</v>
      </c>
    </row>
    <row r="3057" spans="1:8">
      <c r="A3057" t="s">
        <v>7317</v>
      </c>
      <c r="B3057" t="s">
        <v>7316</v>
      </c>
      <c r="C3057">
        <v>1</v>
      </c>
      <c r="D3057">
        <v>1</v>
      </c>
      <c r="E3057">
        <v>1</v>
      </c>
      <c r="F3057">
        <v>20000</v>
      </c>
      <c r="G3057">
        <v>0</v>
      </c>
      <c r="H3057" t="s">
        <v>2303</v>
      </c>
    </row>
    <row r="3058" spans="1:8">
      <c r="A3058" t="s">
        <v>7313</v>
      </c>
      <c r="B3058" t="s">
        <v>7312</v>
      </c>
      <c r="C3058">
        <v>20</v>
      </c>
      <c r="D3058">
        <v>1</v>
      </c>
      <c r="E3058">
        <v>1</v>
      </c>
      <c r="F3058">
        <v>1000</v>
      </c>
      <c r="G3058">
        <v>0</v>
      </c>
      <c r="H3058" t="s">
        <v>2197</v>
      </c>
    </row>
    <row r="3059" spans="1:8">
      <c r="A3059" t="s">
        <v>7315</v>
      </c>
      <c r="B3059" t="s">
        <v>7314</v>
      </c>
      <c r="C3059">
        <v>4</v>
      </c>
      <c r="D3059">
        <v>1</v>
      </c>
      <c r="E3059">
        <v>1</v>
      </c>
      <c r="F3059">
        <v>5000</v>
      </c>
      <c r="G3059">
        <v>0</v>
      </c>
      <c r="H3059" t="s">
        <v>2307</v>
      </c>
    </row>
    <row r="3060" spans="1:8">
      <c r="A3060" t="s">
        <v>7334</v>
      </c>
      <c r="B3060" t="s">
        <v>7333</v>
      </c>
      <c r="C3060">
        <v>1</v>
      </c>
      <c r="D3060">
        <v>1</v>
      </c>
      <c r="E3060">
        <v>1</v>
      </c>
      <c r="F3060">
        <v>1</v>
      </c>
      <c r="G3060">
        <v>0</v>
      </c>
      <c r="H3060" t="s">
        <v>2303</v>
      </c>
    </row>
    <row r="3061" spans="1:8">
      <c r="A3061" t="s">
        <v>7330</v>
      </c>
      <c r="B3061" t="s">
        <v>7329</v>
      </c>
      <c r="C3061">
        <v>20</v>
      </c>
      <c r="D3061">
        <v>1</v>
      </c>
      <c r="E3061">
        <v>1</v>
      </c>
      <c r="F3061">
        <v>1305</v>
      </c>
      <c r="G3061">
        <v>2.3888E-3</v>
      </c>
      <c r="H3061" t="s">
        <v>2197</v>
      </c>
    </row>
    <row r="3062" spans="1:8">
      <c r="A3062" t="s">
        <v>7328</v>
      </c>
      <c r="B3062" t="s">
        <v>7327</v>
      </c>
      <c r="C3062">
        <v>20</v>
      </c>
      <c r="D3062">
        <v>1</v>
      </c>
      <c r="E3062">
        <v>1</v>
      </c>
      <c r="F3062">
        <v>667.5</v>
      </c>
      <c r="G3062">
        <v>1.2128E-3</v>
      </c>
      <c r="H3062" t="s">
        <v>2197</v>
      </c>
    </row>
    <row r="3063" spans="1:8">
      <c r="A3063" t="s">
        <v>7332</v>
      </c>
      <c r="B3063" t="s">
        <v>7331</v>
      </c>
      <c r="C3063">
        <v>4</v>
      </c>
      <c r="D3063">
        <v>1</v>
      </c>
      <c r="E3063">
        <v>1</v>
      </c>
      <c r="F3063">
        <v>6412.5</v>
      </c>
      <c r="G3063">
        <v>8.7831000000000003E-3</v>
      </c>
      <c r="H3063" t="s">
        <v>2307</v>
      </c>
    </row>
    <row r="3064" spans="1:8">
      <c r="A3064" t="s">
        <v>4765</v>
      </c>
      <c r="B3064" t="s">
        <v>7307</v>
      </c>
      <c r="C3064">
        <v>20</v>
      </c>
      <c r="D3064">
        <v>20</v>
      </c>
      <c r="E3064">
        <v>1</v>
      </c>
      <c r="F3064">
        <v>37.6</v>
      </c>
      <c r="G3064">
        <v>1.147125E-4</v>
      </c>
      <c r="H3064" t="s">
        <v>2203</v>
      </c>
    </row>
    <row r="3065" spans="1:8">
      <c r="A3065" t="s">
        <v>4767</v>
      </c>
      <c r="B3065" t="s">
        <v>7347</v>
      </c>
      <c r="C3065">
        <v>100</v>
      </c>
      <c r="D3065">
        <v>1</v>
      </c>
      <c r="E3065">
        <v>1</v>
      </c>
      <c r="F3065">
        <v>0</v>
      </c>
      <c r="G3065">
        <v>0</v>
      </c>
      <c r="H3065" t="s">
        <v>2197</v>
      </c>
    </row>
    <row r="3066" spans="1:8">
      <c r="A3066" t="s">
        <v>1678</v>
      </c>
      <c r="B3066" t="s">
        <v>3757</v>
      </c>
      <c r="C3066">
        <v>4</v>
      </c>
      <c r="D3066">
        <v>20</v>
      </c>
      <c r="E3066">
        <v>1</v>
      </c>
      <c r="F3066">
        <v>38.5</v>
      </c>
      <c r="G3066">
        <v>1.74515625E-4</v>
      </c>
      <c r="H3066" t="s">
        <v>2203</v>
      </c>
    </row>
    <row r="3067" spans="1:8">
      <c r="A3067" t="s">
        <v>1681</v>
      </c>
      <c r="B3067" t="s">
        <v>3759</v>
      </c>
      <c r="C3067">
        <v>20</v>
      </c>
      <c r="D3067">
        <v>1</v>
      </c>
      <c r="E3067">
        <v>1</v>
      </c>
      <c r="F3067">
        <v>937.5</v>
      </c>
      <c r="G3067">
        <v>1.3416000000000001E-3</v>
      </c>
      <c r="H3067" t="s">
        <v>2197</v>
      </c>
    </row>
    <row r="3068" spans="1:8">
      <c r="A3068" t="s">
        <v>9730</v>
      </c>
      <c r="B3068" t="s">
        <v>7348</v>
      </c>
      <c r="C3068">
        <v>25</v>
      </c>
      <c r="D3068">
        <v>1</v>
      </c>
      <c r="E3068">
        <v>1</v>
      </c>
      <c r="F3068">
        <v>1</v>
      </c>
      <c r="G3068">
        <v>0</v>
      </c>
      <c r="H3068" t="s">
        <v>2197</v>
      </c>
    </row>
    <row r="3069" spans="1:8">
      <c r="A3069" t="s">
        <v>1682</v>
      </c>
      <c r="B3069" t="s">
        <v>3761</v>
      </c>
      <c r="C3069">
        <v>40</v>
      </c>
      <c r="D3069">
        <v>1</v>
      </c>
      <c r="E3069">
        <v>1</v>
      </c>
      <c r="F3069">
        <v>552.5</v>
      </c>
      <c r="G3069">
        <v>9.0720000000000004E-4</v>
      </c>
      <c r="H3069" t="s">
        <v>2197</v>
      </c>
    </row>
    <row r="3070" spans="1:8">
      <c r="A3070" t="s">
        <v>1683</v>
      </c>
      <c r="B3070" t="s">
        <v>3762</v>
      </c>
      <c r="C3070">
        <v>50</v>
      </c>
      <c r="D3070">
        <v>1</v>
      </c>
      <c r="E3070">
        <v>1</v>
      </c>
      <c r="F3070">
        <v>229</v>
      </c>
      <c r="G3070">
        <v>3.2449999999999997E-4</v>
      </c>
      <c r="H3070" t="s">
        <v>2197</v>
      </c>
    </row>
    <row r="3071" spans="1:8">
      <c r="A3071" t="s">
        <v>4768</v>
      </c>
      <c r="B3071" t="s">
        <v>7349</v>
      </c>
      <c r="C3071">
        <v>4</v>
      </c>
      <c r="D3071">
        <v>50</v>
      </c>
      <c r="E3071">
        <v>1</v>
      </c>
      <c r="F3071">
        <v>0</v>
      </c>
      <c r="G3071">
        <v>0</v>
      </c>
      <c r="H3071" t="s">
        <v>2203</v>
      </c>
    </row>
    <row r="3072" spans="1:8">
      <c r="A3072" t="s">
        <v>4769</v>
      </c>
      <c r="B3072" t="s">
        <v>7350</v>
      </c>
      <c r="C3072">
        <v>50</v>
      </c>
      <c r="D3072">
        <v>1</v>
      </c>
      <c r="E3072">
        <v>1</v>
      </c>
      <c r="F3072">
        <v>0</v>
      </c>
      <c r="G3072">
        <v>0</v>
      </c>
      <c r="H3072" t="s">
        <v>2197</v>
      </c>
    </row>
    <row r="3073" spans="1:8">
      <c r="A3073" t="s">
        <v>7352</v>
      </c>
      <c r="B3073" t="s">
        <v>7351</v>
      </c>
      <c r="C3073">
        <v>50</v>
      </c>
      <c r="D3073">
        <v>1</v>
      </c>
      <c r="E3073">
        <v>1</v>
      </c>
      <c r="F3073">
        <v>0</v>
      </c>
      <c r="G3073">
        <v>0</v>
      </c>
      <c r="H3073" t="s">
        <v>2197</v>
      </c>
    </row>
    <row r="3074" spans="1:8">
      <c r="A3074" t="s">
        <v>7367</v>
      </c>
      <c r="B3074" t="s">
        <v>7366</v>
      </c>
      <c r="C3074">
        <v>50</v>
      </c>
      <c r="D3074">
        <v>1</v>
      </c>
      <c r="E3074">
        <v>1</v>
      </c>
      <c r="F3074">
        <v>0</v>
      </c>
      <c r="G3074">
        <v>0</v>
      </c>
      <c r="H3074" t="s">
        <v>2197</v>
      </c>
    </row>
    <row r="3075" spans="1:8">
      <c r="A3075" t="s">
        <v>9014</v>
      </c>
      <c r="B3075" t="s">
        <v>9013</v>
      </c>
      <c r="C3075">
        <v>1</v>
      </c>
      <c r="D3075">
        <v>1</v>
      </c>
      <c r="E3075">
        <v>1</v>
      </c>
      <c r="F3075">
        <v>1</v>
      </c>
      <c r="G3075">
        <v>0</v>
      </c>
      <c r="H3075" t="s">
        <v>2221</v>
      </c>
    </row>
    <row r="3076" spans="1:8">
      <c r="A3076" t="s">
        <v>1684</v>
      </c>
      <c r="B3076" t="s">
        <v>3763</v>
      </c>
      <c r="C3076">
        <v>20</v>
      </c>
      <c r="D3076">
        <v>1</v>
      </c>
      <c r="E3076">
        <v>1</v>
      </c>
      <c r="F3076">
        <v>655</v>
      </c>
      <c r="G3076">
        <v>1.2569E-3</v>
      </c>
      <c r="H3076" t="s">
        <v>2197</v>
      </c>
    </row>
    <row r="3077" spans="1:8">
      <c r="A3077" t="s">
        <v>1685</v>
      </c>
      <c r="B3077" t="s">
        <v>7365</v>
      </c>
      <c r="C3077">
        <v>50</v>
      </c>
      <c r="D3077">
        <v>1</v>
      </c>
      <c r="E3077">
        <v>1</v>
      </c>
      <c r="F3077">
        <v>293</v>
      </c>
      <c r="G3077">
        <v>7.1860000000000001E-4</v>
      </c>
      <c r="H3077" t="s">
        <v>2197</v>
      </c>
    </row>
    <row r="3078" spans="1:8">
      <c r="A3078" t="s">
        <v>7360</v>
      </c>
      <c r="B3078" t="s">
        <v>7359</v>
      </c>
      <c r="C3078">
        <v>1</v>
      </c>
      <c r="D3078">
        <v>1</v>
      </c>
      <c r="E3078">
        <v>1</v>
      </c>
      <c r="F3078">
        <v>0</v>
      </c>
      <c r="G3078">
        <v>0</v>
      </c>
      <c r="H3078" t="s">
        <v>2303</v>
      </c>
    </row>
    <row r="3079" spans="1:8">
      <c r="A3079" t="s">
        <v>7358</v>
      </c>
      <c r="B3079" t="s">
        <v>7357</v>
      </c>
      <c r="C3079">
        <v>20</v>
      </c>
      <c r="D3079">
        <v>1</v>
      </c>
      <c r="E3079">
        <v>1</v>
      </c>
      <c r="F3079">
        <v>0</v>
      </c>
      <c r="G3079">
        <v>0</v>
      </c>
      <c r="H3079" t="s">
        <v>2197</v>
      </c>
    </row>
    <row r="3080" spans="1:8">
      <c r="A3080" t="s">
        <v>7375</v>
      </c>
      <c r="B3080" t="s">
        <v>7374</v>
      </c>
      <c r="C3080">
        <v>20</v>
      </c>
      <c r="D3080">
        <v>1</v>
      </c>
      <c r="E3080">
        <v>1</v>
      </c>
      <c r="F3080">
        <v>1000</v>
      </c>
      <c r="G3080">
        <v>0</v>
      </c>
      <c r="H3080" t="s">
        <v>2197</v>
      </c>
    </row>
    <row r="3081" spans="1:8">
      <c r="A3081" t="s">
        <v>7364</v>
      </c>
      <c r="B3081" t="s">
        <v>7363</v>
      </c>
      <c r="C3081">
        <v>4</v>
      </c>
      <c r="D3081">
        <v>1</v>
      </c>
      <c r="E3081">
        <v>1</v>
      </c>
      <c r="F3081">
        <v>0</v>
      </c>
      <c r="G3081">
        <v>0</v>
      </c>
      <c r="H3081" t="s">
        <v>2307</v>
      </c>
    </row>
    <row r="3082" spans="1:8">
      <c r="A3082" t="s">
        <v>7373</v>
      </c>
      <c r="B3082" t="s">
        <v>7372</v>
      </c>
      <c r="C3082">
        <v>4</v>
      </c>
      <c r="D3082">
        <v>1</v>
      </c>
      <c r="E3082">
        <v>1</v>
      </c>
      <c r="F3082">
        <v>5000</v>
      </c>
      <c r="G3082">
        <v>0</v>
      </c>
      <c r="H3082" t="s">
        <v>2307</v>
      </c>
    </row>
    <row r="3083" spans="1:8">
      <c r="A3083" t="s">
        <v>7362</v>
      </c>
      <c r="B3083" t="s">
        <v>7361</v>
      </c>
      <c r="C3083">
        <v>1</v>
      </c>
      <c r="D3083">
        <v>1</v>
      </c>
      <c r="E3083">
        <v>1</v>
      </c>
      <c r="F3083">
        <v>0</v>
      </c>
      <c r="G3083">
        <v>0</v>
      </c>
      <c r="H3083" t="s">
        <v>2303</v>
      </c>
    </row>
    <row r="3084" spans="1:8">
      <c r="A3084" t="s">
        <v>7377</v>
      </c>
      <c r="B3084" t="s">
        <v>7376</v>
      </c>
      <c r="C3084">
        <v>1</v>
      </c>
      <c r="D3084">
        <v>1</v>
      </c>
      <c r="E3084">
        <v>1</v>
      </c>
      <c r="F3084">
        <v>20000</v>
      </c>
      <c r="G3084">
        <v>0</v>
      </c>
      <c r="H3084" t="s">
        <v>2303</v>
      </c>
    </row>
    <row r="3085" spans="1:8">
      <c r="A3085" t="s">
        <v>7356</v>
      </c>
      <c r="B3085" t="s">
        <v>7355</v>
      </c>
      <c r="C3085">
        <v>20</v>
      </c>
      <c r="D3085">
        <v>1</v>
      </c>
      <c r="E3085">
        <v>1</v>
      </c>
      <c r="F3085">
        <v>0</v>
      </c>
      <c r="G3085">
        <v>0</v>
      </c>
      <c r="H3085" t="s">
        <v>2197</v>
      </c>
    </row>
    <row r="3086" spans="1:8">
      <c r="A3086" t="s">
        <v>7381</v>
      </c>
      <c r="B3086" t="s">
        <v>7380</v>
      </c>
      <c r="C3086">
        <v>20</v>
      </c>
      <c r="D3086">
        <v>1</v>
      </c>
      <c r="E3086">
        <v>1</v>
      </c>
      <c r="F3086">
        <v>1000</v>
      </c>
      <c r="G3086">
        <v>0</v>
      </c>
      <c r="H3086" t="s">
        <v>2197</v>
      </c>
    </row>
    <row r="3087" spans="1:8">
      <c r="A3087" t="s">
        <v>7354</v>
      </c>
      <c r="B3087" t="s">
        <v>7353</v>
      </c>
      <c r="C3087">
        <v>4</v>
      </c>
      <c r="D3087">
        <v>1</v>
      </c>
      <c r="E3087">
        <v>1</v>
      </c>
      <c r="F3087">
        <v>0</v>
      </c>
      <c r="G3087">
        <v>0</v>
      </c>
      <c r="H3087" t="s">
        <v>2307</v>
      </c>
    </row>
    <row r="3088" spans="1:8">
      <c r="A3088" t="s">
        <v>7379</v>
      </c>
      <c r="B3088" t="s">
        <v>7378</v>
      </c>
      <c r="C3088">
        <v>4</v>
      </c>
      <c r="D3088">
        <v>1</v>
      </c>
      <c r="E3088">
        <v>1</v>
      </c>
      <c r="F3088">
        <v>5000</v>
      </c>
      <c r="G3088">
        <v>0</v>
      </c>
      <c r="H3088" t="s">
        <v>2307</v>
      </c>
    </row>
    <row r="3089" spans="1:8">
      <c r="A3089" t="s">
        <v>7371</v>
      </c>
      <c r="B3089" t="s">
        <v>7370</v>
      </c>
      <c r="C3089">
        <v>20</v>
      </c>
      <c r="D3089">
        <v>1</v>
      </c>
      <c r="E3089">
        <v>1</v>
      </c>
      <c r="F3089">
        <v>1000</v>
      </c>
      <c r="G3089">
        <v>0</v>
      </c>
      <c r="H3089" t="s">
        <v>2197</v>
      </c>
    </row>
    <row r="3090" spans="1:8">
      <c r="A3090" t="s">
        <v>7369</v>
      </c>
      <c r="B3090" t="s">
        <v>7368</v>
      </c>
      <c r="C3090">
        <v>20</v>
      </c>
      <c r="D3090">
        <v>1</v>
      </c>
      <c r="E3090">
        <v>1</v>
      </c>
      <c r="F3090">
        <v>500</v>
      </c>
      <c r="G3090">
        <v>0</v>
      </c>
      <c r="H3090" t="s">
        <v>2197</v>
      </c>
    </row>
    <row r="3091" spans="1:8">
      <c r="A3091" t="s">
        <v>4770</v>
      </c>
      <c r="B3091" t="s">
        <v>7382</v>
      </c>
      <c r="C3091">
        <v>50</v>
      </c>
      <c r="D3091">
        <v>1</v>
      </c>
      <c r="E3091">
        <v>1</v>
      </c>
      <c r="F3091">
        <v>164</v>
      </c>
      <c r="G3091">
        <v>3.3960000000000001E-4</v>
      </c>
      <c r="H3091" t="s">
        <v>2197</v>
      </c>
    </row>
    <row r="3092" spans="1:8">
      <c r="A3092" t="s">
        <v>7386</v>
      </c>
      <c r="B3092" t="s">
        <v>7385</v>
      </c>
      <c r="C3092">
        <v>20</v>
      </c>
      <c r="D3092">
        <v>1</v>
      </c>
      <c r="E3092">
        <v>1</v>
      </c>
      <c r="F3092">
        <v>0</v>
      </c>
      <c r="G3092">
        <v>0</v>
      </c>
      <c r="H3092" t="s">
        <v>2197</v>
      </c>
    </row>
    <row r="3093" spans="1:8">
      <c r="A3093" t="s">
        <v>7384</v>
      </c>
      <c r="B3093" t="s">
        <v>7383</v>
      </c>
      <c r="C3093">
        <v>20</v>
      </c>
      <c r="D3093">
        <v>1</v>
      </c>
      <c r="E3093">
        <v>1</v>
      </c>
      <c r="F3093">
        <v>0</v>
      </c>
      <c r="G3093">
        <v>0</v>
      </c>
      <c r="H3093" t="s">
        <v>2197</v>
      </c>
    </row>
    <row r="3094" spans="1:8">
      <c r="A3094" t="s">
        <v>7388</v>
      </c>
      <c r="B3094" t="s">
        <v>7387</v>
      </c>
      <c r="C3094">
        <v>10</v>
      </c>
      <c r="D3094">
        <v>1</v>
      </c>
      <c r="E3094">
        <v>1</v>
      </c>
      <c r="F3094">
        <v>1157</v>
      </c>
      <c r="G3094">
        <v>2.5725000000000001E-3</v>
      </c>
      <c r="H3094" t="s">
        <v>2197</v>
      </c>
    </row>
    <row r="3095" spans="1:8">
      <c r="A3095" t="s">
        <v>4771</v>
      </c>
      <c r="B3095" t="s">
        <v>7389</v>
      </c>
      <c r="C3095">
        <v>20</v>
      </c>
      <c r="D3095">
        <v>1</v>
      </c>
      <c r="E3095">
        <v>1</v>
      </c>
      <c r="F3095">
        <v>515</v>
      </c>
      <c r="G3095">
        <v>1.6425000000000001E-3</v>
      </c>
      <c r="H3095" t="s">
        <v>2197</v>
      </c>
    </row>
    <row r="3096" spans="1:8">
      <c r="A3096" t="s">
        <v>7391</v>
      </c>
      <c r="B3096" t="s">
        <v>7390</v>
      </c>
      <c r="C3096">
        <v>40</v>
      </c>
      <c r="D3096">
        <v>1</v>
      </c>
      <c r="E3096">
        <v>1</v>
      </c>
      <c r="F3096">
        <v>139</v>
      </c>
      <c r="G3096">
        <v>3.5639999999999999E-4</v>
      </c>
      <c r="H3096" t="s">
        <v>2197</v>
      </c>
    </row>
    <row r="3097" spans="1:8">
      <c r="A3097" t="s">
        <v>1686</v>
      </c>
      <c r="B3097" t="s">
        <v>3767</v>
      </c>
      <c r="C3097">
        <v>1</v>
      </c>
      <c r="D3097">
        <v>1</v>
      </c>
      <c r="E3097">
        <v>1</v>
      </c>
      <c r="F3097">
        <v>0</v>
      </c>
      <c r="G3097">
        <v>0</v>
      </c>
      <c r="H3097" t="s">
        <v>2221</v>
      </c>
    </row>
    <row r="3098" spans="1:8">
      <c r="A3098" t="s">
        <v>4773</v>
      </c>
      <c r="B3098" t="s">
        <v>7393</v>
      </c>
      <c r="C3098">
        <v>10</v>
      </c>
      <c r="D3098">
        <v>1</v>
      </c>
      <c r="E3098">
        <v>1</v>
      </c>
      <c r="F3098">
        <v>2122</v>
      </c>
      <c r="G3098">
        <v>3.1857000000000001E-3</v>
      </c>
      <c r="H3098" t="s">
        <v>2203</v>
      </c>
    </row>
    <row r="3099" spans="1:8">
      <c r="A3099" t="s">
        <v>7395</v>
      </c>
      <c r="B3099" t="s">
        <v>7394</v>
      </c>
      <c r="C3099">
        <v>1</v>
      </c>
      <c r="D3099">
        <v>1</v>
      </c>
      <c r="E3099">
        <v>1</v>
      </c>
      <c r="F3099">
        <v>51000</v>
      </c>
      <c r="G3099">
        <v>5.3999999999999999E-2</v>
      </c>
      <c r="H3099" t="s">
        <v>2994</v>
      </c>
    </row>
    <row r="3100" spans="1:8">
      <c r="A3100" t="s">
        <v>7402</v>
      </c>
      <c r="B3100" t="s">
        <v>7401</v>
      </c>
      <c r="C3100">
        <v>20</v>
      </c>
      <c r="D3100">
        <v>1</v>
      </c>
      <c r="E3100">
        <v>1</v>
      </c>
      <c r="F3100">
        <v>1048</v>
      </c>
      <c r="G3100">
        <v>1.3680000000000001E-3</v>
      </c>
      <c r="H3100" t="s">
        <v>2203</v>
      </c>
    </row>
    <row r="3101" spans="1:8">
      <c r="A3101" t="s">
        <v>5008</v>
      </c>
      <c r="B3101" t="s">
        <v>7399</v>
      </c>
      <c r="C3101">
        <v>20</v>
      </c>
      <c r="D3101">
        <v>1</v>
      </c>
      <c r="E3101">
        <v>1</v>
      </c>
      <c r="F3101">
        <v>1000</v>
      </c>
      <c r="G3101">
        <v>0</v>
      </c>
      <c r="H3101" t="s">
        <v>2203</v>
      </c>
    </row>
    <row r="3102" spans="1:8">
      <c r="A3102" t="s">
        <v>1687</v>
      </c>
      <c r="B3102" t="s">
        <v>3768</v>
      </c>
      <c r="C3102">
        <v>1</v>
      </c>
      <c r="D3102">
        <v>1</v>
      </c>
      <c r="E3102">
        <v>1</v>
      </c>
      <c r="F3102">
        <v>51000</v>
      </c>
      <c r="G3102">
        <v>0.05</v>
      </c>
      <c r="H3102" t="s">
        <v>2994</v>
      </c>
    </row>
    <row r="3103" spans="1:8">
      <c r="A3103" t="s">
        <v>1688</v>
      </c>
      <c r="B3103" t="s">
        <v>3770</v>
      </c>
      <c r="C3103">
        <v>12</v>
      </c>
      <c r="D3103">
        <v>1</v>
      </c>
      <c r="E3103">
        <v>1</v>
      </c>
      <c r="F3103">
        <v>1033.3</v>
      </c>
      <c r="G3103">
        <v>2.0474999999999998E-3</v>
      </c>
      <c r="H3103" t="s">
        <v>2197</v>
      </c>
    </row>
    <row r="3104" spans="1:8">
      <c r="A3104" t="s">
        <v>4772</v>
      </c>
      <c r="B3104" t="s">
        <v>7392</v>
      </c>
      <c r="C3104">
        <v>1</v>
      </c>
      <c r="D3104">
        <v>1</v>
      </c>
      <c r="E3104">
        <v>1</v>
      </c>
      <c r="F3104">
        <v>25560</v>
      </c>
      <c r="G3104">
        <v>3.168E-2</v>
      </c>
      <c r="H3104" t="s">
        <v>2994</v>
      </c>
    </row>
    <row r="3105" spans="1:8">
      <c r="A3105" t="s">
        <v>4774</v>
      </c>
      <c r="B3105" t="s">
        <v>7403</v>
      </c>
      <c r="C3105">
        <v>1</v>
      </c>
      <c r="D3105">
        <v>1</v>
      </c>
      <c r="E3105">
        <v>1</v>
      </c>
      <c r="F3105">
        <v>41</v>
      </c>
      <c r="G3105">
        <v>5.3999999999999999E-2</v>
      </c>
      <c r="H3105" t="s">
        <v>2994</v>
      </c>
    </row>
    <row r="3106" spans="1:8">
      <c r="A3106" t="s">
        <v>9731</v>
      </c>
      <c r="B3106" t="s">
        <v>7400</v>
      </c>
      <c r="C3106">
        <v>20</v>
      </c>
      <c r="D3106">
        <v>1</v>
      </c>
      <c r="E3106">
        <v>1</v>
      </c>
      <c r="F3106">
        <v>1047.5</v>
      </c>
      <c r="G3106">
        <v>1.3680000000000001E-3</v>
      </c>
      <c r="H3106" t="s">
        <v>2203</v>
      </c>
    </row>
    <row r="3107" spans="1:8">
      <c r="A3107" t="s">
        <v>1690</v>
      </c>
      <c r="B3107" t="s">
        <v>3771</v>
      </c>
      <c r="C3107">
        <v>10</v>
      </c>
      <c r="D3107">
        <v>1</v>
      </c>
      <c r="E3107">
        <v>1</v>
      </c>
      <c r="F3107">
        <v>1065</v>
      </c>
      <c r="G3107">
        <v>1.964E-3</v>
      </c>
      <c r="H3107" t="s">
        <v>2203</v>
      </c>
    </row>
    <row r="3108" spans="1:8">
      <c r="A3108" t="s">
        <v>1691</v>
      </c>
      <c r="B3108" t="s">
        <v>3773</v>
      </c>
      <c r="C3108">
        <v>1</v>
      </c>
      <c r="D3108">
        <v>1</v>
      </c>
      <c r="E3108">
        <v>1</v>
      </c>
      <c r="F3108">
        <v>41000</v>
      </c>
      <c r="G3108">
        <v>5.3999999999999999E-2</v>
      </c>
      <c r="H3108" t="s">
        <v>2994</v>
      </c>
    </row>
    <row r="3109" spans="1:8">
      <c r="A3109" t="s">
        <v>1692</v>
      </c>
      <c r="B3109" t="s">
        <v>3774</v>
      </c>
      <c r="C3109">
        <v>5</v>
      </c>
      <c r="D3109">
        <v>1</v>
      </c>
      <c r="E3109">
        <v>1</v>
      </c>
      <c r="F3109">
        <v>5060</v>
      </c>
      <c r="G3109">
        <v>5.5272000000000003E-3</v>
      </c>
      <c r="H3109" t="s">
        <v>2203</v>
      </c>
    </row>
    <row r="3110" spans="1:8">
      <c r="A3110" t="s">
        <v>9732</v>
      </c>
      <c r="B3110" t="s">
        <v>7398</v>
      </c>
      <c r="C3110">
        <v>1</v>
      </c>
      <c r="D3110">
        <v>1</v>
      </c>
      <c r="E3110">
        <v>1</v>
      </c>
      <c r="F3110">
        <v>50100</v>
      </c>
      <c r="G3110">
        <v>7.8539999999999999E-2</v>
      </c>
      <c r="H3110" t="s">
        <v>2994</v>
      </c>
    </row>
    <row r="3111" spans="1:8">
      <c r="A3111" t="s">
        <v>7397</v>
      </c>
      <c r="B3111" t="s">
        <v>7396</v>
      </c>
      <c r="C3111">
        <v>1</v>
      </c>
      <c r="D3111">
        <v>1</v>
      </c>
      <c r="E3111">
        <v>1</v>
      </c>
      <c r="F3111">
        <v>51000</v>
      </c>
      <c r="G3111">
        <v>5.3999999999999999E-2</v>
      </c>
      <c r="H3111" t="s">
        <v>2994</v>
      </c>
    </row>
    <row r="3112" spans="1:8">
      <c r="A3112" t="s">
        <v>9016</v>
      </c>
      <c r="B3112" t="s">
        <v>9015</v>
      </c>
      <c r="C3112">
        <v>1</v>
      </c>
      <c r="D3112">
        <v>1</v>
      </c>
      <c r="E3112">
        <v>1</v>
      </c>
      <c r="F3112">
        <v>1</v>
      </c>
      <c r="G3112">
        <v>0</v>
      </c>
      <c r="H3112" t="s">
        <v>2221</v>
      </c>
    </row>
    <row r="3113" spans="1:8">
      <c r="A3113" t="s">
        <v>1693</v>
      </c>
      <c r="B3113" t="s">
        <v>3775</v>
      </c>
      <c r="C3113">
        <v>50</v>
      </c>
      <c r="D3113">
        <v>1</v>
      </c>
      <c r="E3113">
        <v>1</v>
      </c>
      <c r="F3113">
        <v>142</v>
      </c>
      <c r="G3113">
        <v>3.1579999999999998E-4</v>
      </c>
      <c r="H3113" t="s">
        <v>2197</v>
      </c>
    </row>
    <row r="3114" spans="1:8">
      <c r="A3114" t="s">
        <v>9733</v>
      </c>
      <c r="B3114" t="s">
        <v>7405</v>
      </c>
      <c r="C3114">
        <v>20</v>
      </c>
      <c r="D3114">
        <v>1</v>
      </c>
      <c r="E3114">
        <v>1</v>
      </c>
      <c r="F3114">
        <v>335</v>
      </c>
      <c r="G3114">
        <v>6.6830000000000004E-4</v>
      </c>
      <c r="H3114" t="s">
        <v>2197</v>
      </c>
    </row>
    <row r="3115" spans="1:8">
      <c r="A3115" t="s">
        <v>9734</v>
      </c>
      <c r="B3115" t="s">
        <v>7404</v>
      </c>
      <c r="C3115">
        <v>50</v>
      </c>
      <c r="D3115">
        <v>1</v>
      </c>
      <c r="E3115">
        <v>1</v>
      </c>
      <c r="F3115">
        <v>147</v>
      </c>
      <c r="G3115">
        <v>3.0899999999999998E-4</v>
      </c>
      <c r="H3115" t="s">
        <v>2197</v>
      </c>
    </row>
    <row r="3116" spans="1:8">
      <c r="A3116" t="s">
        <v>1695</v>
      </c>
      <c r="B3116" t="s">
        <v>3777</v>
      </c>
      <c r="C3116">
        <v>24</v>
      </c>
      <c r="D3116">
        <v>1</v>
      </c>
      <c r="E3116">
        <v>1</v>
      </c>
      <c r="F3116">
        <v>525</v>
      </c>
      <c r="G3116">
        <v>1.2539999999999999E-3</v>
      </c>
      <c r="H3116" t="s">
        <v>2197</v>
      </c>
    </row>
    <row r="3117" spans="1:8">
      <c r="A3117" t="s">
        <v>7407</v>
      </c>
      <c r="B3117" t="s">
        <v>7406</v>
      </c>
      <c r="C3117">
        <v>48</v>
      </c>
      <c r="D3117">
        <v>1</v>
      </c>
      <c r="E3117">
        <v>1</v>
      </c>
      <c r="F3117">
        <v>265.60000000000002</v>
      </c>
      <c r="G3117">
        <v>7.1049999999999998E-4</v>
      </c>
      <c r="H3117" t="s">
        <v>2197</v>
      </c>
    </row>
    <row r="3118" spans="1:8">
      <c r="A3118" t="s">
        <v>1696</v>
      </c>
      <c r="B3118" t="s">
        <v>3779</v>
      </c>
      <c r="C3118">
        <v>100</v>
      </c>
      <c r="D3118">
        <v>1</v>
      </c>
      <c r="E3118">
        <v>1</v>
      </c>
      <c r="F3118">
        <v>113</v>
      </c>
      <c r="G3118">
        <v>3.2370000000000001E-4</v>
      </c>
      <c r="H3118" t="s">
        <v>2203</v>
      </c>
    </row>
    <row r="3119" spans="1:8">
      <c r="A3119" t="s">
        <v>1698</v>
      </c>
      <c r="B3119" t="s">
        <v>3781</v>
      </c>
      <c r="C3119">
        <v>20</v>
      </c>
      <c r="D3119">
        <v>50</v>
      </c>
      <c r="E3119">
        <v>1</v>
      </c>
      <c r="F3119">
        <v>1</v>
      </c>
      <c r="G3119">
        <v>0</v>
      </c>
      <c r="H3119" t="s">
        <v>2203</v>
      </c>
    </row>
    <row r="3120" spans="1:8">
      <c r="A3120" t="s">
        <v>9735</v>
      </c>
      <c r="B3120" t="s">
        <v>7408</v>
      </c>
      <c r="C3120">
        <v>50</v>
      </c>
      <c r="D3120">
        <v>1</v>
      </c>
      <c r="E3120">
        <v>1</v>
      </c>
      <c r="F3120">
        <v>142.19999999999999</v>
      </c>
      <c r="G3120">
        <v>7.3102499999999995E-4</v>
      </c>
      <c r="H3120" t="s">
        <v>2203</v>
      </c>
    </row>
    <row r="3121" spans="1:8">
      <c r="A3121" t="s">
        <v>1699</v>
      </c>
      <c r="B3121" t="s">
        <v>3782</v>
      </c>
      <c r="C3121">
        <v>20</v>
      </c>
      <c r="D3121">
        <v>1</v>
      </c>
      <c r="E3121">
        <v>1</v>
      </c>
      <c r="F3121">
        <v>1300</v>
      </c>
      <c r="G3121">
        <v>2.3999999999999998E-3</v>
      </c>
      <c r="H3121" t="s">
        <v>2197</v>
      </c>
    </row>
    <row r="3122" spans="1:8">
      <c r="A3122" t="s">
        <v>1700</v>
      </c>
      <c r="B3122" t="s">
        <v>3783</v>
      </c>
      <c r="C3122">
        <v>1</v>
      </c>
      <c r="D3122">
        <v>1</v>
      </c>
      <c r="E3122">
        <v>1</v>
      </c>
      <c r="F3122">
        <v>1</v>
      </c>
      <c r="G3122">
        <v>0</v>
      </c>
      <c r="H3122" t="s">
        <v>2197</v>
      </c>
    </row>
    <row r="3123" spans="1:8">
      <c r="A3123" t="s">
        <v>1701</v>
      </c>
      <c r="B3123" t="s">
        <v>3784</v>
      </c>
      <c r="C3123">
        <v>1</v>
      </c>
      <c r="D3123">
        <v>1</v>
      </c>
      <c r="E3123">
        <v>1</v>
      </c>
      <c r="F3123">
        <v>1</v>
      </c>
      <c r="G3123">
        <v>0</v>
      </c>
      <c r="H3123" t="s">
        <v>2197</v>
      </c>
    </row>
    <row r="3124" spans="1:8">
      <c r="A3124" t="s">
        <v>1702</v>
      </c>
      <c r="B3124" t="s">
        <v>3785</v>
      </c>
      <c r="C3124">
        <v>1</v>
      </c>
      <c r="D3124">
        <v>1</v>
      </c>
      <c r="E3124">
        <v>1</v>
      </c>
      <c r="F3124">
        <v>1</v>
      </c>
      <c r="G3124">
        <v>0</v>
      </c>
      <c r="H3124" t="s">
        <v>2197</v>
      </c>
    </row>
    <row r="3125" spans="1:8">
      <c r="A3125" t="s">
        <v>1703</v>
      </c>
      <c r="B3125" t="s">
        <v>3786</v>
      </c>
      <c r="C3125">
        <v>20</v>
      </c>
      <c r="D3125">
        <v>1</v>
      </c>
      <c r="E3125">
        <v>1</v>
      </c>
      <c r="F3125">
        <v>1300</v>
      </c>
      <c r="G3125">
        <v>2.3999999999999998E-3</v>
      </c>
      <c r="H3125" t="s">
        <v>2197</v>
      </c>
    </row>
    <row r="3126" spans="1:8">
      <c r="A3126" t="s">
        <v>1704</v>
      </c>
      <c r="B3126" t="s">
        <v>3787</v>
      </c>
      <c r="C3126">
        <v>20</v>
      </c>
      <c r="D3126">
        <v>1</v>
      </c>
      <c r="E3126">
        <v>1</v>
      </c>
      <c r="F3126">
        <v>1300</v>
      </c>
      <c r="G3126">
        <v>2.3999999999999998E-3</v>
      </c>
      <c r="H3126" t="s">
        <v>2197</v>
      </c>
    </row>
    <row r="3127" spans="1:8">
      <c r="A3127" t="s">
        <v>1705</v>
      </c>
      <c r="B3127" t="s">
        <v>3788</v>
      </c>
      <c r="C3127">
        <v>20</v>
      </c>
      <c r="D3127">
        <v>1</v>
      </c>
      <c r="E3127">
        <v>1</v>
      </c>
      <c r="F3127">
        <v>1300</v>
      </c>
      <c r="G3127">
        <v>2.3999999999999998E-3</v>
      </c>
      <c r="H3127" t="s">
        <v>2197</v>
      </c>
    </row>
    <row r="3128" spans="1:8">
      <c r="A3128" t="s">
        <v>1706</v>
      </c>
      <c r="B3128" t="s">
        <v>3789</v>
      </c>
      <c r="C3128">
        <v>1</v>
      </c>
      <c r="D3128">
        <v>1</v>
      </c>
      <c r="E3128">
        <v>1</v>
      </c>
      <c r="F3128">
        <v>1</v>
      </c>
      <c r="G3128">
        <v>0</v>
      </c>
      <c r="H3128" t="s">
        <v>2197</v>
      </c>
    </row>
    <row r="3129" spans="1:8">
      <c r="A3129" t="s">
        <v>1707</v>
      </c>
      <c r="B3129" t="s">
        <v>3790</v>
      </c>
      <c r="C3129">
        <v>100</v>
      </c>
      <c r="D3129">
        <v>1</v>
      </c>
      <c r="E3129">
        <v>1</v>
      </c>
      <c r="F3129">
        <v>118</v>
      </c>
      <c r="G3129">
        <v>3.7800000000000003E-4</v>
      </c>
      <c r="H3129" t="s">
        <v>2221</v>
      </c>
    </row>
    <row r="3130" spans="1:8">
      <c r="A3130" t="s">
        <v>1708</v>
      </c>
      <c r="B3130" t="s">
        <v>3792</v>
      </c>
      <c r="C3130">
        <v>40</v>
      </c>
      <c r="D3130">
        <v>1</v>
      </c>
      <c r="E3130">
        <v>1</v>
      </c>
      <c r="F3130">
        <v>285</v>
      </c>
      <c r="G3130">
        <v>1.1544000000000001E-3</v>
      </c>
      <c r="H3130" t="s">
        <v>2203</v>
      </c>
    </row>
    <row r="3131" spans="1:8">
      <c r="A3131" t="s">
        <v>1709</v>
      </c>
      <c r="B3131" t="s">
        <v>3793</v>
      </c>
      <c r="C3131">
        <v>10</v>
      </c>
      <c r="D3131">
        <v>1</v>
      </c>
      <c r="E3131">
        <v>1</v>
      </c>
      <c r="F3131">
        <v>1220</v>
      </c>
      <c r="G3131">
        <v>1.8048999999999999E-3</v>
      </c>
      <c r="H3131" t="s">
        <v>2197</v>
      </c>
    </row>
    <row r="3132" spans="1:8">
      <c r="A3132" t="s">
        <v>1710</v>
      </c>
      <c r="B3132" t="s">
        <v>3795</v>
      </c>
      <c r="C3132">
        <v>100</v>
      </c>
      <c r="D3132">
        <v>1</v>
      </c>
      <c r="E3132">
        <v>1</v>
      </c>
      <c r="F3132">
        <v>135</v>
      </c>
      <c r="G3132">
        <v>2.3709999999999999E-4</v>
      </c>
      <c r="H3132" t="s">
        <v>2197</v>
      </c>
    </row>
    <row r="3133" spans="1:8">
      <c r="A3133" t="s">
        <v>9736</v>
      </c>
      <c r="B3133" t="s">
        <v>7409</v>
      </c>
      <c r="C3133">
        <v>100</v>
      </c>
      <c r="D3133">
        <v>1</v>
      </c>
      <c r="E3133">
        <v>1</v>
      </c>
      <c r="F3133">
        <v>0</v>
      </c>
      <c r="G3133">
        <v>0</v>
      </c>
      <c r="H3133" t="s">
        <v>2197</v>
      </c>
    </row>
    <row r="3134" spans="1:8">
      <c r="A3134" t="s">
        <v>9737</v>
      </c>
      <c r="B3134" t="s">
        <v>7410</v>
      </c>
      <c r="C3134">
        <v>16</v>
      </c>
      <c r="D3134">
        <v>1</v>
      </c>
      <c r="E3134">
        <v>1</v>
      </c>
      <c r="F3134">
        <v>1175.625</v>
      </c>
      <c r="G3134">
        <v>2.299171875E-3</v>
      </c>
      <c r="H3134" t="s">
        <v>2197</v>
      </c>
    </row>
    <row r="3135" spans="1:8">
      <c r="A3135" t="s">
        <v>1711</v>
      </c>
      <c r="B3135" t="s">
        <v>3796</v>
      </c>
      <c r="C3135">
        <v>20</v>
      </c>
      <c r="D3135">
        <v>1</v>
      </c>
      <c r="E3135">
        <v>1</v>
      </c>
      <c r="F3135">
        <v>622.5</v>
      </c>
      <c r="G3135">
        <v>9.3959999999999996E-4</v>
      </c>
      <c r="H3135" t="s">
        <v>2197</v>
      </c>
    </row>
    <row r="3136" spans="1:8">
      <c r="A3136" t="s">
        <v>9738</v>
      </c>
      <c r="B3136" t="s">
        <v>7411</v>
      </c>
      <c r="C3136">
        <v>40</v>
      </c>
      <c r="D3136">
        <v>1</v>
      </c>
      <c r="E3136">
        <v>1</v>
      </c>
      <c r="F3136">
        <v>0</v>
      </c>
      <c r="G3136">
        <v>0</v>
      </c>
      <c r="H3136" t="s">
        <v>2197</v>
      </c>
    </row>
    <row r="3137" spans="1:8">
      <c r="A3137" t="s">
        <v>1712</v>
      </c>
      <c r="B3137" t="s">
        <v>3797</v>
      </c>
      <c r="C3137">
        <v>40</v>
      </c>
      <c r="D3137">
        <v>1</v>
      </c>
      <c r="E3137">
        <v>1</v>
      </c>
      <c r="F3137">
        <v>332.5</v>
      </c>
      <c r="G3137">
        <v>5.6050000000000002E-4</v>
      </c>
      <c r="H3137" t="s">
        <v>2197</v>
      </c>
    </row>
    <row r="3138" spans="1:8">
      <c r="A3138" t="s">
        <v>9739</v>
      </c>
      <c r="B3138" t="s">
        <v>7412</v>
      </c>
      <c r="C3138">
        <v>50</v>
      </c>
      <c r="D3138">
        <v>1</v>
      </c>
      <c r="E3138">
        <v>1</v>
      </c>
      <c r="F3138">
        <v>152.4</v>
      </c>
      <c r="G3138">
        <v>3.0854999999999999E-4</v>
      </c>
      <c r="H3138" t="s">
        <v>2197</v>
      </c>
    </row>
    <row r="3139" spans="1:8">
      <c r="A3139" t="s">
        <v>1713</v>
      </c>
      <c r="B3139" t="s">
        <v>3798</v>
      </c>
      <c r="C3139">
        <v>20</v>
      </c>
      <c r="D3139">
        <v>1</v>
      </c>
      <c r="E3139">
        <v>1</v>
      </c>
      <c r="F3139">
        <v>355</v>
      </c>
      <c r="G3139">
        <v>7.3919999999999997E-4</v>
      </c>
      <c r="H3139" t="s">
        <v>2197</v>
      </c>
    </row>
    <row r="3140" spans="1:8">
      <c r="A3140" t="s">
        <v>1714</v>
      </c>
      <c r="B3140" t="s">
        <v>3800</v>
      </c>
      <c r="C3140">
        <v>20</v>
      </c>
      <c r="D3140">
        <v>1</v>
      </c>
      <c r="E3140">
        <v>1</v>
      </c>
      <c r="F3140">
        <v>655</v>
      </c>
      <c r="G3140">
        <v>1.1856E-3</v>
      </c>
      <c r="H3140" t="s">
        <v>2197</v>
      </c>
    </row>
    <row r="3141" spans="1:8">
      <c r="A3141" t="s">
        <v>1715</v>
      </c>
      <c r="B3141" t="s">
        <v>3801</v>
      </c>
      <c r="C3141">
        <v>40</v>
      </c>
      <c r="D3141">
        <v>1</v>
      </c>
      <c r="E3141">
        <v>1</v>
      </c>
      <c r="F3141">
        <v>550.5</v>
      </c>
      <c r="G3141">
        <v>1.4913750000000001E-3</v>
      </c>
      <c r="H3141" t="s">
        <v>2203</v>
      </c>
    </row>
    <row r="3142" spans="1:8">
      <c r="A3142" t="s">
        <v>1716</v>
      </c>
      <c r="B3142" t="s">
        <v>3803</v>
      </c>
      <c r="C3142">
        <v>30</v>
      </c>
      <c r="D3142">
        <v>1</v>
      </c>
      <c r="E3142">
        <v>1</v>
      </c>
      <c r="F3142">
        <v>306.7</v>
      </c>
      <c r="G3142">
        <v>0</v>
      </c>
      <c r="H3142" t="s">
        <v>2197</v>
      </c>
    </row>
    <row r="3143" spans="1:8">
      <c r="A3143" t="s">
        <v>1717</v>
      </c>
      <c r="B3143" t="s">
        <v>3804</v>
      </c>
      <c r="C3143">
        <v>42</v>
      </c>
      <c r="D3143">
        <v>1</v>
      </c>
      <c r="E3143">
        <v>1</v>
      </c>
      <c r="F3143">
        <v>1</v>
      </c>
      <c r="G3143">
        <v>0</v>
      </c>
      <c r="H3143" t="s">
        <v>2197</v>
      </c>
    </row>
    <row r="3144" spans="1:8">
      <c r="A3144" t="s">
        <v>1718</v>
      </c>
      <c r="B3144" t="s">
        <v>3805</v>
      </c>
      <c r="C3144">
        <v>40</v>
      </c>
      <c r="D3144">
        <v>1</v>
      </c>
      <c r="E3144">
        <v>1</v>
      </c>
      <c r="F3144">
        <v>283.5</v>
      </c>
      <c r="G3144">
        <v>7.2572499999999998E-4</v>
      </c>
      <c r="H3144" t="s">
        <v>2197</v>
      </c>
    </row>
    <row r="3145" spans="1:8">
      <c r="A3145" t="s">
        <v>1719</v>
      </c>
      <c r="B3145" t="s">
        <v>3807</v>
      </c>
      <c r="C3145">
        <v>50</v>
      </c>
      <c r="D3145">
        <v>1</v>
      </c>
      <c r="E3145">
        <v>1</v>
      </c>
      <c r="F3145">
        <v>145.80000000000001</v>
      </c>
      <c r="G3145">
        <v>3.8610000000000001E-4</v>
      </c>
      <c r="H3145" t="s">
        <v>2197</v>
      </c>
    </row>
    <row r="3146" spans="1:8">
      <c r="A3146" t="s">
        <v>4775</v>
      </c>
      <c r="B3146" t="s">
        <v>7413</v>
      </c>
      <c r="C3146">
        <v>20</v>
      </c>
      <c r="D3146">
        <v>1</v>
      </c>
      <c r="E3146">
        <v>1</v>
      </c>
      <c r="F3146">
        <v>1095</v>
      </c>
      <c r="G3146">
        <v>3.1126999999999999E-3</v>
      </c>
      <c r="H3146" t="s">
        <v>2203</v>
      </c>
    </row>
    <row r="3147" spans="1:8">
      <c r="A3147" t="s">
        <v>1720</v>
      </c>
      <c r="B3147" t="s">
        <v>3809</v>
      </c>
      <c r="C3147">
        <v>25</v>
      </c>
      <c r="D3147">
        <v>1</v>
      </c>
      <c r="E3147">
        <v>1</v>
      </c>
      <c r="F3147">
        <v>880</v>
      </c>
      <c r="G3147">
        <v>2.4696000000000002E-3</v>
      </c>
      <c r="H3147" t="s">
        <v>2203</v>
      </c>
    </row>
    <row r="3148" spans="1:8">
      <c r="A3148" t="s">
        <v>1722</v>
      </c>
      <c r="B3148" t="s">
        <v>3812</v>
      </c>
      <c r="C3148">
        <v>100</v>
      </c>
      <c r="D3148">
        <v>1</v>
      </c>
      <c r="E3148">
        <v>1</v>
      </c>
      <c r="F3148">
        <v>115.7</v>
      </c>
      <c r="G3148">
        <v>2.4402000000000001E-4</v>
      </c>
      <c r="H3148" t="s">
        <v>2203</v>
      </c>
    </row>
    <row r="3149" spans="1:8">
      <c r="A3149" t="s">
        <v>1721</v>
      </c>
      <c r="B3149" t="s">
        <v>3811</v>
      </c>
      <c r="C3149">
        <v>100</v>
      </c>
      <c r="D3149">
        <v>1</v>
      </c>
      <c r="E3149">
        <v>1</v>
      </c>
      <c r="F3149">
        <v>1</v>
      </c>
      <c r="G3149">
        <v>0</v>
      </c>
      <c r="H3149" t="s">
        <v>2221</v>
      </c>
    </row>
    <row r="3150" spans="1:8">
      <c r="A3150" t="s">
        <v>1723</v>
      </c>
      <c r="B3150" t="s">
        <v>3815</v>
      </c>
      <c r="C3150">
        <v>20</v>
      </c>
      <c r="D3150">
        <v>1</v>
      </c>
      <c r="E3150">
        <v>1</v>
      </c>
      <c r="F3150">
        <v>535</v>
      </c>
      <c r="G3150">
        <v>9.5699999999999995E-4</v>
      </c>
      <c r="H3150" t="s">
        <v>2203</v>
      </c>
    </row>
    <row r="3151" spans="1:8">
      <c r="A3151" t="s">
        <v>1724</v>
      </c>
      <c r="B3151" t="s">
        <v>3816</v>
      </c>
      <c r="C3151">
        <v>20</v>
      </c>
      <c r="D3151">
        <v>1</v>
      </c>
      <c r="E3151">
        <v>1</v>
      </c>
      <c r="F3151">
        <v>1115</v>
      </c>
      <c r="G3151">
        <v>1.8614E-3</v>
      </c>
      <c r="H3151" t="s">
        <v>2197</v>
      </c>
    </row>
    <row r="3152" spans="1:8">
      <c r="A3152" t="s">
        <v>1725</v>
      </c>
      <c r="B3152" t="s">
        <v>3818</v>
      </c>
      <c r="C3152">
        <v>25</v>
      </c>
      <c r="D3152">
        <v>1</v>
      </c>
      <c r="E3152">
        <v>1</v>
      </c>
      <c r="F3152">
        <v>130</v>
      </c>
      <c r="G3152">
        <v>3.2079999999999999E-4</v>
      </c>
      <c r="H3152" t="s">
        <v>2197</v>
      </c>
    </row>
    <row r="3153" spans="1:8">
      <c r="A3153" t="s">
        <v>1726</v>
      </c>
      <c r="B3153" t="s">
        <v>3820</v>
      </c>
      <c r="C3153">
        <v>30</v>
      </c>
      <c r="D3153">
        <v>1</v>
      </c>
      <c r="E3153">
        <v>1</v>
      </c>
      <c r="F3153">
        <v>298.3</v>
      </c>
      <c r="G3153">
        <v>4.7029999999999999E-4</v>
      </c>
      <c r="H3153" t="s">
        <v>2197</v>
      </c>
    </row>
    <row r="3154" spans="1:8">
      <c r="A3154" t="s">
        <v>1727</v>
      </c>
      <c r="B3154" t="s">
        <v>3821</v>
      </c>
      <c r="C3154">
        <v>30</v>
      </c>
      <c r="D3154">
        <v>1</v>
      </c>
      <c r="E3154">
        <v>1</v>
      </c>
      <c r="F3154">
        <v>580</v>
      </c>
      <c r="G3154">
        <v>9.079E-4</v>
      </c>
      <c r="H3154" t="s">
        <v>2197</v>
      </c>
    </row>
    <row r="3155" spans="1:8">
      <c r="A3155" t="s">
        <v>1728</v>
      </c>
      <c r="B3155" t="s">
        <v>3822</v>
      </c>
      <c r="C3155">
        <v>100</v>
      </c>
      <c r="D3155">
        <v>1</v>
      </c>
      <c r="E3155">
        <v>1</v>
      </c>
      <c r="F3155">
        <v>115.7</v>
      </c>
      <c r="G3155">
        <v>2.4402000000000001E-4</v>
      </c>
      <c r="H3155" t="s">
        <v>2203</v>
      </c>
    </row>
    <row r="3156" spans="1:8">
      <c r="A3156" t="s">
        <v>1729</v>
      </c>
      <c r="B3156" t="s">
        <v>3825</v>
      </c>
      <c r="C3156">
        <v>20</v>
      </c>
      <c r="D3156">
        <v>1</v>
      </c>
      <c r="E3156">
        <v>1</v>
      </c>
      <c r="F3156">
        <v>535</v>
      </c>
      <c r="G3156">
        <v>9.5699999999999995E-4</v>
      </c>
      <c r="H3156" t="s">
        <v>2203</v>
      </c>
    </row>
    <row r="3157" spans="1:8">
      <c r="A3157" t="s">
        <v>1730</v>
      </c>
      <c r="B3157" t="s">
        <v>3826</v>
      </c>
      <c r="C3157">
        <v>100</v>
      </c>
      <c r="D3157">
        <v>1</v>
      </c>
      <c r="E3157">
        <v>1</v>
      </c>
      <c r="F3157">
        <v>115.7</v>
      </c>
      <c r="G3157">
        <v>2.4402000000000001E-4</v>
      </c>
      <c r="H3157" t="s">
        <v>2203</v>
      </c>
    </row>
    <row r="3158" spans="1:8">
      <c r="A3158" t="s">
        <v>1731</v>
      </c>
      <c r="B3158" t="s">
        <v>3828</v>
      </c>
      <c r="C3158">
        <v>20</v>
      </c>
      <c r="D3158">
        <v>1</v>
      </c>
      <c r="E3158">
        <v>1</v>
      </c>
      <c r="F3158">
        <v>535</v>
      </c>
      <c r="G3158">
        <v>9.5699999999999995E-4</v>
      </c>
      <c r="H3158" t="s">
        <v>2203</v>
      </c>
    </row>
    <row r="3159" spans="1:8">
      <c r="A3159" t="s">
        <v>7415</v>
      </c>
      <c r="B3159" t="s">
        <v>7414</v>
      </c>
      <c r="C3159">
        <v>1</v>
      </c>
      <c r="D3159">
        <v>1</v>
      </c>
      <c r="E3159">
        <v>1</v>
      </c>
      <c r="F3159">
        <v>0</v>
      </c>
      <c r="G3159">
        <v>0</v>
      </c>
      <c r="H3159" t="s">
        <v>2303</v>
      </c>
    </row>
    <row r="3160" spans="1:8">
      <c r="A3160" t="s">
        <v>7417</v>
      </c>
      <c r="B3160" t="s">
        <v>7416</v>
      </c>
      <c r="C3160">
        <v>20</v>
      </c>
      <c r="D3160">
        <v>1</v>
      </c>
      <c r="E3160">
        <v>1</v>
      </c>
      <c r="F3160">
        <v>0</v>
      </c>
      <c r="G3160">
        <v>0</v>
      </c>
      <c r="H3160" t="s">
        <v>2197</v>
      </c>
    </row>
    <row r="3161" spans="1:8">
      <c r="A3161" t="s">
        <v>7419</v>
      </c>
      <c r="B3161" t="s">
        <v>7418</v>
      </c>
      <c r="C3161">
        <v>4</v>
      </c>
      <c r="D3161">
        <v>1</v>
      </c>
      <c r="E3161">
        <v>1</v>
      </c>
      <c r="F3161">
        <v>0</v>
      </c>
      <c r="G3161">
        <v>0</v>
      </c>
      <c r="H3161" t="s">
        <v>2307</v>
      </c>
    </row>
    <row r="3162" spans="1:8">
      <c r="A3162" t="s">
        <v>7421</v>
      </c>
      <c r="B3162" t="s">
        <v>7420</v>
      </c>
      <c r="C3162">
        <v>20</v>
      </c>
      <c r="D3162">
        <v>1</v>
      </c>
      <c r="E3162">
        <v>1</v>
      </c>
      <c r="F3162">
        <v>610</v>
      </c>
      <c r="G3162">
        <v>1.2957999999999999E-3</v>
      </c>
      <c r="H3162" t="s">
        <v>2197</v>
      </c>
    </row>
    <row r="3163" spans="1:8">
      <c r="A3163" t="s">
        <v>1732</v>
      </c>
      <c r="B3163" t="s">
        <v>3829</v>
      </c>
      <c r="C3163">
        <v>40</v>
      </c>
      <c r="D3163">
        <v>1</v>
      </c>
      <c r="E3163">
        <v>1</v>
      </c>
      <c r="F3163">
        <v>317.5</v>
      </c>
      <c r="G3163">
        <v>7.4200000000000004E-4</v>
      </c>
      <c r="H3163" t="s">
        <v>2197</v>
      </c>
    </row>
    <row r="3164" spans="1:8">
      <c r="A3164" t="s">
        <v>4776</v>
      </c>
      <c r="B3164" t="s">
        <v>7422</v>
      </c>
      <c r="C3164">
        <v>12</v>
      </c>
      <c r="D3164">
        <v>24</v>
      </c>
      <c r="E3164">
        <v>1</v>
      </c>
      <c r="F3164">
        <v>25.9375</v>
      </c>
      <c r="G3164">
        <v>1.06944444444444E-4</v>
      </c>
      <c r="H3164" t="s">
        <v>2203</v>
      </c>
    </row>
    <row r="3165" spans="1:8">
      <c r="A3165" t="s">
        <v>9740</v>
      </c>
      <c r="B3165" t="s">
        <v>7423</v>
      </c>
      <c r="C3165">
        <v>50</v>
      </c>
      <c r="D3165">
        <v>1</v>
      </c>
      <c r="E3165">
        <v>1</v>
      </c>
      <c r="F3165">
        <v>131</v>
      </c>
      <c r="G3165">
        <v>3.3119999999999997E-4</v>
      </c>
      <c r="H3165" t="s">
        <v>2197</v>
      </c>
    </row>
    <row r="3166" spans="1:8">
      <c r="A3166" t="s">
        <v>7425</v>
      </c>
      <c r="B3166" t="s">
        <v>7424</v>
      </c>
      <c r="C3166">
        <v>40</v>
      </c>
      <c r="D3166">
        <v>1</v>
      </c>
      <c r="E3166">
        <v>1</v>
      </c>
      <c r="F3166">
        <v>297.5</v>
      </c>
      <c r="G3166">
        <v>7.293E-4</v>
      </c>
      <c r="H3166" t="s">
        <v>2197</v>
      </c>
    </row>
    <row r="3167" spans="1:8">
      <c r="A3167" t="s">
        <v>9741</v>
      </c>
      <c r="B3167" t="s">
        <v>7433</v>
      </c>
      <c r="C3167">
        <v>1</v>
      </c>
      <c r="D3167">
        <v>1</v>
      </c>
      <c r="E3167">
        <v>1</v>
      </c>
      <c r="F3167">
        <v>7850</v>
      </c>
      <c r="G3167">
        <v>1.6199999999999999E-2</v>
      </c>
      <c r="H3167" t="s">
        <v>3417</v>
      </c>
    </row>
    <row r="3168" spans="1:8">
      <c r="A3168" t="s">
        <v>9742</v>
      </c>
      <c r="B3168" t="s">
        <v>7432</v>
      </c>
      <c r="C3168">
        <v>1</v>
      </c>
      <c r="D3168">
        <v>1</v>
      </c>
      <c r="E3168">
        <v>1</v>
      </c>
      <c r="F3168">
        <v>15550</v>
      </c>
      <c r="G3168">
        <v>2.8799999999999999E-2</v>
      </c>
      <c r="H3168" t="s">
        <v>3417</v>
      </c>
    </row>
    <row r="3169" spans="1:8">
      <c r="A3169" t="s">
        <v>1735</v>
      </c>
      <c r="B3169" t="s">
        <v>7431</v>
      </c>
      <c r="C3169">
        <v>1</v>
      </c>
      <c r="D3169">
        <v>1</v>
      </c>
      <c r="E3169">
        <v>1</v>
      </c>
      <c r="F3169">
        <v>7900</v>
      </c>
      <c r="G3169">
        <v>1.7340000000000001E-2</v>
      </c>
      <c r="H3169" t="s">
        <v>3417</v>
      </c>
    </row>
    <row r="3170" spans="1:8">
      <c r="A3170" t="s">
        <v>1736</v>
      </c>
      <c r="B3170" t="s">
        <v>7430</v>
      </c>
      <c r="C3170">
        <v>1</v>
      </c>
      <c r="D3170">
        <v>1</v>
      </c>
      <c r="E3170">
        <v>1</v>
      </c>
      <c r="F3170">
        <v>15500</v>
      </c>
      <c r="G3170">
        <v>3.1739999999999997E-2</v>
      </c>
      <c r="H3170" t="s">
        <v>3417</v>
      </c>
    </row>
    <row r="3171" spans="1:8">
      <c r="A3171" t="s">
        <v>9743</v>
      </c>
      <c r="B3171" t="s">
        <v>7429</v>
      </c>
      <c r="C3171">
        <v>10</v>
      </c>
      <c r="D3171">
        <v>1</v>
      </c>
      <c r="E3171">
        <v>1</v>
      </c>
      <c r="F3171">
        <v>1123</v>
      </c>
      <c r="G3171">
        <v>2.5515124999999999E-3</v>
      </c>
      <c r="H3171" t="s">
        <v>2197</v>
      </c>
    </row>
    <row r="3172" spans="1:8">
      <c r="A3172" t="s">
        <v>5010</v>
      </c>
      <c r="B3172" t="s">
        <v>7426</v>
      </c>
      <c r="C3172">
        <v>25</v>
      </c>
      <c r="D3172">
        <v>1</v>
      </c>
      <c r="E3172">
        <v>1</v>
      </c>
      <c r="F3172">
        <v>508.8</v>
      </c>
      <c r="G3172">
        <v>1.2312E-3</v>
      </c>
      <c r="H3172" t="s">
        <v>2197</v>
      </c>
    </row>
    <row r="3173" spans="1:8">
      <c r="A3173" t="s">
        <v>9744</v>
      </c>
      <c r="B3173" t="s">
        <v>7427</v>
      </c>
      <c r="C3173">
        <v>50</v>
      </c>
      <c r="D3173">
        <v>1</v>
      </c>
      <c r="E3173">
        <v>1</v>
      </c>
      <c r="F3173">
        <v>266.39999999999998</v>
      </c>
      <c r="G3173">
        <v>7.0290000000000001E-4</v>
      </c>
      <c r="H3173" t="s">
        <v>2197</v>
      </c>
    </row>
    <row r="3174" spans="1:8">
      <c r="A3174" t="s">
        <v>5009</v>
      </c>
      <c r="B3174" t="s">
        <v>7428</v>
      </c>
      <c r="C3174">
        <v>50</v>
      </c>
      <c r="D3174">
        <v>1</v>
      </c>
      <c r="E3174">
        <v>1</v>
      </c>
      <c r="F3174">
        <v>0</v>
      </c>
      <c r="G3174">
        <v>0</v>
      </c>
      <c r="H3174" t="s">
        <v>2197</v>
      </c>
    </row>
    <row r="3175" spans="1:8">
      <c r="A3175" t="s">
        <v>9018</v>
      </c>
      <c r="B3175" t="s">
        <v>9017</v>
      </c>
      <c r="C3175">
        <v>1</v>
      </c>
      <c r="D3175">
        <v>1</v>
      </c>
      <c r="E3175">
        <v>1</v>
      </c>
      <c r="F3175">
        <v>1</v>
      </c>
      <c r="G3175">
        <v>0</v>
      </c>
      <c r="H3175" t="s">
        <v>2221</v>
      </c>
    </row>
    <row r="3176" spans="1:8">
      <c r="A3176" t="s">
        <v>7435</v>
      </c>
      <c r="B3176" t="s">
        <v>7434</v>
      </c>
      <c r="C3176">
        <v>10</v>
      </c>
      <c r="D3176">
        <v>1</v>
      </c>
      <c r="E3176">
        <v>1</v>
      </c>
      <c r="F3176">
        <v>0</v>
      </c>
      <c r="G3176">
        <v>0</v>
      </c>
      <c r="H3176" t="s">
        <v>2203</v>
      </c>
    </row>
    <row r="3177" spans="1:8">
      <c r="A3177" t="s">
        <v>7442</v>
      </c>
      <c r="B3177" t="s">
        <v>7441</v>
      </c>
      <c r="C3177">
        <v>20</v>
      </c>
      <c r="D3177">
        <v>1</v>
      </c>
      <c r="E3177">
        <v>1</v>
      </c>
      <c r="F3177">
        <v>1</v>
      </c>
      <c r="G3177">
        <v>0</v>
      </c>
      <c r="H3177" t="s">
        <v>2197</v>
      </c>
    </row>
    <row r="3178" spans="1:8">
      <c r="A3178" t="s">
        <v>5013</v>
      </c>
      <c r="B3178" t="s">
        <v>7440</v>
      </c>
      <c r="C3178">
        <v>1</v>
      </c>
      <c r="D3178">
        <v>1</v>
      </c>
      <c r="E3178">
        <v>1</v>
      </c>
      <c r="F3178">
        <v>24970</v>
      </c>
      <c r="G3178">
        <v>1.8559099999999999E-2</v>
      </c>
      <c r="H3178" t="s">
        <v>2303</v>
      </c>
    </row>
    <row r="3179" spans="1:8">
      <c r="A3179" t="s">
        <v>5011</v>
      </c>
      <c r="B3179" t="s">
        <v>7436</v>
      </c>
      <c r="C3179">
        <v>20</v>
      </c>
      <c r="D3179">
        <v>1</v>
      </c>
      <c r="E3179">
        <v>1</v>
      </c>
      <c r="F3179">
        <v>1332</v>
      </c>
      <c r="G3179">
        <v>2.6399000000000001E-3</v>
      </c>
      <c r="H3179" t="s">
        <v>2197</v>
      </c>
    </row>
    <row r="3180" spans="1:8">
      <c r="A3180" t="s">
        <v>7439</v>
      </c>
      <c r="B3180" t="s">
        <v>7438</v>
      </c>
      <c r="C3180">
        <v>20</v>
      </c>
      <c r="D3180">
        <v>1</v>
      </c>
      <c r="E3180">
        <v>1</v>
      </c>
      <c r="F3180">
        <v>0</v>
      </c>
      <c r="G3180">
        <v>0</v>
      </c>
      <c r="H3180" t="s">
        <v>2197</v>
      </c>
    </row>
    <row r="3181" spans="1:8">
      <c r="A3181" t="s">
        <v>5012</v>
      </c>
      <c r="B3181" t="s">
        <v>7437</v>
      </c>
      <c r="C3181">
        <v>4</v>
      </c>
      <c r="D3181">
        <v>1</v>
      </c>
      <c r="E3181">
        <v>1</v>
      </c>
      <c r="F3181">
        <v>0</v>
      </c>
      <c r="G3181">
        <v>0</v>
      </c>
      <c r="H3181" t="s">
        <v>2197</v>
      </c>
    </row>
    <row r="3182" spans="1:8">
      <c r="A3182" t="s">
        <v>9745</v>
      </c>
      <c r="B3182" t="s">
        <v>7443</v>
      </c>
      <c r="C3182">
        <v>1</v>
      </c>
      <c r="D3182">
        <v>1</v>
      </c>
      <c r="E3182">
        <v>1</v>
      </c>
      <c r="F3182">
        <v>23190</v>
      </c>
      <c r="G3182">
        <v>1.8559124999999999E-2</v>
      </c>
      <c r="H3182" t="s">
        <v>2303</v>
      </c>
    </row>
    <row r="3183" spans="1:8">
      <c r="A3183" t="s">
        <v>9746</v>
      </c>
      <c r="B3183" t="s">
        <v>7444</v>
      </c>
      <c r="C3183">
        <v>20</v>
      </c>
      <c r="D3183">
        <v>1</v>
      </c>
      <c r="E3183">
        <v>1</v>
      </c>
      <c r="F3183">
        <v>1252</v>
      </c>
      <c r="G3183">
        <v>2.7906562500000002E-3</v>
      </c>
      <c r="H3183" t="s">
        <v>2197</v>
      </c>
    </row>
    <row r="3184" spans="1:8">
      <c r="A3184" t="s">
        <v>9747</v>
      </c>
      <c r="B3184" t="s">
        <v>7445</v>
      </c>
      <c r="C3184">
        <v>4</v>
      </c>
      <c r="D3184">
        <v>1</v>
      </c>
      <c r="E3184">
        <v>1</v>
      </c>
      <c r="F3184">
        <v>6025</v>
      </c>
      <c r="G3184">
        <v>9.1125000000000008E-3</v>
      </c>
      <c r="H3184" t="s">
        <v>2307</v>
      </c>
    </row>
    <row r="3185" spans="1:8">
      <c r="A3185" t="s">
        <v>7447</v>
      </c>
      <c r="B3185" t="s">
        <v>7446</v>
      </c>
      <c r="C3185">
        <v>1</v>
      </c>
      <c r="D3185">
        <v>1</v>
      </c>
      <c r="E3185">
        <v>1</v>
      </c>
      <c r="F3185">
        <v>24970</v>
      </c>
      <c r="G3185">
        <v>1.8559099999999999E-2</v>
      </c>
      <c r="H3185" t="s">
        <v>2303</v>
      </c>
    </row>
    <row r="3186" spans="1:8">
      <c r="A3186" t="s">
        <v>7449</v>
      </c>
      <c r="B3186" t="s">
        <v>7448</v>
      </c>
      <c r="C3186">
        <v>20</v>
      </c>
      <c r="D3186">
        <v>1</v>
      </c>
      <c r="E3186">
        <v>1</v>
      </c>
      <c r="F3186">
        <v>1320</v>
      </c>
      <c r="G3186">
        <v>2.3888E-3</v>
      </c>
      <c r="H3186" t="s">
        <v>2197</v>
      </c>
    </row>
    <row r="3187" spans="1:8">
      <c r="A3187" t="s">
        <v>7451</v>
      </c>
      <c r="B3187" t="s">
        <v>7450</v>
      </c>
      <c r="C3187">
        <v>4</v>
      </c>
      <c r="D3187">
        <v>1</v>
      </c>
      <c r="E3187">
        <v>1</v>
      </c>
      <c r="F3187">
        <v>6622.5</v>
      </c>
      <c r="G3187">
        <v>1.0101000000000001E-2</v>
      </c>
      <c r="H3187" t="s">
        <v>2307</v>
      </c>
    </row>
    <row r="3188" spans="1:8">
      <c r="A3188" t="s">
        <v>9748</v>
      </c>
      <c r="B3188" t="s">
        <v>7454</v>
      </c>
      <c r="C3188">
        <v>10</v>
      </c>
      <c r="D3188">
        <v>1</v>
      </c>
      <c r="E3188">
        <v>1</v>
      </c>
      <c r="F3188">
        <v>1150</v>
      </c>
      <c r="G3188">
        <v>1.4196E-3</v>
      </c>
      <c r="H3188" t="s">
        <v>2203</v>
      </c>
    </row>
    <row r="3189" spans="1:8">
      <c r="A3189" t="s">
        <v>9748</v>
      </c>
      <c r="B3189" t="s">
        <v>7452</v>
      </c>
      <c r="C3189">
        <v>10</v>
      </c>
      <c r="D3189">
        <v>100</v>
      </c>
      <c r="E3189">
        <v>1</v>
      </c>
      <c r="F3189">
        <v>0</v>
      </c>
      <c r="G3189">
        <v>0</v>
      </c>
      <c r="H3189" t="s">
        <v>2203</v>
      </c>
    </row>
    <row r="3190" spans="1:8">
      <c r="A3190" t="s">
        <v>9748</v>
      </c>
      <c r="B3190" t="s">
        <v>7453</v>
      </c>
      <c r="C3190">
        <v>100</v>
      </c>
      <c r="D3190">
        <v>1</v>
      </c>
      <c r="E3190">
        <v>1</v>
      </c>
      <c r="F3190">
        <v>144</v>
      </c>
      <c r="G3190">
        <v>2.4360000000000001E-4</v>
      </c>
      <c r="H3190" t="s">
        <v>2203</v>
      </c>
    </row>
    <row r="3191" spans="1:8">
      <c r="A3191" t="s">
        <v>1737</v>
      </c>
      <c r="B3191" t="s">
        <v>3834</v>
      </c>
      <c r="C3191">
        <v>1</v>
      </c>
      <c r="D3191">
        <v>1</v>
      </c>
      <c r="E3191">
        <v>1</v>
      </c>
      <c r="F3191">
        <v>100</v>
      </c>
      <c r="G3191">
        <v>0</v>
      </c>
      <c r="H3191" t="s">
        <v>2197</v>
      </c>
    </row>
    <row r="3192" spans="1:8">
      <c r="A3192" t="s">
        <v>1738</v>
      </c>
      <c r="B3192" t="s">
        <v>3836</v>
      </c>
      <c r="C3192">
        <v>10</v>
      </c>
      <c r="D3192">
        <v>1</v>
      </c>
      <c r="E3192">
        <v>1</v>
      </c>
      <c r="F3192">
        <v>1114</v>
      </c>
      <c r="G3192">
        <v>3.1508500000000002E-3</v>
      </c>
      <c r="H3192" t="s">
        <v>2203</v>
      </c>
    </row>
    <row r="3193" spans="1:8">
      <c r="A3193" t="s">
        <v>3839</v>
      </c>
      <c r="B3193" t="s">
        <v>7455</v>
      </c>
      <c r="C3193">
        <v>10</v>
      </c>
      <c r="D3193">
        <v>1</v>
      </c>
      <c r="E3193">
        <v>1</v>
      </c>
      <c r="F3193">
        <v>1</v>
      </c>
      <c r="G3193">
        <v>0</v>
      </c>
      <c r="H3193" t="s">
        <v>2203</v>
      </c>
    </row>
    <row r="3194" spans="1:8">
      <c r="A3194" t="s">
        <v>1741</v>
      </c>
      <c r="B3194" t="s">
        <v>3838</v>
      </c>
      <c r="C3194">
        <v>10</v>
      </c>
      <c r="D3194">
        <v>100</v>
      </c>
      <c r="E3194">
        <v>1</v>
      </c>
      <c r="F3194">
        <v>17.600000000000001</v>
      </c>
      <c r="G3194" s="4">
        <v>4.1399999999999997E-5</v>
      </c>
      <c r="H3194" t="s">
        <v>2203</v>
      </c>
    </row>
    <row r="3195" spans="1:8">
      <c r="A3195" t="s">
        <v>1744</v>
      </c>
      <c r="B3195" t="s">
        <v>3840</v>
      </c>
      <c r="C3195">
        <v>1</v>
      </c>
      <c r="D3195">
        <v>1</v>
      </c>
      <c r="E3195">
        <v>1</v>
      </c>
      <c r="F3195">
        <v>23030</v>
      </c>
      <c r="G3195">
        <v>1.8559099999999999E-2</v>
      </c>
      <c r="H3195" t="s">
        <v>2303</v>
      </c>
    </row>
    <row r="3196" spans="1:8">
      <c r="A3196" t="s">
        <v>1745</v>
      </c>
      <c r="B3196" t="s">
        <v>3842</v>
      </c>
      <c r="C3196">
        <v>20</v>
      </c>
      <c r="D3196">
        <v>1</v>
      </c>
      <c r="E3196">
        <v>1</v>
      </c>
      <c r="F3196">
        <v>1317.5</v>
      </c>
      <c r="G3196">
        <v>2.7653999999999999E-3</v>
      </c>
      <c r="H3196" t="s">
        <v>2197</v>
      </c>
    </row>
    <row r="3197" spans="1:8">
      <c r="A3197" t="s">
        <v>4777</v>
      </c>
      <c r="B3197" t="s">
        <v>7456</v>
      </c>
      <c r="C3197">
        <v>20</v>
      </c>
      <c r="D3197">
        <v>1</v>
      </c>
      <c r="E3197">
        <v>1</v>
      </c>
      <c r="F3197">
        <v>685</v>
      </c>
      <c r="G3197">
        <v>1.2698E-3</v>
      </c>
      <c r="H3197" t="s">
        <v>2197</v>
      </c>
    </row>
    <row r="3198" spans="1:8">
      <c r="A3198" t="s">
        <v>7458</v>
      </c>
      <c r="B3198" t="s">
        <v>7457</v>
      </c>
      <c r="C3198">
        <v>1</v>
      </c>
      <c r="D3198">
        <v>1</v>
      </c>
      <c r="E3198">
        <v>1</v>
      </c>
      <c r="F3198">
        <v>205000</v>
      </c>
      <c r="G3198">
        <v>0.31285200000000002</v>
      </c>
      <c r="H3198" t="s">
        <v>4806</v>
      </c>
    </row>
    <row r="3199" spans="1:8">
      <c r="A3199" t="s">
        <v>7460</v>
      </c>
      <c r="B3199" t="s">
        <v>7459</v>
      </c>
      <c r="C3199">
        <v>30</v>
      </c>
      <c r="D3199">
        <v>1</v>
      </c>
      <c r="E3199">
        <v>1</v>
      </c>
      <c r="F3199">
        <v>0</v>
      </c>
      <c r="G3199">
        <v>0</v>
      </c>
      <c r="H3199" t="s">
        <v>2197</v>
      </c>
    </row>
    <row r="3200" spans="1:8">
      <c r="A3200" t="s">
        <v>4778</v>
      </c>
      <c r="B3200" t="s">
        <v>7461</v>
      </c>
      <c r="C3200">
        <v>4</v>
      </c>
      <c r="D3200">
        <v>1</v>
      </c>
      <c r="E3200">
        <v>1</v>
      </c>
      <c r="F3200">
        <v>6462.5</v>
      </c>
      <c r="G3200">
        <v>8.1510000000000003E-3</v>
      </c>
      <c r="H3200" t="s">
        <v>2307</v>
      </c>
    </row>
    <row r="3201" spans="1:8">
      <c r="A3201" t="s">
        <v>7463</v>
      </c>
      <c r="B3201" t="s">
        <v>7462</v>
      </c>
      <c r="C3201">
        <v>20</v>
      </c>
      <c r="D3201">
        <v>1</v>
      </c>
      <c r="E3201">
        <v>1</v>
      </c>
      <c r="F3201">
        <v>1160</v>
      </c>
      <c r="G3201">
        <v>2.3888E-3</v>
      </c>
      <c r="H3201" t="s">
        <v>2197</v>
      </c>
    </row>
    <row r="3202" spans="1:8">
      <c r="A3202" t="s">
        <v>7469</v>
      </c>
      <c r="B3202" t="s">
        <v>7468</v>
      </c>
      <c r="C3202">
        <v>20</v>
      </c>
      <c r="D3202">
        <v>1</v>
      </c>
      <c r="E3202">
        <v>1</v>
      </c>
      <c r="F3202">
        <v>1</v>
      </c>
      <c r="G3202">
        <v>0</v>
      </c>
      <c r="H3202" t="s">
        <v>2197</v>
      </c>
    </row>
    <row r="3203" spans="1:8">
      <c r="A3203" t="s">
        <v>7467</v>
      </c>
      <c r="B3203" t="s">
        <v>7466</v>
      </c>
      <c r="C3203">
        <v>50</v>
      </c>
      <c r="D3203">
        <v>1</v>
      </c>
      <c r="E3203">
        <v>1</v>
      </c>
      <c r="F3203">
        <v>140</v>
      </c>
      <c r="G3203">
        <v>3.6400000000000001E-4</v>
      </c>
      <c r="H3203" t="s">
        <v>2197</v>
      </c>
    </row>
    <row r="3204" spans="1:8">
      <c r="A3204" t="s">
        <v>7465</v>
      </c>
      <c r="B3204" t="s">
        <v>7464</v>
      </c>
      <c r="C3204">
        <v>50</v>
      </c>
      <c r="D3204">
        <v>1</v>
      </c>
      <c r="E3204">
        <v>1</v>
      </c>
      <c r="F3204">
        <v>316</v>
      </c>
      <c r="G3204">
        <v>7.6300000000000001E-4</v>
      </c>
      <c r="H3204" t="s">
        <v>2197</v>
      </c>
    </row>
    <row r="3205" spans="1:8">
      <c r="A3205" t="s">
        <v>7471</v>
      </c>
      <c r="B3205" t="s">
        <v>7470</v>
      </c>
      <c r="C3205">
        <v>50</v>
      </c>
      <c r="D3205">
        <v>1</v>
      </c>
      <c r="E3205">
        <v>1</v>
      </c>
      <c r="F3205">
        <v>1</v>
      </c>
      <c r="G3205">
        <v>0</v>
      </c>
      <c r="H3205" t="s">
        <v>2197</v>
      </c>
    </row>
    <row r="3206" spans="1:8">
      <c r="A3206" t="s">
        <v>7473</v>
      </c>
      <c r="B3206" t="s">
        <v>7472</v>
      </c>
      <c r="C3206">
        <v>15</v>
      </c>
      <c r="D3206">
        <v>1</v>
      </c>
      <c r="E3206">
        <v>1</v>
      </c>
      <c r="F3206">
        <v>0</v>
      </c>
      <c r="G3206">
        <v>0</v>
      </c>
      <c r="H3206" t="s">
        <v>2197</v>
      </c>
    </row>
    <row r="3207" spans="1:8">
      <c r="A3207" t="s">
        <v>9749</v>
      </c>
      <c r="B3207" t="s">
        <v>7475</v>
      </c>
      <c r="C3207">
        <v>1</v>
      </c>
      <c r="D3207">
        <v>1</v>
      </c>
      <c r="E3207">
        <v>1</v>
      </c>
      <c r="F3207">
        <v>23110</v>
      </c>
      <c r="G3207">
        <v>1.8559124999999999E-2</v>
      </c>
      <c r="H3207" t="s">
        <v>2303</v>
      </c>
    </row>
    <row r="3208" spans="1:8">
      <c r="A3208" t="s">
        <v>9750</v>
      </c>
      <c r="B3208" t="s">
        <v>7474</v>
      </c>
      <c r="C3208">
        <v>4</v>
      </c>
      <c r="D3208">
        <v>1</v>
      </c>
      <c r="E3208">
        <v>1</v>
      </c>
      <c r="F3208">
        <v>5967.5</v>
      </c>
      <c r="G3208">
        <v>1.009125E-2</v>
      </c>
      <c r="H3208" t="s">
        <v>2307</v>
      </c>
    </row>
    <row r="3209" spans="1:8">
      <c r="A3209" t="s">
        <v>4779</v>
      </c>
      <c r="B3209" t="s">
        <v>7476</v>
      </c>
      <c r="C3209">
        <v>10</v>
      </c>
      <c r="D3209">
        <v>1</v>
      </c>
      <c r="E3209">
        <v>1</v>
      </c>
      <c r="F3209">
        <v>1350</v>
      </c>
      <c r="G3209">
        <v>1.0395000000000001E-3</v>
      </c>
      <c r="H3209" t="s">
        <v>2203</v>
      </c>
    </row>
    <row r="3210" spans="1:8">
      <c r="A3210" t="s">
        <v>4782</v>
      </c>
      <c r="B3210" t="s">
        <v>7477</v>
      </c>
      <c r="C3210">
        <v>10</v>
      </c>
      <c r="D3210">
        <v>1</v>
      </c>
      <c r="E3210">
        <v>1</v>
      </c>
      <c r="F3210">
        <v>626</v>
      </c>
      <c r="G3210">
        <v>1.2663500000000001E-3</v>
      </c>
      <c r="H3210" t="s">
        <v>2197</v>
      </c>
    </row>
    <row r="3211" spans="1:8">
      <c r="A3211" t="s">
        <v>4780</v>
      </c>
      <c r="B3211" t="s">
        <v>7480</v>
      </c>
      <c r="C3211">
        <v>24</v>
      </c>
      <c r="D3211">
        <v>1</v>
      </c>
      <c r="E3211">
        <v>1</v>
      </c>
      <c r="F3211">
        <v>318.8</v>
      </c>
      <c r="G3211">
        <v>6.581E-4</v>
      </c>
      <c r="H3211" t="s">
        <v>2197</v>
      </c>
    </row>
    <row r="3212" spans="1:8">
      <c r="A3212" t="s">
        <v>4781</v>
      </c>
      <c r="B3212" t="s">
        <v>7478</v>
      </c>
      <c r="C3212">
        <v>48</v>
      </c>
      <c r="D3212">
        <v>1</v>
      </c>
      <c r="E3212">
        <v>1</v>
      </c>
      <c r="F3212">
        <v>157.30000000000001</v>
      </c>
      <c r="G3212">
        <v>4.9089999999999995E-4</v>
      </c>
      <c r="H3212" t="s">
        <v>2197</v>
      </c>
    </row>
    <row r="3213" spans="1:8">
      <c r="A3213" t="s">
        <v>4783</v>
      </c>
      <c r="B3213" t="s">
        <v>7481</v>
      </c>
      <c r="C3213">
        <v>80</v>
      </c>
      <c r="D3213">
        <v>1</v>
      </c>
      <c r="E3213">
        <v>1</v>
      </c>
      <c r="F3213">
        <v>71.900000000000006</v>
      </c>
      <c r="G3213">
        <v>1.6789999999999999E-4</v>
      </c>
      <c r="H3213" t="s">
        <v>2197</v>
      </c>
    </row>
    <row r="3214" spans="1:8">
      <c r="A3214" t="s">
        <v>1746</v>
      </c>
      <c r="B3214" t="s">
        <v>3843</v>
      </c>
      <c r="C3214">
        <v>24</v>
      </c>
      <c r="D3214">
        <v>1</v>
      </c>
      <c r="E3214">
        <v>1</v>
      </c>
      <c r="F3214">
        <v>318.8</v>
      </c>
      <c r="G3214">
        <v>6.581E-4</v>
      </c>
      <c r="H3214" t="s">
        <v>2197</v>
      </c>
    </row>
    <row r="3215" spans="1:8">
      <c r="A3215" t="s">
        <v>1748</v>
      </c>
      <c r="B3215" t="s">
        <v>3845</v>
      </c>
      <c r="C3215">
        <v>48</v>
      </c>
      <c r="D3215">
        <v>1</v>
      </c>
      <c r="E3215">
        <v>1</v>
      </c>
      <c r="F3215">
        <v>133.30000000000001</v>
      </c>
      <c r="G3215">
        <v>3.2499999999999999E-4</v>
      </c>
      <c r="H3215" t="s">
        <v>2197</v>
      </c>
    </row>
    <row r="3216" spans="1:8">
      <c r="A3216" t="s">
        <v>1750</v>
      </c>
      <c r="B3216" t="s">
        <v>3846</v>
      </c>
      <c r="C3216">
        <v>80</v>
      </c>
      <c r="D3216">
        <v>1</v>
      </c>
      <c r="E3216">
        <v>1</v>
      </c>
      <c r="F3216">
        <v>70.599999999999994</v>
      </c>
      <c r="G3216">
        <v>1.7560000000000001E-4</v>
      </c>
      <c r="H3216" t="s">
        <v>2197</v>
      </c>
    </row>
    <row r="3217" spans="1:8">
      <c r="A3217" t="s">
        <v>4784</v>
      </c>
      <c r="B3217" t="s">
        <v>7479</v>
      </c>
      <c r="C3217">
        <v>40</v>
      </c>
      <c r="D3217">
        <v>5</v>
      </c>
      <c r="E3217">
        <v>1</v>
      </c>
      <c r="F3217">
        <v>0</v>
      </c>
      <c r="G3217">
        <v>0</v>
      </c>
      <c r="H3217" t="s">
        <v>2203</v>
      </c>
    </row>
    <row r="3218" spans="1:8">
      <c r="A3218" t="s">
        <v>1752</v>
      </c>
      <c r="B3218" t="s">
        <v>3847</v>
      </c>
      <c r="C3218">
        <v>100</v>
      </c>
      <c r="D3218">
        <v>1</v>
      </c>
      <c r="E3218">
        <v>1</v>
      </c>
      <c r="F3218">
        <v>152.19999999999999</v>
      </c>
      <c r="G3218">
        <v>2.7562499999999999E-4</v>
      </c>
      <c r="H3218" t="s">
        <v>2197</v>
      </c>
    </row>
    <row r="3219" spans="1:8">
      <c r="A3219" t="s">
        <v>1753</v>
      </c>
      <c r="B3219" t="s">
        <v>3849</v>
      </c>
      <c r="C3219">
        <v>20</v>
      </c>
      <c r="D3219">
        <v>1</v>
      </c>
      <c r="E3219">
        <v>1</v>
      </c>
      <c r="F3219">
        <v>567.5</v>
      </c>
      <c r="G3219">
        <v>1.4032999999999999E-3</v>
      </c>
      <c r="H3219" t="s">
        <v>2197</v>
      </c>
    </row>
    <row r="3220" spans="1:8">
      <c r="A3220" t="s">
        <v>1754</v>
      </c>
      <c r="B3220" t="s">
        <v>3850</v>
      </c>
      <c r="C3220">
        <v>40</v>
      </c>
      <c r="D3220">
        <v>1</v>
      </c>
      <c r="E3220">
        <v>1</v>
      </c>
      <c r="F3220">
        <v>375</v>
      </c>
      <c r="G3220">
        <v>8.4219999999999998E-4</v>
      </c>
      <c r="H3220" t="s">
        <v>2197</v>
      </c>
    </row>
    <row r="3221" spans="1:8">
      <c r="A3221" t="s">
        <v>4785</v>
      </c>
      <c r="B3221" t="s">
        <v>7482</v>
      </c>
      <c r="C3221">
        <v>100</v>
      </c>
      <c r="D3221">
        <v>1</v>
      </c>
      <c r="E3221">
        <v>1</v>
      </c>
      <c r="F3221">
        <v>130.5</v>
      </c>
      <c r="G3221">
        <v>3.3799500000000001E-4</v>
      </c>
      <c r="H3221" t="s">
        <v>2197</v>
      </c>
    </row>
    <row r="3222" spans="1:8">
      <c r="A3222" t="s">
        <v>1755</v>
      </c>
      <c r="B3222" t="s">
        <v>3851</v>
      </c>
      <c r="C3222">
        <v>40</v>
      </c>
      <c r="D3222">
        <v>1</v>
      </c>
      <c r="E3222">
        <v>1</v>
      </c>
      <c r="F3222">
        <v>325</v>
      </c>
      <c r="G3222">
        <v>7.4200000000000004E-4</v>
      </c>
      <c r="H3222" t="s">
        <v>2197</v>
      </c>
    </row>
    <row r="3223" spans="1:8">
      <c r="A3223" t="s">
        <v>9751</v>
      </c>
      <c r="B3223" t="s">
        <v>7484</v>
      </c>
      <c r="C3223">
        <v>50</v>
      </c>
      <c r="D3223">
        <v>1</v>
      </c>
      <c r="E3223">
        <v>1</v>
      </c>
      <c r="F3223">
        <v>139</v>
      </c>
      <c r="G3223">
        <v>2.9809999999999998E-4</v>
      </c>
      <c r="H3223" t="s">
        <v>2197</v>
      </c>
    </row>
    <row r="3224" spans="1:8">
      <c r="A3224" t="s">
        <v>4786</v>
      </c>
      <c r="B3224" t="s">
        <v>7483</v>
      </c>
      <c r="C3224">
        <v>100</v>
      </c>
      <c r="D3224">
        <v>1</v>
      </c>
      <c r="E3224">
        <v>1</v>
      </c>
      <c r="F3224">
        <v>0</v>
      </c>
      <c r="G3224">
        <v>0</v>
      </c>
      <c r="H3224" t="s">
        <v>2197</v>
      </c>
    </row>
    <row r="3225" spans="1:8">
      <c r="A3225" t="s">
        <v>1757</v>
      </c>
      <c r="B3225" t="s">
        <v>3853</v>
      </c>
      <c r="C3225">
        <v>20</v>
      </c>
      <c r="D3225">
        <v>1</v>
      </c>
      <c r="E3225">
        <v>1</v>
      </c>
      <c r="F3225">
        <v>355</v>
      </c>
      <c r="G3225">
        <v>7.1279999999999998E-4</v>
      </c>
      <c r="H3225" t="s">
        <v>2197</v>
      </c>
    </row>
    <row r="3226" spans="1:8">
      <c r="A3226" t="s">
        <v>7490</v>
      </c>
      <c r="B3226" t="s">
        <v>7489</v>
      </c>
      <c r="C3226">
        <v>10</v>
      </c>
      <c r="D3226">
        <v>1</v>
      </c>
      <c r="E3226">
        <v>1</v>
      </c>
      <c r="F3226">
        <v>1</v>
      </c>
      <c r="G3226">
        <v>0</v>
      </c>
      <c r="H3226" t="s">
        <v>2203</v>
      </c>
    </row>
    <row r="3227" spans="1:8">
      <c r="A3227" t="s">
        <v>4787</v>
      </c>
      <c r="B3227" t="s">
        <v>7485</v>
      </c>
      <c r="C3227">
        <v>12</v>
      </c>
      <c r="D3227">
        <v>1</v>
      </c>
      <c r="E3227">
        <v>1</v>
      </c>
      <c r="F3227">
        <v>1000</v>
      </c>
      <c r="G3227">
        <v>0</v>
      </c>
      <c r="H3227" t="s">
        <v>2203</v>
      </c>
    </row>
    <row r="3228" spans="1:8">
      <c r="A3228" t="s">
        <v>7488</v>
      </c>
      <c r="B3228" t="s">
        <v>7487</v>
      </c>
      <c r="C3228">
        <v>20</v>
      </c>
      <c r="D3228">
        <v>1</v>
      </c>
      <c r="E3228">
        <v>1</v>
      </c>
      <c r="F3228">
        <v>1</v>
      </c>
      <c r="G3228">
        <v>0</v>
      </c>
      <c r="H3228" t="s">
        <v>2203</v>
      </c>
    </row>
    <row r="3229" spans="1:8">
      <c r="A3229" t="s">
        <v>4788</v>
      </c>
      <c r="B3229" t="s">
        <v>7486</v>
      </c>
      <c r="C3229">
        <v>6</v>
      </c>
      <c r="D3229">
        <v>1</v>
      </c>
      <c r="E3229">
        <v>1</v>
      </c>
      <c r="F3229">
        <v>2000</v>
      </c>
      <c r="G3229">
        <v>0</v>
      </c>
      <c r="H3229" t="s">
        <v>2203</v>
      </c>
    </row>
    <row r="3230" spans="1:8">
      <c r="A3230" t="s">
        <v>5014</v>
      </c>
      <c r="B3230" t="s">
        <v>7491</v>
      </c>
      <c r="C3230">
        <v>20</v>
      </c>
      <c r="D3230">
        <v>1</v>
      </c>
      <c r="E3230">
        <v>1</v>
      </c>
      <c r="F3230">
        <v>500</v>
      </c>
      <c r="G3230">
        <v>0</v>
      </c>
      <c r="H3230" t="s">
        <v>2203</v>
      </c>
    </row>
    <row r="3231" spans="1:8">
      <c r="A3231" t="s">
        <v>7493</v>
      </c>
      <c r="B3231" t="s">
        <v>7492</v>
      </c>
      <c r="C3231">
        <v>20</v>
      </c>
      <c r="D3231">
        <v>1</v>
      </c>
      <c r="E3231">
        <v>1</v>
      </c>
      <c r="F3231">
        <v>1</v>
      </c>
      <c r="G3231">
        <v>0</v>
      </c>
      <c r="H3231" t="s">
        <v>2197</v>
      </c>
    </row>
    <row r="3232" spans="1:8">
      <c r="A3232" t="s">
        <v>7499</v>
      </c>
      <c r="B3232" t="s">
        <v>7498</v>
      </c>
      <c r="C3232">
        <v>1</v>
      </c>
      <c r="D3232">
        <v>1</v>
      </c>
      <c r="E3232">
        <v>1</v>
      </c>
      <c r="F3232">
        <v>1</v>
      </c>
      <c r="G3232">
        <v>0</v>
      </c>
      <c r="H3232" t="s">
        <v>2303</v>
      </c>
    </row>
    <row r="3233" spans="1:8">
      <c r="A3233" t="s">
        <v>7495</v>
      </c>
      <c r="B3233" t="s">
        <v>7494</v>
      </c>
      <c r="C3233">
        <v>20</v>
      </c>
      <c r="D3233">
        <v>1</v>
      </c>
      <c r="E3233">
        <v>1</v>
      </c>
      <c r="F3233">
        <v>1</v>
      </c>
      <c r="G3233">
        <v>0</v>
      </c>
      <c r="H3233" t="s">
        <v>2197</v>
      </c>
    </row>
    <row r="3234" spans="1:8">
      <c r="A3234" t="s">
        <v>7497</v>
      </c>
      <c r="B3234" t="s">
        <v>7496</v>
      </c>
      <c r="C3234">
        <v>4</v>
      </c>
      <c r="D3234">
        <v>1</v>
      </c>
      <c r="E3234">
        <v>1</v>
      </c>
      <c r="F3234">
        <v>1</v>
      </c>
      <c r="G3234">
        <v>0</v>
      </c>
      <c r="H3234" t="s">
        <v>2307</v>
      </c>
    </row>
    <row r="3235" spans="1:8">
      <c r="A3235" t="s">
        <v>4789</v>
      </c>
      <c r="B3235" t="s">
        <v>7500</v>
      </c>
      <c r="C3235">
        <v>30</v>
      </c>
      <c r="D3235">
        <v>1</v>
      </c>
      <c r="E3235">
        <v>1</v>
      </c>
      <c r="F3235">
        <v>548.66666666666697</v>
      </c>
      <c r="G3235">
        <v>7.8026666666666702E-4</v>
      </c>
      <c r="H3235" t="s">
        <v>2203</v>
      </c>
    </row>
    <row r="3236" spans="1:8">
      <c r="A3236" t="s">
        <v>4790</v>
      </c>
      <c r="B3236" t="s">
        <v>7503</v>
      </c>
      <c r="C3236">
        <v>30</v>
      </c>
      <c r="D3236">
        <v>1</v>
      </c>
      <c r="E3236">
        <v>1</v>
      </c>
      <c r="F3236">
        <v>523.33333333333303</v>
      </c>
      <c r="G3236">
        <v>8.1573333333333296E-4</v>
      </c>
      <c r="H3236" t="s">
        <v>2203</v>
      </c>
    </row>
    <row r="3237" spans="1:8">
      <c r="A3237" t="s">
        <v>7502</v>
      </c>
      <c r="B3237" t="s">
        <v>7501</v>
      </c>
      <c r="C3237">
        <v>30</v>
      </c>
      <c r="D3237">
        <v>1</v>
      </c>
      <c r="E3237">
        <v>1</v>
      </c>
      <c r="F3237">
        <v>0</v>
      </c>
      <c r="G3237">
        <v>0</v>
      </c>
      <c r="H3237" t="s">
        <v>2203</v>
      </c>
    </row>
    <row r="3238" spans="1:8">
      <c r="A3238" t="s">
        <v>4791</v>
      </c>
      <c r="B3238" t="s">
        <v>7504</v>
      </c>
      <c r="C3238">
        <v>30</v>
      </c>
      <c r="D3238">
        <v>1</v>
      </c>
      <c r="E3238">
        <v>1</v>
      </c>
      <c r="F3238">
        <v>0</v>
      </c>
      <c r="G3238">
        <v>0</v>
      </c>
      <c r="H3238" t="s">
        <v>2203</v>
      </c>
    </row>
    <row r="3239" spans="1:8">
      <c r="A3239" t="s">
        <v>4793</v>
      </c>
      <c r="B3239" t="s">
        <v>7506</v>
      </c>
      <c r="C3239">
        <v>200</v>
      </c>
      <c r="D3239">
        <v>1</v>
      </c>
      <c r="E3239">
        <v>1</v>
      </c>
      <c r="F3239">
        <v>0</v>
      </c>
      <c r="G3239">
        <v>0</v>
      </c>
      <c r="H3239" t="s">
        <v>2203</v>
      </c>
    </row>
    <row r="3240" spans="1:8">
      <c r="A3240" t="s">
        <v>4792</v>
      </c>
      <c r="B3240" t="s">
        <v>7505</v>
      </c>
      <c r="C3240">
        <v>30</v>
      </c>
      <c r="D3240">
        <v>1</v>
      </c>
      <c r="E3240">
        <v>1</v>
      </c>
      <c r="F3240">
        <v>551</v>
      </c>
      <c r="G3240">
        <v>7.8026666666666702E-4</v>
      </c>
      <c r="H3240" t="s">
        <v>2203</v>
      </c>
    </row>
    <row r="3241" spans="1:8">
      <c r="A3241" t="s">
        <v>9752</v>
      </c>
      <c r="B3241" t="s">
        <v>7507</v>
      </c>
      <c r="C3241">
        <v>20</v>
      </c>
      <c r="D3241">
        <v>1</v>
      </c>
      <c r="E3241">
        <v>1</v>
      </c>
      <c r="F3241">
        <v>1075</v>
      </c>
      <c r="G3241">
        <v>2.9315000000000001E-3</v>
      </c>
      <c r="H3241" t="s">
        <v>2203</v>
      </c>
    </row>
    <row r="3242" spans="1:8">
      <c r="A3242" t="s">
        <v>9022</v>
      </c>
      <c r="B3242" t="s">
        <v>9021</v>
      </c>
      <c r="C3242">
        <v>1</v>
      </c>
      <c r="D3242">
        <v>1</v>
      </c>
      <c r="E3242">
        <v>1</v>
      </c>
      <c r="F3242">
        <v>1</v>
      </c>
      <c r="G3242">
        <v>0</v>
      </c>
      <c r="H3242" t="s">
        <v>2221</v>
      </c>
    </row>
    <row r="3243" spans="1:8">
      <c r="A3243" t="s">
        <v>9020</v>
      </c>
      <c r="B3243" t="s">
        <v>9019</v>
      </c>
      <c r="C3243">
        <v>1</v>
      </c>
      <c r="D3243">
        <v>1</v>
      </c>
      <c r="E3243">
        <v>1</v>
      </c>
      <c r="F3243">
        <v>1</v>
      </c>
      <c r="G3243">
        <v>0</v>
      </c>
      <c r="H3243" t="s">
        <v>2221</v>
      </c>
    </row>
    <row r="3244" spans="1:8">
      <c r="A3244" t="s">
        <v>4794</v>
      </c>
      <c r="B3244" t="s">
        <v>7508</v>
      </c>
      <c r="C3244">
        <v>100</v>
      </c>
      <c r="D3244">
        <v>1</v>
      </c>
      <c r="E3244">
        <v>1</v>
      </c>
      <c r="F3244">
        <v>137</v>
      </c>
      <c r="G3244">
        <v>2.7300000000000002E-4</v>
      </c>
      <c r="H3244" t="s">
        <v>2197</v>
      </c>
    </row>
    <row r="3245" spans="1:8">
      <c r="A3245" t="s">
        <v>4797</v>
      </c>
      <c r="B3245" t="s">
        <v>7509</v>
      </c>
      <c r="C3245">
        <v>40</v>
      </c>
      <c r="D3245">
        <v>1</v>
      </c>
      <c r="E3245">
        <v>1</v>
      </c>
      <c r="F3245">
        <v>327.75</v>
      </c>
      <c r="G3245">
        <v>7.1040000000000003E-4</v>
      </c>
      <c r="H3245" t="s">
        <v>2197</v>
      </c>
    </row>
    <row r="3246" spans="1:8">
      <c r="A3246" t="s">
        <v>4795</v>
      </c>
      <c r="B3246" t="s">
        <v>7510</v>
      </c>
      <c r="C3246">
        <v>100</v>
      </c>
      <c r="D3246">
        <v>1</v>
      </c>
      <c r="E3246">
        <v>1</v>
      </c>
      <c r="F3246">
        <v>137</v>
      </c>
      <c r="G3246">
        <v>2.7300000000000002E-4</v>
      </c>
      <c r="H3246" t="s">
        <v>2197</v>
      </c>
    </row>
    <row r="3247" spans="1:8">
      <c r="A3247" t="s">
        <v>4796</v>
      </c>
      <c r="B3247" t="s">
        <v>7511</v>
      </c>
      <c r="C3247">
        <v>40</v>
      </c>
      <c r="D3247">
        <v>1</v>
      </c>
      <c r="E3247">
        <v>1</v>
      </c>
      <c r="F3247">
        <v>326.25</v>
      </c>
      <c r="G3247">
        <v>6.56184375E-4</v>
      </c>
      <c r="H3247" t="s">
        <v>2197</v>
      </c>
    </row>
    <row r="3248" spans="1:8">
      <c r="A3248" t="s">
        <v>7513</v>
      </c>
      <c r="B3248" t="s">
        <v>7512</v>
      </c>
      <c r="C3248">
        <v>1</v>
      </c>
      <c r="D3248">
        <v>1</v>
      </c>
      <c r="E3248">
        <v>1</v>
      </c>
      <c r="F3248">
        <v>23540</v>
      </c>
      <c r="G3248">
        <v>1.8559124999999999E-2</v>
      </c>
      <c r="H3248" t="s">
        <v>2303</v>
      </c>
    </row>
    <row r="3249" spans="1:8">
      <c r="A3249" t="s">
        <v>4798</v>
      </c>
      <c r="B3249" t="s">
        <v>7514</v>
      </c>
      <c r="C3249">
        <v>4</v>
      </c>
      <c r="D3249">
        <v>20</v>
      </c>
      <c r="E3249">
        <v>1</v>
      </c>
      <c r="F3249">
        <v>37.5</v>
      </c>
      <c r="G3249" s="4">
        <v>8.8549999999999998E-5</v>
      </c>
      <c r="H3249" t="s">
        <v>2197</v>
      </c>
    </row>
    <row r="3250" spans="1:8">
      <c r="A3250" t="s">
        <v>1761</v>
      </c>
      <c r="B3250" t="s">
        <v>3855</v>
      </c>
      <c r="C3250">
        <v>100</v>
      </c>
      <c r="D3250">
        <v>1</v>
      </c>
      <c r="E3250">
        <v>1</v>
      </c>
      <c r="F3250">
        <v>121</v>
      </c>
      <c r="G3250">
        <v>4.9364000000000005E-4</v>
      </c>
      <c r="H3250" t="s">
        <v>2203</v>
      </c>
    </row>
    <row r="3251" spans="1:8">
      <c r="A3251" t="s">
        <v>1767</v>
      </c>
      <c r="B3251" t="s">
        <v>3857</v>
      </c>
      <c r="C3251">
        <v>20</v>
      </c>
      <c r="D3251">
        <v>1</v>
      </c>
      <c r="E3251">
        <v>1</v>
      </c>
      <c r="F3251">
        <v>592.5</v>
      </c>
      <c r="G3251">
        <v>2.44035E-3</v>
      </c>
      <c r="H3251" t="s">
        <v>2203</v>
      </c>
    </row>
    <row r="3252" spans="1:8">
      <c r="A3252" t="s">
        <v>1771</v>
      </c>
      <c r="B3252" t="s">
        <v>3858</v>
      </c>
      <c r="C3252">
        <v>40</v>
      </c>
      <c r="D3252">
        <v>1</v>
      </c>
      <c r="E3252">
        <v>1</v>
      </c>
      <c r="F3252">
        <v>291.3</v>
      </c>
      <c r="G3252">
        <v>1.005E-3</v>
      </c>
      <c r="H3252" t="s">
        <v>2203</v>
      </c>
    </row>
    <row r="3253" spans="1:8">
      <c r="A3253" t="s">
        <v>4799</v>
      </c>
      <c r="B3253" t="s">
        <v>7515</v>
      </c>
      <c r="C3253">
        <v>100</v>
      </c>
      <c r="D3253">
        <v>1</v>
      </c>
      <c r="E3253">
        <v>1</v>
      </c>
      <c r="F3253">
        <v>136.5</v>
      </c>
      <c r="G3253">
        <v>2.6018999999999999E-4</v>
      </c>
      <c r="H3253" t="s">
        <v>2197</v>
      </c>
    </row>
    <row r="3254" spans="1:8">
      <c r="A3254" t="s">
        <v>4800</v>
      </c>
      <c r="B3254" t="s">
        <v>7516</v>
      </c>
      <c r="C3254">
        <v>40</v>
      </c>
      <c r="D3254">
        <v>1</v>
      </c>
      <c r="E3254">
        <v>1</v>
      </c>
      <c r="F3254">
        <v>359.25</v>
      </c>
      <c r="G3254">
        <v>6.8639999999999999E-4</v>
      </c>
      <c r="H3254" t="s">
        <v>2197</v>
      </c>
    </row>
    <row r="3255" spans="1:8">
      <c r="A3255" t="s">
        <v>1775</v>
      </c>
      <c r="B3255" t="s">
        <v>3859</v>
      </c>
      <c r="C3255">
        <v>1</v>
      </c>
      <c r="D3255">
        <v>1</v>
      </c>
      <c r="E3255">
        <v>1</v>
      </c>
      <c r="F3255">
        <v>1</v>
      </c>
      <c r="G3255">
        <v>0</v>
      </c>
      <c r="H3255" t="s">
        <v>2221</v>
      </c>
    </row>
    <row r="3256" spans="1:8">
      <c r="A3256" t="s">
        <v>1776</v>
      </c>
      <c r="B3256" t="s">
        <v>3860</v>
      </c>
      <c r="C3256">
        <v>1</v>
      </c>
      <c r="D3256">
        <v>1</v>
      </c>
      <c r="E3256">
        <v>1</v>
      </c>
      <c r="F3256">
        <v>359.25</v>
      </c>
      <c r="G3256">
        <v>6.8639999999999999E-4</v>
      </c>
      <c r="H3256" t="s">
        <v>2221</v>
      </c>
    </row>
    <row r="3257" spans="1:8">
      <c r="A3257" t="s">
        <v>1777</v>
      </c>
      <c r="B3257" t="s">
        <v>3862</v>
      </c>
      <c r="C3257">
        <v>1</v>
      </c>
      <c r="D3257">
        <v>1</v>
      </c>
      <c r="E3257">
        <v>1</v>
      </c>
      <c r="F3257">
        <v>359.25</v>
      </c>
      <c r="G3257">
        <v>6.8639999999999999E-4</v>
      </c>
      <c r="H3257" t="s">
        <v>2221</v>
      </c>
    </row>
    <row r="3258" spans="1:8">
      <c r="A3258" t="s">
        <v>1778</v>
      </c>
      <c r="B3258" t="s">
        <v>3863</v>
      </c>
      <c r="C3258">
        <v>1</v>
      </c>
      <c r="D3258">
        <v>1</v>
      </c>
      <c r="E3258">
        <v>1</v>
      </c>
      <c r="F3258">
        <v>359.25</v>
      </c>
      <c r="G3258">
        <v>6.8639999999999999E-4</v>
      </c>
      <c r="H3258" t="s">
        <v>2221</v>
      </c>
    </row>
    <row r="3259" spans="1:8">
      <c r="A3259" t="s">
        <v>1779</v>
      </c>
      <c r="B3259" t="s">
        <v>3864</v>
      </c>
      <c r="C3259">
        <v>100</v>
      </c>
      <c r="D3259">
        <v>1</v>
      </c>
      <c r="E3259">
        <v>1</v>
      </c>
      <c r="F3259">
        <v>148</v>
      </c>
      <c r="G3259">
        <v>3.0929999999999998E-4</v>
      </c>
      <c r="H3259" t="s">
        <v>2197</v>
      </c>
    </row>
    <row r="3260" spans="1:8">
      <c r="A3260" t="s">
        <v>1782</v>
      </c>
      <c r="B3260" t="s">
        <v>3866</v>
      </c>
      <c r="C3260">
        <v>40</v>
      </c>
      <c r="D3260">
        <v>1</v>
      </c>
      <c r="E3260">
        <v>1</v>
      </c>
      <c r="F3260">
        <v>342.5</v>
      </c>
      <c r="G3260">
        <v>7.8030000000000005E-4</v>
      </c>
      <c r="H3260" t="s">
        <v>2221</v>
      </c>
    </row>
    <row r="3261" spans="1:8">
      <c r="A3261" t="s">
        <v>7518</v>
      </c>
      <c r="B3261" t="s">
        <v>7517</v>
      </c>
      <c r="C3261">
        <v>100</v>
      </c>
      <c r="D3261">
        <v>1</v>
      </c>
      <c r="E3261">
        <v>1</v>
      </c>
      <c r="F3261">
        <v>1</v>
      </c>
      <c r="G3261">
        <v>0</v>
      </c>
      <c r="H3261" t="s">
        <v>2197</v>
      </c>
    </row>
    <row r="3262" spans="1:8">
      <c r="A3262" t="s">
        <v>9753</v>
      </c>
      <c r="B3262" t="s">
        <v>7519</v>
      </c>
      <c r="C3262">
        <v>50</v>
      </c>
      <c r="D3262">
        <v>1</v>
      </c>
      <c r="E3262">
        <v>1</v>
      </c>
      <c r="F3262">
        <v>1242.5</v>
      </c>
      <c r="G3262">
        <v>2.6138000000000002E-4</v>
      </c>
      <c r="H3262" t="s">
        <v>2197</v>
      </c>
    </row>
    <row r="3263" spans="1:8">
      <c r="A3263" t="s">
        <v>4801</v>
      </c>
      <c r="B3263" t="s">
        <v>7520</v>
      </c>
      <c r="C3263">
        <v>20</v>
      </c>
      <c r="D3263">
        <v>1</v>
      </c>
      <c r="E3263">
        <v>1</v>
      </c>
      <c r="F3263">
        <v>0</v>
      </c>
      <c r="G3263">
        <v>0</v>
      </c>
      <c r="H3263" t="s">
        <v>2197</v>
      </c>
    </row>
    <row r="3264" spans="1:8">
      <c r="A3264" t="s">
        <v>4802</v>
      </c>
      <c r="B3264" t="s">
        <v>7521</v>
      </c>
      <c r="C3264">
        <v>20</v>
      </c>
      <c r="D3264">
        <v>1</v>
      </c>
      <c r="E3264">
        <v>1</v>
      </c>
      <c r="F3264">
        <v>529.5</v>
      </c>
      <c r="G3264">
        <v>1.1636999999999999E-3</v>
      </c>
      <c r="H3264" t="s">
        <v>2197</v>
      </c>
    </row>
    <row r="3265" spans="1:8">
      <c r="A3265" t="s">
        <v>4804</v>
      </c>
      <c r="B3265" t="s">
        <v>7523</v>
      </c>
      <c r="C3265">
        <v>40</v>
      </c>
      <c r="D3265">
        <v>1</v>
      </c>
      <c r="E3265">
        <v>1</v>
      </c>
      <c r="F3265">
        <v>529.5</v>
      </c>
      <c r="G3265">
        <v>1.1636624999999999E-3</v>
      </c>
      <c r="H3265" t="s">
        <v>2197</v>
      </c>
    </row>
    <row r="3266" spans="1:8">
      <c r="A3266" t="s">
        <v>4803</v>
      </c>
      <c r="B3266" t="s">
        <v>7522</v>
      </c>
      <c r="C3266">
        <v>50</v>
      </c>
      <c r="D3266">
        <v>1</v>
      </c>
      <c r="E3266">
        <v>1</v>
      </c>
      <c r="F3266">
        <v>0</v>
      </c>
      <c r="G3266">
        <v>0</v>
      </c>
      <c r="H3266" t="s">
        <v>2197</v>
      </c>
    </row>
    <row r="3267" spans="1:8">
      <c r="A3267" t="s">
        <v>9754</v>
      </c>
      <c r="B3267" t="s">
        <v>7524</v>
      </c>
      <c r="C3267">
        <v>100</v>
      </c>
      <c r="D3267">
        <v>1</v>
      </c>
      <c r="E3267">
        <v>1</v>
      </c>
      <c r="F3267">
        <v>1</v>
      </c>
      <c r="G3267">
        <v>0</v>
      </c>
      <c r="H3267" t="s">
        <v>2197</v>
      </c>
    </row>
    <row r="3268" spans="1:8">
      <c r="A3268" t="s">
        <v>1783</v>
      </c>
      <c r="B3268" t="s">
        <v>3867</v>
      </c>
      <c r="C3268">
        <v>40</v>
      </c>
      <c r="D3268">
        <v>1</v>
      </c>
      <c r="E3268">
        <v>1</v>
      </c>
      <c r="F3268">
        <v>287.5</v>
      </c>
      <c r="G3268">
        <v>8.2620000000000002E-4</v>
      </c>
      <c r="H3268" t="s">
        <v>2197</v>
      </c>
    </row>
    <row r="3269" spans="1:8">
      <c r="A3269" t="s">
        <v>1784</v>
      </c>
      <c r="B3269" t="s">
        <v>3869</v>
      </c>
      <c r="C3269">
        <v>50</v>
      </c>
      <c r="D3269">
        <v>1</v>
      </c>
      <c r="E3269">
        <v>1</v>
      </c>
      <c r="F3269">
        <v>146</v>
      </c>
      <c r="G3269">
        <v>3.6000000000000002E-4</v>
      </c>
      <c r="H3269" t="s">
        <v>2197</v>
      </c>
    </row>
    <row r="3270" spans="1:8">
      <c r="A3270" t="s">
        <v>7526</v>
      </c>
      <c r="B3270" t="s">
        <v>7525</v>
      </c>
      <c r="C3270">
        <v>1</v>
      </c>
      <c r="D3270">
        <v>1</v>
      </c>
      <c r="E3270">
        <v>1</v>
      </c>
      <c r="F3270">
        <v>51000</v>
      </c>
      <c r="G3270">
        <v>5.3999999999999999E-2</v>
      </c>
      <c r="H3270" t="s">
        <v>2994</v>
      </c>
    </row>
    <row r="3271" spans="1:8">
      <c r="A3271" t="s">
        <v>7528</v>
      </c>
      <c r="B3271" t="s">
        <v>7527</v>
      </c>
      <c r="C3271">
        <v>12</v>
      </c>
      <c r="D3271">
        <v>1</v>
      </c>
      <c r="E3271">
        <v>1</v>
      </c>
      <c r="F3271">
        <v>0</v>
      </c>
      <c r="G3271">
        <v>0</v>
      </c>
      <c r="H3271" t="s">
        <v>2197</v>
      </c>
    </row>
    <row r="3272" spans="1:8">
      <c r="A3272" t="s">
        <v>7530</v>
      </c>
      <c r="B3272" t="s">
        <v>7529</v>
      </c>
      <c r="C3272">
        <v>1</v>
      </c>
      <c r="D3272">
        <v>1</v>
      </c>
      <c r="E3272">
        <v>1</v>
      </c>
      <c r="F3272">
        <v>25040</v>
      </c>
      <c r="G3272">
        <v>1.8559124999999999E-2</v>
      </c>
      <c r="H3272" t="s">
        <v>2303</v>
      </c>
    </row>
    <row r="3273" spans="1:8">
      <c r="A3273" t="s">
        <v>4807</v>
      </c>
      <c r="B3273" t="s">
        <v>7531</v>
      </c>
      <c r="C3273">
        <v>1</v>
      </c>
      <c r="D3273">
        <v>1</v>
      </c>
      <c r="E3273">
        <v>1</v>
      </c>
      <c r="F3273">
        <v>24970</v>
      </c>
      <c r="G3273">
        <v>1.8559124999999999E-2</v>
      </c>
      <c r="H3273" t="s">
        <v>2303</v>
      </c>
    </row>
    <row r="3274" spans="1:8">
      <c r="A3274" t="s">
        <v>1785</v>
      </c>
      <c r="B3274" t="s">
        <v>3870</v>
      </c>
      <c r="C3274">
        <v>20</v>
      </c>
      <c r="D3274">
        <v>1</v>
      </c>
      <c r="E3274">
        <v>1</v>
      </c>
      <c r="F3274">
        <v>1332</v>
      </c>
      <c r="G3274">
        <v>2.6398874999999998E-3</v>
      </c>
      <c r="H3274" t="s">
        <v>2197</v>
      </c>
    </row>
    <row r="3275" spans="1:8">
      <c r="A3275" t="s">
        <v>4805</v>
      </c>
      <c r="B3275" t="s">
        <v>7532</v>
      </c>
      <c r="C3275">
        <v>1</v>
      </c>
      <c r="D3275">
        <v>1</v>
      </c>
      <c r="E3275">
        <v>1</v>
      </c>
      <c r="F3275">
        <v>205000</v>
      </c>
      <c r="G3275">
        <v>0.31285200000000002</v>
      </c>
      <c r="H3275" t="s">
        <v>4806</v>
      </c>
    </row>
    <row r="3276" spans="1:8">
      <c r="A3276" t="s">
        <v>1788</v>
      </c>
      <c r="B3276" t="s">
        <v>3872</v>
      </c>
      <c r="C3276">
        <v>4</v>
      </c>
      <c r="D3276">
        <v>1</v>
      </c>
      <c r="E3276">
        <v>1</v>
      </c>
      <c r="F3276">
        <v>6622.5</v>
      </c>
      <c r="G3276">
        <v>1.0101000000000001E-2</v>
      </c>
      <c r="H3276" t="s">
        <v>2307</v>
      </c>
    </row>
    <row r="3277" spans="1:8">
      <c r="A3277" t="s">
        <v>5015</v>
      </c>
      <c r="B3277" t="s">
        <v>7533</v>
      </c>
      <c r="C3277">
        <v>10</v>
      </c>
      <c r="D3277">
        <v>1</v>
      </c>
      <c r="E3277">
        <v>1</v>
      </c>
      <c r="F3277">
        <v>1</v>
      </c>
      <c r="G3277">
        <v>0</v>
      </c>
      <c r="H3277" t="s">
        <v>2197</v>
      </c>
    </row>
    <row r="3278" spans="1:8">
      <c r="A3278" t="s">
        <v>7535</v>
      </c>
      <c r="B3278" t="s">
        <v>7534</v>
      </c>
      <c r="C3278">
        <v>20</v>
      </c>
      <c r="D3278">
        <v>1</v>
      </c>
      <c r="E3278">
        <v>1</v>
      </c>
      <c r="F3278">
        <v>1</v>
      </c>
      <c r="G3278">
        <v>0</v>
      </c>
      <c r="H3278" t="s">
        <v>2197</v>
      </c>
    </row>
    <row r="3279" spans="1:8">
      <c r="A3279" t="s">
        <v>5016</v>
      </c>
      <c r="B3279" t="s">
        <v>7536</v>
      </c>
      <c r="C3279">
        <v>10</v>
      </c>
      <c r="D3279">
        <v>1</v>
      </c>
      <c r="E3279">
        <v>1</v>
      </c>
      <c r="F3279">
        <v>1</v>
      </c>
      <c r="G3279">
        <v>0</v>
      </c>
      <c r="H3279" t="s">
        <v>2197</v>
      </c>
    </row>
    <row r="3280" spans="1:8">
      <c r="A3280" t="s">
        <v>5017</v>
      </c>
      <c r="B3280" t="s">
        <v>7537</v>
      </c>
      <c r="C3280">
        <v>1</v>
      </c>
      <c r="D3280">
        <v>1</v>
      </c>
      <c r="E3280">
        <v>1</v>
      </c>
      <c r="F3280">
        <v>1</v>
      </c>
      <c r="G3280">
        <v>0</v>
      </c>
      <c r="H3280" t="s">
        <v>2303</v>
      </c>
    </row>
    <row r="3281" spans="1:8">
      <c r="A3281" t="s">
        <v>9755</v>
      </c>
      <c r="B3281" t="s">
        <v>7538</v>
      </c>
      <c r="C3281">
        <v>100</v>
      </c>
      <c r="D3281">
        <v>1</v>
      </c>
      <c r="E3281">
        <v>1</v>
      </c>
      <c r="F3281">
        <v>126.5</v>
      </c>
      <c r="G3281">
        <v>3.0889999999999997E-4</v>
      </c>
      <c r="H3281" t="s">
        <v>2197</v>
      </c>
    </row>
    <row r="3282" spans="1:8">
      <c r="A3282" t="s">
        <v>9756</v>
      </c>
      <c r="B3282" t="s">
        <v>7540</v>
      </c>
      <c r="C3282">
        <v>20</v>
      </c>
      <c r="D3282">
        <v>1</v>
      </c>
      <c r="E3282">
        <v>1</v>
      </c>
      <c r="F3282">
        <v>475</v>
      </c>
      <c r="G3282">
        <v>1.421E-3</v>
      </c>
      <c r="H3282" t="s">
        <v>2197</v>
      </c>
    </row>
    <row r="3283" spans="1:8">
      <c r="A3283" t="s">
        <v>9757</v>
      </c>
      <c r="B3283" t="s">
        <v>7539</v>
      </c>
      <c r="C3283">
        <v>40</v>
      </c>
      <c r="D3283">
        <v>1</v>
      </c>
      <c r="E3283">
        <v>1</v>
      </c>
      <c r="F3283">
        <v>261.3</v>
      </c>
      <c r="G3283">
        <v>7.1049999999999998E-4</v>
      </c>
      <c r="H3283" t="s">
        <v>2197</v>
      </c>
    </row>
    <row r="3284" spans="1:8">
      <c r="A3284" t="s">
        <v>4808</v>
      </c>
      <c r="B3284" t="s">
        <v>7541</v>
      </c>
      <c r="C3284">
        <v>20</v>
      </c>
      <c r="D3284">
        <v>1</v>
      </c>
      <c r="E3284">
        <v>1</v>
      </c>
      <c r="F3284">
        <v>590</v>
      </c>
      <c r="G3284">
        <v>1.242E-3</v>
      </c>
      <c r="H3284" t="s">
        <v>2197</v>
      </c>
    </row>
    <row r="3285" spans="1:8">
      <c r="A3285" t="s">
        <v>7543</v>
      </c>
      <c r="B3285" t="s">
        <v>7542</v>
      </c>
      <c r="C3285">
        <v>50</v>
      </c>
      <c r="D3285">
        <v>1</v>
      </c>
      <c r="E3285">
        <v>1</v>
      </c>
      <c r="F3285">
        <v>1</v>
      </c>
      <c r="G3285">
        <v>0</v>
      </c>
      <c r="H3285" t="s">
        <v>2197</v>
      </c>
    </row>
    <row r="3286" spans="1:8">
      <c r="A3286" t="s">
        <v>1790</v>
      </c>
      <c r="B3286" t="s">
        <v>3873</v>
      </c>
      <c r="C3286">
        <v>20</v>
      </c>
      <c r="D3286">
        <v>1</v>
      </c>
      <c r="E3286">
        <v>1</v>
      </c>
      <c r="F3286">
        <v>575</v>
      </c>
      <c r="G3286">
        <v>1.3633E-3</v>
      </c>
      <c r="H3286" t="s">
        <v>2197</v>
      </c>
    </row>
    <row r="3287" spans="1:8">
      <c r="A3287" t="s">
        <v>1791</v>
      </c>
      <c r="B3287" t="s">
        <v>3875</v>
      </c>
      <c r="C3287">
        <v>50</v>
      </c>
      <c r="D3287">
        <v>1</v>
      </c>
      <c r="E3287">
        <v>1</v>
      </c>
      <c r="F3287">
        <v>141</v>
      </c>
      <c r="G3287">
        <v>4.1159999999999998E-4</v>
      </c>
      <c r="H3287" t="s">
        <v>2197</v>
      </c>
    </row>
    <row r="3288" spans="1:8">
      <c r="A3288" t="s">
        <v>1792</v>
      </c>
      <c r="B3288" t="s">
        <v>3876</v>
      </c>
      <c r="C3288">
        <v>12</v>
      </c>
      <c r="D3288">
        <v>1</v>
      </c>
      <c r="E3288">
        <v>1</v>
      </c>
      <c r="F3288">
        <v>1318.3333333333301</v>
      </c>
      <c r="G3288">
        <v>2.1583333333333298E-3</v>
      </c>
      <c r="H3288" t="s">
        <v>2197</v>
      </c>
    </row>
    <row r="3289" spans="1:8">
      <c r="A3289" t="s">
        <v>7548</v>
      </c>
      <c r="B3289" t="s">
        <v>7547</v>
      </c>
      <c r="C3289">
        <v>12</v>
      </c>
      <c r="D3289">
        <v>1</v>
      </c>
      <c r="E3289">
        <v>1</v>
      </c>
      <c r="F3289">
        <v>1318.3333333333301</v>
      </c>
      <c r="G3289">
        <v>2.1583333333333298E-3</v>
      </c>
      <c r="H3289" t="s">
        <v>2197</v>
      </c>
    </row>
    <row r="3290" spans="1:8">
      <c r="A3290" t="s">
        <v>1793</v>
      </c>
      <c r="B3290" t="s">
        <v>3878</v>
      </c>
      <c r="C3290">
        <v>1</v>
      </c>
      <c r="D3290">
        <v>1</v>
      </c>
      <c r="E3290">
        <v>1</v>
      </c>
      <c r="F3290">
        <v>24980</v>
      </c>
      <c r="G3290">
        <v>1.8559099999999999E-2</v>
      </c>
      <c r="H3290" t="s">
        <v>2303</v>
      </c>
    </row>
    <row r="3291" spans="1:8">
      <c r="A3291" t="s">
        <v>1794</v>
      </c>
      <c r="B3291" t="s">
        <v>3879</v>
      </c>
      <c r="C3291">
        <v>4</v>
      </c>
      <c r="D3291">
        <v>1</v>
      </c>
      <c r="E3291">
        <v>1</v>
      </c>
      <c r="F3291">
        <v>5075</v>
      </c>
      <c r="G3291">
        <v>8.0409999999999995E-3</v>
      </c>
      <c r="H3291" t="s">
        <v>2197</v>
      </c>
    </row>
    <row r="3292" spans="1:8">
      <c r="A3292" t="s">
        <v>7552</v>
      </c>
      <c r="B3292" t="s">
        <v>7551</v>
      </c>
      <c r="C3292">
        <v>4</v>
      </c>
      <c r="D3292">
        <v>1</v>
      </c>
      <c r="E3292">
        <v>1</v>
      </c>
      <c r="F3292">
        <v>8500</v>
      </c>
      <c r="G3292">
        <v>8.0409999999999995E-3</v>
      </c>
      <c r="H3292" t="s">
        <v>2197</v>
      </c>
    </row>
    <row r="3293" spans="1:8">
      <c r="A3293" t="s">
        <v>1795</v>
      </c>
      <c r="B3293" t="s">
        <v>3880</v>
      </c>
      <c r="C3293">
        <v>50</v>
      </c>
      <c r="D3293">
        <v>1</v>
      </c>
      <c r="E3293">
        <v>1</v>
      </c>
      <c r="F3293">
        <v>270</v>
      </c>
      <c r="G3293">
        <v>5.2360000000000004E-4</v>
      </c>
      <c r="H3293" t="s">
        <v>2197</v>
      </c>
    </row>
    <row r="3294" spans="1:8">
      <c r="A3294" t="s">
        <v>7550</v>
      </c>
      <c r="B3294" t="s">
        <v>7549</v>
      </c>
      <c r="C3294">
        <v>50</v>
      </c>
      <c r="D3294">
        <v>1</v>
      </c>
      <c r="E3294">
        <v>1</v>
      </c>
      <c r="F3294">
        <v>270</v>
      </c>
      <c r="G3294">
        <v>0</v>
      </c>
      <c r="H3294" t="s">
        <v>2197</v>
      </c>
    </row>
    <row r="3295" spans="1:8">
      <c r="A3295" t="s">
        <v>4809</v>
      </c>
      <c r="B3295" t="s">
        <v>7544</v>
      </c>
      <c r="C3295">
        <v>12</v>
      </c>
      <c r="D3295">
        <v>1</v>
      </c>
      <c r="E3295">
        <v>1</v>
      </c>
      <c r="F3295">
        <v>1550.8333333333301</v>
      </c>
      <c r="G3295">
        <v>2.1583333333333298E-3</v>
      </c>
      <c r="H3295" t="s">
        <v>2197</v>
      </c>
    </row>
    <row r="3296" spans="1:8">
      <c r="A3296" t="s">
        <v>7546</v>
      </c>
      <c r="B3296" t="s">
        <v>7545</v>
      </c>
      <c r="C3296">
        <v>4</v>
      </c>
      <c r="D3296">
        <v>1</v>
      </c>
      <c r="E3296">
        <v>1</v>
      </c>
      <c r="F3296">
        <v>0</v>
      </c>
      <c r="G3296">
        <v>0</v>
      </c>
      <c r="H3296" t="s">
        <v>2197</v>
      </c>
    </row>
    <row r="3297" spans="1:8">
      <c r="A3297" t="s">
        <v>1796</v>
      </c>
      <c r="B3297" t="s">
        <v>3881</v>
      </c>
      <c r="C3297">
        <v>20</v>
      </c>
      <c r="D3297">
        <v>1</v>
      </c>
      <c r="E3297">
        <v>1</v>
      </c>
      <c r="F3297">
        <v>1</v>
      </c>
      <c r="G3297">
        <v>0</v>
      </c>
      <c r="H3297" t="s">
        <v>2197</v>
      </c>
    </row>
    <row r="3298" spans="1:8">
      <c r="A3298" t="s">
        <v>7554</v>
      </c>
      <c r="B3298" t="s">
        <v>7553</v>
      </c>
      <c r="C3298">
        <v>10</v>
      </c>
      <c r="D3298">
        <v>20</v>
      </c>
      <c r="E3298">
        <v>1</v>
      </c>
      <c r="F3298">
        <v>5</v>
      </c>
      <c r="G3298">
        <v>0</v>
      </c>
      <c r="H3298" t="s">
        <v>2203</v>
      </c>
    </row>
    <row r="3299" spans="1:8">
      <c r="A3299" t="s">
        <v>4810</v>
      </c>
      <c r="B3299" t="s">
        <v>7555</v>
      </c>
      <c r="C3299">
        <v>120</v>
      </c>
      <c r="D3299">
        <v>1</v>
      </c>
      <c r="E3299">
        <v>1</v>
      </c>
      <c r="F3299">
        <v>127.5</v>
      </c>
      <c r="G3299">
        <v>6.1309999999999999E-4</v>
      </c>
      <c r="H3299" t="s">
        <v>2203</v>
      </c>
    </row>
    <row r="3300" spans="1:8">
      <c r="A3300" t="s">
        <v>1797</v>
      </c>
      <c r="B3300" t="s">
        <v>3882</v>
      </c>
      <c r="C3300">
        <v>100</v>
      </c>
      <c r="D3300">
        <v>1</v>
      </c>
      <c r="E3300">
        <v>1</v>
      </c>
      <c r="F3300">
        <v>141</v>
      </c>
      <c r="G3300">
        <v>2.675E-4</v>
      </c>
      <c r="H3300" t="s">
        <v>2197</v>
      </c>
    </row>
    <row r="3301" spans="1:8">
      <c r="A3301" t="s">
        <v>1799</v>
      </c>
      <c r="B3301" t="s">
        <v>3884</v>
      </c>
      <c r="C3301">
        <v>12</v>
      </c>
      <c r="D3301">
        <v>1</v>
      </c>
      <c r="E3301">
        <v>1</v>
      </c>
      <c r="F3301">
        <v>1475</v>
      </c>
      <c r="G3301">
        <v>2.5349999999999999E-3</v>
      </c>
      <c r="H3301" t="s">
        <v>2197</v>
      </c>
    </row>
    <row r="3302" spans="1:8">
      <c r="A3302" t="s">
        <v>1801</v>
      </c>
      <c r="B3302" t="s">
        <v>3885</v>
      </c>
      <c r="C3302">
        <v>20</v>
      </c>
      <c r="D3302">
        <v>1</v>
      </c>
      <c r="E3302">
        <v>1</v>
      </c>
      <c r="F3302">
        <v>560</v>
      </c>
      <c r="G3302">
        <v>1.5334000000000001E-3</v>
      </c>
      <c r="H3302" t="s">
        <v>2197</v>
      </c>
    </row>
    <row r="3303" spans="1:8">
      <c r="A3303" t="s">
        <v>7557</v>
      </c>
      <c r="B3303" t="s">
        <v>7556</v>
      </c>
      <c r="C3303">
        <v>20</v>
      </c>
      <c r="D3303">
        <v>1</v>
      </c>
      <c r="E3303">
        <v>1</v>
      </c>
      <c r="F3303">
        <v>1</v>
      </c>
      <c r="G3303">
        <v>0</v>
      </c>
      <c r="H3303" t="s">
        <v>2197</v>
      </c>
    </row>
    <row r="3304" spans="1:8">
      <c r="A3304" t="s">
        <v>1803</v>
      </c>
      <c r="B3304" t="s">
        <v>3886</v>
      </c>
      <c r="C3304">
        <v>100</v>
      </c>
      <c r="D3304">
        <v>1</v>
      </c>
      <c r="E3304">
        <v>1</v>
      </c>
      <c r="F3304">
        <v>136.30000000000001</v>
      </c>
      <c r="G3304">
        <v>3.0909999999999998E-4</v>
      </c>
      <c r="H3304" t="s">
        <v>2197</v>
      </c>
    </row>
    <row r="3305" spans="1:8">
      <c r="A3305" t="s">
        <v>1806</v>
      </c>
      <c r="B3305" t="s">
        <v>3888</v>
      </c>
      <c r="C3305">
        <v>40</v>
      </c>
      <c r="D3305">
        <v>1</v>
      </c>
      <c r="E3305">
        <v>1</v>
      </c>
      <c r="F3305">
        <v>322.5</v>
      </c>
      <c r="G3305">
        <v>2.9700000000000001E-4</v>
      </c>
      <c r="H3305" t="s">
        <v>2197</v>
      </c>
    </row>
    <row r="3306" spans="1:8">
      <c r="A3306" t="s">
        <v>7560</v>
      </c>
      <c r="B3306" t="s">
        <v>7559</v>
      </c>
      <c r="C3306">
        <v>10</v>
      </c>
      <c r="D3306">
        <v>1</v>
      </c>
      <c r="E3306">
        <v>1</v>
      </c>
      <c r="F3306">
        <v>1220</v>
      </c>
      <c r="G3306">
        <v>4.2966000000000002E-3</v>
      </c>
      <c r="H3306" t="s">
        <v>2203</v>
      </c>
    </row>
    <row r="3307" spans="1:8">
      <c r="A3307" t="s">
        <v>1808</v>
      </c>
      <c r="B3307" t="s">
        <v>3889</v>
      </c>
      <c r="C3307">
        <v>20</v>
      </c>
      <c r="D3307">
        <v>1</v>
      </c>
      <c r="E3307">
        <v>1</v>
      </c>
      <c r="F3307">
        <v>542.5</v>
      </c>
      <c r="G3307">
        <v>2.5079999999999998E-3</v>
      </c>
      <c r="H3307" t="s">
        <v>2203</v>
      </c>
    </row>
    <row r="3308" spans="1:8">
      <c r="A3308" t="s">
        <v>4811</v>
      </c>
      <c r="B3308" t="s">
        <v>7558</v>
      </c>
      <c r="C3308">
        <v>50</v>
      </c>
      <c r="D3308">
        <v>1</v>
      </c>
      <c r="E3308">
        <v>1</v>
      </c>
      <c r="F3308">
        <v>145</v>
      </c>
      <c r="G3308">
        <v>6.8210000000000005E-4</v>
      </c>
      <c r="H3308" t="s">
        <v>2203</v>
      </c>
    </row>
    <row r="3309" spans="1:8">
      <c r="A3309" t="s">
        <v>9024</v>
      </c>
      <c r="B3309" t="s">
        <v>9023</v>
      </c>
      <c r="C3309">
        <v>1</v>
      </c>
      <c r="D3309">
        <v>1</v>
      </c>
      <c r="E3309">
        <v>1</v>
      </c>
      <c r="F3309">
        <v>1</v>
      </c>
      <c r="G3309">
        <v>0</v>
      </c>
      <c r="H3309" t="s">
        <v>2221</v>
      </c>
    </row>
    <row r="3310" spans="1:8">
      <c r="A3310" t="s">
        <v>1810</v>
      </c>
      <c r="B3310" t="s">
        <v>3891</v>
      </c>
      <c r="C3310">
        <v>24</v>
      </c>
      <c r="D3310">
        <v>1</v>
      </c>
      <c r="E3310">
        <v>1</v>
      </c>
      <c r="F3310">
        <v>1</v>
      </c>
      <c r="G3310">
        <v>0</v>
      </c>
      <c r="H3310" t="s">
        <v>2221</v>
      </c>
    </row>
    <row r="3311" spans="1:8">
      <c r="A3311" t="s">
        <v>7562</v>
      </c>
      <c r="B3311" t="s">
        <v>7561</v>
      </c>
      <c r="C3311">
        <v>100</v>
      </c>
      <c r="D3311">
        <v>1</v>
      </c>
      <c r="E3311">
        <v>1</v>
      </c>
      <c r="F3311">
        <v>96.5</v>
      </c>
      <c r="G3311">
        <v>4.4650000000000001E-4</v>
      </c>
      <c r="H3311" t="s">
        <v>2203</v>
      </c>
    </row>
    <row r="3312" spans="1:8">
      <c r="A3312" t="s">
        <v>1811</v>
      </c>
      <c r="B3312" t="s">
        <v>3892</v>
      </c>
      <c r="C3312">
        <v>100</v>
      </c>
      <c r="D3312">
        <v>1</v>
      </c>
      <c r="E3312">
        <v>1</v>
      </c>
      <c r="F3312">
        <v>118</v>
      </c>
      <c r="G3312">
        <v>4.4349999999999999E-4</v>
      </c>
      <c r="H3312" t="s">
        <v>2203</v>
      </c>
    </row>
    <row r="3313" spans="1:8">
      <c r="A3313" t="s">
        <v>1812</v>
      </c>
      <c r="B3313" t="s">
        <v>3894</v>
      </c>
      <c r="C3313">
        <v>25</v>
      </c>
      <c r="D3313">
        <v>1</v>
      </c>
      <c r="E3313">
        <v>1</v>
      </c>
      <c r="F3313">
        <v>448</v>
      </c>
      <c r="G3313">
        <v>1.7136E-3</v>
      </c>
      <c r="H3313" t="s">
        <v>2203</v>
      </c>
    </row>
    <row r="3314" spans="1:8">
      <c r="A3314" t="s">
        <v>1813</v>
      </c>
      <c r="B3314" t="s">
        <v>3895</v>
      </c>
      <c r="C3314">
        <v>100</v>
      </c>
      <c r="D3314">
        <v>1</v>
      </c>
      <c r="E3314">
        <v>1</v>
      </c>
      <c r="F3314">
        <v>118</v>
      </c>
      <c r="G3314">
        <v>4.4349999999999999E-4</v>
      </c>
      <c r="H3314" t="s">
        <v>2203</v>
      </c>
    </row>
    <row r="3315" spans="1:8">
      <c r="A3315" t="s">
        <v>1814</v>
      </c>
      <c r="B3315" t="s">
        <v>3897</v>
      </c>
      <c r="C3315">
        <v>25</v>
      </c>
      <c r="D3315">
        <v>1</v>
      </c>
      <c r="E3315">
        <v>1</v>
      </c>
      <c r="F3315">
        <v>444</v>
      </c>
      <c r="G3315">
        <v>1.6959E-3</v>
      </c>
      <c r="H3315" t="s">
        <v>2197</v>
      </c>
    </row>
    <row r="3316" spans="1:8">
      <c r="A3316" t="s">
        <v>1815</v>
      </c>
      <c r="B3316" t="s">
        <v>3898</v>
      </c>
      <c r="C3316">
        <v>20</v>
      </c>
      <c r="D3316">
        <v>1</v>
      </c>
      <c r="E3316">
        <v>1</v>
      </c>
      <c r="F3316">
        <v>1370</v>
      </c>
      <c r="G3316">
        <v>3.5699999999999998E-3</v>
      </c>
      <c r="H3316" t="s">
        <v>2197</v>
      </c>
    </row>
    <row r="3317" spans="1:8">
      <c r="A3317" t="s">
        <v>1816</v>
      </c>
      <c r="B3317" t="s">
        <v>3900</v>
      </c>
      <c r="C3317">
        <v>20</v>
      </c>
      <c r="D3317">
        <v>1</v>
      </c>
      <c r="E3317">
        <v>1</v>
      </c>
      <c r="F3317">
        <v>785</v>
      </c>
      <c r="G3317">
        <v>2.1607000000000002E-3</v>
      </c>
      <c r="H3317" t="s">
        <v>2197</v>
      </c>
    </row>
    <row r="3318" spans="1:8">
      <c r="A3318" t="s">
        <v>1817</v>
      </c>
      <c r="B3318" t="s">
        <v>3902</v>
      </c>
      <c r="C3318">
        <v>40</v>
      </c>
      <c r="D3318">
        <v>1</v>
      </c>
      <c r="E3318">
        <v>1</v>
      </c>
      <c r="F3318">
        <v>415</v>
      </c>
      <c r="G3318">
        <v>1.2654000000000001E-3</v>
      </c>
      <c r="H3318" t="s">
        <v>2197</v>
      </c>
    </row>
    <row r="3319" spans="1:8">
      <c r="A3319" t="s">
        <v>1819</v>
      </c>
      <c r="B3319" t="s">
        <v>3903</v>
      </c>
      <c r="C3319">
        <v>1</v>
      </c>
      <c r="D3319">
        <v>1</v>
      </c>
      <c r="E3319">
        <v>1</v>
      </c>
      <c r="F3319">
        <v>1</v>
      </c>
      <c r="G3319">
        <v>0</v>
      </c>
      <c r="H3319" t="s">
        <v>2221</v>
      </c>
    </row>
    <row r="3320" spans="1:8">
      <c r="A3320" t="s">
        <v>9026</v>
      </c>
      <c r="B3320" t="s">
        <v>9025</v>
      </c>
      <c r="C3320">
        <v>1</v>
      </c>
      <c r="D3320">
        <v>1</v>
      </c>
      <c r="E3320">
        <v>1</v>
      </c>
      <c r="F3320">
        <v>1</v>
      </c>
      <c r="G3320">
        <v>0</v>
      </c>
      <c r="H3320" t="s">
        <v>2221</v>
      </c>
    </row>
    <row r="3321" spans="1:8">
      <c r="A3321" t="s">
        <v>9758</v>
      </c>
      <c r="B3321" t="s">
        <v>7565</v>
      </c>
      <c r="C3321">
        <v>20</v>
      </c>
      <c r="D3321">
        <v>1</v>
      </c>
      <c r="E3321">
        <v>1</v>
      </c>
      <c r="F3321">
        <v>1272.5</v>
      </c>
      <c r="G3321">
        <v>2.3400000000000001E-3</v>
      </c>
      <c r="H3321" t="s">
        <v>2197</v>
      </c>
    </row>
    <row r="3322" spans="1:8">
      <c r="A3322" t="s">
        <v>9759</v>
      </c>
      <c r="B3322" t="s">
        <v>7564</v>
      </c>
      <c r="C3322">
        <v>20</v>
      </c>
      <c r="D3322">
        <v>1</v>
      </c>
      <c r="E3322">
        <v>1</v>
      </c>
      <c r="F3322">
        <v>532.5</v>
      </c>
      <c r="G3322">
        <v>1.4207E-3</v>
      </c>
      <c r="H3322" t="s">
        <v>2197</v>
      </c>
    </row>
    <row r="3323" spans="1:8">
      <c r="A3323" t="s">
        <v>9760</v>
      </c>
      <c r="B3323" t="s">
        <v>7563</v>
      </c>
      <c r="C3323">
        <v>40</v>
      </c>
      <c r="D3323">
        <v>1</v>
      </c>
      <c r="E3323">
        <v>1</v>
      </c>
      <c r="F3323">
        <v>346.3</v>
      </c>
      <c r="G3323">
        <v>7.3590000000000005E-4</v>
      </c>
      <c r="H3323" t="s">
        <v>2197</v>
      </c>
    </row>
    <row r="3324" spans="1:8">
      <c r="A3324" t="s">
        <v>7569</v>
      </c>
      <c r="B3324" t="s">
        <v>7568</v>
      </c>
      <c r="C3324">
        <v>50</v>
      </c>
      <c r="D3324">
        <v>1</v>
      </c>
      <c r="E3324">
        <v>1</v>
      </c>
      <c r="F3324">
        <v>137</v>
      </c>
      <c r="G3324">
        <v>3.2487E-4</v>
      </c>
      <c r="H3324" t="s">
        <v>2197</v>
      </c>
    </row>
    <row r="3325" spans="1:8">
      <c r="A3325" t="s">
        <v>7567</v>
      </c>
      <c r="B3325" t="s">
        <v>7566</v>
      </c>
      <c r="C3325">
        <v>50</v>
      </c>
      <c r="D3325">
        <v>1</v>
      </c>
      <c r="E3325">
        <v>1</v>
      </c>
      <c r="F3325">
        <v>305</v>
      </c>
      <c r="G3325">
        <v>7.2959999999999995E-4</v>
      </c>
      <c r="H3325" t="s">
        <v>2197</v>
      </c>
    </row>
    <row r="3326" spans="1:8">
      <c r="A3326" t="s">
        <v>9030</v>
      </c>
      <c r="B3326" t="s">
        <v>9029</v>
      </c>
      <c r="C3326">
        <v>1</v>
      </c>
      <c r="D3326">
        <v>1</v>
      </c>
      <c r="E3326">
        <v>1</v>
      </c>
      <c r="F3326">
        <v>1</v>
      </c>
      <c r="G3326">
        <v>0</v>
      </c>
      <c r="H3326" t="s">
        <v>2221</v>
      </c>
    </row>
    <row r="3327" spans="1:8">
      <c r="A3327" t="s">
        <v>9028</v>
      </c>
      <c r="B3327" t="s">
        <v>9027</v>
      </c>
      <c r="C3327">
        <v>1</v>
      </c>
      <c r="D3327">
        <v>1</v>
      </c>
      <c r="E3327">
        <v>1</v>
      </c>
      <c r="F3327">
        <v>1</v>
      </c>
      <c r="G3327">
        <v>0</v>
      </c>
      <c r="H3327" t="s">
        <v>2221</v>
      </c>
    </row>
    <row r="3328" spans="1:8">
      <c r="A3328" t="s">
        <v>9032</v>
      </c>
      <c r="B3328" t="s">
        <v>9031</v>
      </c>
      <c r="C3328">
        <v>1</v>
      </c>
      <c r="D3328">
        <v>1</v>
      </c>
      <c r="E3328">
        <v>1</v>
      </c>
      <c r="F3328">
        <v>1</v>
      </c>
      <c r="G3328">
        <v>0</v>
      </c>
      <c r="H3328" t="s">
        <v>2221</v>
      </c>
    </row>
    <row r="3329" spans="1:8">
      <c r="A3329" t="s">
        <v>9034</v>
      </c>
      <c r="B3329" t="s">
        <v>9033</v>
      </c>
      <c r="C3329">
        <v>1</v>
      </c>
      <c r="D3329">
        <v>1</v>
      </c>
      <c r="E3329">
        <v>1</v>
      </c>
      <c r="F3329">
        <v>1</v>
      </c>
      <c r="G3329">
        <v>0</v>
      </c>
      <c r="H3329" t="s">
        <v>2221</v>
      </c>
    </row>
    <row r="3330" spans="1:8">
      <c r="A3330" t="s">
        <v>7577</v>
      </c>
      <c r="B3330" t="s">
        <v>7576</v>
      </c>
      <c r="C3330">
        <v>20</v>
      </c>
      <c r="D3330">
        <v>1</v>
      </c>
      <c r="E3330">
        <v>1</v>
      </c>
      <c r="F3330">
        <v>1080</v>
      </c>
      <c r="G3330">
        <v>2.5937999999999998E-3</v>
      </c>
      <c r="H3330" t="s">
        <v>2197</v>
      </c>
    </row>
    <row r="3331" spans="1:8">
      <c r="A3331" t="s">
        <v>7571</v>
      </c>
      <c r="B3331" t="s">
        <v>7570</v>
      </c>
      <c r="C3331">
        <v>30</v>
      </c>
      <c r="D3331">
        <v>1</v>
      </c>
      <c r="E3331">
        <v>1</v>
      </c>
      <c r="F3331">
        <v>0</v>
      </c>
      <c r="G3331">
        <v>0</v>
      </c>
      <c r="H3331" t="s">
        <v>2197</v>
      </c>
    </row>
    <row r="3332" spans="1:8">
      <c r="A3332" t="s">
        <v>7575</v>
      </c>
      <c r="B3332" t="s">
        <v>7574</v>
      </c>
      <c r="C3332">
        <v>50</v>
      </c>
      <c r="D3332">
        <v>1</v>
      </c>
      <c r="E3332">
        <v>1</v>
      </c>
      <c r="F3332">
        <v>0</v>
      </c>
      <c r="G3332">
        <v>0</v>
      </c>
      <c r="H3332" t="s">
        <v>2197</v>
      </c>
    </row>
    <row r="3333" spans="1:8">
      <c r="A3333" t="s">
        <v>7573</v>
      </c>
      <c r="B3333" t="s">
        <v>7572</v>
      </c>
      <c r="C3333">
        <v>50</v>
      </c>
      <c r="D3333">
        <v>1</v>
      </c>
      <c r="E3333">
        <v>1</v>
      </c>
      <c r="F3333">
        <v>0</v>
      </c>
      <c r="G3333">
        <v>0</v>
      </c>
      <c r="H3333" t="s">
        <v>2197</v>
      </c>
    </row>
    <row r="3334" spans="1:8">
      <c r="A3334" t="s">
        <v>7579</v>
      </c>
      <c r="B3334" t="s">
        <v>7578</v>
      </c>
      <c r="C3334">
        <v>20</v>
      </c>
      <c r="D3334">
        <v>1</v>
      </c>
      <c r="E3334">
        <v>1</v>
      </c>
      <c r="F3334">
        <v>1152</v>
      </c>
      <c r="G3334">
        <v>1.3661999999999999E-3</v>
      </c>
      <c r="H3334" t="s">
        <v>2197</v>
      </c>
    </row>
    <row r="3335" spans="1:8">
      <c r="A3335" t="s">
        <v>4812</v>
      </c>
      <c r="B3335" t="s">
        <v>7580</v>
      </c>
      <c r="C3335">
        <v>20</v>
      </c>
      <c r="D3335">
        <v>1</v>
      </c>
      <c r="E3335">
        <v>1</v>
      </c>
      <c r="F3335">
        <v>615.5</v>
      </c>
      <c r="G3335">
        <v>1.036925E-3</v>
      </c>
      <c r="H3335" t="s">
        <v>2197</v>
      </c>
    </row>
    <row r="3336" spans="1:8">
      <c r="A3336" t="s">
        <v>7582</v>
      </c>
      <c r="B3336" t="s">
        <v>7581</v>
      </c>
      <c r="C3336">
        <v>4</v>
      </c>
      <c r="D3336">
        <v>1</v>
      </c>
      <c r="E3336">
        <v>1</v>
      </c>
      <c r="F3336">
        <v>5810</v>
      </c>
      <c r="G3336">
        <v>7.6308749999999996E-3</v>
      </c>
      <c r="H3336" t="s">
        <v>2303</v>
      </c>
    </row>
    <row r="3337" spans="1:8">
      <c r="A3337" t="s">
        <v>4813</v>
      </c>
      <c r="B3337" t="s">
        <v>7583</v>
      </c>
      <c r="C3337">
        <v>1</v>
      </c>
      <c r="D3337">
        <v>1</v>
      </c>
      <c r="E3337">
        <v>1</v>
      </c>
      <c r="F3337">
        <v>25560</v>
      </c>
      <c r="G3337">
        <v>0.03</v>
      </c>
      <c r="H3337" t="s">
        <v>2994</v>
      </c>
    </row>
    <row r="3338" spans="1:8">
      <c r="A3338" t="s">
        <v>1820</v>
      </c>
      <c r="B3338" t="s">
        <v>3904</v>
      </c>
      <c r="C3338">
        <v>1</v>
      </c>
      <c r="D3338">
        <v>1</v>
      </c>
      <c r="E3338">
        <v>1</v>
      </c>
      <c r="F3338">
        <v>0</v>
      </c>
      <c r="G3338">
        <v>0</v>
      </c>
      <c r="H3338" t="s">
        <v>2221</v>
      </c>
    </row>
    <row r="3339" spans="1:8">
      <c r="A3339" t="s">
        <v>1821</v>
      </c>
      <c r="B3339" t="s">
        <v>3905</v>
      </c>
      <c r="C3339">
        <v>1</v>
      </c>
      <c r="D3339">
        <v>1</v>
      </c>
      <c r="E3339">
        <v>1</v>
      </c>
      <c r="F3339">
        <v>0</v>
      </c>
      <c r="G3339">
        <v>0</v>
      </c>
      <c r="H3339" t="s">
        <v>2221</v>
      </c>
    </row>
    <row r="3340" spans="1:8">
      <c r="A3340" t="s">
        <v>7585</v>
      </c>
      <c r="B3340" t="s">
        <v>7584</v>
      </c>
      <c r="C3340">
        <v>10</v>
      </c>
      <c r="D3340">
        <v>40</v>
      </c>
      <c r="E3340">
        <v>1</v>
      </c>
      <c r="F3340">
        <v>8.5</v>
      </c>
      <c r="G3340" s="4">
        <v>5.7800000000000002E-5</v>
      </c>
      <c r="H3340" t="s">
        <v>2203</v>
      </c>
    </row>
    <row r="3341" spans="1:8">
      <c r="A3341" t="s">
        <v>1822</v>
      </c>
      <c r="B3341" t="s">
        <v>3906</v>
      </c>
      <c r="C3341">
        <v>1</v>
      </c>
      <c r="D3341">
        <v>1</v>
      </c>
      <c r="E3341">
        <v>1</v>
      </c>
      <c r="F3341">
        <v>1</v>
      </c>
      <c r="G3341">
        <v>0</v>
      </c>
      <c r="H3341" t="s">
        <v>2221</v>
      </c>
    </row>
    <row r="3342" spans="1:8">
      <c r="A3342" t="s">
        <v>9065</v>
      </c>
      <c r="B3342" t="s">
        <v>9064</v>
      </c>
      <c r="C3342">
        <v>1</v>
      </c>
      <c r="D3342">
        <v>1</v>
      </c>
      <c r="E3342">
        <v>1</v>
      </c>
      <c r="F3342">
        <v>1</v>
      </c>
      <c r="G3342">
        <v>0</v>
      </c>
      <c r="H3342" t="s">
        <v>2221</v>
      </c>
    </row>
    <row r="3343" spans="1:8">
      <c r="A3343" t="s">
        <v>1823</v>
      </c>
      <c r="B3343" t="s">
        <v>3907</v>
      </c>
      <c r="C3343">
        <v>1</v>
      </c>
      <c r="D3343">
        <v>1</v>
      </c>
      <c r="E3343">
        <v>1</v>
      </c>
      <c r="F3343">
        <v>1</v>
      </c>
      <c r="G3343">
        <v>0</v>
      </c>
      <c r="H3343" t="s">
        <v>2221</v>
      </c>
    </row>
    <row r="3344" spans="1:8">
      <c r="A3344" t="s">
        <v>9058</v>
      </c>
      <c r="B3344" t="s">
        <v>9057</v>
      </c>
      <c r="C3344">
        <v>1</v>
      </c>
      <c r="D3344">
        <v>1</v>
      </c>
      <c r="E3344">
        <v>1</v>
      </c>
      <c r="F3344">
        <v>1</v>
      </c>
      <c r="G3344">
        <v>0</v>
      </c>
      <c r="H3344" t="s">
        <v>2221</v>
      </c>
    </row>
    <row r="3345" spans="1:8">
      <c r="A3345" t="s">
        <v>9036</v>
      </c>
      <c r="B3345" t="s">
        <v>9035</v>
      </c>
      <c r="C3345">
        <v>1</v>
      </c>
      <c r="D3345">
        <v>1</v>
      </c>
      <c r="E3345">
        <v>1</v>
      </c>
      <c r="F3345">
        <v>1</v>
      </c>
      <c r="G3345">
        <v>0</v>
      </c>
      <c r="H3345" t="s">
        <v>2221</v>
      </c>
    </row>
    <row r="3346" spans="1:8">
      <c r="A3346" t="s">
        <v>9046</v>
      </c>
      <c r="B3346" t="s">
        <v>9045</v>
      </c>
      <c r="C3346">
        <v>1</v>
      </c>
      <c r="D3346">
        <v>1</v>
      </c>
      <c r="E3346">
        <v>1</v>
      </c>
      <c r="F3346">
        <v>1</v>
      </c>
      <c r="G3346">
        <v>0</v>
      </c>
      <c r="H3346" t="s">
        <v>2221</v>
      </c>
    </row>
    <row r="3347" spans="1:8">
      <c r="A3347" t="s">
        <v>1824</v>
      </c>
      <c r="B3347" t="s">
        <v>3908</v>
      </c>
      <c r="C3347">
        <v>1</v>
      </c>
      <c r="D3347">
        <v>1</v>
      </c>
      <c r="E3347">
        <v>1</v>
      </c>
      <c r="F3347">
        <v>1</v>
      </c>
      <c r="G3347">
        <v>0</v>
      </c>
      <c r="H3347" t="s">
        <v>2221</v>
      </c>
    </row>
    <row r="3348" spans="1:8">
      <c r="A3348" t="s">
        <v>1825</v>
      </c>
      <c r="B3348" t="s">
        <v>3909</v>
      </c>
      <c r="C3348">
        <v>1</v>
      </c>
      <c r="D3348">
        <v>1</v>
      </c>
      <c r="E3348">
        <v>1</v>
      </c>
      <c r="F3348">
        <v>1</v>
      </c>
      <c r="G3348">
        <v>0</v>
      </c>
      <c r="H3348" t="s">
        <v>2221</v>
      </c>
    </row>
    <row r="3349" spans="1:8">
      <c r="A3349" t="s">
        <v>9054</v>
      </c>
      <c r="B3349" t="s">
        <v>9053</v>
      </c>
      <c r="C3349">
        <v>1</v>
      </c>
      <c r="D3349">
        <v>1</v>
      </c>
      <c r="E3349">
        <v>1</v>
      </c>
      <c r="F3349">
        <v>1</v>
      </c>
      <c r="G3349">
        <v>0</v>
      </c>
      <c r="H3349" t="s">
        <v>2221</v>
      </c>
    </row>
    <row r="3350" spans="1:8">
      <c r="A3350" t="s">
        <v>9048</v>
      </c>
      <c r="B3350" t="s">
        <v>9047</v>
      </c>
      <c r="C3350">
        <v>1</v>
      </c>
      <c r="D3350">
        <v>1</v>
      </c>
      <c r="E3350">
        <v>1</v>
      </c>
      <c r="F3350">
        <v>1</v>
      </c>
      <c r="G3350">
        <v>0</v>
      </c>
      <c r="H3350" t="s">
        <v>2221</v>
      </c>
    </row>
    <row r="3351" spans="1:8">
      <c r="A3351" t="s">
        <v>9038</v>
      </c>
      <c r="B3351" t="s">
        <v>9037</v>
      </c>
      <c r="C3351">
        <v>1</v>
      </c>
      <c r="D3351">
        <v>1</v>
      </c>
      <c r="E3351">
        <v>1</v>
      </c>
      <c r="F3351">
        <v>1</v>
      </c>
      <c r="G3351">
        <v>0</v>
      </c>
      <c r="H3351" t="s">
        <v>2221</v>
      </c>
    </row>
    <row r="3352" spans="1:8">
      <c r="A3352" t="s">
        <v>9060</v>
      </c>
      <c r="B3352" t="s">
        <v>9059</v>
      </c>
      <c r="C3352">
        <v>1</v>
      </c>
      <c r="D3352">
        <v>1</v>
      </c>
      <c r="E3352">
        <v>1</v>
      </c>
      <c r="F3352">
        <v>1</v>
      </c>
      <c r="G3352">
        <v>0</v>
      </c>
      <c r="H3352" t="s">
        <v>2221</v>
      </c>
    </row>
    <row r="3353" spans="1:8">
      <c r="A3353" t="s">
        <v>1826</v>
      </c>
      <c r="B3353" t="s">
        <v>3910</v>
      </c>
      <c r="C3353">
        <v>1</v>
      </c>
      <c r="D3353">
        <v>1</v>
      </c>
      <c r="E3353">
        <v>1</v>
      </c>
      <c r="F3353">
        <v>1</v>
      </c>
      <c r="G3353">
        <v>0</v>
      </c>
      <c r="H3353" t="s">
        <v>2221</v>
      </c>
    </row>
    <row r="3354" spans="1:8">
      <c r="A3354" t="s">
        <v>1827</v>
      </c>
      <c r="B3354" t="s">
        <v>3911</v>
      </c>
      <c r="C3354">
        <v>1</v>
      </c>
      <c r="D3354">
        <v>1</v>
      </c>
      <c r="E3354">
        <v>1</v>
      </c>
      <c r="F3354">
        <v>1</v>
      </c>
      <c r="G3354">
        <v>0</v>
      </c>
      <c r="H3354" t="s">
        <v>2221</v>
      </c>
    </row>
    <row r="3355" spans="1:8">
      <c r="A3355" t="s">
        <v>9063</v>
      </c>
      <c r="B3355" t="s">
        <v>9062</v>
      </c>
      <c r="C3355">
        <v>1</v>
      </c>
      <c r="D3355">
        <v>1</v>
      </c>
      <c r="E3355">
        <v>1</v>
      </c>
      <c r="F3355">
        <v>1</v>
      </c>
      <c r="G3355">
        <v>0</v>
      </c>
      <c r="H3355" t="s">
        <v>2221</v>
      </c>
    </row>
    <row r="3356" spans="1:8">
      <c r="A3356" t="s">
        <v>9056</v>
      </c>
      <c r="B3356" t="s">
        <v>9055</v>
      </c>
      <c r="C3356">
        <v>1</v>
      </c>
      <c r="D3356">
        <v>1</v>
      </c>
      <c r="E3356">
        <v>1</v>
      </c>
      <c r="F3356">
        <v>1</v>
      </c>
      <c r="G3356">
        <v>0</v>
      </c>
      <c r="H3356" t="s">
        <v>2221</v>
      </c>
    </row>
    <row r="3357" spans="1:8">
      <c r="A3357" t="s">
        <v>9056</v>
      </c>
      <c r="B3357" t="s">
        <v>9061</v>
      </c>
      <c r="C3357">
        <v>1</v>
      </c>
      <c r="D3357">
        <v>1</v>
      </c>
      <c r="E3357">
        <v>1</v>
      </c>
      <c r="F3357">
        <v>1</v>
      </c>
      <c r="G3357">
        <v>0</v>
      </c>
      <c r="H3357" t="s">
        <v>2221</v>
      </c>
    </row>
    <row r="3358" spans="1:8">
      <c r="A3358" t="s">
        <v>9040</v>
      </c>
      <c r="B3358" t="s">
        <v>9039</v>
      </c>
      <c r="C3358">
        <v>1</v>
      </c>
      <c r="D3358">
        <v>1</v>
      </c>
      <c r="E3358">
        <v>1</v>
      </c>
      <c r="F3358">
        <v>1</v>
      </c>
      <c r="G3358">
        <v>0</v>
      </c>
      <c r="H3358" t="s">
        <v>2221</v>
      </c>
    </row>
    <row r="3359" spans="1:8">
      <c r="A3359" t="s">
        <v>9042</v>
      </c>
      <c r="B3359" t="s">
        <v>9041</v>
      </c>
      <c r="C3359">
        <v>1</v>
      </c>
      <c r="D3359">
        <v>1</v>
      </c>
      <c r="E3359">
        <v>1</v>
      </c>
      <c r="F3359">
        <v>1</v>
      </c>
      <c r="G3359">
        <v>0</v>
      </c>
      <c r="H3359" t="s">
        <v>2221</v>
      </c>
    </row>
    <row r="3360" spans="1:8">
      <c r="A3360" t="s">
        <v>1828</v>
      </c>
      <c r="B3360" t="s">
        <v>3912</v>
      </c>
      <c r="C3360">
        <v>1</v>
      </c>
      <c r="D3360">
        <v>1</v>
      </c>
      <c r="E3360">
        <v>1</v>
      </c>
      <c r="F3360">
        <v>1</v>
      </c>
      <c r="G3360">
        <v>0</v>
      </c>
      <c r="H3360" t="s">
        <v>2221</v>
      </c>
    </row>
    <row r="3361" spans="1:8">
      <c r="A3361" t="s">
        <v>1829</v>
      </c>
      <c r="B3361" t="s">
        <v>3913</v>
      </c>
      <c r="C3361">
        <v>1</v>
      </c>
      <c r="D3361">
        <v>1</v>
      </c>
      <c r="E3361">
        <v>1</v>
      </c>
      <c r="F3361">
        <v>1</v>
      </c>
      <c r="G3361">
        <v>0</v>
      </c>
      <c r="H3361" t="s">
        <v>2221</v>
      </c>
    </row>
    <row r="3362" spans="1:8">
      <c r="A3362" t="s">
        <v>9067</v>
      </c>
      <c r="B3362" t="s">
        <v>9066</v>
      </c>
      <c r="C3362">
        <v>1</v>
      </c>
      <c r="D3362">
        <v>1</v>
      </c>
      <c r="E3362">
        <v>1</v>
      </c>
      <c r="F3362">
        <v>1</v>
      </c>
      <c r="G3362">
        <v>0</v>
      </c>
      <c r="H3362" t="s">
        <v>2221</v>
      </c>
    </row>
    <row r="3363" spans="1:8">
      <c r="A3363" t="s">
        <v>9050</v>
      </c>
      <c r="B3363" t="s">
        <v>9049</v>
      </c>
      <c r="C3363">
        <v>1</v>
      </c>
      <c r="D3363">
        <v>1</v>
      </c>
      <c r="E3363">
        <v>1</v>
      </c>
      <c r="F3363">
        <v>1</v>
      </c>
      <c r="G3363">
        <v>0</v>
      </c>
      <c r="H3363" t="s">
        <v>2221</v>
      </c>
    </row>
    <row r="3364" spans="1:8">
      <c r="A3364" t="s">
        <v>9044</v>
      </c>
      <c r="B3364" t="s">
        <v>9043</v>
      </c>
      <c r="C3364">
        <v>1</v>
      </c>
      <c r="D3364">
        <v>1</v>
      </c>
      <c r="E3364">
        <v>1</v>
      </c>
      <c r="F3364">
        <v>1</v>
      </c>
      <c r="G3364">
        <v>0</v>
      </c>
      <c r="H3364" t="s">
        <v>2221</v>
      </c>
    </row>
    <row r="3365" spans="1:8">
      <c r="A3365" t="s">
        <v>1830</v>
      </c>
      <c r="B3365" t="s">
        <v>3914</v>
      </c>
      <c r="C3365">
        <v>1</v>
      </c>
      <c r="D3365">
        <v>1</v>
      </c>
      <c r="E3365">
        <v>1</v>
      </c>
      <c r="F3365">
        <v>1</v>
      </c>
      <c r="G3365">
        <v>0</v>
      </c>
      <c r="H3365" t="s">
        <v>2221</v>
      </c>
    </row>
    <row r="3366" spans="1:8">
      <c r="A3366" t="s">
        <v>1831</v>
      </c>
      <c r="B3366" t="s">
        <v>3915</v>
      </c>
      <c r="C3366">
        <v>1</v>
      </c>
      <c r="D3366">
        <v>1</v>
      </c>
      <c r="E3366">
        <v>1</v>
      </c>
      <c r="F3366">
        <v>1</v>
      </c>
      <c r="G3366">
        <v>0</v>
      </c>
      <c r="H3366" t="s">
        <v>2221</v>
      </c>
    </row>
    <row r="3367" spans="1:8">
      <c r="A3367" t="s">
        <v>9052</v>
      </c>
      <c r="B3367" t="s">
        <v>9051</v>
      </c>
      <c r="C3367">
        <v>1</v>
      </c>
      <c r="D3367">
        <v>1</v>
      </c>
      <c r="E3367">
        <v>1</v>
      </c>
      <c r="F3367">
        <v>1</v>
      </c>
      <c r="G3367">
        <v>0</v>
      </c>
      <c r="H3367" t="s">
        <v>2221</v>
      </c>
    </row>
    <row r="3368" spans="1:8">
      <c r="A3368" t="s">
        <v>1832</v>
      </c>
      <c r="B3368" t="s">
        <v>3916</v>
      </c>
      <c r="C3368">
        <v>1</v>
      </c>
      <c r="D3368">
        <v>1</v>
      </c>
      <c r="E3368">
        <v>1</v>
      </c>
      <c r="F3368">
        <v>1</v>
      </c>
      <c r="G3368">
        <v>0</v>
      </c>
      <c r="H3368" t="s">
        <v>2221</v>
      </c>
    </row>
    <row r="3369" spans="1:8">
      <c r="A3369" t="s">
        <v>9761</v>
      </c>
      <c r="B3369" t="s">
        <v>7587</v>
      </c>
      <c r="C3369">
        <v>12</v>
      </c>
      <c r="D3369">
        <v>1</v>
      </c>
      <c r="E3369">
        <v>1</v>
      </c>
      <c r="F3369">
        <v>1</v>
      </c>
      <c r="G3369">
        <v>0</v>
      </c>
      <c r="H3369" t="s">
        <v>2197</v>
      </c>
    </row>
    <row r="3370" spans="1:8">
      <c r="A3370" t="s">
        <v>1833</v>
      </c>
      <c r="B3370" t="s">
        <v>3917</v>
      </c>
      <c r="C3370">
        <v>20</v>
      </c>
      <c r="D3370">
        <v>1</v>
      </c>
      <c r="E3370">
        <v>1</v>
      </c>
      <c r="F3370">
        <v>1239.5</v>
      </c>
      <c r="G3370">
        <v>2.5200000000000001E-3</v>
      </c>
      <c r="H3370" t="s">
        <v>2197</v>
      </c>
    </row>
    <row r="3371" spans="1:8">
      <c r="A3371" t="s">
        <v>1834</v>
      </c>
      <c r="B3371" t="s">
        <v>3918</v>
      </c>
      <c r="C3371">
        <v>20</v>
      </c>
      <c r="D3371">
        <v>1</v>
      </c>
      <c r="E3371">
        <v>1</v>
      </c>
      <c r="F3371">
        <v>372.5</v>
      </c>
      <c r="G3371">
        <v>8.12E-4</v>
      </c>
      <c r="H3371" t="s">
        <v>2197</v>
      </c>
    </row>
    <row r="3372" spans="1:8">
      <c r="A3372" t="s">
        <v>1835</v>
      </c>
      <c r="B3372" t="s">
        <v>3920</v>
      </c>
      <c r="C3372">
        <v>20</v>
      </c>
      <c r="D3372">
        <v>1</v>
      </c>
      <c r="E3372">
        <v>1</v>
      </c>
      <c r="F3372">
        <v>690</v>
      </c>
      <c r="G3372">
        <v>1.2474000000000001E-3</v>
      </c>
      <c r="H3372" t="s">
        <v>2197</v>
      </c>
    </row>
    <row r="3373" spans="1:8">
      <c r="A3373" t="s">
        <v>4814</v>
      </c>
      <c r="B3373" t="s">
        <v>7586</v>
      </c>
      <c r="C3373">
        <v>10</v>
      </c>
      <c r="D3373">
        <v>1</v>
      </c>
      <c r="E3373">
        <v>1</v>
      </c>
      <c r="F3373">
        <v>2110</v>
      </c>
      <c r="G3373">
        <v>1.8675E-3</v>
      </c>
      <c r="H3373" t="s">
        <v>2203</v>
      </c>
    </row>
    <row r="3374" spans="1:8">
      <c r="A3374" t="s">
        <v>1836</v>
      </c>
      <c r="B3374" t="s">
        <v>3921</v>
      </c>
      <c r="C3374">
        <v>20</v>
      </c>
      <c r="D3374">
        <v>1</v>
      </c>
      <c r="E3374">
        <v>1</v>
      </c>
      <c r="F3374">
        <v>1095</v>
      </c>
      <c r="G3374">
        <v>3.7152000000000001E-3</v>
      </c>
      <c r="H3374" t="s">
        <v>2203</v>
      </c>
    </row>
    <row r="3375" spans="1:8">
      <c r="A3375" t="s">
        <v>7608</v>
      </c>
      <c r="B3375" t="s">
        <v>7607</v>
      </c>
      <c r="C3375">
        <v>12</v>
      </c>
      <c r="D3375">
        <v>15</v>
      </c>
      <c r="E3375">
        <v>1</v>
      </c>
      <c r="F3375">
        <v>21.1</v>
      </c>
      <c r="G3375">
        <v>1.339E-4</v>
      </c>
      <c r="H3375" t="s">
        <v>2203</v>
      </c>
    </row>
    <row r="3376" spans="1:8">
      <c r="A3376" t="s">
        <v>4815</v>
      </c>
      <c r="B3376" t="s">
        <v>7588</v>
      </c>
      <c r="C3376">
        <v>20</v>
      </c>
      <c r="D3376">
        <v>10</v>
      </c>
      <c r="E3376">
        <v>1</v>
      </c>
      <c r="F3376">
        <v>40</v>
      </c>
      <c r="G3376">
        <v>1.188E-4</v>
      </c>
      <c r="H3376" t="s">
        <v>2203</v>
      </c>
    </row>
    <row r="3377" spans="1:8">
      <c r="A3377" t="s">
        <v>7620</v>
      </c>
      <c r="B3377" t="s">
        <v>7619</v>
      </c>
      <c r="C3377">
        <v>48</v>
      </c>
      <c r="D3377">
        <v>1</v>
      </c>
      <c r="E3377">
        <v>1</v>
      </c>
      <c r="F3377">
        <v>175</v>
      </c>
      <c r="G3377">
        <v>5.7600000000000001E-4</v>
      </c>
      <c r="H3377" t="s">
        <v>4617</v>
      </c>
    </row>
    <row r="3378" spans="1:8">
      <c r="A3378" t="s">
        <v>4819</v>
      </c>
      <c r="B3378" t="s">
        <v>7596</v>
      </c>
      <c r="C3378">
        <v>90</v>
      </c>
      <c r="D3378">
        <v>1</v>
      </c>
      <c r="E3378">
        <v>1</v>
      </c>
      <c r="F3378">
        <v>0</v>
      </c>
      <c r="G3378">
        <v>0</v>
      </c>
      <c r="H3378" t="s">
        <v>2203</v>
      </c>
    </row>
    <row r="3379" spans="1:8">
      <c r="A3379" t="s">
        <v>4826</v>
      </c>
      <c r="B3379" t="s">
        <v>7621</v>
      </c>
      <c r="C3379">
        <v>20</v>
      </c>
      <c r="D3379">
        <v>12</v>
      </c>
      <c r="E3379">
        <v>1</v>
      </c>
      <c r="F3379">
        <v>23.5</v>
      </c>
      <c r="G3379" s="4">
        <v>9.8999999999999994E-5</v>
      </c>
      <c r="H3379" t="s">
        <v>2203</v>
      </c>
    </row>
    <row r="3380" spans="1:8">
      <c r="A3380" t="s">
        <v>7629</v>
      </c>
      <c r="B3380" t="s">
        <v>7628</v>
      </c>
      <c r="C3380">
        <v>1</v>
      </c>
      <c r="D3380">
        <v>1</v>
      </c>
      <c r="E3380">
        <v>1</v>
      </c>
      <c r="F3380">
        <v>1</v>
      </c>
      <c r="G3380">
        <v>0</v>
      </c>
      <c r="H3380" t="s">
        <v>2203</v>
      </c>
    </row>
    <row r="3381" spans="1:8">
      <c r="A3381" t="s">
        <v>1838</v>
      </c>
      <c r="B3381" t="s">
        <v>3923</v>
      </c>
      <c r="C3381">
        <v>12</v>
      </c>
      <c r="D3381">
        <v>15</v>
      </c>
      <c r="E3381">
        <v>1</v>
      </c>
      <c r="F3381">
        <v>36.1</v>
      </c>
      <c r="G3381">
        <v>1.3070000000000001E-4</v>
      </c>
      <c r="H3381" t="s">
        <v>2203</v>
      </c>
    </row>
    <row r="3382" spans="1:8">
      <c r="A3382" t="s">
        <v>7633</v>
      </c>
      <c r="B3382" t="s">
        <v>7632</v>
      </c>
      <c r="C3382">
        <v>1</v>
      </c>
      <c r="D3382">
        <v>1</v>
      </c>
      <c r="E3382">
        <v>1</v>
      </c>
      <c r="F3382">
        <v>1</v>
      </c>
      <c r="G3382">
        <v>0</v>
      </c>
      <c r="H3382" t="s">
        <v>2203</v>
      </c>
    </row>
    <row r="3383" spans="1:8">
      <c r="A3383" t="s">
        <v>7638</v>
      </c>
      <c r="B3383" t="s">
        <v>7637</v>
      </c>
      <c r="C3383">
        <v>1</v>
      </c>
      <c r="D3383">
        <v>1</v>
      </c>
      <c r="E3383">
        <v>1</v>
      </c>
      <c r="F3383">
        <v>1</v>
      </c>
      <c r="G3383">
        <v>0</v>
      </c>
      <c r="H3383" t="s">
        <v>2203</v>
      </c>
    </row>
    <row r="3384" spans="1:8">
      <c r="A3384" t="s">
        <v>4818</v>
      </c>
      <c r="B3384" t="s">
        <v>7589</v>
      </c>
      <c r="C3384">
        <v>36</v>
      </c>
      <c r="D3384">
        <v>1</v>
      </c>
      <c r="E3384">
        <v>1</v>
      </c>
      <c r="F3384">
        <v>0</v>
      </c>
      <c r="G3384">
        <v>0</v>
      </c>
      <c r="H3384" t="s">
        <v>2203</v>
      </c>
    </row>
    <row r="3385" spans="1:8">
      <c r="A3385" t="s">
        <v>7627</v>
      </c>
      <c r="B3385" t="s">
        <v>7626</v>
      </c>
      <c r="C3385">
        <v>1000</v>
      </c>
      <c r="D3385">
        <v>1</v>
      </c>
      <c r="E3385">
        <v>1</v>
      </c>
      <c r="F3385">
        <v>1</v>
      </c>
      <c r="G3385">
        <v>0</v>
      </c>
      <c r="H3385" t="s">
        <v>2203</v>
      </c>
    </row>
    <row r="3386" spans="1:8">
      <c r="A3386" t="s">
        <v>7635</v>
      </c>
      <c r="B3386" t="s">
        <v>7634</v>
      </c>
      <c r="C3386">
        <v>1</v>
      </c>
      <c r="D3386">
        <v>1</v>
      </c>
      <c r="E3386">
        <v>1</v>
      </c>
      <c r="F3386">
        <v>1</v>
      </c>
      <c r="G3386">
        <v>0</v>
      </c>
      <c r="H3386" t="s">
        <v>2203</v>
      </c>
    </row>
    <row r="3387" spans="1:8">
      <c r="A3387" t="s">
        <v>7635</v>
      </c>
      <c r="B3387" t="s">
        <v>7641</v>
      </c>
      <c r="C3387">
        <v>1</v>
      </c>
      <c r="D3387">
        <v>1</v>
      </c>
      <c r="E3387">
        <v>1</v>
      </c>
      <c r="F3387">
        <v>1</v>
      </c>
      <c r="G3387">
        <v>0</v>
      </c>
      <c r="H3387" t="s">
        <v>2203</v>
      </c>
    </row>
    <row r="3388" spans="1:8">
      <c r="A3388" t="s">
        <v>4824</v>
      </c>
      <c r="B3388" t="s">
        <v>7606</v>
      </c>
      <c r="C3388">
        <v>40</v>
      </c>
      <c r="D3388">
        <v>1</v>
      </c>
      <c r="E3388">
        <v>1</v>
      </c>
      <c r="F3388">
        <v>146.30000000000001</v>
      </c>
      <c r="G3388">
        <v>3.8039999999999998E-4</v>
      </c>
      <c r="H3388" t="s">
        <v>4617</v>
      </c>
    </row>
    <row r="3389" spans="1:8">
      <c r="A3389" t="s">
        <v>4823</v>
      </c>
      <c r="B3389" t="s">
        <v>7590</v>
      </c>
      <c r="C3389">
        <v>10</v>
      </c>
      <c r="D3389">
        <v>1</v>
      </c>
      <c r="E3389">
        <v>1</v>
      </c>
      <c r="F3389">
        <v>0</v>
      </c>
      <c r="G3389">
        <v>0</v>
      </c>
      <c r="H3389" t="s">
        <v>2203</v>
      </c>
    </row>
    <row r="3390" spans="1:8">
      <c r="A3390" t="s">
        <v>7623</v>
      </c>
      <c r="B3390" t="s">
        <v>7622</v>
      </c>
      <c r="C3390">
        <v>100</v>
      </c>
      <c r="D3390">
        <v>10</v>
      </c>
      <c r="E3390">
        <v>1</v>
      </c>
      <c r="F3390">
        <v>19.8</v>
      </c>
      <c r="G3390" s="4">
        <v>7.6100000000000007E-5</v>
      </c>
      <c r="H3390" t="s">
        <v>2203</v>
      </c>
    </row>
    <row r="3391" spans="1:8">
      <c r="A3391" t="s">
        <v>7610</v>
      </c>
      <c r="B3391" t="s">
        <v>7609</v>
      </c>
      <c r="C3391">
        <v>20</v>
      </c>
      <c r="D3391">
        <v>12</v>
      </c>
      <c r="E3391">
        <v>1</v>
      </c>
      <c r="F3391">
        <v>23.5</v>
      </c>
      <c r="G3391" s="4">
        <v>9.8999999999999994E-5</v>
      </c>
      <c r="H3391" t="s">
        <v>2203</v>
      </c>
    </row>
    <row r="3392" spans="1:8">
      <c r="A3392" t="s">
        <v>4820</v>
      </c>
      <c r="B3392" t="s">
        <v>7636</v>
      </c>
      <c r="C3392">
        <v>20</v>
      </c>
      <c r="D3392">
        <v>12</v>
      </c>
      <c r="E3392">
        <v>1</v>
      </c>
      <c r="F3392">
        <v>28.8</v>
      </c>
      <c r="G3392">
        <v>1.3129999999999999E-4</v>
      </c>
      <c r="H3392" t="s">
        <v>2203</v>
      </c>
    </row>
    <row r="3393" spans="1:8">
      <c r="A3393" t="s">
        <v>4825</v>
      </c>
      <c r="B3393" t="s">
        <v>7591</v>
      </c>
      <c r="C3393">
        <v>20</v>
      </c>
      <c r="D3393">
        <v>24</v>
      </c>
      <c r="E3393">
        <v>1</v>
      </c>
      <c r="F3393">
        <v>16.3</v>
      </c>
      <c r="G3393" s="4">
        <v>7.3999999999999996E-5</v>
      </c>
      <c r="H3393" t="s">
        <v>2203</v>
      </c>
    </row>
    <row r="3394" spans="1:8">
      <c r="A3394" t="s">
        <v>7618</v>
      </c>
      <c r="B3394" t="s">
        <v>7617</v>
      </c>
      <c r="C3394">
        <v>20</v>
      </c>
      <c r="D3394">
        <v>6</v>
      </c>
      <c r="E3394">
        <v>1</v>
      </c>
      <c r="F3394">
        <v>66.7</v>
      </c>
      <c r="G3394">
        <v>1.9790000000000001E-4</v>
      </c>
      <c r="H3394" t="s">
        <v>2203</v>
      </c>
    </row>
    <row r="3395" spans="1:8">
      <c r="A3395" t="s">
        <v>4822</v>
      </c>
      <c r="B3395" t="s">
        <v>7598</v>
      </c>
      <c r="C3395">
        <v>20</v>
      </c>
      <c r="D3395">
        <v>8</v>
      </c>
      <c r="E3395">
        <v>1</v>
      </c>
      <c r="F3395">
        <v>0</v>
      </c>
      <c r="G3395">
        <v>0</v>
      </c>
      <c r="H3395" t="s">
        <v>2203</v>
      </c>
    </row>
    <row r="3396" spans="1:8">
      <c r="A3396" t="s">
        <v>7616</v>
      </c>
      <c r="B3396" t="s">
        <v>7615</v>
      </c>
      <c r="C3396">
        <v>48</v>
      </c>
      <c r="D3396">
        <v>1</v>
      </c>
      <c r="E3396">
        <v>1</v>
      </c>
      <c r="F3396">
        <v>172.91659999999999</v>
      </c>
      <c r="G3396">
        <v>7.425E-4</v>
      </c>
      <c r="H3396" t="s">
        <v>4617</v>
      </c>
    </row>
    <row r="3397" spans="1:8">
      <c r="A3397" t="s">
        <v>1839</v>
      </c>
      <c r="B3397" t="s">
        <v>3926</v>
      </c>
      <c r="C3397">
        <v>12</v>
      </c>
      <c r="D3397">
        <v>15</v>
      </c>
      <c r="E3397">
        <v>1</v>
      </c>
      <c r="F3397">
        <v>36.1</v>
      </c>
      <c r="G3397" s="4">
        <v>9.3200000000000002E-5</v>
      </c>
      <c r="H3397" t="s">
        <v>2203</v>
      </c>
    </row>
    <row r="3398" spans="1:8">
      <c r="A3398" t="s">
        <v>7612</v>
      </c>
      <c r="B3398" t="s">
        <v>7611</v>
      </c>
      <c r="C3398">
        <v>12</v>
      </c>
      <c r="D3398">
        <v>10</v>
      </c>
      <c r="E3398">
        <v>1</v>
      </c>
      <c r="F3398">
        <v>34.165999999999997</v>
      </c>
      <c r="G3398">
        <v>1.41075E-4</v>
      </c>
      <c r="H3398" t="s">
        <v>2203</v>
      </c>
    </row>
    <row r="3399" spans="1:8">
      <c r="A3399" t="s">
        <v>7631</v>
      </c>
      <c r="B3399" t="s">
        <v>7630</v>
      </c>
      <c r="C3399">
        <v>12</v>
      </c>
      <c r="D3399">
        <v>15</v>
      </c>
      <c r="E3399">
        <v>1</v>
      </c>
      <c r="F3399">
        <v>21.1</v>
      </c>
      <c r="G3399">
        <v>1.372E-4</v>
      </c>
      <c r="H3399" t="s">
        <v>2203</v>
      </c>
    </row>
    <row r="3400" spans="1:8">
      <c r="A3400" t="s">
        <v>7625</v>
      </c>
      <c r="B3400" t="s">
        <v>7624</v>
      </c>
      <c r="C3400">
        <v>20</v>
      </c>
      <c r="D3400">
        <v>6</v>
      </c>
      <c r="E3400">
        <v>1</v>
      </c>
      <c r="F3400">
        <v>50</v>
      </c>
      <c r="G3400">
        <v>0</v>
      </c>
      <c r="H3400" t="s">
        <v>2203</v>
      </c>
    </row>
    <row r="3401" spans="1:8">
      <c r="A3401" t="s">
        <v>4817</v>
      </c>
      <c r="B3401" t="s">
        <v>7597</v>
      </c>
      <c r="C3401">
        <v>10</v>
      </c>
      <c r="D3401">
        <v>1</v>
      </c>
      <c r="E3401">
        <v>1</v>
      </c>
      <c r="F3401">
        <v>0</v>
      </c>
      <c r="G3401">
        <v>0</v>
      </c>
      <c r="H3401" t="s">
        <v>2203</v>
      </c>
    </row>
    <row r="3402" spans="1:8">
      <c r="A3402" t="s">
        <v>7595</v>
      </c>
      <c r="B3402" t="s">
        <v>7594</v>
      </c>
      <c r="C3402">
        <v>160</v>
      </c>
      <c r="D3402">
        <v>1</v>
      </c>
      <c r="E3402">
        <v>1</v>
      </c>
      <c r="F3402">
        <v>0</v>
      </c>
      <c r="G3402">
        <v>0</v>
      </c>
      <c r="H3402" t="s">
        <v>2203</v>
      </c>
    </row>
    <row r="3403" spans="1:8">
      <c r="A3403" t="s">
        <v>1840</v>
      </c>
      <c r="B3403" t="s">
        <v>7593</v>
      </c>
      <c r="C3403">
        <v>10</v>
      </c>
      <c r="D3403">
        <v>1</v>
      </c>
      <c r="E3403">
        <v>1</v>
      </c>
      <c r="F3403">
        <v>0</v>
      </c>
      <c r="G3403">
        <v>0</v>
      </c>
      <c r="H3403" t="s">
        <v>2203</v>
      </c>
    </row>
    <row r="3404" spans="1:8">
      <c r="A3404" t="s">
        <v>7640</v>
      </c>
      <c r="B3404" t="s">
        <v>7639</v>
      </c>
      <c r="C3404">
        <v>12</v>
      </c>
      <c r="D3404">
        <v>15</v>
      </c>
      <c r="E3404">
        <v>1</v>
      </c>
      <c r="F3404">
        <v>1</v>
      </c>
      <c r="G3404">
        <v>0</v>
      </c>
      <c r="H3404" t="s">
        <v>2203</v>
      </c>
    </row>
    <row r="3405" spans="1:8">
      <c r="A3405" t="s">
        <v>4821</v>
      </c>
      <c r="B3405" t="s">
        <v>7592</v>
      </c>
      <c r="C3405">
        <v>24</v>
      </c>
      <c r="D3405">
        <v>1</v>
      </c>
      <c r="E3405">
        <v>1</v>
      </c>
      <c r="F3405">
        <v>0</v>
      </c>
      <c r="G3405">
        <v>0</v>
      </c>
      <c r="H3405" t="s">
        <v>2203</v>
      </c>
    </row>
    <row r="3406" spans="1:8">
      <c r="A3406" t="s">
        <v>7605</v>
      </c>
      <c r="B3406" t="s">
        <v>7604</v>
      </c>
      <c r="C3406">
        <v>10</v>
      </c>
      <c r="D3406">
        <v>1</v>
      </c>
      <c r="E3406">
        <v>1</v>
      </c>
      <c r="F3406">
        <v>0</v>
      </c>
      <c r="G3406">
        <v>0</v>
      </c>
      <c r="H3406" t="s">
        <v>2203</v>
      </c>
    </row>
    <row r="3407" spans="1:8">
      <c r="A3407" t="s">
        <v>7603</v>
      </c>
      <c r="B3407" t="s">
        <v>7602</v>
      </c>
      <c r="C3407">
        <v>10</v>
      </c>
      <c r="D3407">
        <v>1</v>
      </c>
      <c r="E3407">
        <v>1</v>
      </c>
      <c r="F3407">
        <v>0</v>
      </c>
      <c r="G3407">
        <v>0</v>
      </c>
      <c r="H3407" t="s">
        <v>2203</v>
      </c>
    </row>
    <row r="3408" spans="1:8">
      <c r="A3408" t="s">
        <v>7601</v>
      </c>
      <c r="B3408" t="s">
        <v>7600</v>
      </c>
      <c r="C3408">
        <v>12</v>
      </c>
      <c r="D3408">
        <v>10</v>
      </c>
      <c r="E3408">
        <v>1</v>
      </c>
      <c r="F3408">
        <v>0</v>
      </c>
      <c r="G3408">
        <v>0</v>
      </c>
      <c r="H3408" t="s">
        <v>2203</v>
      </c>
    </row>
    <row r="3409" spans="1:8">
      <c r="A3409" t="s">
        <v>4816</v>
      </c>
      <c r="B3409" t="s">
        <v>7599</v>
      </c>
      <c r="C3409">
        <v>24</v>
      </c>
      <c r="D3409">
        <v>1</v>
      </c>
      <c r="E3409">
        <v>1</v>
      </c>
      <c r="F3409">
        <v>0</v>
      </c>
      <c r="G3409">
        <v>0</v>
      </c>
      <c r="H3409" t="s">
        <v>2203</v>
      </c>
    </row>
    <row r="3410" spans="1:8">
      <c r="A3410" t="s">
        <v>7614</v>
      </c>
      <c r="B3410" t="s">
        <v>7613</v>
      </c>
      <c r="C3410">
        <v>20</v>
      </c>
      <c r="D3410">
        <v>12</v>
      </c>
      <c r="E3410">
        <v>1</v>
      </c>
      <c r="F3410">
        <v>23.75</v>
      </c>
      <c r="G3410">
        <v>1.2433750000000001E-4</v>
      </c>
      <c r="H3410" t="s">
        <v>2203</v>
      </c>
    </row>
    <row r="3411" spans="1:8">
      <c r="A3411" t="s">
        <v>4827</v>
      </c>
      <c r="B3411" t="s">
        <v>7642</v>
      </c>
      <c r="C3411">
        <v>10</v>
      </c>
      <c r="D3411">
        <v>20</v>
      </c>
      <c r="E3411">
        <v>1</v>
      </c>
      <c r="F3411">
        <v>0</v>
      </c>
      <c r="G3411">
        <v>0</v>
      </c>
      <c r="H3411" t="s">
        <v>2197</v>
      </c>
    </row>
    <row r="3412" spans="1:8">
      <c r="A3412" t="s">
        <v>1841</v>
      </c>
      <c r="B3412" t="s">
        <v>3928</v>
      </c>
      <c r="C3412">
        <v>40</v>
      </c>
      <c r="D3412">
        <v>1</v>
      </c>
      <c r="E3412">
        <v>1</v>
      </c>
      <c r="F3412">
        <v>312</v>
      </c>
      <c r="G3412">
        <v>6.6949999999999996E-4</v>
      </c>
      <c r="H3412" t="s">
        <v>2197</v>
      </c>
    </row>
    <row r="3413" spans="1:8">
      <c r="A3413" t="s">
        <v>1858</v>
      </c>
      <c r="B3413" t="s">
        <v>3931</v>
      </c>
      <c r="C3413">
        <v>50</v>
      </c>
      <c r="D3413">
        <v>1</v>
      </c>
      <c r="E3413">
        <v>1</v>
      </c>
      <c r="F3413">
        <v>110.6</v>
      </c>
      <c r="G3413">
        <v>2.8570000000000001E-4</v>
      </c>
      <c r="H3413" t="s">
        <v>2197</v>
      </c>
    </row>
    <row r="3414" spans="1:8">
      <c r="A3414" t="s">
        <v>5018</v>
      </c>
      <c r="B3414" t="s">
        <v>7645</v>
      </c>
      <c r="C3414">
        <v>40</v>
      </c>
      <c r="D3414">
        <v>1</v>
      </c>
      <c r="E3414">
        <v>1</v>
      </c>
      <c r="F3414">
        <v>1</v>
      </c>
      <c r="G3414">
        <v>0</v>
      </c>
      <c r="H3414" t="s">
        <v>2197</v>
      </c>
    </row>
    <row r="3415" spans="1:8">
      <c r="A3415" t="s">
        <v>7644</v>
      </c>
      <c r="B3415" t="s">
        <v>7643</v>
      </c>
      <c r="C3415">
        <v>50</v>
      </c>
      <c r="D3415">
        <v>1</v>
      </c>
      <c r="E3415">
        <v>1</v>
      </c>
      <c r="F3415">
        <v>1</v>
      </c>
      <c r="G3415">
        <v>0</v>
      </c>
      <c r="H3415" t="s">
        <v>2197</v>
      </c>
    </row>
    <row r="3416" spans="1:8">
      <c r="A3416" t="s">
        <v>1864</v>
      </c>
      <c r="B3416" t="s">
        <v>3932</v>
      </c>
      <c r="C3416">
        <v>1</v>
      </c>
      <c r="D3416">
        <v>1</v>
      </c>
      <c r="E3416">
        <v>1</v>
      </c>
      <c r="F3416">
        <v>110.6</v>
      </c>
      <c r="G3416">
        <v>2.8566000000000003E-4</v>
      </c>
      <c r="H3416" t="s">
        <v>2221</v>
      </c>
    </row>
    <row r="3417" spans="1:8">
      <c r="A3417" t="s">
        <v>1865</v>
      </c>
      <c r="B3417" t="s">
        <v>3933</v>
      </c>
      <c r="C3417">
        <v>100</v>
      </c>
      <c r="D3417">
        <v>1</v>
      </c>
      <c r="E3417">
        <v>1</v>
      </c>
      <c r="F3417">
        <v>1</v>
      </c>
      <c r="G3417">
        <v>0</v>
      </c>
      <c r="H3417" t="s">
        <v>2221</v>
      </c>
    </row>
    <row r="3418" spans="1:8">
      <c r="A3418" t="s">
        <v>7651</v>
      </c>
      <c r="B3418" t="s">
        <v>7650</v>
      </c>
      <c r="C3418">
        <v>80</v>
      </c>
      <c r="D3418">
        <v>1</v>
      </c>
      <c r="E3418">
        <v>1</v>
      </c>
      <c r="F3418">
        <v>1</v>
      </c>
      <c r="G3418">
        <v>0</v>
      </c>
      <c r="H3418" t="s">
        <v>2221</v>
      </c>
    </row>
    <row r="3419" spans="1:8">
      <c r="A3419" t="s">
        <v>7667</v>
      </c>
      <c r="B3419" t="s">
        <v>7666</v>
      </c>
      <c r="C3419">
        <v>12</v>
      </c>
      <c r="D3419">
        <v>15</v>
      </c>
      <c r="E3419">
        <v>1</v>
      </c>
      <c r="F3419">
        <v>1</v>
      </c>
      <c r="G3419">
        <v>0</v>
      </c>
      <c r="H3419" t="s">
        <v>2203</v>
      </c>
    </row>
    <row r="3420" spans="1:8">
      <c r="A3420" t="s">
        <v>7665</v>
      </c>
      <c r="B3420" t="s">
        <v>7664</v>
      </c>
      <c r="C3420">
        <v>12</v>
      </c>
      <c r="D3420">
        <v>15</v>
      </c>
      <c r="E3420">
        <v>1</v>
      </c>
      <c r="F3420">
        <v>1</v>
      </c>
      <c r="G3420">
        <v>0</v>
      </c>
      <c r="H3420" t="s">
        <v>2203</v>
      </c>
    </row>
    <row r="3421" spans="1:8">
      <c r="A3421" t="s">
        <v>1866</v>
      </c>
      <c r="B3421" t="s">
        <v>3935</v>
      </c>
      <c r="C3421">
        <v>12</v>
      </c>
      <c r="D3421">
        <v>15</v>
      </c>
      <c r="E3421">
        <v>1</v>
      </c>
      <c r="F3421">
        <v>17.222000000000001</v>
      </c>
      <c r="G3421" s="4">
        <v>8.4077770000000001E-5</v>
      </c>
      <c r="H3421" t="s">
        <v>2203</v>
      </c>
    </row>
    <row r="3422" spans="1:8">
      <c r="A3422" t="s">
        <v>7669</v>
      </c>
      <c r="B3422" t="s">
        <v>7668</v>
      </c>
      <c r="C3422">
        <v>1</v>
      </c>
      <c r="D3422">
        <v>1</v>
      </c>
      <c r="E3422">
        <v>1</v>
      </c>
      <c r="F3422">
        <v>1</v>
      </c>
      <c r="G3422">
        <v>0</v>
      </c>
      <c r="H3422" t="s">
        <v>2203</v>
      </c>
    </row>
    <row r="3423" spans="1:8">
      <c r="A3423" t="s">
        <v>7653</v>
      </c>
      <c r="B3423" t="s">
        <v>7652</v>
      </c>
      <c r="C3423">
        <v>20</v>
      </c>
      <c r="D3423">
        <v>12</v>
      </c>
      <c r="E3423">
        <v>1</v>
      </c>
      <c r="F3423">
        <v>29.166</v>
      </c>
      <c r="G3423">
        <v>1.2433750000000001E-4</v>
      </c>
      <c r="H3423" t="s">
        <v>2203</v>
      </c>
    </row>
    <row r="3424" spans="1:8">
      <c r="A3424" t="s">
        <v>7657</v>
      </c>
      <c r="B3424" t="s">
        <v>7656</v>
      </c>
      <c r="C3424">
        <v>12</v>
      </c>
      <c r="D3424">
        <v>15</v>
      </c>
      <c r="E3424">
        <v>1</v>
      </c>
      <c r="F3424">
        <v>1</v>
      </c>
      <c r="G3424">
        <v>0</v>
      </c>
      <c r="H3424" t="s">
        <v>2203</v>
      </c>
    </row>
    <row r="3425" spans="1:8">
      <c r="A3425" t="s">
        <v>1867</v>
      </c>
      <c r="B3425" t="s">
        <v>3937</v>
      </c>
      <c r="C3425">
        <v>1</v>
      </c>
      <c r="D3425">
        <v>1</v>
      </c>
      <c r="E3425">
        <v>1</v>
      </c>
      <c r="F3425">
        <v>110.6</v>
      </c>
      <c r="G3425">
        <v>2.8566000000000003E-4</v>
      </c>
      <c r="H3425" t="s">
        <v>2221</v>
      </c>
    </row>
    <row r="3426" spans="1:8">
      <c r="A3426" t="s">
        <v>1868</v>
      </c>
      <c r="B3426" t="s">
        <v>3938</v>
      </c>
      <c r="C3426">
        <v>1</v>
      </c>
      <c r="D3426">
        <v>1</v>
      </c>
      <c r="E3426">
        <v>1</v>
      </c>
      <c r="F3426">
        <v>1</v>
      </c>
      <c r="G3426">
        <v>0</v>
      </c>
      <c r="H3426" t="s">
        <v>3417</v>
      </c>
    </row>
    <row r="3427" spans="1:8">
      <c r="A3427" t="s">
        <v>1869</v>
      </c>
      <c r="B3427" t="s">
        <v>3940</v>
      </c>
      <c r="C3427">
        <v>1</v>
      </c>
      <c r="D3427">
        <v>1</v>
      </c>
      <c r="E3427">
        <v>1</v>
      </c>
      <c r="F3427">
        <v>1</v>
      </c>
      <c r="G3427">
        <v>0</v>
      </c>
      <c r="H3427" t="s">
        <v>3417</v>
      </c>
    </row>
    <row r="3428" spans="1:8">
      <c r="A3428" t="s">
        <v>1870</v>
      </c>
      <c r="B3428" t="s">
        <v>3941</v>
      </c>
      <c r="C3428">
        <v>1</v>
      </c>
      <c r="D3428">
        <v>1</v>
      </c>
      <c r="E3428">
        <v>1</v>
      </c>
      <c r="F3428">
        <v>1</v>
      </c>
      <c r="G3428">
        <v>0</v>
      </c>
      <c r="H3428" t="s">
        <v>3417</v>
      </c>
    </row>
    <row r="3429" spans="1:8">
      <c r="A3429" t="s">
        <v>1871</v>
      </c>
      <c r="B3429" t="s">
        <v>3942</v>
      </c>
      <c r="C3429">
        <v>1</v>
      </c>
      <c r="D3429">
        <v>1</v>
      </c>
      <c r="E3429">
        <v>1</v>
      </c>
      <c r="F3429">
        <v>1</v>
      </c>
      <c r="G3429">
        <v>0</v>
      </c>
      <c r="H3429" t="s">
        <v>3417</v>
      </c>
    </row>
    <row r="3430" spans="1:8">
      <c r="A3430" t="s">
        <v>1872</v>
      </c>
      <c r="B3430" t="s">
        <v>3943</v>
      </c>
      <c r="C3430">
        <v>1</v>
      </c>
      <c r="D3430">
        <v>1</v>
      </c>
      <c r="E3430">
        <v>1</v>
      </c>
      <c r="F3430">
        <v>1</v>
      </c>
      <c r="G3430">
        <v>0</v>
      </c>
      <c r="H3430" t="s">
        <v>3417</v>
      </c>
    </row>
    <row r="3431" spans="1:8">
      <c r="A3431" t="s">
        <v>1873</v>
      </c>
      <c r="B3431" t="s">
        <v>3944</v>
      </c>
      <c r="C3431">
        <v>1</v>
      </c>
      <c r="D3431">
        <v>1</v>
      </c>
      <c r="E3431">
        <v>1</v>
      </c>
      <c r="F3431">
        <v>1</v>
      </c>
      <c r="G3431">
        <v>0</v>
      </c>
      <c r="H3431" t="s">
        <v>3417</v>
      </c>
    </row>
    <row r="3432" spans="1:8">
      <c r="A3432" t="s">
        <v>7661</v>
      </c>
      <c r="B3432" t="s">
        <v>7660</v>
      </c>
      <c r="C3432">
        <v>1</v>
      </c>
      <c r="D3432">
        <v>1</v>
      </c>
      <c r="E3432">
        <v>1</v>
      </c>
      <c r="F3432">
        <v>5400</v>
      </c>
      <c r="G3432">
        <v>1.2342000000000001E-2</v>
      </c>
      <c r="H3432" t="s">
        <v>3417</v>
      </c>
    </row>
    <row r="3433" spans="1:8">
      <c r="A3433" t="s">
        <v>7659</v>
      </c>
      <c r="B3433" t="s">
        <v>7658</v>
      </c>
      <c r="C3433">
        <v>1</v>
      </c>
      <c r="D3433">
        <v>1</v>
      </c>
      <c r="E3433">
        <v>1</v>
      </c>
      <c r="F3433">
        <v>7550</v>
      </c>
      <c r="G3433">
        <v>1.5599999999999999E-2</v>
      </c>
      <c r="H3433" t="s">
        <v>3417</v>
      </c>
    </row>
    <row r="3434" spans="1:8">
      <c r="A3434" t="s">
        <v>7663</v>
      </c>
      <c r="B3434" t="s">
        <v>7662</v>
      </c>
      <c r="C3434">
        <v>1</v>
      </c>
      <c r="D3434">
        <v>1</v>
      </c>
      <c r="E3434">
        <v>1</v>
      </c>
      <c r="F3434">
        <v>2700</v>
      </c>
      <c r="G3434">
        <v>5.4559999999999999E-3</v>
      </c>
      <c r="H3434" t="s">
        <v>3417</v>
      </c>
    </row>
    <row r="3435" spans="1:8">
      <c r="A3435" t="s">
        <v>7655</v>
      </c>
      <c r="B3435" t="s">
        <v>7654</v>
      </c>
      <c r="C3435">
        <v>1</v>
      </c>
      <c r="D3435">
        <v>1</v>
      </c>
      <c r="E3435">
        <v>1</v>
      </c>
      <c r="F3435">
        <v>1</v>
      </c>
      <c r="G3435">
        <v>0</v>
      </c>
      <c r="H3435" t="s">
        <v>2221</v>
      </c>
    </row>
    <row r="3436" spans="1:8">
      <c r="A3436" t="s">
        <v>1874</v>
      </c>
      <c r="B3436" t="s">
        <v>3947</v>
      </c>
      <c r="C3436">
        <v>1</v>
      </c>
      <c r="D3436">
        <v>1</v>
      </c>
      <c r="E3436">
        <v>1</v>
      </c>
      <c r="F3436">
        <v>110.6</v>
      </c>
      <c r="G3436">
        <v>2.8566000000000003E-4</v>
      </c>
      <c r="H3436" t="s">
        <v>2221</v>
      </c>
    </row>
    <row r="3437" spans="1:8">
      <c r="A3437" t="s">
        <v>1875</v>
      </c>
      <c r="B3437" t="s">
        <v>3948</v>
      </c>
      <c r="C3437">
        <v>1</v>
      </c>
      <c r="D3437">
        <v>1</v>
      </c>
      <c r="E3437">
        <v>1</v>
      </c>
      <c r="F3437">
        <v>1</v>
      </c>
      <c r="G3437">
        <v>0</v>
      </c>
      <c r="H3437" t="s">
        <v>2221</v>
      </c>
    </row>
    <row r="3438" spans="1:8">
      <c r="A3438" t="s">
        <v>1876</v>
      </c>
      <c r="B3438" t="s">
        <v>3949</v>
      </c>
      <c r="C3438">
        <v>1</v>
      </c>
      <c r="D3438">
        <v>1</v>
      </c>
      <c r="E3438">
        <v>1</v>
      </c>
      <c r="F3438">
        <v>110.6</v>
      </c>
      <c r="G3438">
        <v>2.8566000000000003E-4</v>
      </c>
      <c r="H3438" t="s">
        <v>2221</v>
      </c>
    </row>
    <row r="3439" spans="1:8">
      <c r="A3439" t="s">
        <v>7671</v>
      </c>
      <c r="B3439" t="s">
        <v>7670</v>
      </c>
      <c r="C3439">
        <v>12</v>
      </c>
      <c r="D3439">
        <v>10</v>
      </c>
      <c r="E3439">
        <v>1</v>
      </c>
      <c r="F3439">
        <v>110.6</v>
      </c>
      <c r="G3439">
        <v>2.8566000000000003E-4</v>
      </c>
      <c r="H3439" t="s">
        <v>2203</v>
      </c>
    </row>
    <row r="3440" spans="1:8">
      <c r="A3440" t="s">
        <v>7673</v>
      </c>
      <c r="B3440" t="s">
        <v>7672</v>
      </c>
      <c r="C3440">
        <v>1</v>
      </c>
      <c r="D3440">
        <v>1</v>
      </c>
      <c r="E3440">
        <v>1</v>
      </c>
      <c r="F3440">
        <v>1</v>
      </c>
      <c r="G3440">
        <v>0</v>
      </c>
      <c r="H3440" t="s">
        <v>2203</v>
      </c>
    </row>
    <row r="3441" spans="1:8">
      <c r="A3441" t="s">
        <v>4828</v>
      </c>
      <c r="B3441" t="s">
        <v>7674</v>
      </c>
      <c r="C3441">
        <v>20</v>
      </c>
      <c r="D3441">
        <v>1</v>
      </c>
      <c r="E3441">
        <v>1</v>
      </c>
      <c r="F3441">
        <v>0</v>
      </c>
      <c r="G3441">
        <v>0</v>
      </c>
      <c r="H3441" t="s">
        <v>2197</v>
      </c>
    </row>
    <row r="3442" spans="1:8">
      <c r="A3442" t="s">
        <v>9762</v>
      </c>
      <c r="B3442" t="s">
        <v>7676</v>
      </c>
      <c r="C3442">
        <v>1</v>
      </c>
      <c r="D3442">
        <v>1</v>
      </c>
      <c r="E3442">
        <v>1</v>
      </c>
      <c r="F3442">
        <v>1</v>
      </c>
      <c r="G3442">
        <v>0</v>
      </c>
      <c r="H3442" t="s">
        <v>2303</v>
      </c>
    </row>
    <row r="3443" spans="1:8">
      <c r="A3443" t="s">
        <v>9763</v>
      </c>
      <c r="B3443" t="s">
        <v>7675</v>
      </c>
      <c r="C3443">
        <v>20</v>
      </c>
      <c r="D3443">
        <v>1</v>
      </c>
      <c r="E3443">
        <v>1</v>
      </c>
      <c r="F3443">
        <v>1342.5</v>
      </c>
      <c r="G3443">
        <v>2.6832000000000002E-3</v>
      </c>
      <c r="H3443" t="s">
        <v>2197</v>
      </c>
    </row>
    <row r="3444" spans="1:8">
      <c r="A3444" t="s">
        <v>9073</v>
      </c>
      <c r="B3444" t="s">
        <v>9072</v>
      </c>
      <c r="C3444">
        <v>1</v>
      </c>
      <c r="D3444">
        <v>1</v>
      </c>
      <c r="E3444">
        <v>1</v>
      </c>
      <c r="F3444">
        <v>1</v>
      </c>
      <c r="G3444">
        <v>0</v>
      </c>
      <c r="H3444" t="s">
        <v>2221</v>
      </c>
    </row>
    <row r="3445" spans="1:8">
      <c r="A3445" t="s">
        <v>9136</v>
      </c>
      <c r="B3445" t="s">
        <v>9135</v>
      </c>
      <c r="C3445">
        <v>1</v>
      </c>
      <c r="D3445">
        <v>1</v>
      </c>
      <c r="E3445">
        <v>1</v>
      </c>
      <c r="F3445">
        <v>1</v>
      </c>
      <c r="G3445">
        <v>0</v>
      </c>
      <c r="H3445" t="s">
        <v>2221</v>
      </c>
    </row>
    <row r="3446" spans="1:8">
      <c r="A3446" t="s">
        <v>9097</v>
      </c>
      <c r="B3446" t="s">
        <v>9096</v>
      </c>
      <c r="C3446">
        <v>1</v>
      </c>
      <c r="D3446">
        <v>1</v>
      </c>
      <c r="E3446">
        <v>1</v>
      </c>
      <c r="F3446">
        <v>1</v>
      </c>
      <c r="G3446">
        <v>0</v>
      </c>
      <c r="H3446" t="s">
        <v>2221</v>
      </c>
    </row>
    <row r="3447" spans="1:8">
      <c r="A3447" t="s">
        <v>9099</v>
      </c>
      <c r="B3447" t="s">
        <v>9098</v>
      </c>
      <c r="C3447">
        <v>1</v>
      </c>
      <c r="D3447">
        <v>1</v>
      </c>
      <c r="E3447">
        <v>1</v>
      </c>
      <c r="F3447">
        <v>1</v>
      </c>
      <c r="G3447">
        <v>0</v>
      </c>
      <c r="H3447" t="s">
        <v>2221</v>
      </c>
    </row>
    <row r="3448" spans="1:8">
      <c r="A3448" t="s">
        <v>9103</v>
      </c>
      <c r="B3448" t="s">
        <v>9102</v>
      </c>
      <c r="C3448">
        <v>1</v>
      </c>
      <c r="D3448">
        <v>1</v>
      </c>
      <c r="E3448">
        <v>1</v>
      </c>
      <c r="F3448">
        <v>1</v>
      </c>
      <c r="G3448">
        <v>0</v>
      </c>
      <c r="H3448" t="s">
        <v>2221</v>
      </c>
    </row>
    <row r="3449" spans="1:8">
      <c r="A3449" t="s">
        <v>9086</v>
      </c>
      <c r="B3449" t="s">
        <v>9085</v>
      </c>
      <c r="C3449">
        <v>1</v>
      </c>
      <c r="D3449">
        <v>1</v>
      </c>
      <c r="E3449">
        <v>1</v>
      </c>
      <c r="F3449">
        <v>1</v>
      </c>
      <c r="G3449">
        <v>0</v>
      </c>
      <c r="H3449" t="s">
        <v>2221</v>
      </c>
    </row>
    <row r="3450" spans="1:8">
      <c r="A3450" t="s">
        <v>9092</v>
      </c>
      <c r="B3450" t="s">
        <v>9091</v>
      </c>
      <c r="C3450">
        <v>1</v>
      </c>
      <c r="D3450">
        <v>1</v>
      </c>
      <c r="E3450">
        <v>1</v>
      </c>
      <c r="F3450">
        <v>1</v>
      </c>
      <c r="G3450">
        <v>0</v>
      </c>
      <c r="H3450" t="s">
        <v>2221</v>
      </c>
    </row>
    <row r="3451" spans="1:8">
      <c r="A3451" t="s">
        <v>9094</v>
      </c>
      <c r="B3451" t="s">
        <v>9093</v>
      </c>
      <c r="C3451">
        <v>1</v>
      </c>
      <c r="D3451">
        <v>1</v>
      </c>
      <c r="E3451">
        <v>1</v>
      </c>
      <c r="F3451">
        <v>1</v>
      </c>
      <c r="G3451">
        <v>0</v>
      </c>
      <c r="H3451" t="s">
        <v>2221</v>
      </c>
    </row>
    <row r="3452" spans="1:8">
      <c r="A3452" t="s">
        <v>7680</v>
      </c>
      <c r="B3452" t="s">
        <v>7679</v>
      </c>
      <c r="C3452">
        <v>1</v>
      </c>
      <c r="D3452">
        <v>1</v>
      </c>
      <c r="E3452">
        <v>1</v>
      </c>
      <c r="F3452">
        <v>1</v>
      </c>
      <c r="G3452">
        <v>0</v>
      </c>
      <c r="H3452" t="s">
        <v>2221</v>
      </c>
    </row>
    <row r="3453" spans="1:8">
      <c r="A3453" t="s">
        <v>7680</v>
      </c>
      <c r="B3453" t="s">
        <v>8308</v>
      </c>
      <c r="C3453">
        <v>1</v>
      </c>
      <c r="D3453">
        <v>1</v>
      </c>
      <c r="E3453">
        <v>1</v>
      </c>
      <c r="F3453">
        <v>1</v>
      </c>
      <c r="G3453">
        <v>0</v>
      </c>
      <c r="H3453" t="s">
        <v>2221</v>
      </c>
    </row>
    <row r="3454" spans="1:8">
      <c r="A3454" t="s">
        <v>7680</v>
      </c>
      <c r="B3454" t="s">
        <v>9095</v>
      </c>
      <c r="C3454">
        <v>1</v>
      </c>
      <c r="D3454">
        <v>1</v>
      </c>
      <c r="E3454">
        <v>1</v>
      </c>
      <c r="F3454">
        <v>1</v>
      </c>
      <c r="G3454">
        <v>0</v>
      </c>
      <c r="H3454" t="s">
        <v>2221</v>
      </c>
    </row>
    <row r="3455" spans="1:8">
      <c r="A3455" t="s">
        <v>1877</v>
      </c>
      <c r="B3455" t="s">
        <v>7681</v>
      </c>
      <c r="C3455">
        <v>1</v>
      </c>
      <c r="D3455">
        <v>1</v>
      </c>
      <c r="E3455">
        <v>1</v>
      </c>
      <c r="F3455">
        <v>1</v>
      </c>
      <c r="G3455">
        <v>0</v>
      </c>
      <c r="H3455" t="s">
        <v>2221</v>
      </c>
    </row>
    <row r="3456" spans="1:8">
      <c r="A3456" t="s">
        <v>1877</v>
      </c>
      <c r="B3456" t="s">
        <v>3950</v>
      </c>
      <c r="C3456">
        <v>1</v>
      </c>
      <c r="D3456">
        <v>1</v>
      </c>
      <c r="E3456">
        <v>1</v>
      </c>
      <c r="F3456">
        <v>1</v>
      </c>
      <c r="G3456">
        <v>0</v>
      </c>
      <c r="H3456" t="s">
        <v>2221</v>
      </c>
    </row>
    <row r="3457" spans="1:8">
      <c r="A3457" t="s">
        <v>1877</v>
      </c>
      <c r="B3457" t="s">
        <v>9082</v>
      </c>
      <c r="C3457">
        <v>1</v>
      </c>
      <c r="D3457">
        <v>1</v>
      </c>
      <c r="E3457">
        <v>1</v>
      </c>
      <c r="F3457">
        <v>1</v>
      </c>
      <c r="G3457">
        <v>0</v>
      </c>
      <c r="H3457" t="s">
        <v>2221</v>
      </c>
    </row>
    <row r="3458" spans="1:8">
      <c r="A3458" t="s">
        <v>1878</v>
      </c>
      <c r="B3458" t="s">
        <v>7682</v>
      </c>
      <c r="C3458">
        <v>1</v>
      </c>
      <c r="D3458">
        <v>1</v>
      </c>
      <c r="E3458">
        <v>1</v>
      </c>
      <c r="F3458">
        <v>1</v>
      </c>
      <c r="G3458">
        <v>0</v>
      </c>
      <c r="H3458" t="s">
        <v>2221</v>
      </c>
    </row>
    <row r="3459" spans="1:8">
      <c r="A3459" t="s">
        <v>1878</v>
      </c>
      <c r="B3459" t="s">
        <v>3951</v>
      </c>
      <c r="C3459">
        <v>1</v>
      </c>
      <c r="D3459">
        <v>1</v>
      </c>
      <c r="E3459">
        <v>1</v>
      </c>
      <c r="F3459">
        <v>1</v>
      </c>
      <c r="G3459">
        <v>0</v>
      </c>
      <c r="H3459" t="s">
        <v>2221</v>
      </c>
    </row>
    <row r="3460" spans="1:8">
      <c r="A3460" t="s">
        <v>1878</v>
      </c>
      <c r="B3460" t="s">
        <v>9132</v>
      </c>
      <c r="C3460">
        <v>1</v>
      </c>
      <c r="D3460">
        <v>1</v>
      </c>
      <c r="E3460">
        <v>1</v>
      </c>
      <c r="F3460">
        <v>1</v>
      </c>
      <c r="G3460">
        <v>0</v>
      </c>
      <c r="H3460" t="s">
        <v>2221</v>
      </c>
    </row>
    <row r="3461" spans="1:8">
      <c r="A3461" t="s">
        <v>9107</v>
      </c>
      <c r="B3461" t="s">
        <v>9106</v>
      </c>
      <c r="C3461">
        <v>1</v>
      </c>
      <c r="D3461">
        <v>1</v>
      </c>
      <c r="E3461">
        <v>1</v>
      </c>
      <c r="F3461">
        <v>1</v>
      </c>
      <c r="G3461">
        <v>0</v>
      </c>
      <c r="H3461" t="s">
        <v>2221</v>
      </c>
    </row>
    <row r="3462" spans="1:8">
      <c r="A3462" t="s">
        <v>9125</v>
      </c>
      <c r="B3462" t="s">
        <v>9124</v>
      </c>
      <c r="C3462">
        <v>1</v>
      </c>
      <c r="D3462">
        <v>1</v>
      </c>
      <c r="E3462">
        <v>1</v>
      </c>
      <c r="F3462">
        <v>1</v>
      </c>
      <c r="G3462">
        <v>0</v>
      </c>
      <c r="H3462" t="s">
        <v>2221</v>
      </c>
    </row>
    <row r="3463" spans="1:8">
      <c r="A3463" t="s">
        <v>9123</v>
      </c>
      <c r="B3463" t="s">
        <v>9122</v>
      </c>
      <c r="C3463">
        <v>1</v>
      </c>
      <c r="D3463">
        <v>1</v>
      </c>
      <c r="E3463">
        <v>1</v>
      </c>
      <c r="F3463">
        <v>1</v>
      </c>
      <c r="G3463">
        <v>0</v>
      </c>
      <c r="H3463" t="s">
        <v>2221</v>
      </c>
    </row>
    <row r="3464" spans="1:8">
      <c r="A3464" t="s">
        <v>9131</v>
      </c>
      <c r="B3464" t="s">
        <v>9130</v>
      </c>
      <c r="C3464">
        <v>1</v>
      </c>
      <c r="D3464">
        <v>1</v>
      </c>
      <c r="E3464">
        <v>1</v>
      </c>
      <c r="F3464">
        <v>1</v>
      </c>
      <c r="G3464">
        <v>0</v>
      </c>
      <c r="H3464" t="s">
        <v>2221</v>
      </c>
    </row>
    <row r="3465" spans="1:8">
      <c r="A3465" t="s">
        <v>9121</v>
      </c>
      <c r="B3465" t="s">
        <v>9120</v>
      </c>
      <c r="C3465">
        <v>1</v>
      </c>
      <c r="D3465">
        <v>1</v>
      </c>
      <c r="E3465">
        <v>1</v>
      </c>
      <c r="F3465">
        <v>1</v>
      </c>
      <c r="G3465">
        <v>0</v>
      </c>
      <c r="H3465" t="s">
        <v>2221</v>
      </c>
    </row>
    <row r="3466" spans="1:8">
      <c r="A3466" t="s">
        <v>9129</v>
      </c>
      <c r="B3466" t="s">
        <v>9128</v>
      </c>
      <c r="C3466">
        <v>1</v>
      </c>
      <c r="D3466">
        <v>1</v>
      </c>
      <c r="E3466">
        <v>1</v>
      </c>
      <c r="F3466">
        <v>1</v>
      </c>
      <c r="G3466">
        <v>0</v>
      </c>
      <c r="H3466" t="s">
        <v>2221</v>
      </c>
    </row>
    <row r="3467" spans="1:8">
      <c r="A3467" t="s">
        <v>9127</v>
      </c>
      <c r="B3467" t="s">
        <v>9126</v>
      </c>
      <c r="C3467">
        <v>1</v>
      </c>
      <c r="D3467">
        <v>1</v>
      </c>
      <c r="E3467">
        <v>1</v>
      </c>
      <c r="F3467">
        <v>1</v>
      </c>
      <c r="G3467">
        <v>0</v>
      </c>
      <c r="H3467" t="s">
        <v>2221</v>
      </c>
    </row>
    <row r="3468" spans="1:8">
      <c r="A3468" t="s">
        <v>9090</v>
      </c>
      <c r="B3468" t="s">
        <v>9089</v>
      </c>
      <c r="C3468">
        <v>1</v>
      </c>
      <c r="D3468">
        <v>1</v>
      </c>
      <c r="E3468">
        <v>1</v>
      </c>
      <c r="F3468">
        <v>1</v>
      </c>
      <c r="G3468">
        <v>0</v>
      </c>
      <c r="H3468" t="s">
        <v>2221</v>
      </c>
    </row>
    <row r="3469" spans="1:8">
      <c r="A3469" t="s">
        <v>9088</v>
      </c>
      <c r="B3469" t="s">
        <v>9087</v>
      </c>
      <c r="C3469">
        <v>1</v>
      </c>
      <c r="D3469">
        <v>1</v>
      </c>
      <c r="E3469">
        <v>1</v>
      </c>
      <c r="F3469">
        <v>1</v>
      </c>
      <c r="G3469">
        <v>0</v>
      </c>
      <c r="H3469" t="s">
        <v>2221</v>
      </c>
    </row>
    <row r="3470" spans="1:8">
      <c r="A3470" t="s">
        <v>9081</v>
      </c>
      <c r="B3470" t="s">
        <v>9080</v>
      </c>
      <c r="C3470">
        <v>1</v>
      </c>
      <c r="D3470">
        <v>1</v>
      </c>
      <c r="E3470">
        <v>1</v>
      </c>
      <c r="F3470">
        <v>1</v>
      </c>
      <c r="G3470">
        <v>0</v>
      </c>
      <c r="H3470" t="s">
        <v>2221</v>
      </c>
    </row>
    <row r="3471" spans="1:8">
      <c r="A3471" t="s">
        <v>9101</v>
      </c>
      <c r="B3471" t="s">
        <v>9100</v>
      </c>
      <c r="C3471">
        <v>1</v>
      </c>
      <c r="D3471">
        <v>1</v>
      </c>
      <c r="E3471">
        <v>1</v>
      </c>
      <c r="F3471">
        <v>1</v>
      </c>
      <c r="G3471">
        <v>0</v>
      </c>
      <c r="H3471" t="s">
        <v>2221</v>
      </c>
    </row>
    <row r="3472" spans="1:8">
      <c r="A3472" t="s">
        <v>9084</v>
      </c>
      <c r="B3472" t="s">
        <v>9083</v>
      </c>
      <c r="C3472">
        <v>1</v>
      </c>
      <c r="D3472">
        <v>1</v>
      </c>
      <c r="E3472">
        <v>1</v>
      </c>
      <c r="F3472">
        <v>1</v>
      </c>
      <c r="G3472">
        <v>0</v>
      </c>
      <c r="H3472" t="s">
        <v>2221</v>
      </c>
    </row>
    <row r="3473" spans="1:8">
      <c r="A3473" t="s">
        <v>9105</v>
      </c>
      <c r="B3473" t="s">
        <v>9104</v>
      </c>
      <c r="C3473">
        <v>1</v>
      </c>
      <c r="D3473">
        <v>1</v>
      </c>
      <c r="E3473">
        <v>1</v>
      </c>
      <c r="F3473">
        <v>1</v>
      </c>
      <c r="G3473">
        <v>0</v>
      </c>
      <c r="H3473" t="s">
        <v>2221</v>
      </c>
    </row>
    <row r="3474" spans="1:8">
      <c r="A3474" t="s">
        <v>8310</v>
      </c>
      <c r="B3474" t="s">
        <v>8309</v>
      </c>
      <c r="C3474">
        <v>1</v>
      </c>
      <c r="D3474">
        <v>1</v>
      </c>
      <c r="E3474">
        <v>1</v>
      </c>
      <c r="F3474">
        <v>1</v>
      </c>
      <c r="G3474">
        <v>0</v>
      </c>
      <c r="H3474" t="s">
        <v>2221</v>
      </c>
    </row>
    <row r="3475" spans="1:8">
      <c r="A3475" t="s">
        <v>9134</v>
      </c>
      <c r="B3475" t="s">
        <v>9133</v>
      </c>
      <c r="C3475">
        <v>1</v>
      </c>
      <c r="D3475">
        <v>1</v>
      </c>
      <c r="E3475">
        <v>1</v>
      </c>
      <c r="F3475">
        <v>1</v>
      </c>
      <c r="G3475">
        <v>0</v>
      </c>
      <c r="H3475" t="s">
        <v>2221</v>
      </c>
    </row>
    <row r="3476" spans="1:8">
      <c r="A3476" t="s">
        <v>9077</v>
      </c>
      <c r="B3476" t="s">
        <v>9076</v>
      </c>
      <c r="C3476">
        <v>1</v>
      </c>
      <c r="D3476">
        <v>1</v>
      </c>
      <c r="E3476">
        <v>1</v>
      </c>
      <c r="F3476">
        <v>1</v>
      </c>
      <c r="G3476">
        <v>0</v>
      </c>
      <c r="H3476" t="s">
        <v>2221</v>
      </c>
    </row>
    <row r="3477" spans="1:8">
      <c r="A3477" t="s">
        <v>9069</v>
      </c>
      <c r="B3477" t="s">
        <v>9068</v>
      </c>
      <c r="C3477">
        <v>1</v>
      </c>
      <c r="D3477">
        <v>1</v>
      </c>
      <c r="E3477">
        <v>1</v>
      </c>
      <c r="F3477">
        <v>1</v>
      </c>
      <c r="G3477">
        <v>0</v>
      </c>
      <c r="H3477" t="s">
        <v>2221</v>
      </c>
    </row>
    <row r="3478" spans="1:8">
      <c r="A3478" t="s">
        <v>1879</v>
      </c>
      <c r="B3478" t="s">
        <v>3952</v>
      </c>
      <c r="C3478">
        <v>1</v>
      </c>
      <c r="D3478">
        <v>1</v>
      </c>
      <c r="E3478">
        <v>1</v>
      </c>
      <c r="F3478">
        <v>1</v>
      </c>
      <c r="G3478">
        <v>0</v>
      </c>
      <c r="H3478" t="s">
        <v>2221</v>
      </c>
    </row>
    <row r="3479" spans="1:8">
      <c r="A3479" t="s">
        <v>9138</v>
      </c>
      <c r="B3479" t="s">
        <v>9137</v>
      </c>
      <c r="C3479">
        <v>1</v>
      </c>
      <c r="D3479">
        <v>1</v>
      </c>
      <c r="E3479">
        <v>1</v>
      </c>
      <c r="F3479">
        <v>1</v>
      </c>
      <c r="G3479">
        <v>0</v>
      </c>
      <c r="H3479" t="s">
        <v>2221</v>
      </c>
    </row>
    <row r="3480" spans="1:8">
      <c r="A3480" t="s">
        <v>9140</v>
      </c>
      <c r="B3480" t="s">
        <v>9139</v>
      </c>
      <c r="C3480">
        <v>1</v>
      </c>
      <c r="D3480">
        <v>1</v>
      </c>
      <c r="E3480">
        <v>1</v>
      </c>
      <c r="F3480">
        <v>1</v>
      </c>
      <c r="G3480">
        <v>0</v>
      </c>
      <c r="H3480" t="s">
        <v>2221</v>
      </c>
    </row>
    <row r="3481" spans="1:8">
      <c r="A3481" t="s">
        <v>9079</v>
      </c>
      <c r="B3481" t="s">
        <v>9078</v>
      </c>
      <c r="C3481">
        <v>1</v>
      </c>
      <c r="D3481">
        <v>1</v>
      </c>
      <c r="E3481">
        <v>1</v>
      </c>
      <c r="F3481">
        <v>1</v>
      </c>
      <c r="G3481">
        <v>0</v>
      </c>
      <c r="H3481" t="s">
        <v>2221</v>
      </c>
    </row>
    <row r="3482" spans="1:8">
      <c r="A3482" t="s">
        <v>9071</v>
      </c>
      <c r="B3482" t="s">
        <v>9070</v>
      </c>
      <c r="C3482">
        <v>1</v>
      </c>
      <c r="D3482">
        <v>1</v>
      </c>
      <c r="E3482">
        <v>1</v>
      </c>
      <c r="F3482">
        <v>1</v>
      </c>
      <c r="G3482">
        <v>0</v>
      </c>
      <c r="H3482" t="s">
        <v>2221</v>
      </c>
    </row>
    <row r="3483" spans="1:8">
      <c r="A3483" t="s">
        <v>9113</v>
      </c>
      <c r="B3483" t="s">
        <v>9112</v>
      </c>
      <c r="C3483">
        <v>1</v>
      </c>
      <c r="D3483">
        <v>1</v>
      </c>
      <c r="E3483">
        <v>1</v>
      </c>
      <c r="F3483">
        <v>1</v>
      </c>
      <c r="G3483">
        <v>0</v>
      </c>
      <c r="H3483" t="s">
        <v>2221</v>
      </c>
    </row>
    <row r="3484" spans="1:8">
      <c r="A3484" t="s">
        <v>9111</v>
      </c>
      <c r="B3484" t="s">
        <v>9110</v>
      </c>
      <c r="C3484">
        <v>1</v>
      </c>
      <c r="D3484">
        <v>1</v>
      </c>
      <c r="E3484">
        <v>1</v>
      </c>
      <c r="F3484">
        <v>1</v>
      </c>
      <c r="G3484">
        <v>0</v>
      </c>
      <c r="H3484" t="s">
        <v>2221</v>
      </c>
    </row>
    <row r="3485" spans="1:8">
      <c r="A3485" t="s">
        <v>9115</v>
      </c>
      <c r="B3485" t="s">
        <v>9114</v>
      </c>
      <c r="C3485">
        <v>1</v>
      </c>
      <c r="D3485">
        <v>1</v>
      </c>
      <c r="E3485">
        <v>1</v>
      </c>
      <c r="F3485">
        <v>1</v>
      </c>
      <c r="G3485">
        <v>0</v>
      </c>
      <c r="H3485" t="s">
        <v>2221</v>
      </c>
    </row>
    <row r="3486" spans="1:8">
      <c r="A3486" t="s">
        <v>9119</v>
      </c>
      <c r="B3486" t="s">
        <v>9118</v>
      </c>
      <c r="C3486">
        <v>1</v>
      </c>
      <c r="D3486">
        <v>1</v>
      </c>
      <c r="E3486">
        <v>1</v>
      </c>
      <c r="F3486">
        <v>1</v>
      </c>
      <c r="G3486">
        <v>0</v>
      </c>
      <c r="H3486" t="s">
        <v>2221</v>
      </c>
    </row>
    <row r="3487" spans="1:8">
      <c r="A3487" t="s">
        <v>9109</v>
      </c>
      <c r="B3487" t="s">
        <v>9108</v>
      </c>
      <c r="C3487">
        <v>1</v>
      </c>
      <c r="D3487">
        <v>1</v>
      </c>
      <c r="E3487">
        <v>1</v>
      </c>
      <c r="F3487">
        <v>1</v>
      </c>
      <c r="G3487">
        <v>0</v>
      </c>
      <c r="H3487" t="s">
        <v>2221</v>
      </c>
    </row>
    <row r="3488" spans="1:8">
      <c r="A3488" t="s">
        <v>9075</v>
      </c>
      <c r="B3488" t="s">
        <v>9074</v>
      </c>
      <c r="C3488">
        <v>1</v>
      </c>
      <c r="D3488">
        <v>1</v>
      </c>
      <c r="E3488">
        <v>1</v>
      </c>
      <c r="F3488">
        <v>1</v>
      </c>
      <c r="G3488">
        <v>0</v>
      </c>
      <c r="H3488" t="s">
        <v>2221</v>
      </c>
    </row>
    <row r="3489" spans="1:8">
      <c r="A3489" t="s">
        <v>7678</v>
      </c>
      <c r="B3489" t="s">
        <v>7677</v>
      </c>
      <c r="C3489">
        <v>1</v>
      </c>
      <c r="D3489">
        <v>1</v>
      </c>
      <c r="E3489">
        <v>1</v>
      </c>
      <c r="F3489">
        <v>1</v>
      </c>
      <c r="G3489">
        <v>0</v>
      </c>
      <c r="H3489" t="s">
        <v>2221</v>
      </c>
    </row>
    <row r="3490" spans="1:8">
      <c r="A3490" t="s">
        <v>1880</v>
      </c>
      <c r="B3490" t="s">
        <v>3953</v>
      </c>
      <c r="C3490">
        <v>1</v>
      </c>
      <c r="D3490">
        <v>1</v>
      </c>
      <c r="E3490">
        <v>1</v>
      </c>
      <c r="F3490">
        <v>1</v>
      </c>
      <c r="G3490">
        <v>0</v>
      </c>
      <c r="H3490" t="s">
        <v>2221</v>
      </c>
    </row>
    <row r="3491" spans="1:8">
      <c r="A3491" t="s">
        <v>1881</v>
      </c>
      <c r="B3491" t="s">
        <v>3954</v>
      </c>
      <c r="C3491">
        <v>1</v>
      </c>
      <c r="D3491">
        <v>1</v>
      </c>
      <c r="E3491">
        <v>1</v>
      </c>
      <c r="F3491">
        <v>1</v>
      </c>
      <c r="G3491">
        <v>0</v>
      </c>
      <c r="H3491" t="s">
        <v>2221</v>
      </c>
    </row>
    <row r="3492" spans="1:8">
      <c r="A3492" t="s">
        <v>9117</v>
      </c>
      <c r="B3492" t="s">
        <v>9116</v>
      </c>
      <c r="C3492">
        <v>1</v>
      </c>
      <c r="D3492">
        <v>1</v>
      </c>
      <c r="E3492">
        <v>1</v>
      </c>
      <c r="F3492">
        <v>1</v>
      </c>
      <c r="G3492">
        <v>0</v>
      </c>
      <c r="H3492" t="s">
        <v>2221</v>
      </c>
    </row>
    <row r="3493" spans="1:8">
      <c r="A3493" t="s">
        <v>9142</v>
      </c>
      <c r="B3493" t="s">
        <v>9141</v>
      </c>
      <c r="C3493">
        <v>1</v>
      </c>
      <c r="D3493">
        <v>1</v>
      </c>
      <c r="E3493">
        <v>1</v>
      </c>
      <c r="F3493">
        <v>1</v>
      </c>
      <c r="G3493">
        <v>0</v>
      </c>
      <c r="H3493" t="s">
        <v>2221</v>
      </c>
    </row>
    <row r="3494" spans="1:8">
      <c r="A3494" t="s">
        <v>7684</v>
      </c>
      <c r="B3494" t="s">
        <v>7683</v>
      </c>
      <c r="C3494">
        <v>50</v>
      </c>
      <c r="D3494">
        <v>1</v>
      </c>
      <c r="E3494">
        <v>1</v>
      </c>
      <c r="F3494">
        <v>0</v>
      </c>
      <c r="G3494">
        <v>0</v>
      </c>
      <c r="H3494" t="s">
        <v>2197</v>
      </c>
    </row>
    <row r="3495" spans="1:8">
      <c r="A3495" t="s">
        <v>9146</v>
      </c>
      <c r="B3495" t="s">
        <v>9145</v>
      </c>
      <c r="C3495">
        <v>1</v>
      </c>
      <c r="D3495">
        <v>1</v>
      </c>
      <c r="E3495">
        <v>1</v>
      </c>
      <c r="F3495">
        <v>1</v>
      </c>
      <c r="G3495">
        <v>0</v>
      </c>
      <c r="H3495" t="s">
        <v>2221</v>
      </c>
    </row>
    <row r="3496" spans="1:8">
      <c r="A3496" t="s">
        <v>9144</v>
      </c>
      <c r="B3496" t="s">
        <v>9143</v>
      </c>
      <c r="C3496">
        <v>1</v>
      </c>
      <c r="D3496">
        <v>1</v>
      </c>
      <c r="E3496">
        <v>1</v>
      </c>
      <c r="F3496">
        <v>1</v>
      </c>
      <c r="G3496">
        <v>0</v>
      </c>
      <c r="H3496" t="s">
        <v>2221</v>
      </c>
    </row>
    <row r="3497" spans="1:8">
      <c r="A3497" t="s">
        <v>8312</v>
      </c>
      <c r="B3497" t="s">
        <v>8311</v>
      </c>
      <c r="C3497">
        <v>1</v>
      </c>
      <c r="D3497">
        <v>1</v>
      </c>
      <c r="E3497">
        <v>1</v>
      </c>
      <c r="F3497">
        <v>1</v>
      </c>
      <c r="G3497">
        <v>0</v>
      </c>
      <c r="H3497" t="s">
        <v>2221</v>
      </c>
    </row>
    <row r="3498" spans="1:8">
      <c r="A3498" t="s">
        <v>1882</v>
      </c>
      <c r="B3498" t="s">
        <v>3955</v>
      </c>
      <c r="C3498">
        <v>100</v>
      </c>
      <c r="D3498">
        <v>1</v>
      </c>
      <c r="E3498">
        <v>1</v>
      </c>
      <c r="F3498">
        <v>121.5</v>
      </c>
      <c r="G3498">
        <v>6.6960000000000001E-4</v>
      </c>
      <c r="H3498" t="s">
        <v>2203</v>
      </c>
    </row>
    <row r="3499" spans="1:8">
      <c r="A3499" t="s">
        <v>7686</v>
      </c>
      <c r="B3499" t="s">
        <v>7685</v>
      </c>
      <c r="C3499">
        <v>100</v>
      </c>
      <c r="D3499">
        <v>1</v>
      </c>
      <c r="E3499">
        <v>1</v>
      </c>
      <c r="F3499">
        <v>121.5</v>
      </c>
      <c r="G3499">
        <v>6.6960000000000001E-4</v>
      </c>
      <c r="H3499" t="s">
        <v>2197</v>
      </c>
    </row>
    <row r="3500" spans="1:8">
      <c r="A3500" t="s">
        <v>4829</v>
      </c>
      <c r="B3500" t="s">
        <v>7687</v>
      </c>
      <c r="C3500">
        <v>40</v>
      </c>
      <c r="D3500">
        <v>1</v>
      </c>
      <c r="E3500">
        <v>1</v>
      </c>
      <c r="F3500">
        <v>582.25</v>
      </c>
      <c r="G3500">
        <v>2.2338750000000002E-3</v>
      </c>
      <c r="H3500" t="s">
        <v>2203</v>
      </c>
    </row>
    <row r="3501" spans="1:8">
      <c r="A3501" t="s">
        <v>1887</v>
      </c>
      <c r="B3501" t="s">
        <v>3957</v>
      </c>
      <c r="C3501">
        <v>30</v>
      </c>
      <c r="D3501">
        <v>1</v>
      </c>
      <c r="E3501">
        <v>1</v>
      </c>
      <c r="F3501">
        <v>533.33000000000004</v>
      </c>
      <c r="G3501">
        <v>9.0479999999999998E-4</v>
      </c>
      <c r="H3501" t="s">
        <v>2203</v>
      </c>
    </row>
    <row r="3502" spans="1:8">
      <c r="A3502" t="s">
        <v>1888</v>
      </c>
      <c r="B3502" t="s">
        <v>3959</v>
      </c>
      <c r="C3502">
        <v>200</v>
      </c>
      <c r="D3502">
        <v>1</v>
      </c>
      <c r="E3502">
        <v>1</v>
      </c>
      <c r="F3502">
        <v>112.4</v>
      </c>
      <c r="G3502">
        <v>2.0719999999999999E-4</v>
      </c>
      <c r="H3502" t="s">
        <v>2203</v>
      </c>
    </row>
    <row r="3503" spans="1:8">
      <c r="A3503" t="s">
        <v>1891</v>
      </c>
      <c r="B3503" t="s">
        <v>3961</v>
      </c>
      <c r="C3503">
        <v>30</v>
      </c>
      <c r="D3503">
        <v>1</v>
      </c>
      <c r="E3503">
        <v>1</v>
      </c>
      <c r="F3503">
        <v>545.33333333333303</v>
      </c>
      <c r="G3503">
        <v>8.5749999999999997E-4</v>
      </c>
      <c r="H3503" t="s">
        <v>2203</v>
      </c>
    </row>
    <row r="3504" spans="1:8">
      <c r="A3504" t="s">
        <v>7689</v>
      </c>
      <c r="B3504" t="s">
        <v>7688</v>
      </c>
      <c r="C3504">
        <v>30</v>
      </c>
      <c r="D3504">
        <v>1</v>
      </c>
      <c r="E3504">
        <v>1</v>
      </c>
      <c r="F3504">
        <v>0</v>
      </c>
      <c r="G3504">
        <v>0</v>
      </c>
      <c r="H3504" t="s">
        <v>2197</v>
      </c>
    </row>
    <row r="3505" spans="1:8">
      <c r="A3505" t="s">
        <v>4830</v>
      </c>
      <c r="B3505" t="s">
        <v>7690</v>
      </c>
      <c r="C3505">
        <v>50</v>
      </c>
      <c r="D3505">
        <v>1</v>
      </c>
      <c r="E3505">
        <v>1</v>
      </c>
      <c r="F3505">
        <v>0</v>
      </c>
      <c r="G3505">
        <v>0</v>
      </c>
      <c r="H3505" t="s">
        <v>2197</v>
      </c>
    </row>
    <row r="3506" spans="1:8">
      <c r="A3506" t="s">
        <v>1892</v>
      </c>
      <c r="B3506" t="s">
        <v>3962</v>
      </c>
      <c r="C3506">
        <v>10</v>
      </c>
      <c r="D3506">
        <v>1</v>
      </c>
      <c r="E3506">
        <v>1</v>
      </c>
      <c r="F3506">
        <v>1</v>
      </c>
      <c r="G3506">
        <v>0</v>
      </c>
      <c r="H3506" t="s">
        <v>2197</v>
      </c>
    </row>
    <row r="3507" spans="1:8">
      <c r="A3507" t="s">
        <v>4832</v>
      </c>
      <c r="B3507" t="s">
        <v>7701</v>
      </c>
      <c r="C3507">
        <v>15</v>
      </c>
      <c r="D3507">
        <v>1</v>
      </c>
      <c r="E3507">
        <v>1</v>
      </c>
      <c r="F3507">
        <v>1333</v>
      </c>
      <c r="G3507">
        <v>2.7200000000000002E-3</v>
      </c>
      <c r="H3507" t="s">
        <v>2197</v>
      </c>
    </row>
    <row r="3508" spans="1:8">
      <c r="A3508" t="s">
        <v>4831</v>
      </c>
      <c r="B3508" t="s">
        <v>7692</v>
      </c>
      <c r="C3508">
        <v>25</v>
      </c>
      <c r="D3508">
        <v>1</v>
      </c>
      <c r="E3508">
        <v>1</v>
      </c>
      <c r="F3508">
        <v>448</v>
      </c>
      <c r="G3508">
        <v>1.1199999999999999E-3</v>
      </c>
      <c r="H3508" t="s">
        <v>2197</v>
      </c>
    </row>
    <row r="3509" spans="1:8">
      <c r="A3509" t="s">
        <v>4833</v>
      </c>
      <c r="B3509" t="s">
        <v>7691</v>
      </c>
      <c r="C3509">
        <v>50</v>
      </c>
      <c r="D3509">
        <v>1</v>
      </c>
      <c r="E3509">
        <v>1</v>
      </c>
      <c r="F3509">
        <v>136</v>
      </c>
      <c r="G3509">
        <v>3.5399999999999999E-4</v>
      </c>
      <c r="H3509" t="s">
        <v>2197</v>
      </c>
    </row>
    <row r="3510" spans="1:8">
      <c r="A3510" t="s">
        <v>7696</v>
      </c>
      <c r="B3510" t="s">
        <v>7695</v>
      </c>
      <c r="C3510">
        <v>25</v>
      </c>
      <c r="D3510">
        <v>1</v>
      </c>
      <c r="E3510">
        <v>1</v>
      </c>
      <c r="F3510">
        <v>1</v>
      </c>
      <c r="G3510">
        <v>0</v>
      </c>
      <c r="H3510" t="s">
        <v>2197</v>
      </c>
    </row>
    <row r="3511" spans="1:8">
      <c r="A3511" t="s">
        <v>7694</v>
      </c>
      <c r="B3511" t="s">
        <v>7693</v>
      </c>
      <c r="C3511">
        <v>40</v>
      </c>
      <c r="D3511">
        <v>1</v>
      </c>
      <c r="E3511">
        <v>1</v>
      </c>
      <c r="F3511">
        <v>1</v>
      </c>
      <c r="G3511">
        <v>0</v>
      </c>
      <c r="H3511" t="s">
        <v>2197</v>
      </c>
    </row>
    <row r="3512" spans="1:8">
      <c r="A3512" t="s">
        <v>7700</v>
      </c>
      <c r="B3512" t="s">
        <v>7699</v>
      </c>
      <c r="C3512">
        <v>20</v>
      </c>
      <c r="D3512">
        <v>1</v>
      </c>
      <c r="E3512">
        <v>1</v>
      </c>
      <c r="F3512">
        <v>1</v>
      </c>
      <c r="G3512">
        <v>0</v>
      </c>
      <c r="H3512" t="s">
        <v>2203</v>
      </c>
    </row>
    <row r="3513" spans="1:8">
      <c r="A3513" t="s">
        <v>7698</v>
      </c>
      <c r="B3513" t="s">
        <v>7697</v>
      </c>
      <c r="C3513">
        <v>20</v>
      </c>
      <c r="D3513">
        <v>10</v>
      </c>
      <c r="E3513">
        <v>1</v>
      </c>
      <c r="F3513">
        <v>1</v>
      </c>
      <c r="G3513">
        <v>0</v>
      </c>
      <c r="H3513" t="s">
        <v>2203</v>
      </c>
    </row>
    <row r="3514" spans="1:8">
      <c r="A3514" t="s">
        <v>1893</v>
      </c>
      <c r="B3514" t="s">
        <v>3964</v>
      </c>
      <c r="C3514">
        <v>1</v>
      </c>
      <c r="D3514">
        <v>1</v>
      </c>
      <c r="E3514">
        <v>1</v>
      </c>
      <c r="F3514">
        <v>1</v>
      </c>
      <c r="G3514">
        <v>0</v>
      </c>
      <c r="H3514" t="s">
        <v>2221</v>
      </c>
    </row>
    <row r="3515" spans="1:8">
      <c r="A3515" t="s">
        <v>9764</v>
      </c>
      <c r="B3515" t="s">
        <v>7702</v>
      </c>
      <c r="C3515">
        <v>4</v>
      </c>
      <c r="D3515">
        <v>20</v>
      </c>
      <c r="E3515">
        <v>1</v>
      </c>
      <c r="F3515">
        <v>83.25</v>
      </c>
      <c r="G3515">
        <v>5.5769999999999995E-4</v>
      </c>
      <c r="H3515" t="s">
        <v>2203</v>
      </c>
    </row>
    <row r="3516" spans="1:8">
      <c r="A3516" t="s">
        <v>1894</v>
      </c>
      <c r="B3516" t="s">
        <v>3965</v>
      </c>
      <c r="C3516">
        <v>4</v>
      </c>
      <c r="D3516">
        <v>40</v>
      </c>
      <c r="E3516">
        <v>1</v>
      </c>
      <c r="F3516">
        <v>45.6</v>
      </c>
      <c r="G3516">
        <v>2.842125E-4</v>
      </c>
      <c r="H3516" t="s">
        <v>2203</v>
      </c>
    </row>
    <row r="3517" spans="1:8">
      <c r="A3517" t="s">
        <v>1895</v>
      </c>
      <c r="B3517" t="s">
        <v>3967</v>
      </c>
      <c r="C3517">
        <v>50</v>
      </c>
      <c r="D3517">
        <v>1</v>
      </c>
      <c r="E3517">
        <v>1</v>
      </c>
      <c r="F3517">
        <v>149</v>
      </c>
      <c r="G3517">
        <v>2.811E-4</v>
      </c>
      <c r="H3517" t="s">
        <v>2197</v>
      </c>
    </row>
    <row r="3518" spans="1:8">
      <c r="A3518" t="s">
        <v>7708</v>
      </c>
      <c r="B3518" t="s">
        <v>7707</v>
      </c>
      <c r="C3518">
        <v>1</v>
      </c>
      <c r="D3518">
        <v>1</v>
      </c>
      <c r="E3518">
        <v>1</v>
      </c>
      <c r="F3518">
        <v>1</v>
      </c>
      <c r="G3518">
        <v>0</v>
      </c>
      <c r="H3518" t="s">
        <v>2303</v>
      </c>
    </row>
    <row r="3519" spans="1:8">
      <c r="A3519" t="s">
        <v>7704</v>
      </c>
      <c r="B3519" t="s">
        <v>7703</v>
      </c>
      <c r="C3519">
        <v>20</v>
      </c>
      <c r="D3519">
        <v>1</v>
      </c>
      <c r="E3519">
        <v>1</v>
      </c>
      <c r="F3519">
        <v>1</v>
      </c>
      <c r="G3519">
        <v>0</v>
      </c>
      <c r="H3519" t="s">
        <v>2197</v>
      </c>
    </row>
    <row r="3520" spans="1:8">
      <c r="A3520" t="s">
        <v>7706</v>
      </c>
      <c r="B3520" t="s">
        <v>7705</v>
      </c>
      <c r="C3520">
        <v>4</v>
      </c>
      <c r="D3520">
        <v>1</v>
      </c>
      <c r="E3520">
        <v>1</v>
      </c>
      <c r="F3520">
        <v>1</v>
      </c>
      <c r="G3520">
        <v>0</v>
      </c>
      <c r="H3520" t="s">
        <v>2307</v>
      </c>
    </row>
    <row r="3521" spans="1:8">
      <c r="A3521" t="s">
        <v>9765</v>
      </c>
      <c r="B3521" t="s">
        <v>7714</v>
      </c>
      <c r="C3521">
        <v>20</v>
      </c>
      <c r="D3521">
        <v>1</v>
      </c>
      <c r="E3521">
        <v>1</v>
      </c>
      <c r="F3521">
        <v>1357.5</v>
      </c>
      <c r="G3521">
        <v>2.5536000000000001E-3</v>
      </c>
      <c r="H3521" t="s">
        <v>2197</v>
      </c>
    </row>
    <row r="3522" spans="1:8">
      <c r="A3522" t="s">
        <v>9766</v>
      </c>
      <c r="B3522" t="s">
        <v>7713</v>
      </c>
      <c r="C3522">
        <v>40</v>
      </c>
      <c r="D3522">
        <v>1</v>
      </c>
      <c r="E3522">
        <v>1</v>
      </c>
      <c r="F3522">
        <v>573.79999999999995</v>
      </c>
      <c r="G3522">
        <v>1.2539999999999999E-3</v>
      </c>
      <c r="H3522" t="s">
        <v>2197</v>
      </c>
    </row>
    <row r="3523" spans="1:8">
      <c r="A3523" t="s">
        <v>1900</v>
      </c>
      <c r="B3523" t="s">
        <v>3968</v>
      </c>
      <c r="C3523">
        <v>10</v>
      </c>
      <c r="D3523">
        <v>100</v>
      </c>
      <c r="E3523">
        <v>1</v>
      </c>
      <c r="F3523">
        <v>9.1999999999999993</v>
      </c>
      <c r="G3523" s="4">
        <v>5.7599999999999997E-5</v>
      </c>
      <c r="H3523" t="s">
        <v>3969</v>
      </c>
    </row>
    <row r="3524" spans="1:8">
      <c r="A3524" t="s">
        <v>7712</v>
      </c>
      <c r="B3524" t="s">
        <v>7711</v>
      </c>
      <c r="C3524">
        <v>20</v>
      </c>
      <c r="D3524">
        <v>1</v>
      </c>
      <c r="E3524">
        <v>1</v>
      </c>
      <c r="F3524">
        <v>0</v>
      </c>
      <c r="G3524">
        <v>0</v>
      </c>
      <c r="H3524" t="s">
        <v>2197</v>
      </c>
    </row>
    <row r="3525" spans="1:8">
      <c r="A3525" t="s">
        <v>5020</v>
      </c>
      <c r="B3525" t="s">
        <v>7710</v>
      </c>
      <c r="C3525">
        <v>1</v>
      </c>
      <c r="D3525">
        <v>1</v>
      </c>
      <c r="E3525">
        <v>1</v>
      </c>
      <c r="F3525">
        <v>0</v>
      </c>
      <c r="G3525">
        <v>0</v>
      </c>
      <c r="H3525" t="s">
        <v>2303</v>
      </c>
    </row>
    <row r="3526" spans="1:8">
      <c r="A3526" t="s">
        <v>5019</v>
      </c>
      <c r="B3526" t="s">
        <v>7709</v>
      </c>
      <c r="C3526">
        <v>20</v>
      </c>
      <c r="D3526">
        <v>1</v>
      </c>
      <c r="E3526">
        <v>1</v>
      </c>
      <c r="F3526">
        <v>0</v>
      </c>
      <c r="G3526">
        <v>0</v>
      </c>
      <c r="H3526" t="s">
        <v>2197</v>
      </c>
    </row>
    <row r="3527" spans="1:8">
      <c r="A3527" t="s">
        <v>7716</v>
      </c>
      <c r="B3527" t="s">
        <v>7715</v>
      </c>
      <c r="C3527">
        <v>4</v>
      </c>
      <c r="D3527">
        <v>1</v>
      </c>
      <c r="E3527">
        <v>1</v>
      </c>
      <c r="F3527">
        <v>1</v>
      </c>
      <c r="G3527">
        <v>0</v>
      </c>
      <c r="H3527" t="s">
        <v>2203</v>
      </c>
    </row>
    <row r="3528" spans="1:8">
      <c r="A3528" t="s">
        <v>1901</v>
      </c>
      <c r="B3528" t="s">
        <v>3971</v>
      </c>
      <c r="C3528">
        <v>40</v>
      </c>
      <c r="D3528">
        <v>1</v>
      </c>
      <c r="E3528">
        <v>1</v>
      </c>
      <c r="F3528">
        <v>385</v>
      </c>
      <c r="G3528">
        <v>6.6640000000000004E-4</v>
      </c>
      <c r="H3528" t="s">
        <v>2197</v>
      </c>
    </row>
    <row r="3529" spans="1:8">
      <c r="A3529" t="s">
        <v>1902</v>
      </c>
      <c r="B3529" t="s">
        <v>3973</v>
      </c>
      <c r="C3529">
        <v>40</v>
      </c>
      <c r="D3529">
        <v>1</v>
      </c>
      <c r="E3529">
        <v>1</v>
      </c>
      <c r="F3529">
        <v>1</v>
      </c>
      <c r="G3529">
        <v>0</v>
      </c>
      <c r="H3529" t="s">
        <v>2197</v>
      </c>
    </row>
    <row r="3530" spans="1:8">
      <c r="A3530" t="s">
        <v>1903</v>
      </c>
      <c r="B3530" t="s">
        <v>3974</v>
      </c>
      <c r="C3530">
        <v>40</v>
      </c>
      <c r="D3530">
        <v>1</v>
      </c>
      <c r="E3530">
        <v>1</v>
      </c>
      <c r="F3530">
        <v>317.5</v>
      </c>
      <c r="G3530">
        <v>6.3699999999999998E-4</v>
      </c>
      <c r="H3530" t="s">
        <v>2197</v>
      </c>
    </row>
    <row r="3531" spans="1:8">
      <c r="A3531" t="s">
        <v>1904</v>
      </c>
      <c r="B3531" t="s">
        <v>3976</v>
      </c>
      <c r="C3531">
        <v>50</v>
      </c>
      <c r="D3531">
        <v>1</v>
      </c>
      <c r="E3531">
        <v>1</v>
      </c>
      <c r="F3531">
        <v>130</v>
      </c>
      <c r="G3531">
        <v>4.2979999999999998E-4</v>
      </c>
      <c r="H3531" t="s">
        <v>2197</v>
      </c>
    </row>
    <row r="3532" spans="1:8">
      <c r="A3532" t="s">
        <v>9767</v>
      </c>
      <c r="B3532" t="s">
        <v>7719</v>
      </c>
      <c r="C3532">
        <v>100</v>
      </c>
      <c r="D3532">
        <v>1</v>
      </c>
      <c r="E3532">
        <v>1</v>
      </c>
      <c r="F3532">
        <v>151.5</v>
      </c>
      <c r="G3532">
        <v>2.6737499999999998E-4</v>
      </c>
      <c r="H3532" t="s">
        <v>2197</v>
      </c>
    </row>
    <row r="3533" spans="1:8">
      <c r="A3533" t="s">
        <v>9768</v>
      </c>
      <c r="B3533" t="s">
        <v>7717</v>
      </c>
      <c r="C3533">
        <v>40</v>
      </c>
      <c r="D3533">
        <v>1</v>
      </c>
      <c r="E3533">
        <v>1</v>
      </c>
      <c r="F3533">
        <v>338.8</v>
      </c>
      <c r="G3533">
        <v>6.6149999999999998E-4</v>
      </c>
      <c r="H3533" t="s">
        <v>2197</v>
      </c>
    </row>
    <row r="3534" spans="1:8">
      <c r="A3534" t="s">
        <v>4834</v>
      </c>
      <c r="B3534" t="s">
        <v>7718</v>
      </c>
      <c r="C3534">
        <v>50</v>
      </c>
      <c r="D3534">
        <v>1</v>
      </c>
      <c r="E3534">
        <v>1</v>
      </c>
      <c r="F3534">
        <v>0</v>
      </c>
      <c r="G3534">
        <v>0</v>
      </c>
      <c r="H3534" t="s">
        <v>2197</v>
      </c>
    </row>
    <row r="3535" spans="1:8">
      <c r="A3535" t="s">
        <v>9148</v>
      </c>
      <c r="B3535" t="s">
        <v>9147</v>
      </c>
      <c r="C3535">
        <v>1</v>
      </c>
      <c r="D3535">
        <v>1</v>
      </c>
      <c r="E3535">
        <v>1</v>
      </c>
      <c r="F3535">
        <v>1</v>
      </c>
      <c r="G3535">
        <v>0</v>
      </c>
      <c r="H3535" t="s">
        <v>2197</v>
      </c>
    </row>
    <row r="3536" spans="1:8">
      <c r="A3536" t="s">
        <v>9150</v>
      </c>
      <c r="B3536" t="s">
        <v>9149</v>
      </c>
      <c r="C3536">
        <v>1</v>
      </c>
      <c r="D3536">
        <v>1</v>
      </c>
      <c r="E3536">
        <v>1</v>
      </c>
      <c r="F3536">
        <v>1</v>
      </c>
      <c r="G3536">
        <v>0</v>
      </c>
      <c r="H3536" t="s">
        <v>2197</v>
      </c>
    </row>
    <row r="3537" spans="1:8">
      <c r="A3537" t="s">
        <v>9152</v>
      </c>
      <c r="B3537" t="s">
        <v>9151</v>
      </c>
      <c r="C3537">
        <v>1</v>
      </c>
      <c r="D3537">
        <v>1</v>
      </c>
      <c r="E3537">
        <v>1</v>
      </c>
      <c r="F3537">
        <v>1</v>
      </c>
      <c r="G3537">
        <v>0</v>
      </c>
      <c r="H3537" t="s">
        <v>2221</v>
      </c>
    </row>
    <row r="3538" spans="1:8">
      <c r="A3538" t="s">
        <v>1905</v>
      </c>
      <c r="B3538" t="s">
        <v>3977</v>
      </c>
      <c r="C3538">
        <v>100</v>
      </c>
      <c r="D3538">
        <v>1</v>
      </c>
      <c r="E3538">
        <v>1</v>
      </c>
      <c r="F3538">
        <v>154.5</v>
      </c>
      <c r="G3538">
        <v>2.7510000000000002E-4</v>
      </c>
      <c r="H3538" t="s">
        <v>2197</v>
      </c>
    </row>
    <row r="3539" spans="1:8">
      <c r="A3539" t="s">
        <v>7721</v>
      </c>
      <c r="B3539" t="s">
        <v>7720</v>
      </c>
      <c r="C3539">
        <v>100</v>
      </c>
      <c r="D3539">
        <v>1</v>
      </c>
      <c r="E3539">
        <v>1</v>
      </c>
      <c r="F3539">
        <v>87</v>
      </c>
      <c r="G3539">
        <v>2.2220000000000001E-4</v>
      </c>
      <c r="H3539" t="s">
        <v>2197</v>
      </c>
    </row>
    <row r="3540" spans="1:8">
      <c r="A3540" t="s">
        <v>7723</v>
      </c>
      <c r="B3540" t="s">
        <v>7722</v>
      </c>
      <c r="C3540">
        <v>50</v>
      </c>
      <c r="D3540">
        <v>1</v>
      </c>
      <c r="E3540">
        <v>1</v>
      </c>
      <c r="F3540">
        <v>156</v>
      </c>
      <c r="G3540">
        <v>3.0909999999999998E-4</v>
      </c>
      <c r="H3540" t="s">
        <v>2197</v>
      </c>
    </row>
    <row r="3541" spans="1:8">
      <c r="A3541" t="s">
        <v>1907</v>
      </c>
      <c r="B3541" t="s">
        <v>7725</v>
      </c>
      <c r="C3541">
        <v>1</v>
      </c>
      <c r="D3541">
        <v>1</v>
      </c>
      <c r="E3541">
        <v>1</v>
      </c>
      <c r="F3541">
        <v>21400</v>
      </c>
      <c r="G3541">
        <v>2.3220000000000001E-2</v>
      </c>
      <c r="H3541" t="s">
        <v>2303</v>
      </c>
    </row>
    <row r="3542" spans="1:8">
      <c r="A3542" t="s">
        <v>1907</v>
      </c>
      <c r="B3542" t="s">
        <v>3979</v>
      </c>
      <c r="C3542">
        <v>1</v>
      </c>
      <c r="D3542">
        <v>1</v>
      </c>
      <c r="E3542">
        <v>1</v>
      </c>
      <c r="F3542">
        <v>1</v>
      </c>
      <c r="G3542">
        <v>0</v>
      </c>
      <c r="H3542" t="s">
        <v>2303</v>
      </c>
    </row>
    <row r="3543" spans="1:8">
      <c r="A3543" t="s">
        <v>1908</v>
      </c>
      <c r="B3543" t="s">
        <v>7724</v>
      </c>
      <c r="C3543">
        <v>4</v>
      </c>
      <c r="D3543">
        <v>1</v>
      </c>
      <c r="E3543">
        <v>1</v>
      </c>
      <c r="F3543">
        <v>5550</v>
      </c>
      <c r="G3543">
        <v>8.4825000000000005E-3</v>
      </c>
      <c r="H3543" t="s">
        <v>2307</v>
      </c>
    </row>
    <row r="3544" spans="1:8">
      <c r="A3544" t="s">
        <v>1908</v>
      </c>
      <c r="B3544" t="s">
        <v>3980</v>
      </c>
      <c r="C3544">
        <v>4</v>
      </c>
      <c r="D3544">
        <v>1</v>
      </c>
      <c r="E3544">
        <v>1</v>
      </c>
      <c r="F3544">
        <v>1</v>
      </c>
      <c r="G3544">
        <v>0</v>
      </c>
      <c r="H3544" t="s">
        <v>2307</v>
      </c>
    </row>
    <row r="3545" spans="1:8">
      <c r="A3545" t="s">
        <v>7751</v>
      </c>
      <c r="B3545" t="s">
        <v>7750</v>
      </c>
      <c r="C3545">
        <v>1</v>
      </c>
      <c r="D3545">
        <v>1</v>
      </c>
      <c r="E3545">
        <v>1</v>
      </c>
      <c r="F3545">
        <v>20</v>
      </c>
      <c r="G3545">
        <v>0</v>
      </c>
      <c r="H3545" t="s">
        <v>2203</v>
      </c>
    </row>
    <row r="3546" spans="1:8">
      <c r="A3546" t="s">
        <v>7754</v>
      </c>
      <c r="B3546" t="s">
        <v>7753</v>
      </c>
      <c r="C3546">
        <v>20</v>
      </c>
      <c r="D3546">
        <v>6</v>
      </c>
      <c r="E3546">
        <v>1</v>
      </c>
      <c r="F3546">
        <v>38.33</v>
      </c>
      <c r="G3546">
        <v>2.5898540999999998E-4</v>
      </c>
      <c r="H3546" t="s">
        <v>2203</v>
      </c>
    </row>
    <row r="3547" spans="1:8">
      <c r="A3547" t="s">
        <v>4841</v>
      </c>
      <c r="B3547" t="s">
        <v>7752</v>
      </c>
      <c r="C3547">
        <v>20</v>
      </c>
      <c r="D3547">
        <v>6</v>
      </c>
      <c r="E3547">
        <v>1</v>
      </c>
      <c r="F3547">
        <v>50.8</v>
      </c>
      <c r="G3547">
        <v>2.5549999999999998E-4</v>
      </c>
      <c r="H3547" t="s">
        <v>2203</v>
      </c>
    </row>
    <row r="3548" spans="1:8">
      <c r="A3548" t="s">
        <v>1909</v>
      </c>
      <c r="B3548" t="s">
        <v>3981</v>
      </c>
      <c r="C3548">
        <v>12</v>
      </c>
      <c r="D3548">
        <v>10</v>
      </c>
      <c r="E3548">
        <v>1</v>
      </c>
      <c r="F3548">
        <v>33.799999999999997</v>
      </c>
      <c r="G3548">
        <v>2.009E-4</v>
      </c>
      <c r="H3548" t="s">
        <v>2203</v>
      </c>
    </row>
    <row r="3549" spans="1:8">
      <c r="A3549" t="s">
        <v>7775</v>
      </c>
      <c r="B3549" t="s">
        <v>7774</v>
      </c>
      <c r="C3549">
        <v>12</v>
      </c>
      <c r="D3549">
        <v>10</v>
      </c>
      <c r="E3549">
        <v>1</v>
      </c>
      <c r="F3549">
        <v>1</v>
      </c>
      <c r="G3549">
        <v>0</v>
      </c>
      <c r="H3549" t="s">
        <v>2203</v>
      </c>
    </row>
    <row r="3550" spans="1:8">
      <c r="A3550" t="s">
        <v>4836</v>
      </c>
      <c r="B3550" t="s">
        <v>7761</v>
      </c>
      <c r="C3550">
        <v>10</v>
      </c>
      <c r="D3550">
        <v>1</v>
      </c>
      <c r="E3550">
        <v>1</v>
      </c>
      <c r="F3550">
        <v>1</v>
      </c>
      <c r="G3550">
        <v>0</v>
      </c>
      <c r="H3550" t="s">
        <v>2203</v>
      </c>
    </row>
    <row r="3551" spans="1:8">
      <c r="A3551" t="s">
        <v>4838</v>
      </c>
      <c r="B3551" t="s">
        <v>7729</v>
      </c>
      <c r="C3551">
        <v>20</v>
      </c>
      <c r="D3551">
        <v>12</v>
      </c>
      <c r="E3551">
        <v>1</v>
      </c>
      <c r="F3551">
        <v>0</v>
      </c>
      <c r="G3551">
        <v>0</v>
      </c>
      <c r="H3551" t="s">
        <v>2203</v>
      </c>
    </row>
    <row r="3552" spans="1:8">
      <c r="A3552" t="s">
        <v>7747</v>
      </c>
      <c r="B3552" t="s">
        <v>7746</v>
      </c>
      <c r="C3552">
        <v>20</v>
      </c>
      <c r="D3552">
        <v>12</v>
      </c>
      <c r="E3552">
        <v>1</v>
      </c>
      <c r="F3552">
        <v>20</v>
      </c>
      <c r="G3552">
        <v>0</v>
      </c>
      <c r="H3552" t="s">
        <v>2203</v>
      </c>
    </row>
    <row r="3553" spans="1:8">
      <c r="A3553" t="s">
        <v>4839</v>
      </c>
      <c r="B3553" t="s">
        <v>7744</v>
      </c>
      <c r="C3553">
        <v>20</v>
      </c>
      <c r="D3553">
        <v>24</v>
      </c>
      <c r="E3553">
        <v>1</v>
      </c>
      <c r="F3553">
        <v>0</v>
      </c>
      <c r="G3553">
        <v>0</v>
      </c>
      <c r="H3553" t="s">
        <v>2203</v>
      </c>
    </row>
    <row r="3554" spans="1:8">
      <c r="A3554" t="s">
        <v>1910</v>
      </c>
      <c r="B3554" t="s">
        <v>3986</v>
      </c>
      <c r="C3554">
        <v>20</v>
      </c>
      <c r="D3554">
        <v>6</v>
      </c>
      <c r="E3554">
        <v>1</v>
      </c>
      <c r="F3554">
        <v>50.8</v>
      </c>
      <c r="G3554">
        <v>2.5549999999999998E-4</v>
      </c>
      <c r="H3554" t="s">
        <v>2203</v>
      </c>
    </row>
    <row r="3555" spans="1:8">
      <c r="A3555" t="s">
        <v>7739</v>
      </c>
      <c r="B3555" t="s">
        <v>7738</v>
      </c>
      <c r="C3555">
        <v>12</v>
      </c>
      <c r="D3555">
        <v>10</v>
      </c>
      <c r="E3555">
        <v>1</v>
      </c>
      <c r="F3555">
        <v>0</v>
      </c>
      <c r="G3555">
        <v>0</v>
      </c>
      <c r="H3555" t="s">
        <v>2203</v>
      </c>
    </row>
    <row r="3556" spans="1:8">
      <c r="A3556" t="s">
        <v>7735</v>
      </c>
      <c r="B3556" t="s">
        <v>7734</v>
      </c>
      <c r="C3556">
        <v>12</v>
      </c>
      <c r="D3556">
        <v>10</v>
      </c>
      <c r="E3556">
        <v>1</v>
      </c>
      <c r="F3556">
        <v>0</v>
      </c>
      <c r="G3556">
        <v>0</v>
      </c>
      <c r="H3556" t="s">
        <v>2203</v>
      </c>
    </row>
    <row r="3557" spans="1:8">
      <c r="A3557" t="s">
        <v>7765</v>
      </c>
      <c r="B3557" t="s">
        <v>7764</v>
      </c>
      <c r="C3557">
        <v>12</v>
      </c>
      <c r="D3557">
        <v>10</v>
      </c>
      <c r="E3557">
        <v>1</v>
      </c>
      <c r="F3557">
        <v>33.799999999999997</v>
      </c>
      <c r="G3557">
        <v>1.9599999999999999E-4</v>
      </c>
      <c r="H3557" t="s">
        <v>2203</v>
      </c>
    </row>
    <row r="3558" spans="1:8">
      <c r="A3558" t="s">
        <v>4840</v>
      </c>
      <c r="B3558" t="s">
        <v>7755</v>
      </c>
      <c r="C3558">
        <v>8</v>
      </c>
      <c r="D3558">
        <v>15</v>
      </c>
      <c r="E3558">
        <v>1</v>
      </c>
      <c r="F3558">
        <v>29.6</v>
      </c>
      <c r="G3558">
        <v>1.248E-4</v>
      </c>
      <c r="H3558" t="s">
        <v>2203</v>
      </c>
    </row>
    <row r="3559" spans="1:8">
      <c r="A3559" t="s">
        <v>7763</v>
      </c>
      <c r="B3559" t="s">
        <v>7762</v>
      </c>
      <c r="C3559">
        <v>12</v>
      </c>
      <c r="D3559">
        <v>10</v>
      </c>
      <c r="E3559">
        <v>1</v>
      </c>
      <c r="F3559">
        <v>1</v>
      </c>
      <c r="G3559">
        <v>0</v>
      </c>
      <c r="H3559" t="s">
        <v>2203</v>
      </c>
    </row>
    <row r="3560" spans="1:8">
      <c r="A3560" t="s">
        <v>9769</v>
      </c>
      <c r="B3560" t="s">
        <v>7760</v>
      </c>
      <c r="C3560">
        <v>12</v>
      </c>
      <c r="D3560">
        <v>10</v>
      </c>
      <c r="E3560">
        <v>1</v>
      </c>
      <c r="F3560">
        <v>33.799999999999997</v>
      </c>
      <c r="G3560">
        <v>2.009E-4</v>
      </c>
      <c r="H3560" t="s">
        <v>2203</v>
      </c>
    </row>
    <row r="3561" spans="1:8">
      <c r="A3561" t="s">
        <v>1911</v>
      </c>
      <c r="B3561" t="s">
        <v>3987</v>
      </c>
      <c r="C3561">
        <v>12</v>
      </c>
      <c r="D3561">
        <v>10</v>
      </c>
      <c r="E3561">
        <v>1</v>
      </c>
      <c r="F3561">
        <v>33.799999999999997</v>
      </c>
      <c r="G3561">
        <v>2.009E-4</v>
      </c>
      <c r="H3561" t="s">
        <v>2203</v>
      </c>
    </row>
    <row r="3562" spans="1:8">
      <c r="A3562" t="s">
        <v>7741</v>
      </c>
      <c r="B3562" t="s">
        <v>7740</v>
      </c>
      <c r="C3562">
        <v>12</v>
      </c>
      <c r="D3562">
        <v>10</v>
      </c>
      <c r="E3562">
        <v>1</v>
      </c>
      <c r="F3562">
        <v>20</v>
      </c>
      <c r="G3562">
        <v>0</v>
      </c>
      <c r="H3562" t="s">
        <v>2203</v>
      </c>
    </row>
    <row r="3563" spans="1:8">
      <c r="A3563" t="s">
        <v>7771</v>
      </c>
      <c r="B3563" t="s">
        <v>7770</v>
      </c>
      <c r="C3563">
        <v>12</v>
      </c>
      <c r="D3563">
        <v>10</v>
      </c>
      <c r="E3563">
        <v>1</v>
      </c>
      <c r="F3563">
        <v>1</v>
      </c>
      <c r="G3563">
        <v>0</v>
      </c>
      <c r="H3563" t="s">
        <v>2203</v>
      </c>
    </row>
    <row r="3564" spans="1:8">
      <c r="A3564" t="s">
        <v>7749</v>
      </c>
      <c r="B3564" t="s">
        <v>7748</v>
      </c>
      <c r="C3564">
        <v>20</v>
      </c>
      <c r="D3564">
        <v>6</v>
      </c>
      <c r="E3564">
        <v>1</v>
      </c>
      <c r="F3564">
        <v>47.5</v>
      </c>
      <c r="G3564">
        <v>2.4867500000000001E-4</v>
      </c>
      <c r="H3564" t="s">
        <v>2203</v>
      </c>
    </row>
    <row r="3565" spans="1:8">
      <c r="A3565" t="s">
        <v>7733</v>
      </c>
      <c r="B3565" t="s">
        <v>7732</v>
      </c>
      <c r="C3565">
        <v>1</v>
      </c>
      <c r="D3565">
        <v>1</v>
      </c>
      <c r="E3565">
        <v>1</v>
      </c>
      <c r="F3565">
        <v>0</v>
      </c>
      <c r="G3565">
        <v>0</v>
      </c>
      <c r="H3565" t="s">
        <v>2203</v>
      </c>
    </row>
    <row r="3566" spans="1:8">
      <c r="A3566" t="s">
        <v>7759</v>
      </c>
      <c r="B3566" t="s">
        <v>7758</v>
      </c>
      <c r="C3566">
        <v>20</v>
      </c>
      <c r="D3566">
        <v>12</v>
      </c>
      <c r="E3566">
        <v>1</v>
      </c>
      <c r="F3566">
        <v>1</v>
      </c>
      <c r="G3566">
        <v>0</v>
      </c>
      <c r="H3566" t="s">
        <v>2203</v>
      </c>
    </row>
    <row r="3567" spans="1:8">
      <c r="A3567" t="s">
        <v>7743</v>
      </c>
      <c r="B3567" t="s">
        <v>7742</v>
      </c>
      <c r="C3567">
        <v>20</v>
      </c>
      <c r="D3567">
        <v>12</v>
      </c>
      <c r="E3567">
        <v>1</v>
      </c>
      <c r="F3567">
        <v>0</v>
      </c>
      <c r="G3567">
        <v>0</v>
      </c>
      <c r="H3567" t="s">
        <v>2203</v>
      </c>
    </row>
    <row r="3568" spans="1:8">
      <c r="A3568" t="s">
        <v>7757</v>
      </c>
      <c r="B3568" t="s">
        <v>7756</v>
      </c>
      <c r="C3568">
        <v>20</v>
      </c>
      <c r="D3568">
        <v>24</v>
      </c>
      <c r="E3568">
        <v>1</v>
      </c>
      <c r="F3568">
        <v>10.199999999999999</v>
      </c>
      <c r="G3568" s="4">
        <v>7.9099999999999998E-5</v>
      </c>
      <c r="H3568" t="s">
        <v>2203</v>
      </c>
    </row>
    <row r="3569" spans="1:8">
      <c r="A3569" t="s">
        <v>7773</v>
      </c>
      <c r="B3569" t="s">
        <v>7772</v>
      </c>
      <c r="C3569">
        <v>20</v>
      </c>
      <c r="D3569">
        <v>6</v>
      </c>
      <c r="E3569">
        <v>1</v>
      </c>
      <c r="F3569">
        <v>50.8</v>
      </c>
      <c r="G3569">
        <v>2.5549999999999998E-4</v>
      </c>
      <c r="H3569" t="s">
        <v>2203</v>
      </c>
    </row>
    <row r="3570" spans="1:8">
      <c r="A3570" t="s">
        <v>4837</v>
      </c>
      <c r="B3570" t="s">
        <v>7726</v>
      </c>
      <c r="C3570">
        <v>48</v>
      </c>
      <c r="D3570">
        <v>1</v>
      </c>
      <c r="E3570">
        <v>1</v>
      </c>
      <c r="F3570">
        <v>0</v>
      </c>
      <c r="G3570">
        <v>0</v>
      </c>
      <c r="H3570" t="s">
        <v>2203</v>
      </c>
    </row>
    <row r="3571" spans="1:8">
      <c r="A3571" t="s">
        <v>1912</v>
      </c>
      <c r="B3571" t="s">
        <v>3989</v>
      </c>
      <c r="C3571">
        <v>20</v>
      </c>
      <c r="D3571">
        <v>6</v>
      </c>
      <c r="E3571">
        <v>1</v>
      </c>
      <c r="F3571">
        <v>1</v>
      </c>
      <c r="G3571">
        <v>0</v>
      </c>
      <c r="H3571" t="s">
        <v>2203</v>
      </c>
    </row>
    <row r="3572" spans="1:8">
      <c r="A3572" t="s">
        <v>1913</v>
      </c>
      <c r="B3572" t="s">
        <v>3992</v>
      </c>
      <c r="C3572">
        <v>120</v>
      </c>
      <c r="D3572">
        <v>1</v>
      </c>
      <c r="E3572">
        <v>1</v>
      </c>
      <c r="F3572">
        <v>1</v>
      </c>
      <c r="G3572">
        <v>0</v>
      </c>
      <c r="H3572" t="s">
        <v>2203</v>
      </c>
    </row>
    <row r="3573" spans="1:8">
      <c r="A3573" t="s">
        <v>7649</v>
      </c>
      <c r="B3573" t="s">
        <v>7648</v>
      </c>
      <c r="C3573">
        <v>120</v>
      </c>
      <c r="D3573">
        <v>1</v>
      </c>
      <c r="E3573">
        <v>1</v>
      </c>
      <c r="F3573">
        <v>50.8</v>
      </c>
      <c r="G3573">
        <v>2.5549999999999998E-4</v>
      </c>
      <c r="H3573" t="s">
        <v>2203</v>
      </c>
    </row>
    <row r="3574" spans="1:8">
      <c r="A3574" t="s">
        <v>7647</v>
      </c>
      <c r="B3574" t="s">
        <v>7646</v>
      </c>
      <c r="C3574">
        <v>120</v>
      </c>
      <c r="D3574">
        <v>1</v>
      </c>
      <c r="E3574">
        <v>1</v>
      </c>
      <c r="F3574">
        <v>1</v>
      </c>
      <c r="G3574">
        <v>0</v>
      </c>
      <c r="H3574" t="s">
        <v>2203</v>
      </c>
    </row>
    <row r="3575" spans="1:8">
      <c r="A3575" t="s">
        <v>7737</v>
      </c>
      <c r="B3575" t="s">
        <v>7736</v>
      </c>
      <c r="C3575">
        <v>20</v>
      </c>
      <c r="D3575">
        <v>6</v>
      </c>
      <c r="E3575">
        <v>1</v>
      </c>
      <c r="F3575">
        <v>0</v>
      </c>
      <c r="G3575">
        <v>0</v>
      </c>
      <c r="H3575" t="s">
        <v>2203</v>
      </c>
    </row>
    <row r="3576" spans="1:8">
      <c r="A3576" t="s">
        <v>7769</v>
      </c>
      <c r="B3576" t="s">
        <v>7768</v>
      </c>
      <c r="C3576">
        <v>12</v>
      </c>
      <c r="D3576">
        <v>10</v>
      </c>
      <c r="E3576">
        <v>1</v>
      </c>
      <c r="F3576">
        <v>41.3</v>
      </c>
      <c r="G3576">
        <v>2.4869999999999997E-4</v>
      </c>
      <c r="H3576" t="s">
        <v>2203</v>
      </c>
    </row>
    <row r="3577" spans="1:8">
      <c r="A3577" t="s">
        <v>4835</v>
      </c>
      <c r="B3577" t="s">
        <v>7745</v>
      </c>
      <c r="C3577">
        <v>100</v>
      </c>
      <c r="D3577">
        <v>5</v>
      </c>
      <c r="E3577">
        <v>1</v>
      </c>
      <c r="F3577">
        <v>20</v>
      </c>
      <c r="G3577">
        <v>0</v>
      </c>
      <c r="H3577" t="s">
        <v>2203</v>
      </c>
    </row>
    <row r="3578" spans="1:8">
      <c r="A3578" t="s">
        <v>7731</v>
      </c>
      <c r="B3578" t="s">
        <v>7730</v>
      </c>
      <c r="C3578">
        <v>1</v>
      </c>
      <c r="D3578">
        <v>1</v>
      </c>
      <c r="E3578">
        <v>1</v>
      </c>
      <c r="F3578">
        <v>0</v>
      </c>
      <c r="G3578">
        <v>0</v>
      </c>
      <c r="H3578" t="s">
        <v>2203</v>
      </c>
    </row>
    <row r="3579" spans="1:8">
      <c r="A3579" t="s">
        <v>7728</v>
      </c>
      <c r="B3579" t="s">
        <v>7727</v>
      </c>
      <c r="C3579">
        <v>20</v>
      </c>
      <c r="D3579">
        <v>12</v>
      </c>
      <c r="E3579">
        <v>1</v>
      </c>
      <c r="F3579">
        <v>0</v>
      </c>
      <c r="G3579">
        <v>0</v>
      </c>
      <c r="H3579" t="s">
        <v>2203</v>
      </c>
    </row>
    <row r="3580" spans="1:8">
      <c r="A3580" t="s">
        <v>7767</v>
      </c>
      <c r="B3580" t="s">
        <v>7766</v>
      </c>
      <c r="C3580">
        <v>12</v>
      </c>
      <c r="D3580">
        <v>10</v>
      </c>
      <c r="E3580">
        <v>1</v>
      </c>
      <c r="F3580">
        <v>1</v>
      </c>
      <c r="G3580">
        <v>0</v>
      </c>
      <c r="H3580" t="s">
        <v>2203</v>
      </c>
    </row>
    <row r="3581" spans="1:8">
      <c r="A3581" t="s">
        <v>4842</v>
      </c>
      <c r="B3581" t="s">
        <v>7778</v>
      </c>
      <c r="C3581">
        <v>20</v>
      </c>
      <c r="D3581">
        <v>1</v>
      </c>
      <c r="E3581">
        <v>1</v>
      </c>
      <c r="F3581">
        <v>159.5</v>
      </c>
      <c r="G3581">
        <v>3.8279999999999998E-4</v>
      </c>
      <c r="H3581" t="s">
        <v>2197</v>
      </c>
    </row>
    <row r="3582" spans="1:8">
      <c r="A3582" t="s">
        <v>4844</v>
      </c>
      <c r="B3582" t="s">
        <v>7776</v>
      </c>
      <c r="C3582">
        <v>20</v>
      </c>
      <c r="D3582">
        <v>1</v>
      </c>
      <c r="E3582">
        <v>1</v>
      </c>
      <c r="F3582">
        <v>300</v>
      </c>
      <c r="G3582">
        <v>8.0999999999999996E-4</v>
      </c>
      <c r="H3582" t="s">
        <v>2197</v>
      </c>
    </row>
    <row r="3583" spans="1:8">
      <c r="A3583" t="s">
        <v>4843</v>
      </c>
      <c r="B3583" t="s">
        <v>7777</v>
      </c>
      <c r="C3583">
        <v>20</v>
      </c>
      <c r="D3583">
        <v>1</v>
      </c>
      <c r="E3583">
        <v>1</v>
      </c>
      <c r="F3583">
        <v>640</v>
      </c>
      <c r="G3583">
        <v>1.2176999999999999E-3</v>
      </c>
      <c r="H3583" t="s">
        <v>2197</v>
      </c>
    </row>
    <row r="3584" spans="1:8">
      <c r="A3584" t="s">
        <v>7780</v>
      </c>
      <c r="B3584" t="s">
        <v>7779</v>
      </c>
      <c r="C3584">
        <v>48</v>
      </c>
      <c r="D3584">
        <v>1</v>
      </c>
      <c r="E3584">
        <v>1</v>
      </c>
      <c r="F3584">
        <v>136.5</v>
      </c>
      <c r="G3584">
        <v>2.8880000000000003E-4</v>
      </c>
      <c r="H3584" t="s">
        <v>2197</v>
      </c>
    </row>
    <row r="3585" spans="1:8">
      <c r="A3585" t="s">
        <v>1914</v>
      </c>
      <c r="B3585" t="s">
        <v>3993</v>
      </c>
      <c r="C3585">
        <v>1</v>
      </c>
      <c r="D3585">
        <v>1</v>
      </c>
      <c r="E3585">
        <v>1</v>
      </c>
      <c r="F3585">
        <v>100</v>
      </c>
      <c r="G3585">
        <v>0</v>
      </c>
      <c r="H3585" t="s">
        <v>2197</v>
      </c>
    </row>
    <row r="3586" spans="1:8">
      <c r="A3586" t="s">
        <v>1915</v>
      </c>
      <c r="B3586" t="s">
        <v>3995</v>
      </c>
      <c r="C3586">
        <v>16</v>
      </c>
      <c r="D3586">
        <v>1</v>
      </c>
      <c r="E3586">
        <v>1</v>
      </c>
      <c r="F3586">
        <v>1128.0999999999999</v>
      </c>
      <c r="G3586">
        <v>4.1399999999999996E-3</v>
      </c>
      <c r="H3586" t="s">
        <v>2197</v>
      </c>
    </row>
    <row r="3587" spans="1:8">
      <c r="A3587" t="s">
        <v>1916</v>
      </c>
      <c r="B3587" t="s">
        <v>3997</v>
      </c>
      <c r="C3587">
        <v>32</v>
      </c>
      <c r="D3587">
        <v>1</v>
      </c>
      <c r="E3587">
        <v>1</v>
      </c>
      <c r="F3587">
        <v>482.8</v>
      </c>
      <c r="G3587">
        <v>1.3320000000000001E-3</v>
      </c>
      <c r="H3587" t="s">
        <v>2197</v>
      </c>
    </row>
    <row r="3588" spans="1:8">
      <c r="A3588" t="s">
        <v>1917</v>
      </c>
      <c r="B3588" t="s">
        <v>3998</v>
      </c>
      <c r="C3588">
        <v>8</v>
      </c>
      <c r="D3588">
        <v>1</v>
      </c>
      <c r="E3588">
        <v>1</v>
      </c>
      <c r="F3588">
        <v>1968.8</v>
      </c>
      <c r="G3588">
        <v>6.084E-3</v>
      </c>
      <c r="H3588" t="s">
        <v>2197</v>
      </c>
    </row>
    <row r="3589" spans="1:8">
      <c r="A3589" t="s">
        <v>7782</v>
      </c>
      <c r="B3589" t="s">
        <v>7781</v>
      </c>
      <c r="C3589">
        <v>200</v>
      </c>
      <c r="D3589">
        <v>1</v>
      </c>
      <c r="E3589">
        <v>1</v>
      </c>
      <c r="F3589">
        <v>30.8</v>
      </c>
      <c r="G3589">
        <v>1.516E-4</v>
      </c>
      <c r="H3589" t="s">
        <v>2203</v>
      </c>
    </row>
    <row r="3590" spans="1:8">
      <c r="A3590" t="s">
        <v>7784</v>
      </c>
      <c r="B3590" t="s">
        <v>7783</v>
      </c>
      <c r="C3590">
        <v>10</v>
      </c>
      <c r="D3590">
        <v>1</v>
      </c>
      <c r="E3590">
        <v>1</v>
      </c>
      <c r="F3590">
        <v>1</v>
      </c>
      <c r="G3590">
        <v>0</v>
      </c>
      <c r="H3590" t="s">
        <v>2197</v>
      </c>
    </row>
    <row r="3591" spans="1:8">
      <c r="A3591" t="s">
        <v>7786</v>
      </c>
      <c r="B3591" t="s">
        <v>7785</v>
      </c>
      <c r="C3591">
        <v>20</v>
      </c>
      <c r="D3591">
        <v>1</v>
      </c>
      <c r="E3591">
        <v>1</v>
      </c>
      <c r="F3591">
        <v>1</v>
      </c>
      <c r="G3591">
        <v>0</v>
      </c>
      <c r="H3591" t="s">
        <v>2197</v>
      </c>
    </row>
    <row r="3592" spans="1:8">
      <c r="A3592" t="s">
        <v>1918</v>
      </c>
      <c r="B3592" t="s">
        <v>3999</v>
      </c>
      <c r="C3592">
        <v>1</v>
      </c>
      <c r="D3592">
        <v>1</v>
      </c>
      <c r="E3592">
        <v>1</v>
      </c>
      <c r="F3592">
        <v>1</v>
      </c>
      <c r="G3592">
        <v>0</v>
      </c>
      <c r="H3592" t="s">
        <v>2197</v>
      </c>
    </row>
    <row r="3593" spans="1:8">
      <c r="A3593" t="s">
        <v>9771</v>
      </c>
      <c r="B3593" t="s">
        <v>7787</v>
      </c>
      <c r="C3593">
        <v>100</v>
      </c>
      <c r="D3593">
        <v>1</v>
      </c>
      <c r="E3593">
        <v>1</v>
      </c>
      <c r="F3593">
        <v>137.19999999999999</v>
      </c>
      <c r="G3593">
        <v>7.6970000000000001E-4</v>
      </c>
      <c r="H3593" t="s">
        <v>2203</v>
      </c>
    </row>
    <row r="3594" spans="1:8">
      <c r="A3594" t="s">
        <v>9770</v>
      </c>
      <c r="B3594" t="s">
        <v>7790</v>
      </c>
      <c r="C3594">
        <v>100</v>
      </c>
      <c r="D3594">
        <v>1</v>
      </c>
      <c r="E3594">
        <v>1</v>
      </c>
      <c r="F3594">
        <v>0</v>
      </c>
      <c r="G3594">
        <v>0</v>
      </c>
      <c r="H3594" t="s">
        <v>2203</v>
      </c>
    </row>
    <row r="3595" spans="1:8">
      <c r="A3595" t="s">
        <v>9773</v>
      </c>
      <c r="B3595" t="s">
        <v>7788</v>
      </c>
      <c r="C3595">
        <v>25</v>
      </c>
      <c r="D3595">
        <v>1</v>
      </c>
      <c r="E3595">
        <v>1</v>
      </c>
      <c r="F3595">
        <v>444</v>
      </c>
      <c r="G3595">
        <v>1.7776199999999999E-3</v>
      </c>
      <c r="H3595" t="s">
        <v>2203</v>
      </c>
    </row>
    <row r="3596" spans="1:8">
      <c r="A3596" t="s">
        <v>9772</v>
      </c>
      <c r="B3596" t="s">
        <v>7789</v>
      </c>
      <c r="C3596">
        <v>25</v>
      </c>
      <c r="D3596">
        <v>1</v>
      </c>
      <c r="E3596">
        <v>1</v>
      </c>
      <c r="F3596">
        <v>0</v>
      </c>
      <c r="G3596">
        <v>0</v>
      </c>
      <c r="H3596" t="s">
        <v>2203</v>
      </c>
    </row>
    <row r="3597" spans="1:8">
      <c r="A3597" t="s">
        <v>9774</v>
      </c>
      <c r="B3597" t="s">
        <v>7791</v>
      </c>
      <c r="C3597">
        <v>30</v>
      </c>
      <c r="D3597">
        <v>1</v>
      </c>
      <c r="E3597">
        <v>1</v>
      </c>
      <c r="F3597">
        <v>441.7</v>
      </c>
      <c r="G3597">
        <v>1.2949999999999999E-3</v>
      </c>
      <c r="H3597" t="s">
        <v>2203</v>
      </c>
    </row>
    <row r="3598" spans="1:8">
      <c r="A3598" t="s">
        <v>1919</v>
      </c>
      <c r="B3598" t="s">
        <v>4001</v>
      </c>
      <c r="C3598">
        <v>30</v>
      </c>
      <c r="D3598">
        <v>1</v>
      </c>
      <c r="E3598">
        <v>1</v>
      </c>
      <c r="F3598">
        <v>1</v>
      </c>
      <c r="G3598">
        <v>0</v>
      </c>
      <c r="H3598" t="s">
        <v>2197</v>
      </c>
    </row>
    <row r="3599" spans="1:8">
      <c r="A3599" t="s">
        <v>9156</v>
      </c>
      <c r="B3599" t="s">
        <v>9155</v>
      </c>
      <c r="C3599">
        <v>1</v>
      </c>
      <c r="D3599">
        <v>1</v>
      </c>
      <c r="E3599">
        <v>1</v>
      </c>
      <c r="F3599">
        <v>1</v>
      </c>
      <c r="G3599">
        <v>0</v>
      </c>
      <c r="H3599" t="s">
        <v>2221</v>
      </c>
    </row>
    <row r="3600" spans="1:8">
      <c r="A3600" t="s">
        <v>9158</v>
      </c>
      <c r="B3600" t="s">
        <v>9157</v>
      </c>
      <c r="C3600">
        <v>1</v>
      </c>
      <c r="D3600">
        <v>1</v>
      </c>
      <c r="E3600">
        <v>1</v>
      </c>
      <c r="F3600">
        <v>1</v>
      </c>
      <c r="G3600">
        <v>0</v>
      </c>
      <c r="H3600" t="s">
        <v>2221</v>
      </c>
    </row>
    <row r="3601" spans="1:8">
      <c r="A3601" t="s">
        <v>9160</v>
      </c>
      <c r="B3601" t="s">
        <v>9159</v>
      </c>
      <c r="C3601">
        <v>1</v>
      </c>
      <c r="D3601">
        <v>1</v>
      </c>
      <c r="E3601">
        <v>1</v>
      </c>
      <c r="F3601">
        <v>1</v>
      </c>
      <c r="G3601">
        <v>0</v>
      </c>
      <c r="H3601" t="s">
        <v>2221</v>
      </c>
    </row>
    <row r="3602" spans="1:8">
      <c r="A3602" t="s">
        <v>1920</v>
      </c>
      <c r="B3602" t="s">
        <v>4003</v>
      </c>
      <c r="C3602">
        <v>1</v>
      </c>
      <c r="D3602">
        <v>1</v>
      </c>
      <c r="E3602">
        <v>1</v>
      </c>
      <c r="F3602">
        <v>1</v>
      </c>
      <c r="G3602">
        <v>0</v>
      </c>
      <c r="H3602" t="s">
        <v>2221</v>
      </c>
    </row>
    <row r="3603" spans="1:8">
      <c r="A3603" t="s">
        <v>9172</v>
      </c>
      <c r="B3603" t="s">
        <v>9171</v>
      </c>
      <c r="C3603">
        <v>1</v>
      </c>
      <c r="D3603">
        <v>1</v>
      </c>
      <c r="E3603">
        <v>1</v>
      </c>
      <c r="F3603">
        <v>1</v>
      </c>
      <c r="G3603">
        <v>0</v>
      </c>
      <c r="H3603" t="s">
        <v>2221</v>
      </c>
    </row>
    <row r="3604" spans="1:8">
      <c r="A3604" t="s">
        <v>9174</v>
      </c>
      <c r="B3604" t="s">
        <v>9173</v>
      </c>
      <c r="C3604">
        <v>1</v>
      </c>
      <c r="D3604">
        <v>1</v>
      </c>
      <c r="E3604">
        <v>1</v>
      </c>
      <c r="F3604">
        <v>1</v>
      </c>
      <c r="G3604">
        <v>0</v>
      </c>
      <c r="H3604" t="s">
        <v>2221</v>
      </c>
    </row>
    <row r="3605" spans="1:8">
      <c r="A3605" t="s">
        <v>9162</v>
      </c>
      <c r="B3605" t="s">
        <v>9161</v>
      </c>
      <c r="C3605">
        <v>1</v>
      </c>
      <c r="D3605">
        <v>1</v>
      </c>
      <c r="E3605">
        <v>1</v>
      </c>
      <c r="F3605">
        <v>1</v>
      </c>
      <c r="G3605">
        <v>0</v>
      </c>
      <c r="H3605" t="s">
        <v>2221</v>
      </c>
    </row>
    <row r="3606" spans="1:8">
      <c r="A3606" t="s">
        <v>9154</v>
      </c>
      <c r="B3606" t="s">
        <v>9153</v>
      </c>
      <c r="C3606">
        <v>1</v>
      </c>
      <c r="D3606">
        <v>1</v>
      </c>
      <c r="E3606">
        <v>1</v>
      </c>
      <c r="F3606">
        <v>1</v>
      </c>
      <c r="G3606">
        <v>0</v>
      </c>
      <c r="H3606" t="s">
        <v>2221</v>
      </c>
    </row>
    <row r="3607" spans="1:8">
      <c r="A3607" t="s">
        <v>9164</v>
      </c>
      <c r="B3607" t="s">
        <v>9163</v>
      </c>
      <c r="C3607">
        <v>1</v>
      </c>
      <c r="D3607">
        <v>1</v>
      </c>
      <c r="E3607">
        <v>1</v>
      </c>
      <c r="F3607">
        <v>1</v>
      </c>
      <c r="G3607">
        <v>0</v>
      </c>
      <c r="H3607" t="s">
        <v>2221</v>
      </c>
    </row>
    <row r="3608" spans="1:8">
      <c r="A3608" t="s">
        <v>9170</v>
      </c>
      <c r="B3608" t="s">
        <v>9169</v>
      </c>
      <c r="C3608">
        <v>1</v>
      </c>
      <c r="D3608">
        <v>1</v>
      </c>
      <c r="E3608">
        <v>1</v>
      </c>
      <c r="F3608">
        <v>1</v>
      </c>
      <c r="G3608">
        <v>0</v>
      </c>
      <c r="H3608" t="s">
        <v>2221</v>
      </c>
    </row>
    <row r="3609" spans="1:8">
      <c r="A3609" t="s">
        <v>1921</v>
      </c>
      <c r="B3609" t="s">
        <v>4004</v>
      </c>
      <c r="C3609">
        <v>1</v>
      </c>
      <c r="D3609">
        <v>1</v>
      </c>
      <c r="E3609">
        <v>1</v>
      </c>
      <c r="F3609">
        <v>1</v>
      </c>
      <c r="G3609">
        <v>0</v>
      </c>
      <c r="H3609" t="s">
        <v>2221</v>
      </c>
    </row>
    <row r="3610" spans="1:8">
      <c r="A3610" t="s">
        <v>9168</v>
      </c>
      <c r="B3610" t="s">
        <v>9167</v>
      </c>
      <c r="C3610">
        <v>1</v>
      </c>
      <c r="D3610">
        <v>1</v>
      </c>
      <c r="E3610">
        <v>1</v>
      </c>
      <c r="F3610">
        <v>1</v>
      </c>
      <c r="G3610">
        <v>0</v>
      </c>
      <c r="H3610" t="s">
        <v>2221</v>
      </c>
    </row>
    <row r="3611" spans="1:8">
      <c r="A3611" t="s">
        <v>9166</v>
      </c>
      <c r="B3611" t="s">
        <v>9165</v>
      </c>
      <c r="C3611">
        <v>1</v>
      </c>
      <c r="D3611">
        <v>1</v>
      </c>
      <c r="E3611">
        <v>1</v>
      </c>
      <c r="F3611">
        <v>1</v>
      </c>
      <c r="G3611">
        <v>0</v>
      </c>
      <c r="H3611" t="s">
        <v>2221</v>
      </c>
    </row>
    <row r="3612" spans="1:8">
      <c r="A3612" t="s">
        <v>7793</v>
      </c>
      <c r="B3612" t="s">
        <v>7792</v>
      </c>
      <c r="C3612">
        <v>1</v>
      </c>
      <c r="D3612">
        <v>1</v>
      </c>
      <c r="E3612">
        <v>1</v>
      </c>
      <c r="F3612">
        <v>0</v>
      </c>
      <c r="G3612">
        <v>0</v>
      </c>
      <c r="H3612" t="s">
        <v>2221</v>
      </c>
    </row>
    <row r="3613" spans="1:8">
      <c r="A3613" t="s">
        <v>4845</v>
      </c>
      <c r="B3613" t="s">
        <v>7796</v>
      </c>
      <c r="C3613">
        <v>100</v>
      </c>
      <c r="D3613">
        <v>1</v>
      </c>
      <c r="E3613">
        <v>1</v>
      </c>
      <c r="F3613">
        <v>150</v>
      </c>
      <c r="G3613">
        <v>2.9250000000000001E-4</v>
      </c>
      <c r="H3613" t="s">
        <v>2197</v>
      </c>
    </row>
    <row r="3614" spans="1:8">
      <c r="A3614" t="s">
        <v>7795</v>
      </c>
      <c r="B3614" t="s">
        <v>7794</v>
      </c>
      <c r="C3614">
        <v>50</v>
      </c>
      <c r="D3614">
        <v>1</v>
      </c>
      <c r="E3614">
        <v>1</v>
      </c>
      <c r="F3614">
        <v>155.80000000000001</v>
      </c>
      <c r="G3614">
        <v>3.7619999999999998E-4</v>
      </c>
      <c r="H3614" t="s">
        <v>2197</v>
      </c>
    </row>
    <row r="3615" spans="1:8">
      <c r="A3615" t="s">
        <v>1922</v>
      </c>
      <c r="B3615" t="s">
        <v>4005</v>
      </c>
      <c r="C3615">
        <v>1</v>
      </c>
      <c r="D3615">
        <v>1</v>
      </c>
      <c r="E3615">
        <v>1</v>
      </c>
      <c r="F3615">
        <v>155.80000000000001</v>
      </c>
      <c r="G3615">
        <v>3.7619999999999998E-4</v>
      </c>
      <c r="H3615" t="s">
        <v>2221</v>
      </c>
    </row>
    <row r="3616" spans="1:8">
      <c r="A3616" t="s">
        <v>1923</v>
      </c>
      <c r="B3616" t="s">
        <v>4006</v>
      </c>
      <c r="C3616">
        <v>1</v>
      </c>
      <c r="D3616">
        <v>1</v>
      </c>
      <c r="E3616">
        <v>1</v>
      </c>
      <c r="F3616">
        <v>155.80000000000001</v>
      </c>
      <c r="G3616">
        <v>3.7619999999999998E-4</v>
      </c>
      <c r="H3616" t="s">
        <v>2221</v>
      </c>
    </row>
    <row r="3617" spans="1:8">
      <c r="A3617" t="s">
        <v>4846</v>
      </c>
      <c r="B3617" t="s">
        <v>7797</v>
      </c>
      <c r="C3617">
        <v>30</v>
      </c>
      <c r="D3617">
        <v>1</v>
      </c>
      <c r="E3617">
        <v>1</v>
      </c>
      <c r="F3617">
        <v>0</v>
      </c>
      <c r="G3617">
        <v>0</v>
      </c>
      <c r="H3617" t="s">
        <v>2197</v>
      </c>
    </row>
    <row r="3618" spans="1:8">
      <c r="A3618" t="s">
        <v>7801</v>
      </c>
      <c r="B3618" t="s">
        <v>7800</v>
      </c>
      <c r="C3618">
        <v>10</v>
      </c>
      <c r="D3618">
        <v>1</v>
      </c>
      <c r="E3618">
        <v>1</v>
      </c>
      <c r="F3618">
        <v>1970.5</v>
      </c>
      <c r="G3618">
        <v>3.2805E-3</v>
      </c>
      <c r="H3618" t="s">
        <v>2197</v>
      </c>
    </row>
    <row r="3619" spans="1:8">
      <c r="A3619" t="s">
        <v>1924</v>
      </c>
      <c r="B3619" t="s">
        <v>4007</v>
      </c>
      <c r="C3619">
        <v>12</v>
      </c>
      <c r="D3619">
        <v>1</v>
      </c>
      <c r="E3619">
        <v>1</v>
      </c>
      <c r="F3619">
        <v>1320.8</v>
      </c>
      <c r="G3619">
        <v>2.2539000000000001E-3</v>
      </c>
      <c r="H3619" t="s">
        <v>2197</v>
      </c>
    </row>
    <row r="3620" spans="1:8">
      <c r="A3620" t="s">
        <v>1934</v>
      </c>
      <c r="B3620" t="s">
        <v>4009</v>
      </c>
      <c r="C3620">
        <v>20</v>
      </c>
      <c r="D3620">
        <v>1</v>
      </c>
      <c r="E3620">
        <v>1</v>
      </c>
      <c r="F3620">
        <v>292.5</v>
      </c>
      <c r="G3620">
        <v>6.3750000000000005E-4</v>
      </c>
      <c r="H3620" t="s">
        <v>2197</v>
      </c>
    </row>
    <row r="3621" spans="1:8">
      <c r="A3621" t="s">
        <v>1940</v>
      </c>
      <c r="B3621" t="s">
        <v>4010</v>
      </c>
      <c r="C3621">
        <v>20</v>
      </c>
      <c r="D3621">
        <v>1</v>
      </c>
      <c r="E3621">
        <v>1</v>
      </c>
      <c r="F3621">
        <v>670</v>
      </c>
      <c r="G3621">
        <v>1.1849E-3</v>
      </c>
      <c r="H3621" t="s">
        <v>2197</v>
      </c>
    </row>
    <row r="3622" spans="1:8">
      <c r="A3622" t="s">
        <v>7799</v>
      </c>
      <c r="B3622" t="s">
        <v>7798</v>
      </c>
      <c r="C3622">
        <v>4</v>
      </c>
      <c r="D3622">
        <v>1</v>
      </c>
      <c r="E3622">
        <v>1</v>
      </c>
      <c r="F3622">
        <v>688.5</v>
      </c>
      <c r="G3622">
        <v>1.3728E-3</v>
      </c>
      <c r="H3622" t="s">
        <v>2307</v>
      </c>
    </row>
    <row r="3623" spans="1:8">
      <c r="A3623" t="s">
        <v>1945</v>
      </c>
      <c r="B3623" t="s">
        <v>4011</v>
      </c>
      <c r="C3623">
        <v>10</v>
      </c>
      <c r="D3623">
        <v>1</v>
      </c>
      <c r="E3623">
        <v>1</v>
      </c>
      <c r="F3623">
        <v>1375</v>
      </c>
      <c r="G3623">
        <v>2.3E-3</v>
      </c>
      <c r="H3623" t="s">
        <v>2197</v>
      </c>
    </row>
    <row r="3624" spans="1:8">
      <c r="A3624" t="s">
        <v>1946</v>
      </c>
      <c r="B3624" t="s">
        <v>4013</v>
      </c>
      <c r="C3624">
        <v>20</v>
      </c>
      <c r="D3624">
        <v>1</v>
      </c>
      <c r="E3624">
        <v>1</v>
      </c>
      <c r="F3624">
        <v>672.5</v>
      </c>
      <c r="G3624">
        <v>1.1100000000000001E-3</v>
      </c>
      <c r="H3624" t="s">
        <v>2197</v>
      </c>
    </row>
    <row r="3625" spans="1:8">
      <c r="A3625" t="s">
        <v>1947</v>
      </c>
      <c r="B3625" t="s">
        <v>4014</v>
      </c>
      <c r="C3625">
        <v>50</v>
      </c>
      <c r="D3625">
        <v>1</v>
      </c>
      <c r="E3625">
        <v>1</v>
      </c>
      <c r="F3625">
        <v>324</v>
      </c>
      <c r="G3625">
        <v>5.8529999999999997E-4</v>
      </c>
      <c r="H3625" t="s">
        <v>2197</v>
      </c>
    </row>
    <row r="3626" spans="1:8">
      <c r="A3626" t="s">
        <v>1948</v>
      </c>
      <c r="B3626" t="s">
        <v>4015</v>
      </c>
      <c r="C3626">
        <v>30</v>
      </c>
      <c r="D3626">
        <v>15</v>
      </c>
      <c r="E3626">
        <v>1</v>
      </c>
      <c r="F3626">
        <v>35.200000000000003</v>
      </c>
      <c r="G3626" s="4">
        <v>8.8300000000000005E-5</v>
      </c>
      <c r="H3626" t="s">
        <v>2197</v>
      </c>
    </row>
    <row r="3627" spans="1:8">
      <c r="A3627" t="s">
        <v>1949</v>
      </c>
      <c r="B3627" t="s">
        <v>4017</v>
      </c>
      <c r="C3627">
        <v>40</v>
      </c>
      <c r="D3627">
        <v>1</v>
      </c>
      <c r="E3627">
        <v>1</v>
      </c>
      <c r="F3627">
        <v>313.8</v>
      </c>
      <c r="G3627">
        <v>7.3499999999999998E-4</v>
      </c>
      <c r="H3627" t="s">
        <v>2197</v>
      </c>
    </row>
    <row r="3628" spans="1:8">
      <c r="A3628" t="s">
        <v>1951</v>
      </c>
      <c r="B3628" t="s">
        <v>4018</v>
      </c>
      <c r="C3628">
        <v>50</v>
      </c>
      <c r="D3628">
        <v>1</v>
      </c>
      <c r="E3628">
        <v>1</v>
      </c>
      <c r="F3628">
        <v>129</v>
      </c>
      <c r="G3628">
        <v>3.1100000000000002E-4</v>
      </c>
      <c r="H3628" t="s">
        <v>2197</v>
      </c>
    </row>
    <row r="3629" spans="1:8">
      <c r="A3629" t="s">
        <v>1952</v>
      </c>
      <c r="B3629" t="s">
        <v>4019</v>
      </c>
      <c r="C3629">
        <v>50</v>
      </c>
      <c r="D3629">
        <v>1</v>
      </c>
      <c r="E3629">
        <v>1</v>
      </c>
      <c r="F3629">
        <v>78</v>
      </c>
      <c r="G3629">
        <v>3.1100000000000002E-4</v>
      </c>
      <c r="H3629" t="s">
        <v>2197</v>
      </c>
    </row>
    <row r="3630" spans="1:8">
      <c r="A3630" t="s">
        <v>1953</v>
      </c>
      <c r="B3630" t="s">
        <v>4020</v>
      </c>
      <c r="C3630">
        <v>1</v>
      </c>
      <c r="D3630">
        <v>1</v>
      </c>
      <c r="E3630">
        <v>1</v>
      </c>
      <c r="F3630">
        <v>1</v>
      </c>
      <c r="G3630">
        <v>0</v>
      </c>
      <c r="H3630" t="s">
        <v>2221</v>
      </c>
    </row>
    <row r="3631" spans="1:8">
      <c r="A3631" t="s">
        <v>4847</v>
      </c>
      <c r="B3631" t="s">
        <v>9175</v>
      </c>
      <c r="C3631">
        <v>1</v>
      </c>
      <c r="D3631">
        <v>1</v>
      </c>
      <c r="E3631">
        <v>1</v>
      </c>
      <c r="F3631">
        <v>1</v>
      </c>
      <c r="G3631">
        <v>0</v>
      </c>
      <c r="H3631" t="s">
        <v>2221</v>
      </c>
    </row>
    <row r="3632" spans="1:8">
      <c r="A3632" t="s">
        <v>7814</v>
      </c>
      <c r="B3632" t="s">
        <v>7813</v>
      </c>
      <c r="C3632">
        <v>1</v>
      </c>
      <c r="D3632">
        <v>1</v>
      </c>
      <c r="E3632">
        <v>1</v>
      </c>
      <c r="F3632">
        <v>1</v>
      </c>
      <c r="G3632">
        <v>0</v>
      </c>
      <c r="H3632" t="s">
        <v>2221</v>
      </c>
    </row>
    <row r="3633" spans="1:8">
      <c r="A3633" t="s">
        <v>7826</v>
      </c>
      <c r="B3633" t="s">
        <v>7825</v>
      </c>
      <c r="C3633">
        <v>1</v>
      </c>
      <c r="D3633">
        <v>1</v>
      </c>
      <c r="E3633">
        <v>1</v>
      </c>
      <c r="F3633">
        <v>1</v>
      </c>
      <c r="G3633">
        <v>0</v>
      </c>
      <c r="H3633" t="s">
        <v>2221</v>
      </c>
    </row>
    <row r="3634" spans="1:8">
      <c r="A3634" t="s">
        <v>1954</v>
      </c>
      <c r="B3634" t="s">
        <v>4021</v>
      </c>
      <c r="C3634">
        <v>1</v>
      </c>
      <c r="D3634">
        <v>1</v>
      </c>
      <c r="E3634">
        <v>1</v>
      </c>
      <c r="F3634">
        <v>9250</v>
      </c>
      <c r="G3634">
        <v>7.5240000000000001E-2</v>
      </c>
      <c r="H3634" t="s">
        <v>2221</v>
      </c>
    </row>
    <row r="3635" spans="1:8">
      <c r="A3635" t="s">
        <v>1955</v>
      </c>
      <c r="B3635" t="s">
        <v>7834</v>
      </c>
      <c r="C3635">
        <v>20</v>
      </c>
      <c r="D3635">
        <v>1</v>
      </c>
      <c r="E3635">
        <v>1</v>
      </c>
      <c r="F3635">
        <v>380</v>
      </c>
      <c r="G3635">
        <v>5.6420000000000003E-3</v>
      </c>
      <c r="H3635" t="s">
        <v>2221</v>
      </c>
    </row>
    <row r="3636" spans="1:8">
      <c r="A3636" t="s">
        <v>7838</v>
      </c>
      <c r="B3636" t="s">
        <v>7837</v>
      </c>
      <c r="C3636">
        <v>6</v>
      </c>
      <c r="D3636">
        <v>1</v>
      </c>
      <c r="E3636">
        <v>1</v>
      </c>
      <c r="F3636">
        <v>200</v>
      </c>
      <c r="G3636">
        <v>2.2680000000000001E-3</v>
      </c>
      <c r="H3636" t="s">
        <v>2221</v>
      </c>
    </row>
    <row r="3637" spans="1:8">
      <c r="A3637" t="s">
        <v>7840</v>
      </c>
      <c r="B3637" t="s">
        <v>7839</v>
      </c>
      <c r="C3637">
        <v>6</v>
      </c>
      <c r="D3637">
        <v>1</v>
      </c>
      <c r="E3637">
        <v>1</v>
      </c>
      <c r="F3637">
        <v>1</v>
      </c>
      <c r="G3637">
        <v>0</v>
      </c>
      <c r="H3637" t="s">
        <v>2221</v>
      </c>
    </row>
    <row r="3638" spans="1:8">
      <c r="A3638" t="s">
        <v>7842</v>
      </c>
      <c r="B3638" t="s">
        <v>7841</v>
      </c>
      <c r="C3638">
        <v>1</v>
      </c>
      <c r="D3638">
        <v>1</v>
      </c>
      <c r="E3638">
        <v>1</v>
      </c>
      <c r="F3638">
        <v>6050</v>
      </c>
      <c r="G3638">
        <v>4.1769000000000001E-2</v>
      </c>
      <c r="H3638" t="s">
        <v>2221</v>
      </c>
    </row>
    <row r="3639" spans="1:8">
      <c r="A3639" t="s">
        <v>7822</v>
      </c>
      <c r="B3639" t="s">
        <v>7821</v>
      </c>
      <c r="C3639">
        <v>6</v>
      </c>
      <c r="D3639">
        <v>1</v>
      </c>
      <c r="E3639">
        <v>1</v>
      </c>
      <c r="F3639">
        <v>200</v>
      </c>
      <c r="G3639">
        <v>2.2680000000000001E-3</v>
      </c>
      <c r="H3639" t="s">
        <v>2221</v>
      </c>
    </row>
    <row r="3640" spans="1:8">
      <c r="A3640" t="s">
        <v>7809</v>
      </c>
      <c r="B3640" t="s">
        <v>7808</v>
      </c>
      <c r="C3640">
        <v>6</v>
      </c>
      <c r="D3640">
        <v>1</v>
      </c>
      <c r="E3640">
        <v>1</v>
      </c>
      <c r="F3640">
        <v>233.3</v>
      </c>
      <c r="G3640">
        <v>2.8890000000000001E-3</v>
      </c>
      <c r="H3640" t="s">
        <v>2221</v>
      </c>
    </row>
    <row r="3641" spans="1:8">
      <c r="A3641" t="s">
        <v>7806</v>
      </c>
      <c r="B3641" t="s">
        <v>7805</v>
      </c>
      <c r="C3641">
        <v>1</v>
      </c>
      <c r="D3641">
        <v>1</v>
      </c>
      <c r="E3641">
        <v>1</v>
      </c>
      <c r="F3641">
        <v>1</v>
      </c>
      <c r="G3641">
        <v>0</v>
      </c>
      <c r="H3641" t="s">
        <v>2221</v>
      </c>
    </row>
    <row r="3642" spans="1:8">
      <c r="A3642" t="s">
        <v>7849</v>
      </c>
      <c r="B3642" t="s">
        <v>7848</v>
      </c>
      <c r="C3642">
        <v>1</v>
      </c>
      <c r="D3642">
        <v>1</v>
      </c>
      <c r="E3642">
        <v>1</v>
      </c>
      <c r="F3642">
        <v>5100</v>
      </c>
      <c r="G3642">
        <v>3.5520000000000003E-2</v>
      </c>
      <c r="H3642" t="s">
        <v>2221</v>
      </c>
    </row>
    <row r="3643" spans="1:8">
      <c r="A3643" t="s">
        <v>7818</v>
      </c>
      <c r="B3643" t="s">
        <v>7817</v>
      </c>
      <c r="C3643">
        <v>1</v>
      </c>
      <c r="D3643">
        <v>1</v>
      </c>
      <c r="E3643">
        <v>1</v>
      </c>
      <c r="F3643">
        <v>5600</v>
      </c>
      <c r="G3643">
        <v>3.8170999999999997E-2</v>
      </c>
      <c r="H3643" t="s">
        <v>2221</v>
      </c>
    </row>
    <row r="3644" spans="1:8">
      <c r="A3644" t="s">
        <v>9775</v>
      </c>
      <c r="B3644" t="s">
        <v>7828</v>
      </c>
      <c r="C3644">
        <v>1</v>
      </c>
      <c r="D3644">
        <v>1</v>
      </c>
      <c r="E3644">
        <v>1</v>
      </c>
      <c r="F3644">
        <v>5250</v>
      </c>
      <c r="G3644">
        <v>3.9215999999999999E-3</v>
      </c>
      <c r="H3644" t="s">
        <v>2221</v>
      </c>
    </row>
    <row r="3645" spans="1:8">
      <c r="A3645" t="s">
        <v>4851</v>
      </c>
      <c r="B3645" t="s">
        <v>7843</v>
      </c>
      <c r="C3645">
        <v>1</v>
      </c>
      <c r="D3645">
        <v>1</v>
      </c>
      <c r="E3645">
        <v>1</v>
      </c>
      <c r="F3645">
        <v>1</v>
      </c>
      <c r="G3645">
        <v>0</v>
      </c>
      <c r="H3645" t="s">
        <v>2221</v>
      </c>
    </row>
    <row r="3646" spans="1:8">
      <c r="A3646" t="s">
        <v>4852</v>
      </c>
      <c r="B3646" t="s">
        <v>7829</v>
      </c>
      <c r="C3646">
        <v>1</v>
      </c>
      <c r="D3646">
        <v>1</v>
      </c>
      <c r="E3646">
        <v>1</v>
      </c>
      <c r="F3646">
        <v>5200</v>
      </c>
      <c r="G3646">
        <v>3.7505999999999998E-2</v>
      </c>
      <c r="H3646" t="s">
        <v>2221</v>
      </c>
    </row>
    <row r="3647" spans="1:8">
      <c r="A3647" t="s">
        <v>4854</v>
      </c>
      <c r="B3647" t="s">
        <v>7844</v>
      </c>
      <c r="C3647">
        <v>1</v>
      </c>
      <c r="D3647">
        <v>1</v>
      </c>
      <c r="E3647">
        <v>1</v>
      </c>
      <c r="F3647">
        <v>525</v>
      </c>
      <c r="G3647">
        <v>4.0127999999999997E-2</v>
      </c>
      <c r="H3647" t="s">
        <v>2221</v>
      </c>
    </row>
    <row r="3648" spans="1:8">
      <c r="A3648" t="s">
        <v>1956</v>
      </c>
      <c r="B3648" t="s">
        <v>4026</v>
      </c>
      <c r="C3648">
        <v>1</v>
      </c>
      <c r="D3648">
        <v>1</v>
      </c>
      <c r="E3648">
        <v>1</v>
      </c>
      <c r="F3648">
        <v>5400</v>
      </c>
      <c r="G3648">
        <v>4.095E-2</v>
      </c>
      <c r="H3648" t="s">
        <v>2221</v>
      </c>
    </row>
    <row r="3649" spans="1:8">
      <c r="A3649" t="s">
        <v>4855</v>
      </c>
      <c r="B3649" t="s">
        <v>7845</v>
      </c>
      <c r="C3649">
        <v>1</v>
      </c>
      <c r="D3649">
        <v>1</v>
      </c>
      <c r="E3649">
        <v>1</v>
      </c>
      <c r="F3649">
        <v>5450</v>
      </c>
      <c r="G3649">
        <v>4.3999999999999997E-2</v>
      </c>
      <c r="H3649" t="s">
        <v>2221</v>
      </c>
    </row>
    <row r="3650" spans="1:8">
      <c r="A3650" t="s">
        <v>9776</v>
      </c>
      <c r="B3650" t="s">
        <v>7827</v>
      </c>
      <c r="C3650">
        <v>1</v>
      </c>
      <c r="D3650">
        <v>1</v>
      </c>
      <c r="E3650">
        <v>1</v>
      </c>
      <c r="F3650">
        <v>5300</v>
      </c>
      <c r="G3650">
        <v>3.9215999999999999E-3</v>
      </c>
      <c r="H3650" t="s">
        <v>2221</v>
      </c>
    </row>
    <row r="3651" spans="1:8">
      <c r="A3651" t="s">
        <v>1957</v>
      </c>
      <c r="B3651" t="s">
        <v>4028</v>
      </c>
      <c r="C3651">
        <v>6</v>
      </c>
      <c r="D3651">
        <v>1</v>
      </c>
      <c r="E3651">
        <v>1</v>
      </c>
      <c r="F3651">
        <v>3266.7</v>
      </c>
      <c r="G3651">
        <v>2.8765300000000001E-2</v>
      </c>
      <c r="H3651" t="s">
        <v>2221</v>
      </c>
    </row>
    <row r="3652" spans="1:8">
      <c r="A3652" t="s">
        <v>1958</v>
      </c>
      <c r="B3652" t="s">
        <v>4030</v>
      </c>
      <c r="C3652">
        <v>1</v>
      </c>
      <c r="D3652">
        <v>1</v>
      </c>
      <c r="E3652">
        <v>1</v>
      </c>
      <c r="F3652">
        <v>5200</v>
      </c>
      <c r="G3652">
        <v>3.6707999999999998E-2</v>
      </c>
      <c r="H3652" t="s">
        <v>2221</v>
      </c>
    </row>
    <row r="3653" spans="1:8">
      <c r="A3653" t="s">
        <v>9777</v>
      </c>
      <c r="B3653" t="s">
        <v>7812</v>
      </c>
      <c r="C3653">
        <v>1</v>
      </c>
      <c r="D3653">
        <v>1</v>
      </c>
      <c r="E3653">
        <v>1</v>
      </c>
      <c r="F3653">
        <v>6600</v>
      </c>
      <c r="G3653">
        <v>4.641E-2</v>
      </c>
      <c r="H3653" t="s">
        <v>2221</v>
      </c>
    </row>
    <row r="3654" spans="1:8">
      <c r="A3654" t="s">
        <v>1959</v>
      </c>
      <c r="B3654" t="s">
        <v>4033</v>
      </c>
      <c r="C3654">
        <v>6</v>
      </c>
      <c r="D3654">
        <v>1</v>
      </c>
      <c r="E3654">
        <v>1</v>
      </c>
      <c r="F3654">
        <v>2933.3</v>
      </c>
      <c r="G3654">
        <v>2.2087699999999998E-2</v>
      </c>
      <c r="H3654" t="s">
        <v>2221</v>
      </c>
    </row>
    <row r="3655" spans="1:8">
      <c r="A3655" t="s">
        <v>7851</v>
      </c>
      <c r="B3655" t="s">
        <v>7850</v>
      </c>
      <c r="C3655">
        <v>1</v>
      </c>
      <c r="D3655">
        <v>1</v>
      </c>
      <c r="E3655">
        <v>1</v>
      </c>
      <c r="F3655">
        <v>1</v>
      </c>
      <c r="G3655">
        <v>0</v>
      </c>
      <c r="H3655" t="s">
        <v>2221</v>
      </c>
    </row>
    <row r="3656" spans="1:8">
      <c r="A3656" t="s">
        <v>9778</v>
      </c>
      <c r="B3656" t="s">
        <v>7802</v>
      </c>
      <c r="C3656">
        <v>1</v>
      </c>
      <c r="D3656">
        <v>1</v>
      </c>
      <c r="E3656">
        <v>1</v>
      </c>
      <c r="F3656">
        <v>7460</v>
      </c>
      <c r="G3656">
        <v>4.5622500000000003E-2</v>
      </c>
      <c r="H3656" t="s">
        <v>2221</v>
      </c>
    </row>
    <row r="3657" spans="1:8">
      <c r="A3657" t="s">
        <v>9779</v>
      </c>
      <c r="B3657" t="s">
        <v>7807</v>
      </c>
      <c r="C3657">
        <v>6</v>
      </c>
      <c r="D3657">
        <v>1</v>
      </c>
      <c r="E3657">
        <v>1</v>
      </c>
      <c r="F3657">
        <v>1513</v>
      </c>
      <c r="G3657">
        <v>1.575E-2</v>
      </c>
      <c r="H3657" t="s">
        <v>2221</v>
      </c>
    </row>
    <row r="3658" spans="1:8">
      <c r="A3658" t="s">
        <v>4848</v>
      </c>
      <c r="B3658" t="s">
        <v>7804</v>
      </c>
      <c r="C3658">
        <v>1</v>
      </c>
      <c r="D3658">
        <v>1</v>
      </c>
      <c r="E3658">
        <v>1</v>
      </c>
      <c r="F3658">
        <v>12410</v>
      </c>
      <c r="G3658">
        <v>0.13902075</v>
      </c>
      <c r="H3658" t="s">
        <v>2221</v>
      </c>
    </row>
    <row r="3659" spans="1:8">
      <c r="A3659" t="s">
        <v>7816</v>
      </c>
      <c r="B3659" t="s">
        <v>7815</v>
      </c>
      <c r="C3659">
        <v>1</v>
      </c>
      <c r="D3659">
        <v>1</v>
      </c>
      <c r="E3659">
        <v>1</v>
      </c>
      <c r="F3659">
        <v>1</v>
      </c>
      <c r="G3659">
        <v>8.7944999999999995E-2</v>
      </c>
      <c r="H3659" t="s">
        <v>2221</v>
      </c>
    </row>
    <row r="3660" spans="1:8">
      <c r="A3660" t="s">
        <v>4850</v>
      </c>
      <c r="B3660" t="s">
        <v>7819</v>
      </c>
      <c r="C3660">
        <v>1</v>
      </c>
      <c r="D3660">
        <v>1</v>
      </c>
      <c r="E3660">
        <v>1</v>
      </c>
      <c r="F3660">
        <v>6400</v>
      </c>
      <c r="G3660">
        <v>4.2799999999999998E-2</v>
      </c>
      <c r="H3660" t="s">
        <v>2221</v>
      </c>
    </row>
    <row r="3661" spans="1:8">
      <c r="A3661" t="s">
        <v>7824</v>
      </c>
      <c r="B3661" t="s">
        <v>7823</v>
      </c>
      <c r="C3661">
        <v>1</v>
      </c>
      <c r="D3661">
        <v>1</v>
      </c>
      <c r="E3661">
        <v>1</v>
      </c>
      <c r="F3661">
        <v>1</v>
      </c>
      <c r="G3661">
        <v>0</v>
      </c>
      <c r="H3661" t="s">
        <v>2221</v>
      </c>
    </row>
    <row r="3662" spans="1:8">
      <c r="A3662" t="s">
        <v>4853</v>
      </c>
      <c r="B3662" t="s">
        <v>7820</v>
      </c>
      <c r="C3662">
        <v>20</v>
      </c>
      <c r="D3662">
        <v>1</v>
      </c>
      <c r="E3662">
        <v>1</v>
      </c>
      <c r="F3662">
        <v>377.5</v>
      </c>
      <c r="G3662">
        <v>5.4270000000000004E-3</v>
      </c>
      <c r="H3662" t="s">
        <v>2221</v>
      </c>
    </row>
    <row r="3663" spans="1:8">
      <c r="A3663" t="s">
        <v>1960</v>
      </c>
      <c r="B3663" t="s">
        <v>4034</v>
      </c>
      <c r="C3663">
        <v>30</v>
      </c>
      <c r="D3663">
        <v>1</v>
      </c>
      <c r="E3663">
        <v>1</v>
      </c>
      <c r="F3663">
        <v>305</v>
      </c>
      <c r="G3663">
        <v>3.8771000000000001E-3</v>
      </c>
      <c r="H3663" t="s">
        <v>2221</v>
      </c>
    </row>
    <row r="3664" spans="1:8">
      <c r="A3664" t="s">
        <v>7831</v>
      </c>
      <c r="B3664" t="s">
        <v>7830</v>
      </c>
      <c r="C3664">
        <v>6</v>
      </c>
      <c r="D3664">
        <v>1</v>
      </c>
      <c r="E3664">
        <v>1</v>
      </c>
      <c r="F3664">
        <v>1341.7</v>
      </c>
      <c r="G3664">
        <v>1.6244999999999999E-2</v>
      </c>
      <c r="H3664" t="s">
        <v>2221</v>
      </c>
    </row>
    <row r="3665" spans="1:8">
      <c r="A3665" t="s">
        <v>7833</v>
      </c>
      <c r="B3665" t="s">
        <v>7832</v>
      </c>
      <c r="C3665">
        <v>6</v>
      </c>
      <c r="D3665">
        <v>1</v>
      </c>
      <c r="E3665">
        <v>1</v>
      </c>
      <c r="F3665">
        <v>1558.3</v>
      </c>
      <c r="G3665">
        <v>2.0747999999999999E-2</v>
      </c>
      <c r="H3665" t="s">
        <v>2221</v>
      </c>
    </row>
    <row r="3666" spans="1:8">
      <c r="A3666" t="s">
        <v>7836</v>
      </c>
      <c r="B3666" t="s">
        <v>7835</v>
      </c>
      <c r="C3666">
        <v>1</v>
      </c>
      <c r="D3666">
        <v>1</v>
      </c>
      <c r="E3666">
        <v>1</v>
      </c>
      <c r="F3666">
        <v>6650</v>
      </c>
      <c r="G3666">
        <v>4.60635E-2</v>
      </c>
      <c r="H3666" t="s">
        <v>2221</v>
      </c>
    </row>
    <row r="3667" spans="1:8">
      <c r="A3667" t="s">
        <v>4849</v>
      </c>
      <c r="B3667" t="s">
        <v>7803</v>
      </c>
      <c r="C3667">
        <v>20</v>
      </c>
      <c r="D3667">
        <v>1</v>
      </c>
      <c r="E3667">
        <v>1</v>
      </c>
      <c r="F3667">
        <v>374.5</v>
      </c>
      <c r="G3667">
        <v>5.2649999999999997E-3</v>
      </c>
      <c r="H3667" t="s">
        <v>2221</v>
      </c>
    </row>
    <row r="3668" spans="1:8">
      <c r="A3668" t="s">
        <v>7847</v>
      </c>
      <c r="B3668" t="s">
        <v>7846</v>
      </c>
      <c r="C3668">
        <v>1</v>
      </c>
      <c r="D3668">
        <v>1</v>
      </c>
      <c r="E3668">
        <v>1</v>
      </c>
      <c r="F3668">
        <v>1</v>
      </c>
      <c r="G3668">
        <v>0</v>
      </c>
      <c r="H3668" t="s">
        <v>2221</v>
      </c>
    </row>
    <row r="3669" spans="1:8">
      <c r="A3669" t="s">
        <v>1961</v>
      </c>
      <c r="B3669" t="s">
        <v>4036</v>
      </c>
      <c r="C3669">
        <v>6</v>
      </c>
      <c r="D3669">
        <v>1</v>
      </c>
      <c r="E3669">
        <v>1</v>
      </c>
      <c r="F3669">
        <v>2933.3333333333298</v>
      </c>
      <c r="G3669">
        <v>2.20876666666667E-2</v>
      </c>
      <c r="H3669" t="s">
        <v>2221</v>
      </c>
    </row>
    <row r="3670" spans="1:8">
      <c r="A3670" t="s">
        <v>1962</v>
      </c>
      <c r="B3670" t="s">
        <v>4038</v>
      </c>
      <c r="C3670">
        <v>1</v>
      </c>
      <c r="D3670">
        <v>1</v>
      </c>
      <c r="E3670">
        <v>1</v>
      </c>
      <c r="F3670">
        <v>1950</v>
      </c>
      <c r="G3670">
        <v>2.0608000000000001E-2</v>
      </c>
      <c r="H3670" t="s">
        <v>2221</v>
      </c>
    </row>
    <row r="3671" spans="1:8">
      <c r="A3671" t="s">
        <v>1963</v>
      </c>
      <c r="B3671" t="s">
        <v>4040</v>
      </c>
      <c r="C3671">
        <v>1</v>
      </c>
      <c r="D3671">
        <v>1</v>
      </c>
      <c r="E3671">
        <v>1</v>
      </c>
      <c r="F3671">
        <v>5800</v>
      </c>
      <c r="G3671">
        <v>3.7781500000000003E-2</v>
      </c>
      <c r="H3671" t="s">
        <v>2221</v>
      </c>
    </row>
    <row r="3672" spans="1:8">
      <c r="A3672" t="s">
        <v>1964</v>
      </c>
      <c r="B3672" t="s">
        <v>4042</v>
      </c>
      <c r="C3672">
        <v>1</v>
      </c>
      <c r="D3672">
        <v>1</v>
      </c>
      <c r="E3672">
        <v>1</v>
      </c>
      <c r="F3672">
        <v>5800</v>
      </c>
      <c r="G3672">
        <v>3.7781500000000003E-2</v>
      </c>
      <c r="H3672" t="s">
        <v>2221</v>
      </c>
    </row>
    <row r="3673" spans="1:8">
      <c r="A3673" t="s">
        <v>7811</v>
      </c>
      <c r="B3673" t="s">
        <v>7810</v>
      </c>
      <c r="C3673">
        <v>1</v>
      </c>
      <c r="D3673">
        <v>1</v>
      </c>
      <c r="E3673">
        <v>1</v>
      </c>
      <c r="F3673">
        <v>1</v>
      </c>
      <c r="G3673">
        <v>0</v>
      </c>
      <c r="H3673" t="s">
        <v>2221</v>
      </c>
    </row>
    <row r="3674" spans="1:8">
      <c r="A3674" t="s">
        <v>1965</v>
      </c>
      <c r="B3674" t="s">
        <v>4043</v>
      </c>
      <c r="C3674">
        <v>1</v>
      </c>
      <c r="D3674">
        <v>1</v>
      </c>
      <c r="E3674">
        <v>1</v>
      </c>
      <c r="F3674">
        <v>0</v>
      </c>
      <c r="G3674">
        <v>0</v>
      </c>
      <c r="H3674" t="s">
        <v>2221</v>
      </c>
    </row>
    <row r="3675" spans="1:8">
      <c r="A3675" t="s">
        <v>1966</v>
      </c>
      <c r="B3675" t="s">
        <v>4045</v>
      </c>
      <c r="C3675">
        <v>1</v>
      </c>
      <c r="D3675">
        <v>1</v>
      </c>
      <c r="E3675">
        <v>1</v>
      </c>
      <c r="F3675">
        <v>0</v>
      </c>
      <c r="G3675">
        <v>0</v>
      </c>
      <c r="H3675" t="s">
        <v>2221</v>
      </c>
    </row>
    <row r="3676" spans="1:8">
      <c r="A3676" t="s">
        <v>1967</v>
      </c>
      <c r="B3676" t="s">
        <v>4046</v>
      </c>
      <c r="C3676">
        <v>1</v>
      </c>
      <c r="D3676">
        <v>1</v>
      </c>
      <c r="E3676">
        <v>1</v>
      </c>
      <c r="F3676">
        <v>0</v>
      </c>
      <c r="G3676">
        <v>0</v>
      </c>
      <c r="H3676" t="s">
        <v>2221</v>
      </c>
    </row>
    <row r="3677" spans="1:8">
      <c r="A3677" t="s">
        <v>1968</v>
      </c>
      <c r="B3677" t="s">
        <v>4047</v>
      </c>
      <c r="C3677">
        <v>1</v>
      </c>
      <c r="D3677">
        <v>1</v>
      </c>
      <c r="E3677">
        <v>1</v>
      </c>
      <c r="F3677">
        <v>0</v>
      </c>
      <c r="G3677">
        <v>0</v>
      </c>
      <c r="H3677" t="s">
        <v>2221</v>
      </c>
    </row>
    <row r="3678" spans="1:8">
      <c r="A3678" t="s">
        <v>1969</v>
      </c>
      <c r="B3678" t="s">
        <v>4048</v>
      </c>
      <c r="C3678">
        <v>1</v>
      </c>
      <c r="D3678">
        <v>1</v>
      </c>
      <c r="E3678">
        <v>1</v>
      </c>
      <c r="F3678">
        <v>23030</v>
      </c>
      <c r="G3678">
        <v>1.8559099999999999E-2</v>
      </c>
      <c r="H3678" t="s">
        <v>2303</v>
      </c>
    </row>
    <row r="3679" spans="1:8">
      <c r="A3679" t="s">
        <v>1971</v>
      </c>
      <c r="B3679" t="s">
        <v>4049</v>
      </c>
      <c r="C3679">
        <v>20</v>
      </c>
      <c r="D3679">
        <v>1</v>
      </c>
      <c r="E3679">
        <v>1</v>
      </c>
      <c r="F3679">
        <v>1165</v>
      </c>
      <c r="G3679">
        <v>2.5479999999999999E-3</v>
      </c>
      <c r="H3679" t="s">
        <v>2197</v>
      </c>
    </row>
    <row r="3680" spans="1:8">
      <c r="A3680" t="s">
        <v>1975</v>
      </c>
      <c r="B3680" t="s">
        <v>4050</v>
      </c>
      <c r="C3680">
        <v>4</v>
      </c>
      <c r="D3680">
        <v>1</v>
      </c>
      <c r="E3680">
        <v>1</v>
      </c>
      <c r="F3680">
        <v>5650</v>
      </c>
      <c r="G3680">
        <v>8.3374999999999994E-3</v>
      </c>
      <c r="H3680" t="s">
        <v>2307</v>
      </c>
    </row>
    <row r="3681" spans="1:8">
      <c r="A3681" t="s">
        <v>7855</v>
      </c>
      <c r="B3681" t="s">
        <v>7854</v>
      </c>
      <c r="C3681">
        <v>1</v>
      </c>
      <c r="D3681">
        <v>1</v>
      </c>
      <c r="E3681">
        <v>1</v>
      </c>
      <c r="F3681">
        <v>1</v>
      </c>
      <c r="G3681">
        <v>0</v>
      </c>
      <c r="H3681" t="s">
        <v>2303</v>
      </c>
    </row>
    <row r="3682" spans="1:8">
      <c r="A3682" t="s">
        <v>7857</v>
      </c>
      <c r="B3682" t="s">
        <v>7856</v>
      </c>
      <c r="C3682">
        <v>20</v>
      </c>
      <c r="D3682">
        <v>1</v>
      </c>
      <c r="E3682">
        <v>1</v>
      </c>
      <c r="F3682">
        <v>1</v>
      </c>
      <c r="G3682">
        <v>0</v>
      </c>
      <c r="H3682" t="s">
        <v>2197</v>
      </c>
    </row>
    <row r="3683" spans="1:8">
      <c r="A3683" t="s">
        <v>7853</v>
      </c>
      <c r="B3683" t="s">
        <v>7852</v>
      </c>
      <c r="C3683">
        <v>4</v>
      </c>
      <c r="D3683">
        <v>1</v>
      </c>
      <c r="E3683">
        <v>1</v>
      </c>
      <c r="F3683">
        <v>1</v>
      </c>
      <c r="G3683">
        <v>0</v>
      </c>
      <c r="H3683" t="s">
        <v>2307</v>
      </c>
    </row>
    <row r="3684" spans="1:8">
      <c r="A3684" t="s">
        <v>4856</v>
      </c>
      <c r="B3684" t="s">
        <v>7858</v>
      </c>
      <c r="C3684">
        <v>20</v>
      </c>
      <c r="D3684">
        <v>1</v>
      </c>
      <c r="E3684">
        <v>1</v>
      </c>
      <c r="F3684">
        <v>342.5</v>
      </c>
      <c r="G3684">
        <v>6.9019999999999997E-4</v>
      </c>
      <c r="H3684" t="s">
        <v>2197</v>
      </c>
    </row>
    <row r="3685" spans="1:8">
      <c r="A3685" t="s">
        <v>1976</v>
      </c>
      <c r="B3685" t="s">
        <v>4051</v>
      </c>
      <c r="C3685">
        <v>1</v>
      </c>
      <c r="D3685">
        <v>1</v>
      </c>
      <c r="E3685">
        <v>1</v>
      </c>
      <c r="F3685">
        <v>0</v>
      </c>
      <c r="G3685">
        <v>0</v>
      </c>
      <c r="H3685" t="s">
        <v>2221</v>
      </c>
    </row>
    <row r="3686" spans="1:8">
      <c r="A3686" t="s">
        <v>9177</v>
      </c>
      <c r="B3686" t="s">
        <v>9176</v>
      </c>
      <c r="C3686">
        <v>1</v>
      </c>
      <c r="D3686">
        <v>1</v>
      </c>
      <c r="E3686">
        <v>1</v>
      </c>
      <c r="F3686">
        <v>1</v>
      </c>
      <c r="G3686">
        <v>0</v>
      </c>
      <c r="H3686" t="s">
        <v>2221</v>
      </c>
    </row>
    <row r="3687" spans="1:8">
      <c r="A3687" t="s">
        <v>9181</v>
      </c>
      <c r="B3687" t="s">
        <v>9180</v>
      </c>
      <c r="C3687">
        <v>1</v>
      </c>
      <c r="D3687">
        <v>1</v>
      </c>
      <c r="E3687">
        <v>1</v>
      </c>
      <c r="F3687">
        <v>1</v>
      </c>
      <c r="G3687">
        <v>0</v>
      </c>
      <c r="H3687" t="s">
        <v>2221</v>
      </c>
    </row>
    <row r="3688" spans="1:8">
      <c r="A3688" t="s">
        <v>1977</v>
      </c>
      <c r="B3688" t="s">
        <v>4052</v>
      </c>
      <c r="C3688">
        <v>1</v>
      </c>
      <c r="D3688">
        <v>1</v>
      </c>
      <c r="E3688">
        <v>1</v>
      </c>
      <c r="F3688">
        <v>1</v>
      </c>
      <c r="G3688">
        <v>0</v>
      </c>
      <c r="H3688" t="s">
        <v>2221</v>
      </c>
    </row>
    <row r="3689" spans="1:8">
      <c r="A3689" t="s">
        <v>9179</v>
      </c>
      <c r="B3689" t="s">
        <v>9178</v>
      </c>
      <c r="C3689">
        <v>1</v>
      </c>
      <c r="D3689">
        <v>1</v>
      </c>
      <c r="E3689">
        <v>1</v>
      </c>
      <c r="F3689">
        <v>1</v>
      </c>
      <c r="G3689">
        <v>0</v>
      </c>
      <c r="H3689" t="s">
        <v>2221</v>
      </c>
    </row>
    <row r="3690" spans="1:8">
      <c r="A3690" t="s">
        <v>1978</v>
      </c>
      <c r="B3690" t="s">
        <v>4053</v>
      </c>
      <c r="C3690">
        <v>1</v>
      </c>
      <c r="D3690">
        <v>1</v>
      </c>
      <c r="E3690">
        <v>1</v>
      </c>
      <c r="F3690">
        <v>0</v>
      </c>
      <c r="G3690">
        <v>0</v>
      </c>
      <c r="H3690" t="s">
        <v>2203</v>
      </c>
    </row>
    <row r="3691" spans="1:8">
      <c r="A3691" t="s">
        <v>7869</v>
      </c>
      <c r="B3691" t="s">
        <v>7868</v>
      </c>
      <c r="C3691">
        <v>20</v>
      </c>
      <c r="D3691">
        <v>1</v>
      </c>
      <c r="E3691">
        <v>1</v>
      </c>
      <c r="F3691">
        <v>297.5</v>
      </c>
      <c r="G3691">
        <v>7.9650000000000001E-4</v>
      </c>
      <c r="H3691" t="s">
        <v>2197</v>
      </c>
    </row>
    <row r="3692" spans="1:8">
      <c r="A3692" t="s">
        <v>7867</v>
      </c>
      <c r="B3692" t="s">
        <v>7866</v>
      </c>
      <c r="C3692">
        <v>20</v>
      </c>
      <c r="D3692">
        <v>1</v>
      </c>
      <c r="E3692">
        <v>1</v>
      </c>
      <c r="F3692">
        <v>557.5</v>
      </c>
      <c r="G3692">
        <v>1.35549375E-3</v>
      </c>
      <c r="H3692" t="s">
        <v>2197</v>
      </c>
    </row>
    <row r="3693" spans="1:8">
      <c r="A3693" t="s">
        <v>1979</v>
      </c>
      <c r="B3693" t="s">
        <v>4055</v>
      </c>
      <c r="C3693">
        <v>10</v>
      </c>
      <c r="D3693">
        <v>1</v>
      </c>
      <c r="E3693">
        <v>1</v>
      </c>
      <c r="F3693">
        <v>2085</v>
      </c>
      <c r="G3693">
        <v>2.0400000000000001E-3</v>
      </c>
      <c r="H3693" t="s">
        <v>2203</v>
      </c>
    </row>
    <row r="3694" spans="1:8">
      <c r="A3694" t="s">
        <v>4858</v>
      </c>
      <c r="B3694" t="s">
        <v>7865</v>
      </c>
      <c r="C3694">
        <v>4</v>
      </c>
      <c r="D3694">
        <v>10</v>
      </c>
      <c r="E3694">
        <v>1</v>
      </c>
      <c r="F3694">
        <v>0</v>
      </c>
      <c r="G3694">
        <v>0</v>
      </c>
      <c r="H3694" t="s">
        <v>2197</v>
      </c>
    </row>
    <row r="3695" spans="1:8">
      <c r="A3695" t="s">
        <v>1980</v>
      </c>
      <c r="B3695" t="s">
        <v>4057</v>
      </c>
      <c r="C3695">
        <v>1</v>
      </c>
      <c r="D3695">
        <v>1</v>
      </c>
      <c r="E3695">
        <v>1</v>
      </c>
      <c r="F3695">
        <v>23030</v>
      </c>
      <c r="G3695">
        <v>1.8559124999999999E-2</v>
      </c>
      <c r="H3695" t="s">
        <v>2307</v>
      </c>
    </row>
    <row r="3696" spans="1:8">
      <c r="A3696" t="s">
        <v>1981</v>
      </c>
      <c r="B3696" t="s">
        <v>4059</v>
      </c>
      <c r="C3696">
        <v>20</v>
      </c>
      <c r="D3696">
        <v>1</v>
      </c>
      <c r="E3696">
        <v>1</v>
      </c>
      <c r="F3696">
        <v>1331.5</v>
      </c>
      <c r="G3696">
        <v>2.3E-3</v>
      </c>
      <c r="H3696" t="s">
        <v>2197</v>
      </c>
    </row>
    <row r="3697" spans="1:8">
      <c r="A3697" t="s">
        <v>1982</v>
      </c>
      <c r="B3697" t="s">
        <v>4060</v>
      </c>
      <c r="C3697">
        <v>4</v>
      </c>
      <c r="D3697">
        <v>1</v>
      </c>
      <c r="E3697">
        <v>1</v>
      </c>
      <c r="F3697">
        <v>5882.5</v>
      </c>
      <c r="G3697">
        <v>8.1562500000000003E-3</v>
      </c>
      <c r="H3697" t="s">
        <v>2197</v>
      </c>
    </row>
    <row r="3698" spans="1:8">
      <c r="A3698" t="s">
        <v>7864</v>
      </c>
      <c r="B3698" t="s">
        <v>7863</v>
      </c>
      <c r="C3698">
        <v>15</v>
      </c>
      <c r="D3698">
        <v>1</v>
      </c>
      <c r="E3698">
        <v>1</v>
      </c>
      <c r="F3698">
        <v>1449.3333333333301</v>
      </c>
      <c r="G3698">
        <v>2.5317333333333301E-3</v>
      </c>
      <c r="H3698" t="s">
        <v>2197</v>
      </c>
    </row>
    <row r="3699" spans="1:8">
      <c r="A3699" t="s">
        <v>4857</v>
      </c>
      <c r="B3699" t="s">
        <v>7862</v>
      </c>
      <c r="C3699">
        <v>20</v>
      </c>
      <c r="D3699">
        <v>1</v>
      </c>
      <c r="E3699">
        <v>1</v>
      </c>
      <c r="F3699">
        <v>740.5</v>
      </c>
      <c r="G3699">
        <v>1.14E-3</v>
      </c>
      <c r="H3699" t="s">
        <v>2197</v>
      </c>
    </row>
    <row r="3700" spans="1:8">
      <c r="A3700" t="s">
        <v>4859</v>
      </c>
      <c r="B3700" t="s">
        <v>7859</v>
      </c>
      <c r="C3700">
        <v>4</v>
      </c>
      <c r="D3700">
        <v>10</v>
      </c>
      <c r="E3700">
        <v>1</v>
      </c>
      <c r="F3700">
        <v>152.25</v>
      </c>
      <c r="G3700">
        <v>1.18235E-3</v>
      </c>
      <c r="H3700" t="s">
        <v>2203</v>
      </c>
    </row>
    <row r="3701" spans="1:8">
      <c r="A3701" t="s">
        <v>1983</v>
      </c>
      <c r="B3701" t="s">
        <v>4061</v>
      </c>
      <c r="C3701">
        <v>40</v>
      </c>
      <c r="D3701">
        <v>1</v>
      </c>
      <c r="E3701">
        <v>1</v>
      </c>
      <c r="F3701">
        <v>570</v>
      </c>
      <c r="G3701">
        <v>1.2074500000000001E-3</v>
      </c>
      <c r="H3701" t="s">
        <v>2197</v>
      </c>
    </row>
    <row r="3702" spans="1:8">
      <c r="A3702" t="s">
        <v>7861</v>
      </c>
      <c r="B3702" t="s">
        <v>7860</v>
      </c>
      <c r="C3702">
        <v>1</v>
      </c>
      <c r="D3702">
        <v>1</v>
      </c>
      <c r="E3702">
        <v>1</v>
      </c>
      <c r="F3702">
        <v>152.25</v>
      </c>
      <c r="G3702">
        <v>1.18235E-3</v>
      </c>
      <c r="H3702" t="s">
        <v>2221</v>
      </c>
    </row>
    <row r="3703" spans="1:8">
      <c r="A3703" t="s">
        <v>1984</v>
      </c>
      <c r="B3703" t="s">
        <v>4063</v>
      </c>
      <c r="C3703">
        <v>1</v>
      </c>
      <c r="D3703">
        <v>1</v>
      </c>
      <c r="E3703">
        <v>1</v>
      </c>
      <c r="F3703">
        <v>152.25</v>
      </c>
      <c r="G3703">
        <v>1.18235E-3</v>
      </c>
      <c r="H3703" t="s">
        <v>2221</v>
      </c>
    </row>
    <row r="3704" spans="1:8">
      <c r="A3704" t="s">
        <v>7871</v>
      </c>
      <c r="B3704" t="s">
        <v>7870</v>
      </c>
      <c r="C3704">
        <v>20</v>
      </c>
      <c r="D3704">
        <v>1</v>
      </c>
      <c r="E3704">
        <v>1</v>
      </c>
      <c r="F3704">
        <v>567.5</v>
      </c>
      <c r="G3704">
        <v>1.3192E-3</v>
      </c>
      <c r="H3704" t="s">
        <v>2197</v>
      </c>
    </row>
    <row r="3705" spans="1:8">
      <c r="A3705" t="s">
        <v>9780</v>
      </c>
      <c r="B3705" t="s">
        <v>7875</v>
      </c>
      <c r="C3705">
        <v>100</v>
      </c>
      <c r="D3705">
        <v>1</v>
      </c>
      <c r="E3705">
        <v>1</v>
      </c>
      <c r="F3705">
        <v>132</v>
      </c>
      <c r="G3705">
        <v>4.8509999999999997E-4</v>
      </c>
      <c r="H3705" t="s">
        <v>2197</v>
      </c>
    </row>
    <row r="3706" spans="1:8">
      <c r="A3706" t="s">
        <v>9781</v>
      </c>
      <c r="B3706" t="s">
        <v>7873</v>
      </c>
      <c r="C3706">
        <v>20</v>
      </c>
      <c r="D3706">
        <v>1</v>
      </c>
      <c r="E3706">
        <v>1</v>
      </c>
      <c r="F3706">
        <v>1200</v>
      </c>
      <c r="G3706">
        <v>2.5000000000000001E-3</v>
      </c>
      <c r="H3706" t="s">
        <v>2197</v>
      </c>
    </row>
    <row r="3707" spans="1:8">
      <c r="A3707" t="s">
        <v>9782</v>
      </c>
      <c r="B3707" t="s">
        <v>7872</v>
      </c>
      <c r="C3707">
        <v>20</v>
      </c>
      <c r="D3707">
        <v>1</v>
      </c>
      <c r="E3707">
        <v>1</v>
      </c>
      <c r="F3707">
        <v>500</v>
      </c>
      <c r="G3707">
        <v>1.1856E-3</v>
      </c>
      <c r="H3707" t="s">
        <v>2197</v>
      </c>
    </row>
    <row r="3708" spans="1:8">
      <c r="A3708" t="s">
        <v>9783</v>
      </c>
      <c r="B3708" t="s">
        <v>7874</v>
      </c>
      <c r="C3708">
        <v>40</v>
      </c>
      <c r="D3708">
        <v>1</v>
      </c>
      <c r="E3708">
        <v>1</v>
      </c>
      <c r="F3708">
        <v>320</v>
      </c>
      <c r="G3708">
        <v>6.7575000000000003E-4</v>
      </c>
      <c r="H3708" t="s">
        <v>2197</v>
      </c>
    </row>
    <row r="3709" spans="1:8">
      <c r="A3709" t="s">
        <v>1985</v>
      </c>
      <c r="B3709" t="s">
        <v>4065</v>
      </c>
      <c r="C3709">
        <v>5</v>
      </c>
      <c r="D3709">
        <v>10</v>
      </c>
      <c r="E3709">
        <v>1</v>
      </c>
      <c r="F3709">
        <v>124</v>
      </c>
      <c r="G3709">
        <v>7.3700000000000002E-4</v>
      </c>
      <c r="H3709" t="s">
        <v>2203</v>
      </c>
    </row>
    <row r="3710" spans="1:8">
      <c r="A3710" t="s">
        <v>1986</v>
      </c>
      <c r="B3710" t="s">
        <v>4066</v>
      </c>
      <c r="C3710">
        <v>5</v>
      </c>
      <c r="D3710">
        <v>40</v>
      </c>
      <c r="E3710">
        <v>1</v>
      </c>
      <c r="F3710">
        <v>33</v>
      </c>
      <c r="G3710">
        <v>1.574E-4</v>
      </c>
      <c r="H3710" t="s">
        <v>2203</v>
      </c>
    </row>
    <row r="3711" spans="1:8">
      <c r="A3711" t="s">
        <v>7877</v>
      </c>
      <c r="B3711" t="s">
        <v>7876</v>
      </c>
      <c r="C3711">
        <v>20</v>
      </c>
      <c r="D3711">
        <v>1</v>
      </c>
      <c r="E3711">
        <v>1</v>
      </c>
      <c r="F3711">
        <v>500</v>
      </c>
      <c r="G3711">
        <v>0</v>
      </c>
      <c r="H3711" t="s">
        <v>2197</v>
      </c>
    </row>
    <row r="3712" spans="1:8">
      <c r="A3712" t="s">
        <v>7881</v>
      </c>
      <c r="B3712" t="s">
        <v>7880</v>
      </c>
      <c r="C3712">
        <v>40</v>
      </c>
      <c r="D3712">
        <v>1</v>
      </c>
      <c r="E3712">
        <v>1</v>
      </c>
      <c r="F3712">
        <v>305</v>
      </c>
      <c r="G3712">
        <v>7.0819999999999998E-4</v>
      </c>
      <c r="H3712" t="s">
        <v>2197</v>
      </c>
    </row>
    <row r="3713" spans="1:8">
      <c r="A3713" t="s">
        <v>7879</v>
      </c>
      <c r="B3713" t="s">
        <v>7878</v>
      </c>
      <c r="C3713">
        <v>50</v>
      </c>
      <c r="D3713">
        <v>1</v>
      </c>
      <c r="E3713">
        <v>1</v>
      </c>
      <c r="F3713">
        <v>126</v>
      </c>
      <c r="G3713">
        <v>3.7639999999999999E-4</v>
      </c>
      <c r="H3713" t="s">
        <v>2197</v>
      </c>
    </row>
    <row r="3714" spans="1:8">
      <c r="A3714" t="s">
        <v>7894</v>
      </c>
      <c r="B3714" t="s">
        <v>7893</v>
      </c>
      <c r="C3714">
        <v>50</v>
      </c>
      <c r="D3714">
        <v>20</v>
      </c>
      <c r="E3714">
        <v>1</v>
      </c>
      <c r="F3714">
        <v>8.9</v>
      </c>
      <c r="G3714" s="4">
        <v>4.5399999999999999E-5</v>
      </c>
      <c r="H3714" t="s">
        <v>3969</v>
      </c>
    </row>
    <row r="3715" spans="1:8">
      <c r="A3715" t="s">
        <v>4860</v>
      </c>
      <c r="B3715" t="s">
        <v>7882</v>
      </c>
      <c r="C3715">
        <v>100</v>
      </c>
      <c r="D3715">
        <v>1</v>
      </c>
      <c r="E3715">
        <v>1</v>
      </c>
      <c r="F3715">
        <v>0</v>
      </c>
      <c r="G3715">
        <v>0</v>
      </c>
      <c r="H3715" t="s">
        <v>2197</v>
      </c>
    </row>
    <row r="3716" spans="1:8">
      <c r="A3716" t="s">
        <v>4861</v>
      </c>
      <c r="B3716" t="s">
        <v>7883</v>
      </c>
      <c r="C3716">
        <v>50</v>
      </c>
      <c r="D3716">
        <v>1</v>
      </c>
      <c r="E3716">
        <v>1</v>
      </c>
      <c r="F3716">
        <v>178</v>
      </c>
      <c r="G3716">
        <v>4.3965250000000002E-4</v>
      </c>
      <c r="H3716" t="s">
        <v>2197</v>
      </c>
    </row>
    <row r="3717" spans="1:8">
      <c r="A3717" t="s">
        <v>4862</v>
      </c>
      <c r="B3717" t="s">
        <v>7884</v>
      </c>
      <c r="C3717">
        <v>50</v>
      </c>
      <c r="D3717">
        <v>1</v>
      </c>
      <c r="E3717">
        <v>1</v>
      </c>
      <c r="F3717">
        <v>254.4</v>
      </c>
      <c r="G3717">
        <v>4.7052500000000001E-4</v>
      </c>
      <c r="H3717" t="s">
        <v>2197</v>
      </c>
    </row>
    <row r="3718" spans="1:8">
      <c r="A3718" t="s">
        <v>9784</v>
      </c>
      <c r="B3718" t="s">
        <v>7887</v>
      </c>
      <c r="C3718">
        <v>1</v>
      </c>
      <c r="D3718">
        <v>1</v>
      </c>
      <c r="E3718">
        <v>1</v>
      </c>
      <c r="F3718">
        <v>25560</v>
      </c>
      <c r="G3718">
        <v>3.168E-2</v>
      </c>
      <c r="H3718" t="s">
        <v>2994</v>
      </c>
    </row>
    <row r="3719" spans="1:8">
      <c r="A3719" t="s">
        <v>4863</v>
      </c>
      <c r="B3719" t="s">
        <v>7890</v>
      </c>
      <c r="C3719">
        <v>20</v>
      </c>
      <c r="D3719">
        <v>1</v>
      </c>
      <c r="E3719">
        <v>1</v>
      </c>
      <c r="F3719">
        <v>1237.5</v>
      </c>
      <c r="G3719">
        <v>2.5200000000000001E-3</v>
      </c>
      <c r="H3719" t="s">
        <v>2197</v>
      </c>
    </row>
    <row r="3720" spans="1:8">
      <c r="A3720" t="s">
        <v>7892</v>
      </c>
      <c r="B3720" t="s">
        <v>7891</v>
      </c>
      <c r="C3720">
        <v>20</v>
      </c>
      <c r="D3720">
        <v>1</v>
      </c>
      <c r="E3720">
        <v>1</v>
      </c>
      <c r="F3720">
        <v>672.5</v>
      </c>
      <c r="G3720">
        <v>1.32E-3</v>
      </c>
      <c r="H3720" t="s">
        <v>2197</v>
      </c>
    </row>
    <row r="3721" spans="1:8">
      <c r="A3721" t="s">
        <v>7889</v>
      </c>
      <c r="B3721" t="s">
        <v>7888</v>
      </c>
      <c r="C3721">
        <v>24</v>
      </c>
      <c r="D3721">
        <v>1</v>
      </c>
      <c r="E3721">
        <v>1</v>
      </c>
      <c r="F3721">
        <v>645.83000000000004</v>
      </c>
      <c r="G3721">
        <v>1.2601875E-3</v>
      </c>
      <c r="H3721" t="s">
        <v>2197</v>
      </c>
    </row>
    <row r="3722" spans="1:8">
      <c r="A3722" t="s">
        <v>7886</v>
      </c>
      <c r="B3722" t="s">
        <v>7885</v>
      </c>
      <c r="C3722">
        <v>4</v>
      </c>
      <c r="D3722">
        <v>10</v>
      </c>
      <c r="E3722">
        <v>1</v>
      </c>
      <c r="F3722">
        <v>135</v>
      </c>
      <c r="G3722">
        <v>5.8279999999999996E-4</v>
      </c>
      <c r="H3722" t="s">
        <v>2197</v>
      </c>
    </row>
    <row r="3723" spans="1:8">
      <c r="A3723" t="s">
        <v>4864</v>
      </c>
      <c r="B3723" t="s">
        <v>7895</v>
      </c>
      <c r="C3723">
        <v>1</v>
      </c>
      <c r="D3723">
        <v>1</v>
      </c>
      <c r="E3723">
        <v>1</v>
      </c>
      <c r="F3723">
        <v>23030</v>
      </c>
      <c r="G3723">
        <v>1.8559099999999999E-2</v>
      </c>
      <c r="H3723" t="s">
        <v>2303</v>
      </c>
    </row>
    <row r="3724" spans="1:8">
      <c r="A3724" t="s">
        <v>7897</v>
      </c>
      <c r="B3724" t="s">
        <v>7896</v>
      </c>
      <c r="C3724">
        <v>20</v>
      </c>
      <c r="D3724">
        <v>1</v>
      </c>
      <c r="E3724">
        <v>1</v>
      </c>
      <c r="F3724">
        <v>1235</v>
      </c>
      <c r="G3724">
        <v>2.2464E-3</v>
      </c>
      <c r="H3724" t="s">
        <v>2197</v>
      </c>
    </row>
    <row r="3725" spans="1:8">
      <c r="A3725" t="s">
        <v>9183</v>
      </c>
      <c r="B3725" t="s">
        <v>9182</v>
      </c>
      <c r="C3725">
        <v>1</v>
      </c>
      <c r="D3725">
        <v>1</v>
      </c>
      <c r="E3725">
        <v>1</v>
      </c>
      <c r="F3725">
        <v>1</v>
      </c>
      <c r="G3725">
        <v>0</v>
      </c>
      <c r="H3725" t="s">
        <v>2221</v>
      </c>
    </row>
    <row r="3726" spans="1:8">
      <c r="A3726" t="s">
        <v>9185</v>
      </c>
      <c r="B3726" t="s">
        <v>9184</v>
      </c>
      <c r="C3726">
        <v>1</v>
      </c>
      <c r="D3726">
        <v>1</v>
      </c>
      <c r="E3726">
        <v>1</v>
      </c>
      <c r="F3726">
        <v>1</v>
      </c>
      <c r="G3726">
        <v>0</v>
      </c>
      <c r="H3726" t="s">
        <v>2221</v>
      </c>
    </row>
    <row r="3727" spans="1:8">
      <c r="A3727" t="s">
        <v>4865</v>
      </c>
      <c r="B3727" t="s">
        <v>7898</v>
      </c>
      <c r="C3727">
        <v>40</v>
      </c>
      <c r="D3727">
        <v>1</v>
      </c>
      <c r="E3727">
        <v>1</v>
      </c>
      <c r="F3727">
        <v>0</v>
      </c>
      <c r="G3727">
        <v>0</v>
      </c>
      <c r="H3727" t="s">
        <v>2203</v>
      </c>
    </row>
    <row r="3728" spans="1:8">
      <c r="A3728" t="s">
        <v>1987</v>
      </c>
      <c r="B3728" t="s">
        <v>4067</v>
      </c>
      <c r="C3728">
        <v>20</v>
      </c>
      <c r="D3728">
        <v>20</v>
      </c>
      <c r="E3728">
        <v>1</v>
      </c>
      <c r="F3728">
        <v>32.799999999999997</v>
      </c>
      <c r="G3728">
        <v>1.6200000000000001E-4</v>
      </c>
      <c r="H3728" t="s">
        <v>2203</v>
      </c>
    </row>
    <row r="3729" spans="1:8">
      <c r="A3729" t="s">
        <v>1989</v>
      </c>
      <c r="B3729" t="s">
        <v>4069</v>
      </c>
      <c r="C3729">
        <v>100</v>
      </c>
      <c r="D3729">
        <v>1</v>
      </c>
      <c r="E3729">
        <v>1</v>
      </c>
      <c r="F3729">
        <v>58</v>
      </c>
      <c r="G3729">
        <v>3.0059999999999999E-4</v>
      </c>
      <c r="H3729" t="s">
        <v>2203</v>
      </c>
    </row>
    <row r="3730" spans="1:8">
      <c r="A3730" t="s">
        <v>1991</v>
      </c>
      <c r="B3730" t="s">
        <v>4071</v>
      </c>
      <c r="C3730">
        <v>50</v>
      </c>
      <c r="D3730">
        <v>1</v>
      </c>
      <c r="E3730">
        <v>1</v>
      </c>
      <c r="F3730">
        <v>114</v>
      </c>
      <c r="G3730">
        <v>4.5970000000000001E-4</v>
      </c>
      <c r="H3730" t="s">
        <v>2197</v>
      </c>
    </row>
    <row r="3731" spans="1:8">
      <c r="A3731" t="s">
        <v>1992</v>
      </c>
      <c r="B3731" t="s">
        <v>4072</v>
      </c>
      <c r="C3731">
        <v>75</v>
      </c>
      <c r="D3731">
        <v>1</v>
      </c>
      <c r="E3731">
        <v>1</v>
      </c>
      <c r="F3731">
        <v>110.7</v>
      </c>
      <c r="G3731">
        <v>4.0069999999999998E-4</v>
      </c>
      <c r="H3731" t="s">
        <v>2203</v>
      </c>
    </row>
    <row r="3732" spans="1:8">
      <c r="A3732" t="s">
        <v>1993</v>
      </c>
      <c r="B3732" t="s">
        <v>4073</v>
      </c>
      <c r="C3732">
        <v>32</v>
      </c>
      <c r="D3732">
        <v>1</v>
      </c>
      <c r="E3732">
        <v>1</v>
      </c>
      <c r="F3732">
        <v>656.3</v>
      </c>
      <c r="G3732">
        <v>1.6566E-3</v>
      </c>
      <c r="H3732" t="s">
        <v>2197</v>
      </c>
    </row>
    <row r="3733" spans="1:8">
      <c r="A3733" t="s">
        <v>1996</v>
      </c>
      <c r="B3733" t="s">
        <v>4075</v>
      </c>
      <c r="C3733">
        <v>40</v>
      </c>
      <c r="D3733">
        <v>1</v>
      </c>
      <c r="E3733">
        <v>1</v>
      </c>
      <c r="F3733">
        <v>305</v>
      </c>
      <c r="G3733">
        <v>9.1E-4</v>
      </c>
      <c r="H3733" t="s">
        <v>2197</v>
      </c>
    </row>
    <row r="3734" spans="1:8">
      <c r="A3734" t="s">
        <v>4867</v>
      </c>
      <c r="B3734" t="s">
        <v>7904</v>
      </c>
      <c r="C3734">
        <v>10</v>
      </c>
      <c r="D3734">
        <v>1</v>
      </c>
      <c r="E3734">
        <v>1</v>
      </c>
      <c r="F3734">
        <v>0</v>
      </c>
      <c r="G3734">
        <v>0</v>
      </c>
      <c r="H3734" t="s">
        <v>2197</v>
      </c>
    </row>
    <row r="3735" spans="1:8">
      <c r="A3735" t="s">
        <v>7903</v>
      </c>
      <c r="B3735" t="s">
        <v>7902</v>
      </c>
      <c r="C3735">
        <v>20</v>
      </c>
      <c r="D3735">
        <v>1</v>
      </c>
      <c r="E3735">
        <v>1</v>
      </c>
      <c r="F3735">
        <v>0</v>
      </c>
      <c r="G3735">
        <v>0</v>
      </c>
      <c r="H3735" t="s">
        <v>2197</v>
      </c>
    </row>
    <row r="3736" spans="1:8">
      <c r="A3736" t="s">
        <v>7900</v>
      </c>
      <c r="B3736" t="s">
        <v>7899</v>
      </c>
      <c r="C3736">
        <v>50</v>
      </c>
      <c r="D3736">
        <v>1</v>
      </c>
      <c r="E3736">
        <v>1</v>
      </c>
      <c r="F3736">
        <v>0</v>
      </c>
      <c r="G3736">
        <v>3.1670999999999999E-4</v>
      </c>
      <c r="H3736" t="s">
        <v>2197</v>
      </c>
    </row>
    <row r="3737" spans="1:8">
      <c r="A3737" t="s">
        <v>4866</v>
      </c>
      <c r="B3737" t="s">
        <v>7901</v>
      </c>
      <c r="C3737">
        <v>50</v>
      </c>
      <c r="D3737">
        <v>1</v>
      </c>
      <c r="E3737">
        <v>1</v>
      </c>
      <c r="F3737">
        <v>0</v>
      </c>
      <c r="G3737">
        <v>0</v>
      </c>
      <c r="H3737" t="s">
        <v>2197</v>
      </c>
    </row>
    <row r="3738" spans="1:8">
      <c r="A3738" t="s">
        <v>9187</v>
      </c>
      <c r="B3738" t="s">
        <v>9186</v>
      </c>
      <c r="C3738">
        <v>1</v>
      </c>
      <c r="D3738">
        <v>1</v>
      </c>
      <c r="E3738">
        <v>1</v>
      </c>
      <c r="F3738">
        <v>1</v>
      </c>
      <c r="G3738">
        <v>0</v>
      </c>
      <c r="H3738" t="s">
        <v>2221</v>
      </c>
    </row>
    <row r="3739" spans="1:8">
      <c r="A3739" t="s">
        <v>1998</v>
      </c>
      <c r="B3739" t="s">
        <v>4076</v>
      </c>
      <c r="C3739">
        <v>1</v>
      </c>
      <c r="D3739">
        <v>1</v>
      </c>
      <c r="E3739">
        <v>1</v>
      </c>
      <c r="F3739">
        <v>1</v>
      </c>
      <c r="G3739">
        <v>0</v>
      </c>
      <c r="H3739" t="s">
        <v>2221</v>
      </c>
    </row>
    <row r="3740" spans="1:8">
      <c r="A3740" t="s">
        <v>7906</v>
      </c>
      <c r="B3740" t="s">
        <v>7905</v>
      </c>
      <c r="C3740">
        <v>1</v>
      </c>
      <c r="D3740">
        <v>1</v>
      </c>
      <c r="E3740">
        <v>1</v>
      </c>
      <c r="F3740">
        <v>1</v>
      </c>
      <c r="G3740">
        <v>0</v>
      </c>
      <c r="H3740" t="s">
        <v>2221</v>
      </c>
    </row>
    <row r="3741" spans="1:8">
      <c r="A3741" t="s">
        <v>7910</v>
      </c>
      <c r="B3741" t="s">
        <v>7909</v>
      </c>
      <c r="C3741">
        <v>40</v>
      </c>
      <c r="D3741">
        <v>1</v>
      </c>
      <c r="E3741">
        <v>1</v>
      </c>
      <c r="F3741">
        <v>0</v>
      </c>
      <c r="G3741">
        <v>0</v>
      </c>
      <c r="H3741" t="s">
        <v>2203</v>
      </c>
    </row>
    <row r="3742" spans="1:8">
      <c r="A3742" t="s">
        <v>7908</v>
      </c>
      <c r="B3742" t="s">
        <v>7907</v>
      </c>
      <c r="C3742">
        <v>50</v>
      </c>
      <c r="D3742">
        <v>1</v>
      </c>
      <c r="E3742">
        <v>1</v>
      </c>
      <c r="F3742">
        <v>0</v>
      </c>
      <c r="G3742">
        <v>0</v>
      </c>
      <c r="H3742" t="s">
        <v>2203</v>
      </c>
    </row>
    <row r="3743" spans="1:8">
      <c r="A3743" t="s">
        <v>7916</v>
      </c>
      <c r="B3743" t="s">
        <v>7915</v>
      </c>
      <c r="C3743">
        <v>20</v>
      </c>
      <c r="D3743">
        <v>1</v>
      </c>
      <c r="E3743">
        <v>1</v>
      </c>
      <c r="F3743">
        <v>0</v>
      </c>
      <c r="G3743">
        <v>0</v>
      </c>
      <c r="H3743" t="s">
        <v>2197</v>
      </c>
    </row>
    <row r="3744" spans="1:8">
      <c r="A3744" t="s">
        <v>7914</v>
      </c>
      <c r="B3744" t="s">
        <v>7913</v>
      </c>
      <c r="C3744">
        <v>20</v>
      </c>
      <c r="D3744">
        <v>1</v>
      </c>
      <c r="E3744">
        <v>1</v>
      </c>
      <c r="F3744">
        <v>0</v>
      </c>
      <c r="G3744">
        <v>0</v>
      </c>
      <c r="H3744" t="s">
        <v>2197</v>
      </c>
    </row>
    <row r="3745" spans="1:8">
      <c r="A3745" t="s">
        <v>7912</v>
      </c>
      <c r="B3745" t="s">
        <v>7911</v>
      </c>
      <c r="C3745">
        <v>50</v>
      </c>
      <c r="D3745">
        <v>1</v>
      </c>
      <c r="E3745">
        <v>1</v>
      </c>
      <c r="F3745">
        <v>0</v>
      </c>
      <c r="G3745">
        <v>0</v>
      </c>
      <c r="H3745" t="s">
        <v>2197</v>
      </c>
    </row>
    <row r="3746" spans="1:8">
      <c r="A3746" t="s">
        <v>4868</v>
      </c>
      <c r="B3746" t="s">
        <v>7917</v>
      </c>
      <c r="C3746">
        <v>20</v>
      </c>
      <c r="D3746">
        <v>1</v>
      </c>
      <c r="E3746">
        <v>1</v>
      </c>
      <c r="F3746">
        <v>105</v>
      </c>
      <c r="G3746">
        <v>5.4600000000000004E-4</v>
      </c>
      <c r="H3746" t="s">
        <v>2203</v>
      </c>
    </row>
    <row r="3747" spans="1:8">
      <c r="A3747" t="s">
        <v>7919</v>
      </c>
      <c r="B3747" t="s">
        <v>7918</v>
      </c>
      <c r="C3747">
        <v>48</v>
      </c>
      <c r="D3747">
        <v>1</v>
      </c>
      <c r="E3747">
        <v>1</v>
      </c>
      <c r="F3747">
        <v>301.45833333333297</v>
      </c>
      <c r="G3747">
        <v>6.6470833333333302E-4</v>
      </c>
      <c r="H3747" t="s">
        <v>2197</v>
      </c>
    </row>
    <row r="3748" spans="1:8">
      <c r="A3748" t="s">
        <v>7923</v>
      </c>
      <c r="B3748" t="s">
        <v>7922</v>
      </c>
      <c r="C3748">
        <v>1</v>
      </c>
      <c r="D3748">
        <v>1</v>
      </c>
      <c r="E3748">
        <v>1</v>
      </c>
      <c r="F3748">
        <v>301.45833333333297</v>
      </c>
      <c r="G3748">
        <v>6.6470833333333302E-4</v>
      </c>
      <c r="H3748" t="s">
        <v>2493</v>
      </c>
    </row>
    <row r="3749" spans="1:8">
      <c r="A3749" t="s">
        <v>2000</v>
      </c>
      <c r="B3749" t="s">
        <v>4079</v>
      </c>
      <c r="C3749">
        <v>1</v>
      </c>
      <c r="D3749">
        <v>1</v>
      </c>
      <c r="E3749">
        <v>1</v>
      </c>
      <c r="F3749">
        <v>1</v>
      </c>
      <c r="G3749">
        <v>0</v>
      </c>
      <c r="H3749" t="s">
        <v>2221</v>
      </c>
    </row>
    <row r="3750" spans="1:8">
      <c r="A3750" t="s">
        <v>2001</v>
      </c>
      <c r="B3750" t="s">
        <v>4080</v>
      </c>
      <c r="C3750">
        <v>40</v>
      </c>
      <c r="D3750">
        <v>1</v>
      </c>
      <c r="E3750">
        <v>1</v>
      </c>
      <c r="F3750">
        <v>596.29999999999995</v>
      </c>
      <c r="G3750">
        <v>1.4624E-3</v>
      </c>
      <c r="H3750" t="s">
        <v>4081</v>
      </c>
    </row>
    <row r="3751" spans="1:8">
      <c r="A3751" t="s">
        <v>2002</v>
      </c>
      <c r="B3751" t="s">
        <v>4083</v>
      </c>
      <c r="C3751">
        <v>1</v>
      </c>
      <c r="D3751">
        <v>1</v>
      </c>
      <c r="E3751">
        <v>1</v>
      </c>
      <c r="F3751">
        <v>1</v>
      </c>
      <c r="G3751">
        <v>0</v>
      </c>
      <c r="H3751" t="s">
        <v>2221</v>
      </c>
    </row>
    <row r="3752" spans="1:8">
      <c r="A3752" t="s">
        <v>7921</v>
      </c>
      <c r="B3752" t="s">
        <v>7920</v>
      </c>
      <c r="C3752">
        <v>1</v>
      </c>
      <c r="D3752">
        <v>1</v>
      </c>
      <c r="E3752">
        <v>1</v>
      </c>
      <c r="F3752">
        <v>0</v>
      </c>
      <c r="G3752">
        <v>0</v>
      </c>
      <c r="H3752" t="s">
        <v>2221</v>
      </c>
    </row>
    <row r="3753" spans="1:8">
      <c r="A3753" t="s">
        <v>2003</v>
      </c>
      <c r="B3753" t="s">
        <v>4084</v>
      </c>
      <c r="C3753">
        <v>1</v>
      </c>
      <c r="D3753">
        <v>1</v>
      </c>
      <c r="E3753">
        <v>1</v>
      </c>
      <c r="F3753">
        <v>0</v>
      </c>
      <c r="G3753">
        <v>0</v>
      </c>
      <c r="H3753" t="s">
        <v>2221</v>
      </c>
    </row>
    <row r="3754" spans="1:8">
      <c r="A3754" t="s">
        <v>2004</v>
      </c>
      <c r="B3754" t="s">
        <v>4085</v>
      </c>
      <c r="C3754">
        <v>1</v>
      </c>
      <c r="D3754">
        <v>1</v>
      </c>
      <c r="E3754">
        <v>1</v>
      </c>
      <c r="F3754">
        <v>0</v>
      </c>
      <c r="G3754">
        <v>0</v>
      </c>
      <c r="H3754" t="s">
        <v>2221</v>
      </c>
    </row>
    <row r="3755" spans="1:8">
      <c r="A3755" t="s">
        <v>2005</v>
      </c>
      <c r="B3755" t="s">
        <v>4086</v>
      </c>
      <c r="C3755">
        <v>15</v>
      </c>
      <c r="D3755">
        <v>1</v>
      </c>
      <c r="E3755">
        <v>1</v>
      </c>
      <c r="F3755">
        <v>650</v>
      </c>
      <c r="G3755">
        <v>2.86646666666667E-3</v>
      </c>
      <c r="H3755" t="s">
        <v>2994</v>
      </c>
    </row>
    <row r="3756" spans="1:8">
      <c r="A3756" t="s">
        <v>2006</v>
      </c>
      <c r="B3756" t="s">
        <v>4088</v>
      </c>
      <c r="C3756">
        <v>28</v>
      </c>
      <c r="D3756">
        <v>1</v>
      </c>
      <c r="E3756">
        <v>1</v>
      </c>
      <c r="F3756">
        <v>440.4</v>
      </c>
      <c r="G3756">
        <v>1.1314285714285699E-3</v>
      </c>
      <c r="H3756" t="s">
        <v>2994</v>
      </c>
    </row>
    <row r="3757" spans="1:8">
      <c r="A3757" t="s">
        <v>2007</v>
      </c>
      <c r="B3757" t="s">
        <v>4089</v>
      </c>
      <c r="C3757">
        <v>1</v>
      </c>
      <c r="D3757">
        <v>1</v>
      </c>
      <c r="E3757">
        <v>1</v>
      </c>
      <c r="F3757">
        <v>1020</v>
      </c>
      <c r="G3757">
        <v>1.7136E-3</v>
      </c>
      <c r="H3757" t="s">
        <v>2493</v>
      </c>
    </row>
    <row r="3758" spans="1:8">
      <c r="A3758" t="s">
        <v>4869</v>
      </c>
      <c r="B3758" t="s">
        <v>7924</v>
      </c>
      <c r="C3758">
        <v>20</v>
      </c>
      <c r="D3758">
        <v>1</v>
      </c>
      <c r="E3758">
        <v>1</v>
      </c>
      <c r="F3758">
        <v>0</v>
      </c>
      <c r="G3758">
        <v>0</v>
      </c>
      <c r="H3758" t="s">
        <v>2197</v>
      </c>
    </row>
    <row r="3759" spans="1:8">
      <c r="A3759" t="s">
        <v>2008</v>
      </c>
      <c r="B3759" t="s">
        <v>4090</v>
      </c>
      <c r="C3759">
        <v>40</v>
      </c>
      <c r="D3759">
        <v>1</v>
      </c>
      <c r="E3759">
        <v>1</v>
      </c>
      <c r="F3759">
        <v>150</v>
      </c>
      <c r="G3759">
        <v>4.0920000000000003E-4</v>
      </c>
      <c r="H3759" t="s">
        <v>2197</v>
      </c>
    </row>
    <row r="3760" spans="1:8">
      <c r="A3760" t="s">
        <v>2009</v>
      </c>
      <c r="B3760" t="s">
        <v>4091</v>
      </c>
      <c r="C3760">
        <v>20</v>
      </c>
      <c r="D3760">
        <v>1</v>
      </c>
      <c r="E3760">
        <v>1</v>
      </c>
      <c r="F3760">
        <v>4350</v>
      </c>
      <c r="G3760">
        <v>1.3717E-3</v>
      </c>
      <c r="H3760" t="s">
        <v>2203</v>
      </c>
    </row>
    <row r="3761" spans="1:8">
      <c r="A3761" t="s">
        <v>9785</v>
      </c>
      <c r="B3761" t="s">
        <v>7925</v>
      </c>
      <c r="C3761">
        <v>20</v>
      </c>
      <c r="D3761">
        <v>1</v>
      </c>
      <c r="E3761">
        <v>1</v>
      </c>
      <c r="F3761">
        <v>265</v>
      </c>
      <c r="G3761">
        <v>8.3250000000000002E-4</v>
      </c>
      <c r="H3761" t="s">
        <v>2197</v>
      </c>
    </row>
    <row r="3762" spans="1:8">
      <c r="A3762" t="s">
        <v>2010</v>
      </c>
      <c r="B3762" t="s">
        <v>4093</v>
      </c>
      <c r="C3762">
        <v>40</v>
      </c>
      <c r="D3762">
        <v>1</v>
      </c>
      <c r="E3762">
        <v>1</v>
      </c>
      <c r="F3762">
        <v>135</v>
      </c>
      <c r="G3762">
        <v>4.4640000000000001E-4</v>
      </c>
      <c r="H3762" t="s">
        <v>2197</v>
      </c>
    </row>
    <row r="3763" spans="1:8">
      <c r="A3763" t="s">
        <v>2012</v>
      </c>
      <c r="B3763" t="s">
        <v>4095</v>
      </c>
      <c r="C3763">
        <v>40</v>
      </c>
      <c r="D3763">
        <v>1</v>
      </c>
      <c r="E3763">
        <v>1</v>
      </c>
      <c r="F3763">
        <v>260</v>
      </c>
      <c r="G3763">
        <v>6.9050000000000003E-4</v>
      </c>
      <c r="H3763" t="s">
        <v>2197</v>
      </c>
    </row>
    <row r="3764" spans="1:8">
      <c r="A3764" t="s">
        <v>2013</v>
      </c>
      <c r="B3764" t="s">
        <v>4096</v>
      </c>
      <c r="C3764">
        <v>100</v>
      </c>
      <c r="D3764">
        <v>1</v>
      </c>
      <c r="E3764">
        <v>1</v>
      </c>
      <c r="F3764">
        <v>112</v>
      </c>
      <c r="G3764">
        <v>3.8029999999999997E-4</v>
      </c>
      <c r="H3764" t="s">
        <v>2203</v>
      </c>
    </row>
    <row r="3765" spans="1:8">
      <c r="A3765" t="s">
        <v>2016</v>
      </c>
      <c r="B3765" t="s">
        <v>4098</v>
      </c>
      <c r="C3765">
        <v>20</v>
      </c>
      <c r="D3765">
        <v>1</v>
      </c>
      <c r="E3765">
        <v>1</v>
      </c>
      <c r="F3765">
        <v>320</v>
      </c>
      <c r="G3765">
        <v>8.3250000000000002E-4</v>
      </c>
      <c r="H3765" t="s">
        <v>2197</v>
      </c>
    </row>
    <row r="3766" spans="1:8">
      <c r="A3766" t="s">
        <v>2018</v>
      </c>
      <c r="B3766" t="s">
        <v>4100</v>
      </c>
      <c r="C3766">
        <v>20</v>
      </c>
      <c r="D3766">
        <v>1</v>
      </c>
      <c r="E3766">
        <v>1</v>
      </c>
      <c r="F3766">
        <v>555</v>
      </c>
      <c r="G3766">
        <v>1.3600000000000001E-3</v>
      </c>
      <c r="H3766" t="s">
        <v>2197</v>
      </c>
    </row>
    <row r="3767" spans="1:8">
      <c r="A3767" t="s">
        <v>2020</v>
      </c>
      <c r="B3767" t="s">
        <v>4101</v>
      </c>
      <c r="C3767">
        <v>1</v>
      </c>
      <c r="D3767">
        <v>1</v>
      </c>
      <c r="E3767">
        <v>1</v>
      </c>
      <c r="F3767">
        <v>1</v>
      </c>
      <c r="G3767">
        <v>0</v>
      </c>
      <c r="H3767" t="s">
        <v>2221</v>
      </c>
    </row>
    <row r="3768" spans="1:8">
      <c r="A3768" t="s">
        <v>2021</v>
      </c>
      <c r="B3768" t="s">
        <v>4102</v>
      </c>
      <c r="C3768">
        <v>1</v>
      </c>
      <c r="D3768">
        <v>1</v>
      </c>
      <c r="E3768">
        <v>1</v>
      </c>
      <c r="F3768">
        <v>6230</v>
      </c>
      <c r="G3768">
        <v>4.1365499999999999E-2</v>
      </c>
      <c r="H3768" t="s">
        <v>2221</v>
      </c>
    </row>
    <row r="3769" spans="1:8">
      <c r="A3769" t="s">
        <v>4888</v>
      </c>
      <c r="B3769" t="s">
        <v>7961</v>
      </c>
      <c r="C3769">
        <v>1</v>
      </c>
      <c r="D3769">
        <v>1</v>
      </c>
      <c r="E3769">
        <v>1</v>
      </c>
      <c r="F3769">
        <v>6230</v>
      </c>
      <c r="G3769">
        <v>4.1365499999999999E-2</v>
      </c>
      <c r="H3769" t="s">
        <v>2221</v>
      </c>
    </row>
    <row r="3770" spans="1:8">
      <c r="A3770" t="s">
        <v>4890</v>
      </c>
      <c r="B3770" t="s">
        <v>7976</v>
      </c>
      <c r="C3770">
        <v>1</v>
      </c>
      <c r="D3770">
        <v>1</v>
      </c>
      <c r="E3770">
        <v>1</v>
      </c>
      <c r="F3770">
        <v>6230</v>
      </c>
      <c r="G3770">
        <v>4.1365499999999999E-2</v>
      </c>
      <c r="H3770" t="s">
        <v>2221</v>
      </c>
    </row>
    <row r="3771" spans="1:8">
      <c r="A3771" t="s">
        <v>2022</v>
      </c>
      <c r="B3771" t="s">
        <v>4105</v>
      </c>
      <c r="C3771">
        <v>1</v>
      </c>
      <c r="D3771">
        <v>1</v>
      </c>
      <c r="E3771">
        <v>1</v>
      </c>
      <c r="F3771">
        <v>9700</v>
      </c>
      <c r="G3771">
        <v>8.5731000000000002E-2</v>
      </c>
      <c r="H3771" t="s">
        <v>2221</v>
      </c>
    </row>
    <row r="3772" spans="1:8">
      <c r="A3772" t="s">
        <v>4891</v>
      </c>
      <c r="B3772" t="s">
        <v>7978</v>
      </c>
      <c r="C3772">
        <v>1</v>
      </c>
      <c r="D3772">
        <v>1</v>
      </c>
      <c r="E3772">
        <v>1</v>
      </c>
      <c r="F3772">
        <v>2150</v>
      </c>
      <c r="G3772">
        <v>1.9835999999999999E-2</v>
      </c>
      <c r="H3772" t="s">
        <v>2221</v>
      </c>
    </row>
    <row r="3773" spans="1:8">
      <c r="A3773" t="s">
        <v>4889</v>
      </c>
      <c r="B3773" t="s">
        <v>7962</v>
      </c>
      <c r="C3773">
        <v>1</v>
      </c>
      <c r="D3773">
        <v>1</v>
      </c>
      <c r="E3773">
        <v>1</v>
      </c>
      <c r="F3773">
        <v>6140</v>
      </c>
      <c r="G3773">
        <v>4.2328125000000001E-2</v>
      </c>
      <c r="H3773" t="s">
        <v>2221</v>
      </c>
    </row>
    <row r="3774" spans="1:8">
      <c r="A3774" t="s">
        <v>4894</v>
      </c>
      <c r="B3774" t="s">
        <v>7988</v>
      </c>
      <c r="C3774">
        <v>1</v>
      </c>
      <c r="D3774">
        <v>1</v>
      </c>
      <c r="E3774">
        <v>1</v>
      </c>
      <c r="F3774">
        <v>1</v>
      </c>
      <c r="G3774">
        <v>0</v>
      </c>
      <c r="H3774" t="s">
        <v>2221</v>
      </c>
    </row>
    <row r="3775" spans="1:8">
      <c r="A3775" t="s">
        <v>4894</v>
      </c>
      <c r="B3775" t="s">
        <v>9194</v>
      </c>
      <c r="C3775">
        <v>1</v>
      </c>
      <c r="D3775">
        <v>1</v>
      </c>
      <c r="E3775">
        <v>1</v>
      </c>
      <c r="F3775">
        <v>1</v>
      </c>
      <c r="G3775">
        <v>0</v>
      </c>
      <c r="H3775" t="s">
        <v>2221</v>
      </c>
    </row>
    <row r="3776" spans="1:8">
      <c r="A3776" t="s">
        <v>9191</v>
      </c>
      <c r="B3776" t="s">
        <v>9190</v>
      </c>
      <c r="C3776">
        <v>1</v>
      </c>
      <c r="D3776">
        <v>1</v>
      </c>
      <c r="E3776">
        <v>1</v>
      </c>
      <c r="F3776">
        <v>1</v>
      </c>
      <c r="G3776">
        <v>0</v>
      </c>
      <c r="H3776" t="s">
        <v>2221</v>
      </c>
    </row>
    <row r="3777" spans="1:8">
      <c r="A3777" t="s">
        <v>2023</v>
      </c>
      <c r="B3777" t="s">
        <v>4106</v>
      </c>
      <c r="C3777">
        <v>1</v>
      </c>
      <c r="D3777">
        <v>1</v>
      </c>
      <c r="E3777">
        <v>1</v>
      </c>
      <c r="F3777">
        <v>5740</v>
      </c>
      <c r="G3777">
        <v>4.1799999999999997E-2</v>
      </c>
      <c r="H3777" t="s">
        <v>2221</v>
      </c>
    </row>
    <row r="3778" spans="1:8">
      <c r="A3778" t="s">
        <v>2024</v>
      </c>
      <c r="B3778" t="s">
        <v>4108</v>
      </c>
      <c r="C3778">
        <v>1</v>
      </c>
      <c r="D3778">
        <v>1</v>
      </c>
      <c r="E3778">
        <v>1</v>
      </c>
      <c r="F3778">
        <v>5740</v>
      </c>
      <c r="G3778">
        <v>4.1799999999999997E-2</v>
      </c>
      <c r="H3778" t="s">
        <v>2221</v>
      </c>
    </row>
    <row r="3779" spans="1:8">
      <c r="A3779" t="s">
        <v>4882</v>
      </c>
      <c r="B3779" t="s">
        <v>7986</v>
      </c>
      <c r="C3779">
        <v>1</v>
      </c>
      <c r="D3779">
        <v>1</v>
      </c>
      <c r="E3779">
        <v>1</v>
      </c>
      <c r="F3779">
        <v>5740</v>
      </c>
      <c r="G3779">
        <v>4.1799999999999997E-2</v>
      </c>
      <c r="H3779" t="s">
        <v>2221</v>
      </c>
    </row>
    <row r="3780" spans="1:8">
      <c r="A3780" t="s">
        <v>2025</v>
      </c>
      <c r="B3780" t="s">
        <v>4109</v>
      </c>
      <c r="C3780">
        <v>1</v>
      </c>
      <c r="D3780">
        <v>1</v>
      </c>
      <c r="E3780">
        <v>1</v>
      </c>
      <c r="F3780">
        <v>5740</v>
      </c>
      <c r="G3780">
        <v>4.1799999999999997E-2</v>
      </c>
      <c r="H3780" t="s">
        <v>2221</v>
      </c>
    </row>
    <row r="3781" spans="1:8">
      <c r="A3781" t="s">
        <v>2026</v>
      </c>
      <c r="B3781" t="s">
        <v>4111</v>
      </c>
      <c r="C3781">
        <v>1</v>
      </c>
      <c r="D3781">
        <v>1</v>
      </c>
      <c r="E3781">
        <v>1</v>
      </c>
      <c r="F3781">
        <v>1</v>
      </c>
      <c r="G3781">
        <v>0</v>
      </c>
      <c r="H3781" t="s">
        <v>2221</v>
      </c>
    </row>
    <row r="3782" spans="1:8">
      <c r="A3782" t="s">
        <v>7954</v>
      </c>
      <c r="B3782" t="s">
        <v>7953</v>
      </c>
      <c r="C3782">
        <v>1</v>
      </c>
      <c r="D3782">
        <v>1</v>
      </c>
      <c r="E3782">
        <v>1</v>
      </c>
      <c r="F3782">
        <v>5740</v>
      </c>
      <c r="G3782">
        <v>4.2328125000000001E-2</v>
      </c>
      <c r="H3782" t="s">
        <v>2221</v>
      </c>
    </row>
    <row r="3783" spans="1:8">
      <c r="A3783" t="s">
        <v>7956</v>
      </c>
      <c r="B3783" t="s">
        <v>7955</v>
      </c>
      <c r="C3783">
        <v>1</v>
      </c>
      <c r="D3783">
        <v>1</v>
      </c>
      <c r="E3783">
        <v>1</v>
      </c>
      <c r="F3783">
        <v>5740</v>
      </c>
      <c r="G3783">
        <v>4.2328125000000001E-2</v>
      </c>
      <c r="H3783" t="s">
        <v>2221</v>
      </c>
    </row>
    <row r="3784" spans="1:8">
      <c r="A3784" t="s">
        <v>7958</v>
      </c>
      <c r="B3784" t="s">
        <v>7957</v>
      </c>
      <c r="C3784">
        <v>1</v>
      </c>
      <c r="D3784">
        <v>1</v>
      </c>
      <c r="E3784">
        <v>1</v>
      </c>
      <c r="F3784">
        <v>5740</v>
      </c>
      <c r="G3784">
        <v>4.2328125000000001E-2</v>
      </c>
      <c r="H3784" t="s">
        <v>2221</v>
      </c>
    </row>
    <row r="3785" spans="1:8">
      <c r="A3785" t="s">
        <v>7960</v>
      </c>
      <c r="B3785" t="s">
        <v>7959</v>
      </c>
      <c r="C3785">
        <v>1</v>
      </c>
      <c r="D3785">
        <v>1</v>
      </c>
      <c r="E3785">
        <v>1</v>
      </c>
      <c r="F3785">
        <v>5740</v>
      </c>
      <c r="G3785">
        <v>4.2328125000000001E-2</v>
      </c>
      <c r="H3785" t="s">
        <v>2221</v>
      </c>
    </row>
    <row r="3786" spans="1:8">
      <c r="A3786" t="s">
        <v>7969</v>
      </c>
      <c r="B3786" t="s">
        <v>7968</v>
      </c>
      <c r="C3786">
        <v>1</v>
      </c>
      <c r="D3786">
        <v>1</v>
      </c>
      <c r="E3786">
        <v>1</v>
      </c>
      <c r="F3786">
        <v>6430</v>
      </c>
      <c r="G3786">
        <v>4.1709999999999997E-2</v>
      </c>
      <c r="H3786" t="s">
        <v>2221</v>
      </c>
    </row>
    <row r="3787" spans="1:8">
      <c r="A3787" t="s">
        <v>4870</v>
      </c>
      <c r="B3787" t="s">
        <v>7926</v>
      </c>
      <c r="C3787">
        <v>1</v>
      </c>
      <c r="D3787">
        <v>1</v>
      </c>
      <c r="E3787">
        <v>1</v>
      </c>
      <c r="F3787">
        <v>5740</v>
      </c>
      <c r="G3787">
        <v>4.2328125000000001E-2</v>
      </c>
      <c r="H3787" t="s">
        <v>2221</v>
      </c>
    </row>
    <row r="3788" spans="1:8">
      <c r="A3788" t="s">
        <v>4870</v>
      </c>
      <c r="B3788" t="s">
        <v>9192</v>
      </c>
      <c r="C3788">
        <v>1</v>
      </c>
      <c r="D3788">
        <v>1</v>
      </c>
      <c r="E3788">
        <v>1</v>
      </c>
      <c r="F3788">
        <v>5740</v>
      </c>
      <c r="G3788">
        <v>4.2328125000000001E-2</v>
      </c>
      <c r="H3788" t="s">
        <v>2221</v>
      </c>
    </row>
    <row r="3789" spans="1:8">
      <c r="A3789" t="s">
        <v>4885</v>
      </c>
      <c r="B3789" t="s">
        <v>7927</v>
      </c>
      <c r="C3789">
        <v>1</v>
      </c>
      <c r="D3789">
        <v>1</v>
      </c>
      <c r="E3789">
        <v>1</v>
      </c>
      <c r="F3789">
        <v>5740</v>
      </c>
      <c r="G3789">
        <v>4.2328125000000001E-2</v>
      </c>
      <c r="H3789" t="s">
        <v>2221</v>
      </c>
    </row>
    <row r="3790" spans="1:8">
      <c r="A3790" t="s">
        <v>7981</v>
      </c>
      <c r="B3790" t="s">
        <v>7980</v>
      </c>
      <c r="C3790">
        <v>1</v>
      </c>
      <c r="D3790">
        <v>1</v>
      </c>
      <c r="E3790">
        <v>1</v>
      </c>
      <c r="F3790">
        <v>5600</v>
      </c>
      <c r="G3790">
        <v>4.3471999999999997E-2</v>
      </c>
      <c r="H3790" t="s">
        <v>2221</v>
      </c>
    </row>
    <row r="3791" spans="1:8">
      <c r="A3791" t="s">
        <v>4871</v>
      </c>
      <c r="B3791" t="s">
        <v>7928</v>
      </c>
      <c r="C3791">
        <v>1</v>
      </c>
      <c r="D3791">
        <v>1</v>
      </c>
      <c r="E3791">
        <v>1</v>
      </c>
      <c r="F3791">
        <v>5740</v>
      </c>
      <c r="G3791">
        <v>4.2328125000000001E-2</v>
      </c>
      <c r="H3791" t="s">
        <v>2221</v>
      </c>
    </row>
    <row r="3792" spans="1:8">
      <c r="A3792" t="s">
        <v>4883</v>
      </c>
      <c r="B3792" t="s">
        <v>7929</v>
      </c>
      <c r="C3792">
        <v>1</v>
      </c>
      <c r="D3792">
        <v>1</v>
      </c>
      <c r="E3792">
        <v>1</v>
      </c>
      <c r="F3792">
        <v>5740</v>
      </c>
      <c r="G3792">
        <v>4.2328125000000001E-2</v>
      </c>
      <c r="H3792" t="s">
        <v>2221</v>
      </c>
    </row>
    <row r="3793" spans="1:8">
      <c r="A3793" t="s">
        <v>4872</v>
      </c>
      <c r="B3793" t="s">
        <v>7939</v>
      </c>
      <c r="C3793">
        <v>1</v>
      </c>
      <c r="D3793">
        <v>1</v>
      </c>
      <c r="E3793">
        <v>1</v>
      </c>
      <c r="F3793">
        <v>5590</v>
      </c>
      <c r="G3793">
        <v>1.6424999999999999E-2</v>
      </c>
      <c r="H3793" t="s">
        <v>2221</v>
      </c>
    </row>
    <row r="3794" spans="1:8">
      <c r="A3794" t="s">
        <v>9189</v>
      </c>
      <c r="B3794" t="s">
        <v>9188</v>
      </c>
      <c r="C3794">
        <v>1</v>
      </c>
      <c r="D3794">
        <v>1</v>
      </c>
      <c r="E3794">
        <v>1</v>
      </c>
      <c r="F3794">
        <v>5590</v>
      </c>
      <c r="G3794">
        <v>1.6424999999999999E-2</v>
      </c>
      <c r="H3794" t="s">
        <v>2221</v>
      </c>
    </row>
    <row r="3795" spans="1:8">
      <c r="A3795" t="s">
        <v>4896</v>
      </c>
      <c r="B3795" t="s">
        <v>7982</v>
      </c>
      <c r="C3795">
        <v>1</v>
      </c>
      <c r="D3795">
        <v>1</v>
      </c>
      <c r="E3795">
        <v>1</v>
      </c>
      <c r="F3795">
        <v>7500</v>
      </c>
      <c r="G3795">
        <v>5.2968800000000003E-2</v>
      </c>
      <c r="H3795" t="s">
        <v>2221</v>
      </c>
    </row>
    <row r="3796" spans="1:8">
      <c r="A3796" t="s">
        <v>2030</v>
      </c>
      <c r="B3796" t="s">
        <v>4114</v>
      </c>
      <c r="C3796">
        <v>1</v>
      </c>
      <c r="D3796">
        <v>1</v>
      </c>
      <c r="E3796">
        <v>1</v>
      </c>
      <c r="F3796">
        <v>7500</v>
      </c>
      <c r="G3796">
        <v>5.2968800000000003E-2</v>
      </c>
      <c r="H3796" t="s">
        <v>2221</v>
      </c>
    </row>
    <row r="3797" spans="1:8">
      <c r="A3797" t="s">
        <v>2031</v>
      </c>
      <c r="B3797" t="s">
        <v>4115</v>
      </c>
      <c r="C3797">
        <v>1</v>
      </c>
      <c r="D3797">
        <v>1</v>
      </c>
      <c r="E3797">
        <v>1</v>
      </c>
      <c r="F3797">
        <v>1</v>
      </c>
      <c r="G3797">
        <v>0</v>
      </c>
      <c r="H3797" t="s">
        <v>2221</v>
      </c>
    </row>
    <row r="3798" spans="1:8">
      <c r="A3798" t="s">
        <v>2032</v>
      </c>
      <c r="B3798" t="s">
        <v>4116</v>
      </c>
      <c r="C3798">
        <v>1</v>
      </c>
      <c r="D3798">
        <v>1</v>
      </c>
      <c r="E3798">
        <v>1</v>
      </c>
      <c r="F3798">
        <v>1</v>
      </c>
      <c r="G3798">
        <v>0</v>
      </c>
      <c r="H3798" t="s">
        <v>2221</v>
      </c>
    </row>
    <row r="3799" spans="1:8">
      <c r="A3799" t="s">
        <v>4873</v>
      </c>
      <c r="B3799" t="s">
        <v>7965</v>
      </c>
      <c r="C3799">
        <v>1</v>
      </c>
      <c r="D3799">
        <v>1</v>
      </c>
      <c r="E3799">
        <v>1</v>
      </c>
      <c r="F3799">
        <v>5590</v>
      </c>
      <c r="G3799">
        <v>1.6424999999999999E-2</v>
      </c>
      <c r="H3799" t="s">
        <v>2221</v>
      </c>
    </row>
    <row r="3800" spans="1:8">
      <c r="A3800" t="s">
        <v>4886</v>
      </c>
      <c r="B3800" t="s">
        <v>7930</v>
      </c>
      <c r="C3800">
        <v>1</v>
      </c>
      <c r="D3800">
        <v>1</v>
      </c>
      <c r="E3800">
        <v>1</v>
      </c>
      <c r="F3800">
        <v>5590</v>
      </c>
      <c r="G3800">
        <v>1.6424999999999999E-2</v>
      </c>
      <c r="H3800" t="s">
        <v>2221</v>
      </c>
    </row>
    <row r="3801" spans="1:8">
      <c r="A3801" t="s">
        <v>4893</v>
      </c>
      <c r="B3801" t="s">
        <v>7983</v>
      </c>
      <c r="C3801">
        <v>1</v>
      </c>
      <c r="D3801">
        <v>1</v>
      </c>
      <c r="E3801">
        <v>1</v>
      </c>
      <c r="F3801">
        <v>1</v>
      </c>
      <c r="G3801">
        <v>0</v>
      </c>
      <c r="H3801" t="s">
        <v>2221</v>
      </c>
    </row>
    <row r="3802" spans="1:8">
      <c r="A3802" t="s">
        <v>7964</v>
      </c>
      <c r="B3802" t="s">
        <v>7963</v>
      </c>
      <c r="C3802">
        <v>1</v>
      </c>
      <c r="D3802">
        <v>1</v>
      </c>
      <c r="E3802">
        <v>1</v>
      </c>
      <c r="F3802">
        <v>4250</v>
      </c>
      <c r="G3802">
        <v>4.7655999999999997E-2</v>
      </c>
      <c r="H3802" t="s">
        <v>2221</v>
      </c>
    </row>
    <row r="3803" spans="1:8">
      <c r="A3803" t="s">
        <v>2033</v>
      </c>
      <c r="B3803" t="s">
        <v>4118</v>
      </c>
      <c r="C3803">
        <v>1</v>
      </c>
      <c r="D3803">
        <v>1</v>
      </c>
      <c r="E3803">
        <v>1</v>
      </c>
      <c r="F3803">
        <v>5350</v>
      </c>
      <c r="G3803">
        <v>4.2042000000000003E-2</v>
      </c>
      <c r="H3803" t="s">
        <v>2221</v>
      </c>
    </row>
    <row r="3804" spans="1:8">
      <c r="A3804" t="s">
        <v>2034</v>
      </c>
      <c r="B3804" t="s">
        <v>7987</v>
      </c>
      <c r="C3804">
        <v>1</v>
      </c>
      <c r="D3804">
        <v>1</v>
      </c>
      <c r="E3804">
        <v>1</v>
      </c>
      <c r="F3804">
        <v>5350</v>
      </c>
      <c r="G3804">
        <v>4.2042000000000003E-2</v>
      </c>
      <c r="H3804" t="s">
        <v>2221</v>
      </c>
    </row>
    <row r="3805" spans="1:8">
      <c r="A3805" t="s">
        <v>4895</v>
      </c>
      <c r="B3805" t="s">
        <v>7972</v>
      </c>
      <c r="C3805">
        <v>1</v>
      </c>
      <c r="D3805">
        <v>1</v>
      </c>
      <c r="E3805">
        <v>1</v>
      </c>
      <c r="F3805">
        <v>6000</v>
      </c>
      <c r="G3805">
        <v>3.8997999999999998E-2</v>
      </c>
      <c r="H3805" t="s">
        <v>2221</v>
      </c>
    </row>
    <row r="3806" spans="1:8">
      <c r="A3806" t="s">
        <v>7971</v>
      </c>
      <c r="B3806" t="s">
        <v>7970</v>
      </c>
      <c r="C3806">
        <v>1</v>
      </c>
      <c r="D3806">
        <v>1</v>
      </c>
      <c r="E3806">
        <v>1</v>
      </c>
      <c r="F3806">
        <v>5850</v>
      </c>
      <c r="G3806">
        <v>3.7545799999999997E-2</v>
      </c>
      <c r="H3806" t="s">
        <v>2221</v>
      </c>
    </row>
    <row r="3807" spans="1:8">
      <c r="A3807" t="s">
        <v>4879</v>
      </c>
      <c r="B3807" t="s">
        <v>7975</v>
      </c>
      <c r="C3807">
        <v>1</v>
      </c>
      <c r="D3807">
        <v>1</v>
      </c>
      <c r="E3807">
        <v>1</v>
      </c>
      <c r="F3807">
        <v>6020</v>
      </c>
      <c r="G3807">
        <v>3.737E-2</v>
      </c>
      <c r="H3807" t="s">
        <v>2221</v>
      </c>
    </row>
    <row r="3808" spans="1:8">
      <c r="A3808" t="s">
        <v>7974</v>
      </c>
      <c r="B3808" t="s">
        <v>7973</v>
      </c>
      <c r="C3808">
        <v>1</v>
      </c>
      <c r="D3808">
        <v>1</v>
      </c>
      <c r="E3808">
        <v>1</v>
      </c>
      <c r="F3808">
        <v>6800</v>
      </c>
      <c r="G3808">
        <v>4.2065999999999999E-2</v>
      </c>
      <c r="H3808" t="s">
        <v>2221</v>
      </c>
    </row>
    <row r="3809" spans="1:8">
      <c r="A3809" t="s">
        <v>4874</v>
      </c>
      <c r="B3809" t="s">
        <v>7977</v>
      </c>
      <c r="C3809">
        <v>1</v>
      </c>
      <c r="D3809">
        <v>1</v>
      </c>
      <c r="E3809">
        <v>1</v>
      </c>
      <c r="F3809">
        <v>18000</v>
      </c>
      <c r="G3809">
        <v>4.88735E-2</v>
      </c>
      <c r="H3809" t="s">
        <v>2221</v>
      </c>
    </row>
    <row r="3810" spans="1:8">
      <c r="A3810" t="s">
        <v>2037</v>
      </c>
      <c r="B3810" t="s">
        <v>7951</v>
      </c>
      <c r="C3810">
        <v>1</v>
      </c>
      <c r="D3810">
        <v>1</v>
      </c>
      <c r="E3810">
        <v>1</v>
      </c>
      <c r="F3810">
        <v>6760</v>
      </c>
      <c r="G3810">
        <v>4.2328125000000001E-2</v>
      </c>
      <c r="H3810" t="s">
        <v>2221</v>
      </c>
    </row>
    <row r="3811" spans="1:8">
      <c r="A3811" t="s">
        <v>2037</v>
      </c>
      <c r="B3811" t="s">
        <v>9193</v>
      </c>
      <c r="C3811">
        <v>1</v>
      </c>
      <c r="D3811">
        <v>1</v>
      </c>
      <c r="E3811">
        <v>1</v>
      </c>
      <c r="F3811">
        <v>6760</v>
      </c>
      <c r="G3811">
        <v>4.2328125000000001E-2</v>
      </c>
      <c r="H3811" t="s">
        <v>2221</v>
      </c>
    </row>
    <row r="3812" spans="1:8">
      <c r="A3812" t="s">
        <v>7941</v>
      </c>
      <c r="B3812" t="s">
        <v>7940</v>
      </c>
      <c r="C3812">
        <v>1</v>
      </c>
      <c r="D3812">
        <v>1</v>
      </c>
      <c r="E3812">
        <v>1</v>
      </c>
      <c r="F3812">
        <v>0</v>
      </c>
      <c r="G3812">
        <v>0</v>
      </c>
      <c r="H3812" t="s">
        <v>2221</v>
      </c>
    </row>
    <row r="3813" spans="1:8">
      <c r="A3813" t="s">
        <v>7950</v>
      </c>
      <c r="B3813" t="s">
        <v>7949</v>
      </c>
      <c r="C3813">
        <v>1</v>
      </c>
      <c r="D3813">
        <v>1</v>
      </c>
      <c r="E3813">
        <v>1</v>
      </c>
      <c r="F3813">
        <v>0</v>
      </c>
      <c r="G3813">
        <v>0</v>
      </c>
      <c r="H3813" t="s">
        <v>2221</v>
      </c>
    </row>
    <row r="3814" spans="1:8">
      <c r="A3814" t="s">
        <v>4884</v>
      </c>
      <c r="B3814" t="s">
        <v>7946</v>
      </c>
      <c r="C3814">
        <v>1</v>
      </c>
      <c r="D3814">
        <v>1</v>
      </c>
      <c r="E3814">
        <v>1</v>
      </c>
      <c r="F3814">
        <v>0</v>
      </c>
      <c r="G3814">
        <v>0</v>
      </c>
      <c r="H3814" t="s">
        <v>2221</v>
      </c>
    </row>
    <row r="3815" spans="1:8">
      <c r="A3815" t="s">
        <v>4880</v>
      </c>
      <c r="B3815" t="s">
        <v>7938</v>
      </c>
      <c r="C3815">
        <v>15</v>
      </c>
      <c r="D3815">
        <v>1</v>
      </c>
      <c r="E3815">
        <v>1</v>
      </c>
      <c r="F3815">
        <v>426.7</v>
      </c>
      <c r="G3815">
        <v>6.0407000000000004E-3</v>
      </c>
      <c r="H3815" t="s">
        <v>2221</v>
      </c>
    </row>
    <row r="3816" spans="1:8">
      <c r="A3816" t="s">
        <v>7948</v>
      </c>
      <c r="B3816" t="s">
        <v>7947</v>
      </c>
      <c r="C3816">
        <v>15</v>
      </c>
      <c r="D3816">
        <v>1</v>
      </c>
      <c r="E3816">
        <v>1</v>
      </c>
      <c r="F3816">
        <v>0</v>
      </c>
      <c r="G3816">
        <v>0</v>
      </c>
      <c r="H3816" t="s">
        <v>2221</v>
      </c>
    </row>
    <row r="3817" spans="1:8">
      <c r="A3817" t="s">
        <v>4887</v>
      </c>
      <c r="B3817" t="s">
        <v>7952</v>
      </c>
      <c r="C3817">
        <v>1</v>
      </c>
      <c r="D3817">
        <v>1</v>
      </c>
      <c r="E3817">
        <v>1</v>
      </c>
      <c r="F3817">
        <v>6760</v>
      </c>
      <c r="G3817">
        <v>4.2328125000000001E-2</v>
      </c>
      <c r="H3817" t="s">
        <v>2221</v>
      </c>
    </row>
    <row r="3818" spans="1:8">
      <c r="A3818" t="s">
        <v>7943</v>
      </c>
      <c r="B3818" t="s">
        <v>7942</v>
      </c>
      <c r="C3818">
        <v>1</v>
      </c>
      <c r="D3818">
        <v>1</v>
      </c>
      <c r="E3818">
        <v>1</v>
      </c>
      <c r="F3818">
        <v>0</v>
      </c>
      <c r="G3818">
        <v>0</v>
      </c>
      <c r="H3818" t="s">
        <v>2221</v>
      </c>
    </row>
    <row r="3819" spans="1:8">
      <c r="A3819" t="s">
        <v>4892</v>
      </c>
      <c r="B3819" t="s">
        <v>7979</v>
      </c>
      <c r="C3819">
        <v>1</v>
      </c>
      <c r="D3819">
        <v>1</v>
      </c>
      <c r="E3819">
        <v>1</v>
      </c>
      <c r="F3819">
        <v>6760</v>
      </c>
      <c r="G3819">
        <v>4.2328125000000001E-2</v>
      </c>
      <c r="H3819" t="s">
        <v>2221</v>
      </c>
    </row>
    <row r="3820" spans="1:8">
      <c r="A3820" t="s">
        <v>7945</v>
      </c>
      <c r="B3820" t="s">
        <v>7944</v>
      </c>
      <c r="C3820">
        <v>1</v>
      </c>
      <c r="D3820">
        <v>1</v>
      </c>
      <c r="E3820">
        <v>1</v>
      </c>
      <c r="F3820">
        <v>0</v>
      </c>
      <c r="G3820">
        <v>0</v>
      </c>
      <c r="H3820" t="s">
        <v>2221</v>
      </c>
    </row>
    <row r="3821" spans="1:8">
      <c r="A3821" t="s">
        <v>4881</v>
      </c>
      <c r="B3821" t="s">
        <v>7931</v>
      </c>
      <c r="C3821">
        <v>1</v>
      </c>
      <c r="D3821">
        <v>1</v>
      </c>
      <c r="E3821">
        <v>1</v>
      </c>
      <c r="F3821">
        <v>9950</v>
      </c>
      <c r="G3821">
        <v>8.8145000000000001E-2</v>
      </c>
      <c r="H3821" t="s">
        <v>2221</v>
      </c>
    </row>
    <row r="3822" spans="1:8">
      <c r="A3822" t="s">
        <v>7985</v>
      </c>
      <c r="B3822" t="s">
        <v>7984</v>
      </c>
      <c r="C3822">
        <v>20</v>
      </c>
      <c r="D3822">
        <v>1</v>
      </c>
      <c r="E3822">
        <v>1</v>
      </c>
      <c r="F3822">
        <v>1</v>
      </c>
      <c r="G3822">
        <v>0</v>
      </c>
      <c r="H3822" t="s">
        <v>2221</v>
      </c>
    </row>
    <row r="3823" spans="1:8">
      <c r="A3823" t="s">
        <v>4876</v>
      </c>
      <c r="B3823" t="s">
        <v>7932</v>
      </c>
      <c r="C3823">
        <v>6</v>
      </c>
      <c r="D3823">
        <v>1</v>
      </c>
      <c r="E3823">
        <v>1</v>
      </c>
      <c r="F3823">
        <v>0</v>
      </c>
      <c r="G3823">
        <v>0</v>
      </c>
      <c r="H3823" t="s">
        <v>2221</v>
      </c>
    </row>
    <row r="3824" spans="1:8">
      <c r="A3824" t="s">
        <v>4877</v>
      </c>
      <c r="B3824" t="s">
        <v>7933</v>
      </c>
      <c r="C3824">
        <v>6</v>
      </c>
      <c r="D3824">
        <v>1</v>
      </c>
      <c r="E3824">
        <v>1</v>
      </c>
      <c r="F3824">
        <v>1458.3</v>
      </c>
      <c r="G3824">
        <v>1.6458799999999999E-2</v>
      </c>
      <c r="H3824" t="s">
        <v>2221</v>
      </c>
    </row>
    <row r="3825" spans="1:8">
      <c r="A3825" t="s">
        <v>7935</v>
      </c>
      <c r="B3825" t="s">
        <v>7934</v>
      </c>
      <c r="C3825">
        <v>6</v>
      </c>
      <c r="D3825">
        <v>1</v>
      </c>
      <c r="E3825">
        <v>1</v>
      </c>
      <c r="F3825">
        <v>1458.3</v>
      </c>
      <c r="G3825">
        <v>1.6458799999999999E-2</v>
      </c>
      <c r="H3825" t="s">
        <v>2221</v>
      </c>
    </row>
    <row r="3826" spans="1:8">
      <c r="A3826" t="s">
        <v>4878</v>
      </c>
      <c r="B3826" t="s">
        <v>7936</v>
      </c>
      <c r="C3826">
        <v>6</v>
      </c>
      <c r="D3826">
        <v>1</v>
      </c>
      <c r="E3826">
        <v>1</v>
      </c>
      <c r="F3826">
        <v>10.199999999999999</v>
      </c>
      <c r="G3826">
        <v>0</v>
      </c>
      <c r="H3826" t="s">
        <v>2221</v>
      </c>
    </row>
    <row r="3827" spans="1:8">
      <c r="A3827" t="s">
        <v>4875</v>
      </c>
      <c r="B3827" t="s">
        <v>7937</v>
      </c>
      <c r="C3827">
        <v>1</v>
      </c>
      <c r="D3827">
        <v>1</v>
      </c>
      <c r="E3827">
        <v>1</v>
      </c>
      <c r="F3827">
        <v>0</v>
      </c>
      <c r="G3827">
        <v>0</v>
      </c>
      <c r="H3827" t="s">
        <v>2221</v>
      </c>
    </row>
    <row r="3828" spans="1:8">
      <c r="A3828" t="s">
        <v>7967</v>
      </c>
      <c r="B3828" t="s">
        <v>7966</v>
      </c>
      <c r="C3828">
        <v>1</v>
      </c>
      <c r="D3828">
        <v>1</v>
      </c>
      <c r="E3828">
        <v>1</v>
      </c>
      <c r="F3828">
        <v>1</v>
      </c>
      <c r="G3828">
        <v>0</v>
      </c>
      <c r="H3828" t="s">
        <v>2221</v>
      </c>
    </row>
    <row r="3829" spans="1:8">
      <c r="A3829" t="s">
        <v>7991</v>
      </c>
      <c r="B3829" t="s">
        <v>7990</v>
      </c>
      <c r="C3829">
        <v>20</v>
      </c>
      <c r="D3829">
        <v>1</v>
      </c>
      <c r="E3829">
        <v>1</v>
      </c>
      <c r="F3829">
        <v>649.5</v>
      </c>
      <c r="G3829">
        <v>1.31285E-3</v>
      </c>
      <c r="H3829" t="s">
        <v>2197</v>
      </c>
    </row>
    <row r="3830" spans="1:8">
      <c r="A3830" t="s">
        <v>4897</v>
      </c>
      <c r="B3830" t="s">
        <v>7989</v>
      </c>
      <c r="C3830">
        <v>40</v>
      </c>
      <c r="D3830">
        <v>1</v>
      </c>
      <c r="E3830">
        <v>1</v>
      </c>
      <c r="F3830">
        <v>348</v>
      </c>
      <c r="G3830">
        <v>7.0984374999999997E-4</v>
      </c>
      <c r="H3830" t="s">
        <v>2197</v>
      </c>
    </row>
    <row r="3831" spans="1:8">
      <c r="A3831" t="s">
        <v>9196</v>
      </c>
      <c r="B3831" t="s">
        <v>9195</v>
      </c>
      <c r="C3831">
        <v>1</v>
      </c>
      <c r="D3831">
        <v>1</v>
      </c>
      <c r="E3831">
        <v>1</v>
      </c>
      <c r="F3831">
        <v>1</v>
      </c>
      <c r="G3831">
        <v>0</v>
      </c>
      <c r="H3831" t="s">
        <v>2221</v>
      </c>
    </row>
    <row r="3832" spans="1:8">
      <c r="A3832" t="s">
        <v>4898</v>
      </c>
      <c r="B3832" t="s">
        <v>7992</v>
      </c>
      <c r="C3832">
        <v>100</v>
      </c>
      <c r="D3832">
        <v>1</v>
      </c>
      <c r="E3832">
        <v>1</v>
      </c>
      <c r="F3832">
        <v>83.5</v>
      </c>
      <c r="G3832">
        <v>2.162E-4</v>
      </c>
      <c r="H3832" t="s">
        <v>2197</v>
      </c>
    </row>
    <row r="3833" spans="1:8">
      <c r="A3833" t="s">
        <v>9198</v>
      </c>
      <c r="B3833" t="s">
        <v>9197</v>
      </c>
      <c r="C3833">
        <v>1</v>
      </c>
      <c r="D3833">
        <v>1</v>
      </c>
      <c r="E3833">
        <v>1</v>
      </c>
      <c r="F3833">
        <v>1</v>
      </c>
      <c r="G3833">
        <v>0</v>
      </c>
      <c r="H3833" t="s">
        <v>2221</v>
      </c>
    </row>
    <row r="3834" spans="1:8">
      <c r="A3834" t="s">
        <v>9200</v>
      </c>
      <c r="B3834" t="s">
        <v>9199</v>
      </c>
      <c r="C3834">
        <v>1</v>
      </c>
      <c r="D3834">
        <v>1</v>
      </c>
      <c r="E3834">
        <v>1</v>
      </c>
      <c r="F3834">
        <v>1</v>
      </c>
      <c r="G3834">
        <v>0</v>
      </c>
      <c r="H3834" t="s">
        <v>2221</v>
      </c>
    </row>
    <row r="3835" spans="1:8">
      <c r="A3835" t="s">
        <v>9202</v>
      </c>
      <c r="B3835" t="s">
        <v>9201</v>
      </c>
      <c r="C3835">
        <v>1</v>
      </c>
      <c r="D3835">
        <v>1</v>
      </c>
      <c r="E3835">
        <v>1</v>
      </c>
      <c r="F3835">
        <v>1</v>
      </c>
      <c r="G3835">
        <v>0</v>
      </c>
      <c r="H3835" t="s">
        <v>2221</v>
      </c>
    </row>
    <row r="3836" spans="1:8">
      <c r="A3836" t="s">
        <v>4899</v>
      </c>
      <c r="B3836" t="s">
        <v>7993</v>
      </c>
      <c r="C3836">
        <v>50</v>
      </c>
      <c r="D3836">
        <v>1</v>
      </c>
      <c r="E3836">
        <v>1</v>
      </c>
      <c r="F3836">
        <v>156</v>
      </c>
      <c r="G3836">
        <v>3.7209999999999999E-4</v>
      </c>
      <c r="H3836" t="s">
        <v>2197</v>
      </c>
    </row>
    <row r="3837" spans="1:8">
      <c r="A3837" t="s">
        <v>7997</v>
      </c>
      <c r="B3837" t="s">
        <v>7996</v>
      </c>
      <c r="C3837">
        <v>20</v>
      </c>
      <c r="D3837">
        <v>1</v>
      </c>
      <c r="E3837">
        <v>1</v>
      </c>
      <c r="F3837">
        <v>605</v>
      </c>
      <c r="G3837">
        <v>1.2474000000000001E-3</v>
      </c>
      <c r="H3837" t="s">
        <v>2197</v>
      </c>
    </row>
    <row r="3838" spans="1:8">
      <c r="A3838" t="s">
        <v>7995</v>
      </c>
      <c r="B3838" t="s">
        <v>7994</v>
      </c>
      <c r="C3838">
        <v>50</v>
      </c>
      <c r="D3838">
        <v>1</v>
      </c>
      <c r="E3838">
        <v>1</v>
      </c>
      <c r="F3838">
        <v>140</v>
      </c>
      <c r="G3838">
        <v>2.9740000000000002E-4</v>
      </c>
      <c r="H3838" t="s">
        <v>2197</v>
      </c>
    </row>
    <row r="3839" spans="1:8">
      <c r="A3839" t="s">
        <v>2038</v>
      </c>
      <c r="B3839" t="s">
        <v>4123</v>
      </c>
      <c r="C3839">
        <v>20</v>
      </c>
      <c r="D3839">
        <v>1</v>
      </c>
      <c r="E3839">
        <v>1</v>
      </c>
      <c r="F3839">
        <v>445</v>
      </c>
      <c r="G3839">
        <v>1.3565999999999999E-3</v>
      </c>
      <c r="H3839" t="s">
        <v>2197</v>
      </c>
    </row>
    <row r="3840" spans="1:8">
      <c r="A3840" t="s">
        <v>2039</v>
      </c>
      <c r="B3840" t="s">
        <v>4126</v>
      </c>
      <c r="C3840">
        <v>50</v>
      </c>
      <c r="D3840">
        <v>1</v>
      </c>
      <c r="E3840">
        <v>1</v>
      </c>
      <c r="F3840">
        <v>127.4</v>
      </c>
      <c r="G3840">
        <v>1.196475E-4</v>
      </c>
      <c r="H3840" t="s">
        <v>2197</v>
      </c>
    </row>
    <row r="3841" spans="1:8">
      <c r="A3841" t="s">
        <v>2040</v>
      </c>
      <c r="B3841" t="s">
        <v>4127</v>
      </c>
      <c r="C3841">
        <v>20</v>
      </c>
      <c r="D3841">
        <v>1</v>
      </c>
      <c r="E3841">
        <v>1</v>
      </c>
      <c r="F3841">
        <v>670</v>
      </c>
      <c r="G3841">
        <v>1.2765000000000001E-3</v>
      </c>
      <c r="H3841" t="s">
        <v>2197</v>
      </c>
    </row>
    <row r="3842" spans="1:8">
      <c r="A3842" t="s">
        <v>2042</v>
      </c>
      <c r="B3842" t="s">
        <v>4130</v>
      </c>
      <c r="C3842">
        <v>40</v>
      </c>
      <c r="D3842">
        <v>1</v>
      </c>
      <c r="E3842">
        <v>1</v>
      </c>
      <c r="F3842">
        <v>293.8</v>
      </c>
      <c r="G3842">
        <v>6.7659999999999997E-4</v>
      </c>
      <c r="H3842" t="s">
        <v>2197</v>
      </c>
    </row>
    <row r="3843" spans="1:8">
      <c r="A3843" t="s">
        <v>4904</v>
      </c>
      <c r="B3843" t="s">
        <v>8013</v>
      </c>
      <c r="C3843">
        <v>20</v>
      </c>
      <c r="D3843">
        <v>12</v>
      </c>
      <c r="E3843">
        <v>1</v>
      </c>
      <c r="F3843">
        <v>24</v>
      </c>
      <c r="G3843">
        <v>1.2559999999999999E-4</v>
      </c>
      <c r="H3843" t="s">
        <v>2203</v>
      </c>
    </row>
    <row r="3844" spans="1:8">
      <c r="A3844" t="s">
        <v>4902</v>
      </c>
      <c r="B3844" t="s">
        <v>7998</v>
      </c>
      <c r="C3844">
        <v>20</v>
      </c>
      <c r="D3844">
        <v>24</v>
      </c>
      <c r="E3844">
        <v>1</v>
      </c>
      <c r="F3844">
        <v>0</v>
      </c>
      <c r="G3844">
        <v>0</v>
      </c>
      <c r="H3844" t="s">
        <v>2203</v>
      </c>
    </row>
    <row r="3845" spans="1:8">
      <c r="A3845" t="s">
        <v>8026</v>
      </c>
      <c r="B3845" t="s">
        <v>8025</v>
      </c>
      <c r="C3845">
        <v>12</v>
      </c>
      <c r="D3845">
        <v>15</v>
      </c>
      <c r="E3845">
        <v>1</v>
      </c>
      <c r="F3845">
        <v>1</v>
      </c>
      <c r="G3845">
        <v>0</v>
      </c>
      <c r="H3845" t="s">
        <v>2203</v>
      </c>
    </row>
    <row r="3846" spans="1:8">
      <c r="A3846" t="s">
        <v>2045</v>
      </c>
      <c r="B3846" t="s">
        <v>4131</v>
      </c>
      <c r="C3846">
        <v>12</v>
      </c>
      <c r="D3846">
        <v>20</v>
      </c>
      <c r="E3846">
        <v>1</v>
      </c>
      <c r="F3846">
        <v>14.6</v>
      </c>
      <c r="G3846" s="4">
        <v>9.4500000000000007E-5</v>
      </c>
      <c r="H3846" t="s">
        <v>2203</v>
      </c>
    </row>
    <row r="3847" spans="1:8">
      <c r="A3847" t="s">
        <v>8020</v>
      </c>
      <c r="B3847" t="s">
        <v>8019</v>
      </c>
      <c r="C3847">
        <v>1</v>
      </c>
      <c r="D3847">
        <v>1</v>
      </c>
      <c r="E3847">
        <v>1</v>
      </c>
      <c r="F3847">
        <v>1</v>
      </c>
      <c r="G3847">
        <v>0</v>
      </c>
      <c r="H3847" t="s">
        <v>2203</v>
      </c>
    </row>
    <row r="3848" spans="1:8">
      <c r="A3848" t="s">
        <v>8016</v>
      </c>
      <c r="B3848" t="s">
        <v>8015</v>
      </c>
      <c r="C3848">
        <v>1</v>
      </c>
      <c r="D3848">
        <v>1</v>
      </c>
      <c r="E3848">
        <v>1</v>
      </c>
      <c r="F3848">
        <v>1</v>
      </c>
      <c r="G3848">
        <v>0</v>
      </c>
      <c r="H3848" t="s">
        <v>2203</v>
      </c>
    </row>
    <row r="3849" spans="1:8">
      <c r="A3849" t="s">
        <v>2046</v>
      </c>
      <c r="B3849" t="s">
        <v>4133</v>
      </c>
      <c r="C3849">
        <v>12</v>
      </c>
      <c r="D3849">
        <v>15</v>
      </c>
      <c r="E3849">
        <v>1</v>
      </c>
      <c r="F3849">
        <v>21.1</v>
      </c>
      <c r="G3849">
        <v>1.339E-4</v>
      </c>
      <c r="H3849" t="s">
        <v>2203</v>
      </c>
    </row>
    <row r="3850" spans="1:8">
      <c r="A3850" t="s">
        <v>8018</v>
      </c>
      <c r="B3850" t="s">
        <v>8017</v>
      </c>
      <c r="C3850">
        <v>1</v>
      </c>
      <c r="D3850">
        <v>1</v>
      </c>
      <c r="E3850">
        <v>1</v>
      </c>
      <c r="F3850">
        <v>1</v>
      </c>
      <c r="G3850">
        <v>0</v>
      </c>
      <c r="H3850" t="s">
        <v>2203</v>
      </c>
    </row>
    <row r="3851" spans="1:8">
      <c r="A3851" t="s">
        <v>2047</v>
      </c>
      <c r="B3851" t="s">
        <v>4136</v>
      </c>
      <c r="C3851">
        <v>12</v>
      </c>
      <c r="D3851">
        <v>15</v>
      </c>
      <c r="E3851">
        <v>1</v>
      </c>
      <c r="F3851">
        <v>21.1</v>
      </c>
      <c r="G3851">
        <v>1.339E-4</v>
      </c>
      <c r="H3851" t="s">
        <v>2203</v>
      </c>
    </row>
    <row r="3852" spans="1:8">
      <c r="A3852" t="s">
        <v>4901</v>
      </c>
      <c r="B3852" t="s">
        <v>8001</v>
      </c>
      <c r="C3852">
        <v>20</v>
      </c>
      <c r="D3852">
        <v>20</v>
      </c>
      <c r="E3852">
        <v>1</v>
      </c>
      <c r="F3852">
        <v>0</v>
      </c>
      <c r="G3852">
        <v>0</v>
      </c>
      <c r="H3852" t="s">
        <v>2203</v>
      </c>
    </row>
    <row r="3853" spans="1:8">
      <c r="A3853" t="s">
        <v>4900</v>
      </c>
      <c r="B3853" t="s">
        <v>8014</v>
      </c>
      <c r="C3853">
        <v>10</v>
      </c>
      <c r="D3853">
        <v>1</v>
      </c>
      <c r="E3853">
        <v>1</v>
      </c>
      <c r="F3853">
        <v>5</v>
      </c>
      <c r="G3853">
        <v>0</v>
      </c>
      <c r="H3853" t="s">
        <v>2203</v>
      </c>
    </row>
    <row r="3854" spans="1:8">
      <c r="A3854" t="s">
        <v>8012</v>
      </c>
      <c r="B3854" t="s">
        <v>8011</v>
      </c>
      <c r="C3854">
        <v>20</v>
      </c>
      <c r="D3854">
        <v>12</v>
      </c>
      <c r="E3854">
        <v>1</v>
      </c>
      <c r="F3854">
        <v>21.7</v>
      </c>
      <c r="G3854">
        <v>1.2430000000000001E-4</v>
      </c>
      <c r="H3854" t="s">
        <v>2203</v>
      </c>
    </row>
    <row r="3855" spans="1:8">
      <c r="A3855" t="s">
        <v>4903</v>
      </c>
      <c r="B3855" t="s">
        <v>8010</v>
      </c>
      <c r="C3855">
        <v>20</v>
      </c>
      <c r="D3855">
        <v>12</v>
      </c>
      <c r="E3855">
        <v>1</v>
      </c>
      <c r="F3855">
        <v>19.170000000000002</v>
      </c>
      <c r="G3855">
        <v>0</v>
      </c>
      <c r="H3855" t="s">
        <v>2203</v>
      </c>
    </row>
    <row r="3856" spans="1:8">
      <c r="A3856" t="s">
        <v>8000</v>
      </c>
      <c r="B3856" t="s">
        <v>7999</v>
      </c>
      <c r="C3856">
        <v>20</v>
      </c>
      <c r="D3856">
        <v>24</v>
      </c>
      <c r="E3856">
        <v>1</v>
      </c>
      <c r="F3856">
        <v>0</v>
      </c>
      <c r="G3856">
        <v>0</v>
      </c>
      <c r="H3856" t="s">
        <v>2203</v>
      </c>
    </row>
    <row r="3857" spans="1:8">
      <c r="A3857" t="s">
        <v>8007</v>
      </c>
      <c r="B3857" t="s">
        <v>8006</v>
      </c>
      <c r="C3857">
        <v>500</v>
      </c>
      <c r="D3857">
        <v>1</v>
      </c>
      <c r="E3857">
        <v>1</v>
      </c>
      <c r="F3857">
        <v>0</v>
      </c>
      <c r="G3857">
        <v>0</v>
      </c>
      <c r="H3857" t="s">
        <v>2203</v>
      </c>
    </row>
    <row r="3858" spans="1:8">
      <c r="A3858" t="s">
        <v>8005</v>
      </c>
      <c r="B3858" t="s">
        <v>8004</v>
      </c>
      <c r="C3858">
        <v>20</v>
      </c>
      <c r="D3858">
        <v>24</v>
      </c>
      <c r="E3858">
        <v>1</v>
      </c>
      <c r="F3858">
        <v>0</v>
      </c>
      <c r="G3858">
        <v>0</v>
      </c>
      <c r="H3858" t="s">
        <v>2203</v>
      </c>
    </row>
    <row r="3859" spans="1:8">
      <c r="A3859" t="s">
        <v>8009</v>
      </c>
      <c r="B3859" t="s">
        <v>8008</v>
      </c>
      <c r="C3859">
        <v>500</v>
      </c>
      <c r="D3859">
        <v>1</v>
      </c>
      <c r="E3859">
        <v>1</v>
      </c>
      <c r="F3859">
        <v>0</v>
      </c>
      <c r="G3859">
        <v>0</v>
      </c>
      <c r="H3859" t="s">
        <v>2203</v>
      </c>
    </row>
    <row r="3860" spans="1:8">
      <c r="A3860" t="s">
        <v>8003</v>
      </c>
      <c r="B3860" t="s">
        <v>8002</v>
      </c>
      <c r="C3860">
        <v>60</v>
      </c>
      <c r="D3860">
        <v>1</v>
      </c>
      <c r="E3860">
        <v>1</v>
      </c>
      <c r="F3860">
        <v>0</v>
      </c>
      <c r="G3860">
        <v>0</v>
      </c>
      <c r="H3860" t="s">
        <v>2203</v>
      </c>
    </row>
    <row r="3861" spans="1:8">
      <c r="A3861" t="s">
        <v>8024</v>
      </c>
      <c r="B3861" t="s">
        <v>8023</v>
      </c>
      <c r="C3861">
        <v>12</v>
      </c>
      <c r="D3861">
        <v>15</v>
      </c>
      <c r="E3861">
        <v>1</v>
      </c>
      <c r="F3861">
        <v>1</v>
      </c>
      <c r="G3861">
        <v>0</v>
      </c>
      <c r="H3861" t="s">
        <v>2203</v>
      </c>
    </row>
    <row r="3862" spans="1:8">
      <c r="A3862" t="s">
        <v>8022</v>
      </c>
      <c r="B3862" t="s">
        <v>8021</v>
      </c>
      <c r="C3862">
        <v>12</v>
      </c>
      <c r="D3862">
        <v>15</v>
      </c>
      <c r="E3862">
        <v>1</v>
      </c>
      <c r="F3862">
        <v>1</v>
      </c>
      <c r="G3862">
        <v>0</v>
      </c>
      <c r="H3862" t="s">
        <v>2203</v>
      </c>
    </row>
    <row r="3863" spans="1:8">
      <c r="A3863" t="s">
        <v>2048</v>
      </c>
      <c r="B3863" t="s">
        <v>4138</v>
      </c>
      <c r="C3863">
        <v>12</v>
      </c>
      <c r="D3863">
        <v>15</v>
      </c>
      <c r="E3863">
        <v>1</v>
      </c>
      <c r="F3863">
        <v>21.1</v>
      </c>
      <c r="G3863">
        <v>1.339E-4</v>
      </c>
      <c r="H3863" t="s">
        <v>2203</v>
      </c>
    </row>
    <row r="3864" spans="1:8">
      <c r="A3864" t="s">
        <v>4905</v>
      </c>
      <c r="B3864" t="s">
        <v>8027</v>
      </c>
      <c r="C3864">
        <v>20</v>
      </c>
      <c r="D3864">
        <v>1</v>
      </c>
      <c r="E3864">
        <v>1</v>
      </c>
      <c r="F3864">
        <v>156</v>
      </c>
      <c r="G3864">
        <v>4.0020000000000002E-4</v>
      </c>
      <c r="H3864" t="s">
        <v>2197</v>
      </c>
    </row>
    <row r="3865" spans="1:8">
      <c r="A3865" t="s">
        <v>2049</v>
      </c>
      <c r="B3865" t="s">
        <v>4140</v>
      </c>
      <c r="C3865">
        <v>20</v>
      </c>
      <c r="D3865">
        <v>1</v>
      </c>
      <c r="E3865">
        <v>1</v>
      </c>
      <c r="F3865">
        <v>325</v>
      </c>
      <c r="G3865">
        <v>7.1400000000000001E-4</v>
      </c>
      <c r="H3865" t="s">
        <v>2197</v>
      </c>
    </row>
    <row r="3866" spans="1:8">
      <c r="A3866" t="s">
        <v>2051</v>
      </c>
      <c r="B3866" t="s">
        <v>4142</v>
      </c>
      <c r="C3866">
        <v>20</v>
      </c>
      <c r="D3866">
        <v>1</v>
      </c>
      <c r="E3866">
        <v>1</v>
      </c>
      <c r="F3866">
        <v>636.5</v>
      </c>
      <c r="G3866">
        <v>1.3391625E-3</v>
      </c>
      <c r="H3866" t="s">
        <v>2197</v>
      </c>
    </row>
    <row r="3867" spans="1:8">
      <c r="A3867" t="s">
        <v>4906</v>
      </c>
      <c r="B3867" t="s">
        <v>8028</v>
      </c>
      <c r="C3867">
        <v>48</v>
      </c>
      <c r="D3867">
        <v>1</v>
      </c>
      <c r="E3867">
        <v>1</v>
      </c>
      <c r="F3867">
        <v>133.30000000000001</v>
      </c>
      <c r="G3867">
        <v>2.8880000000000003E-4</v>
      </c>
      <c r="H3867" t="s">
        <v>2197</v>
      </c>
    </row>
    <row r="3868" spans="1:8">
      <c r="A3868" t="s">
        <v>4908</v>
      </c>
      <c r="B3868" t="s">
        <v>8029</v>
      </c>
      <c r="C3868">
        <v>20</v>
      </c>
      <c r="D3868">
        <v>1</v>
      </c>
      <c r="E3868">
        <v>1</v>
      </c>
      <c r="F3868">
        <v>1115</v>
      </c>
      <c r="G3868">
        <v>3.0869999999999999E-3</v>
      </c>
      <c r="H3868" t="s">
        <v>2203</v>
      </c>
    </row>
    <row r="3869" spans="1:8">
      <c r="A3869" t="s">
        <v>8031</v>
      </c>
      <c r="B3869" t="s">
        <v>8030</v>
      </c>
      <c r="C3869">
        <v>40</v>
      </c>
      <c r="D3869">
        <v>1</v>
      </c>
      <c r="E3869">
        <v>1</v>
      </c>
      <c r="F3869">
        <v>557.5</v>
      </c>
      <c r="G3869">
        <v>1.5435E-3</v>
      </c>
      <c r="H3869" t="s">
        <v>2203</v>
      </c>
    </row>
    <row r="3870" spans="1:8">
      <c r="A3870" t="s">
        <v>4907</v>
      </c>
      <c r="B3870" t="s">
        <v>8032</v>
      </c>
      <c r="C3870">
        <v>80</v>
      </c>
      <c r="D3870">
        <v>1</v>
      </c>
      <c r="E3870">
        <v>1</v>
      </c>
      <c r="F3870">
        <v>278.8</v>
      </c>
      <c r="G3870">
        <v>7.718E-4</v>
      </c>
      <c r="H3870" t="s">
        <v>2203</v>
      </c>
    </row>
    <row r="3871" spans="1:8">
      <c r="A3871" t="s">
        <v>4909</v>
      </c>
      <c r="B3871" t="s">
        <v>8033</v>
      </c>
      <c r="C3871">
        <v>10</v>
      </c>
      <c r="D3871">
        <v>20</v>
      </c>
      <c r="E3871">
        <v>1</v>
      </c>
      <c r="F3871">
        <v>37.450000000000003</v>
      </c>
      <c r="G3871">
        <v>2.6544375000000001E-4</v>
      </c>
      <c r="H3871" t="s">
        <v>2203</v>
      </c>
    </row>
    <row r="3872" spans="1:8">
      <c r="A3872" t="s">
        <v>5021</v>
      </c>
      <c r="B3872" t="s">
        <v>8038</v>
      </c>
      <c r="C3872">
        <v>1</v>
      </c>
      <c r="D3872">
        <v>1</v>
      </c>
      <c r="E3872">
        <v>1</v>
      </c>
      <c r="F3872">
        <v>23090</v>
      </c>
      <c r="G3872">
        <v>2.2113000000000001E-2</v>
      </c>
      <c r="H3872" t="s">
        <v>2303</v>
      </c>
    </row>
    <row r="3873" spans="1:8">
      <c r="A3873" t="s">
        <v>8035</v>
      </c>
      <c r="B3873" t="s">
        <v>8034</v>
      </c>
      <c r="C3873">
        <v>20</v>
      </c>
      <c r="D3873">
        <v>1</v>
      </c>
      <c r="E3873">
        <v>1</v>
      </c>
      <c r="F3873">
        <v>1195</v>
      </c>
      <c r="G3873">
        <v>2.8487999999999999E-3</v>
      </c>
      <c r="H3873" t="s">
        <v>2197</v>
      </c>
    </row>
    <row r="3874" spans="1:8">
      <c r="A3874" t="s">
        <v>8037</v>
      </c>
      <c r="B3874" t="s">
        <v>8036</v>
      </c>
      <c r="C3874">
        <v>4</v>
      </c>
      <c r="D3874">
        <v>1</v>
      </c>
      <c r="E3874">
        <v>1</v>
      </c>
      <c r="F3874">
        <v>1</v>
      </c>
      <c r="G3874">
        <v>0</v>
      </c>
      <c r="H3874" t="s">
        <v>2307</v>
      </c>
    </row>
    <row r="3875" spans="1:8">
      <c r="A3875" t="s">
        <v>8040</v>
      </c>
      <c r="B3875" t="s">
        <v>8039</v>
      </c>
      <c r="C3875">
        <v>1</v>
      </c>
      <c r="D3875">
        <v>1</v>
      </c>
      <c r="E3875">
        <v>1</v>
      </c>
      <c r="F3875">
        <v>37.450000000000003</v>
      </c>
      <c r="G3875">
        <v>2.6544375000000001E-4</v>
      </c>
      <c r="H3875" t="s">
        <v>2203</v>
      </c>
    </row>
    <row r="3876" spans="1:8">
      <c r="A3876" t="s">
        <v>4920</v>
      </c>
      <c r="B3876" t="s">
        <v>8064</v>
      </c>
      <c r="C3876">
        <v>12</v>
      </c>
      <c r="D3876">
        <v>15</v>
      </c>
      <c r="E3876">
        <v>1</v>
      </c>
      <c r="F3876">
        <v>31.11</v>
      </c>
      <c r="G3876">
        <v>1.26E-4</v>
      </c>
      <c r="H3876" t="s">
        <v>2203</v>
      </c>
    </row>
    <row r="3877" spans="1:8">
      <c r="A3877" t="s">
        <v>8050</v>
      </c>
      <c r="B3877" t="s">
        <v>8049</v>
      </c>
      <c r="C3877">
        <v>200</v>
      </c>
      <c r="D3877">
        <v>1</v>
      </c>
      <c r="E3877">
        <v>1</v>
      </c>
      <c r="F3877">
        <v>37.450000000000003</v>
      </c>
      <c r="G3877">
        <v>2.6544375000000001E-4</v>
      </c>
      <c r="H3877" t="s">
        <v>2203</v>
      </c>
    </row>
    <row r="3878" spans="1:8">
      <c r="A3878" t="s">
        <v>4913</v>
      </c>
      <c r="B3878" t="s">
        <v>8060</v>
      </c>
      <c r="C3878">
        <v>20</v>
      </c>
      <c r="D3878">
        <v>15</v>
      </c>
      <c r="E3878">
        <v>1</v>
      </c>
      <c r="F3878">
        <v>37.450000000000003</v>
      </c>
      <c r="G3878">
        <v>0</v>
      </c>
      <c r="H3878" t="s">
        <v>2203</v>
      </c>
    </row>
    <row r="3879" spans="1:8">
      <c r="A3879" t="s">
        <v>4910</v>
      </c>
      <c r="B3879" t="s">
        <v>8051</v>
      </c>
      <c r="C3879">
        <v>20</v>
      </c>
      <c r="D3879">
        <v>12</v>
      </c>
      <c r="E3879">
        <v>1</v>
      </c>
      <c r="F3879">
        <v>37.450000000000003</v>
      </c>
      <c r="G3879">
        <v>2.6544375000000001E-4</v>
      </c>
      <c r="H3879" t="s">
        <v>2203</v>
      </c>
    </row>
    <row r="3880" spans="1:8">
      <c r="A3880" t="s">
        <v>4911</v>
      </c>
      <c r="B3880" t="s">
        <v>8054</v>
      </c>
      <c r="C3880">
        <v>20</v>
      </c>
      <c r="D3880">
        <v>12</v>
      </c>
      <c r="E3880">
        <v>1</v>
      </c>
      <c r="F3880">
        <v>30.4</v>
      </c>
      <c r="G3880">
        <v>1.518E-3</v>
      </c>
      <c r="H3880" t="s">
        <v>2203</v>
      </c>
    </row>
    <row r="3881" spans="1:8">
      <c r="A3881" t="s">
        <v>8071</v>
      </c>
      <c r="B3881" t="s">
        <v>8070</v>
      </c>
      <c r="C3881">
        <v>20</v>
      </c>
      <c r="D3881">
        <v>6</v>
      </c>
      <c r="E3881">
        <v>1</v>
      </c>
      <c r="F3881">
        <v>1</v>
      </c>
      <c r="G3881">
        <v>0</v>
      </c>
      <c r="H3881" t="s">
        <v>2203</v>
      </c>
    </row>
    <row r="3882" spans="1:8">
      <c r="A3882" t="s">
        <v>4912</v>
      </c>
      <c r="B3882" t="s">
        <v>8046</v>
      </c>
      <c r="C3882">
        <v>480</v>
      </c>
      <c r="D3882">
        <v>1</v>
      </c>
      <c r="E3882">
        <v>1</v>
      </c>
      <c r="F3882">
        <v>37.450000000000003</v>
      </c>
      <c r="G3882">
        <v>2.6544375000000001E-4</v>
      </c>
      <c r="H3882" t="s">
        <v>2203</v>
      </c>
    </row>
    <row r="3883" spans="1:8">
      <c r="A3883" t="s">
        <v>8048</v>
      </c>
      <c r="B3883" t="s">
        <v>8047</v>
      </c>
      <c r="C3883">
        <v>20</v>
      </c>
      <c r="D3883">
        <v>12</v>
      </c>
      <c r="E3883">
        <v>1</v>
      </c>
      <c r="F3883">
        <v>37.450000000000003</v>
      </c>
      <c r="G3883">
        <v>2.6544375000000001E-4</v>
      </c>
      <c r="H3883" t="s">
        <v>2203</v>
      </c>
    </row>
    <row r="3884" spans="1:8">
      <c r="A3884" t="s">
        <v>4915</v>
      </c>
      <c r="B3884" t="s">
        <v>8058</v>
      </c>
      <c r="C3884">
        <v>20</v>
      </c>
      <c r="D3884">
        <v>12</v>
      </c>
      <c r="E3884">
        <v>1</v>
      </c>
      <c r="F3884">
        <v>37.450000000000003</v>
      </c>
      <c r="G3884">
        <v>2.6544375000000001E-4</v>
      </c>
      <c r="H3884" t="s">
        <v>2203</v>
      </c>
    </row>
    <row r="3885" spans="1:8">
      <c r="A3885" t="s">
        <v>4921</v>
      </c>
      <c r="B3885" t="s">
        <v>8061</v>
      </c>
      <c r="C3885">
        <v>20</v>
      </c>
      <c r="D3885">
        <v>6</v>
      </c>
      <c r="E3885">
        <v>1</v>
      </c>
      <c r="F3885">
        <v>34.832999999999998</v>
      </c>
      <c r="G3885">
        <v>0</v>
      </c>
      <c r="H3885" t="s">
        <v>2203</v>
      </c>
    </row>
    <row r="3886" spans="1:8">
      <c r="A3886" t="s">
        <v>9786</v>
      </c>
      <c r="B3886" t="s">
        <v>8065</v>
      </c>
      <c r="C3886">
        <v>18</v>
      </c>
      <c r="D3886">
        <v>15</v>
      </c>
      <c r="E3886">
        <v>1</v>
      </c>
      <c r="F3886">
        <v>19.100000000000001</v>
      </c>
      <c r="G3886" s="4">
        <v>9.2999999999999997E-5</v>
      </c>
      <c r="H3886" t="s">
        <v>2203</v>
      </c>
    </row>
    <row r="3887" spans="1:8">
      <c r="A3887" t="s">
        <v>4914</v>
      </c>
      <c r="B3887" t="s">
        <v>8055</v>
      </c>
      <c r="C3887">
        <v>12</v>
      </c>
      <c r="D3887">
        <v>10</v>
      </c>
      <c r="E3887">
        <v>1</v>
      </c>
      <c r="F3887">
        <v>37.450000000000003</v>
      </c>
      <c r="G3887">
        <v>2.6544375000000001E-4</v>
      </c>
      <c r="H3887" t="s">
        <v>2203</v>
      </c>
    </row>
    <row r="3888" spans="1:8">
      <c r="A3888" t="s">
        <v>4916</v>
      </c>
      <c r="B3888" t="s">
        <v>8041</v>
      </c>
      <c r="C3888">
        <v>12</v>
      </c>
      <c r="D3888">
        <v>10</v>
      </c>
      <c r="E3888">
        <v>1</v>
      </c>
      <c r="F3888">
        <v>37.450000000000003</v>
      </c>
      <c r="G3888">
        <v>2.6544375000000001E-4</v>
      </c>
      <c r="H3888" t="s">
        <v>2203</v>
      </c>
    </row>
    <row r="3889" spans="1:8">
      <c r="A3889" t="s">
        <v>8053</v>
      </c>
      <c r="B3889" t="s">
        <v>8052</v>
      </c>
      <c r="C3889">
        <v>20</v>
      </c>
      <c r="D3889">
        <v>10</v>
      </c>
      <c r="E3889">
        <v>1</v>
      </c>
      <c r="F3889">
        <v>37.450000000000003</v>
      </c>
      <c r="G3889">
        <v>2.6544375000000001E-4</v>
      </c>
      <c r="H3889" t="s">
        <v>2203</v>
      </c>
    </row>
    <row r="3890" spans="1:8">
      <c r="A3890" t="s">
        <v>2053</v>
      </c>
      <c r="B3890" t="s">
        <v>4143</v>
      </c>
      <c r="C3890">
        <v>20</v>
      </c>
      <c r="D3890">
        <v>20</v>
      </c>
      <c r="E3890">
        <v>1</v>
      </c>
      <c r="F3890">
        <v>37.450000000000003</v>
      </c>
      <c r="G3890">
        <v>2.6544375000000001E-4</v>
      </c>
      <c r="H3890" t="s">
        <v>2203</v>
      </c>
    </row>
    <row r="3891" spans="1:8">
      <c r="A3891" t="s">
        <v>4917</v>
      </c>
      <c r="B3891" t="s">
        <v>8059</v>
      </c>
      <c r="C3891">
        <v>20</v>
      </c>
      <c r="D3891">
        <v>12</v>
      </c>
      <c r="E3891">
        <v>1</v>
      </c>
      <c r="F3891">
        <v>21.7</v>
      </c>
      <c r="G3891">
        <v>1.2430000000000001E-4</v>
      </c>
      <c r="H3891" t="s">
        <v>2203</v>
      </c>
    </row>
    <row r="3892" spans="1:8">
      <c r="A3892" t="s">
        <v>8069</v>
      </c>
      <c r="B3892" t="s">
        <v>8068</v>
      </c>
      <c r="C3892">
        <v>12</v>
      </c>
      <c r="D3892">
        <v>10</v>
      </c>
      <c r="E3892">
        <v>1</v>
      </c>
      <c r="F3892">
        <v>33.799999999999997</v>
      </c>
      <c r="G3892">
        <v>2.009E-4</v>
      </c>
      <c r="H3892" t="s">
        <v>2203</v>
      </c>
    </row>
    <row r="3893" spans="1:8">
      <c r="A3893" t="s">
        <v>8043</v>
      </c>
      <c r="B3893" t="s">
        <v>8042</v>
      </c>
      <c r="C3893">
        <v>12</v>
      </c>
      <c r="D3893">
        <v>10</v>
      </c>
      <c r="E3893">
        <v>1</v>
      </c>
      <c r="F3893">
        <v>37.450000000000003</v>
      </c>
      <c r="G3893">
        <v>2.6544375000000001E-4</v>
      </c>
      <c r="H3893" t="s">
        <v>2203</v>
      </c>
    </row>
    <row r="3894" spans="1:8">
      <c r="A3894" t="s">
        <v>2054</v>
      </c>
      <c r="B3894" t="s">
        <v>4145</v>
      </c>
      <c r="C3894">
        <v>20</v>
      </c>
      <c r="D3894">
        <v>6</v>
      </c>
      <c r="E3894">
        <v>1</v>
      </c>
      <c r="F3894">
        <v>50.83</v>
      </c>
      <c r="G3894">
        <v>2.4867500000000001E-4</v>
      </c>
      <c r="H3894" t="s">
        <v>2203</v>
      </c>
    </row>
    <row r="3895" spans="1:8">
      <c r="A3895" t="s">
        <v>2055</v>
      </c>
      <c r="B3895" t="s">
        <v>4146</v>
      </c>
      <c r="C3895">
        <v>12</v>
      </c>
      <c r="D3895">
        <v>15</v>
      </c>
      <c r="E3895">
        <v>1</v>
      </c>
      <c r="F3895">
        <v>21.1</v>
      </c>
      <c r="G3895">
        <v>1.2990000000000001E-4</v>
      </c>
      <c r="H3895" t="s">
        <v>2203</v>
      </c>
    </row>
    <row r="3896" spans="1:8">
      <c r="A3896" t="s">
        <v>9787</v>
      </c>
      <c r="B3896" t="s">
        <v>8056</v>
      </c>
      <c r="C3896">
        <v>12</v>
      </c>
      <c r="D3896">
        <v>15</v>
      </c>
      <c r="E3896">
        <v>1</v>
      </c>
      <c r="F3896">
        <v>10</v>
      </c>
      <c r="G3896">
        <v>2.6544375000000001E-4</v>
      </c>
      <c r="H3896" t="s">
        <v>2203</v>
      </c>
    </row>
    <row r="3897" spans="1:8">
      <c r="A3897" t="s">
        <v>9788</v>
      </c>
      <c r="B3897" t="s">
        <v>8057</v>
      </c>
      <c r="C3897">
        <v>12</v>
      </c>
      <c r="D3897">
        <v>15</v>
      </c>
      <c r="E3897">
        <v>1</v>
      </c>
      <c r="F3897">
        <v>21.9</v>
      </c>
      <c r="G3897">
        <v>1.292E-4</v>
      </c>
      <c r="H3897" t="s">
        <v>2203</v>
      </c>
    </row>
    <row r="3898" spans="1:8">
      <c r="A3898" t="s">
        <v>8067</v>
      </c>
      <c r="B3898" t="s">
        <v>8066</v>
      </c>
      <c r="C3898">
        <v>12</v>
      </c>
      <c r="D3898">
        <v>10</v>
      </c>
      <c r="E3898">
        <v>1</v>
      </c>
      <c r="F3898">
        <v>27.5</v>
      </c>
      <c r="G3898">
        <v>1.9369999999999999E-4</v>
      </c>
      <c r="H3898" t="s">
        <v>2203</v>
      </c>
    </row>
    <row r="3899" spans="1:8">
      <c r="A3899" t="s">
        <v>2056</v>
      </c>
      <c r="B3899" t="s">
        <v>4148</v>
      </c>
      <c r="C3899">
        <v>12</v>
      </c>
      <c r="D3899">
        <v>10</v>
      </c>
      <c r="E3899">
        <v>1</v>
      </c>
      <c r="F3899">
        <v>33.799999999999997</v>
      </c>
      <c r="G3899">
        <v>2.009E-4</v>
      </c>
      <c r="H3899" t="s">
        <v>2203</v>
      </c>
    </row>
    <row r="3900" spans="1:8">
      <c r="A3900" t="s">
        <v>8075</v>
      </c>
      <c r="B3900" t="s">
        <v>8074</v>
      </c>
      <c r="C3900">
        <v>1</v>
      </c>
      <c r="D3900">
        <v>1</v>
      </c>
      <c r="E3900">
        <v>1</v>
      </c>
      <c r="F3900">
        <v>1</v>
      </c>
      <c r="G3900">
        <v>0</v>
      </c>
      <c r="H3900" t="s">
        <v>2203</v>
      </c>
    </row>
    <row r="3901" spans="1:8">
      <c r="A3901" t="s">
        <v>4919</v>
      </c>
      <c r="B3901" t="s">
        <v>8062</v>
      </c>
      <c r="C3901">
        <v>20</v>
      </c>
      <c r="D3901">
        <v>12</v>
      </c>
      <c r="E3901">
        <v>1</v>
      </c>
      <c r="F3901">
        <v>23.8</v>
      </c>
      <c r="G3901">
        <v>1.2430000000000001E-4</v>
      </c>
      <c r="H3901" t="s">
        <v>2203</v>
      </c>
    </row>
    <row r="3902" spans="1:8">
      <c r="A3902" t="s">
        <v>4918</v>
      </c>
      <c r="B3902" t="s">
        <v>8063</v>
      </c>
      <c r="C3902">
        <v>20</v>
      </c>
      <c r="D3902">
        <v>6</v>
      </c>
      <c r="E3902">
        <v>1</v>
      </c>
      <c r="F3902">
        <v>39.159999999999997</v>
      </c>
      <c r="G3902">
        <v>2.4867500000000001E-4</v>
      </c>
      <c r="H3902" t="s">
        <v>2203</v>
      </c>
    </row>
    <row r="3903" spans="1:8">
      <c r="A3903" t="s">
        <v>8045</v>
      </c>
      <c r="B3903" t="s">
        <v>8044</v>
      </c>
      <c r="C3903">
        <v>5</v>
      </c>
      <c r="D3903">
        <v>1</v>
      </c>
      <c r="E3903">
        <v>1</v>
      </c>
      <c r="F3903">
        <v>37.450000000000003</v>
      </c>
      <c r="G3903">
        <v>2.6544375000000001E-4</v>
      </c>
      <c r="H3903" t="s">
        <v>2203</v>
      </c>
    </row>
    <row r="3904" spans="1:8">
      <c r="A3904" t="s">
        <v>8073</v>
      </c>
      <c r="B3904" t="s">
        <v>8072</v>
      </c>
      <c r="C3904">
        <v>1</v>
      </c>
      <c r="D3904">
        <v>1</v>
      </c>
      <c r="E3904">
        <v>1</v>
      </c>
      <c r="F3904">
        <v>1</v>
      </c>
      <c r="G3904">
        <v>0</v>
      </c>
      <c r="H3904" t="s">
        <v>2203</v>
      </c>
    </row>
    <row r="3905" spans="1:8">
      <c r="A3905" t="s">
        <v>2057</v>
      </c>
      <c r="B3905" t="s">
        <v>4150</v>
      </c>
      <c r="C3905">
        <v>12</v>
      </c>
      <c r="D3905">
        <v>10</v>
      </c>
      <c r="E3905">
        <v>1</v>
      </c>
      <c r="F3905">
        <v>33.799999999999997</v>
      </c>
      <c r="G3905">
        <v>2.009E-4</v>
      </c>
      <c r="H3905" t="s">
        <v>2203</v>
      </c>
    </row>
    <row r="3906" spans="1:8">
      <c r="A3906" t="s">
        <v>9789</v>
      </c>
      <c r="B3906" t="s">
        <v>8076</v>
      </c>
      <c r="C3906">
        <v>40</v>
      </c>
      <c r="D3906">
        <v>1</v>
      </c>
      <c r="E3906">
        <v>1</v>
      </c>
      <c r="F3906">
        <v>1</v>
      </c>
      <c r="G3906">
        <v>0</v>
      </c>
      <c r="H3906" t="s">
        <v>2197</v>
      </c>
    </row>
    <row r="3907" spans="1:8">
      <c r="A3907" t="s">
        <v>4922</v>
      </c>
      <c r="B3907" t="s">
        <v>8077</v>
      </c>
      <c r="C3907">
        <v>20</v>
      </c>
      <c r="D3907">
        <v>1</v>
      </c>
      <c r="E3907">
        <v>1</v>
      </c>
      <c r="F3907">
        <v>575</v>
      </c>
      <c r="G3907">
        <v>1.2195624999999999E-3</v>
      </c>
      <c r="H3907" t="s">
        <v>2197</v>
      </c>
    </row>
    <row r="3908" spans="1:8">
      <c r="A3908" t="s">
        <v>8079</v>
      </c>
      <c r="B3908" t="s">
        <v>8078</v>
      </c>
      <c r="C3908">
        <v>6</v>
      </c>
      <c r="D3908">
        <v>20</v>
      </c>
      <c r="E3908">
        <v>1</v>
      </c>
      <c r="F3908">
        <v>575</v>
      </c>
      <c r="G3908">
        <v>1.2195624999999999E-3</v>
      </c>
      <c r="H3908" t="s">
        <v>2203</v>
      </c>
    </row>
    <row r="3909" spans="1:8">
      <c r="A3909" t="s">
        <v>4931</v>
      </c>
      <c r="B3909" t="s">
        <v>8103</v>
      </c>
      <c r="C3909">
        <v>12</v>
      </c>
      <c r="D3909">
        <v>20</v>
      </c>
      <c r="E3909">
        <v>1</v>
      </c>
      <c r="F3909">
        <v>5</v>
      </c>
      <c r="G3909">
        <v>1.2195624999999999E-3</v>
      </c>
      <c r="H3909" t="s">
        <v>2203</v>
      </c>
    </row>
    <row r="3910" spans="1:8">
      <c r="A3910" t="s">
        <v>8095</v>
      </c>
      <c r="B3910" t="s">
        <v>8094</v>
      </c>
      <c r="C3910">
        <v>12</v>
      </c>
      <c r="D3910">
        <v>20</v>
      </c>
      <c r="E3910">
        <v>1</v>
      </c>
      <c r="F3910">
        <v>575</v>
      </c>
      <c r="G3910">
        <v>1.2195624999999999E-3</v>
      </c>
      <c r="H3910" t="s">
        <v>2203</v>
      </c>
    </row>
    <row r="3911" spans="1:8">
      <c r="A3911" t="s">
        <v>2058</v>
      </c>
      <c r="B3911" t="s">
        <v>4152</v>
      </c>
      <c r="C3911">
        <v>20</v>
      </c>
      <c r="D3911">
        <v>20</v>
      </c>
      <c r="E3911">
        <v>1</v>
      </c>
      <c r="F3911">
        <v>17.100000000000001</v>
      </c>
      <c r="G3911" s="4">
        <v>8.9099999999999997E-5</v>
      </c>
      <c r="H3911" t="s">
        <v>2203</v>
      </c>
    </row>
    <row r="3912" spans="1:8">
      <c r="A3912" t="s">
        <v>2059</v>
      </c>
      <c r="B3912" t="s">
        <v>4155</v>
      </c>
      <c r="C3912">
        <v>20</v>
      </c>
      <c r="D3912">
        <v>20</v>
      </c>
      <c r="E3912">
        <v>1</v>
      </c>
      <c r="F3912">
        <v>1</v>
      </c>
      <c r="G3912">
        <v>0</v>
      </c>
      <c r="H3912" t="s">
        <v>2203</v>
      </c>
    </row>
    <row r="3913" spans="1:8">
      <c r="A3913" t="s">
        <v>8112</v>
      </c>
      <c r="B3913" t="s">
        <v>8111</v>
      </c>
      <c r="C3913">
        <v>20</v>
      </c>
      <c r="D3913">
        <v>24</v>
      </c>
      <c r="E3913">
        <v>1</v>
      </c>
      <c r="F3913">
        <v>1</v>
      </c>
      <c r="G3913">
        <v>0</v>
      </c>
      <c r="H3913" t="s">
        <v>2203</v>
      </c>
    </row>
    <row r="3914" spans="1:8">
      <c r="A3914" t="s">
        <v>4934</v>
      </c>
      <c r="B3914" t="s">
        <v>8101</v>
      </c>
      <c r="C3914">
        <v>12</v>
      </c>
      <c r="D3914">
        <v>20</v>
      </c>
      <c r="E3914">
        <v>1</v>
      </c>
      <c r="F3914">
        <v>5</v>
      </c>
      <c r="G3914">
        <v>1.2195624999999999E-3</v>
      </c>
      <c r="H3914" t="s">
        <v>2203</v>
      </c>
    </row>
    <row r="3915" spans="1:8">
      <c r="A3915" t="s">
        <v>4928</v>
      </c>
      <c r="B3915" t="s">
        <v>8093</v>
      </c>
      <c r="C3915">
        <v>12</v>
      </c>
      <c r="D3915">
        <v>20</v>
      </c>
      <c r="E3915">
        <v>1</v>
      </c>
      <c r="F3915">
        <v>575</v>
      </c>
      <c r="G3915">
        <v>1.2195624999999999E-3</v>
      </c>
      <c r="H3915" t="s">
        <v>2203</v>
      </c>
    </row>
    <row r="3916" spans="1:8">
      <c r="A3916" t="s">
        <v>4926</v>
      </c>
      <c r="B3916" t="s">
        <v>8085</v>
      </c>
      <c r="C3916">
        <v>20</v>
      </c>
      <c r="D3916">
        <v>30</v>
      </c>
      <c r="E3916">
        <v>1</v>
      </c>
      <c r="F3916">
        <v>575</v>
      </c>
      <c r="G3916">
        <v>1.2195624999999999E-3</v>
      </c>
      <c r="H3916" t="s">
        <v>2203</v>
      </c>
    </row>
    <row r="3917" spans="1:8">
      <c r="A3917" t="s">
        <v>8116</v>
      </c>
      <c r="B3917" t="s">
        <v>8115</v>
      </c>
      <c r="C3917">
        <v>20</v>
      </c>
      <c r="D3917">
        <v>20</v>
      </c>
      <c r="E3917">
        <v>1</v>
      </c>
      <c r="F3917">
        <v>1</v>
      </c>
      <c r="G3917">
        <v>0</v>
      </c>
      <c r="H3917" t="s">
        <v>2203</v>
      </c>
    </row>
    <row r="3918" spans="1:8">
      <c r="A3918" t="s">
        <v>8099</v>
      </c>
      <c r="B3918" t="s">
        <v>8098</v>
      </c>
      <c r="C3918">
        <v>20</v>
      </c>
      <c r="D3918">
        <v>24</v>
      </c>
      <c r="E3918">
        <v>1</v>
      </c>
      <c r="F3918">
        <v>11.9</v>
      </c>
      <c r="G3918" s="4">
        <v>6.2199999999999994E-5</v>
      </c>
      <c r="H3918" t="s">
        <v>2203</v>
      </c>
    </row>
    <row r="3919" spans="1:8">
      <c r="A3919" t="s">
        <v>4929</v>
      </c>
      <c r="B3919" t="s">
        <v>8102</v>
      </c>
      <c r="C3919">
        <v>12</v>
      </c>
      <c r="D3919">
        <v>20</v>
      </c>
      <c r="E3919">
        <v>1</v>
      </c>
      <c r="F3919">
        <v>575</v>
      </c>
      <c r="G3919">
        <v>1.2195624999999999E-3</v>
      </c>
      <c r="H3919" t="s">
        <v>2203</v>
      </c>
    </row>
    <row r="3920" spans="1:8">
      <c r="A3920" t="s">
        <v>8087</v>
      </c>
      <c r="B3920" t="s">
        <v>8086</v>
      </c>
      <c r="C3920">
        <v>20</v>
      </c>
      <c r="D3920">
        <v>30</v>
      </c>
      <c r="E3920">
        <v>1</v>
      </c>
      <c r="F3920">
        <v>575</v>
      </c>
      <c r="G3920">
        <v>1.2195624999999999E-3</v>
      </c>
      <c r="H3920" t="s">
        <v>2203</v>
      </c>
    </row>
    <row r="3921" spans="1:8">
      <c r="A3921" t="s">
        <v>4933</v>
      </c>
      <c r="B3921" t="s">
        <v>8106</v>
      </c>
      <c r="C3921">
        <v>12</v>
      </c>
      <c r="D3921">
        <v>20</v>
      </c>
      <c r="E3921">
        <v>1</v>
      </c>
      <c r="F3921">
        <v>575</v>
      </c>
      <c r="G3921">
        <v>0</v>
      </c>
      <c r="H3921" t="s">
        <v>2203</v>
      </c>
    </row>
    <row r="3922" spans="1:8">
      <c r="A3922" t="s">
        <v>8114</v>
      </c>
      <c r="B3922" t="s">
        <v>8113</v>
      </c>
      <c r="C3922">
        <v>12</v>
      </c>
      <c r="D3922">
        <v>20</v>
      </c>
      <c r="E3922">
        <v>1</v>
      </c>
      <c r="F3922">
        <v>146</v>
      </c>
      <c r="G3922" s="4">
        <v>9.4500000000000007E-5</v>
      </c>
      <c r="H3922" t="s">
        <v>2203</v>
      </c>
    </row>
    <row r="3923" spans="1:8">
      <c r="A3923" t="s">
        <v>2060</v>
      </c>
      <c r="B3923" t="s">
        <v>4157</v>
      </c>
      <c r="C3923">
        <v>12</v>
      </c>
      <c r="D3923">
        <v>15</v>
      </c>
      <c r="E3923">
        <v>1</v>
      </c>
      <c r="F3923">
        <v>20.8</v>
      </c>
      <c r="G3923">
        <v>1.284E-4</v>
      </c>
      <c r="H3923" t="s">
        <v>2203</v>
      </c>
    </row>
    <row r="3924" spans="1:8">
      <c r="A3924" t="s">
        <v>4932</v>
      </c>
      <c r="B3924" t="s">
        <v>8110</v>
      </c>
      <c r="C3924">
        <v>20</v>
      </c>
      <c r="D3924">
        <v>24</v>
      </c>
      <c r="E3924">
        <v>1</v>
      </c>
      <c r="F3924">
        <v>16.458300000000001</v>
      </c>
      <c r="G3924" s="4">
        <v>7.4250000000000002E-5</v>
      </c>
      <c r="H3924" t="s">
        <v>2203</v>
      </c>
    </row>
    <row r="3925" spans="1:8">
      <c r="A3925" t="s">
        <v>4923</v>
      </c>
      <c r="B3925" t="s">
        <v>8080</v>
      </c>
      <c r="C3925">
        <v>12</v>
      </c>
      <c r="D3925">
        <v>20</v>
      </c>
      <c r="E3925">
        <v>1</v>
      </c>
      <c r="F3925">
        <v>575</v>
      </c>
      <c r="G3925">
        <v>1.2195624999999999E-3</v>
      </c>
      <c r="H3925" t="s">
        <v>2203</v>
      </c>
    </row>
    <row r="3926" spans="1:8">
      <c r="A3926" t="s">
        <v>8084</v>
      </c>
      <c r="B3926" t="s">
        <v>8083</v>
      </c>
      <c r="C3926">
        <v>18</v>
      </c>
      <c r="D3926">
        <v>25</v>
      </c>
      <c r="E3926">
        <v>1</v>
      </c>
      <c r="F3926">
        <v>575</v>
      </c>
      <c r="G3926">
        <v>1.2195624999999999E-3</v>
      </c>
      <c r="H3926" t="s">
        <v>2203</v>
      </c>
    </row>
    <row r="3927" spans="1:8">
      <c r="A3927" t="s">
        <v>8105</v>
      </c>
      <c r="B3927" t="s">
        <v>8104</v>
      </c>
      <c r="C3927">
        <v>12</v>
      </c>
      <c r="D3927">
        <v>20</v>
      </c>
      <c r="E3927">
        <v>1</v>
      </c>
      <c r="F3927">
        <v>575</v>
      </c>
      <c r="G3927">
        <v>1.2195624999999999E-3</v>
      </c>
      <c r="H3927" t="s">
        <v>2203</v>
      </c>
    </row>
    <row r="3928" spans="1:8">
      <c r="A3928" t="s">
        <v>4930</v>
      </c>
      <c r="B3928" t="s">
        <v>8100</v>
      </c>
      <c r="C3928">
        <v>12</v>
      </c>
      <c r="D3928">
        <v>20</v>
      </c>
      <c r="E3928">
        <v>1</v>
      </c>
      <c r="F3928">
        <v>575</v>
      </c>
      <c r="G3928">
        <v>1.2195624999999999E-3</v>
      </c>
      <c r="H3928" t="s">
        <v>2203</v>
      </c>
    </row>
    <row r="3929" spans="1:8">
      <c r="A3929" t="s">
        <v>4924</v>
      </c>
      <c r="B3929" t="s">
        <v>8081</v>
      </c>
      <c r="C3929">
        <v>18</v>
      </c>
      <c r="D3929">
        <v>25</v>
      </c>
      <c r="E3929">
        <v>1</v>
      </c>
      <c r="F3929">
        <v>575</v>
      </c>
      <c r="G3929">
        <v>1.2195624999999999E-3</v>
      </c>
      <c r="H3929" t="s">
        <v>2203</v>
      </c>
    </row>
    <row r="3930" spans="1:8">
      <c r="A3930" t="s">
        <v>8108</v>
      </c>
      <c r="B3930" t="s">
        <v>8107</v>
      </c>
      <c r="C3930">
        <v>12</v>
      </c>
      <c r="D3930">
        <v>20</v>
      </c>
      <c r="E3930">
        <v>1</v>
      </c>
      <c r="F3930">
        <v>14583</v>
      </c>
      <c r="G3930" s="4">
        <v>7.05375E-5</v>
      </c>
      <c r="H3930" t="s">
        <v>2203</v>
      </c>
    </row>
    <row r="3931" spans="1:8">
      <c r="A3931" t="s">
        <v>4935</v>
      </c>
      <c r="B3931" t="s">
        <v>8109</v>
      </c>
      <c r="C3931">
        <v>12</v>
      </c>
      <c r="D3931">
        <v>20</v>
      </c>
      <c r="E3931">
        <v>1</v>
      </c>
      <c r="F3931">
        <v>1750</v>
      </c>
      <c r="G3931" s="4">
        <v>9.4500000000000007E-5</v>
      </c>
      <c r="H3931" t="s">
        <v>2203</v>
      </c>
    </row>
    <row r="3932" spans="1:8">
      <c r="A3932" t="s">
        <v>8092</v>
      </c>
      <c r="B3932" t="s">
        <v>8091</v>
      </c>
      <c r="C3932">
        <v>12</v>
      </c>
      <c r="D3932">
        <v>20</v>
      </c>
      <c r="E3932">
        <v>1</v>
      </c>
      <c r="F3932">
        <v>575</v>
      </c>
      <c r="G3932">
        <v>1.2195624999999999E-3</v>
      </c>
      <c r="H3932" t="s">
        <v>2203</v>
      </c>
    </row>
    <row r="3933" spans="1:8">
      <c r="A3933" t="s">
        <v>4927</v>
      </c>
      <c r="B3933" t="s">
        <v>8088</v>
      </c>
      <c r="C3933">
        <v>20</v>
      </c>
      <c r="D3933">
        <v>30</v>
      </c>
      <c r="E3933">
        <v>1</v>
      </c>
      <c r="F3933">
        <v>575</v>
      </c>
      <c r="G3933">
        <v>1.2195624999999999E-3</v>
      </c>
      <c r="H3933" t="s">
        <v>2203</v>
      </c>
    </row>
    <row r="3934" spans="1:8">
      <c r="A3934" t="s">
        <v>8090</v>
      </c>
      <c r="B3934" t="s">
        <v>8089</v>
      </c>
      <c r="C3934">
        <v>50</v>
      </c>
      <c r="D3934">
        <v>1</v>
      </c>
      <c r="E3934">
        <v>1</v>
      </c>
      <c r="F3934">
        <v>575</v>
      </c>
      <c r="G3934">
        <v>1.2195624999999999E-3</v>
      </c>
      <c r="H3934" t="s">
        <v>2203</v>
      </c>
    </row>
    <row r="3935" spans="1:8">
      <c r="A3935" t="s">
        <v>4925</v>
      </c>
      <c r="B3935" t="s">
        <v>8082</v>
      </c>
      <c r="C3935">
        <v>12</v>
      </c>
      <c r="D3935">
        <v>20</v>
      </c>
      <c r="E3935">
        <v>1</v>
      </c>
      <c r="F3935">
        <v>575</v>
      </c>
      <c r="G3935">
        <v>1.2195624999999999E-3</v>
      </c>
      <c r="H3935" t="s">
        <v>2203</v>
      </c>
    </row>
    <row r="3936" spans="1:8">
      <c r="A3936" t="s">
        <v>8097</v>
      </c>
      <c r="B3936" t="s">
        <v>8096</v>
      </c>
      <c r="C3936">
        <v>12</v>
      </c>
      <c r="D3936">
        <v>20</v>
      </c>
      <c r="E3936">
        <v>1</v>
      </c>
      <c r="F3936">
        <v>575</v>
      </c>
      <c r="G3936">
        <v>1.2195624999999999E-3</v>
      </c>
      <c r="H3936" t="s">
        <v>2203</v>
      </c>
    </row>
    <row r="3937" spans="1:8">
      <c r="A3937" t="s">
        <v>8118</v>
      </c>
      <c r="B3937" t="s">
        <v>8117</v>
      </c>
      <c r="C3937">
        <v>20</v>
      </c>
      <c r="D3937">
        <v>1</v>
      </c>
      <c r="E3937">
        <v>1</v>
      </c>
      <c r="F3937">
        <v>1</v>
      </c>
      <c r="G3937">
        <v>0</v>
      </c>
      <c r="H3937" t="s">
        <v>2197</v>
      </c>
    </row>
    <row r="3938" spans="1:8">
      <c r="A3938" t="s">
        <v>2061</v>
      </c>
      <c r="B3938" t="s">
        <v>4160</v>
      </c>
      <c r="C3938">
        <v>1</v>
      </c>
      <c r="D3938">
        <v>1</v>
      </c>
      <c r="E3938">
        <v>1</v>
      </c>
      <c r="F3938">
        <v>1</v>
      </c>
      <c r="G3938">
        <v>0</v>
      </c>
      <c r="H3938" t="s">
        <v>2221</v>
      </c>
    </row>
    <row r="3939" spans="1:8">
      <c r="A3939" t="s">
        <v>4936</v>
      </c>
      <c r="B3939" t="s">
        <v>8119</v>
      </c>
      <c r="C3939">
        <v>50</v>
      </c>
      <c r="D3939">
        <v>1</v>
      </c>
      <c r="E3939">
        <v>1</v>
      </c>
      <c r="F3939">
        <v>0</v>
      </c>
      <c r="G3939">
        <v>0</v>
      </c>
      <c r="H3939" t="s">
        <v>2197</v>
      </c>
    </row>
    <row r="3940" spans="1:8">
      <c r="A3940" t="s">
        <v>2062</v>
      </c>
      <c r="B3940" t="s">
        <v>4161</v>
      </c>
      <c r="C3940">
        <v>25</v>
      </c>
      <c r="D3940">
        <v>1</v>
      </c>
      <c r="E3940">
        <v>1</v>
      </c>
      <c r="F3940">
        <v>164</v>
      </c>
      <c r="G3940">
        <v>3.8999999999999999E-4</v>
      </c>
      <c r="H3940" t="s">
        <v>2197</v>
      </c>
    </row>
    <row r="3941" spans="1:8">
      <c r="A3941" t="s">
        <v>2063</v>
      </c>
      <c r="B3941" t="s">
        <v>4163</v>
      </c>
      <c r="C3941">
        <v>50</v>
      </c>
      <c r="D3941">
        <v>1</v>
      </c>
      <c r="E3941">
        <v>1</v>
      </c>
      <c r="F3941">
        <v>98</v>
      </c>
      <c r="G3941">
        <v>2.5480000000000001E-4</v>
      </c>
      <c r="H3941" t="s">
        <v>2197</v>
      </c>
    </row>
    <row r="3942" spans="1:8">
      <c r="A3942" t="s">
        <v>2064</v>
      </c>
      <c r="B3942" t="s">
        <v>4164</v>
      </c>
      <c r="C3942">
        <v>1</v>
      </c>
      <c r="D3942">
        <v>1</v>
      </c>
      <c r="E3942">
        <v>1</v>
      </c>
      <c r="F3942">
        <v>1</v>
      </c>
      <c r="G3942">
        <v>0</v>
      </c>
      <c r="H3942" t="s">
        <v>2221</v>
      </c>
    </row>
    <row r="3943" spans="1:8">
      <c r="A3943" t="s">
        <v>9204</v>
      </c>
      <c r="B3943" t="s">
        <v>9203</v>
      </c>
      <c r="C3943">
        <v>1</v>
      </c>
      <c r="D3943">
        <v>1</v>
      </c>
      <c r="E3943">
        <v>1</v>
      </c>
      <c r="F3943">
        <v>1</v>
      </c>
      <c r="G3943">
        <v>0</v>
      </c>
      <c r="H3943" t="s">
        <v>2221</v>
      </c>
    </row>
    <row r="3944" spans="1:8">
      <c r="A3944" t="s">
        <v>2065</v>
      </c>
      <c r="B3944" t="s">
        <v>4165</v>
      </c>
      <c r="C3944">
        <v>1</v>
      </c>
      <c r="D3944">
        <v>1</v>
      </c>
      <c r="E3944">
        <v>1</v>
      </c>
      <c r="F3944">
        <v>1</v>
      </c>
      <c r="G3944">
        <v>0</v>
      </c>
      <c r="H3944" t="s">
        <v>2221</v>
      </c>
    </row>
    <row r="3945" spans="1:8">
      <c r="A3945" t="s">
        <v>9214</v>
      </c>
      <c r="B3945" t="s">
        <v>9213</v>
      </c>
      <c r="C3945">
        <v>1</v>
      </c>
      <c r="D3945">
        <v>1</v>
      </c>
      <c r="E3945">
        <v>1</v>
      </c>
      <c r="F3945">
        <v>1</v>
      </c>
      <c r="G3945">
        <v>0</v>
      </c>
      <c r="H3945" t="s">
        <v>2221</v>
      </c>
    </row>
    <row r="3946" spans="1:8">
      <c r="A3946" t="s">
        <v>9216</v>
      </c>
      <c r="B3946" t="s">
        <v>9215</v>
      </c>
      <c r="C3946">
        <v>1</v>
      </c>
      <c r="D3946">
        <v>1</v>
      </c>
      <c r="E3946">
        <v>1</v>
      </c>
      <c r="F3946">
        <v>1</v>
      </c>
      <c r="G3946">
        <v>0</v>
      </c>
      <c r="H3946" t="s">
        <v>2221</v>
      </c>
    </row>
    <row r="3947" spans="1:8">
      <c r="A3947" t="s">
        <v>9206</v>
      </c>
      <c r="B3947" t="s">
        <v>9205</v>
      </c>
      <c r="C3947">
        <v>1</v>
      </c>
      <c r="D3947">
        <v>1</v>
      </c>
      <c r="E3947">
        <v>1</v>
      </c>
      <c r="F3947">
        <v>1</v>
      </c>
      <c r="G3947">
        <v>0</v>
      </c>
      <c r="H3947" t="s">
        <v>2221</v>
      </c>
    </row>
    <row r="3948" spans="1:8">
      <c r="A3948" t="s">
        <v>2066</v>
      </c>
      <c r="B3948" t="s">
        <v>4166</v>
      </c>
      <c r="C3948">
        <v>1</v>
      </c>
      <c r="D3948">
        <v>1</v>
      </c>
      <c r="E3948">
        <v>1</v>
      </c>
      <c r="F3948">
        <v>1</v>
      </c>
      <c r="G3948">
        <v>0</v>
      </c>
      <c r="H3948" t="s">
        <v>2221</v>
      </c>
    </row>
    <row r="3949" spans="1:8">
      <c r="A3949" t="s">
        <v>9208</v>
      </c>
      <c r="B3949" t="s">
        <v>9207</v>
      </c>
      <c r="C3949">
        <v>1</v>
      </c>
      <c r="D3949">
        <v>1</v>
      </c>
      <c r="E3949">
        <v>1</v>
      </c>
      <c r="F3949">
        <v>1</v>
      </c>
      <c r="G3949">
        <v>0</v>
      </c>
      <c r="H3949" t="s">
        <v>2221</v>
      </c>
    </row>
    <row r="3950" spans="1:8">
      <c r="A3950" t="s">
        <v>2067</v>
      </c>
      <c r="B3950" t="s">
        <v>4167</v>
      </c>
      <c r="C3950">
        <v>1</v>
      </c>
      <c r="D3950">
        <v>1</v>
      </c>
      <c r="E3950">
        <v>1</v>
      </c>
      <c r="F3950">
        <v>1</v>
      </c>
      <c r="G3950">
        <v>0</v>
      </c>
      <c r="H3950" t="s">
        <v>2221</v>
      </c>
    </row>
    <row r="3951" spans="1:8">
      <c r="A3951" t="s">
        <v>2068</v>
      </c>
      <c r="B3951" t="s">
        <v>4168</v>
      </c>
      <c r="C3951">
        <v>1</v>
      </c>
      <c r="D3951">
        <v>1</v>
      </c>
      <c r="E3951">
        <v>1</v>
      </c>
      <c r="F3951">
        <v>1</v>
      </c>
      <c r="G3951">
        <v>0</v>
      </c>
      <c r="H3951" t="s">
        <v>2221</v>
      </c>
    </row>
    <row r="3952" spans="1:8">
      <c r="A3952" t="s">
        <v>9220</v>
      </c>
      <c r="B3952" t="s">
        <v>9219</v>
      </c>
      <c r="C3952">
        <v>1</v>
      </c>
      <c r="D3952">
        <v>1</v>
      </c>
      <c r="E3952">
        <v>1</v>
      </c>
      <c r="F3952">
        <v>1</v>
      </c>
      <c r="G3952">
        <v>0</v>
      </c>
      <c r="H3952" t="s">
        <v>2221</v>
      </c>
    </row>
    <row r="3953" spans="1:8">
      <c r="A3953" t="s">
        <v>2069</v>
      </c>
      <c r="B3953" t="s">
        <v>4169</v>
      </c>
      <c r="C3953">
        <v>1</v>
      </c>
      <c r="D3953">
        <v>1</v>
      </c>
      <c r="E3953">
        <v>1</v>
      </c>
      <c r="F3953">
        <v>1</v>
      </c>
      <c r="G3953">
        <v>0</v>
      </c>
      <c r="H3953" t="s">
        <v>2221</v>
      </c>
    </row>
    <row r="3954" spans="1:8">
      <c r="A3954" t="s">
        <v>2070</v>
      </c>
      <c r="B3954" t="s">
        <v>4170</v>
      </c>
      <c r="C3954">
        <v>1</v>
      </c>
      <c r="D3954">
        <v>1</v>
      </c>
      <c r="E3954">
        <v>1</v>
      </c>
      <c r="F3954">
        <v>1</v>
      </c>
      <c r="G3954">
        <v>0</v>
      </c>
      <c r="H3954" t="s">
        <v>2221</v>
      </c>
    </row>
    <row r="3955" spans="1:8">
      <c r="A3955" t="s">
        <v>9210</v>
      </c>
      <c r="B3955" t="s">
        <v>9209</v>
      </c>
      <c r="C3955">
        <v>1</v>
      </c>
      <c r="D3955">
        <v>1</v>
      </c>
      <c r="E3955">
        <v>1</v>
      </c>
      <c r="F3955">
        <v>1</v>
      </c>
      <c r="G3955">
        <v>0</v>
      </c>
      <c r="H3955" t="s">
        <v>2221</v>
      </c>
    </row>
    <row r="3956" spans="1:8">
      <c r="A3956" t="s">
        <v>2071</v>
      </c>
      <c r="B3956" t="s">
        <v>4171</v>
      </c>
      <c r="C3956">
        <v>1</v>
      </c>
      <c r="D3956">
        <v>1</v>
      </c>
      <c r="E3956">
        <v>1</v>
      </c>
      <c r="F3956">
        <v>1</v>
      </c>
      <c r="G3956">
        <v>0</v>
      </c>
      <c r="H3956" t="s">
        <v>2221</v>
      </c>
    </row>
    <row r="3957" spans="1:8">
      <c r="A3957" t="s">
        <v>8121</v>
      </c>
      <c r="B3957" t="s">
        <v>8120</v>
      </c>
      <c r="C3957">
        <v>1</v>
      </c>
      <c r="D3957">
        <v>1</v>
      </c>
      <c r="E3957">
        <v>1</v>
      </c>
      <c r="F3957">
        <v>1</v>
      </c>
      <c r="G3957">
        <v>0</v>
      </c>
      <c r="H3957" t="s">
        <v>2221</v>
      </c>
    </row>
    <row r="3958" spans="1:8">
      <c r="A3958" t="s">
        <v>9212</v>
      </c>
      <c r="B3958" t="s">
        <v>9211</v>
      </c>
      <c r="C3958">
        <v>1</v>
      </c>
      <c r="D3958">
        <v>1</v>
      </c>
      <c r="E3958">
        <v>1</v>
      </c>
      <c r="F3958">
        <v>1</v>
      </c>
      <c r="G3958">
        <v>0</v>
      </c>
      <c r="H3958" t="s">
        <v>2221</v>
      </c>
    </row>
    <row r="3959" spans="1:8">
      <c r="A3959" t="s">
        <v>2072</v>
      </c>
      <c r="B3959" t="s">
        <v>4172</v>
      </c>
      <c r="C3959">
        <v>1</v>
      </c>
      <c r="D3959">
        <v>1</v>
      </c>
      <c r="E3959">
        <v>1</v>
      </c>
      <c r="F3959">
        <v>1</v>
      </c>
      <c r="G3959">
        <v>0</v>
      </c>
      <c r="H3959" t="s">
        <v>2221</v>
      </c>
    </row>
    <row r="3960" spans="1:8">
      <c r="A3960" t="s">
        <v>9218</v>
      </c>
      <c r="B3960" t="s">
        <v>9217</v>
      </c>
      <c r="C3960">
        <v>1</v>
      </c>
      <c r="D3960">
        <v>1</v>
      </c>
      <c r="E3960">
        <v>1</v>
      </c>
      <c r="F3960">
        <v>1</v>
      </c>
      <c r="G3960">
        <v>0</v>
      </c>
      <c r="H3960" t="s">
        <v>2221</v>
      </c>
    </row>
    <row r="3961" spans="1:8">
      <c r="A3961" t="s">
        <v>2073</v>
      </c>
      <c r="B3961" t="s">
        <v>4174</v>
      </c>
      <c r="C3961">
        <v>100</v>
      </c>
      <c r="D3961">
        <v>1</v>
      </c>
      <c r="E3961">
        <v>1</v>
      </c>
      <c r="F3961">
        <v>108</v>
      </c>
      <c r="G3961">
        <v>2.9740000000000002E-4</v>
      </c>
      <c r="H3961" t="s">
        <v>2203</v>
      </c>
    </row>
    <row r="3962" spans="1:8">
      <c r="A3962" t="s">
        <v>2074</v>
      </c>
      <c r="B3962" t="s">
        <v>4176</v>
      </c>
      <c r="C3962">
        <v>50</v>
      </c>
      <c r="D3962">
        <v>1</v>
      </c>
      <c r="E3962">
        <v>1</v>
      </c>
      <c r="F3962">
        <v>1</v>
      </c>
      <c r="G3962">
        <v>0</v>
      </c>
      <c r="H3962" t="s">
        <v>2203</v>
      </c>
    </row>
    <row r="3963" spans="1:8">
      <c r="A3963" t="s">
        <v>8125</v>
      </c>
      <c r="B3963" t="s">
        <v>8124</v>
      </c>
      <c r="C3963">
        <v>1</v>
      </c>
      <c r="D3963">
        <v>1</v>
      </c>
      <c r="E3963">
        <v>1</v>
      </c>
      <c r="F3963">
        <v>1</v>
      </c>
      <c r="G3963">
        <v>0</v>
      </c>
      <c r="H3963" t="s">
        <v>2303</v>
      </c>
    </row>
    <row r="3964" spans="1:8">
      <c r="A3964" t="s">
        <v>2075</v>
      </c>
      <c r="B3964" t="s">
        <v>4177</v>
      </c>
      <c r="C3964">
        <v>20</v>
      </c>
      <c r="D3964">
        <v>1</v>
      </c>
      <c r="E3964">
        <v>1</v>
      </c>
      <c r="F3964">
        <v>1323.5</v>
      </c>
      <c r="G3964">
        <v>3.0038E-3</v>
      </c>
      <c r="H3964" t="s">
        <v>2197</v>
      </c>
    </row>
    <row r="3965" spans="1:8">
      <c r="A3965" t="s">
        <v>8123</v>
      </c>
      <c r="B3965" t="s">
        <v>8122</v>
      </c>
      <c r="C3965">
        <v>4</v>
      </c>
      <c r="D3965">
        <v>1</v>
      </c>
      <c r="E3965">
        <v>1</v>
      </c>
      <c r="F3965">
        <v>1</v>
      </c>
      <c r="G3965">
        <v>0</v>
      </c>
      <c r="H3965" t="s">
        <v>2307</v>
      </c>
    </row>
    <row r="3966" spans="1:8">
      <c r="A3966" t="s">
        <v>8129</v>
      </c>
      <c r="B3966" t="s">
        <v>8128</v>
      </c>
      <c r="C3966">
        <v>20</v>
      </c>
      <c r="D3966">
        <v>1</v>
      </c>
      <c r="E3966">
        <v>1</v>
      </c>
      <c r="F3966">
        <v>1</v>
      </c>
      <c r="G3966">
        <v>0</v>
      </c>
      <c r="H3966" t="s">
        <v>2197</v>
      </c>
    </row>
    <row r="3967" spans="1:8">
      <c r="A3967" t="s">
        <v>8127</v>
      </c>
      <c r="B3967" t="s">
        <v>8126</v>
      </c>
      <c r="C3967">
        <v>50</v>
      </c>
      <c r="D3967">
        <v>1</v>
      </c>
      <c r="E3967">
        <v>1</v>
      </c>
      <c r="F3967">
        <v>1</v>
      </c>
      <c r="G3967">
        <v>0</v>
      </c>
      <c r="H3967" t="s">
        <v>2197</v>
      </c>
    </row>
    <row r="3968" spans="1:8">
      <c r="A3968" t="s">
        <v>8132</v>
      </c>
      <c r="B3968" t="s">
        <v>8131</v>
      </c>
      <c r="C3968">
        <v>20</v>
      </c>
      <c r="D3968">
        <v>1</v>
      </c>
      <c r="E3968">
        <v>1</v>
      </c>
      <c r="F3968">
        <v>0</v>
      </c>
      <c r="G3968">
        <v>0</v>
      </c>
      <c r="H3968" t="s">
        <v>2197</v>
      </c>
    </row>
    <row r="3969" spans="1:8">
      <c r="A3969" t="s">
        <v>8138</v>
      </c>
      <c r="B3969" t="s">
        <v>8137</v>
      </c>
      <c r="C3969">
        <v>20</v>
      </c>
      <c r="D3969">
        <v>1</v>
      </c>
      <c r="E3969">
        <v>1</v>
      </c>
      <c r="F3969">
        <v>1</v>
      </c>
      <c r="G3969">
        <v>0</v>
      </c>
      <c r="H3969" t="s">
        <v>2197</v>
      </c>
    </row>
    <row r="3970" spans="1:8">
      <c r="A3970" t="s">
        <v>8134</v>
      </c>
      <c r="B3970" t="s">
        <v>8133</v>
      </c>
      <c r="C3970">
        <v>24</v>
      </c>
      <c r="D3970">
        <v>1</v>
      </c>
      <c r="E3970">
        <v>1</v>
      </c>
      <c r="F3970">
        <v>316.7</v>
      </c>
      <c r="G3970">
        <v>7.0879999999999999E-4</v>
      </c>
      <c r="H3970" t="s">
        <v>2197</v>
      </c>
    </row>
    <row r="3971" spans="1:8">
      <c r="A3971" t="s">
        <v>2076</v>
      </c>
      <c r="B3971" t="s">
        <v>4178</v>
      </c>
      <c r="C3971">
        <v>30</v>
      </c>
      <c r="D3971">
        <v>1</v>
      </c>
      <c r="E3971">
        <v>1</v>
      </c>
      <c r="F3971">
        <v>502.3</v>
      </c>
      <c r="G3971">
        <v>5.9150000000000001E-4</v>
      </c>
      <c r="H3971" t="s">
        <v>2203</v>
      </c>
    </row>
    <row r="3972" spans="1:8">
      <c r="A3972" t="s">
        <v>9790</v>
      </c>
      <c r="B3972" t="s">
        <v>8141</v>
      </c>
      <c r="C3972">
        <v>30</v>
      </c>
      <c r="D3972">
        <v>1</v>
      </c>
      <c r="E3972">
        <v>1</v>
      </c>
      <c r="F3972">
        <v>502.3</v>
      </c>
      <c r="G3972">
        <v>5.9150000000000001E-4</v>
      </c>
      <c r="H3972" t="s">
        <v>2203</v>
      </c>
    </row>
    <row r="3973" spans="1:8">
      <c r="A3973" t="s">
        <v>8143</v>
      </c>
      <c r="B3973" t="s">
        <v>8142</v>
      </c>
      <c r="C3973">
        <v>20</v>
      </c>
      <c r="D3973">
        <v>1</v>
      </c>
      <c r="E3973">
        <v>1</v>
      </c>
      <c r="F3973">
        <v>325</v>
      </c>
      <c r="G3973">
        <v>8.6399999999999997E-4</v>
      </c>
      <c r="H3973" t="s">
        <v>2197</v>
      </c>
    </row>
    <row r="3974" spans="1:8">
      <c r="A3974" t="s">
        <v>8140</v>
      </c>
      <c r="B3974" t="s">
        <v>8139</v>
      </c>
      <c r="C3974">
        <v>20</v>
      </c>
      <c r="D3974">
        <v>1</v>
      </c>
      <c r="E3974">
        <v>1</v>
      </c>
      <c r="F3974">
        <v>675</v>
      </c>
      <c r="G3974">
        <v>1.3565999999999999E-3</v>
      </c>
      <c r="H3974" t="s">
        <v>2197</v>
      </c>
    </row>
    <row r="3975" spans="1:8">
      <c r="A3975" t="s">
        <v>8136</v>
      </c>
      <c r="B3975" t="s">
        <v>8135</v>
      </c>
      <c r="C3975">
        <v>20</v>
      </c>
      <c r="D3975">
        <v>1</v>
      </c>
      <c r="E3975">
        <v>1</v>
      </c>
      <c r="F3975">
        <v>502.33333333333297</v>
      </c>
      <c r="G3975">
        <v>5.9150000000000001E-4</v>
      </c>
      <c r="H3975" t="s">
        <v>2203</v>
      </c>
    </row>
    <row r="3976" spans="1:8">
      <c r="A3976" t="s">
        <v>9791</v>
      </c>
      <c r="B3976" t="s">
        <v>8130</v>
      </c>
      <c r="C3976">
        <v>10</v>
      </c>
      <c r="D3976">
        <v>10</v>
      </c>
      <c r="E3976">
        <v>1</v>
      </c>
      <c r="F3976">
        <v>0</v>
      </c>
      <c r="G3976">
        <v>0</v>
      </c>
      <c r="H3976" t="s">
        <v>2203</v>
      </c>
    </row>
    <row r="3977" spans="1:8">
      <c r="A3977" t="s">
        <v>2077</v>
      </c>
      <c r="B3977" t="s">
        <v>4180</v>
      </c>
      <c r="C3977">
        <v>20</v>
      </c>
      <c r="D3977">
        <v>1</v>
      </c>
      <c r="E3977">
        <v>1</v>
      </c>
      <c r="F3977">
        <v>597.5</v>
      </c>
      <c r="G3977">
        <v>2.3040000000000001E-3</v>
      </c>
      <c r="H3977" t="s">
        <v>2203</v>
      </c>
    </row>
    <row r="3978" spans="1:8">
      <c r="A3978" t="s">
        <v>8145</v>
      </c>
      <c r="B3978" t="s">
        <v>8144</v>
      </c>
      <c r="C3978">
        <v>15</v>
      </c>
      <c r="D3978">
        <v>1</v>
      </c>
      <c r="E3978">
        <v>1</v>
      </c>
      <c r="F3978">
        <v>1</v>
      </c>
      <c r="G3978">
        <v>0</v>
      </c>
      <c r="H3978" t="s">
        <v>2197</v>
      </c>
    </row>
    <row r="3979" spans="1:8">
      <c r="A3979" t="s">
        <v>8147</v>
      </c>
      <c r="B3979" t="s">
        <v>8146</v>
      </c>
      <c r="C3979">
        <v>15</v>
      </c>
      <c r="D3979">
        <v>1</v>
      </c>
      <c r="E3979">
        <v>1</v>
      </c>
      <c r="F3979">
        <v>1</v>
      </c>
      <c r="G3979">
        <v>0</v>
      </c>
      <c r="H3979" t="s">
        <v>2197</v>
      </c>
    </row>
    <row r="3980" spans="1:8">
      <c r="A3980" t="s">
        <v>2078</v>
      </c>
      <c r="B3980" t="s">
        <v>4182</v>
      </c>
      <c r="C3980">
        <v>5</v>
      </c>
      <c r="D3980">
        <v>1</v>
      </c>
      <c r="E3980">
        <v>1</v>
      </c>
      <c r="F3980">
        <v>1</v>
      </c>
      <c r="G3980">
        <v>0</v>
      </c>
      <c r="H3980" t="s">
        <v>2203</v>
      </c>
    </row>
    <row r="3981" spans="1:8">
      <c r="A3981" t="s">
        <v>9792</v>
      </c>
      <c r="B3981" t="s">
        <v>8148</v>
      </c>
      <c r="C3981">
        <v>100</v>
      </c>
      <c r="D3981">
        <v>1</v>
      </c>
      <c r="E3981">
        <v>1</v>
      </c>
      <c r="F3981">
        <v>125.5</v>
      </c>
      <c r="G3981">
        <v>3.0889999999999997E-4</v>
      </c>
      <c r="H3981" t="s">
        <v>2197</v>
      </c>
    </row>
    <row r="3982" spans="1:8">
      <c r="A3982" t="s">
        <v>9793</v>
      </c>
      <c r="B3982" t="s">
        <v>8150</v>
      </c>
      <c r="C3982">
        <v>20</v>
      </c>
      <c r="D3982">
        <v>1</v>
      </c>
      <c r="E3982">
        <v>1</v>
      </c>
      <c r="F3982">
        <v>552.5</v>
      </c>
      <c r="G3982">
        <v>1.32E-3</v>
      </c>
      <c r="H3982" t="s">
        <v>2197</v>
      </c>
    </row>
    <row r="3983" spans="1:8">
      <c r="A3983" t="s">
        <v>9794</v>
      </c>
      <c r="B3983" t="s">
        <v>8149</v>
      </c>
      <c r="C3983">
        <v>40</v>
      </c>
      <c r="D3983">
        <v>1</v>
      </c>
      <c r="E3983">
        <v>1</v>
      </c>
      <c r="F3983">
        <v>293.8</v>
      </c>
      <c r="G3983">
        <v>7.1049999999999998E-4</v>
      </c>
      <c r="H3983" t="s">
        <v>2197</v>
      </c>
    </row>
    <row r="3984" spans="1:8">
      <c r="A3984" t="s">
        <v>9795</v>
      </c>
      <c r="B3984" t="s">
        <v>8153</v>
      </c>
      <c r="C3984">
        <v>30</v>
      </c>
      <c r="D3984">
        <v>1</v>
      </c>
      <c r="E3984">
        <v>1</v>
      </c>
      <c r="F3984">
        <v>506.66666666666703</v>
      </c>
      <c r="G3984">
        <v>1.2641666666666699E-3</v>
      </c>
      <c r="H3984" t="s">
        <v>2197</v>
      </c>
    </row>
    <row r="3985" spans="1:8">
      <c r="A3985" t="s">
        <v>9796</v>
      </c>
      <c r="B3985" t="s">
        <v>8151</v>
      </c>
      <c r="C3985">
        <v>50</v>
      </c>
      <c r="D3985">
        <v>1</v>
      </c>
      <c r="E3985">
        <v>1</v>
      </c>
      <c r="F3985">
        <v>135</v>
      </c>
      <c r="G3985">
        <v>3.6440000000000002E-4</v>
      </c>
      <c r="H3985" t="s">
        <v>2197</v>
      </c>
    </row>
    <row r="3986" spans="1:8">
      <c r="A3986" t="s">
        <v>9797</v>
      </c>
      <c r="B3986" t="s">
        <v>8152</v>
      </c>
      <c r="C3986">
        <v>50</v>
      </c>
      <c r="D3986">
        <v>1</v>
      </c>
      <c r="E3986">
        <v>1</v>
      </c>
      <c r="F3986">
        <v>317</v>
      </c>
      <c r="G3986">
        <v>6.5519999999999999E-4</v>
      </c>
      <c r="H3986" t="s">
        <v>2197</v>
      </c>
    </row>
    <row r="3987" spans="1:8">
      <c r="A3987" t="s">
        <v>8155</v>
      </c>
      <c r="B3987" t="s">
        <v>8154</v>
      </c>
      <c r="C3987">
        <v>20</v>
      </c>
      <c r="D3987">
        <v>1</v>
      </c>
      <c r="E3987">
        <v>1</v>
      </c>
      <c r="F3987">
        <v>611.5</v>
      </c>
      <c r="G3987">
        <v>1.1670750000000001E-3</v>
      </c>
      <c r="H3987" t="s">
        <v>2197</v>
      </c>
    </row>
    <row r="3988" spans="1:8">
      <c r="A3988" t="s">
        <v>9798</v>
      </c>
      <c r="B3988" t="s">
        <v>8156</v>
      </c>
      <c r="C3988">
        <v>20</v>
      </c>
      <c r="D3988">
        <v>1</v>
      </c>
      <c r="E3988">
        <v>1</v>
      </c>
      <c r="F3988">
        <v>1465</v>
      </c>
      <c r="G3988">
        <v>2.4499999999999999E-3</v>
      </c>
      <c r="H3988" t="s">
        <v>2197</v>
      </c>
    </row>
    <row r="3989" spans="1:8">
      <c r="A3989" t="s">
        <v>9799</v>
      </c>
      <c r="B3989" t="s">
        <v>8157</v>
      </c>
      <c r="C3989">
        <v>20</v>
      </c>
      <c r="D3989">
        <v>1</v>
      </c>
      <c r="E3989">
        <v>1</v>
      </c>
      <c r="F3989">
        <v>750</v>
      </c>
      <c r="G3989">
        <v>1.4637000000000001E-3</v>
      </c>
      <c r="H3989" t="s">
        <v>2197</v>
      </c>
    </row>
    <row r="3990" spans="1:8">
      <c r="A3990" t="s">
        <v>9800</v>
      </c>
      <c r="B3990" t="s">
        <v>8158</v>
      </c>
      <c r="C3990">
        <v>40</v>
      </c>
      <c r="D3990">
        <v>1</v>
      </c>
      <c r="E3990">
        <v>1</v>
      </c>
      <c r="F3990">
        <v>325</v>
      </c>
      <c r="G3990">
        <v>8.1809999999999999E-4</v>
      </c>
      <c r="H3990" t="s">
        <v>2197</v>
      </c>
    </row>
    <row r="3991" spans="1:8">
      <c r="A3991" t="s">
        <v>8162</v>
      </c>
      <c r="B3991" t="s">
        <v>8161</v>
      </c>
      <c r="C3991">
        <v>100</v>
      </c>
      <c r="D3991">
        <v>1</v>
      </c>
      <c r="E3991">
        <v>1</v>
      </c>
      <c r="F3991">
        <v>1</v>
      </c>
      <c r="G3991">
        <v>0</v>
      </c>
      <c r="H3991" t="s">
        <v>2203</v>
      </c>
    </row>
    <row r="3992" spans="1:8">
      <c r="A3992" t="s">
        <v>5022</v>
      </c>
      <c r="B3992" t="s">
        <v>8159</v>
      </c>
      <c r="C3992">
        <v>50</v>
      </c>
      <c r="D3992">
        <v>1</v>
      </c>
      <c r="E3992">
        <v>1</v>
      </c>
      <c r="F3992">
        <v>1</v>
      </c>
      <c r="G3992">
        <v>0</v>
      </c>
      <c r="H3992" t="s">
        <v>2197</v>
      </c>
    </row>
    <row r="3993" spans="1:8">
      <c r="A3993" t="s">
        <v>5023</v>
      </c>
      <c r="B3993" t="s">
        <v>8160</v>
      </c>
      <c r="C3993">
        <v>50</v>
      </c>
      <c r="D3993">
        <v>1</v>
      </c>
      <c r="E3993">
        <v>1</v>
      </c>
      <c r="F3993">
        <v>1</v>
      </c>
      <c r="G3993">
        <v>0</v>
      </c>
      <c r="H3993" t="s">
        <v>2197</v>
      </c>
    </row>
    <row r="3994" spans="1:8">
      <c r="A3994" t="s">
        <v>9801</v>
      </c>
      <c r="B3994" t="s">
        <v>8163</v>
      </c>
      <c r="C3994">
        <v>10</v>
      </c>
      <c r="D3994">
        <v>1</v>
      </c>
      <c r="E3994">
        <v>1</v>
      </c>
      <c r="F3994">
        <v>1100</v>
      </c>
      <c r="G3994">
        <v>3.0379999999999999E-3</v>
      </c>
      <c r="H3994" t="s">
        <v>2203</v>
      </c>
    </row>
    <row r="3995" spans="1:8">
      <c r="A3995" t="s">
        <v>2079</v>
      </c>
      <c r="B3995" t="s">
        <v>4184</v>
      </c>
      <c r="C3995">
        <v>10</v>
      </c>
      <c r="D3995">
        <v>10</v>
      </c>
      <c r="E3995">
        <v>1</v>
      </c>
      <c r="F3995">
        <v>67.7</v>
      </c>
      <c r="G3995">
        <v>3.2190000000000002E-4</v>
      </c>
      <c r="H3995" t="s">
        <v>2203</v>
      </c>
    </row>
    <row r="3996" spans="1:8">
      <c r="A3996" t="s">
        <v>2082</v>
      </c>
      <c r="B3996" t="s">
        <v>4186</v>
      </c>
      <c r="C3996">
        <v>12</v>
      </c>
      <c r="D3996">
        <v>10</v>
      </c>
      <c r="E3996">
        <v>1</v>
      </c>
      <c r="F3996">
        <v>40</v>
      </c>
      <c r="G3996">
        <v>2.431E-4</v>
      </c>
      <c r="H3996" t="s">
        <v>2203</v>
      </c>
    </row>
    <row r="3997" spans="1:8">
      <c r="A3997" t="s">
        <v>4937</v>
      </c>
      <c r="B3997" t="s">
        <v>8164</v>
      </c>
      <c r="C3997">
        <v>10</v>
      </c>
      <c r="D3997">
        <v>10</v>
      </c>
      <c r="E3997">
        <v>1</v>
      </c>
      <c r="F3997">
        <v>1</v>
      </c>
      <c r="G3997">
        <v>0</v>
      </c>
      <c r="H3997" t="s">
        <v>2203</v>
      </c>
    </row>
    <row r="3998" spans="1:8">
      <c r="A3998" t="s">
        <v>2084</v>
      </c>
      <c r="B3998" t="s">
        <v>4187</v>
      </c>
      <c r="C3998">
        <v>100</v>
      </c>
      <c r="D3998">
        <v>1</v>
      </c>
      <c r="E3998">
        <v>1</v>
      </c>
      <c r="F3998">
        <v>75</v>
      </c>
      <c r="G3998">
        <v>2.1120000000000001E-4</v>
      </c>
      <c r="H3998" t="s">
        <v>2197</v>
      </c>
    </row>
    <row r="3999" spans="1:8">
      <c r="A3999" t="s">
        <v>2085</v>
      </c>
      <c r="B3999" t="s">
        <v>4189</v>
      </c>
      <c r="C3999">
        <v>20</v>
      </c>
      <c r="D3999">
        <v>1</v>
      </c>
      <c r="E3999">
        <v>1</v>
      </c>
      <c r="F3999">
        <v>1135</v>
      </c>
      <c r="G3999">
        <v>1.9008E-3</v>
      </c>
      <c r="H3999" t="s">
        <v>2197</v>
      </c>
    </row>
    <row r="4000" spans="1:8">
      <c r="A4000" t="s">
        <v>2086</v>
      </c>
      <c r="B4000" t="s">
        <v>4191</v>
      </c>
      <c r="C4000">
        <v>20</v>
      </c>
      <c r="D4000">
        <v>1</v>
      </c>
      <c r="E4000">
        <v>1</v>
      </c>
      <c r="F4000">
        <v>1167.5</v>
      </c>
      <c r="G4000">
        <v>2.2932E-3</v>
      </c>
      <c r="H4000" t="s">
        <v>2197</v>
      </c>
    </row>
    <row r="4001" spans="1:8">
      <c r="A4001" t="s">
        <v>8166</v>
      </c>
      <c r="B4001" t="s">
        <v>8165</v>
      </c>
      <c r="C4001">
        <v>4</v>
      </c>
      <c r="D4001">
        <v>1</v>
      </c>
      <c r="E4001">
        <v>1</v>
      </c>
      <c r="F4001">
        <v>6175</v>
      </c>
      <c r="G4001">
        <v>8.1054999999999999E-3</v>
      </c>
      <c r="H4001" t="s">
        <v>2307</v>
      </c>
    </row>
    <row r="4002" spans="1:8">
      <c r="A4002" t="s">
        <v>2087</v>
      </c>
      <c r="B4002" t="s">
        <v>4193</v>
      </c>
      <c r="C4002">
        <v>20</v>
      </c>
      <c r="D4002">
        <v>1</v>
      </c>
      <c r="E4002">
        <v>1</v>
      </c>
      <c r="F4002">
        <v>1340</v>
      </c>
      <c r="G4002">
        <v>2.3888E-3</v>
      </c>
      <c r="H4002" t="s">
        <v>2197</v>
      </c>
    </row>
    <row r="4003" spans="1:8">
      <c r="A4003" t="s">
        <v>4938</v>
      </c>
      <c r="B4003" t="s">
        <v>8167</v>
      </c>
      <c r="C4003">
        <v>20</v>
      </c>
      <c r="D4003">
        <v>1</v>
      </c>
      <c r="E4003">
        <v>1</v>
      </c>
      <c r="F4003">
        <v>702.5</v>
      </c>
      <c r="G4003">
        <v>1.3699000000000001E-3</v>
      </c>
      <c r="H4003" t="s">
        <v>2197</v>
      </c>
    </row>
    <row r="4004" spans="1:8">
      <c r="A4004" t="s">
        <v>8170</v>
      </c>
      <c r="B4004" t="s">
        <v>8169</v>
      </c>
      <c r="C4004">
        <v>50</v>
      </c>
      <c r="D4004">
        <v>1</v>
      </c>
      <c r="E4004">
        <v>1</v>
      </c>
      <c r="F4004">
        <v>166</v>
      </c>
      <c r="G4004">
        <v>3.6400000000000001E-4</v>
      </c>
      <c r="H4004" t="s">
        <v>2197</v>
      </c>
    </row>
    <row r="4005" spans="1:8">
      <c r="A4005" t="s">
        <v>4939</v>
      </c>
      <c r="B4005" t="s">
        <v>8168</v>
      </c>
      <c r="C4005">
        <v>50</v>
      </c>
      <c r="D4005">
        <v>1</v>
      </c>
      <c r="E4005">
        <v>1</v>
      </c>
      <c r="F4005">
        <v>0</v>
      </c>
      <c r="G4005">
        <v>0</v>
      </c>
      <c r="H4005" t="s">
        <v>2197</v>
      </c>
    </row>
    <row r="4006" spans="1:8">
      <c r="A4006" t="s">
        <v>4940</v>
      </c>
      <c r="B4006" t="s">
        <v>8171</v>
      </c>
      <c r="C4006">
        <v>200</v>
      </c>
      <c r="D4006">
        <v>1</v>
      </c>
      <c r="E4006">
        <v>1</v>
      </c>
      <c r="F4006">
        <v>63</v>
      </c>
      <c r="G4006">
        <v>3.1500000000000001E-4</v>
      </c>
      <c r="H4006" t="s">
        <v>2203</v>
      </c>
    </row>
    <row r="4007" spans="1:8">
      <c r="A4007" t="s">
        <v>4941</v>
      </c>
      <c r="B4007" t="s">
        <v>8172</v>
      </c>
      <c r="C4007">
        <v>50</v>
      </c>
      <c r="D4007">
        <v>1</v>
      </c>
      <c r="E4007">
        <v>1</v>
      </c>
      <c r="F4007">
        <v>243.8</v>
      </c>
      <c r="G4007">
        <v>1.27596E-3</v>
      </c>
      <c r="H4007" t="s">
        <v>2203</v>
      </c>
    </row>
    <row r="4008" spans="1:8">
      <c r="A4008" t="s">
        <v>2089</v>
      </c>
      <c r="B4008" t="s">
        <v>4195</v>
      </c>
      <c r="C4008">
        <v>1</v>
      </c>
      <c r="D4008">
        <v>1</v>
      </c>
      <c r="E4008">
        <v>1</v>
      </c>
      <c r="F4008">
        <v>1</v>
      </c>
      <c r="G4008">
        <v>0</v>
      </c>
      <c r="H4008" t="s">
        <v>2221</v>
      </c>
    </row>
    <row r="4009" spans="1:8">
      <c r="A4009" t="s">
        <v>2090</v>
      </c>
      <c r="B4009" t="s">
        <v>4196</v>
      </c>
      <c r="C4009">
        <v>1</v>
      </c>
      <c r="D4009">
        <v>1</v>
      </c>
      <c r="E4009">
        <v>1</v>
      </c>
      <c r="F4009">
        <v>1</v>
      </c>
      <c r="G4009">
        <v>0</v>
      </c>
      <c r="H4009" t="s">
        <v>2221</v>
      </c>
    </row>
    <row r="4010" spans="1:8">
      <c r="A4010" t="s">
        <v>5024</v>
      </c>
      <c r="B4010" t="s">
        <v>8175</v>
      </c>
      <c r="C4010">
        <v>1</v>
      </c>
      <c r="D4010">
        <v>1</v>
      </c>
      <c r="E4010">
        <v>1</v>
      </c>
      <c r="F4010">
        <v>243.8</v>
      </c>
      <c r="G4010">
        <v>1.27596E-3</v>
      </c>
      <c r="H4010" t="s">
        <v>2994</v>
      </c>
    </row>
    <row r="4011" spans="1:8">
      <c r="A4011" t="s">
        <v>8174</v>
      </c>
      <c r="B4011" t="s">
        <v>8173</v>
      </c>
      <c r="C4011">
        <v>1</v>
      </c>
      <c r="D4011">
        <v>1</v>
      </c>
      <c r="E4011">
        <v>1</v>
      </c>
      <c r="F4011">
        <v>0</v>
      </c>
      <c r="G4011">
        <v>0</v>
      </c>
      <c r="H4011" t="s">
        <v>2994</v>
      </c>
    </row>
    <row r="4012" spans="1:8">
      <c r="A4012" t="s">
        <v>8177</v>
      </c>
      <c r="B4012" t="s">
        <v>8176</v>
      </c>
      <c r="C4012">
        <v>1</v>
      </c>
      <c r="D4012">
        <v>1</v>
      </c>
      <c r="E4012">
        <v>1</v>
      </c>
      <c r="F4012">
        <v>51000</v>
      </c>
      <c r="G4012">
        <v>5.3999999999999999E-2</v>
      </c>
      <c r="H4012" t="s">
        <v>2994</v>
      </c>
    </row>
    <row r="4013" spans="1:8">
      <c r="A4013" t="s">
        <v>9802</v>
      </c>
      <c r="B4013" t="s">
        <v>8178</v>
      </c>
      <c r="C4013">
        <v>16</v>
      </c>
      <c r="D4013">
        <v>1</v>
      </c>
      <c r="E4013">
        <v>1</v>
      </c>
      <c r="F4013">
        <v>0</v>
      </c>
      <c r="G4013">
        <v>0</v>
      </c>
      <c r="H4013" t="s">
        <v>2197</v>
      </c>
    </row>
    <row r="4014" spans="1:8">
      <c r="A4014" t="s">
        <v>8180</v>
      </c>
      <c r="B4014" t="s">
        <v>8179</v>
      </c>
      <c r="C4014">
        <v>1</v>
      </c>
      <c r="D4014">
        <v>1</v>
      </c>
      <c r="E4014">
        <v>1</v>
      </c>
      <c r="F4014">
        <v>0</v>
      </c>
      <c r="G4014">
        <v>0</v>
      </c>
      <c r="H4014" t="s">
        <v>2307</v>
      </c>
    </row>
    <row r="4015" spans="1:8">
      <c r="A4015" t="s">
        <v>2091</v>
      </c>
      <c r="B4015" t="s">
        <v>4197</v>
      </c>
      <c r="C4015">
        <v>20</v>
      </c>
      <c r="D4015">
        <v>1</v>
      </c>
      <c r="E4015">
        <v>1</v>
      </c>
      <c r="F4015">
        <v>1323.5</v>
      </c>
      <c r="G4015">
        <v>3.0037499999999999E-3</v>
      </c>
      <c r="H4015" t="s">
        <v>2197</v>
      </c>
    </row>
    <row r="4016" spans="1:8">
      <c r="A4016" t="s">
        <v>2092</v>
      </c>
      <c r="B4016" t="s">
        <v>4199</v>
      </c>
      <c r="C4016">
        <v>20</v>
      </c>
      <c r="D4016">
        <v>1</v>
      </c>
      <c r="E4016">
        <v>1</v>
      </c>
      <c r="F4016">
        <v>687.5</v>
      </c>
      <c r="G4016">
        <v>1.5560000000000001E-3</v>
      </c>
      <c r="H4016" t="s">
        <v>2197</v>
      </c>
    </row>
    <row r="4017" spans="1:8">
      <c r="A4017" t="s">
        <v>8182</v>
      </c>
      <c r="B4017" t="s">
        <v>8181</v>
      </c>
      <c r="C4017">
        <v>4</v>
      </c>
      <c r="D4017">
        <v>1</v>
      </c>
      <c r="E4017">
        <v>1</v>
      </c>
      <c r="F4017">
        <v>6295</v>
      </c>
      <c r="G4017">
        <v>7.9942499999999996E-3</v>
      </c>
      <c r="H4017" t="s">
        <v>2307</v>
      </c>
    </row>
    <row r="4018" spans="1:8">
      <c r="A4018" t="s">
        <v>8184</v>
      </c>
      <c r="B4018" t="s">
        <v>8183</v>
      </c>
      <c r="C4018">
        <v>100</v>
      </c>
      <c r="D4018">
        <v>1</v>
      </c>
      <c r="E4018">
        <v>1</v>
      </c>
      <c r="F4018">
        <v>1</v>
      </c>
      <c r="G4018">
        <v>0</v>
      </c>
      <c r="H4018" t="s">
        <v>2203</v>
      </c>
    </row>
    <row r="4019" spans="1:8">
      <c r="A4019" t="s">
        <v>2093</v>
      </c>
      <c r="B4019" t="s">
        <v>4200</v>
      </c>
      <c r="C4019">
        <v>1</v>
      </c>
      <c r="D4019">
        <v>1</v>
      </c>
      <c r="E4019">
        <v>1</v>
      </c>
      <c r="F4019">
        <v>6295</v>
      </c>
      <c r="G4019">
        <v>7.9942499999999996E-3</v>
      </c>
      <c r="H4019" t="s">
        <v>2221</v>
      </c>
    </row>
    <row r="4020" spans="1:8">
      <c r="A4020" t="s">
        <v>8186</v>
      </c>
      <c r="B4020" t="s">
        <v>8185</v>
      </c>
      <c r="C4020">
        <v>1</v>
      </c>
      <c r="D4020">
        <v>1</v>
      </c>
      <c r="E4020">
        <v>1</v>
      </c>
      <c r="F4020">
        <v>6295</v>
      </c>
      <c r="G4020">
        <v>7.9942499999999996E-3</v>
      </c>
      <c r="H4020" t="s">
        <v>2221</v>
      </c>
    </row>
    <row r="4021" spans="1:8">
      <c r="A4021" t="s">
        <v>2094</v>
      </c>
      <c r="B4021" t="s">
        <v>4202</v>
      </c>
      <c r="C4021">
        <v>1</v>
      </c>
      <c r="D4021">
        <v>1</v>
      </c>
      <c r="E4021">
        <v>1</v>
      </c>
      <c r="F4021">
        <v>6295</v>
      </c>
      <c r="G4021">
        <v>7.9942499999999996E-3</v>
      </c>
      <c r="H4021" t="s">
        <v>2221</v>
      </c>
    </row>
    <row r="4022" spans="1:8">
      <c r="A4022" t="s">
        <v>2095</v>
      </c>
      <c r="B4022" t="s">
        <v>4203</v>
      </c>
      <c r="C4022">
        <v>1</v>
      </c>
      <c r="D4022">
        <v>1</v>
      </c>
      <c r="E4022">
        <v>1</v>
      </c>
      <c r="F4022">
        <v>6295</v>
      </c>
      <c r="G4022">
        <v>7.9942499999999996E-3</v>
      </c>
      <c r="H4022" t="s">
        <v>2221</v>
      </c>
    </row>
    <row r="4023" spans="1:8">
      <c r="A4023" t="s">
        <v>2096</v>
      </c>
      <c r="B4023" t="s">
        <v>4204</v>
      </c>
      <c r="C4023">
        <v>1</v>
      </c>
      <c r="D4023">
        <v>1</v>
      </c>
      <c r="E4023">
        <v>1</v>
      </c>
      <c r="F4023">
        <v>6295</v>
      </c>
      <c r="G4023">
        <v>7.9942499999999996E-3</v>
      </c>
      <c r="H4023" t="s">
        <v>2221</v>
      </c>
    </row>
    <row r="4024" spans="1:8">
      <c r="A4024" t="s">
        <v>2097</v>
      </c>
      <c r="B4024" t="s">
        <v>4206</v>
      </c>
      <c r="C4024">
        <v>1</v>
      </c>
      <c r="D4024">
        <v>1</v>
      </c>
      <c r="E4024">
        <v>1</v>
      </c>
      <c r="F4024">
        <v>6295</v>
      </c>
      <c r="G4024">
        <v>7.9942499999999996E-3</v>
      </c>
      <c r="H4024" t="s">
        <v>2221</v>
      </c>
    </row>
    <row r="4025" spans="1:8">
      <c r="A4025" t="s">
        <v>9222</v>
      </c>
      <c r="B4025" t="s">
        <v>9221</v>
      </c>
      <c r="C4025">
        <v>1</v>
      </c>
      <c r="D4025">
        <v>1</v>
      </c>
      <c r="E4025">
        <v>1</v>
      </c>
      <c r="F4025">
        <v>1</v>
      </c>
      <c r="G4025">
        <v>0</v>
      </c>
      <c r="H4025" t="s">
        <v>2221</v>
      </c>
    </row>
    <row r="4026" spans="1:8">
      <c r="A4026" t="s">
        <v>9236</v>
      </c>
      <c r="B4026" t="s">
        <v>9235</v>
      </c>
      <c r="C4026">
        <v>1</v>
      </c>
      <c r="D4026">
        <v>1</v>
      </c>
      <c r="E4026">
        <v>1</v>
      </c>
      <c r="F4026">
        <v>1</v>
      </c>
      <c r="G4026">
        <v>0</v>
      </c>
      <c r="H4026" t="s">
        <v>2221</v>
      </c>
    </row>
    <row r="4027" spans="1:8">
      <c r="A4027" t="s">
        <v>8318</v>
      </c>
      <c r="B4027" t="s">
        <v>8317</v>
      </c>
      <c r="C4027">
        <v>1</v>
      </c>
      <c r="D4027">
        <v>1</v>
      </c>
      <c r="E4027">
        <v>1</v>
      </c>
      <c r="F4027">
        <v>1</v>
      </c>
      <c r="G4027">
        <v>0</v>
      </c>
      <c r="H4027" t="s">
        <v>2221</v>
      </c>
    </row>
    <row r="4028" spans="1:8">
      <c r="A4028" t="s">
        <v>9240</v>
      </c>
      <c r="B4028" t="s">
        <v>9239</v>
      </c>
      <c r="C4028">
        <v>1</v>
      </c>
      <c r="D4028">
        <v>1</v>
      </c>
      <c r="E4028">
        <v>1</v>
      </c>
      <c r="F4028">
        <v>1</v>
      </c>
      <c r="G4028">
        <v>0</v>
      </c>
      <c r="H4028" t="s">
        <v>2221</v>
      </c>
    </row>
    <row r="4029" spans="1:8">
      <c r="A4029" t="s">
        <v>2098</v>
      </c>
      <c r="B4029" t="s">
        <v>4207</v>
      </c>
      <c r="C4029">
        <v>1</v>
      </c>
      <c r="D4029">
        <v>1</v>
      </c>
      <c r="E4029">
        <v>1</v>
      </c>
      <c r="F4029">
        <v>1</v>
      </c>
      <c r="G4029">
        <v>0</v>
      </c>
      <c r="H4029" t="s">
        <v>2221</v>
      </c>
    </row>
    <row r="4030" spans="1:8">
      <c r="A4030" t="s">
        <v>2099</v>
      </c>
      <c r="B4030" t="s">
        <v>4208</v>
      </c>
      <c r="C4030">
        <v>1</v>
      </c>
      <c r="D4030">
        <v>1</v>
      </c>
      <c r="E4030">
        <v>1</v>
      </c>
      <c r="F4030">
        <v>1</v>
      </c>
      <c r="G4030">
        <v>0</v>
      </c>
      <c r="H4030" t="s">
        <v>2221</v>
      </c>
    </row>
    <row r="4031" spans="1:8">
      <c r="A4031" t="s">
        <v>9232</v>
      </c>
      <c r="B4031" t="s">
        <v>9231</v>
      </c>
      <c r="C4031">
        <v>1</v>
      </c>
      <c r="D4031">
        <v>1</v>
      </c>
      <c r="E4031">
        <v>1</v>
      </c>
      <c r="F4031">
        <v>1</v>
      </c>
      <c r="G4031">
        <v>0</v>
      </c>
      <c r="H4031" t="s">
        <v>2221</v>
      </c>
    </row>
    <row r="4032" spans="1:8">
      <c r="A4032" t="s">
        <v>9234</v>
      </c>
      <c r="B4032" t="s">
        <v>9233</v>
      </c>
      <c r="C4032">
        <v>1</v>
      </c>
      <c r="D4032">
        <v>1</v>
      </c>
      <c r="E4032">
        <v>1</v>
      </c>
      <c r="F4032">
        <v>1</v>
      </c>
      <c r="G4032">
        <v>0</v>
      </c>
      <c r="H4032" t="s">
        <v>2221</v>
      </c>
    </row>
    <row r="4033" spans="1:8">
      <c r="A4033" t="s">
        <v>9243</v>
      </c>
      <c r="B4033" t="s">
        <v>9242</v>
      </c>
      <c r="C4033">
        <v>1</v>
      </c>
      <c r="D4033">
        <v>1</v>
      </c>
      <c r="E4033">
        <v>1</v>
      </c>
      <c r="F4033">
        <v>1</v>
      </c>
      <c r="G4033">
        <v>0</v>
      </c>
      <c r="H4033" t="s">
        <v>2221</v>
      </c>
    </row>
    <row r="4034" spans="1:8">
      <c r="A4034" t="s">
        <v>9226</v>
      </c>
      <c r="B4034" t="s">
        <v>9225</v>
      </c>
      <c r="C4034">
        <v>1</v>
      </c>
      <c r="D4034">
        <v>1</v>
      </c>
      <c r="E4034">
        <v>1</v>
      </c>
      <c r="F4034">
        <v>1</v>
      </c>
      <c r="G4034">
        <v>0</v>
      </c>
      <c r="H4034" t="s">
        <v>2221</v>
      </c>
    </row>
    <row r="4035" spans="1:8">
      <c r="A4035" t="s">
        <v>2100</v>
      </c>
      <c r="B4035" t="s">
        <v>4209</v>
      </c>
      <c r="C4035">
        <v>1</v>
      </c>
      <c r="D4035">
        <v>1</v>
      </c>
      <c r="E4035">
        <v>1</v>
      </c>
      <c r="F4035">
        <v>1</v>
      </c>
      <c r="G4035">
        <v>0</v>
      </c>
      <c r="H4035" t="s">
        <v>2221</v>
      </c>
    </row>
    <row r="4036" spans="1:8">
      <c r="A4036" t="s">
        <v>8320</v>
      </c>
      <c r="B4036" t="s">
        <v>8319</v>
      </c>
      <c r="C4036">
        <v>1</v>
      </c>
      <c r="D4036">
        <v>1</v>
      </c>
      <c r="E4036">
        <v>1</v>
      </c>
      <c r="F4036">
        <v>1</v>
      </c>
      <c r="G4036">
        <v>0</v>
      </c>
      <c r="H4036" t="s">
        <v>2221</v>
      </c>
    </row>
    <row r="4037" spans="1:8">
      <c r="A4037" t="s">
        <v>9230</v>
      </c>
      <c r="B4037" t="s">
        <v>9229</v>
      </c>
      <c r="C4037">
        <v>1</v>
      </c>
      <c r="D4037">
        <v>1</v>
      </c>
      <c r="E4037">
        <v>1</v>
      </c>
      <c r="F4037">
        <v>1</v>
      </c>
      <c r="G4037">
        <v>0</v>
      </c>
      <c r="H4037" t="s">
        <v>2221</v>
      </c>
    </row>
    <row r="4038" spans="1:8">
      <c r="A4038" t="s">
        <v>9224</v>
      </c>
      <c r="B4038" t="s">
        <v>9223</v>
      </c>
      <c r="C4038">
        <v>1</v>
      </c>
      <c r="D4038">
        <v>1</v>
      </c>
      <c r="E4038">
        <v>1</v>
      </c>
      <c r="F4038">
        <v>1</v>
      </c>
      <c r="G4038">
        <v>0</v>
      </c>
      <c r="H4038" t="s">
        <v>2221</v>
      </c>
    </row>
    <row r="4039" spans="1:8">
      <c r="A4039" t="s">
        <v>2101</v>
      </c>
      <c r="B4039" t="s">
        <v>4210</v>
      </c>
      <c r="C4039">
        <v>1</v>
      </c>
      <c r="D4039">
        <v>1</v>
      </c>
      <c r="E4039">
        <v>1</v>
      </c>
      <c r="F4039">
        <v>1</v>
      </c>
      <c r="G4039">
        <v>0</v>
      </c>
      <c r="H4039" t="s">
        <v>2221</v>
      </c>
    </row>
    <row r="4040" spans="1:8">
      <c r="A4040" t="s">
        <v>9228</v>
      </c>
      <c r="B4040" t="s">
        <v>9227</v>
      </c>
      <c r="C4040">
        <v>1</v>
      </c>
      <c r="D4040">
        <v>1</v>
      </c>
      <c r="E4040">
        <v>1</v>
      </c>
      <c r="F4040">
        <v>1</v>
      </c>
      <c r="G4040">
        <v>0</v>
      </c>
      <c r="H4040" t="s">
        <v>2221</v>
      </c>
    </row>
    <row r="4041" spans="1:8">
      <c r="A4041" t="s">
        <v>9228</v>
      </c>
      <c r="B4041" t="s">
        <v>9241</v>
      </c>
      <c r="C4041">
        <v>1</v>
      </c>
      <c r="D4041">
        <v>1</v>
      </c>
      <c r="E4041">
        <v>1</v>
      </c>
      <c r="F4041">
        <v>1</v>
      </c>
      <c r="G4041">
        <v>0</v>
      </c>
      <c r="H4041" t="s">
        <v>2221</v>
      </c>
    </row>
    <row r="4042" spans="1:8">
      <c r="A4042" t="s">
        <v>9238</v>
      </c>
      <c r="B4042" t="s">
        <v>9237</v>
      </c>
      <c r="C4042">
        <v>1</v>
      </c>
      <c r="D4042">
        <v>1</v>
      </c>
      <c r="E4042">
        <v>1</v>
      </c>
      <c r="F4042">
        <v>1</v>
      </c>
      <c r="G4042">
        <v>0</v>
      </c>
      <c r="H4042" t="s">
        <v>2221</v>
      </c>
    </row>
    <row r="4043" spans="1:8">
      <c r="A4043" t="s">
        <v>8314</v>
      </c>
      <c r="B4043" t="s">
        <v>8313</v>
      </c>
      <c r="C4043">
        <v>1</v>
      </c>
      <c r="D4043">
        <v>1</v>
      </c>
      <c r="E4043">
        <v>1</v>
      </c>
      <c r="F4043">
        <v>1</v>
      </c>
      <c r="G4043">
        <v>0</v>
      </c>
      <c r="H4043" t="s">
        <v>2221</v>
      </c>
    </row>
    <row r="4044" spans="1:8">
      <c r="A4044" t="s">
        <v>8316</v>
      </c>
      <c r="B4044" t="s">
        <v>8315</v>
      </c>
      <c r="C4044">
        <v>1</v>
      </c>
      <c r="D4044">
        <v>1</v>
      </c>
      <c r="E4044">
        <v>1</v>
      </c>
      <c r="F4044">
        <v>1</v>
      </c>
      <c r="G4044">
        <v>0</v>
      </c>
      <c r="H4044" t="s">
        <v>2221</v>
      </c>
    </row>
    <row r="4045" spans="1:8">
      <c r="A4045" t="s">
        <v>9245</v>
      </c>
      <c r="B4045" t="s">
        <v>9244</v>
      </c>
      <c r="C4045">
        <v>1</v>
      </c>
      <c r="D4045">
        <v>1</v>
      </c>
      <c r="E4045">
        <v>1</v>
      </c>
      <c r="F4045">
        <v>1</v>
      </c>
      <c r="G4045">
        <v>0</v>
      </c>
      <c r="H4045" t="s">
        <v>2221</v>
      </c>
    </row>
    <row r="4046" spans="1:8">
      <c r="A4046" t="s">
        <v>9247</v>
      </c>
      <c r="B4046" t="s">
        <v>9246</v>
      </c>
      <c r="C4046">
        <v>1</v>
      </c>
      <c r="D4046">
        <v>1</v>
      </c>
      <c r="E4046">
        <v>1</v>
      </c>
      <c r="F4046">
        <v>1</v>
      </c>
      <c r="G4046">
        <v>0</v>
      </c>
      <c r="H4046" t="s">
        <v>2221</v>
      </c>
    </row>
    <row r="4047" spans="1:8">
      <c r="A4047" t="s">
        <v>2102</v>
      </c>
      <c r="B4047" t="s">
        <v>4211</v>
      </c>
      <c r="C4047">
        <v>1</v>
      </c>
      <c r="D4047">
        <v>1</v>
      </c>
      <c r="E4047">
        <v>1</v>
      </c>
      <c r="F4047">
        <v>1</v>
      </c>
      <c r="G4047">
        <v>0</v>
      </c>
      <c r="H4047" t="s">
        <v>2221</v>
      </c>
    </row>
    <row r="4048" spans="1:8">
      <c r="A4048" t="s">
        <v>9249</v>
      </c>
      <c r="B4048" t="s">
        <v>9248</v>
      </c>
      <c r="C4048">
        <v>1</v>
      </c>
      <c r="D4048">
        <v>1</v>
      </c>
      <c r="E4048">
        <v>1</v>
      </c>
      <c r="F4048">
        <v>1</v>
      </c>
      <c r="G4048">
        <v>0</v>
      </c>
      <c r="H4048" t="s">
        <v>2221</v>
      </c>
    </row>
    <row r="4049" spans="1:8">
      <c r="A4049" t="s">
        <v>2103</v>
      </c>
      <c r="B4049" t="s">
        <v>4212</v>
      </c>
      <c r="C4049">
        <v>10</v>
      </c>
      <c r="D4049">
        <v>1</v>
      </c>
      <c r="E4049">
        <v>1</v>
      </c>
      <c r="F4049">
        <v>2107</v>
      </c>
      <c r="G4049">
        <v>2.1386E-3</v>
      </c>
      <c r="H4049" t="s">
        <v>2203</v>
      </c>
    </row>
    <row r="4050" spans="1:8">
      <c r="A4050" t="s">
        <v>9251</v>
      </c>
      <c r="B4050" t="s">
        <v>9250</v>
      </c>
      <c r="C4050">
        <v>1</v>
      </c>
      <c r="D4050">
        <v>1</v>
      </c>
      <c r="E4050">
        <v>1</v>
      </c>
      <c r="F4050">
        <v>1</v>
      </c>
      <c r="G4050">
        <v>0</v>
      </c>
      <c r="H4050" t="s">
        <v>2221</v>
      </c>
    </row>
    <row r="4051" spans="1:8">
      <c r="A4051" t="s">
        <v>9254</v>
      </c>
      <c r="B4051" t="s">
        <v>9253</v>
      </c>
      <c r="C4051">
        <v>1</v>
      </c>
      <c r="D4051">
        <v>1</v>
      </c>
      <c r="E4051">
        <v>1</v>
      </c>
      <c r="F4051">
        <v>1</v>
      </c>
      <c r="G4051">
        <v>0</v>
      </c>
      <c r="H4051" t="s">
        <v>2221</v>
      </c>
    </row>
    <row r="4052" spans="1:8">
      <c r="A4052" t="s">
        <v>8188</v>
      </c>
      <c r="B4052" t="s">
        <v>8187</v>
      </c>
      <c r="C4052">
        <v>1</v>
      </c>
      <c r="D4052">
        <v>1</v>
      </c>
      <c r="E4052">
        <v>1</v>
      </c>
      <c r="F4052">
        <v>1</v>
      </c>
      <c r="G4052">
        <v>0</v>
      </c>
      <c r="H4052" t="s">
        <v>2221</v>
      </c>
    </row>
    <row r="4053" spans="1:8">
      <c r="A4053" t="s">
        <v>9258</v>
      </c>
      <c r="B4053" t="s">
        <v>9257</v>
      </c>
      <c r="C4053">
        <v>1</v>
      </c>
      <c r="D4053">
        <v>1</v>
      </c>
      <c r="E4053">
        <v>1</v>
      </c>
      <c r="F4053">
        <v>1</v>
      </c>
      <c r="G4053">
        <v>0</v>
      </c>
      <c r="H4053" t="s">
        <v>2221</v>
      </c>
    </row>
    <row r="4054" spans="1:8">
      <c r="A4054" t="s">
        <v>2104</v>
      </c>
      <c r="B4054" t="s">
        <v>8189</v>
      </c>
      <c r="C4054">
        <v>1</v>
      </c>
      <c r="D4054">
        <v>1</v>
      </c>
      <c r="E4054">
        <v>1</v>
      </c>
      <c r="F4054">
        <v>1</v>
      </c>
      <c r="G4054">
        <v>0</v>
      </c>
      <c r="H4054" t="s">
        <v>2221</v>
      </c>
    </row>
    <row r="4055" spans="1:8">
      <c r="A4055" t="s">
        <v>2104</v>
      </c>
      <c r="B4055" t="s">
        <v>4213</v>
      </c>
      <c r="C4055">
        <v>1</v>
      </c>
      <c r="D4055">
        <v>1</v>
      </c>
      <c r="E4055">
        <v>1</v>
      </c>
      <c r="F4055">
        <v>1</v>
      </c>
      <c r="G4055">
        <v>0</v>
      </c>
      <c r="H4055" t="s">
        <v>2221</v>
      </c>
    </row>
    <row r="4056" spans="1:8">
      <c r="A4056" t="s">
        <v>9256</v>
      </c>
      <c r="B4056" t="s">
        <v>9255</v>
      </c>
      <c r="C4056">
        <v>1</v>
      </c>
      <c r="D4056">
        <v>1</v>
      </c>
      <c r="E4056">
        <v>1</v>
      </c>
      <c r="F4056">
        <v>1</v>
      </c>
      <c r="G4056">
        <v>0</v>
      </c>
      <c r="H4056" t="s">
        <v>2221</v>
      </c>
    </row>
    <row r="4057" spans="1:8">
      <c r="A4057" t="s">
        <v>8193</v>
      </c>
      <c r="B4057" t="s">
        <v>8192</v>
      </c>
      <c r="C4057">
        <v>1</v>
      </c>
      <c r="D4057">
        <v>1</v>
      </c>
      <c r="E4057">
        <v>1</v>
      </c>
      <c r="F4057">
        <v>1</v>
      </c>
      <c r="G4057">
        <v>0</v>
      </c>
      <c r="H4057" t="s">
        <v>2221</v>
      </c>
    </row>
    <row r="4058" spans="1:8">
      <c r="A4058" t="s">
        <v>8191</v>
      </c>
      <c r="B4058" t="s">
        <v>8190</v>
      </c>
      <c r="C4058">
        <v>1</v>
      </c>
      <c r="D4058">
        <v>1</v>
      </c>
      <c r="E4058">
        <v>1</v>
      </c>
      <c r="F4058">
        <v>1</v>
      </c>
      <c r="G4058">
        <v>0</v>
      </c>
      <c r="H4058" t="s">
        <v>2221</v>
      </c>
    </row>
    <row r="4059" spans="1:8">
      <c r="A4059" t="s">
        <v>8191</v>
      </c>
      <c r="B4059" t="s">
        <v>9252</v>
      </c>
      <c r="C4059">
        <v>1</v>
      </c>
      <c r="D4059">
        <v>1</v>
      </c>
      <c r="E4059">
        <v>1</v>
      </c>
      <c r="F4059">
        <v>1</v>
      </c>
      <c r="G4059">
        <v>0</v>
      </c>
      <c r="H4059" t="s">
        <v>2221</v>
      </c>
    </row>
    <row r="4060" spans="1:8">
      <c r="A4060" t="s">
        <v>2105</v>
      </c>
      <c r="B4060" t="s">
        <v>4214</v>
      </c>
      <c r="C4060">
        <v>10</v>
      </c>
      <c r="D4060">
        <v>1</v>
      </c>
      <c r="E4060">
        <v>1</v>
      </c>
      <c r="F4060">
        <v>1080</v>
      </c>
      <c r="G4060">
        <v>3.7800000000000003E-4</v>
      </c>
      <c r="H4060" t="s">
        <v>2197</v>
      </c>
    </row>
    <row r="4061" spans="1:8">
      <c r="A4061" t="s">
        <v>2106</v>
      </c>
      <c r="B4061" t="s">
        <v>4215</v>
      </c>
      <c r="C4061">
        <v>20</v>
      </c>
      <c r="D4061">
        <v>1</v>
      </c>
      <c r="E4061">
        <v>1</v>
      </c>
      <c r="F4061">
        <v>560</v>
      </c>
      <c r="G4061">
        <v>1.4059999999999999E-3</v>
      </c>
      <c r="H4061" t="s">
        <v>2197</v>
      </c>
    </row>
    <row r="4062" spans="1:8">
      <c r="A4062" t="s">
        <v>2107</v>
      </c>
      <c r="B4062" t="s">
        <v>4216</v>
      </c>
      <c r="C4062">
        <v>100</v>
      </c>
      <c r="D4062">
        <v>1</v>
      </c>
      <c r="E4062">
        <v>1</v>
      </c>
      <c r="F4062">
        <v>146</v>
      </c>
      <c r="G4062">
        <v>2.8079999999999999E-4</v>
      </c>
      <c r="H4062" t="s">
        <v>2197</v>
      </c>
    </row>
    <row r="4063" spans="1:8">
      <c r="A4063" t="s">
        <v>2108</v>
      </c>
      <c r="B4063" t="s">
        <v>4218</v>
      </c>
      <c r="C4063">
        <v>100</v>
      </c>
      <c r="D4063">
        <v>1</v>
      </c>
      <c r="E4063">
        <v>1</v>
      </c>
      <c r="F4063">
        <v>1</v>
      </c>
      <c r="G4063">
        <v>0</v>
      </c>
      <c r="H4063" t="s">
        <v>2197</v>
      </c>
    </row>
    <row r="4064" spans="1:8">
      <c r="A4064" t="s">
        <v>2109</v>
      </c>
      <c r="B4064" t="s">
        <v>4219</v>
      </c>
      <c r="C4064">
        <v>20</v>
      </c>
      <c r="D4064">
        <v>1</v>
      </c>
      <c r="E4064">
        <v>1</v>
      </c>
      <c r="F4064">
        <v>670</v>
      </c>
      <c r="G4064">
        <v>1.2765000000000001E-3</v>
      </c>
      <c r="H4064" t="s">
        <v>2197</v>
      </c>
    </row>
    <row r="4065" spans="1:8">
      <c r="A4065" t="s">
        <v>2110</v>
      </c>
      <c r="B4065" t="s">
        <v>4220</v>
      </c>
      <c r="C4065">
        <v>40</v>
      </c>
      <c r="D4065">
        <v>1</v>
      </c>
      <c r="E4065">
        <v>1</v>
      </c>
      <c r="F4065">
        <v>352.5</v>
      </c>
      <c r="G4065">
        <v>7.2079999999999996E-4</v>
      </c>
      <c r="H4065" t="s">
        <v>2197</v>
      </c>
    </row>
    <row r="4066" spans="1:8">
      <c r="A4066" t="s">
        <v>4942</v>
      </c>
      <c r="B4066" t="s">
        <v>8194</v>
      </c>
      <c r="C4066">
        <v>100</v>
      </c>
      <c r="D4066">
        <v>1</v>
      </c>
      <c r="E4066">
        <v>1</v>
      </c>
      <c r="F4066">
        <v>126.9</v>
      </c>
      <c r="G4066">
        <v>5.4670000000000001E-4</v>
      </c>
      <c r="H4066" t="s">
        <v>2203</v>
      </c>
    </row>
    <row r="4067" spans="1:8">
      <c r="A4067" t="s">
        <v>4943</v>
      </c>
      <c r="B4067" t="s">
        <v>8195</v>
      </c>
      <c r="C4067">
        <v>10</v>
      </c>
      <c r="D4067">
        <v>1</v>
      </c>
      <c r="E4067">
        <v>1</v>
      </c>
      <c r="F4067">
        <v>0</v>
      </c>
      <c r="G4067">
        <v>0</v>
      </c>
      <c r="H4067" t="s">
        <v>2197</v>
      </c>
    </row>
    <row r="4068" spans="1:8">
      <c r="A4068" t="s">
        <v>8197</v>
      </c>
      <c r="B4068" t="s">
        <v>8196</v>
      </c>
      <c r="C4068">
        <v>2</v>
      </c>
      <c r="D4068">
        <v>1</v>
      </c>
      <c r="E4068">
        <v>1</v>
      </c>
      <c r="F4068">
        <v>0</v>
      </c>
      <c r="G4068">
        <v>0</v>
      </c>
      <c r="H4068" t="s">
        <v>2307</v>
      </c>
    </row>
    <row r="4069" spans="1:8">
      <c r="A4069" t="s">
        <v>8199</v>
      </c>
      <c r="B4069" t="s">
        <v>8198</v>
      </c>
      <c r="C4069">
        <v>1</v>
      </c>
      <c r="D4069">
        <v>1</v>
      </c>
      <c r="E4069">
        <v>1</v>
      </c>
      <c r="F4069">
        <v>20000</v>
      </c>
      <c r="G4069">
        <v>0</v>
      </c>
      <c r="H4069" t="s">
        <v>2303</v>
      </c>
    </row>
    <row r="4070" spans="1:8">
      <c r="A4070" t="s">
        <v>2111</v>
      </c>
      <c r="B4070" t="s">
        <v>4221</v>
      </c>
      <c r="C4070">
        <v>20</v>
      </c>
      <c r="D4070">
        <v>1</v>
      </c>
      <c r="E4070">
        <v>1</v>
      </c>
      <c r="F4070">
        <v>1</v>
      </c>
      <c r="G4070">
        <v>0</v>
      </c>
      <c r="H4070" t="s">
        <v>2197</v>
      </c>
    </row>
    <row r="4071" spans="1:8">
      <c r="A4071" t="s">
        <v>2112</v>
      </c>
      <c r="B4071" t="s">
        <v>4223</v>
      </c>
      <c r="C4071">
        <v>20</v>
      </c>
      <c r="D4071">
        <v>1</v>
      </c>
      <c r="E4071">
        <v>1</v>
      </c>
      <c r="F4071">
        <v>1</v>
      </c>
      <c r="G4071">
        <v>0</v>
      </c>
      <c r="H4071" t="s">
        <v>2197</v>
      </c>
    </row>
    <row r="4072" spans="1:8">
      <c r="A4072" t="s">
        <v>2113</v>
      </c>
      <c r="B4072" t="s">
        <v>4224</v>
      </c>
      <c r="C4072">
        <v>50</v>
      </c>
      <c r="D4072">
        <v>1</v>
      </c>
      <c r="E4072">
        <v>1</v>
      </c>
      <c r="F4072">
        <v>1</v>
      </c>
      <c r="G4072">
        <v>0</v>
      </c>
      <c r="H4072" t="s">
        <v>2197</v>
      </c>
    </row>
    <row r="4073" spans="1:8">
      <c r="A4073" t="s">
        <v>2114</v>
      </c>
      <c r="B4073" t="s">
        <v>4225</v>
      </c>
      <c r="C4073">
        <v>10</v>
      </c>
      <c r="D4073">
        <v>1</v>
      </c>
      <c r="E4073">
        <v>1</v>
      </c>
      <c r="F4073">
        <v>1250</v>
      </c>
      <c r="G4073">
        <v>2.7215999999999998E-3</v>
      </c>
      <c r="H4073" t="s">
        <v>2197</v>
      </c>
    </row>
    <row r="4074" spans="1:8">
      <c r="A4074" t="s">
        <v>2115</v>
      </c>
      <c r="B4074" t="s">
        <v>4226</v>
      </c>
      <c r="C4074">
        <v>20</v>
      </c>
      <c r="D4074">
        <v>1</v>
      </c>
      <c r="E4074">
        <v>1</v>
      </c>
      <c r="F4074">
        <v>1</v>
      </c>
      <c r="G4074">
        <v>0</v>
      </c>
      <c r="H4074" t="s">
        <v>2197</v>
      </c>
    </row>
    <row r="4075" spans="1:8">
      <c r="A4075" t="s">
        <v>9803</v>
      </c>
      <c r="B4075" t="s">
        <v>8200</v>
      </c>
      <c r="C4075">
        <v>40</v>
      </c>
      <c r="D4075">
        <v>1</v>
      </c>
      <c r="E4075">
        <v>1</v>
      </c>
      <c r="F4075">
        <v>1</v>
      </c>
      <c r="G4075">
        <v>0</v>
      </c>
      <c r="H4075" t="s">
        <v>2197</v>
      </c>
    </row>
    <row r="4076" spans="1:8">
      <c r="A4076" t="s">
        <v>2116</v>
      </c>
      <c r="B4076" t="s">
        <v>4227</v>
      </c>
      <c r="C4076">
        <v>40</v>
      </c>
      <c r="D4076">
        <v>1</v>
      </c>
      <c r="E4076">
        <v>1</v>
      </c>
      <c r="F4076">
        <v>1</v>
      </c>
      <c r="G4076">
        <v>0</v>
      </c>
      <c r="H4076" t="s">
        <v>2197</v>
      </c>
    </row>
    <row r="4077" spans="1:8">
      <c r="A4077" t="s">
        <v>2117</v>
      </c>
      <c r="B4077" t="s">
        <v>4228</v>
      </c>
      <c r="C4077">
        <v>50</v>
      </c>
      <c r="D4077">
        <v>1</v>
      </c>
      <c r="E4077">
        <v>1</v>
      </c>
      <c r="F4077">
        <v>136</v>
      </c>
      <c r="G4077">
        <v>0</v>
      </c>
      <c r="H4077" t="s">
        <v>2197</v>
      </c>
    </row>
    <row r="4078" spans="1:8">
      <c r="A4078" t="s">
        <v>8202</v>
      </c>
      <c r="B4078" t="s">
        <v>8201</v>
      </c>
      <c r="C4078">
        <v>1</v>
      </c>
      <c r="D4078">
        <v>1</v>
      </c>
      <c r="E4078">
        <v>1</v>
      </c>
      <c r="F4078">
        <v>1</v>
      </c>
      <c r="G4078">
        <v>0</v>
      </c>
      <c r="H4078" t="s">
        <v>2994</v>
      </c>
    </row>
    <row r="4079" spans="1:8">
      <c r="A4079" t="s">
        <v>5025</v>
      </c>
      <c r="B4079" t="s">
        <v>8203</v>
      </c>
      <c r="C4079">
        <v>10</v>
      </c>
      <c r="D4079">
        <v>1</v>
      </c>
      <c r="E4079">
        <v>1</v>
      </c>
      <c r="F4079">
        <v>5000</v>
      </c>
      <c r="G4079">
        <v>0</v>
      </c>
      <c r="H4079" t="s">
        <v>2203</v>
      </c>
    </row>
    <row r="4080" spans="1:8">
      <c r="A4080" t="s">
        <v>5026</v>
      </c>
      <c r="B4080" t="s">
        <v>8204</v>
      </c>
      <c r="C4080">
        <v>1</v>
      </c>
      <c r="D4080">
        <v>1</v>
      </c>
      <c r="E4080">
        <v>1</v>
      </c>
      <c r="F4080">
        <v>25000</v>
      </c>
      <c r="G4080">
        <v>0</v>
      </c>
      <c r="H4080" t="s">
        <v>2994</v>
      </c>
    </row>
    <row r="4081" spans="1:8">
      <c r="A4081" t="s">
        <v>8206</v>
      </c>
      <c r="B4081" t="s">
        <v>8205</v>
      </c>
      <c r="C4081">
        <v>8</v>
      </c>
      <c r="D4081">
        <v>1</v>
      </c>
      <c r="E4081">
        <v>1</v>
      </c>
      <c r="F4081">
        <v>5000</v>
      </c>
      <c r="G4081">
        <v>0</v>
      </c>
      <c r="H4081" t="s">
        <v>2203</v>
      </c>
    </row>
    <row r="4082" spans="1:8">
      <c r="A4082" t="s">
        <v>8322</v>
      </c>
      <c r="B4082" t="s">
        <v>8321</v>
      </c>
      <c r="C4082">
        <v>1</v>
      </c>
      <c r="D4082">
        <v>1</v>
      </c>
      <c r="E4082">
        <v>1</v>
      </c>
      <c r="F4082">
        <v>1</v>
      </c>
      <c r="G4082">
        <v>0</v>
      </c>
      <c r="H4082" t="s">
        <v>2221</v>
      </c>
    </row>
    <row r="4083" spans="1:8">
      <c r="A4083" t="s">
        <v>9804</v>
      </c>
      <c r="B4083" t="s">
        <v>8207</v>
      </c>
      <c r="C4083">
        <v>20</v>
      </c>
      <c r="D4083">
        <v>1</v>
      </c>
      <c r="E4083">
        <v>1</v>
      </c>
      <c r="F4083">
        <v>587.5</v>
      </c>
      <c r="G4083">
        <v>1.3734999999999999E-3</v>
      </c>
      <c r="H4083" t="s">
        <v>2197</v>
      </c>
    </row>
    <row r="4084" spans="1:8">
      <c r="A4084" t="s">
        <v>8211</v>
      </c>
      <c r="B4084" t="s">
        <v>8210</v>
      </c>
      <c r="C4084">
        <v>50</v>
      </c>
      <c r="D4084">
        <v>1</v>
      </c>
      <c r="E4084">
        <v>1</v>
      </c>
      <c r="F4084">
        <v>170</v>
      </c>
      <c r="G4084">
        <v>3.6759999999999999E-4</v>
      </c>
      <c r="H4084" t="s">
        <v>2197</v>
      </c>
    </row>
    <row r="4085" spans="1:8">
      <c r="A4085" t="s">
        <v>8209</v>
      </c>
      <c r="B4085" t="s">
        <v>8208</v>
      </c>
      <c r="C4085">
        <v>50</v>
      </c>
      <c r="D4085">
        <v>1</v>
      </c>
      <c r="E4085">
        <v>1</v>
      </c>
      <c r="F4085">
        <v>370</v>
      </c>
      <c r="G4085">
        <v>7.1810000000000005E-4</v>
      </c>
      <c r="H4085" t="s">
        <v>2197</v>
      </c>
    </row>
    <row r="4086" spans="1:8">
      <c r="A4086" t="s">
        <v>4946</v>
      </c>
      <c r="B4086" t="s">
        <v>8216</v>
      </c>
      <c r="C4086">
        <v>20</v>
      </c>
      <c r="D4086">
        <v>1</v>
      </c>
      <c r="E4086">
        <v>1</v>
      </c>
      <c r="F4086">
        <v>1</v>
      </c>
      <c r="G4086">
        <v>0</v>
      </c>
      <c r="H4086" t="s">
        <v>2197</v>
      </c>
    </row>
    <row r="4087" spans="1:8">
      <c r="A4087" t="s">
        <v>8215</v>
      </c>
      <c r="B4087" t="s">
        <v>8214</v>
      </c>
      <c r="C4087">
        <v>40</v>
      </c>
      <c r="D4087">
        <v>1</v>
      </c>
      <c r="E4087">
        <v>1</v>
      </c>
      <c r="F4087">
        <v>295</v>
      </c>
      <c r="G4087">
        <v>7.1049999999999998E-4</v>
      </c>
      <c r="H4087" t="s">
        <v>2197</v>
      </c>
    </row>
    <row r="4088" spans="1:8">
      <c r="A4088" t="s">
        <v>4944</v>
      </c>
      <c r="B4088" t="s">
        <v>8212</v>
      </c>
      <c r="C4088">
        <v>40</v>
      </c>
      <c r="D4088">
        <v>1</v>
      </c>
      <c r="E4088">
        <v>1</v>
      </c>
      <c r="F4088">
        <v>214.75</v>
      </c>
      <c r="G4088">
        <v>5.4675000000000004E-4</v>
      </c>
      <c r="H4088" t="s">
        <v>2203</v>
      </c>
    </row>
    <row r="4089" spans="1:8">
      <c r="A4089" t="s">
        <v>4945</v>
      </c>
      <c r="B4089" t="s">
        <v>8213</v>
      </c>
      <c r="C4089">
        <v>8</v>
      </c>
      <c r="D4089">
        <v>20</v>
      </c>
      <c r="E4089">
        <v>1</v>
      </c>
      <c r="F4089">
        <v>59.9375</v>
      </c>
      <c r="G4089">
        <v>1.9511250000000001E-4</v>
      </c>
      <c r="H4089" t="s">
        <v>2203</v>
      </c>
    </row>
    <row r="4090" spans="1:8">
      <c r="A4090" t="s">
        <v>4947</v>
      </c>
      <c r="B4090" t="s">
        <v>8217</v>
      </c>
      <c r="C4090">
        <v>6</v>
      </c>
      <c r="D4090">
        <v>20</v>
      </c>
      <c r="E4090">
        <v>1</v>
      </c>
      <c r="F4090">
        <v>141.69999999999999</v>
      </c>
      <c r="G4090">
        <v>4.6139999999999999E-4</v>
      </c>
      <c r="H4090" t="s">
        <v>2197</v>
      </c>
    </row>
    <row r="4091" spans="1:8">
      <c r="A4091" t="s">
        <v>4948</v>
      </c>
      <c r="B4091" t="s">
        <v>8218</v>
      </c>
      <c r="C4091">
        <v>100</v>
      </c>
      <c r="D4091">
        <v>1</v>
      </c>
      <c r="E4091">
        <v>1</v>
      </c>
      <c r="F4091">
        <v>143</v>
      </c>
      <c r="G4091">
        <v>3.0909999999999998E-4</v>
      </c>
      <c r="H4091" t="s">
        <v>2197</v>
      </c>
    </row>
    <row r="4092" spans="1:8">
      <c r="A4092" t="s">
        <v>2118</v>
      </c>
      <c r="B4092" t="s">
        <v>4230</v>
      </c>
      <c r="C4092">
        <v>100</v>
      </c>
      <c r="D4092">
        <v>1</v>
      </c>
      <c r="E4092">
        <v>1</v>
      </c>
      <c r="F4092">
        <v>82.5</v>
      </c>
      <c r="G4092">
        <v>2.4679999999999998E-4</v>
      </c>
      <c r="H4092" t="s">
        <v>2197</v>
      </c>
    </row>
    <row r="4093" spans="1:8">
      <c r="A4093" t="s">
        <v>2120</v>
      </c>
      <c r="B4093" t="s">
        <v>4232</v>
      </c>
      <c r="C4093">
        <v>50</v>
      </c>
      <c r="D4093">
        <v>1</v>
      </c>
      <c r="E4093">
        <v>1</v>
      </c>
      <c r="F4093">
        <v>146</v>
      </c>
      <c r="G4093">
        <v>3.3119999999999997E-4</v>
      </c>
      <c r="H4093" t="s">
        <v>2197</v>
      </c>
    </row>
    <row r="4094" spans="1:8">
      <c r="A4094" t="s">
        <v>2123</v>
      </c>
      <c r="B4094" t="s">
        <v>4233</v>
      </c>
      <c r="C4094">
        <v>1</v>
      </c>
      <c r="D4094">
        <v>1</v>
      </c>
      <c r="E4094">
        <v>1</v>
      </c>
      <c r="F4094">
        <v>0</v>
      </c>
      <c r="G4094">
        <v>0</v>
      </c>
      <c r="H4094" t="s">
        <v>2203</v>
      </c>
    </row>
    <row r="4095" spans="1:8">
      <c r="A4095" t="s">
        <v>8220</v>
      </c>
      <c r="B4095" t="s">
        <v>8219</v>
      </c>
      <c r="C4095">
        <v>10</v>
      </c>
      <c r="D4095">
        <v>1</v>
      </c>
      <c r="E4095">
        <v>1</v>
      </c>
      <c r="F4095">
        <v>2080</v>
      </c>
      <c r="G4095">
        <v>2.0019999999999999E-3</v>
      </c>
      <c r="H4095" t="s">
        <v>2203</v>
      </c>
    </row>
    <row r="4096" spans="1:8">
      <c r="A4096" t="s">
        <v>8222</v>
      </c>
      <c r="B4096" t="s">
        <v>8221</v>
      </c>
      <c r="C4096">
        <v>18</v>
      </c>
      <c r="D4096">
        <v>1</v>
      </c>
      <c r="E4096">
        <v>1</v>
      </c>
      <c r="F4096">
        <v>1061.1099999999999</v>
      </c>
      <c r="G4096">
        <v>1.2149999999999999E-3</v>
      </c>
      <c r="H4096" t="s">
        <v>2203</v>
      </c>
    </row>
    <row r="4097" spans="1:8">
      <c r="A4097" t="s">
        <v>9805</v>
      </c>
      <c r="B4097" t="s">
        <v>8223</v>
      </c>
      <c r="C4097">
        <v>100</v>
      </c>
      <c r="D4097">
        <v>1</v>
      </c>
      <c r="E4097">
        <v>1</v>
      </c>
      <c r="F4097">
        <v>56</v>
      </c>
      <c r="G4097">
        <v>3.0889999999999997E-4</v>
      </c>
      <c r="H4097" t="s">
        <v>2203</v>
      </c>
    </row>
    <row r="4098" spans="1:8">
      <c r="A4098" t="s">
        <v>9806</v>
      </c>
      <c r="B4098" t="s">
        <v>8224</v>
      </c>
      <c r="C4098">
        <v>20</v>
      </c>
      <c r="D4098">
        <v>1</v>
      </c>
      <c r="E4098">
        <v>1</v>
      </c>
      <c r="F4098">
        <v>337.5</v>
      </c>
      <c r="G4098">
        <v>1.2539999999999999E-3</v>
      </c>
      <c r="H4098" t="s">
        <v>2203</v>
      </c>
    </row>
    <row r="4099" spans="1:8">
      <c r="A4099" t="s">
        <v>2124</v>
      </c>
      <c r="B4099" t="s">
        <v>4234</v>
      </c>
      <c r="C4099">
        <v>50</v>
      </c>
      <c r="D4099">
        <v>1</v>
      </c>
      <c r="E4099">
        <v>1</v>
      </c>
      <c r="F4099">
        <v>1</v>
      </c>
      <c r="G4099">
        <v>0</v>
      </c>
      <c r="H4099" t="s">
        <v>2203</v>
      </c>
    </row>
    <row r="4100" spans="1:8">
      <c r="A4100" t="s">
        <v>2126</v>
      </c>
      <c r="B4100" t="s">
        <v>4236</v>
      </c>
      <c r="C4100">
        <v>10</v>
      </c>
      <c r="D4100">
        <v>1</v>
      </c>
      <c r="E4100">
        <v>1</v>
      </c>
      <c r="F4100">
        <v>1155</v>
      </c>
      <c r="G4100">
        <v>2.6618000000000002E-3</v>
      </c>
      <c r="H4100" t="s">
        <v>2203</v>
      </c>
    </row>
    <row r="4101" spans="1:8">
      <c r="A4101" t="s">
        <v>2127</v>
      </c>
      <c r="B4101" t="s">
        <v>4238</v>
      </c>
      <c r="C4101">
        <v>40</v>
      </c>
      <c r="D4101">
        <v>1</v>
      </c>
      <c r="E4101">
        <v>1</v>
      </c>
      <c r="F4101">
        <v>280</v>
      </c>
      <c r="G4101">
        <v>1.0269999999999999E-3</v>
      </c>
      <c r="H4101" t="s">
        <v>2203</v>
      </c>
    </row>
    <row r="4102" spans="1:8">
      <c r="A4102" t="s">
        <v>2128</v>
      </c>
      <c r="B4102" t="s">
        <v>4239</v>
      </c>
      <c r="C4102">
        <v>20</v>
      </c>
      <c r="D4102">
        <v>1</v>
      </c>
      <c r="E4102">
        <v>1</v>
      </c>
      <c r="F4102">
        <v>1090</v>
      </c>
      <c r="G4102">
        <v>3.0904000000000001E-3</v>
      </c>
      <c r="H4102" t="s">
        <v>2203</v>
      </c>
    </row>
    <row r="4103" spans="1:8">
      <c r="A4103" t="s">
        <v>8227</v>
      </c>
      <c r="B4103" t="s">
        <v>8226</v>
      </c>
      <c r="C4103">
        <v>20</v>
      </c>
      <c r="D4103">
        <v>1</v>
      </c>
      <c r="E4103">
        <v>1</v>
      </c>
      <c r="F4103">
        <v>1137</v>
      </c>
      <c r="G4103">
        <v>7.2389999999999998E-4</v>
      </c>
      <c r="H4103" t="s">
        <v>2203</v>
      </c>
    </row>
    <row r="4104" spans="1:8">
      <c r="A4104" t="s">
        <v>2134</v>
      </c>
      <c r="B4104" t="s">
        <v>4241</v>
      </c>
      <c r="C4104">
        <v>20</v>
      </c>
      <c r="D4104">
        <v>1</v>
      </c>
      <c r="E4104">
        <v>1</v>
      </c>
      <c r="F4104">
        <v>1137</v>
      </c>
      <c r="G4104">
        <v>7.2393749999999997E-4</v>
      </c>
      <c r="H4104" t="s">
        <v>2203</v>
      </c>
    </row>
    <row r="4105" spans="1:8">
      <c r="A4105" t="s">
        <v>4949</v>
      </c>
      <c r="B4105" t="s">
        <v>8225</v>
      </c>
      <c r="C4105">
        <v>25</v>
      </c>
      <c r="D4105">
        <v>1</v>
      </c>
      <c r="E4105">
        <v>1</v>
      </c>
      <c r="F4105">
        <v>0</v>
      </c>
      <c r="G4105">
        <v>0</v>
      </c>
      <c r="H4105" t="s">
        <v>2203</v>
      </c>
    </row>
    <row r="4106" spans="1:8">
      <c r="A4106" t="s">
        <v>2136</v>
      </c>
      <c r="B4106" t="s">
        <v>4243</v>
      </c>
      <c r="C4106">
        <v>10</v>
      </c>
      <c r="D4106">
        <v>20</v>
      </c>
      <c r="E4106">
        <v>1</v>
      </c>
      <c r="F4106">
        <v>17.3</v>
      </c>
      <c r="G4106" s="4">
        <v>4.7499375E-5</v>
      </c>
      <c r="H4106" t="s">
        <v>2197</v>
      </c>
    </row>
    <row r="4107" spans="1:8">
      <c r="A4107" t="s">
        <v>2141</v>
      </c>
      <c r="B4107" t="s">
        <v>4246</v>
      </c>
      <c r="C4107">
        <v>100</v>
      </c>
      <c r="D4107">
        <v>1</v>
      </c>
      <c r="E4107">
        <v>1</v>
      </c>
      <c r="F4107">
        <v>80</v>
      </c>
      <c r="G4107">
        <v>1.54E-4</v>
      </c>
      <c r="H4107" t="s">
        <v>2197</v>
      </c>
    </row>
    <row r="4108" spans="1:8">
      <c r="A4108" t="s">
        <v>2148</v>
      </c>
      <c r="B4108" t="s">
        <v>4247</v>
      </c>
      <c r="C4108">
        <v>50</v>
      </c>
      <c r="D4108">
        <v>1</v>
      </c>
      <c r="E4108">
        <v>1</v>
      </c>
      <c r="F4108">
        <v>149</v>
      </c>
      <c r="G4108">
        <v>2.8106000000000002E-4</v>
      </c>
      <c r="H4108" t="s">
        <v>2197</v>
      </c>
    </row>
    <row r="4109" spans="1:8">
      <c r="A4109" t="s">
        <v>9807</v>
      </c>
      <c r="B4109" t="s">
        <v>8228</v>
      </c>
      <c r="C4109">
        <v>100</v>
      </c>
      <c r="D4109">
        <v>1</v>
      </c>
      <c r="E4109">
        <v>1</v>
      </c>
      <c r="F4109">
        <v>130</v>
      </c>
      <c r="G4109">
        <v>3.2479999999999998E-4</v>
      </c>
      <c r="H4109" t="s">
        <v>2197</v>
      </c>
    </row>
    <row r="4110" spans="1:8">
      <c r="A4110" t="s">
        <v>2152</v>
      </c>
      <c r="B4110" t="s">
        <v>4250</v>
      </c>
      <c r="C4110">
        <v>20</v>
      </c>
      <c r="D4110">
        <v>1</v>
      </c>
      <c r="E4110">
        <v>1</v>
      </c>
      <c r="F4110">
        <v>562.5</v>
      </c>
      <c r="G4110">
        <v>1.2160000000000001E-3</v>
      </c>
      <c r="H4110" t="s">
        <v>2197</v>
      </c>
    </row>
    <row r="4111" spans="1:8">
      <c r="A4111" t="s">
        <v>2153</v>
      </c>
      <c r="B4111" t="s">
        <v>4251</v>
      </c>
      <c r="C4111">
        <v>1</v>
      </c>
      <c r="D4111">
        <v>1</v>
      </c>
      <c r="E4111">
        <v>1</v>
      </c>
      <c r="F4111">
        <v>100</v>
      </c>
      <c r="G4111">
        <v>0</v>
      </c>
      <c r="H4111" t="s">
        <v>2197</v>
      </c>
    </row>
    <row r="4112" spans="1:8">
      <c r="A4112" t="s">
        <v>2154</v>
      </c>
      <c r="B4112" t="s">
        <v>4253</v>
      </c>
      <c r="C4112">
        <v>16</v>
      </c>
      <c r="D4112">
        <v>1</v>
      </c>
      <c r="E4112">
        <v>1</v>
      </c>
      <c r="F4112">
        <v>1374.375</v>
      </c>
      <c r="G4112">
        <v>2.1679687500000002E-3</v>
      </c>
      <c r="H4112" t="s">
        <v>2197</v>
      </c>
    </row>
    <row r="4113" spans="1:8">
      <c r="A4113" t="s">
        <v>2155</v>
      </c>
      <c r="B4113" t="s">
        <v>4254</v>
      </c>
      <c r="C4113">
        <v>20</v>
      </c>
      <c r="D4113">
        <v>1</v>
      </c>
      <c r="E4113">
        <v>1</v>
      </c>
      <c r="F4113">
        <v>718.5</v>
      </c>
      <c r="G4113">
        <v>1.3439999999999999E-3</v>
      </c>
      <c r="H4113" t="s">
        <v>2197</v>
      </c>
    </row>
    <row r="4114" spans="1:8">
      <c r="A4114" t="s">
        <v>2156</v>
      </c>
      <c r="B4114" t="s">
        <v>4255</v>
      </c>
      <c r="C4114">
        <v>50</v>
      </c>
      <c r="D4114">
        <v>1</v>
      </c>
      <c r="E4114">
        <v>1</v>
      </c>
      <c r="F4114">
        <v>283.2</v>
      </c>
      <c r="G4114">
        <v>5.7600000000000001E-4</v>
      </c>
      <c r="H4114" t="s">
        <v>2197</v>
      </c>
    </row>
    <row r="4115" spans="1:8">
      <c r="A4115" t="s">
        <v>4950</v>
      </c>
      <c r="B4115" t="s">
        <v>8229</v>
      </c>
      <c r="C4115">
        <v>50</v>
      </c>
      <c r="D4115">
        <v>1</v>
      </c>
      <c r="E4115">
        <v>1</v>
      </c>
      <c r="F4115">
        <v>140.4</v>
      </c>
      <c r="G4115">
        <v>2.8106000000000002E-4</v>
      </c>
      <c r="H4115" t="s">
        <v>2197</v>
      </c>
    </row>
    <row r="4116" spans="1:8">
      <c r="A4116" t="s">
        <v>9808</v>
      </c>
      <c r="B4116" t="s">
        <v>8230</v>
      </c>
      <c r="C4116">
        <v>20</v>
      </c>
      <c r="D4116">
        <v>1</v>
      </c>
      <c r="E4116">
        <v>1</v>
      </c>
      <c r="F4116">
        <v>1083.5</v>
      </c>
      <c r="G4116">
        <v>1.8018000000000001E-3</v>
      </c>
      <c r="H4116" t="s">
        <v>2203</v>
      </c>
    </row>
    <row r="4117" spans="1:8">
      <c r="A4117" t="s">
        <v>2157</v>
      </c>
      <c r="B4117" t="s">
        <v>4256</v>
      </c>
      <c r="C4117">
        <v>1</v>
      </c>
      <c r="D4117">
        <v>1</v>
      </c>
      <c r="E4117">
        <v>1</v>
      </c>
      <c r="F4117">
        <v>1083.5</v>
      </c>
      <c r="G4117">
        <v>1.8018000000000001E-3</v>
      </c>
      <c r="H4117" t="s">
        <v>2221</v>
      </c>
    </row>
    <row r="4118" spans="1:8">
      <c r="A4118" t="s">
        <v>9260</v>
      </c>
      <c r="B4118" t="s">
        <v>9259</v>
      </c>
      <c r="C4118">
        <v>1</v>
      </c>
      <c r="D4118">
        <v>1</v>
      </c>
      <c r="E4118">
        <v>1</v>
      </c>
      <c r="F4118">
        <v>1</v>
      </c>
      <c r="G4118">
        <v>0</v>
      </c>
      <c r="H4118" t="s">
        <v>2221</v>
      </c>
    </row>
    <row r="4119" spans="1:8">
      <c r="A4119" t="s">
        <v>2158</v>
      </c>
      <c r="B4119" t="s">
        <v>4257</v>
      </c>
      <c r="C4119">
        <v>20</v>
      </c>
      <c r="D4119">
        <v>1</v>
      </c>
      <c r="E4119">
        <v>1</v>
      </c>
      <c r="F4119">
        <v>1077.5</v>
      </c>
      <c r="G4119">
        <v>2.4599999999999999E-3</v>
      </c>
      <c r="H4119" t="s">
        <v>2197</v>
      </c>
    </row>
    <row r="4120" spans="1:8">
      <c r="A4120" t="s">
        <v>9809</v>
      </c>
      <c r="B4120" t="s">
        <v>8231</v>
      </c>
      <c r="C4120">
        <v>20</v>
      </c>
      <c r="D4120">
        <v>1</v>
      </c>
      <c r="E4120">
        <v>1</v>
      </c>
      <c r="F4120">
        <v>480</v>
      </c>
      <c r="G4120">
        <v>1.3940000000000001E-3</v>
      </c>
      <c r="H4120" t="s">
        <v>2197</v>
      </c>
    </row>
    <row r="4121" spans="1:8">
      <c r="A4121" t="s">
        <v>2159</v>
      </c>
      <c r="B4121" t="s">
        <v>4259</v>
      </c>
      <c r="C4121">
        <v>25</v>
      </c>
      <c r="D4121">
        <v>1</v>
      </c>
      <c r="E4121">
        <v>1</v>
      </c>
      <c r="F4121">
        <v>474</v>
      </c>
      <c r="G4121">
        <v>1.3447999999999999E-3</v>
      </c>
      <c r="H4121" t="s">
        <v>2197</v>
      </c>
    </row>
    <row r="4122" spans="1:8">
      <c r="A4122" t="s">
        <v>9810</v>
      </c>
      <c r="B4122" t="s">
        <v>8232</v>
      </c>
      <c r="C4122">
        <v>20</v>
      </c>
      <c r="D4122">
        <v>1</v>
      </c>
      <c r="E4122">
        <v>1</v>
      </c>
      <c r="F4122">
        <v>430</v>
      </c>
      <c r="G4122">
        <v>1.6524E-3</v>
      </c>
      <c r="H4122" t="s">
        <v>2221</v>
      </c>
    </row>
    <row r="4123" spans="1:8">
      <c r="A4123" t="s">
        <v>8234</v>
      </c>
      <c r="B4123" t="s">
        <v>8233</v>
      </c>
      <c r="C4123">
        <v>20</v>
      </c>
      <c r="D4123">
        <v>12</v>
      </c>
      <c r="E4123">
        <v>1</v>
      </c>
      <c r="F4123">
        <v>1083.5</v>
      </c>
      <c r="G4123">
        <v>1.8018000000000001E-3</v>
      </c>
      <c r="H4123" t="s">
        <v>2203</v>
      </c>
    </row>
    <row r="4124" spans="1:8">
      <c r="A4124" t="s">
        <v>9811</v>
      </c>
      <c r="B4124" t="s">
        <v>8235</v>
      </c>
      <c r="C4124">
        <v>40</v>
      </c>
      <c r="D4124">
        <v>1</v>
      </c>
      <c r="E4124">
        <v>1</v>
      </c>
      <c r="F4124">
        <v>1</v>
      </c>
      <c r="G4124">
        <v>0</v>
      </c>
      <c r="H4124" t="s">
        <v>2197</v>
      </c>
    </row>
    <row r="4125" spans="1:8">
      <c r="A4125" t="s">
        <v>8237</v>
      </c>
      <c r="B4125" t="s">
        <v>8236</v>
      </c>
      <c r="C4125">
        <v>100</v>
      </c>
      <c r="D4125">
        <v>1</v>
      </c>
      <c r="E4125">
        <v>1</v>
      </c>
      <c r="F4125">
        <v>116</v>
      </c>
      <c r="G4125">
        <v>4.1980000000000001E-4</v>
      </c>
      <c r="H4125" t="s">
        <v>2203</v>
      </c>
    </row>
    <row r="4126" spans="1:8">
      <c r="A4126" t="s">
        <v>2160</v>
      </c>
      <c r="B4126" t="s">
        <v>4260</v>
      </c>
      <c r="C4126">
        <v>100</v>
      </c>
      <c r="D4126">
        <v>1</v>
      </c>
      <c r="E4126">
        <v>1</v>
      </c>
      <c r="F4126">
        <v>116</v>
      </c>
      <c r="G4126">
        <v>4.3320000000000001E-4</v>
      </c>
      <c r="H4126" t="s">
        <v>2203</v>
      </c>
    </row>
    <row r="4127" spans="1:8">
      <c r="A4127" t="s">
        <v>2161</v>
      </c>
      <c r="B4127" t="s">
        <v>4262</v>
      </c>
      <c r="C4127">
        <v>20</v>
      </c>
      <c r="D4127">
        <v>1</v>
      </c>
      <c r="E4127">
        <v>1</v>
      </c>
      <c r="F4127">
        <v>555</v>
      </c>
      <c r="G4127">
        <v>1.7359999999999999E-3</v>
      </c>
      <c r="H4127" t="s">
        <v>2203</v>
      </c>
    </row>
    <row r="4128" spans="1:8">
      <c r="A4128" t="s">
        <v>4951</v>
      </c>
      <c r="B4128" t="s">
        <v>8238</v>
      </c>
      <c r="C4128">
        <v>24</v>
      </c>
      <c r="D4128">
        <v>1</v>
      </c>
      <c r="E4128">
        <v>1</v>
      </c>
      <c r="F4128">
        <v>612.5</v>
      </c>
      <c r="G4128">
        <v>1.1906666666666699E-3</v>
      </c>
      <c r="H4128" t="s">
        <v>2197</v>
      </c>
    </row>
    <row r="4129" spans="1:8">
      <c r="A4129" t="s">
        <v>8240</v>
      </c>
      <c r="B4129" t="s">
        <v>8239</v>
      </c>
      <c r="C4129">
        <v>48</v>
      </c>
      <c r="D4129">
        <v>1</v>
      </c>
      <c r="E4129">
        <v>1</v>
      </c>
      <c r="F4129">
        <v>314.79166666666703</v>
      </c>
      <c r="G4129">
        <v>6.4574999999999995E-4</v>
      </c>
      <c r="H4129" t="s">
        <v>2197</v>
      </c>
    </row>
    <row r="4130" spans="1:8">
      <c r="A4130" t="s">
        <v>2162</v>
      </c>
      <c r="B4130" t="s">
        <v>4264</v>
      </c>
      <c r="C4130">
        <v>25</v>
      </c>
      <c r="D4130">
        <v>20</v>
      </c>
      <c r="E4130">
        <v>1</v>
      </c>
      <c r="F4130">
        <v>16.3</v>
      </c>
      <c r="G4130" s="4">
        <v>9.1953750000000004E-5</v>
      </c>
      <c r="H4130" t="s">
        <v>2203</v>
      </c>
    </row>
    <row r="4131" spans="1:8">
      <c r="A4131" t="s">
        <v>2166</v>
      </c>
      <c r="B4131" t="s">
        <v>4266</v>
      </c>
      <c r="C4131">
        <v>10</v>
      </c>
      <c r="D4131">
        <v>1</v>
      </c>
      <c r="E4131">
        <v>1</v>
      </c>
      <c r="F4131">
        <v>635</v>
      </c>
      <c r="G4131">
        <v>1.4021999999999999E-3</v>
      </c>
      <c r="H4131" t="s">
        <v>2197</v>
      </c>
    </row>
    <row r="4132" spans="1:8">
      <c r="A4132" t="s">
        <v>2167</v>
      </c>
      <c r="B4132" t="s">
        <v>4268</v>
      </c>
      <c r="C4132">
        <v>20</v>
      </c>
      <c r="D4132">
        <v>1</v>
      </c>
      <c r="E4132">
        <v>1</v>
      </c>
      <c r="F4132">
        <v>317.5</v>
      </c>
      <c r="G4132">
        <v>6.3750000000000005E-4</v>
      </c>
      <c r="H4132" t="s">
        <v>2197</v>
      </c>
    </row>
    <row r="4133" spans="1:8">
      <c r="A4133" t="s">
        <v>2168</v>
      </c>
      <c r="B4133" t="s">
        <v>4269</v>
      </c>
      <c r="C4133">
        <v>50</v>
      </c>
      <c r="D4133">
        <v>1</v>
      </c>
      <c r="E4133">
        <v>1</v>
      </c>
      <c r="F4133">
        <v>133</v>
      </c>
      <c r="G4133">
        <v>3.1100000000000002E-4</v>
      </c>
      <c r="H4133" t="s">
        <v>2197</v>
      </c>
    </row>
    <row r="4134" spans="1:8">
      <c r="A4134" t="s">
        <v>8242</v>
      </c>
      <c r="B4134" t="s">
        <v>8241</v>
      </c>
      <c r="C4134">
        <v>50</v>
      </c>
      <c r="D4134">
        <v>1</v>
      </c>
      <c r="E4134">
        <v>1</v>
      </c>
      <c r="F4134">
        <v>100</v>
      </c>
      <c r="G4134">
        <v>7.8890000000000004E-4</v>
      </c>
      <c r="H4134" t="s">
        <v>2197</v>
      </c>
    </row>
    <row r="4135" spans="1:8">
      <c r="A4135" t="s">
        <v>8246</v>
      </c>
      <c r="B4135" t="s">
        <v>8245</v>
      </c>
      <c r="C4135">
        <v>50</v>
      </c>
      <c r="D4135">
        <v>1</v>
      </c>
      <c r="E4135">
        <v>1</v>
      </c>
      <c r="F4135">
        <v>242.8</v>
      </c>
      <c r="G4135">
        <v>7.8890000000000004E-4</v>
      </c>
      <c r="H4135" t="s">
        <v>2197</v>
      </c>
    </row>
    <row r="4136" spans="1:8">
      <c r="A4136" t="s">
        <v>4952</v>
      </c>
      <c r="B4136" t="s">
        <v>8247</v>
      </c>
      <c r="C4136">
        <v>110</v>
      </c>
      <c r="D4136">
        <v>1</v>
      </c>
      <c r="E4136">
        <v>1</v>
      </c>
      <c r="F4136">
        <v>0</v>
      </c>
      <c r="G4136">
        <v>0</v>
      </c>
      <c r="H4136" t="s">
        <v>2203</v>
      </c>
    </row>
    <row r="4137" spans="1:8">
      <c r="A4137" t="s">
        <v>8244</v>
      </c>
      <c r="B4137" t="s">
        <v>8243</v>
      </c>
      <c r="C4137">
        <v>160</v>
      </c>
      <c r="D4137">
        <v>1</v>
      </c>
      <c r="E4137">
        <v>1</v>
      </c>
      <c r="F4137">
        <v>0</v>
      </c>
      <c r="G4137">
        <v>0</v>
      </c>
      <c r="H4137" t="s">
        <v>2203</v>
      </c>
    </row>
    <row r="4138" spans="1:8">
      <c r="A4138" t="s">
        <v>4953</v>
      </c>
      <c r="B4138" t="s">
        <v>8248</v>
      </c>
      <c r="C4138">
        <v>80</v>
      </c>
      <c r="D4138">
        <v>1</v>
      </c>
      <c r="E4138">
        <v>1</v>
      </c>
      <c r="F4138">
        <v>116.9</v>
      </c>
      <c r="G4138">
        <v>4.5800000000000002E-4</v>
      </c>
      <c r="H4138" t="s">
        <v>2203</v>
      </c>
    </row>
    <row r="4139" spans="1:8">
      <c r="A4139" t="s">
        <v>8254</v>
      </c>
      <c r="B4139" t="s">
        <v>8253</v>
      </c>
      <c r="C4139">
        <v>1</v>
      </c>
      <c r="D4139">
        <v>1</v>
      </c>
      <c r="E4139">
        <v>1</v>
      </c>
      <c r="F4139">
        <v>20000</v>
      </c>
      <c r="G4139">
        <v>0</v>
      </c>
      <c r="H4139" t="s">
        <v>2303</v>
      </c>
    </row>
    <row r="4140" spans="1:8">
      <c r="A4140" t="s">
        <v>8250</v>
      </c>
      <c r="B4140" t="s">
        <v>8249</v>
      </c>
      <c r="C4140">
        <v>20</v>
      </c>
      <c r="D4140">
        <v>1</v>
      </c>
      <c r="E4140">
        <v>1</v>
      </c>
      <c r="F4140">
        <v>1000</v>
      </c>
      <c r="G4140">
        <v>0</v>
      </c>
      <c r="H4140" t="s">
        <v>2197</v>
      </c>
    </row>
    <row r="4141" spans="1:8">
      <c r="A4141" t="s">
        <v>8252</v>
      </c>
      <c r="B4141" t="s">
        <v>8251</v>
      </c>
      <c r="C4141">
        <v>4</v>
      </c>
      <c r="D4141">
        <v>1</v>
      </c>
      <c r="E4141">
        <v>1</v>
      </c>
      <c r="F4141">
        <v>5000</v>
      </c>
      <c r="G4141">
        <v>0</v>
      </c>
      <c r="H4141" t="s">
        <v>2307</v>
      </c>
    </row>
    <row r="4142" spans="1:8">
      <c r="A4142" t="s">
        <v>4954</v>
      </c>
      <c r="B4142" t="s">
        <v>8255</v>
      </c>
      <c r="C4142">
        <v>48</v>
      </c>
      <c r="D4142">
        <v>1</v>
      </c>
      <c r="E4142">
        <v>1</v>
      </c>
      <c r="F4142">
        <v>167.7</v>
      </c>
      <c r="G4142">
        <v>4.5580000000000002E-4</v>
      </c>
      <c r="H4142" t="s">
        <v>2197</v>
      </c>
    </row>
    <row r="4143" spans="1:8">
      <c r="A4143" t="s">
        <v>9812</v>
      </c>
      <c r="B4143" t="s">
        <v>8256</v>
      </c>
      <c r="C4143">
        <v>20</v>
      </c>
      <c r="D4143">
        <v>1</v>
      </c>
      <c r="E4143">
        <v>1</v>
      </c>
      <c r="F4143">
        <v>670</v>
      </c>
      <c r="G4143">
        <v>1.14E-3</v>
      </c>
      <c r="H4143" t="s">
        <v>2197</v>
      </c>
    </row>
    <row r="4144" spans="1:8">
      <c r="A4144" t="s">
        <v>8258</v>
      </c>
      <c r="B4144" t="s">
        <v>8257</v>
      </c>
      <c r="C4144">
        <v>100</v>
      </c>
      <c r="D4144">
        <v>1</v>
      </c>
      <c r="E4144">
        <v>1</v>
      </c>
      <c r="F4144">
        <v>123</v>
      </c>
      <c r="G4144">
        <v>2.6499999999999999E-4</v>
      </c>
      <c r="H4144" t="s">
        <v>2197</v>
      </c>
    </row>
    <row r="4145" spans="1:8">
      <c r="A4145" t="s">
        <v>2169</v>
      </c>
      <c r="B4145" t="s">
        <v>4270</v>
      </c>
      <c r="C4145">
        <v>20</v>
      </c>
      <c r="D4145">
        <v>1</v>
      </c>
      <c r="E4145">
        <v>1</v>
      </c>
      <c r="F4145">
        <v>535</v>
      </c>
      <c r="G4145">
        <v>1.2800000000000001E-3</v>
      </c>
      <c r="H4145" t="s">
        <v>2197</v>
      </c>
    </row>
    <row r="4146" spans="1:8">
      <c r="A4146" t="s">
        <v>2170</v>
      </c>
      <c r="B4146" t="s">
        <v>4272</v>
      </c>
      <c r="C4146">
        <v>20</v>
      </c>
      <c r="D4146">
        <v>1</v>
      </c>
      <c r="E4146">
        <v>1</v>
      </c>
      <c r="F4146">
        <v>1095</v>
      </c>
      <c r="G4146">
        <v>2.3999999999999998E-3</v>
      </c>
      <c r="H4146" t="s">
        <v>2197</v>
      </c>
    </row>
    <row r="4147" spans="1:8">
      <c r="A4147" t="s">
        <v>9813</v>
      </c>
      <c r="B4147" t="s">
        <v>8259</v>
      </c>
      <c r="C4147">
        <v>50</v>
      </c>
      <c r="D4147">
        <v>1</v>
      </c>
      <c r="E4147">
        <v>1</v>
      </c>
      <c r="F4147">
        <v>194</v>
      </c>
      <c r="G4147">
        <v>3.3119999999999997E-4</v>
      </c>
      <c r="H4147" t="s">
        <v>2197</v>
      </c>
    </row>
    <row r="4148" spans="1:8">
      <c r="A4148" t="s">
        <v>4955</v>
      </c>
      <c r="B4148" t="s">
        <v>8260</v>
      </c>
      <c r="C4148">
        <v>50</v>
      </c>
      <c r="D4148">
        <v>1</v>
      </c>
      <c r="E4148">
        <v>1</v>
      </c>
      <c r="F4148">
        <v>142</v>
      </c>
      <c r="G4148">
        <v>2.987E-4</v>
      </c>
      <c r="H4148" t="s">
        <v>2197</v>
      </c>
    </row>
    <row r="4149" spans="1:8">
      <c r="A4149" t="s">
        <v>2171</v>
      </c>
      <c r="B4149" t="s">
        <v>8261</v>
      </c>
      <c r="C4149">
        <v>118</v>
      </c>
      <c r="D4149">
        <v>1</v>
      </c>
      <c r="E4149">
        <v>1</v>
      </c>
      <c r="F4149">
        <v>161.4</v>
      </c>
      <c r="G4149">
        <v>4.8539999999999998E-4</v>
      </c>
      <c r="H4149" t="s">
        <v>2197</v>
      </c>
    </row>
    <row r="4150" spans="1:8">
      <c r="A4150" t="s">
        <v>9814</v>
      </c>
      <c r="B4150" t="s">
        <v>8262</v>
      </c>
      <c r="C4150">
        <v>15</v>
      </c>
      <c r="D4150">
        <v>1</v>
      </c>
      <c r="E4150">
        <v>1</v>
      </c>
      <c r="F4150">
        <v>1133.3</v>
      </c>
      <c r="G4150">
        <v>1.9869000000000002E-3</v>
      </c>
      <c r="H4150" t="s">
        <v>2197</v>
      </c>
    </row>
    <row r="4151" spans="1:8">
      <c r="A4151" t="s">
        <v>2173</v>
      </c>
      <c r="B4151" t="s">
        <v>4276</v>
      </c>
      <c r="C4151">
        <v>20</v>
      </c>
      <c r="D4151">
        <v>1</v>
      </c>
      <c r="E4151">
        <v>1</v>
      </c>
      <c r="F4151">
        <v>675</v>
      </c>
      <c r="G4151">
        <v>1.134E-3</v>
      </c>
      <c r="H4151" t="s">
        <v>2197</v>
      </c>
    </row>
    <row r="4152" spans="1:8">
      <c r="A4152" t="s">
        <v>9262</v>
      </c>
      <c r="B4152" t="s">
        <v>9261</v>
      </c>
      <c r="C4152">
        <v>1</v>
      </c>
      <c r="D4152">
        <v>1</v>
      </c>
      <c r="E4152">
        <v>1</v>
      </c>
      <c r="F4152">
        <v>1</v>
      </c>
      <c r="G4152">
        <v>0</v>
      </c>
      <c r="H4152" t="s">
        <v>2221</v>
      </c>
    </row>
    <row r="4153" spans="1:8">
      <c r="A4153" t="s">
        <v>9815</v>
      </c>
      <c r="B4153" t="s">
        <v>8265</v>
      </c>
      <c r="C4153">
        <v>1</v>
      </c>
      <c r="D4153">
        <v>1</v>
      </c>
      <c r="E4153">
        <v>1</v>
      </c>
      <c r="F4153">
        <v>51000</v>
      </c>
      <c r="G4153">
        <v>0.05</v>
      </c>
      <c r="H4153" t="s">
        <v>2994</v>
      </c>
    </row>
    <row r="4154" spans="1:8">
      <c r="A4154" t="s">
        <v>8267</v>
      </c>
      <c r="B4154" t="s">
        <v>8266</v>
      </c>
      <c r="C4154">
        <v>1</v>
      </c>
      <c r="D4154">
        <v>1</v>
      </c>
      <c r="E4154">
        <v>1</v>
      </c>
      <c r="F4154">
        <v>687.5</v>
      </c>
      <c r="G4154">
        <v>1.5560000000000001E-3</v>
      </c>
      <c r="H4154" t="s">
        <v>2994</v>
      </c>
    </row>
    <row r="4155" spans="1:8">
      <c r="A4155" t="s">
        <v>8269</v>
      </c>
      <c r="B4155" t="s">
        <v>8268</v>
      </c>
      <c r="C4155">
        <v>1</v>
      </c>
      <c r="D4155">
        <v>1</v>
      </c>
      <c r="E4155">
        <v>1</v>
      </c>
      <c r="F4155">
        <v>1</v>
      </c>
      <c r="G4155">
        <v>0</v>
      </c>
      <c r="H4155" t="s">
        <v>2994</v>
      </c>
    </row>
    <row r="4156" spans="1:8">
      <c r="A4156" t="s">
        <v>8271</v>
      </c>
      <c r="B4156" t="s">
        <v>8270</v>
      </c>
      <c r="C4156">
        <v>1</v>
      </c>
      <c r="D4156">
        <v>1</v>
      </c>
      <c r="E4156">
        <v>1</v>
      </c>
      <c r="F4156">
        <v>1</v>
      </c>
      <c r="G4156">
        <v>0</v>
      </c>
      <c r="H4156" t="s">
        <v>2994</v>
      </c>
    </row>
    <row r="4157" spans="1:8">
      <c r="A4157" t="s">
        <v>4956</v>
      </c>
      <c r="B4157" t="s">
        <v>8272</v>
      </c>
      <c r="C4157">
        <v>1</v>
      </c>
      <c r="D4157">
        <v>1</v>
      </c>
      <c r="E4157">
        <v>1</v>
      </c>
      <c r="F4157">
        <v>51000</v>
      </c>
      <c r="G4157">
        <v>5.3999999999999999E-2</v>
      </c>
      <c r="H4157" t="s">
        <v>2994</v>
      </c>
    </row>
    <row r="4158" spans="1:8">
      <c r="A4158" t="s">
        <v>9816</v>
      </c>
      <c r="B4158" t="s">
        <v>8273</v>
      </c>
      <c r="C4158">
        <v>1</v>
      </c>
      <c r="D4158">
        <v>1</v>
      </c>
      <c r="E4158">
        <v>1</v>
      </c>
      <c r="F4158">
        <v>51000</v>
      </c>
      <c r="G4158">
        <v>5.3999999999999999E-2</v>
      </c>
      <c r="H4158" t="s">
        <v>2994</v>
      </c>
    </row>
    <row r="4159" spans="1:8">
      <c r="A4159" t="s">
        <v>9817</v>
      </c>
      <c r="B4159" t="s">
        <v>8275</v>
      </c>
      <c r="C4159">
        <v>1</v>
      </c>
      <c r="D4159">
        <v>1</v>
      </c>
      <c r="E4159">
        <v>1</v>
      </c>
      <c r="F4159">
        <v>51000</v>
      </c>
      <c r="G4159">
        <v>5.3999999999999999E-2</v>
      </c>
      <c r="H4159" t="s">
        <v>2994</v>
      </c>
    </row>
    <row r="4160" spans="1:8">
      <c r="A4160" t="s">
        <v>9818</v>
      </c>
      <c r="B4160" t="s">
        <v>8274</v>
      </c>
      <c r="C4160">
        <v>1</v>
      </c>
      <c r="D4160">
        <v>1</v>
      </c>
      <c r="E4160">
        <v>1</v>
      </c>
      <c r="F4160">
        <v>51000</v>
      </c>
      <c r="G4160">
        <v>5.3999999999999999E-2</v>
      </c>
      <c r="H4160" t="s">
        <v>2994</v>
      </c>
    </row>
    <row r="4161" spans="1:8">
      <c r="A4161" t="s">
        <v>8277</v>
      </c>
      <c r="B4161" t="s">
        <v>8276</v>
      </c>
      <c r="C4161">
        <v>1</v>
      </c>
      <c r="D4161">
        <v>1</v>
      </c>
      <c r="E4161">
        <v>1</v>
      </c>
      <c r="F4161">
        <v>51000</v>
      </c>
      <c r="G4161">
        <v>5.3999999999999999E-2</v>
      </c>
      <c r="H4161" t="s">
        <v>2994</v>
      </c>
    </row>
    <row r="4162" spans="1:8">
      <c r="A4162" t="s">
        <v>8279</v>
      </c>
      <c r="B4162" t="s">
        <v>8278</v>
      </c>
      <c r="C4162">
        <v>1</v>
      </c>
      <c r="D4162">
        <v>1</v>
      </c>
      <c r="E4162">
        <v>1</v>
      </c>
      <c r="F4162">
        <v>51000</v>
      </c>
      <c r="G4162">
        <v>5.3999999999999999E-2</v>
      </c>
      <c r="H4162" t="s">
        <v>2994</v>
      </c>
    </row>
    <row r="4163" spans="1:8">
      <c r="A4163" t="s">
        <v>4957</v>
      </c>
      <c r="B4163" t="s">
        <v>8280</v>
      </c>
      <c r="C4163">
        <v>1</v>
      </c>
      <c r="D4163">
        <v>1</v>
      </c>
      <c r="E4163">
        <v>1</v>
      </c>
      <c r="F4163">
        <v>51000</v>
      </c>
      <c r="G4163">
        <v>5.3999999999999999E-2</v>
      </c>
      <c r="H4163" t="s">
        <v>2994</v>
      </c>
    </row>
    <row r="4164" spans="1:8">
      <c r="A4164" t="s">
        <v>9819</v>
      </c>
      <c r="B4164" t="s">
        <v>8264</v>
      </c>
      <c r="C4164">
        <v>20</v>
      </c>
      <c r="D4164">
        <v>1</v>
      </c>
      <c r="E4164">
        <v>1</v>
      </c>
      <c r="F4164">
        <v>1030</v>
      </c>
      <c r="G4164">
        <v>2.5244999999999998E-3</v>
      </c>
      <c r="H4164" t="s">
        <v>2197</v>
      </c>
    </row>
    <row r="4165" spans="1:8">
      <c r="A4165" t="s">
        <v>9820</v>
      </c>
      <c r="B4165" t="s">
        <v>8263</v>
      </c>
      <c r="C4165">
        <v>20</v>
      </c>
      <c r="D4165">
        <v>1</v>
      </c>
      <c r="E4165">
        <v>1</v>
      </c>
      <c r="F4165">
        <v>475</v>
      </c>
      <c r="G4165">
        <v>1.7424000000000001E-3</v>
      </c>
      <c r="H4165" t="s">
        <v>2197</v>
      </c>
    </row>
    <row r="4166" spans="1:8">
      <c r="A4166" t="s">
        <v>8282</v>
      </c>
      <c r="B4166" t="s">
        <v>8281</v>
      </c>
      <c r="C4166">
        <v>1</v>
      </c>
      <c r="D4166">
        <v>1</v>
      </c>
      <c r="E4166">
        <v>1</v>
      </c>
      <c r="F4166">
        <v>51000</v>
      </c>
      <c r="G4166">
        <v>5.3999999999999999E-2</v>
      </c>
      <c r="H4166" t="s">
        <v>2994</v>
      </c>
    </row>
    <row r="4167" spans="1:8">
      <c r="A4167" t="s">
        <v>2174</v>
      </c>
      <c r="B4167" t="s">
        <v>4278</v>
      </c>
      <c r="C4167">
        <v>24</v>
      </c>
      <c r="D4167">
        <v>1</v>
      </c>
      <c r="E4167">
        <v>1</v>
      </c>
      <c r="F4167">
        <v>583.29999999999995</v>
      </c>
      <c r="G4167">
        <v>1.3159999999999999E-3</v>
      </c>
      <c r="H4167" t="s">
        <v>2197</v>
      </c>
    </row>
    <row r="4168" spans="1:8">
      <c r="A4168" t="s">
        <v>2175</v>
      </c>
      <c r="B4168" t="s">
        <v>4280</v>
      </c>
      <c r="C4168">
        <v>40</v>
      </c>
      <c r="D4168">
        <v>1</v>
      </c>
      <c r="E4168">
        <v>1</v>
      </c>
      <c r="F4168">
        <v>312.5</v>
      </c>
      <c r="G4168">
        <v>7.293E-4</v>
      </c>
      <c r="H4168" t="s">
        <v>2197</v>
      </c>
    </row>
    <row r="4169" spans="1:8">
      <c r="A4169" t="s">
        <v>2176</v>
      </c>
      <c r="B4169" t="s">
        <v>4281</v>
      </c>
      <c r="C4169">
        <v>60</v>
      </c>
      <c r="D4169">
        <v>1</v>
      </c>
      <c r="E4169">
        <v>1</v>
      </c>
      <c r="F4169">
        <v>141.69999999999999</v>
      </c>
      <c r="G4169">
        <v>4.704E-4</v>
      </c>
      <c r="H4169" t="s">
        <v>2197</v>
      </c>
    </row>
    <row r="4170" spans="1:8">
      <c r="A4170" t="s">
        <v>2177</v>
      </c>
      <c r="B4170" t="s">
        <v>4282</v>
      </c>
      <c r="C4170">
        <v>24</v>
      </c>
      <c r="D4170">
        <v>1</v>
      </c>
      <c r="E4170">
        <v>1</v>
      </c>
      <c r="F4170">
        <v>891.7</v>
      </c>
      <c r="G4170">
        <v>1.2880000000000001E-3</v>
      </c>
      <c r="H4170" t="s">
        <v>2197</v>
      </c>
    </row>
    <row r="4171" spans="1:8">
      <c r="A4171" t="s">
        <v>2178</v>
      </c>
      <c r="B4171" t="s">
        <v>4284</v>
      </c>
      <c r="C4171">
        <v>40</v>
      </c>
      <c r="D4171">
        <v>1</v>
      </c>
      <c r="E4171">
        <v>1</v>
      </c>
      <c r="F4171">
        <v>467.5</v>
      </c>
      <c r="G4171">
        <v>7.7220000000000001E-4</v>
      </c>
      <c r="H4171" t="s">
        <v>2197</v>
      </c>
    </row>
    <row r="4172" spans="1:8">
      <c r="A4172" t="s">
        <v>2179</v>
      </c>
      <c r="B4172" t="s">
        <v>4285</v>
      </c>
      <c r="C4172">
        <v>60</v>
      </c>
      <c r="D4172">
        <v>1</v>
      </c>
      <c r="E4172">
        <v>1</v>
      </c>
      <c r="F4172">
        <v>193.3</v>
      </c>
      <c r="G4172">
        <v>4.704E-4</v>
      </c>
      <c r="H4172" t="s">
        <v>2197</v>
      </c>
    </row>
    <row r="4173" spans="1:8">
      <c r="A4173" t="s">
        <v>2180</v>
      </c>
      <c r="B4173" t="s">
        <v>4286</v>
      </c>
      <c r="C4173">
        <v>15</v>
      </c>
      <c r="D4173">
        <v>1</v>
      </c>
      <c r="E4173">
        <v>1</v>
      </c>
      <c r="F4173">
        <v>1340</v>
      </c>
      <c r="G4173">
        <v>2.2325000000000001E-3</v>
      </c>
      <c r="H4173" t="s">
        <v>2197</v>
      </c>
    </row>
    <row r="4174" spans="1:8">
      <c r="A4174" t="s">
        <v>2181</v>
      </c>
      <c r="B4174" t="s">
        <v>4288</v>
      </c>
      <c r="C4174">
        <v>1</v>
      </c>
      <c r="D4174">
        <v>1</v>
      </c>
      <c r="E4174">
        <v>1</v>
      </c>
      <c r="F4174">
        <v>1</v>
      </c>
      <c r="G4174">
        <v>0</v>
      </c>
      <c r="H4174" t="s">
        <v>2221</v>
      </c>
    </row>
    <row r="4175" spans="1:8">
      <c r="A4175" t="s">
        <v>4958</v>
      </c>
      <c r="B4175" t="s">
        <v>8283</v>
      </c>
      <c r="C4175">
        <v>80</v>
      </c>
      <c r="D4175">
        <v>1</v>
      </c>
      <c r="E4175">
        <v>1</v>
      </c>
      <c r="F4175">
        <v>264.39999999999998</v>
      </c>
      <c r="G4175">
        <v>3.8220000000000002E-4</v>
      </c>
      <c r="H4175" t="s">
        <v>2203</v>
      </c>
    </row>
    <row r="4176" spans="1:8">
      <c r="A4176" t="s">
        <v>2182</v>
      </c>
      <c r="B4176" t="s">
        <v>4289</v>
      </c>
      <c r="C4176">
        <v>6</v>
      </c>
      <c r="D4176">
        <v>200</v>
      </c>
      <c r="E4176">
        <v>1</v>
      </c>
      <c r="F4176">
        <v>2.2999999999999998</v>
      </c>
      <c r="G4176" s="4">
        <v>1.9000000000000001E-5</v>
      </c>
      <c r="H4176" t="s">
        <v>2203</v>
      </c>
    </row>
    <row r="4177" spans="1:8">
      <c r="A4177" t="s">
        <v>2183</v>
      </c>
      <c r="B4177" t="s">
        <v>4292</v>
      </c>
      <c r="C4177">
        <v>1</v>
      </c>
      <c r="D4177">
        <v>1</v>
      </c>
      <c r="E4177">
        <v>1</v>
      </c>
      <c r="F4177">
        <v>51000</v>
      </c>
      <c r="G4177">
        <v>5.3999999999999999E-2</v>
      </c>
      <c r="H4177" t="s">
        <v>2994</v>
      </c>
    </row>
    <row r="4178" spans="1:8">
      <c r="A4178" t="s">
        <v>8285</v>
      </c>
      <c r="B4178" t="s">
        <v>8284</v>
      </c>
      <c r="C4178">
        <v>20</v>
      </c>
      <c r="D4178">
        <v>1</v>
      </c>
      <c r="E4178">
        <v>1</v>
      </c>
      <c r="F4178">
        <v>1</v>
      </c>
      <c r="G4178">
        <v>0</v>
      </c>
      <c r="H4178" t="s">
        <v>2197</v>
      </c>
    </row>
    <row r="4179" spans="1:8">
      <c r="A4179" t="s">
        <v>8287</v>
      </c>
      <c r="B4179" t="s">
        <v>8286</v>
      </c>
      <c r="C4179">
        <v>100</v>
      </c>
      <c r="D4179">
        <v>1</v>
      </c>
      <c r="E4179">
        <v>1</v>
      </c>
      <c r="F4179">
        <v>105.5</v>
      </c>
      <c r="G4179">
        <v>3.0289999999999999E-4</v>
      </c>
      <c r="H4179" t="s">
        <v>2197</v>
      </c>
    </row>
    <row r="4180" spans="1:8">
      <c r="A4180" t="s">
        <v>8291</v>
      </c>
      <c r="B4180" t="s">
        <v>8290</v>
      </c>
      <c r="C4180">
        <v>20</v>
      </c>
      <c r="D4180">
        <v>1</v>
      </c>
      <c r="E4180">
        <v>1</v>
      </c>
      <c r="F4180">
        <v>497.5</v>
      </c>
      <c r="G4180">
        <v>1.2999999999999999E-3</v>
      </c>
      <c r="H4180" t="s">
        <v>2197</v>
      </c>
    </row>
    <row r="4181" spans="1:8">
      <c r="A4181" t="s">
        <v>8289</v>
      </c>
      <c r="B4181" t="s">
        <v>8288</v>
      </c>
      <c r="C4181">
        <v>40</v>
      </c>
      <c r="D4181">
        <v>1</v>
      </c>
      <c r="E4181">
        <v>1</v>
      </c>
      <c r="F4181">
        <v>272.5</v>
      </c>
      <c r="G4181">
        <v>6.9019999999999997E-4</v>
      </c>
      <c r="H4181" t="s">
        <v>2197</v>
      </c>
    </row>
    <row r="4182" spans="1:8">
      <c r="A4182" t="s">
        <v>1999</v>
      </c>
      <c r="B4182" t="s">
        <v>4077</v>
      </c>
      <c r="C4182">
        <v>1</v>
      </c>
      <c r="D4182">
        <v>1</v>
      </c>
      <c r="E4182">
        <v>1</v>
      </c>
      <c r="F4182">
        <v>0</v>
      </c>
      <c r="G4182">
        <v>0</v>
      </c>
      <c r="H4182" t="s">
        <v>2221</v>
      </c>
    </row>
  </sheetData>
  <autoFilter ref="A1:H4032">
    <sortState ref="A2:H4181">
      <sortCondition ref="A1:A403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398"/>
  <sheetViews>
    <sheetView topLeftCell="A329" workbookViewId="0">
      <selection activeCell="S805" sqref="S805:U805"/>
    </sheetView>
  </sheetViews>
  <sheetFormatPr defaultRowHeight="15"/>
  <cols>
    <col min="1" max="1" width="10.7109375" bestFit="1" customWidth="1"/>
    <col min="2" max="2" width="11.5703125" bestFit="1" customWidth="1"/>
    <col min="3" max="3" width="10.42578125" bestFit="1" customWidth="1"/>
    <col min="4" max="4" width="10.85546875" bestFit="1" customWidth="1"/>
    <col min="5" max="5" width="53.7109375" bestFit="1" customWidth="1"/>
    <col min="6" max="6" width="6" bestFit="1" customWidth="1"/>
    <col min="7" max="7" width="5" bestFit="1" customWidth="1"/>
    <col min="8" max="8" width="3.7109375" bestFit="1" customWidth="1"/>
    <col min="9" max="9" width="22.28515625" bestFit="1" customWidth="1"/>
    <col min="10" max="10" width="12.28515625" bestFit="1" customWidth="1"/>
  </cols>
  <sheetData>
    <row r="2" spans="1:11">
      <c r="A2" t="s">
        <v>13989</v>
      </c>
      <c r="B2" t="s">
        <v>13990</v>
      </c>
      <c r="C2" t="s">
        <v>13991</v>
      </c>
      <c r="D2" t="s">
        <v>13992</v>
      </c>
      <c r="E2" t="s">
        <v>13993</v>
      </c>
      <c r="F2" t="s">
        <v>13994</v>
      </c>
      <c r="G2" t="s">
        <v>13995</v>
      </c>
      <c r="H2" t="s">
        <v>13996</v>
      </c>
      <c r="I2" t="s">
        <v>13997</v>
      </c>
      <c r="J2" t="s">
        <v>13998</v>
      </c>
      <c r="K2" t="s">
        <v>14375</v>
      </c>
    </row>
    <row r="3" spans="1:11">
      <c r="A3" s="3">
        <v>45464</v>
      </c>
      <c r="B3" t="s">
        <v>14316</v>
      </c>
      <c r="C3" t="s">
        <v>14317</v>
      </c>
      <c r="D3" t="s">
        <v>3014</v>
      </c>
      <c r="E3" t="s">
        <v>845</v>
      </c>
      <c r="F3">
        <v>2000</v>
      </c>
      <c r="G3" t="s">
        <v>2203</v>
      </c>
      <c r="H3" t="s">
        <v>14001</v>
      </c>
      <c r="I3" t="s">
        <v>858</v>
      </c>
      <c r="J3" s="3">
        <v>45574</v>
      </c>
      <c r="K3" t="s">
        <v>838</v>
      </c>
    </row>
    <row r="4" spans="1:11" hidden="1">
      <c r="A4" s="3">
        <v>44645</v>
      </c>
      <c r="B4" t="s">
        <v>13999</v>
      </c>
      <c r="C4" t="s">
        <v>14000</v>
      </c>
      <c r="D4" t="s">
        <v>6080</v>
      </c>
      <c r="E4" t="s">
        <v>6081</v>
      </c>
      <c r="F4">
        <v>4</v>
      </c>
      <c r="G4" t="s">
        <v>2221</v>
      </c>
      <c r="H4" t="s">
        <v>14001</v>
      </c>
      <c r="I4" t="s">
        <v>14002</v>
      </c>
      <c r="J4" t="s">
        <v>14003</v>
      </c>
      <c r="K4" t="e">
        <v>#N/A</v>
      </c>
    </row>
    <row r="5" spans="1:11">
      <c r="A5" s="3">
        <v>45464</v>
      </c>
      <c r="B5" t="s">
        <v>14215</v>
      </c>
      <c r="C5" t="s">
        <v>14216</v>
      </c>
      <c r="D5" t="s">
        <v>3016</v>
      </c>
      <c r="E5" t="s">
        <v>938</v>
      </c>
      <c r="F5">
        <v>100</v>
      </c>
      <c r="G5" t="s">
        <v>2203</v>
      </c>
      <c r="H5" t="s">
        <v>14001</v>
      </c>
      <c r="I5" t="s">
        <v>942</v>
      </c>
      <c r="J5" s="3">
        <v>45773</v>
      </c>
      <c r="K5" t="s">
        <v>838</v>
      </c>
    </row>
    <row r="6" spans="1:11" hidden="1">
      <c r="A6" s="3">
        <v>44930</v>
      </c>
      <c r="B6" t="s">
        <v>14006</v>
      </c>
      <c r="C6" t="s">
        <v>14007</v>
      </c>
      <c r="D6" t="s">
        <v>7848</v>
      </c>
      <c r="E6" t="s">
        <v>7849</v>
      </c>
      <c r="F6">
        <v>7</v>
      </c>
      <c r="G6" t="s">
        <v>2221</v>
      </c>
      <c r="H6" t="s">
        <v>14001</v>
      </c>
      <c r="I6" t="s">
        <v>14002</v>
      </c>
      <c r="J6" t="s">
        <v>14003</v>
      </c>
      <c r="K6" t="e">
        <v>#N/A</v>
      </c>
    </row>
    <row r="7" spans="1:11">
      <c r="A7" s="3">
        <v>45461</v>
      </c>
      <c r="B7" t="s">
        <v>14065</v>
      </c>
      <c r="C7" t="s">
        <v>14064</v>
      </c>
      <c r="D7" t="s">
        <v>3020</v>
      </c>
      <c r="E7" t="s">
        <v>947</v>
      </c>
      <c r="F7">
        <v>140</v>
      </c>
      <c r="G7" t="s">
        <v>2203</v>
      </c>
      <c r="H7" t="s">
        <v>14001</v>
      </c>
      <c r="I7" t="s">
        <v>948</v>
      </c>
      <c r="J7" s="3">
        <v>45798</v>
      </c>
      <c r="K7" t="s">
        <v>838</v>
      </c>
    </row>
    <row r="8" spans="1:11">
      <c r="A8" s="3">
        <v>45462</v>
      </c>
      <c r="B8" t="s">
        <v>14127</v>
      </c>
      <c r="C8" t="s">
        <v>14128</v>
      </c>
      <c r="D8" t="s">
        <v>3020</v>
      </c>
      <c r="E8" t="s">
        <v>947</v>
      </c>
      <c r="F8">
        <v>40</v>
      </c>
      <c r="G8" t="s">
        <v>2203</v>
      </c>
      <c r="H8" t="s">
        <v>14001</v>
      </c>
      <c r="I8" t="s">
        <v>948</v>
      </c>
      <c r="J8" s="3">
        <v>45798</v>
      </c>
      <c r="K8" t="s">
        <v>838</v>
      </c>
    </row>
    <row r="9" spans="1:11">
      <c r="A9" s="3">
        <v>45462</v>
      </c>
      <c r="B9" t="s">
        <v>14105</v>
      </c>
      <c r="C9" t="s">
        <v>14106</v>
      </c>
      <c r="D9" t="s">
        <v>3027</v>
      </c>
      <c r="E9" t="s">
        <v>966</v>
      </c>
      <c r="F9">
        <v>40</v>
      </c>
      <c r="G9" t="s">
        <v>2203</v>
      </c>
      <c r="H9" t="s">
        <v>14001</v>
      </c>
      <c r="I9" t="s">
        <v>975</v>
      </c>
      <c r="J9" s="3">
        <v>45543</v>
      </c>
      <c r="K9" t="s">
        <v>838</v>
      </c>
    </row>
    <row r="10" spans="1:11">
      <c r="A10" s="3">
        <v>45462</v>
      </c>
      <c r="B10" t="s">
        <v>14127</v>
      </c>
      <c r="C10" t="s">
        <v>14128</v>
      </c>
      <c r="D10" t="s">
        <v>3027</v>
      </c>
      <c r="E10" t="s">
        <v>966</v>
      </c>
      <c r="F10">
        <v>300</v>
      </c>
      <c r="G10" t="s">
        <v>2203</v>
      </c>
      <c r="H10" t="s">
        <v>14001</v>
      </c>
      <c r="I10" t="s">
        <v>975</v>
      </c>
      <c r="J10" s="3">
        <v>45543</v>
      </c>
      <c r="K10" t="s">
        <v>838</v>
      </c>
    </row>
    <row r="11" spans="1:11">
      <c r="A11" s="3">
        <v>45464</v>
      </c>
      <c r="B11" t="s">
        <v>14289</v>
      </c>
      <c r="C11" t="s">
        <v>14130</v>
      </c>
      <c r="D11" t="s">
        <v>3027</v>
      </c>
      <c r="E11" t="s">
        <v>966</v>
      </c>
      <c r="F11">
        <v>500</v>
      </c>
      <c r="G11" t="s">
        <v>2203</v>
      </c>
      <c r="H11" t="s">
        <v>14001</v>
      </c>
      <c r="I11" t="s">
        <v>972</v>
      </c>
      <c r="J11" s="3">
        <v>45582</v>
      </c>
      <c r="K11" t="s">
        <v>838</v>
      </c>
    </row>
    <row r="12" spans="1:11" hidden="1">
      <c r="A12" s="3">
        <v>45432</v>
      </c>
      <c r="B12" t="s">
        <v>14016</v>
      </c>
      <c r="C12" t="s">
        <v>14000</v>
      </c>
      <c r="D12" t="s">
        <v>7343</v>
      </c>
      <c r="E12" t="s">
        <v>7344</v>
      </c>
      <c r="F12">
        <v>65</v>
      </c>
      <c r="G12" t="s">
        <v>2197</v>
      </c>
      <c r="H12" t="s">
        <v>14001</v>
      </c>
      <c r="I12" t="s">
        <v>14017</v>
      </c>
      <c r="J12" s="3">
        <v>47239</v>
      </c>
      <c r="K12" t="e">
        <v>#N/A</v>
      </c>
    </row>
    <row r="13" spans="1:11">
      <c r="A13" s="3">
        <v>45462</v>
      </c>
      <c r="B13" t="s">
        <v>14129</v>
      </c>
      <c r="C13" t="s">
        <v>14130</v>
      </c>
      <c r="D13" t="s">
        <v>3047</v>
      </c>
      <c r="E13" t="s">
        <v>1000</v>
      </c>
      <c r="F13">
        <v>500</v>
      </c>
      <c r="G13" t="s">
        <v>2203</v>
      </c>
      <c r="H13" t="s">
        <v>14001</v>
      </c>
      <c r="I13">
        <v>19046175</v>
      </c>
      <c r="J13" s="3">
        <v>45666</v>
      </c>
      <c r="K13" t="s">
        <v>838</v>
      </c>
    </row>
    <row r="14" spans="1:11">
      <c r="A14" s="3">
        <v>45464</v>
      </c>
      <c r="B14" t="s">
        <v>14274</v>
      </c>
      <c r="C14" t="s">
        <v>14275</v>
      </c>
      <c r="D14" t="s">
        <v>3047</v>
      </c>
      <c r="E14" t="s">
        <v>1000</v>
      </c>
      <c r="F14">
        <v>1140</v>
      </c>
      <c r="G14" t="s">
        <v>2203</v>
      </c>
      <c r="H14" t="s">
        <v>14001</v>
      </c>
      <c r="I14">
        <v>19046175</v>
      </c>
      <c r="J14" s="3">
        <v>45666</v>
      </c>
      <c r="K14" t="s">
        <v>838</v>
      </c>
    </row>
    <row r="15" spans="1:11">
      <c r="A15" s="3">
        <v>45462</v>
      </c>
      <c r="B15" t="s">
        <v>14105</v>
      </c>
      <c r="C15" t="s">
        <v>14106</v>
      </c>
      <c r="D15" t="s">
        <v>3051</v>
      </c>
      <c r="E15" t="s">
        <v>1002</v>
      </c>
      <c r="F15">
        <v>40</v>
      </c>
      <c r="G15" t="s">
        <v>2203</v>
      </c>
      <c r="H15" t="s">
        <v>14001</v>
      </c>
      <c r="I15" t="s">
        <v>1007</v>
      </c>
      <c r="J15" s="3">
        <v>45641</v>
      </c>
      <c r="K15" t="s">
        <v>838</v>
      </c>
    </row>
    <row r="16" spans="1:11">
      <c r="A16" s="3">
        <v>45464</v>
      </c>
      <c r="B16" t="s">
        <v>14251</v>
      </c>
      <c r="C16" t="s">
        <v>14252</v>
      </c>
      <c r="D16" t="s">
        <v>3051</v>
      </c>
      <c r="E16" t="s">
        <v>1002</v>
      </c>
      <c r="F16">
        <v>200</v>
      </c>
      <c r="G16" t="s">
        <v>2203</v>
      </c>
      <c r="H16" t="s">
        <v>14001</v>
      </c>
      <c r="I16" t="s">
        <v>1007</v>
      </c>
      <c r="J16" s="3">
        <v>45641</v>
      </c>
      <c r="K16" t="s">
        <v>838</v>
      </c>
    </row>
    <row r="17" spans="1:11">
      <c r="A17" s="3">
        <v>45461</v>
      </c>
      <c r="B17" t="s">
        <v>14054</v>
      </c>
      <c r="C17" t="s">
        <v>14055</v>
      </c>
      <c r="D17" t="s">
        <v>2196</v>
      </c>
      <c r="E17" t="s">
        <v>14</v>
      </c>
      <c r="F17">
        <v>10</v>
      </c>
      <c r="G17" t="s">
        <v>2197</v>
      </c>
      <c r="H17" t="s">
        <v>14001</v>
      </c>
      <c r="I17" t="s">
        <v>14056</v>
      </c>
      <c r="J17" s="3">
        <v>46204</v>
      </c>
      <c r="K17" t="s">
        <v>16</v>
      </c>
    </row>
    <row r="18" spans="1:11">
      <c r="A18" s="3">
        <v>45462</v>
      </c>
      <c r="B18" t="s">
        <v>14131</v>
      </c>
      <c r="C18" t="s">
        <v>14132</v>
      </c>
      <c r="D18" t="s">
        <v>2196</v>
      </c>
      <c r="E18" t="s">
        <v>14</v>
      </c>
      <c r="F18">
        <v>100</v>
      </c>
      <c r="G18" t="s">
        <v>2197</v>
      </c>
      <c r="H18" t="s">
        <v>14001</v>
      </c>
      <c r="I18" t="s">
        <v>14056</v>
      </c>
      <c r="J18" s="3">
        <v>46204</v>
      </c>
      <c r="K18" t="s">
        <v>16</v>
      </c>
    </row>
    <row r="19" spans="1:11" hidden="1">
      <c r="A19" s="3">
        <v>45457</v>
      </c>
      <c r="B19" t="s">
        <v>14028</v>
      </c>
      <c r="C19" t="s">
        <v>14029</v>
      </c>
      <c r="D19" t="s">
        <v>6918</v>
      </c>
      <c r="E19" t="s">
        <v>4990</v>
      </c>
      <c r="F19">
        <v>40</v>
      </c>
      <c r="G19" t="s">
        <v>2197</v>
      </c>
      <c r="H19" t="s">
        <v>14001</v>
      </c>
      <c r="I19" t="s">
        <v>14030</v>
      </c>
      <c r="J19" s="3">
        <v>46997</v>
      </c>
      <c r="K19" t="e">
        <v>#N/A</v>
      </c>
    </row>
    <row r="20" spans="1:11">
      <c r="A20" s="3">
        <v>45463</v>
      </c>
      <c r="B20" t="s">
        <v>14169</v>
      </c>
      <c r="C20" t="s">
        <v>14163</v>
      </c>
      <c r="D20" t="s">
        <v>2196</v>
      </c>
      <c r="E20" t="s">
        <v>14</v>
      </c>
      <c r="F20">
        <v>9</v>
      </c>
      <c r="G20" t="s">
        <v>2197</v>
      </c>
      <c r="H20" t="s">
        <v>14001</v>
      </c>
      <c r="I20" t="s">
        <v>14056</v>
      </c>
      <c r="J20" s="3">
        <v>46204</v>
      </c>
      <c r="K20" t="s">
        <v>16</v>
      </c>
    </row>
    <row r="21" spans="1:11">
      <c r="A21" s="3">
        <v>45463</v>
      </c>
      <c r="B21" t="s">
        <v>14181</v>
      </c>
      <c r="C21" t="s">
        <v>14163</v>
      </c>
      <c r="D21" t="s">
        <v>2196</v>
      </c>
      <c r="E21" t="s">
        <v>14</v>
      </c>
      <c r="F21">
        <v>140</v>
      </c>
      <c r="G21" t="s">
        <v>2197</v>
      </c>
      <c r="H21" t="s">
        <v>14001</v>
      </c>
      <c r="I21" t="s">
        <v>14056</v>
      </c>
      <c r="J21" s="3">
        <v>46204</v>
      </c>
      <c r="K21" t="s">
        <v>16</v>
      </c>
    </row>
    <row r="22" spans="1:11">
      <c r="A22" s="3">
        <v>45461</v>
      </c>
      <c r="B22" t="s">
        <v>14054</v>
      </c>
      <c r="C22" t="s">
        <v>14055</v>
      </c>
      <c r="D22" t="s">
        <v>2200</v>
      </c>
      <c r="E22" t="s">
        <v>17</v>
      </c>
      <c r="F22">
        <v>40</v>
      </c>
      <c r="G22" t="s">
        <v>2197</v>
      </c>
      <c r="H22" t="s">
        <v>14001</v>
      </c>
      <c r="I22" t="s">
        <v>14058</v>
      </c>
      <c r="J22" s="3">
        <v>46357</v>
      </c>
      <c r="K22" t="s">
        <v>16</v>
      </c>
    </row>
    <row r="23" spans="1:11">
      <c r="A23" s="3">
        <v>45463</v>
      </c>
      <c r="B23" t="s">
        <v>14169</v>
      </c>
      <c r="C23" t="s">
        <v>14163</v>
      </c>
      <c r="D23" t="s">
        <v>2200</v>
      </c>
      <c r="E23" t="s">
        <v>17</v>
      </c>
      <c r="F23">
        <v>40</v>
      </c>
      <c r="G23" t="s">
        <v>2197</v>
      </c>
      <c r="H23" t="s">
        <v>14001</v>
      </c>
      <c r="I23" t="s">
        <v>14058</v>
      </c>
      <c r="J23" s="3">
        <v>46357</v>
      </c>
      <c r="K23" t="s">
        <v>16</v>
      </c>
    </row>
    <row r="24" spans="1:11">
      <c r="A24" s="3">
        <v>45463</v>
      </c>
      <c r="B24" t="s">
        <v>14181</v>
      </c>
      <c r="C24" t="s">
        <v>14163</v>
      </c>
      <c r="D24" t="s">
        <v>2200</v>
      </c>
      <c r="E24" t="s">
        <v>17</v>
      </c>
      <c r="F24">
        <v>120</v>
      </c>
      <c r="G24" t="s">
        <v>2197</v>
      </c>
      <c r="H24" t="s">
        <v>14001</v>
      </c>
      <c r="I24" t="s">
        <v>14058</v>
      </c>
      <c r="J24" s="3">
        <v>46357</v>
      </c>
      <c r="K24" t="s">
        <v>16</v>
      </c>
    </row>
    <row r="25" spans="1:11">
      <c r="A25" s="3">
        <v>45464</v>
      </c>
      <c r="B25" t="s">
        <v>14228</v>
      </c>
      <c r="C25" t="s">
        <v>14229</v>
      </c>
      <c r="D25" t="s">
        <v>2200</v>
      </c>
      <c r="E25" t="s">
        <v>17</v>
      </c>
      <c r="F25">
        <v>5</v>
      </c>
      <c r="G25" t="s">
        <v>2197</v>
      </c>
      <c r="H25" t="s">
        <v>14001</v>
      </c>
      <c r="I25" t="s">
        <v>14058</v>
      </c>
      <c r="J25" s="3">
        <v>46357</v>
      </c>
      <c r="K25" t="s">
        <v>16</v>
      </c>
    </row>
    <row r="26" spans="1:11">
      <c r="A26" s="3">
        <v>45464</v>
      </c>
      <c r="B26" t="s">
        <v>14313</v>
      </c>
      <c r="C26" t="s">
        <v>14314</v>
      </c>
      <c r="D26" t="s">
        <v>2200</v>
      </c>
      <c r="E26" t="s">
        <v>17</v>
      </c>
      <c r="F26">
        <v>80</v>
      </c>
      <c r="G26" t="s">
        <v>2197</v>
      </c>
      <c r="H26" t="s">
        <v>14001</v>
      </c>
      <c r="I26" t="s">
        <v>14058</v>
      </c>
      <c r="J26" s="3">
        <v>46357</v>
      </c>
      <c r="K26" t="s">
        <v>16</v>
      </c>
    </row>
    <row r="27" spans="1:11">
      <c r="A27" s="3">
        <v>45465</v>
      </c>
      <c r="B27" t="s">
        <v>14330</v>
      </c>
      <c r="C27" t="s">
        <v>14331</v>
      </c>
      <c r="D27" t="s">
        <v>2200</v>
      </c>
      <c r="E27" t="s">
        <v>17</v>
      </c>
      <c r="F27">
        <v>80</v>
      </c>
      <c r="G27" t="s">
        <v>2197</v>
      </c>
      <c r="H27" t="s">
        <v>14001</v>
      </c>
      <c r="I27" t="s">
        <v>14058</v>
      </c>
      <c r="J27" s="3">
        <v>46357</v>
      </c>
      <c r="K27" t="s">
        <v>16</v>
      </c>
    </row>
    <row r="28" spans="1:11">
      <c r="A28" s="3">
        <v>45464</v>
      </c>
      <c r="B28" t="s">
        <v>14313</v>
      </c>
      <c r="C28" t="s">
        <v>14314</v>
      </c>
      <c r="D28" t="s">
        <v>2201</v>
      </c>
      <c r="E28" t="s">
        <v>19</v>
      </c>
      <c r="F28">
        <v>100</v>
      </c>
      <c r="G28" t="s">
        <v>2197</v>
      </c>
      <c r="H28" t="s">
        <v>14001</v>
      </c>
      <c r="I28" t="s">
        <v>14315</v>
      </c>
      <c r="J28" s="3">
        <v>46082</v>
      </c>
      <c r="K28" t="s">
        <v>16</v>
      </c>
    </row>
    <row r="29" spans="1:11">
      <c r="A29" s="3">
        <v>45458</v>
      </c>
      <c r="B29" t="s">
        <v>14038</v>
      </c>
      <c r="C29" t="s">
        <v>14039</v>
      </c>
      <c r="D29" t="s">
        <v>2207</v>
      </c>
      <c r="E29" t="s">
        <v>24</v>
      </c>
      <c r="F29">
        <v>500</v>
      </c>
      <c r="G29" t="s">
        <v>2197</v>
      </c>
      <c r="H29" t="s">
        <v>14001</v>
      </c>
      <c r="I29" t="s">
        <v>27</v>
      </c>
      <c r="J29" s="3">
        <v>46935</v>
      </c>
      <c r="K29" t="s">
        <v>16</v>
      </c>
    </row>
    <row r="30" spans="1:11">
      <c r="A30" s="3">
        <v>45458</v>
      </c>
      <c r="B30" t="s">
        <v>14038</v>
      </c>
      <c r="C30" t="s">
        <v>14039</v>
      </c>
      <c r="D30" t="s">
        <v>2209</v>
      </c>
      <c r="E30" t="s">
        <v>28</v>
      </c>
      <c r="F30">
        <v>200</v>
      </c>
      <c r="G30" t="s">
        <v>2197</v>
      </c>
      <c r="H30" t="s">
        <v>14001</v>
      </c>
      <c r="I30" t="s">
        <v>30</v>
      </c>
      <c r="J30" s="3">
        <v>46997</v>
      </c>
      <c r="K30" t="s">
        <v>16</v>
      </c>
    </row>
    <row r="31" spans="1:11">
      <c r="A31" s="3">
        <v>45462</v>
      </c>
      <c r="B31" t="s">
        <v>14087</v>
      </c>
      <c r="C31" t="s">
        <v>14088</v>
      </c>
      <c r="D31" t="s">
        <v>2209</v>
      </c>
      <c r="E31" t="s">
        <v>28</v>
      </c>
      <c r="F31">
        <v>40</v>
      </c>
      <c r="G31" t="s">
        <v>2197</v>
      </c>
      <c r="H31" t="s">
        <v>14001</v>
      </c>
      <c r="I31" t="s">
        <v>30</v>
      </c>
      <c r="J31" s="3">
        <v>46997</v>
      </c>
      <c r="K31" t="s">
        <v>16</v>
      </c>
    </row>
    <row r="32" spans="1:11">
      <c r="A32" s="3">
        <v>45464</v>
      </c>
      <c r="B32" t="s">
        <v>14233</v>
      </c>
      <c r="C32" t="s">
        <v>14234</v>
      </c>
      <c r="D32" t="s">
        <v>2210</v>
      </c>
      <c r="E32" t="s">
        <v>31</v>
      </c>
      <c r="F32">
        <v>40</v>
      </c>
      <c r="G32" t="s">
        <v>2203</v>
      </c>
      <c r="H32" t="s">
        <v>14001</v>
      </c>
      <c r="I32" t="s">
        <v>32</v>
      </c>
      <c r="J32" s="3">
        <v>47119</v>
      </c>
      <c r="K32" t="s">
        <v>16</v>
      </c>
    </row>
    <row r="33" spans="1:11">
      <c r="A33" s="3">
        <v>45464</v>
      </c>
      <c r="B33" t="s">
        <v>14270</v>
      </c>
      <c r="C33" t="s">
        <v>14085</v>
      </c>
      <c r="D33" t="s">
        <v>2213</v>
      </c>
      <c r="E33" t="s">
        <v>33</v>
      </c>
      <c r="F33">
        <v>300</v>
      </c>
      <c r="G33" t="s">
        <v>2203</v>
      </c>
      <c r="H33" t="s">
        <v>14001</v>
      </c>
      <c r="I33" t="s">
        <v>34</v>
      </c>
      <c r="J33" s="3">
        <v>46966</v>
      </c>
      <c r="K33" t="s">
        <v>16</v>
      </c>
    </row>
    <row r="34" spans="1:11">
      <c r="A34" s="3">
        <v>45464</v>
      </c>
      <c r="B34" t="s">
        <v>14240</v>
      </c>
      <c r="C34" t="s">
        <v>14241</v>
      </c>
      <c r="D34" t="s">
        <v>2224</v>
      </c>
      <c r="E34" t="s">
        <v>44</v>
      </c>
      <c r="F34">
        <v>250</v>
      </c>
      <c r="G34" t="s">
        <v>2203</v>
      </c>
      <c r="H34" t="s">
        <v>14001</v>
      </c>
      <c r="I34" t="s">
        <v>14014</v>
      </c>
      <c r="J34" s="3">
        <v>47058</v>
      </c>
      <c r="K34" t="s">
        <v>16</v>
      </c>
    </row>
    <row r="35" spans="1:11">
      <c r="A35" s="3">
        <v>45464</v>
      </c>
      <c r="B35" t="s">
        <v>14328</v>
      </c>
      <c r="C35" t="s">
        <v>14326</v>
      </c>
      <c r="D35" t="s">
        <v>2246</v>
      </c>
      <c r="E35" t="s">
        <v>65</v>
      </c>
      <c r="F35">
        <v>1200</v>
      </c>
      <c r="G35" t="s">
        <v>2197</v>
      </c>
      <c r="H35" t="s">
        <v>14001</v>
      </c>
      <c r="I35" t="s">
        <v>14329</v>
      </c>
      <c r="J35" s="3">
        <v>46966</v>
      </c>
      <c r="K35" t="s">
        <v>16</v>
      </c>
    </row>
    <row r="36" spans="1:11">
      <c r="A36" s="3">
        <v>45465</v>
      </c>
      <c r="B36" t="s">
        <v>14373</v>
      </c>
      <c r="C36" t="s">
        <v>14374</v>
      </c>
      <c r="D36" t="s">
        <v>2246</v>
      </c>
      <c r="E36" t="s">
        <v>65</v>
      </c>
      <c r="F36">
        <v>100</v>
      </c>
      <c r="G36" t="s">
        <v>2197</v>
      </c>
      <c r="H36" t="s">
        <v>14001</v>
      </c>
      <c r="I36" t="s">
        <v>14329</v>
      </c>
      <c r="J36" s="3">
        <v>46966</v>
      </c>
      <c r="K36" t="s">
        <v>16</v>
      </c>
    </row>
    <row r="37" spans="1:11">
      <c r="A37" s="3">
        <v>45461</v>
      </c>
      <c r="B37" t="s">
        <v>14059</v>
      </c>
      <c r="C37" t="s">
        <v>14060</v>
      </c>
      <c r="D37" t="s">
        <v>2248</v>
      </c>
      <c r="E37" t="s">
        <v>66</v>
      </c>
      <c r="F37">
        <v>200</v>
      </c>
      <c r="G37" t="s">
        <v>2197</v>
      </c>
      <c r="H37" t="s">
        <v>14001</v>
      </c>
      <c r="I37" t="s">
        <v>14014</v>
      </c>
      <c r="J37" s="3">
        <v>47150</v>
      </c>
      <c r="K37" t="s">
        <v>16</v>
      </c>
    </row>
    <row r="38" spans="1:11">
      <c r="A38" s="3">
        <v>45461</v>
      </c>
      <c r="B38" t="s">
        <v>14069</v>
      </c>
      <c r="C38" t="s">
        <v>14070</v>
      </c>
      <c r="D38" t="s">
        <v>2248</v>
      </c>
      <c r="E38" t="s">
        <v>66</v>
      </c>
      <c r="F38">
        <v>40</v>
      </c>
      <c r="G38" t="s">
        <v>2197</v>
      </c>
      <c r="H38" t="s">
        <v>14001</v>
      </c>
      <c r="I38" t="s">
        <v>14071</v>
      </c>
      <c r="J38" s="3">
        <v>47150</v>
      </c>
      <c r="K38" t="s">
        <v>16</v>
      </c>
    </row>
    <row r="39" spans="1:11">
      <c r="A39" s="3">
        <v>45464</v>
      </c>
      <c r="B39" t="s">
        <v>14210</v>
      </c>
      <c r="C39" t="s">
        <v>14211</v>
      </c>
      <c r="D39" t="s">
        <v>2248</v>
      </c>
      <c r="E39" t="s">
        <v>66</v>
      </c>
      <c r="F39">
        <v>80</v>
      </c>
      <c r="G39" t="s">
        <v>2197</v>
      </c>
      <c r="H39" t="s">
        <v>14001</v>
      </c>
      <c r="I39" t="s">
        <v>14014</v>
      </c>
      <c r="J39" s="3">
        <v>47209</v>
      </c>
      <c r="K39" t="s">
        <v>16</v>
      </c>
    </row>
    <row r="40" spans="1:11">
      <c r="A40" s="3">
        <v>45465</v>
      </c>
      <c r="B40" t="s">
        <v>14352</v>
      </c>
      <c r="C40" t="s">
        <v>14353</v>
      </c>
      <c r="D40" t="s">
        <v>2248</v>
      </c>
      <c r="E40" t="s">
        <v>66</v>
      </c>
      <c r="F40">
        <v>120</v>
      </c>
      <c r="G40" t="s">
        <v>2197</v>
      </c>
      <c r="H40" t="s">
        <v>14001</v>
      </c>
      <c r="I40" t="s">
        <v>14014</v>
      </c>
      <c r="J40" s="3">
        <v>47209</v>
      </c>
      <c r="K40" t="s">
        <v>16</v>
      </c>
    </row>
    <row r="41" spans="1:11">
      <c r="A41" s="3">
        <v>45465</v>
      </c>
      <c r="B41" t="s">
        <v>14373</v>
      </c>
      <c r="C41" t="s">
        <v>14374</v>
      </c>
      <c r="D41" t="s">
        <v>2248</v>
      </c>
      <c r="E41" t="s">
        <v>66</v>
      </c>
      <c r="F41">
        <v>40</v>
      </c>
      <c r="G41" t="s">
        <v>2197</v>
      </c>
      <c r="H41" t="s">
        <v>14001</v>
      </c>
      <c r="I41" t="s">
        <v>14014</v>
      </c>
      <c r="J41" s="3">
        <v>47209</v>
      </c>
      <c r="K41" t="s">
        <v>16</v>
      </c>
    </row>
    <row r="42" spans="1:11">
      <c r="A42" s="3">
        <v>45462</v>
      </c>
      <c r="B42" t="s">
        <v>14116</v>
      </c>
      <c r="C42" t="s">
        <v>14117</v>
      </c>
      <c r="D42" t="s">
        <v>2252</v>
      </c>
      <c r="E42" t="s">
        <v>71</v>
      </c>
      <c r="F42">
        <v>280</v>
      </c>
      <c r="G42" t="s">
        <v>2197</v>
      </c>
      <c r="H42" t="s">
        <v>14001</v>
      </c>
      <c r="I42" t="s">
        <v>73</v>
      </c>
      <c r="J42" s="3">
        <v>46296</v>
      </c>
      <c r="K42" t="s">
        <v>16</v>
      </c>
    </row>
    <row r="43" spans="1:11">
      <c r="A43" s="3">
        <v>45463</v>
      </c>
      <c r="B43" t="s">
        <v>14172</v>
      </c>
      <c r="C43" t="s">
        <v>14132</v>
      </c>
      <c r="D43" t="s">
        <v>2252</v>
      </c>
      <c r="E43" t="s">
        <v>71</v>
      </c>
      <c r="F43">
        <v>120</v>
      </c>
      <c r="G43" t="s">
        <v>2197</v>
      </c>
      <c r="H43" t="s">
        <v>14001</v>
      </c>
      <c r="I43" t="s">
        <v>73</v>
      </c>
      <c r="J43" s="3">
        <v>46296</v>
      </c>
      <c r="K43" t="s">
        <v>16</v>
      </c>
    </row>
    <row r="44" spans="1:11">
      <c r="A44" s="3">
        <v>45464</v>
      </c>
      <c r="B44" t="s">
        <v>14267</v>
      </c>
      <c r="C44" t="s">
        <v>14265</v>
      </c>
      <c r="D44" t="s">
        <v>2252</v>
      </c>
      <c r="E44" t="s">
        <v>71</v>
      </c>
      <c r="F44">
        <v>8</v>
      </c>
      <c r="G44" t="s">
        <v>2197</v>
      </c>
      <c r="H44" t="s">
        <v>14001</v>
      </c>
      <c r="I44" t="s">
        <v>73</v>
      </c>
      <c r="J44" s="3">
        <v>46296</v>
      </c>
      <c r="K44" t="s">
        <v>16</v>
      </c>
    </row>
    <row r="45" spans="1:11">
      <c r="A45" s="3">
        <v>45464</v>
      </c>
      <c r="B45" t="s">
        <v>14267</v>
      </c>
      <c r="C45" t="s">
        <v>14265</v>
      </c>
      <c r="D45" t="s">
        <v>2252</v>
      </c>
      <c r="E45" t="s">
        <v>71</v>
      </c>
      <c r="F45">
        <v>1</v>
      </c>
      <c r="G45" t="s">
        <v>2197</v>
      </c>
      <c r="H45" t="s">
        <v>14001</v>
      </c>
      <c r="I45" t="s">
        <v>14269</v>
      </c>
      <c r="J45" s="3">
        <v>46296</v>
      </c>
      <c r="K45" t="s">
        <v>16</v>
      </c>
    </row>
    <row r="46" spans="1:11">
      <c r="A46" s="3">
        <v>45464</v>
      </c>
      <c r="B46" t="s">
        <v>14267</v>
      </c>
      <c r="C46" t="s">
        <v>14265</v>
      </c>
      <c r="D46" t="s">
        <v>2252</v>
      </c>
      <c r="E46" t="s">
        <v>71</v>
      </c>
      <c r="F46">
        <v>1</v>
      </c>
      <c r="G46" t="s">
        <v>2197</v>
      </c>
      <c r="H46" t="s">
        <v>14001</v>
      </c>
      <c r="I46" t="s">
        <v>14269</v>
      </c>
      <c r="J46" s="3">
        <v>46296</v>
      </c>
      <c r="K46" t="s">
        <v>16</v>
      </c>
    </row>
    <row r="47" spans="1:11">
      <c r="A47" s="3">
        <v>45465</v>
      </c>
      <c r="B47" t="s">
        <v>14369</v>
      </c>
      <c r="C47" t="s">
        <v>14370</v>
      </c>
      <c r="D47" t="s">
        <v>2252</v>
      </c>
      <c r="E47" t="s">
        <v>71</v>
      </c>
      <c r="F47">
        <v>20</v>
      </c>
      <c r="G47" t="s">
        <v>2197</v>
      </c>
      <c r="H47" t="s">
        <v>14001</v>
      </c>
      <c r="I47" t="s">
        <v>73</v>
      </c>
      <c r="J47" s="3">
        <v>46296</v>
      </c>
      <c r="K47" t="s">
        <v>16</v>
      </c>
    </row>
    <row r="48" spans="1:11">
      <c r="A48" s="3">
        <v>45464</v>
      </c>
      <c r="B48" t="s">
        <v>14220</v>
      </c>
      <c r="C48" t="s">
        <v>14221</v>
      </c>
      <c r="D48" t="s">
        <v>2257</v>
      </c>
      <c r="E48" t="s">
        <v>78</v>
      </c>
      <c r="F48">
        <v>15</v>
      </c>
      <c r="G48" t="s">
        <v>2197</v>
      </c>
      <c r="H48" t="s">
        <v>14001</v>
      </c>
      <c r="I48" t="s">
        <v>79</v>
      </c>
      <c r="J48" s="3">
        <v>47178</v>
      </c>
      <c r="K48" t="s">
        <v>16</v>
      </c>
    </row>
    <row r="49" spans="1:11">
      <c r="A49" s="3">
        <v>45464</v>
      </c>
      <c r="B49" t="s">
        <v>14280</v>
      </c>
      <c r="C49" t="s">
        <v>14158</v>
      </c>
      <c r="D49" t="s">
        <v>2257</v>
      </c>
      <c r="E49" t="s">
        <v>78</v>
      </c>
      <c r="F49">
        <v>450</v>
      </c>
      <c r="G49" t="s">
        <v>2197</v>
      </c>
      <c r="H49" t="s">
        <v>14001</v>
      </c>
      <c r="I49" t="s">
        <v>79</v>
      </c>
      <c r="J49" s="3">
        <v>47178</v>
      </c>
      <c r="K49" t="s">
        <v>16</v>
      </c>
    </row>
    <row r="50" spans="1:11">
      <c r="A50" s="3">
        <v>45458</v>
      </c>
      <c r="B50" t="s">
        <v>14038</v>
      </c>
      <c r="C50" t="s">
        <v>14039</v>
      </c>
      <c r="D50" t="s">
        <v>2260</v>
      </c>
      <c r="E50" t="s">
        <v>80</v>
      </c>
      <c r="F50">
        <v>1000</v>
      </c>
      <c r="G50" t="s">
        <v>2197</v>
      </c>
      <c r="H50" t="s">
        <v>14001</v>
      </c>
      <c r="I50" t="s">
        <v>81</v>
      </c>
      <c r="J50" s="3">
        <v>46388</v>
      </c>
      <c r="K50" t="s">
        <v>16</v>
      </c>
    </row>
    <row r="51" spans="1:11">
      <c r="A51" s="3">
        <v>45464</v>
      </c>
      <c r="B51" t="s">
        <v>14227</v>
      </c>
      <c r="C51" t="s">
        <v>14226</v>
      </c>
      <c r="D51" t="s">
        <v>2260</v>
      </c>
      <c r="E51" t="s">
        <v>80</v>
      </c>
      <c r="F51">
        <v>10</v>
      </c>
      <c r="G51" t="s">
        <v>2197</v>
      </c>
      <c r="H51" t="s">
        <v>14001</v>
      </c>
      <c r="I51" t="s">
        <v>81</v>
      </c>
      <c r="J51" s="3">
        <v>46388</v>
      </c>
      <c r="K51" t="s">
        <v>16</v>
      </c>
    </row>
    <row r="52" spans="1:11">
      <c r="A52" s="3">
        <v>45458</v>
      </c>
      <c r="B52" t="s">
        <v>14038</v>
      </c>
      <c r="C52" t="s">
        <v>14039</v>
      </c>
      <c r="D52" t="s">
        <v>2262</v>
      </c>
      <c r="E52" t="s">
        <v>83</v>
      </c>
      <c r="F52">
        <v>800</v>
      </c>
      <c r="G52" t="s">
        <v>2197</v>
      </c>
      <c r="H52" t="s">
        <v>14001</v>
      </c>
      <c r="I52" t="s">
        <v>84</v>
      </c>
      <c r="J52" s="3">
        <v>46388</v>
      </c>
      <c r="K52" t="s">
        <v>16</v>
      </c>
    </row>
    <row r="53" spans="1:11">
      <c r="A53" s="3">
        <v>45464</v>
      </c>
      <c r="B53" t="s">
        <v>14270</v>
      </c>
      <c r="C53" t="s">
        <v>14085</v>
      </c>
      <c r="D53" t="s">
        <v>2262</v>
      </c>
      <c r="E53" t="s">
        <v>83</v>
      </c>
      <c r="F53">
        <v>200</v>
      </c>
      <c r="G53" t="s">
        <v>2197</v>
      </c>
      <c r="H53" t="s">
        <v>14001</v>
      </c>
      <c r="I53" t="s">
        <v>84</v>
      </c>
      <c r="J53" s="3">
        <v>46388</v>
      </c>
      <c r="K53" t="s">
        <v>16</v>
      </c>
    </row>
    <row r="54" spans="1:11" hidden="1">
      <c r="A54" s="3">
        <v>45461</v>
      </c>
      <c r="B54" t="s">
        <v>14072</v>
      </c>
      <c r="C54" t="s">
        <v>14050</v>
      </c>
      <c r="D54" t="s">
        <v>4150</v>
      </c>
      <c r="E54" t="s">
        <v>2057</v>
      </c>
      <c r="F54">
        <v>50</v>
      </c>
      <c r="G54" t="s">
        <v>2203</v>
      </c>
      <c r="H54" t="s">
        <v>14001</v>
      </c>
      <c r="I54" t="s">
        <v>14073</v>
      </c>
      <c r="J54" s="3">
        <v>45882</v>
      </c>
      <c r="K54" t="s">
        <v>312</v>
      </c>
    </row>
    <row r="55" spans="1:11">
      <c r="A55" s="3">
        <v>45464</v>
      </c>
      <c r="B55" t="s">
        <v>14328</v>
      </c>
      <c r="C55" t="s">
        <v>14326</v>
      </c>
      <c r="D55" t="s">
        <v>2262</v>
      </c>
      <c r="E55" t="s">
        <v>83</v>
      </c>
      <c r="F55">
        <v>80</v>
      </c>
      <c r="G55" t="s">
        <v>2197</v>
      </c>
      <c r="H55" t="s">
        <v>14001</v>
      </c>
      <c r="I55" t="s">
        <v>84</v>
      </c>
      <c r="J55" s="3">
        <v>46388</v>
      </c>
      <c r="K55" t="s">
        <v>16</v>
      </c>
    </row>
    <row r="56" spans="1:11">
      <c r="A56" s="3">
        <v>45462</v>
      </c>
      <c r="B56" t="s">
        <v>14107</v>
      </c>
      <c r="C56" t="s">
        <v>14102</v>
      </c>
      <c r="D56" t="s">
        <v>2285</v>
      </c>
      <c r="E56" t="s">
        <v>110</v>
      </c>
      <c r="F56">
        <v>20</v>
      </c>
      <c r="G56" t="s">
        <v>2197</v>
      </c>
      <c r="H56" t="s">
        <v>14001</v>
      </c>
      <c r="I56" t="s">
        <v>112</v>
      </c>
      <c r="J56" s="3">
        <v>47178</v>
      </c>
      <c r="K56" t="s">
        <v>16</v>
      </c>
    </row>
    <row r="57" spans="1:11">
      <c r="A57" s="3">
        <v>45463</v>
      </c>
      <c r="B57" t="s">
        <v>14167</v>
      </c>
      <c r="C57" t="s">
        <v>14097</v>
      </c>
      <c r="D57" t="s">
        <v>2285</v>
      </c>
      <c r="E57" t="s">
        <v>110</v>
      </c>
      <c r="F57">
        <v>20</v>
      </c>
      <c r="G57" t="s">
        <v>2197</v>
      </c>
      <c r="H57" t="s">
        <v>14001</v>
      </c>
      <c r="I57" t="s">
        <v>112</v>
      </c>
      <c r="J57" s="3">
        <v>47178</v>
      </c>
      <c r="K57" t="s">
        <v>16</v>
      </c>
    </row>
    <row r="58" spans="1:11">
      <c r="A58" s="3">
        <v>45464</v>
      </c>
      <c r="B58" t="s">
        <v>14222</v>
      </c>
      <c r="C58" t="s">
        <v>14221</v>
      </c>
      <c r="D58" t="s">
        <v>2285</v>
      </c>
      <c r="E58" t="s">
        <v>110</v>
      </c>
      <c r="F58">
        <v>40</v>
      </c>
      <c r="G58" t="s">
        <v>2197</v>
      </c>
      <c r="H58" t="s">
        <v>14001</v>
      </c>
      <c r="I58" t="s">
        <v>112</v>
      </c>
      <c r="J58" s="3">
        <v>47178</v>
      </c>
      <c r="K58" t="s">
        <v>16</v>
      </c>
    </row>
    <row r="59" spans="1:11">
      <c r="A59" s="3">
        <v>45464</v>
      </c>
      <c r="B59" t="s">
        <v>14240</v>
      </c>
      <c r="C59" t="s">
        <v>14241</v>
      </c>
      <c r="D59" t="s">
        <v>2285</v>
      </c>
      <c r="E59" t="s">
        <v>110</v>
      </c>
      <c r="F59">
        <v>40</v>
      </c>
      <c r="G59" t="s">
        <v>2197</v>
      </c>
      <c r="H59" t="s">
        <v>14001</v>
      </c>
      <c r="I59" t="s">
        <v>112</v>
      </c>
      <c r="J59" s="3">
        <v>47178</v>
      </c>
      <c r="K59" t="s">
        <v>16</v>
      </c>
    </row>
    <row r="60" spans="1:11">
      <c r="A60" s="3">
        <v>45462</v>
      </c>
      <c r="B60" t="s">
        <v>14107</v>
      </c>
      <c r="C60" t="s">
        <v>14102</v>
      </c>
      <c r="D60" t="s">
        <v>2287</v>
      </c>
      <c r="E60" t="s">
        <v>113</v>
      </c>
      <c r="F60">
        <v>120</v>
      </c>
      <c r="G60" t="s">
        <v>2197</v>
      </c>
      <c r="H60" t="s">
        <v>14001</v>
      </c>
      <c r="I60" t="s">
        <v>114</v>
      </c>
      <c r="J60" s="3">
        <v>46905</v>
      </c>
      <c r="K60" t="s">
        <v>16</v>
      </c>
    </row>
    <row r="61" spans="1:11">
      <c r="A61" s="3">
        <v>45463</v>
      </c>
      <c r="B61" t="s">
        <v>14167</v>
      </c>
      <c r="C61" t="s">
        <v>14097</v>
      </c>
      <c r="D61" t="s">
        <v>2287</v>
      </c>
      <c r="E61" t="s">
        <v>113</v>
      </c>
      <c r="F61">
        <v>40</v>
      </c>
      <c r="G61" t="s">
        <v>2197</v>
      </c>
      <c r="H61" t="s">
        <v>14001</v>
      </c>
      <c r="I61" t="s">
        <v>114</v>
      </c>
      <c r="J61" s="3">
        <v>46905</v>
      </c>
      <c r="K61" t="s">
        <v>16</v>
      </c>
    </row>
    <row r="62" spans="1:11">
      <c r="A62" s="3">
        <v>45464</v>
      </c>
      <c r="B62" t="s">
        <v>14222</v>
      </c>
      <c r="C62" t="s">
        <v>14221</v>
      </c>
      <c r="D62" t="s">
        <v>2287</v>
      </c>
      <c r="E62" t="s">
        <v>113</v>
      </c>
      <c r="F62">
        <v>40</v>
      </c>
      <c r="G62" t="s">
        <v>2197</v>
      </c>
      <c r="H62" t="s">
        <v>14001</v>
      </c>
      <c r="I62" t="s">
        <v>114</v>
      </c>
      <c r="J62" s="3">
        <v>46905</v>
      </c>
      <c r="K62" t="s">
        <v>16</v>
      </c>
    </row>
    <row r="63" spans="1:11">
      <c r="A63" s="3">
        <v>45462</v>
      </c>
      <c r="B63" t="s">
        <v>14107</v>
      </c>
      <c r="C63" t="s">
        <v>14102</v>
      </c>
      <c r="D63" t="s">
        <v>2288</v>
      </c>
      <c r="E63" t="s">
        <v>116</v>
      </c>
      <c r="F63">
        <v>1250</v>
      </c>
      <c r="G63" t="s">
        <v>2197</v>
      </c>
      <c r="H63" t="s">
        <v>14001</v>
      </c>
      <c r="I63" t="s">
        <v>117</v>
      </c>
      <c r="J63" s="3">
        <v>47178</v>
      </c>
      <c r="K63" t="s">
        <v>16</v>
      </c>
    </row>
    <row r="64" spans="1:11">
      <c r="A64" s="3">
        <v>45464</v>
      </c>
      <c r="B64" t="s">
        <v>14222</v>
      </c>
      <c r="C64" t="s">
        <v>14221</v>
      </c>
      <c r="D64" t="s">
        <v>2288</v>
      </c>
      <c r="E64" t="s">
        <v>116</v>
      </c>
      <c r="F64">
        <v>50</v>
      </c>
      <c r="G64" t="s">
        <v>2197</v>
      </c>
      <c r="H64" t="s">
        <v>14001</v>
      </c>
      <c r="I64" t="s">
        <v>117</v>
      </c>
      <c r="J64" s="3">
        <v>47178</v>
      </c>
      <c r="K64" t="s">
        <v>16</v>
      </c>
    </row>
    <row r="65" spans="1:11">
      <c r="A65" s="3">
        <v>45463</v>
      </c>
      <c r="B65" t="s">
        <v>14173</v>
      </c>
      <c r="C65" t="s">
        <v>14132</v>
      </c>
      <c r="D65" t="s">
        <v>2329</v>
      </c>
      <c r="E65" t="s">
        <v>154</v>
      </c>
      <c r="F65">
        <v>100</v>
      </c>
      <c r="G65" t="s">
        <v>2197</v>
      </c>
      <c r="H65" t="s">
        <v>14001</v>
      </c>
      <c r="I65" t="s">
        <v>155</v>
      </c>
      <c r="J65" s="3">
        <v>46113</v>
      </c>
      <c r="K65" t="s">
        <v>16</v>
      </c>
    </row>
    <row r="66" spans="1:11">
      <c r="A66" s="3">
        <v>45463</v>
      </c>
      <c r="B66" t="s">
        <v>14174</v>
      </c>
      <c r="C66" t="s">
        <v>14132</v>
      </c>
      <c r="D66" t="s">
        <v>2331</v>
      </c>
      <c r="E66" t="s">
        <v>158</v>
      </c>
      <c r="F66">
        <v>20</v>
      </c>
      <c r="G66" t="s">
        <v>2197</v>
      </c>
      <c r="H66" t="s">
        <v>14001</v>
      </c>
      <c r="I66" t="s">
        <v>159</v>
      </c>
      <c r="J66" s="3">
        <v>46174</v>
      </c>
      <c r="K66" t="s">
        <v>16</v>
      </c>
    </row>
    <row r="67" spans="1:11">
      <c r="A67" s="3">
        <v>45463</v>
      </c>
      <c r="B67" t="s">
        <v>14174</v>
      </c>
      <c r="C67" t="s">
        <v>14132</v>
      </c>
      <c r="D67" t="s">
        <v>2332</v>
      </c>
      <c r="E67" t="s">
        <v>163</v>
      </c>
      <c r="F67">
        <v>50</v>
      </c>
      <c r="G67" t="s">
        <v>2197</v>
      </c>
      <c r="H67" t="s">
        <v>14001</v>
      </c>
      <c r="I67" t="s">
        <v>164</v>
      </c>
      <c r="J67" s="3">
        <v>46266</v>
      </c>
      <c r="K67" t="s">
        <v>16</v>
      </c>
    </row>
    <row r="68" spans="1:11">
      <c r="A68" s="3">
        <v>45463</v>
      </c>
      <c r="B68" t="s">
        <v>14170</v>
      </c>
      <c r="C68" t="s">
        <v>14171</v>
      </c>
      <c r="D68" t="s">
        <v>2336</v>
      </c>
      <c r="E68" t="s">
        <v>173</v>
      </c>
      <c r="F68">
        <v>80</v>
      </c>
      <c r="G68" t="s">
        <v>2197</v>
      </c>
      <c r="H68" t="s">
        <v>14001</v>
      </c>
      <c r="I68" t="s">
        <v>175</v>
      </c>
      <c r="J68" s="3">
        <v>47027</v>
      </c>
      <c r="K68" t="s">
        <v>16</v>
      </c>
    </row>
    <row r="69" spans="1:11">
      <c r="A69" s="3">
        <v>45463</v>
      </c>
      <c r="B69" t="s">
        <v>14170</v>
      </c>
      <c r="C69" t="s">
        <v>14171</v>
      </c>
      <c r="D69" t="s">
        <v>2346</v>
      </c>
      <c r="E69" t="s">
        <v>187</v>
      </c>
      <c r="F69">
        <v>200</v>
      </c>
      <c r="G69" t="s">
        <v>2197</v>
      </c>
      <c r="H69" t="s">
        <v>14001</v>
      </c>
      <c r="I69" t="s">
        <v>188</v>
      </c>
      <c r="J69" s="3">
        <v>46539</v>
      </c>
      <c r="K69" t="s">
        <v>16</v>
      </c>
    </row>
    <row r="70" spans="1:11">
      <c r="A70" s="3">
        <v>45461</v>
      </c>
      <c r="B70" t="s">
        <v>14063</v>
      </c>
      <c r="C70" t="s">
        <v>14064</v>
      </c>
      <c r="D70" t="s">
        <v>2361</v>
      </c>
      <c r="E70" t="s">
        <v>206</v>
      </c>
      <c r="F70">
        <v>60</v>
      </c>
      <c r="G70" t="s">
        <v>2197</v>
      </c>
      <c r="H70" t="s">
        <v>14001</v>
      </c>
      <c r="I70" t="s">
        <v>207</v>
      </c>
      <c r="J70" s="3">
        <v>45870</v>
      </c>
      <c r="K70" t="s">
        <v>16</v>
      </c>
    </row>
    <row r="71" spans="1:11">
      <c r="A71" s="3">
        <v>45463</v>
      </c>
      <c r="B71" t="s">
        <v>14175</v>
      </c>
      <c r="C71" t="s">
        <v>14064</v>
      </c>
      <c r="D71" t="s">
        <v>2361</v>
      </c>
      <c r="E71" t="s">
        <v>206</v>
      </c>
      <c r="F71">
        <v>20</v>
      </c>
      <c r="G71" t="s">
        <v>2197</v>
      </c>
      <c r="H71" t="s">
        <v>14001</v>
      </c>
      <c r="I71" t="s">
        <v>207</v>
      </c>
      <c r="J71" s="3">
        <v>45870</v>
      </c>
      <c r="K71" t="s">
        <v>16</v>
      </c>
    </row>
    <row r="72" spans="1:11">
      <c r="A72" s="3">
        <v>45464</v>
      </c>
      <c r="B72" t="s">
        <v>14236</v>
      </c>
      <c r="C72" t="s">
        <v>14234</v>
      </c>
      <c r="D72" t="s">
        <v>2385</v>
      </c>
      <c r="E72" t="s">
        <v>236</v>
      </c>
      <c r="F72">
        <v>1</v>
      </c>
      <c r="G72" t="s">
        <v>2303</v>
      </c>
      <c r="H72" t="s">
        <v>14001</v>
      </c>
      <c r="I72" t="s">
        <v>14237</v>
      </c>
      <c r="J72" s="3">
        <v>47119</v>
      </c>
      <c r="K72" t="s">
        <v>16</v>
      </c>
    </row>
    <row r="73" spans="1:11">
      <c r="A73" s="3">
        <v>45464</v>
      </c>
      <c r="B73" t="s">
        <v>14233</v>
      </c>
      <c r="C73" t="s">
        <v>14234</v>
      </c>
      <c r="D73" t="s">
        <v>2388</v>
      </c>
      <c r="E73" t="s">
        <v>238</v>
      </c>
      <c r="F73">
        <v>4</v>
      </c>
      <c r="G73" t="s">
        <v>2307</v>
      </c>
      <c r="H73" t="s">
        <v>14001</v>
      </c>
      <c r="I73" t="s">
        <v>14235</v>
      </c>
      <c r="J73" s="3">
        <v>47270</v>
      </c>
      <c r="K73" t="s">
        <v>16</v>
      </c>
    </row>
    <row r="74" spans="1:11">
      <c r="A74" s="3">
        <v>45461</v>
      </c>
      <c r="B74" t="s">
        <v>14066</v>
      </c>
      <c r="C74" t="s">
        <v>14050</v>
      </c>
      <c r="D74" t="s">
        <v>2413</v>
      </c>
      <c r="E74" t="s">
        <v>261</v>
      </c>
      <c r="F74">
        <v>100</v>
      </c>
      <c r="G74" t="s">
        <v>2203</v>
      </c>
      <c r="H74" t="s">
        <v>14001</v>
      </c>
      <c r="I74" t="s">
        <v>14068</v>
      </c>
      <c r="J74" s="3">
        <v>47209</v>
      </c>
      <c r="K74" t="s">
        <v>16</v>
      </c>
    </row>
    <row r="75" spans="1:11" hidden="1">
      <c r="A75" s="3">
        <v>45462</v>
      </c>
      <c r="B75" t="s">
        <v>14111</v>
      </c>
      <c r="C75" t="s">
        <v>14000</v>
      </c>
      <c r="D75" t="s">
        <v>6188</v>
      </c>
      <c r="E75" t="s">
        <v>9489</v>
      </c>
      <c r="F75">
        <v>56</v>
      </c>
      <c r="G75" t="s">
        <v>2203</v>
      </c>
      <c r="H75" t="s">
        <v>14001</v>
      </c>
      <c r="I75" t="s">
        <v>14002</v>
      </c>
      <c r="J75" t="s">
        <v>14003</v>
      </c>
      <c r="K75" t="e">
        <v>#N/A</v>
      </c>
    </row>
    <row r="76" spans="1:11" hidden="1">
      <c r="A76" s="3">
        <v>45462</v>
      </c>
      <c r="B76" t="s">
        <v>14112</v>
      </c>
      <c r="C76" t="s">
        <v>14000</v>
      </c>
      <c r="D76" t="s">
        <v>6188</v>
      </c>
      <c r="E76" t="s">
        <v>9489</v>
      </c>
      <c r="F76">
        <v>400</v>
      </c>
      <c r="G76" t="s">
        <v>2203</v>
      </c>
      <c r="H76" t="s">
        <v>14001</v>
      </c>
      <c r="I76" t="s">
        <v>14002</v>
      </c>
      <c r="J76" t="s">
        <v>14003</v>
      </c>
      <c r="K76" t="e">
        <v>#N/A</v>
      </c>
    </row>
    <row r="77" spans="1:11" hidden="1">
      <c r="A77" s="3">
        <v>45462</v>
      </c>
      <c r="B77" t="s">
        <v>14113</v>
      </c>
      <c r="C77" t="s">
        <v>14000</v>
      </c>
      <c r="D77" t="s">
        <v>6188</v>
      </c>
      <c r="E77" t="s">
        <v>9489</v>
      </c>
      <c r="F77">
        <v>400</v>
      </c>
      <c r="G77" t="s">
        <v>2203</v>
      </c>
      <c r="H77" t="s">
        <v>14001</v>
      </c>
      <c r="I77" t="s">
        <v>14002</v>
      </c>
      <c r="J77" t="s">
        <v>14003</v>
      </c>
      <c r="K77" t="e">
        <v>#N/A</v>
      </c>
    </row>
    <row r="78" spans="1:11" hidden="1">
      <c r="A78" s="3">
        <v>45462</v>
      </c>
      <c r="B78" t="s">
        <v>14114</v>
      </c>
      <c r="C78" t="s">
        <v>14000</v>
      </c>
      <c r="D78" t="s">
        <v>6188</v>
      </c>
      <c r="E78" t="s">
        <v>9489</v>
      </c>
      <c r="F78">
        <v>400</v>
      </c>
      <c r="G78" t="s">
        <v>2203</v>
      </c>
      <c r="H78" t="s">
        <v>14001</v>
      </c>
      <c r="I78" t="s">
        <v>14002</v>
      </c>
      <c r="J78" t="s">
        <v>14003</v>
      </c>
      <c r="K78" t="e">
        <v>#N/A</v>
      </c>
    </row>
    <row r="79" spans="1:11" hidden="1">
      <c r="A79" s="3">
        <v>45462</v>
      </c>
      <c r="B79" t="s">
        <v>14115</v>
      </c>
      <c r="C79" t="s">
        <v>14000</v>
      </c>
      <c r="D79" t="s">
        <v>6188</v>
      </c>
      <c r="E79" t="s">
        <v>9489</v>
      </c>
      <c r="F79">
        <v>400</v>
      </c>
      <c r="G79" t="s">
        <v>2203</v>
      </c>
      <c r="H79" t="s">
        <v>14001</v>
      </c>
      <c r="I79" t="s">
        <v>14002</v>
      </c>
      <c r="J79" t="s">
        <v>14003</v>
      </c>
      <c r="K79" t="e">
        <v>#N/A</v>
      </c>
    </row>
    <row r="80" spans="1:11" hidden="1">
      <c r="A80" s="3">
        <v>45462</v>
      </c>
      <c r="B80" t="s">
        <v>14110</v>
      </c>
      <c r="C80" t="s">
        <v>14000</v>
      </c>
      <c r="D80" t="s">
        <v>6187</v>
      </c>
      <c r="E80" t="s">
        <v>9490</v>
      </c>
      <c r="F80">
        <v>186</v>
      </c>
      <c r="G80" t="s">
        <v>2203</v>
      </c>
      <c r="H80" t="s">
        <v>14001</v>
      </c>
      <c r="I80" t="s">
        <v>14002</v>
      </c>
      <c r="J80" t="s">
        <v>14003</v>
      </c>
      <c r="K80" t="e">
        <v>#N/A</v>
      </c>
    </row>
    <row r="81" spans="1:11" hidden="1">
      <c r="A81" s="3">
        <v>45462</v>
      </c>
      <c r="B81" t="s">
        <v>14111</v>
      </c>
      <c r="C81" t="s">
        <v>14000</v>
      </c>
      <c r="D81" t="s">
        <v>6187</v>
      </c>
      <c r="E81" t="s">
        <v>9490</v>
      </c>
      <c r="F81">
        <v>131</v>
      </c>
      <c r="G81" t="s">
        <v>2203</v>
      </c>
      <c r="H81" t="s">
        <v>14001</v>
      </c>
      <c r="I81">
        <v>0</v>
      </c>
      <c r="J81" t="s">
        <v>14003</v>
      </c>
      <c r="K81" t="e">
        <v>#N/A</v>
      </c>
    </row>
    <row r="82" spans="1:11">
      <c r="A82" s="3">
        <v>45464</v>
      </c>
      <c r="B82" t="s">
        <v>14262</v>
      </c>
      <c r="C82" t="s">
        <v>14083</v>
      </c>
      <c r="D82" t="s">
        <v>2413</v>
      </c>
      <c r="E82" t="s">
        <v>261</v>
      </c>
      <c r="F82">
        <v>500</v>
      </c>
      <c r="G82" t="s">
        <v>2203</v>
      </c>
      <c r="H82" t="s">
        <v>14001</v>
      </c>
      <c r="I82" t="s">
        <v>14263</v>
      </c>
      <c r="J82" s="3">
        <v>47209</v>
      </c>
      <c r="K82" t="s">
        <v>16</v>
      </c>
    </row>
    <row r="83" spans="1:11">
      <c r="A83" s="3">
        <v>45461</v>
      </c>
      <c r="B83" t="s">
        <v>14066</v>
      </c>
      <c r="C83" t="s">
        <v>14050</v>
      </c>
      <c r="D83" t="s">
        <v>2435</v>
      </c>
      <c r="E83" t="s">
        <v>279</v>
      </c>
      <c r="F83">
        <v>25</v>
      </c>
      <c r="G83" t="s">
        <v>2197</v>
      </c>
      <c r="H83" t="s">
        <v>14001</v>
      </c>
      <c r="I83">
        <v>12163201</v>
      </c>
      <c r="J83" s="3">
        <v>46204</v>
      </c>
      <c r="K83" t="s">
        <v>16</v>
      </c>
    </row>
    <row r="84" spans="1:11">
      <c r="A84" s="3">
        <v>45461</v>
      </c>
      <c r="B84" t="s">
        <v>14069</v>
      </c>
      <c r="C84" t="s">
        <v>14070</v>
      </c>
      <c r="D84" t="s">
        <v>2449</v>
      </c>
      <c r="E84" t="s">
        <v>288</v>
      </c>
      <c r="F84">
        <v>100</v>
      </c>
      <c r="G84" t="s">
        <v>2197</v>
      </c>
      <c r="H84" t="s">
        <v>14001</v>
      </c>
      <c r="I84" t="s">
        <v>290</v>
      </c>
      <c r="J84" s="3">
        <v>47058</v>
      </c>
      <c r="K84" t="s">
        <v>16</v>
      </c>
    </row>
    <row r="85" spans="1:11">
      <c r="A85" s="3">
        <v>45464</v>
      </c>
      <c r="B85" t="s">
        <v>14233</v>
      </c>
      <c r="C85" t="s">
        <v>14234</v>
      </c>
      <c r="D85" t="s">
        <v>2452</v>
      </c>
      <c r="E85" t="s">
        <v>293</v>
      </c>
      <c r="F85">
        <v>10</v>
      </c>
      <c r="G85" t="s">
        <v>2197</v>
      </c>
      <c r="H85" t="s">
        <v>14001</v>
      </c>
      <c r="I85" t="s">
        <v>294</v>
      </c>
      <c r="J85" s="3">
        <v>47058</v>
      </c>
      <c r="K85" t="s">
        <v>16</v>
      </c>
    </row>
    <row r="86" spans="1:11">
      <c r="A86" s="3">
        <v>45464</v>
      </c>
      <c r="B86" t="s">
        <v>14228</v>
      </c>
      <c r="C86" t="s">
        <v>14229</v>
      </c>
      <c r="D86" t="s">
        <v>2453</v>
      </c>
      <c r="E86" t="s">
        <v>295</v>
      </c>
      <c r="F86">
        <v>5</v>
      </c>
      <c r="G86" t="s">
        <v>2197</v>
      </c>
      <c r="H86" t="s">
        <v>14001</v>
      </c>
      <c r="I86" t="s">
        <v>296</v>
      </c>
      <c r="J86" s="3">
        <v>46997</v>
      </c>
      <c r="K86" t="s">
        <v>16</v>
      </c>
    </row>
    <row r="87" spans="1:11">
      <c r="A87" s="3">
        <v>45461</v>
      </c>
      <c r="B87" t="s">
        <v>14054</v>
      </c>
      <c r="C87" t="s">
        <v>14055</v>
      </c>
      <c r="D87" t="s">
        <v>2489</v>
      </c>
      <c r="E87" t="s">
        <v>328</v>
      </c>
      <c r="F87">
        <v>40</v>
      </c>
      <c r="G87" t="s">
        <v>2197</v>
      </c>
      <c r="H87" t="s">
        <v>14001</v>
      </c>
      <c r="I87" t="s">
        <v>14057</v>
      </c>
      <c r="J87" s="3">
        <v>45931</v>
      </c>
      <c r="K87" t="s">
        <v>16</v>
      </c>
    </row>
    <row r="88" spans="1:11">
      <c r="A88" s="3">
        <v>45464</v>
      </c>
      <c r="B88" t="s">
        <v>14307</v>
      </c>
      <c r="C88" t="s">
        <v>14117</v>
      </c>
      <c r="D88" t="s">
        <v>2520</v>
      </c>
      <c r="E88" t="s">
        <v>351</v>
      </c>
      <c r="F88">
        <v>100</v>
      </c>
      <c r="G88" t="s">
        <v>2197</v>
      </c>
      <c r="H88" t="s">
        <v>14001</v>
      </c>
      <c r="I88" t="s">
        <v>14308</v>
      </c>
      <c r="J88" s="3">
        <v>47209</v>
      </c>
      <c r="K88" t="s">
        <v>16</v>
      </c>
    </row>
    <row r="89" spans="1:11">
      <c r="A89" s="3">
        <v>45462</v>
      </c>
      <c r="B89" t="s">
        <v>14107</v>
      </c>
      <c r="C89" t="s">
        <v>14102</v>
      </c>
      <c r="D89" t="s">
        <v>2522</v>
      </c>
      <c r="E89" t="s">
        <v>352</v>
      </c>
      <c r="F89">
        <v>500</v>
      </c>
      <c r="G89" t="s">
        <v>2197</v>
      </c>
      <c r="H89" t="s">
        <v>14001</v>
      </c>
      <c r="I89" t="s">
        <v>14108</v>
      </c>
      <c r="J89" s="3">
        <v>47209</v>
      </c>
      <c r="K89" t="s">
        <v>16</v>
      </c>
    </row>
    <row r="90" spans="1:11">
      <c r="A90" s="3">
        <v>45464</v>
      </c>
      <c r="B90" t="s">
        <v>14222</v>
      </c>
      <c r="C90" t="s">
        <v>14221</v>
      </c>
      <c r="D90" t="s">
        <v>2522</v>
      </c>
      <c r="E90" t="s">
        <v>352</v>
      </c>
      <c r="F90">
        <v>50</v>
      </c>
      <c r="G90" t="s">
        <v>2197</v>
      </c>
      <c r="H90" t="s">
        <v>14001</v>
      </c>
      <c r="I90" t="s">
        <v>14108</v>
      </c>
      <c r="J90" s="3">
        <v>47209</v>
      </c>
      <c r="K90" t="s">
        <v>16</v>
      </c>
    </row>
    <row r="91" spans="1:11">
      <c r="A91" s="3">
        <v>45462</v>
      </c>
      <c r="B91" t="s">
        <v>14107</v>
      </c>
      <c r="C91" t="s">
        <v>14102</v>
      </c>
      <c r="D91" t="s">
        <v>2564</v>
      </c>
      <c r="E91" t="s">
        <v>391</v>
      </c>
      <c r="F91">
        <v>500</v>
      </c>
      <c r="G91" t="s">
        <v>2197</v>
      </c>
      <c r="H91" t="s">
        <v>14001</v>
      </c>
      <c r="I91" t="s">
        <v>392</v>
      </c>
      <c r="J91" s="3">
        <v>46997</v>
      </c>
      <c r="K91" t="s">
        <v>16</v>
      </c>
    </row>
    <row r="92" spans="1:11">
      <c r="A92" s="3">
        <v>45463</v>
      </c>
      <c r="B92" t="s">
        <v>14143</v>
      </c>
      <c r="C92" t="s">
        <v>14121</v>
      </c>
      <c r="D92" t="s">
        <v>2569</v>
      </c>
      <c r="E92" t="s">
        <v>394</v>
      </c>
      <c r="F92">
        <v>20</v>
      </c>
      <c r="G92" t="s">
        <v>2197</v>
      </c>
      <c r="H92" t="s">
        <v>14001</v>
      </c>
      <c r="I92">
        <v>6.0490000000000004</v>
      </c>
      <c r="J92" s="3">
        <v>46784</v>
      </c>
      <c r="K92" t="s">
        <v>16</v>
      </c>
    </row>
    <row r="93" spans="1:11">
      <c r="A93" s="3">
        <v>45461</v>
      </c>
      <c r="B93" t="s">
        <v>14051</v>
      </c>
      <c r="C93" t="s">
        <v>14052</v>
      </c>
      <c r="D93" t="s">
        <v>2573</v>
      </c>
      <c r="E93" t="s">
        <v>397</v>
      </c>
      <c r="F93">
        <v>60</v>
      </c>
      <c r="G93" t="s">
        <v>2197</v>
      </c>
      <c r="H93" t="s">
        <v>14001</v>
      </c>
      <c r="I93" t="s">
        <v>14053</v>
      </c>
      <c r="J93" s="3">
        <v>47027</v>
      </c>
      <c r="K93" t="s">
        <v>16</v>
      </c>
    </row>
    <row r="94" spans="1:11" hidden="1">
      <c r="A94" s="3">
        <v>45462</v>
      </c>
      <c r="B94" t="s">
        <v>14124</v>
      </c>
      <c r="C94" t="s">
        <v>14125</v>
      </c>
      <c r="D94" t="s">
        <v>6918</v>
      </c>
      <c r="E94" t="s">
        <v>4990</v>
      </c>
      <c r="F94">
        <v>100</v>
      </c>
      <c r="G94" t="s">
        <v>2197</v>
      </c>
      <c r="H94" t="s">
        <v>14001</v>
      </c>
      <c r="I94" t="s">
        <v>14126</v>
      </c>
      <c r="J94" s="3">
        <v>47239</v>
      </c>
      <c r="K94" t="e">
        <v>#N/A</v>
      </c>
    </row>
    <row r="95" spans="1:11">
      <c r="A95" s="3">
        <v>45463</v>
      </c>
      <c r="B95" t="s">
        <v>14172</v>
      </c>
      <c r="C95" t="s">
        <v>14132</v>
      </c>
      <c r="D95" t="s">
        <v>2620</v>
      </c>
      <c r="E95" t="s">
        <v>437</v>
      </c>
      <c r="F95">
        <v>150</v>
      </c>
      <c r="G95" t="s">
        <v>2197</v>
      </c>
      <c r="H95" t="s">
        <v>14001</v>
      </c>
      <c r="I95" t="s">
        <v>439</v>
      </c>
      <c r="J95" s="3">
        <v>45901</v>
      </c>
      <c r="K95" t="s">
        <v>16</v>
      </c>
    </row>
    <row r="96" spans="1:11">
      <c r="A96" s="3">
        <v>45461</v>
      </c>
      <c r="B96" t="s">
        <v>14059</v>
      </c>
      <c r="C96" t="s">
        <v>14060</v>
      </c>
      <c r="D96" t="s">
        <v>2622</v>
      </c>
      <c r="E96" t="s">
        <v>440</v>
      </c>
      <c r="F96">
        <v>20</v>
      </c>
      <c r="G96" t="s">
        <v>2197</v>
      </c>
      <c r="H96" t="s">
        <v>14001</v>
      </c>
      <c r="I96" t="s">
        <v>447</v>
      </c>
      <c r="J96" s="3">
        <v>46054</v>
      </c>
      <c r="K96" t="s">
        <v>16</v>
      </c>
    </row>
    <row r="97" spans="1:11">
      <c r="A97" s="3">
        <v>45463</v>
      </c>
      <c r="B97" t="s">
        <v>14173</v>
      </c>
      <c r="C97" t="s">
        <v>14132</v>
      </c>
      <c r="D97" t="s">
        <v>2622</v>
      </c>
      <c r="E97" t="s">
        <v>440</v>
      </c>
      <c r="F97">
        <v>300</v>
      </c>
      <c r="G97" t="s">
        <v>2197</v>
      </c>
      <c r="H97" t="s">
        <v>14001</v>
      </c>
      <c r="I97" t="s">
        <v>447</v>
      </c>
      <c r="J97" s="3">
        <v>46054</v>
      </c>
      <c r="K97" t="s">
        <v>16</v>
      </c>
    </row>
    <row r="98" spans="1:11">
      <c r="A98" s="3">
        <v>45464</v>
      </c>
      <c r="B98" t="s">
        <v>14246</v>
      </c>
      <c r="C98" t="s">
        <v>14247</v>
      </c>
      <c r="D98" t="s">
        <v>2622</v>
      </c>
      <c r="E98" t="s">
        <v>440</v>
      </c>
      <c r="F98">
        <v>300</v>
      </c>
      <c r="G98" t="s">
        <v>2197</v>
      </c>
      <c r="H98" t="s">
        <v>14001</v>
      </c>
      <c r="I98" t="s">
        <v>447</v>
      </c>
      <c r="J98" s="3">
        <v>46054</v>
      </c>
      <c r="K98" t="s">
        <v>16</v>
      </c>
    </row>
    <row r="99" spans="1:11">
      <c r="A99" s="3">
        <v>45461</v>
      </c>
      <c r="B99" t="s">
        <v>14059</v>
      </c>
      <c r="C99" t="s">
        <v>14060</v>
      </c>
      <c r="D99" t="s">
        <v>2623</v>
      </c>
      <c r="E99" t="s">
        <v>448</v>
      </c>
      <c r="F99">
        <v>20</v>
      </c>
      <c r="G99" t="s">
        <v>2197</v>
      </c>
      <c r="H99" t="s">
        <v>14001</v>
      </c>
      <c r="I99" t="s">
        <v>454</v>
      </c>
      <c r="J99" s="3">
        <v>45901</v>
      </c>
      <c r="K99" t="s">
        <v>16</v>
      </c>
    </row>
    <row r="100" spans="1:11">
      <c r="A100" s="3">
        <v>45463</v>
      </c>
      <c r="B100" t="s">
        <v>14173</v>
      </c>
      <c r="C100" t="s">
        <v>14132</v>
      </c>
      <c r="D100" t="s">
        <v>2623</v>
      </c>
      <c r="E100" t="s">
        <v>448</v>
      </c>
      <c r="F100">
        <v>300</v>
      </c>
      <c r="G100" t="s">
        <v>2197</v>
      </c>
      <c r="H100" t="s">
        <v>14001</v>
      </c>
      <c r="I100" t="s">
        <v>459</v>
      </c>
      <c r="J100" s="3">
        <v>45901</v>
      </c>
      <c r="K100" t="s">
        <v>16</v>
      </c>
    </row>
    <row r="101" spans="1:11">
      <c r="A101" s="3">
        <v>45463</v>
      </c>
      <c r="B101" t="s">
        <v>14191</v>
      </c>
      <c r="C101" t="s">
        <v>14192</v>
      </c>
      <c r="D101" t="s">
        <v>2638</v>
      </c>
      <c r="E101" t="s">
        <v>476</v>
      </c>
      <c r="F101">
        <v>100</v>
      </c>
      <c r="G101" t="s">
        <v>2203</v>
      </c>
      <c r="H101" t="s">
        <v>14001</v>
      </c>
      <c r="I101" t="s">
        <v>14194</v>
      </c>
      <c r="J101" s="3">
        <v>46569</v>
      </c>
      <c r="K101" t="s">
        <v>16</v>
      </c>
    </row>
    <row r="102" spans="1:11">
      <c r="A102" s="3">
        <v>45464</v>
      </c>
      <c r="B102" t="s">
        <v>14264</v>
      </c>
      <c r="C102" t="s">
        <v>14265</v>
      </c>
      <c r="D102" t="s">
        <v>2638</v>
      </c>
      <c r="E102" t="s">
        <v>476</v>
      </c>
      <c r="F102">
        <v>20</v>
      </c>
      <c r="G102" t="s">
        <v>2203</v>
      </c>
      <c r="H102" t="s">
        <v>14001</v>
      </c>
      <c r="I102" t="s">
        <v>14194</v>
      </c>
      <c r="J102" s="3">
        <v>46569</v>
      </c>
      <c r="K102" t="s">
        <v>16</v>
      </c>
    </row>
    <row r="103" spans="1:11">
      <c r="A103" s="3">
        <v>45463</v>
      </c>
      <c r="B103" t="s">
        <v>14191</v>
      </c>
      <c r="C103" t="s">
        <v>14192</v>
      </c>
      <c r="D103" t="s">
        <v>2641</v>
      </c>
      <c r="E103" t="s">
        <v>478</v>
      </c>
      <c r="F103">
        <v>100</v>
      </c>
      <c r="G103" t="s">
        <v>2203</v>
      </c>
      <c r="H103" t="s">
        <v>14001</v>
      </c>
      <c r="I103" t="s">
        <v>14194</v>
      </c>
      <c r="J103" s="3">
        <v>46600</v>
      </c>
      <c r="K103" t="s">
        <v>16</v>
      </c>
    </row>
    <row r="104" spans="1:11">
      <c r="A104" s="3">
        <v>45464</v>
      </c>
      <c r="B104" t="s">
        <v>14323</v>
      </c>
      <c r="C104" t="s">
        <v>14324</v>
      </c>
      <c r="D104" t="s">
        <v>2673</v>
      </c>
      <c r="E104" t="s">
        <v>505</v>
      </c>
      <c r="F104">
        <v>16</v>
      </c>
      <c r="G104" t="s">
        <v>2203</v>
      </c>
      <c r="H104" t="s">
        <v>14001</v>
      </c>
      <c r="I104" t="s">
        <v>506</v>
      </c>
      <c r="J104" s="3">
        <v>46661</v>
      </c>
      <c r="K104" t="s">
        <v>16</v>
      </c>
    </row>
    <row r="105" spans="1:11">
      <c r="A105" s="3">
        <v>45464</v>
      </c>
      <c r="B105" t="s">
        <v>14318</v>
      </c>
      <c r="C105" t="s">
        <v>14319</v>
      </c>
      <c r="D105" t="s">
        <v>2677</v>
      </c>
      <c r="E105" t="s">
        <v>508</v>
      </c>
      <c r="F105">
        <v>40</v>
      </c>
      <c r="G105" t="s">
        <v>2197</v>
      </c>
      <c r="H105" t="s">
        <v>14001</v>
      </c>
      <c r="I105" t="s">
        <v>14014</v>
      </c>
      <c r="J105" s="3">
        <v>47058</v>
      </c>
      <c r="K105" t="s">
        <v>16</v>
      </c>
    </row>
    <row r="106" spans="1:11">
      <c r="A106" s="3">
        <v>45463</v>
      </c>
      <c r="B106" t="s">
        <v>14172</v>
      </c>
      <c r="C106" t="s">
        <v>14132</v>
      </c>
      <c r="D106" t="s">
        <v>2685</v>
      </c>
      <c r="E106" t="s">
        <v>519</v>
      </c>
      <c r="F106">
        <v>60</v>
      </c>
      <c r="G106" t="s">
        <v>2197</v>
      </c>
      <c r="H106" t="s">
        <v>14001</v>
      </c>
      <c r="I106" t="s">
        <v>521</v>
      </c>
      <c r="J106" s="3">
        <v>45748</v>
      </c>
      <c r="K106" t="s">
        <v>16</v>
      </c>
    </row>
    <row r="107" spans="1:11">
      <c r="A107" s="3">
        <v>45464</v>
      </c>
      <c r="B107" t="s">
        <v>14267</v>
      </c>
      <c r="C107" t="s">
        <v>14265</v>
      </c>
      <c r="D107" t="s">
        <v>2685</v>
      </c>
      <c r="E107" t="s">
        <v>519</v>
      </c>
      <c r="F107">
        <v>1</v>
      </c>
      <c r="G107" t="s">
        <v>2197</v>
      </c>
      <c r="H107" t="s">
        <v>14001</v>
      </c>
      <c r="I107" t="s">
        <v>14268</v>
      </c>
      <c r="J107" s="3">
        <v>45689</v>
      </c>
      <c r="K107" t="s">
        <v>16</v>
      </c>
    </row>
    <row r="108" spans="1:11">
      <c r="A108" s="3">
        <v>45464</v>
      </c>
      <c r="B108" t="s">
        <v>14267</v>
      </c>
      <c r="C108" t="s">
        <v>14265</v>
      </c>
      <c r="D108" t="s">
        <v>2685</v>
      </c>
      <c r="E108" t="s">
        <v>519</v>
      </c>
      <c r="F108">
        <v>4</v>
      </c>
      <c r="G108" t="s">
        <v>2197</v>
      </c>
      <c r="H108" t="s">
        <v>14001</v>
      </c>
      <c r="I108" t="s">
        <v>520</v>
      </c>
      <c r="J108" s="3">
        <v>45689</v>
      </c>
      <c r="K108" t="s">
        <v>16</v>
      </c>
    </row>
    <row r="109" spans="1:11">
      <c r="A109" s="3">
        <v>45462</v>
      </c>
      <c r="B109" t="s">
        <v>14116</v>
      </c>
      <c r="C109" t="s">
        <v>14117</v>
      </c>
      <c r="D109" t="s">
        <v>2687</v>
      </c>
      <c r="E109" t="s">
        <v>522</v>
      </c>
      <c r="F109">
        <v>200</v>
      </c>
      <c r="G109" t="s">
        <v>2197</v>
      </c>
      <c r="H109" t="s">
        <v>14001</v>
      </c>
      <c r="I109" t="s">
        <v>525</v>
      </c>
      <c r="J109" s="3">
        <v>45689</v>
      </c>
      <c r="K109" t="s">
        <v>16</v>
      </c>
    </row>
    <row r="110" spans="1:11">
      <c r="A110" s="3">
        <v>45462</v>
      </c>
      <c r="B110" t="s">
        <v>14133</v>
      </c>
      <c r="C110" t="s">
        <v>14117</v>
      </c>
      <c r="D110" t="s">
        <v>2687</v>
      </c>
      <c r="E110" t="s">
        <v>522</v>
      </c>
      <c r="F110">
        <v>40</v>
      </c>
      <c r="G110" t="s">
        <v>2197</v>
      </c>
      <c r="H110" t="s">
        <v>14001</v>
      </c>
      <c r="I110" t="s">
        <v>524</v>
      </c>
      <c r="J110" s="3">
        <v>45689</v>
      </c>
      <c r="K110" t="s">
        <v>16</v>
      </c>
    </row>
    <row r="111" spans="1:11">
      <c r="A111" s="3">
        <v>45463</v>
      </c>
      <c r="B111" t="s">
        <v>14172</v>
      </c>
      <c r="C111" t="s">
        <v>14132</v>
      </c>
      <c r="D111" t="s">
        <v>2687</v>
      </c>
      <c r="E111" t="s">
        <v>522</v>
      </c>
      <c r="F111">
        <v>200</v>
      </c>
      <c r="G111" t="s">
        <v>2197</v>
      </c>
      <c r="H111" t="s">
        <v>14001</v>
      </c>
      <c r="I111" t="s">
        <v>525</v>
      </c>
      <c r="J111" s="3">
        <v>45689</v>
      </c>
      <c r="K111" t="s">
        <v>16</v>
      </c>
    </row>
    <row r="112" spans="1:11">
      <c r="A112" s="3">
        <v>45464</v>
      </c>
      <c r="B112" t="s">
        <v>14267</v>
      </c>
      <c r="C112" t="s">
        <v>14265</v>
      </c>
      <c r="D112" t="s">
        <v>2687</v>
      </c>
      <c r="E112" t="s">
        <v>522</v>
      </c>
      <c r="F112">
        <v>10</v>
      </c>
      <c r="G112" t="s">
        <v>2197</v>
      </c>
      <c r="H112" t="s">
        <v>14001</v>
      </c>
      <c r="I112" t="s">
        <v>523</v>
      </c>
      <c r="J112" s="3">
        <v>45689</v>
      </c>
      <c r="K112" t="s">
        <v>16</v>
      </c>
    </row>
    <row r="113" spans="1:11">
      <c r="A113" s="3">
        <v>45462</v>
      </c>
      <c r="B113" t="s">
        <v>14101</v>
      </c>
      <c r="C113" t="s">
        <v>14102</v>
      </c>
      <c r="D113" t="s">
        <v>2688</v>
      </c>
      <c r="E113" t="s">
        <v>526</v>
      </c>
      <c r="F113">
        <v>500</v>
      </c>
      <c r="G113" t="s">
        <v>2203</v>
      </c>
      <c r="H113" t="s">
        <v>14001</v>
      </c>
      <c r="I113">
        <v>181.72800000000001</v>
      </c>
      <c r="J113" s="3">
        <v>46388</v>
      </c>
      <c r="K113" t="s">
        <v>16</v>
      </c>
    </row>
    <row r="114" spans="1:11">
      <c r="A114" s="3">
        <v>45463</v>
      </c>
      <c r="B114" t="s">
        <v>14151</v>
      </c>
      <c r="C114" t="s">
        <v>14152</v>
      </c>
      <c r="D114" t="s">
        <v>2705</v>
      </c>
      <c r="E114" t="s">
        <v>544</v>
      </c>
      <c r="F114">
        <v>100</v>
      </c>
      <c r="G114" t="s">
        <v>2197</v>
      </c>
      <c r="H114" t="s">
        <v>14001</v>
      </c>
      <c r="I114" t="s">
        <v>545</v>
      </c>
      <c r="J114" s="3">
        <v>46844</v>
      </c>
      <c r="K114" t="s">
        <v>16</v>
      </c>
    </row>
    <row r="115" spans="1:11">
      <c r="A115" s="3">
        <v>45461</v>
      </c>
      <c r="B115" t="s">
        <v>14059</v>
      </c>
      <c r="C115" t="s">
        <v>14060</v>
      </c>
      <c r="D115" t="s">
        <v>2707</v>
      </c>
      <c r="E115" t="s">
        <v>547</v>
      </c>
      <c r="F115">
        <v>500</v>
      </c>
      <c r="G115" t="s">
        <v>2197</v>
      </c>
      <c r="H115" t="s">
        <v>14001</v>
      </c>
      <c r="I115" t="s">
        <v>550</v>
      </c>
      <c r="J115" s="3">
        <v>46874</v>
      </c>
      <c r="K115" t="s">
        <v>16</v>
      </c>
    </row>
    <row r="116" spans="1:11">
      <c r="A116" s="3">
        <v>45463</v>
      </c>
      <c r="B116" t="s">
        <v>14151</v>
      </c>
      <c r="C116" t="s">
        <v>14152</v>
      </c>
      <c r="D116" t="s">
        <v>2707</v>
      </c>
      <c r="E116" t="s">
        <v>547</v>
      </c>
      <c r="F116">
        <v>100</v>
      </c>
      <c r="G116" t="s">
        <v>2197</v>
      </c>
      <c r="H116" t="s">
        <v>14001</v>
      </c>
      <c r="I116" t="s">
        <v>550</v>
      </c>
      <c r="J116" s="3">
        <v>46874</v>
      </c>
      <c r="K116" t="s">
        <v>16</v>
      </c>
    </row>
    <row r="117" spans="1:11">
      <c r="A117" s="3">
        <v>45464</v>
      </c>
      <c r="B117" t="s">
        <v>14225</v>
      </c>
      <c r="C117" t="s">
        <v>14226</v>
      </c>
      <c r="D117" t="s">
        <v>2707</v>
      </c>
      <c r="E117" t="s">
        <v>547</v>
      </c>
      <c r="F117">
        <v>200</v>
      </c>
      <c r="G117" t="s">
        <v>2197</v>
      </c>
      <c r="H117" t="s">
        <v>14001</v>
      </c>
      <c r="I117" t="s">
        <v>550</v>
      </c>
      <c r="J117" s="3">
        <v>46874</v>
      </c>
      <c r="K117" t="s">
        <v>16</v>
      </c>
    </row>
    <row r="118" spans="1:11">
      <c r="A118" s="3">
        <v>45464</v>
      </c>
      <c r="B118" t="s">
        <v>14242</v>
      </c>
      <c r="C118" t="s">
        <v>14037</v>
      </c>
      <c r="D118" t="s">
        <v>2707</v>
      </c>
      <c r="E118" t="s">
        <v>547</v>
      </c>
      <c r="F118">
        <v>200</v>
      </c>
      <c r="G118" t="s">
        <v>2197</v>
      </c>
      <c r="H118" t="s">
        <v>14001</v>
      </c>
      <c r="I118" t="s">
        <v>550</v>
      </c>
      <c r="J118" s="3">
        <v>46874</v>
      </c>
      <c r="K118" t="s">
        <v>16</v>
      </c>
    </row>
    <row r="119" spans="1:11">
      <c r="A119" s="3">
        <v>45461</v>
      </c>
      <c r="B119" t="s">
        <v>14062</v>
      </c>
      <c r="C119" t="s">
        <v>14060</v>
      </c>
      <c r="D119" t="s">
        <v>2710</v>
      </c>
      <c r="E119" t="s">
        <v>554</v>
      </c>
      <c r="F119">
        <v>40</v>
      </c>
      <c r="G119" t="s">
        <v>2197</v>
      </c>
      <c r="H119" t="s">
        <v>14001</v>
      </c>
      <c r="I119" t="s">
        <v>555</v>
      </c>
      <c r="J119" s="3">
        <v>46784</v>
      </c>
      <c r="K119" t="s">
        <v>16</v>
      </c>
    </row>
    <row r="120" spans="1:11">
      <c r="A120" s="3">
        <v>45465</v>
      </c>
      <c r="B120" t="s">
        <v>14342</v>
      </c>
      <c r="C120" t="s">
        <v>14343</v>
      </c>
      <c r="D120" t="s">
        <v>2713</v>
      </c>
      <c r="E120" t="s">
        <v>561</v>
      </c>
      <c r="F120">
        <v>60</v>
      </c>
      <c r="G120" t="s">
        <v>2197</v>
      </c>
      <c r="H120" t="s">
        <v>14001</v>
      </c>
      <c r="I120" t="s">
        <v>562</v>
      </c>
      <c r="J120" s="3">
        <v>46174</v>
      </c>
      <c r="K120" t="s">
        <v>16</v>
      </c>
    </row>
    <row r="121" spans="1:11">
      <c r="A121" s="3">
        <v>45462</v>
      </c>
      <c r="B121" t="s">
        <v>14120</v>
      </c>
      <c r="C121" t="s">
        <v>14121</v>
      </c>
      <c r="D121" t="s">
        <v>2714</v>
      </c>
      <c r="E121" t="s">
        <v>563</v>
      </c>
      <c r="F121">
        <v>7</v>
      </c>
      <c r="G121" t="s">
        <v>2197</v>
      </c>
      <c r="H121" t="s">
        <v>14001</v>
      </c>
      <c r="I121" t="s">
        <v>565</v>
      </c>
      <c r="J121" s="3">
        <v>46174</v>
      </c>
      <c r="K121" t="s">
        <v>16</v>
      </c>
    </row>
    <row r="122" spans="1:11">
      <c r="A122" s="3">
        <v>45462</v>
      </c>
      <c r="B122" t="s">
        <v>14120</v>
      </c>
      <c r="C122" t="s">
        <v>14121</v>
      </c>
      <c r="D122" t="s">
        <v>2720</v>
      </c>
      <c r="E122" t="s">
        <v>573</v>
      </c>
      <c r="F122">
        <v>10</v>
      </c>
      <c r="G122" t="s">
        <v>2197</v>
      </c>
      <c r="H122" t="s">
        <v>14001</v>
      </c>
      <c r="I122" t="s">
        <v>574</v>
      </c>
      <c r="J122" s="3">
        <v>46235</v>
      </c>
      <c r="K122" t="s">
        <v>16</v>
      </c>
    </row>
    <row r="123" spans="1:11" hidden="1">
      <c r="A123" s="3">
        <v>45463</v>
      </c>
      <c r="B123" t="s">
        <v>14195</v>
      </c>
      <c r="C123" t="s">
        <v>14192</v>
      </c>
      <c r="D123" t="s">
        <v>2606</v>
      </c>
      <c r="E123" t="s">
        <v>419</v>
      </c>
      <c r="F123">
        <v>25</v>
      </c>
      <c r="G123" t="s">
        <v>2203</v>
      </c>
      <c r="H123" t="s">
        <v>14001</v>
      </c>
      <c r="I123" t="s">
        <v>14196</v>
      </c>
      <c r="J123" s="3">
        <v>45812</v>
      </c>
      <c r="K123" t="s">
        <v>312</v>
      </c>
    </row>
    <row r="124" spans="1:11">
      <c r="A124" s="3">
        <v>45464</v>
      </c>
      <c r="B124" t="s">
        <v>14281</v>
      </c>
      <c r="C124" t="s">
        <v>14282</v>
      </c>
      <c r="D124" t="s">
        <v>2736</v>
      </c>
      <c r="E124" t="s">
        <v>588</v>
      </c>
      <c r="F124">
        <v>80</v>
      </c>
      <c r="G124" t="s">
        <v>2197</v>
      </c>
      <c r="H124" t="s">
        <v>14001</v>
      </c>
      <c r="I124" t="s">
        <v>589</v>
      </c>
      <c r="J124" s="3">
        <v>46935</v>
      </c>
      <c r="K124" t="s">
        <v>16</v>
      </c>
    </row>
    <row r="125" spans="1:11">
      <c r="A125" s="3">
        <v>45465</v>
      </c>
      <c r="B125" t="s">
        <v>14368</v>
      </c>
      <c r="C125" t="s">
        <v>14085</v>
      </c>
      <c r="D125" t="s">
        <v>2736</v>
      </c>
      <c r="E125" t="s">
        <v>588</v>
      </c>
      <c r="F125">
        <v>160</v>
      </c>
      <c r="G125" t="s">
        <v>2197</v>
      </c>
      <c r="H125" t="s">
        <v>14001</v>
      </c>
      <c r="I125" t="s">
        <v>589</v>
      </c>
      <c r="J125" s="3">
        <v>46935</v>
      </c>
      <c r="K125" t="s">
        <v>16</v>
      </c>
    </row>
    <row r="126" spans="1:11">
      <c r="A126" s="3">
        <v>45461</v>
      </c>
      <c r="B126" t="s">
        <v>14066</v>
      </c>
      <c r="C126" t="s">
        <v>14050</v>
      </c>
      <c r="D126" t="s">
        <v>2753</v>
      </c>
      <c r="E126" t="s">
        <v>604</v>
      </c>
      <c r="F126">
        <v>20</v>
      </c>
      <c r="G126" t="s">
        <v>2197</v>
      </c>
      <c r="H126" t="s">
        <v>14001</v>
      </c>
      <c r="I126" t="s">
        <v>14067</v>
      </c>
      <c r="J126" s="3">
        <v>47088</v>
      </c>
      <c r="K126" t="s">
        <v>16</v>
      </c>
    </row>
    <row r="127" spans="1:11">
      <c r="A127" s="3">
        <v>45458</v>
      </c>
      <c r="B127" t="s">
        <v>14043</v>
      </c>
      <c r="C127" t="s">
        <v>14044</v>
      </c>
      <c r="D127" t="s">
        <v>2764</v>
      </c>
      <c r="E127" t="s">
        <v>612</v>
      </c>
      <c r="F127">
        <v>300</v>
      </c>
      <c r="G127" t="s">
        <v>2203</v>
      </c>
      <c r="H127" t="s">
        <v>14001</v>
      </c>
      <c r="I127" t="s">
        <v>14045</v>
      </c>
      <c r="J127" s="3">
        <v>46905</v>
      </c>
      <c r="K127" t="s">
        <v>16</v>
      </c>
    </row>
    <row r="128" spans="1:11">
      <c r="A128" s="3">
        <v>45462</v>
      </c>
      <c r="B128" t="s">
        <v>14084</v>
      </c>
      <c r="C128" t="s">
        <v>14085</v>
      </c>
      <c r="D128" t="s">
        <v>2780</v>
      </c>
      <c r="E128" t="s">
        <v>621</v>
      </c>
      <c r="F128">
        <v>200</v>
      </c>
      <c r="G128" t="s">
        <v>2197</v>
      </c>
      <c r="H128" t="s">
        <v>14001</v>
      </c>
      <c r="I128" t="s">
        <v>14086</v>
      </c>
      <c r="J128" s="3">
        <v>46235</v>
      </c>
      <c r="K128" t="s">
        <v>16</v>
      </c>
    </row>
    <row r="129" spans="1:11">
      <c r="A129" s="3">
        <v>45464</v>
      </c>
      <c r="B129" t="s">
        <v>14210</v>
      </c>
      <c r="C129" t="s">
        <v>14211</v>
      </c>
      <c r="D129" t="s">
        <v>2780</v>
      </c>
      <c r="E129" t="s">
        <v>621</v>
      </c>
      <c r="F129">
        <v>40</v>
      </c>
      <c r="G129" t="s">
        <v>2197</v>
      </c>
      <c r="H129" t="s">
        <v>14001</v>
      </c>
      <c r="I129" t="s">
        <v>14086</v>
      </c>
      <c r="J129" s="3">
        <v>46235</v>
      </c>
      <c r="K129" t="s">
        <v>16</v>
      </c>
    </row>
    <row r="130" spans="1:11">
      <c r="A130" s="3">
        <v>45464</v>
      </c>
      <c r="B130" t="s">
        <v>14228</v>
      </c>
      <c r="C130" t="s">
        <v>14229</v>
      </c>
      <c r="D130" t="s">
        <v>2780</v>
      </c>
      <c r="E130" t="s">
        <v>621</v>
      </c>
      <c r="F130">
        <v>5</v>
      </c>
      <c r="G130" t="s">
        <v>2197</v>
      </c>
      <c r="H130" t="s">
        <v>14001</v>
      </c>
      <c r="I130" t="s">
        <v>14230</v>
      </c>
      <c r="J130" s="3">
        <v>46235</v>
      </c>
      <c r="K130" t="s">
        <v>16</v>
      </c>
    </row>
    <row r="131" spans="1:11">
      <c r="A131" s="3">
        <v>45464</v>
      </c>
      <c r="B131" t="s">
        <v>14264</v>
      </c>
      <c r="C131" t="s">
        <v>14265</v>
      </c>
      <c r="D131" t="s">
        <v>2780</v>
      </c>
      <c r="E131" t="s">
        <v>621</v>
      </c>
      <c r="F131">
        <v>5</v>
      </c>
      <c r="G131" t="s">
        <v>2197</v>
      </c>
      <c r="H131" t="s">
        <v>14001</v>
      </c>
      <c r="I131" t="s">
        <v>14086</v>
      </c>
      <c r="J131" s="3">
        <v>46235</v>
      </c>
      <c r="K131" t="s">
        <v>16</v>
      </c>
    </row>
    <row r="132" spans="1:11">
      <c r="A132" s="3">
        <v>45465</v>
      </c>
      <c r="B132" t="s">
        <v>14369</v>
      </c>
      <c r="C132" t="s">
        <v>14370</v>
      </c>
      <c r="D132" t="s">
        <v>2780</v>
      </c>
      <c r="E132" t="s">
        <v>621</v>
      </c>
      <c r="F132">
        <v>15</v>
      </c>
      <c r="G132" t="s">
        <v>2197</v>
      </c>
      <c r="H132" t="s">
        <v>14001</v>
      </c>
      <c r="I132">
        <v>20082023</v>
      </c>
      <c r="J132" s="3">
        <v>46235</v>
      </c>
      <c r="K132" t="s">
        <v>16</v>
      </c>
    </row>
    <row r="133" spans="1:11">
      <c r="A133" s="3">
        <v>45465</v>
      </c>
      <c r="B133" t="s">
        <v>14335</v>
      </c>
      <c r="C133" t="s">
        <v>14336</v>
      </c>
      <c r="D133" t="s">
        <v>2780</v>
      </c>
      <c r="E133" t="s">
        <v>621</v>
      </c>
      <c r="F133">
        <v>40</v>
      </c>
      <c r="G133" t="s">
        <v>2197</v>
      </c>
      <c r="H133" t="s">
        <v>14001</v>
      </c>
      <c r="I133" t="s">
        <v>14086</v>
      </c>
      <c r="J133" s="3">
        <v>46235</v>
      </c>
      <c r="K133" t="s">
        <v>16</v>
      </c>
    </row>
    <row r="134" spans="1:11">
      <c r="A134" s="3">
        <v>45462</v>
      </c>
      <c r="B134" t="s">
        <v>14084</v>
      </c>
      <c r="C134" t="s">
        <v>14085</v>
      </c>
      <c r="D134" t="s">
        <v>2781</v>
      </c>
      <c r="E134" t="s">
        <v>622</v>
      </c>
      <c r="F134">
        <v>250</v>
      </c>
      <c r="G134" t="s">
        <v>2197</v>
      </c>
      <c r="H134" t="s">
        <v>14001</v>
      </c>
      <c r="I134">
        <v>15092023</v>
      </c>
      <c r="J134" s="3">
        <v>46266</v>
      </c>
      <c r="K134" t="s">
        <v>16</v>
      </c>
    </row>
    <row r="135" spans="1:11">
      <c r="A135" s="3">
        <v>45464</v>
      </c>
      <c r="B135" t="s">
        <v>14264</v>
      </c>
      <c r="C135" t="s">
        <v>14265</v>
      </c>
      <c r="D135" t="s">
        <v>2781</v>
      </c>
      <c r="E135" t="s">
        <v>622</v>
      </c>
      <c r="F135">
        <v>10</v>
      </c>
      <c r="G135" t="s">
        <v>2197</v>
      </c>
      <c r="H135" t="s">
        <v>14001</v>
      </c>
      <c r="I135" t="s">
        <v>14266</v>
      </c>
      <c r="J135" s="3">
        <v>46266</v>
      </c>
      <c r="K135" t="s">
        <v>16</v>
      </c>
    </row>
    <row r="136" spans="1:11">
      <c r="A136" s="3">
        <v>45465</v>
      </c>
      <c r="B136" t="s">
        <v>14335</v>
      </c>
      <c r="C136" t="s">
        <v>14336</v>
      </c>
      <c r="D136" t="s">
        <v>2781</v>
      </c>
      <c r="E136" t="s">
        <v>622</v>
      </c>
      <c r="F136">
        <v>20</v>
      </c>
      <c r="G136" t="s">
        <v>2197</v>
      </c>
      <c r="H136" t="s">
        <v>14001</v>
      </c>
      <c r="I136" t="s">
        <v>14337</v>
      </c>
      <c r="J136" s="3">
        <v>46266</v>
      </c>
      <c r="K136" t="s">
        <v>16</v>
      </c>
    </row>
    <row r="137" spans="1:11">
      <c r="A137" s="3">
        <v>45464</v>
      </c>
      <c r="B137" t="s">
        <v>14254</v>
      </c>
      <c r="C137" t="s">
        <v>14255</v>
      </c>
      <c r="D137" t="s">
        <v>2799</v>
      </c>
      <c r="E137" t="s">
        <v>635</v>
      </c>
      <c r="F137">
        <v>100</v>
      </c>
      <c r="G137" t="s">
        <v>2221</v>
      </c>
      <c r="H137" t="s">
        <v>14001</v>
      </c>
      <c r="I137" t="s">
        <v>638</v>
      </c>
      <c r="J137" s="3">
        <v>46539</v>
      </c>
      <c r="K137" t="s">
        <v>16</v>
      </c>
    </row>
    <row r="138" spans="1:11">
      <c r="A138" s="3">
        <v>45464</v>
      </c>
      <c r="B138" t="s">
        <v>14246</v>
      </c>
      <c r="C138" t="s">
        <v>14247</v>
      </c>
      <c r="D138" t="s">
        <v>2822</v>
      </c>
      <c r="E138" t="s">
        <v>656</v>
      </c>
      <c r="F138">
        <v>500</v>
      </c>
      <c r="G138" t="s">
        <v>2197</v>
      </c>
      <c r="H138" t="s">
        <v>14001</v>
      </c>
      <c r="I138" t="s">
        <v>659</v>
      </c>
      <c r="J138" s="3">
        <v>46054</v>
      </c>
      <c r="K138" t="s">
        <v>16</v>
      </c>
    </row>
    <row r="139" spans="1:11">
      <c r="A139" s="3">
        <v>45462</v>
      </c>
      <c r="B139" t="s">
        <v>14116</v>
      </c>
      <c r="C139" t="s">
        <v>14117</v>
      </c>
      <c r="D139" t="s">
        <v>2825</v>
      </c>
      <c r="E139" t="s">
        <v>660</v>
      </c>
      <c r="F139">
        <v>100</v>
      </c>
      <c r="G139" t="s">
        <v>2197</v>
      </c>
      <c r="H139" t="s">
        <v>14001</v>
      </c>
      <c r="I139" t="s">
        <v>663</v>
      </c>
      <c r="J139" s="3">
        <v>46327</v>
      </c>
      <c r="K139" t="s">
        <v>16</v>
      </c>
    </row>
    <row r="140" spans="1:11">
      <c r="A140" s="3">
        <v>45463</v>
      </c>
      <c r="B140" t="s">
        <v>14200</v>
      </c>
      <c r="C140" t="s">
        <v>14201</v>
      </c>
      <c r="D140" t="s">
        <v>2825</v>
      </c>
      <c r="E140" t="s">
        <v>660</v>
      </c>
      <c r="F140">
        <v>1200</v>
      </c>
      <c r="G140" t="s">
        <v>2197</v>
      </c>
      <c r="H140" t="s">
        <v>14001</v>
      </c>
      <c r="I140" t="s">
        <v>663</v>
      </c>
      <c r="J140" s="3">
        <v>46327</v>
      </c>
      <c r="K140" t="s">
        <v>16</v>
      </c>
    </row>
    <row r="141" spans="1:11">
      <c r="A141" s="3">
        <v>45464</v>
      </c>
      <c r="B141" t="s">
        <v>14246</v>
      </c>
      <c r="C141" t="s">
        <v>14247</v>
      </c>
      <c r="D141" t="s">
        <v>2825</v>
      </c>
      <c r="E141" t="s">
        <v>660</v>
      </c>
      <c r="F141">
        <v>260</v>
      </c>
      <c r="G141" t="s">
        <v>2197</v>
      </c>
      <c r="H141" t="s">
        <v>14001</v>
      </c>
      <c r="I141" t="s">
        <v>663</v>
      </c>
      <c r="J141" s="3">
        <v>46327</v>
      </c>
      <c r="K141" t="s">
        <v>16</v>
      </c>
    </row>
    <row r="142" spans="1:11" hidden="1">
      <c r="A142" s="3">
        <v>45463</v>
      </c>
      <c r="B142" t="s">
        <v>14148</v>
      </c>
      <c r="C142" t="s">
        <v>14149</v>
      </c>
      <c r="D142" t="s">
        <v>3032</v>
      </c>
      <c r="E142" t="s">
        <v>988</v>
      </c>
      <c r="F142">
        <v>80</v>
      </c>
      <c r="G142" t="s">
        <v>2203</v>
      </c>
      <c r="H142" t="s">
        <v>14001</v>
      </c>
      <c r="I142" t="s">
        <v>14150</v>
      </c>
      <c r="J142" s="3">
        <v>45710</v>
      </c>
      <c r="K142" t="s">
        <v>312</v>
      </c>
    </row>
    <row r="143" spans="1:11">
      <c r="A143" s="3">
        <v>45464</v>
      </c>
      <c r="B143" t="s">
        <v>14311</v>
      </c>
      <c r="C143" t="s">
        <v>14312</v>
      </c>
      <c r="D143" t="s">
        <v>2825</v>
      </c>
      <c r="E143" t="s">
        <v>660</v>
      </c>
      <c r="F143">
        <v>400</v>
      </c>
      <c r="G143" t="s">
        <v>2197</v>
      </c>
      <c r="H143" t="s">
        <v>14001</v>
      </c>
      <c r="I143" t="s">
        <v>663</v>
      </c>
      <c r="J143" s="3">
        <v>46327</v>
      </c>
      <c r="K143" t="s">
        <v>16</v>
      </c>
    </row>
    <row r="144" spans="1:11">
      <c r="A144" s="3">
        <v>45465</v>
      </c>
      <c r="B144" t="s">
        <v>14330</v>
      </c>
      <c r="C144" t="s">
        <v>14331</v>
      </c>
      <c r="D144" t="s">
        <v>2828</v>
      </c>
      <c r="E144" t="s">
        <v>666</v>
      </c>
      <c r="F144">
        <v>30</v>
      </c>
      <c r="G144" t="s">
        <v>2197</v>
      </c>
      <c r="H144" t="s">
        <v>14001</v>
      </c>
      <c r="I144">
        <v>22.207000000000001</v>
      </c>
      <c r="J144" s="3">
        <v>47058</v>
      </c>
      <c r="K144" t="s">
        <v>16</v>
      </c>
    </row>
    <row r="145" spans="1:11">
      <c r="A145" s="3">
        <v>45463</v>
      </c>
      <c r="B145" t="s">
        <v>14186</v>
      </c>
      <c r="C145" t="s">
        <v>14187</v>
      </c>
      <c r="D145" t="s">
        <v>2909</v>
      </c>
      <c r="E145" t="s">
        <v>755</v>
      </c>
      <c r="F145">
        <v>250</v>
      </c>
      <c r="G145" t="s">
        <v>2203</v>
      </c>
      <c r="H145" t="s">
        <v>14001</v>
      </c>
      <c r="I145" t="s">
        <v>14188</v>
      </c>
      <c r="J145" s="3">
        <v>47239</v>
      </c>
      <c r="K145" t="s">
        <v>16</v>
      </c>
    </row>
    <row r="146" spans="1:11">
      <c r="A146" s="3">
        <v>45461</v>
      </c>
      <c r="B146" t="s">
        <v>14059</v>
      </c>
      <c r="C146" t="s">
        <v>14060</v>
      </c>
      <c r="D146" t="s">
        <v>2920</v>
      </c>
      <c r="E146" t="s">
        <v>766</v>
      </c>
      <c r="F146">
        <v>50</v>
      </c>
      <c r="G146" t="s">
        <v>2197</v>
      </c>
      <c r="H146" t="s">
        <v>14001</v>
      </c>
      <c r="I146" t="s">
        <v>14061</v>
      </c>
      <c r="J146" s="3">
        <v>47150</v>
      </c>
      <c r="K146" t="s">
        <v>16</v>
      </c>
    </row>
    <row r="147" spans="1:11">
      <c r="A147" s="3">
        <v>45462</v>
      </c>
      <c r="B147" t="s">
        <v>14109</v>
      </c>
      <c r="C147" t="s">
        <v>14102</v>
      </c>
      <c r="D147" t="s">
        <v>2920</v>
      </c>
      <c r="E147" t="s">
        <v>766</v>
      </c>
      <c r="F147">
        <v>250</v>
      </c>
      <c r="G147" t="s">
        <v>2197</v>
      </c>
      <c r="H147" t="s">
        <v>14001</v>
      </c>
      <c r="I147" t="s">
        <v>14061</v>
      </c>
      <c r="J147" s="3">
        <v>47150</v>
      </c>
      <c r="K147" t="s">
        <v>16</v>
      </c>
    </row>
    <row r="148" spans="1:11">
      <c r="A148" s="3">
        <v>45464</v>
      </c>
      <c r="B148" t="s">
        <v>14283</v>
      </c>
      <c r="C148" t="s">
        <v>14284</v>
      </c>
      <c r="D148" t="s">
        <v>2920</v>
      </c>
      <c r="E148" t="s">
        <v>766</v>
      </c>
      <c r="F148">
        <v>500</v>
      </c>
      <c r="G148" t="s">
        <v>2197</v>
      </c>
      <c r="H148" t="s">
        <v>14001</v>
      </c>
      <c r="I148" t="s">
        <v>14061</v>
      </c>
      <c r="J148" s="3">
        <v>47150</v>
      </c>
      <c r="K148" t="s">
        <v>16</v>
      </c>
    </row>
    <row r="149" spans="1:11">
      <c r="A149" s="3">
        <v>45461</v>
      </c>
      <c r="B149" t="s">
        <v>14078</v>
      </c>
      <c r="C149" t="s">
        <v>14050</v>
      </c>
      <c r="D149" t="s">
        <v>2991</v>
      </c>
      <c r="E149" t="s">
        <v>819</v>
      </c>
      <c r="F149">
        <v>125</v>
      </c>
      <c r="G149" t="s">
        <v>2197</v>
      </c>
      <c r="H149" t="s">
        <v>14001</v>
      </c>
      <c r="I149" t="s">
        <v>820</v>
      </c>
      <c r="J149" s="3">
        <v>46692</v>
      </c>
      <c r="K149" t="s">
        <v>16</v>
      </c>
    </row>
    <row r="150" spans="1:11">
      <c r="A150" s="3">
        <v>45462</v>
      </c>
      <c r="B150" t="s">
        <v>14096</v>
      </c>
      <c r="C150" t="s">
        <v>14097</v>
      </c>
      <c r="D150" t="s">
        <v>3002</v>
      </c>
      <c r="E150" t="s">
        <v>825</v>
      </c>
      <c r="F150">
        <v>100</v>
      </c>
      <c r="G150" t="s">
        <v>2197</v>
      </c>
      <c r="H150" t="s">
        <v>14001</v>
      </c>
      <c r="I150" t="s">
        <v>828</v>
      </c>
      <c r="J150" s="3">
        <v>46419</v>
      </c>
      <c r="K150" t="s">
        <v>16</v>
      </c>
    </row>
    <row r="151" spans="1:11">
      <c r="A151" s="3">
        <v>45457</v>
      </c>
      <c r="B151" t="s">
        <v>14031</v>
      </c>
      <c r="C151" t="s">
        <v>14032</v>
      </c>
      <c r="D151" t="s">
        <v>3069</v>
      </c>
      <c r="E151" t="s">
        <v>1036</v>
      </c>
      <c r="F151">
        <v>150</v>
      </c>
      <c r="G151" t="s">
        <v>2197</v>
      </c>
      <c r="H151" t="s">
        <v>14001</v>
      </c>
      <c r="I151" t="s">
        <v>14033</v>
      </c>
      <c r="J151" s="3">
        <v>46235</v>
      </c>
      <c r="K151" t="s">
        <v>16</v>
      </c>
    </row>
    <row r="152" spans="1:11">
      <c r="A152" s="3">
        <v>45464</v>
      </c>
      <c r="B152" t="s">
        <v>14295</v>
      </c>
      <c r="C152" t="s">
        <v>14296</v>
      </c>
      <c r="D152" t="s">
        <v>3073</v>
      </c>
      <c r="E152" t="s">
        <v>1039</v>
      </c>
      <c r="F152">
        <v>20</v>
      </c>
      <c r="G152" t="s">
        <v>2197</v>
      </c>
      <c r="H152" t="s">
        <v>14001</v>
      </c>
      <c r="I152" t="s">
        <v>1042</v>
      </c>
      <c r="J152" s="3">
        <v>47178</v>
      </c>
      <c r="K152" t="s">
        <v>16</v>
      </c>
    </row>
    <row r="153" spans="1:11">
      <c r="A153" s="3">
        <v>45464</v>
      </c>
      <c r="B153" t="s">
        <v>14264</v>
      </c>
      <c r="C153" t="s">
        <v>14265</v>
      </c>
      <c r="D153" t="s">
        <v>3275</v>
      </c>
      <c r="E153" t="s">
        <v>1224</v>
      </c>
      <c r="F153">
        <v>20</v>
      </c>
      <c r="G153" t="s">
        <v>2203</v>
      </c>
      <c r="H153" t="s">
        <v>14001</v>
      </c>
      <c r="I153" t="s">
        <v>1225</v>
      </c>
      <c r="J153" s="3">
        <v>45870</v>
      </c>
      <c r="K153" t="s">
        <v>16</v>
      </c>
    </row>
    <row r="154" spans="1:11">
      <c r="A154" s="3">
        <v>45464</v>
      </c>
      <c r="B154" t="s">
        <v>14254</v>
      </c>
      <c r="C154" t="s">
        <v>14255</v>
      </c>
      <c r="D154" t="s">
        <v>3283</v>
      </c>
      <c r="E154" t="s">
        <v>1235</v>
      </c>
      <c r="F154">
        <v>150</v>
      </c>
      <c r="G154" t="s">
        <v>2197</v>
      </c>
      <c r="H154" t="s">
        <v>14001</v>
      </c>
      <c r="I154" t="s">
        <v>14258</v>
      </c>
      <c r="J154" s="3">
        <v>46447</v>
      </c>
      <c r="K154" t="s">
        <v>16</v>
      </c>
    </row>
    <row r="155" spans="1:11">
      <c r="A155" s="3">
        <v>45464</v>
      </c>
      <c r="B155" t="s">
        <v>14254</v>
      </c>
      <c r="C155" t="s">
        <v>14255</v>
      </c>
      <c r="D155" t="s">
        <v>3285</v>
      </c>
      <c r="E155" t="s">
        <v>1236</v>
      </c>
      <c r="F155">
        <v>50</v>
      </c>
      <c r="G155" t="s">
        <v>2197</v>
      </c>
      <c r="H155" t="s">
        <v>14001</v>
      </c>
      <c r="I155" t="s">
        <v>14258</v>
      </c>
      <c r="J155" s="3">
        <v>46419</v>
      </c>
      <c r="K155" t="s">
        <v>16</v>
      </c>
    </row>
    <row r="156" spans="1:11">
      <c r="A156" s="3">
        <v>45463</v>
      </c>
      <c r="B156" t="s">
        <v>14146</v>
      </c>
      <c r="C156" t="s">
        <v>14147</v>
      </c>
      <c r="D156" t="s">
        <v>3288</v>
      </c>
      <c r="E156" t="s">
        <v>1238</v>
      </c>
      <c r="F156">
        <v>48</v>
      </c>
      <c r="G156" t="s">
        <v>2197</v>
      </c>
      <c r="H156" t="s">
        <v>14001</v>
      </c>
      <c r="I156" t="s">
        <v>1239</v>
      </c>
      <c r="J156" s="3">
        <v>45870</v>
      </c>
      <c r="K156" t="s">
        <v>16</v>
      </c>
    </row>
    <row r="157" spans="1:11">
      <c r="A157" s="3">
        <v>45463</v>
      </c>
      <c r="B157" t="s">
        <v>14206</v>
      </c>
      <c r="C157" t="s">
        <v>14145</v>
      </c>
      <c r="D157" t="s">
        <v>3288</v>
      </c>
      <c r="E157" t="s">
        <v>1238</v>
      </c>
      <c r="F157">
        <v>48</v>
      </c>
      <c r="G157" t="s">
        <v>2197</v>
      </c>
      <c r="H157" t="s">
        <v>14001</v>
      </c>
      <c r="I157" t="s">
        <v>1239</v>
      </c>
      <c r="J157" s="3">
        <v>45870</v>
      </c>
      <c r="K157" t="s">
        <v>16</v>
      </c>
    </row>
    <row r="158" spans="1:11">
      <c r="A158" s="3">
        <v>45464</v>
      </c>
      <c r="B158" t="s">
        <v>14253</v>
      </c>
      <c r="C158" t="s">
        <v>14252</v>
      </c>
      <c r="D158" t="s">
        <v>3306</v>
      </c>
      <c r="E158" t="s">
        <v>1256</v>
      </c>
      <c r="F158">
        <v>10</v>
      </c>
      <c r="G158" t="s">
        <v>2197</v>
      </c>
      <c r="H158" t="s">
        <v>14001</v>
      </c>
      <c r="I158" t="s">
        <v>14067</v>
      </c>
      <c r="J158" s="3">
        <v>47178</v>
      </c>
      <c r="K158" t="s">
        <v>16</v>
      </c>
    </row>
    <row r="159" spans="1:11">
      <c r="A159" s="3">
        <v>45463</v>
      </c>
      <c r="B159" t="s">
        <v>14165</v>
      </c>
      <c r="C159" t="s">
        <v>14149</v>
      </c>
      <c r="D159" t="s">
        <v>3308</v>
      </c>
      <c r="E159" t="s">
        <v>1257</v>
      </c>
      <c r="F159">
        <v>40</v>
      </c>
      <c r="G159" t="s">
        <v>2197</v>
      </c>
      <c r="H159" t="s">
        <v>14001</v>
      </c>
      <c r="I159" t="s">
        <v>14166</v>
      </c>
      <c r="J159" s="3">
        <v>47119</v>
      </c>
      <c r="K159" t="s">
        <v>16</v>
      </c>
    </row>
    <row r="160" spans="1:11">
      <c r="A160" s="3">
        <v>45464</v>
      </c>
      <c r="B160" t="s">
        <v>14253</v>
      </c>
      <c r="C160" t="s">
        <v>14252</v>
      </c>
      <c r="D160" t="s">
        <v>3308</v>
      </c>
      <c r="E160" t="s">
        <v>1257</v>
      </c>
      <c r="F160">
        <v>20</v>
      </c>
      <c r="G160" t="s">
        <v>2197</v>
      </c>
      <c r="H160" t="s">
        <v>14001</v>
      </c>
      <c r="I160" t="s">
        <v>14166</v>
      </c>
      <c r="J160" s="3">
        <v>47119</v>
      </c>
      <c r="K160" t="s">
        <v>16</v>
      </c>
    </row>
    <row r="161" spans="1:11">
      <c r="A161" s="3">
        <v>45461</v>
      </c>
      <c r="B161" t="s">
        <v>14046</v>
      </c>
      <c r="C161" t="s">
        <v>14047</v>
      </c>
      <c r="D161" t="s">
        <v>3311</v>
      </c>
      <c r="E161" t="s">
        <v>1259</v>
      </c>
      <c r="F161">
        <v>40</v>
      </c>
      <c r="G161" t="s">
        <v>2197</v>
      </c>
      <c r="H161" t="s">
        <v>14001</v>
      </c>
      <c r="I161" t="s">
        <v>14048</v>
      </c>
      <c r="J161" s="3">
        <v>47150</v>
      </c>
      <c r="K161" t="s">
        <v>16</v>
      </c>
    </row>
    <row r="162" spans="1:11">
      <c r="A162" s="3">
        <v>45462</v>
      </c>
      <c r="B162" t="s">
        <v>14094</v>
      </c>
      <c r="C162" t="s">
        <v>14047</v>
      </c>
      <c r="D162" t="s">
        <v>3311</v>
      </c>
      <c r="E162" t="s">
        <v>1259</v>
      </c>
      <c r="F162">
        <v>40</v>
      </c>
      <c r="G162" t="s">
        <v>2197</v>
      </c>
      <c r="H162" t="s">
        <v>14001</v>
      </c>
      <c r="I162" t="s">
        <v>14095</v>
      </c>
      <c r="J162" s="3">
        <v>47150</v>
      </c>
      <c r="K162" t="s">
        <v>16</v>
      </c>
    </row>
    <row r="163" spans="1:11">
      <c r="A163" s="3">
        <v>45465</v>
      </c>
      <c r="B163" t="s">
        <v>14351</v>
      </c>
      <c r="C163" t="s">
        <v>14080</v>
      </c>
      <c r="D163" t="s">
        <v>3346</v>
      </c>
      <c r="E163" t="s">
        <v>1292</v>
      </c>
      <c r="F163">
        <v>1500</v>
      </c>
      <c r="G163" t="s">
        <v>2197</v>
      </c>
      <c r="H163" t="s">
        <v>14001</v>
      </c>
      <c r="I163" t="s">
        <v>1293</v>
      </c>
      <c r="J163" s="3">
        <v>46023</v>
      </c>
      <c r="K163" t="s">
        <v>16</v>
      </c>
    </row>
    <row r="164" spans="1:11">
      <c r="A164" s="3">
        <v>45462</v>
      </c>
      <c r="B164" t="s">
        <v>14103</v>
      </c>
      <c r="C164" t="s">
        <v>14097</v>
      </c>
      <c r="D164" t="s">
        <v>3374</v>
      </c>
      <c r="E164" t="s">
        <v>1322</v>
      </c>
      <c r="F164">
        <v>40</v>
      </c>
      <c r="G164" t="s">
        <v>2203</v>
      </c>
      <c r="H164" t="s">
        <v>14001</v>
      </c>
      <c r="I164" t="s">
        <v>14104</v>
      </c>
      <c r="J164" s="3">
        <v>47088</v>
      </c>
      <c r="K164" t="s">
        <v>16</v>
      </c>
    </row>
    <row r="165" spans="1:11">
      <c r="A165" s="3">
        <v>45465</v>
      </c>
      <c r="B165" t="s">
        <v>14352</v>
      </c>
      <c r="C165" t="s">
        <v>14353</v>
      </c>
      <c r="D165" t="s">
        <v>3374</v>
      </c>
      <c r="E165" t="s">
        <v>1322</v>
      </c>
      <c r="F165">
        <v>40</v>
      </c>
      <c r="G165" t="s">
        <v>2203</v>
      </c>
      <c r="H165" t="s">
        <v>14001</v>
      </c>
      <c r="I165">
        <v>55.816000000000003</v>
      </c>
      <c r="J165" s="3">
        <v>47088</v>
      </c>
      <c r="K165" t="s">
        <v>16</v>
      </c>
    </row>
    <row r="166" spans="1:11">
      <c r="A166" s="3">
        <v>45462</v>
      </c>
      <c r="B166" t="s">
        <v>14092</v>
      </c>
      <c r="C166" t="s">
        <v>14093</v>
      </c>
      <c r="D166" t="s">
        <v>3377</v>
      </c>
      <c r="E166" t="s">
        <v>1324</v>
      </c>
      <c r="F166">
        <v>120</v>
      </c>
      <c r="G166" t="s">
        <v>2203</v>
      </c>
      <c r="H166" t="s">
        <v>14001</v>
      </c>
      <c r="I166">
        <v>56808</v>
      </c>
      <c r="J166" s="3">
        <v>47209</v>
      </c>
      <c r="K166" t="s">
        <v>16</v>
      </c>
    </row>
    <row r="167" spans="1:11">
      <c r="A167" s="3">
        <v>45465</v>
      </c>
      <c r="B167" t="s">
        <v>14352</v>
      </c>
      <c r="C167" t="s">
        <v>14353</v>
      </c>
      <c r="D167" t="s">
        <v>3377</v>
      </c>
      <c r="E167" t="s">
        <v>1324</v>
      </c>
      <c r="F167">
        <v>40</v>
      </c>
      <c r="G167" t="s">
        <v>2203</v>
      </c>
      <c r="H167" t="s">
        <v>14001</v>
      </c>
      <c r="I167">
        <v>56.808</v>
      </c>
      <c r="J167" s="3">
        <v>47209</v>
      </c>
      <c r="K167" t="s">
        <v>16</v>
      </c>
    </row>
    <row r="168" spans="1:11">
      <c r="A168" s="3">
        <v>45464</v>
      </c>
      <c r="B168" t="s">
        <v>14222</v>
      </c>
      <c r="C168" t="s">
        <v>14221</v>
      </c>
      <c r="D168" t="s">
        <v>3378</v>
      </c>
      <c r="E168" t="s">
        <v>1325</v>
      </c>
      <c r="F168">
        <v>600</v>
      </c>
      <c r="G168" t="s">
        <v>2203</v>
      </c>
      <c r="H168" t="s">
        <v>14001</v>
      </c>
      <c r="I168" t="s">
        <v>14223</v>
      </c>
      <c r="J168" s="3">
        <v>45931</v>
      </c>
      <c r="K168" t="s">
        <v>16</v>
      </c>
    </row>
    <row r="169" spans="1:11">
      <c r="A169" s="3">
        <v>45464</v>
      </c>
      <c r="B169" t="s">
        <v>14293</v>
      </c>
      <c r="C169" t="s">
        <v>14294</v>
      </c>
      <c r="D169" t="s">
        <v>3378</v>
      </c>
      <c r="E169" t="s">
        <v>1325</v>
      </c>
      <c r="F169">
        <v>14600</v>
      </c>
      <c r="G169" t="s">
        <v>2203</v>
      </c>
      <c r="H169" t="s">
        <v>14001</v>
      </c>
      <c r="I169" t="s">
        <v>14223</v>
      </c>
      <c r="J169" s="3">
        <v>45931</v>
      </c>
      <c r="K169" t="s">
        <v>16</v>
      </c>
    </row>
    <row r="170" spans="1:11">
      <c r="A170" s="3">
        <v>45464</v>
      </c>
      <c r="B170" t="s">
        <v>14301</v>
      </c>
      <c r="C170" t="s">
        <v>14302</v>
      </c>
      <c r="D170" t="s">
        <v>3378</v>
      </c>
      <c r="E170" t="s">
        <v>1325</v>
      </c>
      <c r="F170">
        <v>200</v>
      </c>
      <c r="G170" t="s">
        <v>2203</v>
      </c>
      <c r="H170" t="s">
        <v>14001</v>
      </c>
      <c r="I170" t="s">
        <v>14223</v>
      </c>
      <c r="J170" s="3">
        <v>45931</v>
      </c>
      <c r="K170" t="s">
        <v>16</v>
      </c>
    </row>
    <row r="171" spans="1:11">
      <c r="A171" s="3">
        <v>45464</v>
      </c>
      <c r="B171" t="s">
        <v>14309</v>
      </c>
      <c r="C171" t="s">
        <v>14310</v>
      </c>
      <c r="D171" t="s">
        <v>3378</v>
      </c>
      <c r="E171" t="s">
        <v>1325</v>
      </c>
      <c r="F171">
        <v>1000</v>
      </c>
      <c r="G171" t="s">
        <v>2203</v>
      </c>
      <c r="H171" t="s">
        <v>14001</v>
      </c>
      <c r="I171">
        <v>60.04</v>
      </c>
      <c r="J171" s="3">
        <v>45931</v>
      </c>
      <c r="K171" t="s">
        <v>16</v>
      </c>
    </row>
    <row r="172" spans="1:11" hidden="1">
      <c r="A172" s="3">
        <v>45463</v>
      </c>
      <c r="B172" t="s">
        <v>14189</v>
      </c>
      <c r="C172" t="s">
        <v>14050</v>
      </c>
      <c r="D172" t="s">
        <v>4150</v>
      </c>
      <c r="E172" t="s">
        <v>2057</v>
      </c>
      <c r="F172">
        <v>70</v>
      </c>
      <c r="G172" t="s">
        <v>2203</v>
      </c>
      <c r="H172" t="s">
        <v>14001</v>
      </c>
      <c r="I172" t="s">
        <v>14073</v>
      </c>
      <c r="J172" s="3">
        <v>45882</v>
      </c>
      <c r="K172" t="s">
        <v>312</v>
      </c>
    </row>
    <row r="173" spans="1:11">
      <c r="A173" s="3">
        <v>45462</v>
      </c>
      <c r="B173" t="s">
        <v>14096</v>
      </c>
      <c r="C173" t="s">
        <v>14097</v>
      </c>
      <c r="D173" t="s">
        <v>3383</v>
      </c>
      <c r="E173" t="s">
        <v>1327</v>
      </c>
      <c r="F173">
        <v>20</v>
      </c>
      <c r="G173" t="s">
        <v>2197</v>
      </c>
      <c r="H173" t="s">
        <v>14001</v>
      </c>
      <c r="I173" t="s">
        <v>14067</v>
      </c>
      <c r="J173" s="3">
        <v>46054</v>
      </c>
      <c r="K173" t="s">
        <v>16</v>
      </c>
    </row>
    <row r="174" spans="1:11">
      <c r="A174" s="3">
        <v>45462</v>
      </c>
      <c r="B174" t="s">
        <v>14096</v>
      </c>
      <c r="C174" t="s">
        <v>14097</v>
      </c>
      <c r="D174" t="s">
        <v>3384</v>
      </c>
      <c r="E174" t="s">
        <v>1328</v>
      </c>
      <c r="F174">
        <v>40</v>
      </c>
      <c r="G174" t="s">
        <v>2197</v>
      </c>
      <c r="H174" t="s">
        <v>14001</v>
      </c>
      <c r="I174" t="s">
        <v>14067</v>
      </c>
      <c r="J174" s="3">
        <v>46204</v>
      </c>
      <c r="K174" t="s">
        <v>16</v>
      </c>
    </row>
    <row r="175" spans="1:11">
      <c r="A175" s="3">
        <v>45464</v>
      </c>
      <c r="B175" t="s">
        <v>14325</v>
      </c>
      <c r="C175" t="s">
        <v>14326</v>
      </c>
      <c r="D175" t="s">
        <v>3392</v>
      </c>
      <c r="E175" t="s">
        <v>1339</v>
      </c>
      <c r="F175">
        <v>1000</v>
      </c>
      <c r="G175" t="s">
        <v>2203</v>
      </c>
      <c r="H175" t="s">
        <v>14001</v>
      </c>
      <c r="I175" t="s">
        <v>14327</v>
      </c>
      <c r="J175" s="3">
        <v>47270</v>
      </c>
      <c r="K175" t="s">
        <v>16</v>
      </c>
    </row>
    <row r="176" spans="1:11">
      <c r="A176" s="3">
        <v>45464</v>
      </c>
      <c r="B176" t="s">
        <v>14299</v>
      </c>
      <c r="C176" t="s">
        <v>14300</v>
      </c>
      <c r="D176" t="s">
        <v>3505</v>
      </c>
      <c r="E176" t="s">
        <v>1428</v>
      </c>
      <c r="F176">
        <v>640</v>
      </c>
      <c r="G176" t="s">
        <v>2203</v>
      </c>
      <c r="H176" t="s">
        <v>14001</v>
      </c>
      <c r="I176" t="s">
        <v>1430</v>
      </c>
      <c r="J176" s="3">
        <v>45962</v>
      </c>
      <c r="K176" t="s">
        <v>16</v>
      </c>
    </row>
    <row r="177" spans="1:11">
      <c r="A177" s="3">
        <v>45464</v>
      </c>
      <c r="B177" t="s">
        <v>14238</v>
      </c>
      <c r="C177" t="s">
        <v>14187</v>
      </c>
      <c r="D177" t="s">
        <v>3515</v>
      </c>
      <c r="E177" t="s">
        <v>1437</v>
      </c>
      <c r="F177">
        <v>20</v>
      </c>
      <c r="G177" t="s">
        <v>2197</v>
      </c>
      <c r="H177" t="s">
        <v>14001</v>
      </c>
      <c r="I177" t="s">
        <v>14239</v>
      </c>
      <c r="J177" s="3">
        <v>47239</v>
      </c>
      <c r="K177" t="s">
        <v>16</v>
      </c>
    </row>
    <row r="178" spans="1:11">
      <c r="A178" s="3">
        <v>45465</v>
      </c>
      <c r="B178" t="s">
        <v>14355</v>
      </c>
      <c r="C178" t="s">
        <v>14356</v>
      </c>
      <c r="D178" t="s">
        <v>3515</v>
      </c>
      <c r="E178" t="s">
        <v>1437</v>
      </c>
      <c r="F178">
        <v>4</v>
      </c>
      <c r="G178" t="s">
        <v>2197</v>
      </c>
      <c r="H178" t="s">
        <v>14001</v>
      </c>
      <c r="I178" t="s">
        <v>14239</v>
      </c>
      <c r="J178" s="3">
        <v>47239</v>
      </c>
      <c r="K178" t="s">
        <v>16</v>
      </c>
    </row>
    <row r="179" spans="1:11">
      <c r="A179" s="3">
        <v>45464</v>
      </c>
      <c r="B179" t="s">
        <v>14238</v>
      </c>
      <c r="C179" t="s">
        <v>14187</v>
      </c>
      <c r="D179" t="s">
        <v>3516</v>
      </c>
      <c r="E179" t="s">
        <v>1438</v>
      </c>
      <c r="F179">
        <v>20</v>
      </c>
      <c r="G179" t="s">
        <v>2197</v>
      </c>
      <c r="H179" t="s">
        <v>14001</v>
      </c>
      <c r="I179">
        <v>66.138000000000005</v>
      </c>
      <c r="J179" s="3">
        <v>46813</v>
      </c>
      <c r="K179" t="s">
        <v>16</v>
      </c>
    </row>
    <row r="180" spans="1:11">
      <c r="A180" s="3">
        <v>45465</v>
      </c>
      <c r="B180" t="s">
        <v>14355</v>
      </c>
      <c r="C180" t="s">
        <v>14356</v>
      </c>
      <c r="D180" t="s">
        <v>3516</v>
      </c>
      <c r="E180" t="s">
        <v>1438</v>
      </c>
      <c r="F180">
        <v>4</v>
      </c>
      <c r="G180" t="s">
        <v>2197</v>
      </c>
      <c r="H180" t="s">
        <v>14001</v>
      </c>
      <c r="I180" t="s">
        <v>14357</v>
      </c>
      <c r="J180" s="3">
        <v>46813</v>
      </c>
      <c r="K180" t="s">
        <v>16</v>
      </c>
    </row>
    <row r="181" spans="1:11">
      <c r="A181" s="3">
        <v>45461</v>
      </c>
      <c r="B181" t="s">
        <v>14074</v>
      </c>
      <c r="C181" t="s">
        <v>14032</v>
      </c>
      <c r="D181" t="s">
        <v>3569</v>
      </c>
      <c r="E181" t="s">
        <v>1482</v>
      </c>
      <c r="F181">
        <v>20</v>
      </c>
      <c r="G181" t="s">
        <v>2197</v>
      </c>
      <c r="H181" t="s">
        <v>14001</v>
      </c>
      <c r="I181" t="s">
        <v>14075</v>
      </c>
      <c r="J181" s="3">
        <v>46143</v>
      </c>
      <c r="K181" t="s">
        <v>16</v>
      </c>
    </row>
    <row r="182" spans="1:11">
      <c r="A182" s="3">
        <v>45461</v>
      </c>
      <c r="B182" t="s">
        <v>14074</v>
      </c>
      <c r="C182" t="s">
        <v>14032</v>
      </c>
      <c r="D182" t="s">
        <v>3570</v>
      </c>
      <c r="E182" t="s">
        <v>1483</v>
      </c>
      <c r="F182">
        <v>40</v>
      </c>
      <c r="G182" t="s">
        <v>2197</v>
      </c>
      <c r="H182" t="s">
        <v>14001</v>
      </c>
      <c r="I182" t="s">
        <v>14077</v>
      </c>
      <c r="J182" s="3">
        <v>46419</v>
      </c>
      <c r="K182" t="s">
        <v>16</v>
      </c>
    </row>
    <row r="183" spans="1:11">
      <c r="A183" s="3">
        <v>45463</v>
      </c>
      <c r="B183" t="s">
        <v>14172</v>
      </c>
      <c r="C183" t="s">
        <v>14132</v>
      </c>
      <c r="D183" t="s">
        <v>3575</v>
      </c>
      <c r="E183" t="s">
        <v>1487</v>
      </c>
      <c r="F183">
        <v>40</v>
      </c>
      <c r="G183" t="s">
        <v>2197</v>
      </c>
      <c r="H183" t="s">
        <v>14001</v>
      </c>
      <c r="I183" t="s">
        <v>1489</v>
      </c>
      <c r="J183" s="3">
        <v>46874</v>
      </c>
      <c r="K183" t="s">
        <v>16</v>
      </c>
    </row>
    <row r="184" spans="1:11">
      <c r="A184" s="3">
        <v>45463</v>
      </c>
      <c r="B184" t="s">
        <v>14177</v>
      </c>
      <c r="C184" t="s">
        <v>14093</v>
      </c>
      <c r="D184" t="s">
        <v>3575</v>
      </c>
      <c r="E184" t="s">
        <v>1487</v>
      </c>
      <c r="F184">
        <v>40</v>
      </c>
      <c r="G184" t="s">
        <v>2197</v>
      </c>
      <c r="H184" t="s">
        <v>14001</v>
      </c>
      <c r="I184" t="s">
        <v>1489</v>
      </c>
      <c r="J184" s="3">
        <v>46874</v>
      </c>
      <c r="K184" t="s">
        <v>16</v>
      </c>
    </row>
    <row r="185" spans="1:11">
      <c r="A185" s="3">
        <v>45464</v>
      </c>
      <c r="B185" t="s">
        <v>14292</v>
      </c>
      <c r="C185" t="s">
        <v>14093</v>
      </c>
      <c r="D185" t="s">
        <v>3575</v>
      </c>
      <c r="E185" t="s">
        <v>1487</v>
      </c>
      <c r="F185">
        <v>60</v>
      </c>
      <c r="G185" t="s">
        <v>2197</v>
      </c>
      <c r="H185" t="s">
        <v>14001</v>
      </c>
      <c r="I185" t="s">
        <v>1489</v>
      </c>
      <c r="J185" s="3">
        <v>46874</v>
      </c>
      <c r="K185" t="s">
        <v>16</v>
      </c>
    </row>
    <row r="186" spans="1:11">
      <c r="A186" s="3">
        <v>45465</v>
      </c>
      <c r="B186" t="s">
        <v>14335</v>
      </c>
      <c r="C186" t="s">
        <v>14336</v>
      </c>
      <c r="D186" t="s">
        <v>3575</v>
      </c>
      <c r="E186" t="s">
        <v>1487</v>
      </c>
      <c r="F186">
        <v>20</v>
      </c>
      <c r="G186" t="s">
        <v>2197</v>
      </c>
      <c r="H186" t="s">
        <v>14001</v>
      </c>
      <c r="I186" t="s">
        <v>1489</v>
      </c>
      <c r="J186" s="3">
        <v>46874</v>
      </c>
      <c r="K186" t="s">
        <v>16</v>
      </c>
    </row>
    <row r="187" spans="1:11">
      <c r="A187" s="3">
        <v>45465</v>
      </c>
      <c r="B187" t="s">
        <v>14371</v>
      </c>
      <c r="C187" t="s">
        <v>14331</v>
      </c>
      <c r="D187" t="s">
        <v>3594</v>
      </c>
      <c r="E187" t="s">
        <v>1509</v>
      </c>
      <c r="F187">
        <v>48</v>
      </c>
      <c r="G187" t="s">
        <v>2197</v>
      </c>
      <c r="H187" t="s">
        <v>14001</v>
      </c>
      <c r="I187" t="s">
        <v>14372</v>
      </c>
      <c r="J187" s="3">
        <v>46054</v>
      </c>
      <c r="K187" t="s">
        <v>16</v>
      </c>
    </row>
    <row r="188" spans="1:11">
      <c r="A188" s="3">
        <v>45458</v>
      </c>
      <c r="B188" t="s">
        <v>14034</v>
      </c>
      <c r="C188" t="s">
        <v>14032</v>
      </c>
      <c r="D188" t="s">
        <v>3631</v>
      </c>
      <c r="E188" t="s">
        <v>1555</v>
      </c>
      <c r="F188">
        <v>40</v>
      </c>
      <c r="G188" t="s">
        <v>2197</v>
      </c>
      <c r="H188" t="s">
        <v>14001</v>
      </c>
      <c r="I188" t="s">
        <v>14035</v>
      </c>
      <c r="J188" s="3">
        <v>46478</v>
      </c>
      <c r="K188" t="s">
        <v>16</v>
      </c>
    </row>
    <row r="189" spans="1:11">
      <c r="A189" s="3">
        <v>45464</v>
      </c>
      <c r="B189" t="s">
        <v>14318</v>
      </c>
      <c r="C189" t="s">
        <v>14319</v>
      </c>
      <c r="D189" t="s">
        <v>3649</v>
      </c>
      <c r="E189" t="s">
        <v>1577</v>
      </c>
      <c r="F189">
        <v>15</v>
      </c>
      <c r="G189" t="s">
        <v>2203</v>
      </c>
      <c r="H189" t="s">
        <v>14001</v>
      </c>
      <c r="I189" t="s">
        <v>14014</v>
      </c>
      <c r="J189" s="3">
        <v>46844</v>
      </c>
      <c r="K189" t="s">
        <v>16</v>
      </c>
    </row>
    <row r="190" spans="1:11">
      <c r="A190" s="3">
        <v>45464</v>
      </c>
      <c r="B190" t="s">
        <v>14318</v>
      </c>
      <c r="C190" t="s">
        <v>14319</v>
      </c>
      <c r="D190" t="s">
        <v>3650</v>
      </c>
      <c r="E190" t="s">
        <v>1578</v>
      </c>
      <c r="F190">
        <v>60</v>
      </c>
      <c r="G190" t="s">
        <v>2203</v>
      </c>
      <c r="H190" t="s">
        <v>14001</v>
      </c>
      <c r="I190" t="s">
        <v>14320</v>
      </c>
      <c r="J190" s="3">
        <v>47088</v>
      </c>
      <c r="K190" t="s">
        <v>16</v>
      </c>
    </row>
    <row r="191" spans="1:11">
      <c r="A191" s="3">
        <v>45464</v>
      </c>
      <c r="B191" t="s">
        <v>14228</v>
      </c>
      <c r="C191" t="s">
        <v>14229</v>
      </c>
      <c r="D191" t="s">
        <v>3651</v>
      </c>
      <c r="E191" t="s">
        <v>1579</v>
      </c>
      <c r="F191">
        <v>20</v>
      </c>
      <c r="G191" t="s">
        <v>2197</v>
      </c>
      <c r="H191" t="s">
        <v>14001</v>
      </c>
      <c r="I191" t="s">
        <v>14231</v>
      </c>
      <c r="J191" s="3">
        <v>47178</v>
      </c>
      <c r="K191" t="s">
        <v>16</v>
      </c>
    </row>
    <row r="192" spans="1:11">
      <c r="A192" s="3">
        <v>45464</v>
      </c>
      <c r="B192" t="s">
        <v>14224</v>
      </c>
      <c r="C192" t="s">
        <v>14221</v>
      </c>
      <c r="D192" t="s">
        <v>3657</v>
      </c>
      <c r="E192" t="s">
        <v>1583</v>
      </c>
      <c r="F192">
        <v>10</v>
      </c>
      <c r="G192" t="s">
        <v>2197</v>
      </c>
      <c r="H192" t="s">
        <v>14001</v>
      </c>
      <c r="I192" t="s">
        <v>1584</v>
      </c>
      <c r="J192" s="3">
        <v>46235</v>
      </c>
      <c r="K192" t="s">
        <v>16</v>
      </c>
    </row>
    <row r="193" spans="1:11">
      <c r="A193" s="3">
        <v>45463</v>
      </c>
      <c r="B193" t="s">
        <v>14206</v>
      </c>
      <c r="C193" t="s">
        <v>14145</v>
      </c>
      <c r="D193" t="s">
        <v>3666</v>
      </c>
      <c r="E193" t="s">
        <v>1590</v>
      </c>
      <c r="F193">
        <v>15</v>
      </c>
      <c r="G193" t="s">
        <v>2197</v>
      </c>
      <c r="H193" t="s">
        <v>14001</v>
      </c>
      <c r="I193" t="s">
        <v>1592</v>
      </c>
      <c r="J193" s="3">
        <v>46905</v>
      </c>
      <c r="K193" t="s">
        <v>16</v>
      </c>
    </row>
    <row r="194" spans="1:11">
      <c r="A194" s="3">
        <v>45464</v>
      </c>
      <c r="B194" t="s">
        <v>14323</v>
      </c>
      <c r="C194" t="s">
        <v>14324</v>
      </c>
      <c r="D194" t="s">
        <v>3668</v>
      </c>
      <c r="E194" t="s">
        <v>1594</v>
      </c>
      <c r="F194">
        <v>20</v>
      </c>
      <c r="G194" t="s">
        <v>2197</v>
      </c>
      <c r="H194" t="s">
        <v>14001</v>
      </c>
      <c r="I194" t="s">
        <v>1595</v>
      </c>
      <c r="J194" s="3">
        <v>47150</v>
      </c>
      <c r="K194" t="s">
        <v>16</v>
      </c>
    </row>
    <row r="195" spans="1:11">
      <c r="A195" s="3">
        <v>45463</v>
      </c>
      <c r="B195" t="s">
        <v>14207</v>
      </c>
      <c r="C195" t="s">
        <v>14149</v>
      </c>
      <c r="D195" t="s">
        <v>3681</v>
      </c>
      <c r="E195" t="s">
        <v>1607</v>
      </c>
      <c r="F195">
        <v>10</v>
      </c>
      <c r="G195" t="s">
        <v>2197</v>
      </c>
      <c r="H195" t="s">
        <v>14001</v>
      </c>
      <c r="I195" t="s">
        <v>14139</v>
      </c>
      <c r="J195" s="3">
        <v>46935</v>
      </c>
      <c r="K195" t="s">
        <v>16</v>
      </c>
    </row>
    <row r="196" spans="1:11">
      <c r="A196" s="3">
        <v>45462</v>
      </c>
      <c r="B196" t="s">
        <v>14137</v>
      </c>
      <c r="C196" t="s">
        <v>14138</v>
      </c>
      <c r="D196" t="s">
        <v>3683</v>
      </c>
      <c r="E196" t="s">
        <v>1608</v>
      </c>
      <c r="F196">
        <v>400</v>
      </c>
      <c r="G196" t="s">
        <v>2197</v>
      </c>
      <c r="H196" t="s">
        <v>14001</v>
      </c>
      <c r="I196" t="s">
        <v>14139</v>
      </c>
      <c r="J196" s="3">
        <v>46935</v>
      </c>
      <c r="K196" t="s">
        <v>16</v>
      </c>
    </row>
    <row r="197" spans="1:11">
      <c r="A197" s="3">
        <v>45463</v>
      </c>
      <c r="B197" t="s">
        <v>14207</v>
      </c>
      <c r="C197" t="s">
        <v>14149</v>
      </c>
      <c r="D197" t="s">
        <v>3683</v>
      </c>
      <c r="E197" t="s">
        <v>1608</v>
      </c>
      <c r="F197">
        <v>10</v>
      </c>
      <c r="G197" t="s">
        <v>2197</v>
      </c>
      <c r="H197" t="s">
        <v>14001</v>
      </c>
      <c r="I197">
        <v>230425</v>
      </c>
      <c r="J197" s="3">
        <v>46935</v>
      </c>
      <c r="K197" t="s">
        <v>16</v>
      </c>
    </row>
    <row r="198" spans="1:11">
      <c r="A198" s="3">
        <v>45464</v>
      </c>
      <c r="B198" t="s">
        <v>14272</v>
      </c>
      <c r="C198" t="s">
        <v>14273</v>
      </c>
      <c r="D198" t="s">
        <v>3683</v>
      </c>
      <c r="E198" t="s">
        <v>1608</v>
      </c>
      <c r="F198">
        <v>80</v>
      </c>
      <c r="G198" t="s">
        <v>2197</v>
      </c>
      <c r="H198" t="s">
        <v>14001</v>
      </c>
      <c r="I198">
        <v>230.42500000000001</v>
      </c>
      <c r="J198" s="3">
        <v>46935</v>
      </c>
      <c r="K198" t="s">
        <v>16</v>
      </c>
    </row>
    <row r="199" spans="1:11">
      <c r="A199" s="3">
        <v>45463</v>
      </c>
      <c r="B199" t="s">
        <v>14142</v>
      </c>
      <c r="C199" t="s">
        <v>14050</v>
      </c>
      <c r="D199" t="s">
        <v>3696</v>
      </c>
      <c r="E199" t="s">
        <v>1618</v>
      </c>
      <c r="F199">
        <v>30</v>
      </c>
      <c r="G199" t="s">
        <v>2203</v>
      </c>
      <c r="H199" t="s">
        <v>14001</v>
      </c>
      <c r="I199" t="s">
        <v>1619</v>
      </c>
      <c r="J199" s="3">
        <v>45992</v>
      </c>
      <c r="K199" t="s">
        <v>16</v>
      </c>
    </row>
    <row r="200" spans="1:11">
      <c r="A200" s="3">
        <v>45464</v>
      </c>
      <c r="B200" t="s">
        <v>14224</v>
      </c>
      <c r="C200" t="s">
        <v>14221</v>
      </c>
      <c r="D200" t="s">
        <v>3696</v>
      </c>
      <c r="E200" t="s">
        <v>1618</v>
      </c>
      <c r="F200">
        <v>15</v>
      </c>
      <c r="G200" t="s">
        <v>2203</v>
      </c>
      <c r="H200" t="s">
        <v>14001</v>
      </c>
      <c r="I200" t="s">
        <v>1619</v>
      </c>
      <c r="J200" s="3">
        <v>45992</v>
      </c>
      <c r="K200" t="s">
        <v>16</v>
      </c>
    </row>
    <row r="201" spans="1:11">
      <c r="A201" s="3">
        <v>45464</v>
      </c>
      <c r="B201" t="s">
        <v>14246</v>
      </c>
      <c r="C201" t="s">
        <v>14247</v>
      </c>
      <c r="D201" t="s">
        <v>3696</v>
      </c>
      <c r="E201" t="s">
        <v>1618</v>
      </c>
      <c r="F201">
        <v>2400</v>
      </c>
      <c r="G201" t="s">
        <v>2203</v>
      </c>
      <c r="H201" t="s">
        <v>14001</v>
      </c>
      <c r="I201" t="s">
        <v>1619</v>
      </c>
      <c r="J201" s="3">
        <v>45992</v>
      </c>
      <c r="K201" t="s">
        <v>16</v>
      </c>
    </row>
    <row r="202" spans="1:11">
      <c r="A202" s="3">
        <v>45463</v>
      </c>
      <c r="B202" t="s">
        <v>14142</v>
      </c>
      <c r="C202" t="s">
        <v>14050</v>
      </c>
      <c r="D202" t="s">
        <v>3699</v>
      </c>
      <c r="E202" t="s">
        <v>1620</v>
      </c>
      <c r="F202">
        <v>20</v>
      </c>
      <c r="G202" t="s">
        <v>2203</v>
      </c>
      <c r="H202" t="s">
        <v>14001</v>
      </c>
      <c r="I202" t="s">
        <v>1621</v>
      </c>
      <c r="J202" s="3">
        <v>45778</v>
      </c>
      <c r="K202" t="s">
        <v>16</v>
      </c>
    </row>
    <row r="203" spans="1:11">
      <c r="A203" s="3">
        <v>45465</v>
      </c>
      <c r="B203" t="s">
        <v>14338</v>
      </c>
      <c r="C203" t="s">
        <v>14336</v>
      </c>
      <c r="D203" t="s">
        <v>3699</v>
      </c>
      <c r="E203" t="s">
        <v>1620</v>
      </c>
      <c r="F203">
        <v>15</v>
      </c>
      <c r="G203" t="s">
        <v>2203</v>
      </c>
      <c r="H203" t="s">
        <v>14001</v>
      </c>
      <c r="I203" t="s">
        <v>1621</v>
      </c>
      <c r="J203" s="3">
        <v>45778</v>
      </c>
      <c r="K203" t="s">
        <v>16</v>
      </c>
    </row>
    <row r="204" spans="1:11">
      <c r="A204" s="3">
        <v>45464</v>
      </c>
      <c r="B204" t="s">
        <v>14245</v>
      </c>
      <c r="C204" t="s">
        <v>14209</v>
      </c>
      <c r="D204" t="s">
        <v>3747</v>
      </c>
      <c r="E204" t="s">
        <v>1669</v>
      </c>
      <c r="F204">
        <v>100</v>
      </c>
      <c r="G204" t="s">
        <v>2197</v>
      </c>
      <c r="H204" t="s">
        <v>14001</v>
      </c>
      <c r="I204">
        <v>0</v>
      </c>
      <c r="J204" s="3">
        <v>46753</v>
      </c>
      <c r="K204" t="s">
        <v>16</v>
      </c>
    </row>
    <row r="205" spans="1:11">
      <c r="A205" s="3">
        <v>45465</v>
      </c>
      <c r="B205" t="s">
        <v>14341</v>
      </c>
      <c r="C205" t="s">
        <v>14247</v>
      </c>
      <c r="D205" t="s">
        <v>3757</v>
      </c>
      <c r="E205" t="s">
        <v>1678</v>
      </c>
      <c r="F205">
        <v>80</v>
      </c>
      <c r="G205" t="s">
        <v>2203</v>
      </c>
      <c r="H205" t="s">
        <v>14001</v>
      </c>
      <c r="I205" t="s">
        <v>1680</v>
      </c>
      <c r="J205" s="3">
        <v>46266</v>
      </c>
      <c r="K205" t="s">
        <v>16</v>
      </c>
    </row>
    <row r="206" spans="1:11">
      <c r="A206" s="3">
        <v>45461</v>
      </c>
      <c r="B206" t="s">
        <v>14074</v>
      </c>
      <c r="C206" t="s">
        <v>14032</v>
      </c>
      <c r="D206" t="s">
        <v>3788</v>
      </c>
      <c r="E206" t="s">
        <v>1705</v>
      </c>
      <c r="F206">
        <v>20</v>
      </c>
      <c r="G206" t="s">
        <v>2197</v>
      </c>
      <c r="H206" t="s">
        <v>14001</v>
      </c>
      <c r="I206" t="s">
        <v>14076</v>
      </c>
      <c r="J206" s="3">
        <v>46419</v>
      </c>
      <c r="K206" t="s">
        <v>16</v>
      </c>
    </row>
    <row r="207" spans="1:11">
      <c r="A207" s="3">
        <v>45464</v>
      </c>
      <c r="B207" t="s">
        <v>14303</v>
      </c>
      <c r="C207" t="s">
        <v>14304</v>
      </c>
      <c r="D207" t="s">
        <v>3790</v>
      </c>
      <c r="E207" t="s">
        <v>1707</v>
      </c>
      <c r="F207">
        <v>200</v>
      </c>
      <c r="G207" t="s">
        <v>2221</v>
      </c>
      <c r="H207" t="s">
        <v>14001</v>
      </c>
      <c r="I207" t="s">
        <v>14305</v>
      </c>
      <c r="J207" s="3">
        <v>46874</v>
      </c>
      <c r="K207" t="s">
        <v>16</v>
      </c>
    </row>
    <row r="208" spans="1:11">
      <c r="A208" s="3">
        <v>45462</v>
      </c>
      <c r="B208" t="s">
        <v>14099</v>
      </c>
      <c r="C208" t="s">
        <v>14097</v>
      </c>
      <c r="D208" t="s">
        <v>3793</v>
      </c>
      <c r="E208" t="s">
        <v>1709</v>
      </c>
      <c r="F208">
        <v>100</v>
      </c>
      <c r="G208" t="s">
        <v>2197</v>
      </c>
      <c r="H208" t="s">
        <v>14001</v>
      </c>
      <c r="I208" t="s">
        <v>14100</v>
      </c>
      <c r="J208" s="3">
        <v>47209</v>
      </c>
      <c r="K208" t="s">
        <v>16</v>
      </c>
    </row>
    <row r="209" spans="1:11">
      <c r="A209" s="3">
        <v>45465</v>
      </c>
      <c r="B209" t="s">
        <v>14352</v>
      </c>
      <c r="C209" t="s">
        <v>14353</v>
      </c>
      <c r="D209" t="s">
        <v>3795</v>
      </c>
      <c r="E209" t="s">
        <v>1710</v>
      </c>
      <c r="F209">
        <v>200</v>
      </c>
      <c r="G209" t="s">
        <v>2197</v>
      </c>
      <c r="H209" t="s">
        <v>14001</v>
      </c>
      <c r="I209" t="s">
        <v>14067</v>
      </c>
      <c r="J209" s="3">
        <v>47239</v>
      </c>
      <c r="K209" t="s">
        <v>16</v>
      </c>
    </row>
    <row r="210" spans="1:11">
      <c r="A210" s="3">
        <v>45465</v>
      </c>
      <c r="B210" t="s">
        <v>14330</v>
      </c>
      <c r="C210" t="s">
        <v>14331</v>
      </c>
      <c r="D210" t="s">
        <v>3801</v>
      </c>
      <c r="E210" t="s">
        <v>1715</v>
      </c>
      <c r="F210">
        <v>40</v>
      </c>
      <c r="G210" t="s">
        <v>2203</v>
      </c>
      <c r="H210" t="s">
        <v>14001</v>
      </c>
      <c r="I210" t="s">
        <v>14332</v>
      </c>
      <c r="J210" s="3">
        <v>45566</v>
      </c>
      <c r="K210" t="s">
        <v>16</v>
      </c>
    </row>
    <row r="211" spans="1:11">
      <c r="A211" s="3">
        <v>45464</v>
      </c>
      <c r="B211" t="s">
        <v>14232</v>
      </c>
      <c r="C211" t="s">
        <v>14229</v>
      </c>
      <c r="D211" t="s">
        <v>3809</v>
      </c>
      <c r="E211" t="s">
        <v>1720</v>
      </c>
      <c r="F211">
        <v>2</v>
      </c>
      <c r="G211" t="s">
        <v>2203</v>
      </c>
      <c r="H211" t="s">
        <v>14001</v>
      </c>
      <c r="I211" t="s">
        <v>14194</v>
      </c>
      <c r="J211" s="3">
        <v>47027</v>
      </c>
      <c r="K211" t="s">
        <v>16</v>
      </c>
    </row>
    <row r="212" spans="1:11">
      <c r="A212" s="3">
        <v>45464</v>
      </c>
      <c r="B212" t="s">
        <v>14232</v>
      </c>
      <c r="C212" t="s">
        <v>14229</v>
      </c>
      <c r="D212" t="s">
        <v>3809</v>
      </c>
      <c r="E212" t="s">
        <v>1720</v>
      </c>
      <c r="F212">
        <v>8</v>
      </c>
      <c r="G212" t="s">
        <v>2203</v>
      </c>
      <c r="H212" t="s">
        <v>14001</v>
      </c>
      <c r="I212">
        <v>220.10300000000001</v>
      </c>
      <c r="J212" s="3">
        <v>46357</v>
      </c>
      <c r="K212" t="s">
        <v>16</v>
      </c>
    </row>
    <row r="213" spans="1:11">
      <c r="A213" s="3">
        <v>45463</v>
      </c>
      <c r="B213" t="s">
        <v>14170</v>
      </c>
      <c r="C213" t="s">
        <v>14171</v>
      </c>
      <c r="D213" t="s">
        <v>3829</v>
      </c>
      <c r="E213" t="s">
        <v>1732</v>
      </c>
      <c r="F213">
        <v>80</v>
      </c>
      <c r="G213" t="s">
        <v>2197</v>
      </c>
      <c r="H213" t="s">
        <v>14001</v>
      </c>
      <c r="I213" t="s">
        <v>1733</v>
      </c>
      <c r="J213" s="3">
        <v>45505</v>
      </c>
      <c r="K213" t="s">
        <v>16</v>
      </c>
    </row>
    <row r="214" spans="1:11">
      <c r="A214" s="3">
        <v>45464</v>
      </c>
      <c r="B214" t="s">
        <v>14276</v>
      </c>
      <c r="C214" t="s">
        <v>14277</v>
      </c>
      <c r="D214" t="s">
        <v>3829</v>
      </c>
      <c r="E214" t="s">
        <v>1732</v>
      </c>
      <c r="F214">
        <v>40</v>
      </c>
      <c r="G214" t="s">
        <v>2197</v>
      </c>
      <c r="H214" t="s">
        <v>14001</v>
      </c>
      <c r="I214" t="s">
        <v>1733</v>
      </c>
      <c r="J214" s="3">
        <v>45505</v>
      </c>
      <c r="K214" t="s">
        <v>16</v>
      </c>
    </row>
    <row r="215" spans="1:11">
      <c r="A215" s="3">
        <v>45464</v>
      </c>
      <c r="B215" t="s">
        <v>14210</v>
      </c>
      <c r="C215" t="s">
        <v>14211</v>
      </c>
      <c r="D215" t="s">
        <v>3836</v>
      </c>
      <c r="E215" t="s">
        <v>1738</v>
      </c>
      <c r="F215">
        <v>200</v>
      </c>
      <c r="G215" t="s">
        <v>2203</v>
      </c>
      <c r="H215" t="s">
        <v>14001</v>
      </c>
      <c r="I215" t="s">
        <v>14212</v>
      </c>
      <c r="J215" s="3">
        <v>46174</v>
      </c>
      <c r="K215" t="s">
        <v>16</v>
      </c>
    </row>
    <row r="216" spans="1:11">
      <c r="A216" s="3">
        <v>45464</v>
      </c>
      <c r="B216" t="s">
        <v>14213</v>
      </c>
      <c r="C216" t="s">
        <v>14214</v>
      </c>
      <c r="D216" t="s">
        <v>3836</v>
      </c>
      <c r="E216" t="s">
        <v>1738</v>
      </c>
      <c r="F216">
        <v>200</v>
      </c>
      <c r="G216" t="s">
        <v>2203</v>
      </c>
      <c r="H216" t="s">
        <v>14001</v>
      </c>
      <c r="I216" t="s">
        <v>14212</v>
      </c>
      <c r="J216" s="3">
        <v>46174</v>
      </c>
      <c r="K216" t="s">
        <v>16</v>
      </c>
    </row>
    <row r="217" spans="1:11">
      <c r="A217" s="3">
        <v>45464</v>
      </c>
      <c r="B217" t="s">
        <v>14290</v>
      </c>
      <c r="C217" t="s">
        <v>14291</v>
      </c>
      <c r="D217" t="s">
        <v>3836</v>
      </c>
      <c r="E217" t="s">
        <v>1738</v>
      </c>
      <c r="F217">
        <v>200</v>
      </c>
      <c r="G217" t="s">
        <v>2203</v>
      </c>
      <c r="H217" t="s">
        <v>14001</v>
      </c>
      <c r="I217" t="s">
        <v>1740</v>
      </c>
      <c r="J217" s="3">
        <v>46174</v>
      </c>
      <c r="K217" t="s">
        <v>16</v>
      </c>
    </row>
    <row r="218" spans="1:11">
      <c r="A218" s="3">
        <v>45465</v>
      </c>
      <c r="B218" t="s">
        <v>14360</v>
      </c>
      <c r="C218" t="s">
        <v>14296</v>
      </c>
      <c r="D218" t="s">
        <v>3836</v>
      </c>
      <c r="E218" t="s">
        <v>1738</v>
      </c>
      <c r="F218">
        <v>50</v>
      </c>
      <c r="G218" t="s">
        <v>2203</v>
      </c>
      <c r="H218" t="s">
        <v>14001</v>
      </c>
      <c r="I218" t="s">
        <v>1740</v>
      </c>
      <c r="J218" s="3">
        <v>46174</v>
      </c>
      <c r="K218" t="s">
        <v>16</v>
      </c>
    </row>
    <row r="219" spans="1:11">
      <c r="A219" s="3">
        <v>45463</v>
      </c>
      <c r="B219" t="s">
        <v>14168</v>
      </c>
      <c r="C219" t="s">
        <v>14132</v>
      </c>
      <c r="D219" t="s">
        <v>3838</v>
      </c>
      <c r="E219" t="s">
        <v>1741</v>
      </c>
      <c r="F219">
        <v>2000</v>
      </c>
      <c r="G219" t="s">
        <v>2203</v>
      </c>
      <c r="H219" t="s">
        <v>14001</v>
      </c>
      <c r="I219" t="s">
        <v>1742</v>
      </c>
      <c r="J219" s="3">
        <v>45809</v>
      </c>
      <c r="K219" t="s">
        <v>16</v>
      </c>
    </row>
    <row r="220" spans="1:11">
      <c r="A220" s="3">
        <v>45356</v>
      </c>
      <c r="B220" t="s">
        <v>14012</v>
      </c>
      <c r="C220" t="s">
        <v>14013</v>
      </c>
      <c r="D220" t="s">
        <v>3842</v>
      </c>
      <c r="E220" t="s">
        <v>1745</v>
      </c>
      <c r="F220">
        <v>9</v>
      </c>
      <c r="G220" t="s">
        <v>2197</v>
      </c>
      <c r="H220" t="s">
        <v>14001</v>
      </c>
      <c r="I220" t="s">
        <v>14014</v>
      </c>
      <c r="J220" s="3">
        <v>47058</v>
      </c>
      <c r="K220" t="s">
        <v>16</v>
      </c>
    </row>
    <row r="221" spans="1:11">
      <c r="A221" s="3">
        <v>45465</v>
      </c>
      <c r="B221" t="s">
        <v>14367</v>
      </c>
      <c r="C221" t="s">
        <v>14085</v>
      </c>
      <c r="D221" t="s">
        <v>3842</v>
      </c>
      <c r="E221" t="s">
        <v>1745</v>
      </c>
      <c r="F221">
        <v>200</v>
      </c>
      <c r="G221" t="s">
        <v>2197</v>
      </c>
      <c r="H221" t="s">
        <v>14001</v>
      </c>
      <c r="I221">
        <v>24031205</v>
      </c>
      <c r="J221" s="3">
        <v>47150</v>
      </c>
      <c r="K221" t="s">
        <v>16</v>
      </c>
    </row>
    <row r="222" spans="1:11">
      <c r="A222" s="3">
        <v>45464</v>
      </c>
      <c r="B222" t="s">
        <v>14224</v>
      </c>
      <c r="C222" t="s">
        <v>14221</v>
      </c>
      <c r="D222" t="s">
        <v>3843</v>
      </c>
      <c r="E222" t="s">
        <v>1746</v>
      </c>
      <c r="F222">
        <v>24</v>
      </c>
      <c r="G222" t="s">
        <v>2197</v>
      </c>
      <c r="H222" t="s">
        <v>14001</v>
      </c>
      <c r="I222" t="s">
        <v>1747</v>
      </c>
      <c r="J222" s="3">
        <v>46143</v>
      </c>
      <c r="K222" t="s">
        <v>16</v>
      </c>
    </row>
    <row r="223" spans="1:11">
      <c r="A223" s="3">
        <v>45464</v>
      </c>
      <c r="B223" t="s">
        <v>14224</v>
      </c>
      <c r="C223" t="s">
        <v>14221</v>
      </c>
      <c r="D223" t="s">
        <v>3845</v>
      </c>
      <c r="E223" t="s">
        <v>1748</v>
      </c>
      <c r="F223">
        <v>48</v>
      </c>
      <c r="G223" t="s">
        <v>2197</v>
      </c>
      <c r="H223" t="s">
        <v>14001</v>
      </c>
      <c r="I223" t="s">
        <v>1749</v>
      </c>
      <c r="J223" s="3">
        <v>46143</v>
      </c>
      <c r="K223" t="s">
        <v>16</v>
      </c>
    </row>
    <row r="224" spans="1:11">
      <c r="A224" s="3">
        <v>45464</v>
      </c>
      <c r="B224" t="s">
        <v>14278</v>
      </c>
      <c r="C224" t="s">
        <v>14279</v>
      </c>
      <c r="D224" t="s">
        <v>3845</v>
      </c>
      <c r="E224" t="s">
        <v>1748</v>
      </c>
      <c r="F224">
        <v>96</v>
      </c>
      <c r="G224" t="s">
        <v>2197</v>
      </c>
      <c r="H224" t="s">
        <v>14001</v>
      </c>
      <c r="I224" t="s">
        <v>1749</v>
      </c>
      <c r="J224" s="3">
        <v>46143</v>
      </c>
      <c r="K224" t="s">
        <v>16</v>
      </c>
    </row>
    <row r="225" spans="1:11">
      <c r="A225" s="3">
        <v>45464</v>
      </c>
      <c r="B225" t="s">
        <v>14311</v>
      </c>
      <c r="C225" t="s">
        <v>14312</v>
      </c>
      <c r="D225" t="s">
        <v>3845</v>
      </c>
      <c r="E225" t="s">
        <v>1748</v>
      </c>
      <c r="F225">
        <v>240</v>
      </c>
      <c r="G225" t="s">
        <v>2197</v>
      </c>
      <c r="H225" t="s">
        <v>14001</v>
      </c>
      <c r="I225" t="s">
        <v>1749</v>
      </c>
      <c r="J225" s="3">
        <v>46143</v>
      </c>
      <c r="K225" t="s">
        <v>16</v>
      </c>
    </row>
    <row r="226" spans="1:11">
      <c r="A226" s="3">
        <v>45465</v>
      </c>
      <c r="B226" t="s">
        <v>14351</v>
      </c>
      <c r="C226" t="s">
        <v>14080</v>
      </c>
      <c r="D226" t="s">
        <v>3845</v>
      </c>
      <c r="E226" t="s">
        <v>1748</v>
      </c>
      <c r="F226">
        <v>720</v>
      </c>
      <c r="G226" t="s">
        <v>2197</v>
      </c>
      <c r="H226" t="s">
        <v>14001</v>
      </c>
      <c r="I226" t="s">
        <v>1749</v>
      </c>
      <c r="J226" s="3">
        <v>46143</v>
      </c>
      <c r="K226" t="s">
        <v>16</v>
      </c>
    </row>
    <row r="227" spans="1:11">
      <c r="A227" s="3">
        <v>45464</v>
      </c>
      <c r="B227" t="s">
        <v>14278</v>
      </c>
      <c r="C227" t="s">
        <v>14279</v>
      </c>
      <c r="D227" t="s">
        <v>3846</v>
      </c>
      <c r="E227" t="s">
        <v>1750</v>
      </c>
      <c r="F227">
        <v>160</v>
      </c>
      <c r="G227" t="s">
        <v>2197</v>
      </c>
      <c r="H227" t="s">
        <v>14001</v>
      </c>
      <c r="I227" t="s">
        <v>1751</v>
      </c>
      <c r="J227" s="3">
        <v>46143</v>
      </c>
      <c r="K227" t="s">
        <v>16</v>
      </c>
    </row>
    <row r="228" spans="1:11">
      <c r="A228" s="3">
        <v>45465</v>
      </c>
      <c r="B228" t="s">
        <v>14351</v>
      </c>
      <c r="C228" t="s">
        <v>14080</v>
      </c>
      <c r="D228" t="s">
        <v>3846</v>
      </c>
      <c r="E228" t="s">
        <v>1750</v>
      </c>
      <c r="F228">
        <v>1600</v>
      </c>
      <c r="G228" t="s">
        <v>2197</v>
      </c>
      <c r="H228" t="s">
        <v>14001</v>
      </c>
      <c r="I228" t="s">
        <v>1751</v>
      </c>
      <c r="J228" s="3">
        <v>46143</v>
      </c>
      <c r="K228" t="s">
        <v>16</v>
      </c>
    </row>
    <row r="229" spans="1:11">
      <c r="A229" s="3">
        <v>45465</v>
      </c>
      <c r="B229" t="s">
        <v>14338</v>
      </c>
      <c r="C229" t="s">
        <v>14336</v>
      </c>
      <c r="D229" t="s">
        <v>3855</v>
      </c>
      <c r="E229" t="s">
        <v>1761</v>
      </c>
      <c r="F229">
        <v>5</v>
      </c>
      <c r="G229" t="s">
        <v>2203</v>
      </c>
      <c r="H229" t="s">
        <v>14001</v>
      </c>
      <c r="I229" t="s">
        <v>1763</v>
      </c>
      <c r="J229" s="3">
        <v>45597</v>
      </c>
      <c r="K229" t="s">
        <v>16</v>
      </c>
    </row>
    <row r="230" spans="1:11">
      <c r="A230" s="3">
        <v>45465</v>
      </c>
      <c r="B230" t="s">
        <v>14338</v>
      </c>
      <c r="C230" t="s">
        <v>14336</v>
      </c>
      <c r="D230" t="s">
        <v>3858</v>
      </c>
      <c r="E230" t="s">
        <v>1771</v>
      </c>
      <c r="F230">
        <v>5</v>
      </c>
      <c r="G230" t="s">
        <v>2203</v>
      </c>
      <c r="H230" t="s">
        <v>14001</v>
      </c>
      <c r="I230" t="s">
        <v>1773</v>
      </c>
      <c r="J230" s="3">
        <v>46023</v>
      </c>
      <c r="K230" t="s">
        <v>16</v>
      </c>
    </row>
    <row r="231" spans="1:11">
      <c r="A231" s="3">
        <v>45462</v>
      </c>
      <c r="B231" t="s">
        <v>14079</v>
      </c>
      <c r="C231" t="s">
        <v>14080</v>
      </c>
      <c r="D231" t="s">
        <v>3876</v>
      </c>
      <c r="E231" t="s">
        <v>1792</v>
      </c>
      <c r="F231">
        <v>1200</v>
      </c>
      <c r="G231" t="s">
        <v>2197</v>
      </c>
      <c r="H231" t="s">
        <v>14001</v>
      </c>
      <c r="I231" t="s">
        <v>14081</v>
      </c>
      <c r="J231" s="3">
        <v>47239</v>
      </c>
      <c r="K231" t="s">
        <v>16</v>
      </c>
    </row>
    <row r="232" spans="1:11">
      <c r="A232" s="3">
        <v>45463</v>
      </c>
      <c r="B232" t="s">
        <v>14190</v>
      </c>
      <c r="C232" t="s">
        <v>14039</v>
      </c>
      <c r="D232" t="s">
        <v>3879</v>
      </c>
      <c r="E232" t="s">
        <v>1794</v>
      </c>
      <c r="F232">
        <v>320</v>
      </c>
      <c r="G232" t="s">
        <v>2197</v>
      </c>
      <c r="H232" t="s">
        <v>14001</v>
      </c>
      <c r="I232">
        <v>405.00799999999998</v>
      </c>
      <c r="J232" s="3">
        <v>47239</v>
      </c>
      <c r="K232" t="s">
        <v>16</v>
      </c>
    </row>
    <row r="233" spans="1:11">
      <c r="A233" s="3">
        <v>45463</v>
      </c>
      <c r="B233" t="s">
        <v>14202</v>
      </c>
      <c r="C233" t="s">
        <v>14123</v>
      </c>
      <c r="D233" t="s">
        <v>3886</v>
      </c>
      <c r="E233" t="s">
        <v>1803</v>
      </c>
      <c r="F233">
        <v>2500</v>
      </c>
      <c r="G233" t="s">
        <v>2197</v>
      </c>
      <c r="H233" t="s">
        <v>14001</v>
      </c>
      <c r="I233" t="s">
        <v>1805</v>
      </c>
      <c r="J233" s="3">
        <v>46113</v>
      </c>
      <c r="K233" t="s">
        <v>16</v>
      </c>
    </row>
    <row r="234" spans="1:11">
      <c r="A234" s="3">
        <v>45464</v>
      </c>
      <c r="B234" t="s">
        <v>14233</v>
      </c>
      <c r="C234" t="s">
        <v>14234</v>
      </c>
      <c r="D234" t="s">
        <v>3892</v>
      </c>
      <c r="E234" t="s">
        <v>1811</v>
      </c>
      <c r="F234">
        <v>10</v>
      </c>
      <c r="G234" t="s">
        <v>2203</v>
      </c>
      <c r="H234" t="s">
        <v>14001</v>
      </c>
      <c r="I234">
        <v>180.322</v>
      </c>
      <c r="J234" s="3">
        <v>46082</v>
      </c>
      <c r="K234" t="s">
        <v>16</v>
      </c>
    </row>
    <row r="235" spans="1:11">
      <c r="A235" s="3">
        <v>45462</v>
      </c>
      <c r="B235" t="s">
        <v>14116</v>
      </c>
      <c r="C235" t="s">
        <v>14117</v>
      </c>
      <c r="D235" t="s">
        <v>3928</v>
      </c>
      <c r="E235" t="s">
        <v>1841</v>
      </c>
      <c r="F235">
        <v>200</v>
      </c>
      <c r="G235" t="s">
        <v>2197</v>
      </c>
      <c r="H235" t="s">
        <v>14001</v>
      </c>
      <c r="I235" t="s">
        <v>1855</v>
      </c>
      <c r="J235" s="3">
        <v>45992</v>
      </c>
      <c r="K235" t="s">
        <v>16</v>
      </c>
    </row>
    <row r="236" spans="1:11">
      <c r="A236" s="3">
        <v>45463</v>
      </c>
      <c r="B236" t="s">
        <v>14173</v>
      </c>
      <c r="C236" t="s">
        <v>14132</v>
      </c>
      <c r="D236" t="s">
        <v>3928</v>
      </c>
      <c r="E236" t="s">
        <v>1841</v>
      </c>
      <c r="F236">
        <v>80</v>
      </c>
      <c r="G236" t="s">
        <v>2197</v>
      </c>
      <c r="H236" t="s">
        <v>14001</v>
      </c>
      <c r="I236" t="s">
        <v>1855</v>
      </c>
      <c r="J236" s="3">
        <v>45992</v>
      </c>
      <c r="K236" t="s">
        <v>16</v>
      </c>
    </row>
    <row r="237" spans="1:11">
      <c r="A237" s="3">
        <v>45462</v>
      </c>
      <c r="B237" t="s">
        <v>14122</v>
      </c>
      <c r="C237" t="s">
        <v>14123</v>
      </c>
      <c r="D237" t="s">
        <v>3931</v>
      </c>
      <c r="E237" t="s">
        <v>1858</v>
      </c>
      <c r="F237">
        <v>1250</v>
      </c>
      <c r="G237" t="s">
        <v>2197</v>
      </c>
      <c r="H237" t="s">
        <v>14001</v>
      </c>
      <c r="I237" t="s">
        <v>1861</v>
      </c>
      <c r="J237" s="3">
        <v>46113</v>
      </c>
      <c r="K237" t="s">
        <v>16</v>
      </c>
    </row>
    <row r="238" spans="1:11">
      <c r="A238" s="3">
        <v>45463</v>
      </c>
      <c r="B238" t="s">
        <v>14173</v>
      </c>
      <c r="C238" t="s">
        <v>14132</v>
      </c>
      <c r="D238" t="s">
        <v>3931</v>
      </c>
      <c r="E238" t="s">
        <v>1858</v>
      </c>
      <c r="F238">
        <v>100</v>
      </c>
      <c r="G238" t="s">
        <v>2197</v>
      </c>
      <c r="H238" t="s">
        <v>14001</v>
      </c>
      <c r="I238" t="s">
        <v>1861</v>
      </c>
      <c r="J238" s="3">
        <v>46113</v>
      </c>
      <c r="K238" t="s">
        <v>16</v>
      </c>
    </row>
    <row r="239" spans="1:11">
      <c r="A239" s="3">
        <v>45464</v>
      </c>
      <c r="B239" t="s">
        <v>14246</v>
      </c>
      <c r="C239" t="s">
        <v>14247</v>
      </c>
      <c r="D239" t="s">
        <v>3931</v>
      </c>
      <c r="E239" t="s">
        <v>1858</v>
      </c>
      <c r="F239">
        <v>500</v>
      </c>
      <c r="G239" t="s">
        <v>2197</v>
      </c>
      <c r="H239" t="s">
        <v>14001</v>
      </c>
      <c r="I239" t="s">
        <v>1861</v>
      </c>
      <c r="J239" s="3">
        <v>46113</v>
      </c>
      <c r="K239" t="s">
        <v>16</v>
      </c>
    </row>
    <row r="240" spans="1:11">
      <c r="A240" s="3">
        <v>45465</v>
      </c>
      <c r="B240" t="s">
        <v>14335</v>
      </c>
      <c r="C240" t="s">
        <v>14336</v>
      </c>
      <c r="D240" t="s">
        <v>3965</v>
      </c>
      <c r="E240" t="s">
        <v>1894</v>
      </c>
      <c r="F240">
        <v>40</v>
      </c>
      <c r="G240" t="s">
        <v>2203</v>
      </c>
      <c r="H240" t="s">
        <v>14001</v>
      </c>
      <c r="I240" t="s">
        <v>14045</v>
      </c>
      <c r="J240" s="3">
        <v>47088</v>
      </c>
      <c r="K240" t="s">
        <v>16</v>
      </c>
    </row>
    <row r="241" spans="1:11">
      <c r="A241" s="3">
        <v>45462</v>
      </c>
      <c r="B241" t="s">
        <v>14109</v>
      </c>
      <c r="C241" t="s">
        <v>14102</v>
      </c>
      <c r="D241" t="s">
        <v>3967</v>
      </c>
      <c r="E241" t="s">
        <v>1895</v>
      </c>
      <c r="F241">
        <v>50</v>
      </c>
      <c r="G241" t="s">
        <v>2197</v>
      </c>
      <c r="H241" t="s">
        <v>14001</v>
      </c>
      <c r="I241" t="s">
        <v>1897</v>
      </c>
      <c r="J241" s="3">
        <v>46478</v>
      </c>
      <c r="K241" t="s">
        <v>16</v>
      </c>
    </row>
    <row r="242" spans="1:11">
      <c r="A242" s="3">
        <v>45465</v>
      </c>
      <c r="B242" t="s">
        <v>14354</v>
      </c>
      <c r="C242" t="s">
        <v>14353</v>
      </c>
      <c r="D242" t="s">
        <v>3977</v>
      </c>
      <c r="E242" t="s">
        <v>1905</v>
      </c>
      <c r="F242">
        <v>10</v>
      </c>
      <c r="G242" t="s">
        <v>2197</v>
      </c>
      <c r="H242" t="s">
        <v>14001</v>
      </c>
      <c r="I242" t="s">
        <v>1906</v>
      </c>
      <c r="J242" s="3">
        <v>46054</v>
      </c>
      <c r="K242" t="s">
        <v>16</v>
      </c>
    </row>
    <row r="243" spans="1:11">
      <c r="A243" s="3">
        <v>45464</v>
      </c>
      <c r="B243" t="s">
        <v>14232</v>
      </c>
      <c r="C243" t="s">
        <v>14229</v>
      </c>
      <c r="D243" t="s">
        <v>4009</v>
      </c>
      <c r="E243" t="s">
        <v>1934</v>
      </c>
      <c r="F243">
        <v>5</v>
      </c>
      <c r="G243" t="s">
        <v>2197</v>
      </c>
      <c r="H243" t="s">
        <v>14001</v>
      </c>
      <c r="I243" t="s">
        <v>1935</v>
      </c>
      <c r="J243" s="3">
        <v>46844</v>
      </c>
      <c r="K243" t="s">
        <v>16</v>
      </c>
    </row>
    <row r="244" spans="1:11">
      <c r="A244" s="3">
        <v>45465</v>
      </c>
      <c r="B244" t="s">
        <v>14345</v>
      </c>
      <c r="C244" t="s">
        <v>14346</v>
      </c>
      <c r="D244" t="s">
        <v>4010</v>
      </c>
      <c r="E244" t="s">
        <v>1940</v>
      </c>
      <c r="F244">
        <v>20</v>
      </c>
      <c r="G244" t="s">
        <v>2197</v>
      </c>
      <c r="H244" t="s">
        <v>14001</v>
      </c>
      <c r="I244" t="s">
        <v>1944</v>
      </c>
      <c r="J244" s="3">
        <v>46874</v>
      </c>
      <c r="K244" t="s">
        <v>16</v>
      </c>
    </row>
    <row r="245" spans="1:11">
      <c r="A245" s="3">
        <v>45463</v>
      </c>
      <c r="B245" t="s">
        <v>14176</v>
      </c>
      <c r="C245" t="s">
        <v>14085</v>
      </c>
      <c r="D245" t="s">
        <v>4049</v>
      </c>
      <c r="E245" t="s">
        <v>1971</v>
      </c>
      <c r="F245">
        <v>220</v>
      </c>
      <c r="G245" t="s">
        <v>2197</v>
      </c>
      <c r="H245" t="s">
        <v>14001</v>
      </c>
      <c r="I245" t="s">
        <v>1974</v>
      </c>
      <c r="J245" s="3">
        <v>47239</v>
      </c>
      <c r="K245" t="s">
        <v>16</v>
      </c>
    </row>
    <row r="246" spans="1:11">
      <c r="A246" s="3">
        <v>45463</v>
      </c>
      <c r="B246" t="s">
        <v>14191</v>
      </c>
      <c r="C246" t="s">
        <v>14192</v>
      </c>
      <c r="D246" t="s">
        <v>4055</v>
      </c>
      <c r="E246" t="s">
        <v>1979</v>
      </c>
      <c r="F246">
        <v>20</v>
      </c>
      <c r="G246" t="s">
        <v>2203</v>
      </c>
      <c r="H246" t="s">
        <v>14001</v>
      </c>
      <c r="I246" t="s">
        <v>14193</v>
      </c>
      <c r="J246" s="3">
        <v>45931</v>
      </c>
      <c r="K246" t="s">
        <v>16</v>
      </c>
    </row>
    <row r="247" spans="1:11">
      <c r="A247" s="3">
        <v>45463</v>
      </c>
      <c r="B247" t="s">
        <v>14162</v>
      </c>
      <c r="C247" t="s">
        <v>14163</v>
      </c>
      <c r="D247" t="s">
        <v>4071</v>
      </c>
      <c r="E247" t="s">
        <v>1991</v>
      </c>
      <c r="F247">
        <v>50</v>
      </c>
      <c r="G247" t="s">
        <v>2197</v>
      </c>
      <c r="H247" t="s">
        <v>14001</v>
      </c>
      <c r="I247" t="s">
        <v>14164</v>
      </c>
      <c r="J247" s="3">
        <v>47088</v>
      </c>
      <c r="K247" t="s">
        <v>16</v>
      </c>
    </row>
    <row r="248" spans="1:11">
      <c r="A248" s="3">
        <v>45464</v>
      </c>
      <c r="B248" t="s">
        <v>14303</v>
      </c>
      <c r="C248" t="s">
        <v>14304</v>
      </c>
      <c r="D248" t="s">
        <v>4071</v>
      </c>
      <c r="E248" t="s">
        <v>1991</v>
      </c>
      <c r="F248">
        <v>50</v>
      </c>
      <c r="G248" t="s">
        <v>2197</v>
      </c>
      <c r="H248" t="s">
        <v>14001</v>
      </c>
      <c r="I248" t="s">
        <v>14306</v>
      </c>
      <c r="J248" s="3">
        <v>47088</v>
      </c>
      <c r="K248" t="s">
        <v>16</v>
      </c>
    </row>
    <row r="249" spans="1:11">
      <c r="A249" s="3">
        <v>45461</v>
      </c>
      <c r="B249" t="s">
        <v>14078</v>
      </c>
      <c r="C249" t="s">
        <v>14050</v>
      </c>
      <c r="D249" t="s">
        <v>4072</v>
      </c>
      <c r="E249" t="s">
        <v>1992</v>
      </c>
      <c r="F249">
        <v>20</v>
      </c>
      <c r="G249" t="s">
        <v>2203</v>
      </c>
      <c r="H249" t="s">
        <v>14001</v>
      </c>
      <c r="I249" t="s">
        <v>1990</v>
      </c>
      <c r="J249" s="3">
        <v>46569</v>
      </c>
      <c r="K249" t="s">
        <v>16</v>
      </c>
    </row>
    <row r="250" spans="1:11">
      <c r="A250" s="3">
        <v>45463</v>
      </c>
      <c r="B250" t="s">
        <v>14178</v>
      </c>
      <c r="C250" t="s">
        <v>14128</v>
      </c>
      <c r="D250" t="s">
        <v>4140</v>
      </c>
      <c r="E250" t="s">
        <v>2049</v>
      </c>
      <c r="F250">
        <v>200</v>
      </c>
      <c r="G250" t="s">
        <v>2197</v>
      </c>
      <c r="H250" t="s">
        <v>14001</v>
      </c>
      <c r="I250" t="s">
        <v>2050</v>
      </c>
      <c r="J250" s="3">
        <v>46813</v>
      </c>
      <c r="K250" t="s">
        <v>16</v>
      </c>
    </row>
    <row r="251" spans="1:11">
      <c r="A251" s="3">
        <v>45463</v>
      </c>
      <c r="B251" t="s">
        <v>14203</v>
      </c>
      <c r="C251" t="s">
        <v>14204</v>
      </c>
      <c r="D251" t="s">
        <v>4177</v>
      </c>
      <c r="E251" t="s">
        <v>2075</v>
      </c>
      <c r="F251">
        <v>220</v>
      </c>
      <c r="G251" t="s">
        <v>2197</v>
      </c>
      <c r="H251" t="s">
        <v>14001</v>
      </c>
      <c r="I251" t="s">
        <v>14205</v>
      </c>
      <c r="J251" s="3">
        <v>47178</v>
      </c>
      <c r="K251" t="s">
        <v>16</v>
      </c>
    </row>
    <row r="252" spans="1:11">
      <c r="A252" s="3">
        <v>45464</v>
      </c>
      <c r="B252" t="s">
        <v>14217</v>
      </c>
      <c r="C252" t="s">
        <v>14218</v>
      </c>
      <c r="D252" t="s">
        <v>4177</v>
      </c>
      <c r="E252" t="s">
        <v>2075</v>
      </c>
      <c r="F252">
        <v>220</v>
      </c>
      <c r="G252" t="s">
        <v>2197</v>
      </c>
      <c r="H252" t="s">
        <v>14001</v>
      </c>
      <c r="I252" t="s">
        <v>14219</v>
      </c>
      <c r="J252" s="3">
        <v>47178</v>
      </c>
      <c r="K252" t="s">
        <v>16</v>
      </c>
    </row>
    <row r="253" spans="1:11">
      <c r="A253" s="3">
        <v>45464</v>
      </c>
      <c r="B253" t="s">
        <v>14228</v>
      </c>
      <c r="C253" t="s">
        <v>14229</v>
      </c>
      <c r="D253" t="s">
        <v>4177</v>
      </c>
      <c r="E253" t="s">
        <v>2075</v>
      </c>
      <c r="F253">
        <v>10</v>
      </c>
      <c r="G253" t="s">
        <v>2197</v>
      </c>
      <c r="H253" t="s">
        <v>14001</v>
      </c>
      <c r="I253" t="s">
        <v>14205</v>
      </c>
      <c r="J253" s="3">
        <v>47178</v>
      </c>
      <c r="K253" t="s">
        <v>16</v>
      </c>
    </row>
    <row r="254" spans="1:11">
      <c r="A254" s="3">
        <v>45464</v>
      </c>
      <c r="B254" t="s">
        <v>14243</v>
      </c>
      <c r="C254" t="s">
        <v>14244</v>
      </c>
      <c r="D254" t="s">
        <v>4177</v>
      </c>
      <c r="E254" t="s">
        <v>2075</v>
      </c>
      <c r="F254">
        <v>220</v>
      </c>
      <c r="G254" t="s">
        <v>2197</v>
      </c>
      <c r="H254" t="s">
        <v>14001</v>
      </c>
      <c r="I254" t="s">
        <v>14205</v>
      </c>
      <c r="J254" s="3">
        <v>47178</v>
      </c>
      <c r="K254" t="s">
        <v>16</v>
      </c>
    </row>
    <row r="255" spans="1:11">
      <c r="A255" s="3">
        <v>45462</v>
      </c>
      <c r="B255" t="s">
        <v>14082</v>
      </c>
      <c r="C255" t="s">
        <v>14083</v>
      </c>
      <c r="D255" t="s">
        <v>4186</v>
      </c>
      <c r="E255" t="s">
        <v>2082</v>
      </c>
      <c r="F255">
        <v>120</v>
      </c>
      <c r="G255" t="s">
        <v>2203</v>
      </c>
      <c r="H255" t="s">
        <v>14001</v>
      </c>
      <c r="I255" t="s">
        <v>2083</v>
      </c>
      <c r="J255" s="3">
        <v>46054</v>
      </c>
      <c r="K255" t="s">
        <v>16</v>
      </c>
    </row>
    <row r="256" spans="1:11">
      <c r="A256" s="3">
        <v>45461</v>
      </c>
      <c r="B256" t="s">
        <v>14066</v>
      </c>
      <c r="C256" t="s">
        <v>14050</v>
      </c>
      <c r="D256" t="s">
        <v>4187</v>
      </c>
      <c r="E256" t="s">
        <v>2084</v>
      </c>
      <c r="F256">
        <v>20</v>
      </c>
      <c r="G256" t="s">
        <v>2197</v>
      </c>
      <c r="H256" t="s">
        <v>14001</v>
      </c>
      <c r="I256">
        <v>20230504</v>
      </c>
      <c r="J256" s="3">
        <v>46874</v>
      </c>
      <c r="K256" t="s">
        <v>16</v>
      </c>
    </row>
    <row r="257" spans="1:11">
      <c r="A257" s="3">
        <v>45462</v>
      </c>
      <c r="B257" t="s">
        <v>14089</v>
      </c>
      <c r="C257" t="s">
        <v>14052</v>
      </c>
      <c r="D257" t="s">
        <v>4216</v>
      </c>
      <c r="E257" t="s">
        <v>2107</v>
      </c>
      <c r="F257">
        <v>100</v>
      </c>
      <c r="G257" t="s">
        <v>2197</v>
      </c>
      <c r="H257" t="s">
        <v>14001</v>
      </c>
      <c r="I257" t="s">
        <v>14090</v>
      </c>
      <c r="J257" s="3">
        <v>46357</v>
      </c>
      <c r="K257" t="s">
        <v>16</v>
      </c>
    </row>
    <row r="258" spans="1:11">
      <c r="A258" s="3">
        <v>45462</v>
      </c>
      <c r="B258" t="s">
        <v>14089</v>
      </c>
      <c r="C258" t="s">
        <v>14052</v>
      </c>
      <c r="D258" t="s">
        <v>4219</v>
      </c>
      <c r="E258" t="s">
        <v>2109</v>
      </c>
      <c r="F258">
        <v>2</v>
      </c>
      <c r="G258" t="s">
        <v>2197</v>
      </c>
      <c r="H258" t="s">
        <v>14001</v>
      </c>
      <c r="I258" t="s">
        <v>14090</v>
      </c>
      <c r="J258" s="3">
        <v>46296</v>
      </c>
      <c r="K258" t="s">
        <v>16</v>
      </c>
    </row>
    <row r="259" spans="1:11">
      <c r="A259" s="3">
        <v>45462</v>
      </c>
      <c r="B259" t="s">
        <v>14089</v>
      </c>
      <c r="C259" t="s">
        <v>14052</v>
      </c>
      <c r="D259" t="s">
        <v>4220</v>
      </c>
      <c r="E259" t="s">
        <v>2110</v>
      </c>
      <c r="F259">
        <v>16</v>
      </c>
      <c r="G259" t="s">
        <v>2197</v>
      </c>
      <c r="H259" t="s">
        <v>14001</v>
      </c>
      <c r="I259" t="s">
        <v>14091</v>
      </c>
      <c r="J259" s="3">
        <v>46357</v>
      </c>
      <c r="K259" t="s">
        <v>16</v>
      </c>
    </row>
    <row r="260" spans="1:11">
      <c r="A260" s="3">
        <v>45462</v>
      </c>
      <c r="B260" t="s">
        <v>14140</v>
      </c>
      <c r="C260" t="s">
        <v>14141</v>
      </c>
      <c r="D260" t="s">
        <v>4228</v>
      </c>
      <c r="E260" t="s">
        <v>2117</v>
      </c>
      <c r="F260">
        <v>25</v>
      </c>
      <c r="G260" t="s">
        <v>2197</v>
      </c>
      <c r="H260" t="s">
        <v>14001</v>
      </c>
      <c r="I260" t="s">
        <v>14002</v>
      </c>
      <c r="J260" s="3">
        <v>45839</v>
      </c>
      <c r="K260" t="s">
        <v>16</v>
      </c>
    </row>
    <row r="261" spans="1:11">
      <c r="A261" s="3">
        <v>45465</v>
      </c>
      <c r="B261" t="s">
        <v>14369</v>
      </c>
      <c r="C261" t="s">
        <v>14370</v>
      </c>
      <c r="D261" t="s">
        <v>4228</v>
      </c>
      <c r="E261" t="s">
        <v>2117</v>
      </c>
      <c r="F261">
        <v>30</v>
      </c>
      <c r="G261" t="s">
        <v>2197</v>
      </c>
      <c r="H261" t="s">
        <v>14001</v>
      </c>
      <c r="I261">
        <v>0</v>
      </c>
      <c r="J261" s="3">
        <v>45839</v>
      </c>
      <c r="K261" t="s">
        <v>16</v>
      </c>
    </row>
    <row r="262" spans="1:11" hidden="1">
      <c r="A262" s="3">
        <v>45464</v>
      </c>
      <c r="B262" t="s">
        <v>14297</v>
      </c>
      <c r="C262" t="s">
        <v>14296</v>
      </c>
      <c r="D262" t="s">
        <v>3621</v>
      </c>
      <c r="E262" t="s">
        <v>1541</v>
      </c>
      <c r="F262">
        <v>30</v>
      </c>
      <c r="G262" t="s">
        <v>2203</v>
      </c>
      <c r="H262" t="s">
        <v>14001</v>
      </c>
      <c r="I262" t="s">
        <v>14298</v>
      </c>
      <c r="J262" s="3">
        <v>45607</v>
      </c>
      <c r="K262" t="s">
        <v>312</v>
      </c>
    </row>
    <row r="263" spans="1:11">
      <c r="A263" s="3">
        <v>45465</v>
      </c>
      <c r="B263" t="s">
        <v>14351</v>
      </c>
      <c r="C263" t="s">
        <v>14080</v>
      </c>
      <c r="D263" t="s">
        <v>4243</v>
      </c>
      <c r="E263" t="s">
        <v>2136</v>
      </c>
      <c r="F263">
        <v>5000</v>
      </c>
      <c r="G263" t="s">
        <v>2197</v>
      </c>
      <c r="H263" t="s">
        <v>14001</v>
      </c>
      <c r="I263" t="s">
        <v>2138</v>
      </c>
      <c r="J263" s="3">
        <v>46143</v>
      </c>
      <c r="K263" t="s">
        <v>16</v>
      </c>
    </row>
    <row r="264" spans="1:11">
      <c r="A264" s="3">
        <v>45464</v>
      </c>
      <c r="B264" t="s">
        <v>14220</v>
      </c>
      <c r="C264" t="s">
        <v>14221</v>
      </c>
      <c r="D264" t="s">
        <v>4247</v>
      </c>
      <c r="E264" t="s">
        <v>2148</v>
      </c>
      <c r="F264">
        <v>20</v>
      </c>
      <c r="G264" t="s">
        <v>2197</v>
      </c>
      <c r="H264" t="s">
        <v>14001</v>
      </c>
      <c r="I264" t="s">
        <v>2149</v>
      </c>
      <c r="J264" s="3">
        <v>46204</v>
      </c>
      <c r="K264" t="s">
        <v>16</v>
      </c>
    </row>
    <row r="265" spans="1:11">
      <c r="A265" s="3">
        <v>45464</v>
      </c>
      <c r="B265" t="s">
        <v>14242</v>
      </c>
      <c r="C265" t="s">
        <v>14037</v>
      </c>
      <c r="D265" t="s">
        <v>4247</v>
      </c>
      <c r="E265" t="s">
        <v>2148</v>
      </c>
      <c r="F265">
        <v>50</v>
      </c>
      <c r="G265" t="s">
        <v>2197</v>
      </c>
      <c r="H265" t="s">
        <v>14001</v>
      </c>
      <c r="I265" t="s">
        <v>2149</v>
      </c>
      <c r="J265" s="3">
        <v>46204</v>
      </c>
      <c r="K265" t="s">
        <v>16</v>
      </c>
    </row>
    <row r="266" spans="1:11">
      <c r="A266" s="3">
        <v>45462</v>
      </c>
      <c r="B266" t="s">
        <v>14134</v>
      </c>
      <c r="C266" t="s">
        <v>14135</v>
      </c>
      <c r="D266" t="s">
        <v>4259</v>
      </c>
      <c r="E266" t="s">
        <v>2159</v>
      </c>
      <c r="F266">
        <v>50</v>
      </c>
      <c r="G266" t="s">
        <v>2197</v>
      </c>
      <c r="H266" t="s">
        <v>14001</v>
      </c>
      <c r="I266" t="s">
        <v>14136</v>
      </c>
      <c r="J266" s="3">
        <v>46997</v>
      </c>
      <c r="K266" t="s">
        <v>16</v>
      </c>
    </row>
    <row r="267" spans="1:11">
      <c r="A267" s="3">
        <v>45464</v>
      </c>
      <c r="B267" t="s">
        <v>14264</v>
      </c>
      <c r="C267" t="s">
        <v>14265</v>
      </c>
      <c r="D267" t="s">
        <v>4260</v>
      </c>
      <c r="E267" t="s">
        <v>2160</v>
      </c>
      <c r="F267">
        <v>20</v>
      </c>
      <c r="G267" t="s">
        <v>2203</v>
      </c>
      <c r="H267" t="s">
        <v>14001</v>
      </c>
      <c r="I267">
        <v>10193101</v>
      </c>
      <c r="J267" s="3">
        <v>46143</v>
      </c>
      <c r="K267" t="s">
        <v>16</v>
      </c>
    </row>
    <row r="268" spans="1:11">
      <c r="A268" s="3">
        <v>45465</v>
      </c>
      <c r="B268" t="s">
        <v>14333</v>
      </c>
      <c r="C268" t="s">
        <v>14331</v>
      </c>
      <c r="D268" t="s">
        <v>4262</v>
      </c>
      <c r="E268" t="s">
        <v>2161</v>
      </c>
      <c r="F268">
        <v>60</v>
      </c>
      <c r="G268" t="s">
        <v>2203</v>
      </c>
      <c r="H268" t="s">
        <v>14001</v>
      </c>
      <c r="I268" t="s">
        <v>14334</v>
      </c>
      <c r="J268" s="3">
        <v>46388</v>
      </c>
      <c r="K268" t="s">
        <v>16</v>
      </c>
    </row>
    <row r="269" spans="1:11">
      <c r="A269" s="3">
        <v>45463</v>
      </c>
      <c r="B269" t="s">
        <v>14170</v>
      </c>
      <c r="C269" t="s">
        <v>14171</v>
      </c>
      <c r="D269" t="s">
        <v>2407</v>
      </c>
      <c r="E269" t="s">
        <v>256</v>
      </c>
      <c r="F269">
        <v>15</v>
      </c>
      <c r="G269" t="s">
        <v>2197</v>
      </c>
      <c r="H269" t="s">
        <v>14001</v>
      </c>
      <c r="I269">
        <v>511020324</v>
      </c>
      <c r="J269" s="3">
        <v>47239</v>
      </c>
      <c r="K269" t="s">
        <v>151</v>
      </c>
    </row>
    <row r="270" spans="1:11">
      <c r="A270" s="3">
        <v>45464</v>
      </c>
      <c r="B270" t="s">
        <v>14254</v>
      </c>
      <c r="C270" t="s">
        <v>14255</v>
      </c>
      <c r="D270" t="s">
        <v>2407</v>
      </c>
      <c r="E270" t="s">
        <v>256</v>
      </c>
      <c r="F270">
        <v>75</v>
      </c>
      <c r="G270" t="s">
        <v>2197</v>
      </c>
      <c r="H270" t="s">
        <v>14001</v>
      </c>
      <c r="I270" t="s">
        <v>14257</v>
      </c>
      <c r="J270" s="3">
        <v>47239</v>
      </c>
      <c r="K270" t="s">
        <v>151</v>
      </c>
    </row>
    <row r="271" spans="1:11">
      <c r="A271" s="3">
        <v>45465</v>
      </c>
      <c r="B271" t="s">
        <v>14339</v>
      </c>
      <c r="C271" t="s">
        <v>14336</v>
      </c>
      <c r="D271" t="s">
        <v>2626</v>
      </c>
      <c r="E271" t="s">
        <v>465</v>
      </c>
      <c r="F271">
        <v>20</v>
      </c>
      <c r="G271" t="s">
        <v>2203</v>
      </c>
      <c r="H271" t="s">
        <v>14001</v>
      </c>
      <c r="I271" t="s">
        <v>14002</v>
      </c>
      <c r="J271" s="3">
        <v>47239</v>
      </c>
      <c r="K271" t="s">
        <v>151</v>
      </c>
    </row>
    <row r="272" spans="1:11">
      <c r="A272" s="3">
        <v>45463</v>
      </c>
      <c r="B272" t="s">
        <v>14179</v>
      </c>
      <c r="C272" t="s">
        <v>14180</v>
      </c>
      <c r="D272" t="s">
        <v>2737</v>
      </c>
      <c r="E272" t="s">
        <v>590</v>
      </c>
      <c r="F272">
        <v>150</v>
      </c>
      <c r="G272" t="s">
        <v>2197</v>
      </c>
      <c r="H272" t="s">
        <v>14001</v>
      </c>
      <c r="I272" t="s">
        <v>14002</v>
      </c>
      <c r="J272" s="3">
        <v>47239</v>
      </c>
      <c r="K272" t="s">
        <v>151</v>
      </c>
    </row>
    <row r="273" spans="1:11">
      <c r="A273" s="3">
        <v>45458</v>
      </c>
      <c r="B273" t="s">
        <v>14040</v>
      </c>
      <c r="C273" t="s">
        <v>14041</v>
      </c>
      <c r="D273" t="s">
        <v>2771</v>
      </c>
      <c r="E273" t="s">
        <v>616</v>
      </c>
      <c r="F273">
        <v>150</v>
      </c>
      <c r="G273" t="s">
        <v>2197</v>
      </c>
      <c r="H273" t="s">
        <v>14001</v>
      </c>
      <c r="I273" t="s">
        <v>14042</v>
      </c>
      <c r="J273" s="3">
        <v>46113</v>
      </c>
      <c r="K273" t="s">
        <v>151</v>
      </c>
    </row>
    <row r="274" spans="1:11">
      <c r="A274" s="3">
        <v>45463</v>
      </c>
      <c r="B274" t="s">
        <v>14156</v>
      </c>
      <c r="C274" t="s">
        <v>14093</v>
      </c>
      <c r="D274" t="s">
        <v>2771</v>
      </c>
      <c r="E274" t="s">
        <v>616</v>
      </c>
      <c r="F274">
        <v>330</v>
      </c>
      <c r="G274" t="s">
        <v>2197</v>
      </c>
      <c r="H274" t="s">
        <v>14001</v>
      </c>
      <c r="I274">
        <v>210.42400000000001</v>
      </c>
      <c r="J274" s="3">
        <v>46113</v>
      </c>
      <c r="K274" t="s">
        <v>151</v>
      </c>
    </row>
    <row r="275" spans="1:11">
      <c r="A275" s="3">
        <v>45463</v>
      </c>
      <c r="B275" t="s">
        <v>14156</v>
      </c>
      <c r="C275" t="s">
        <v>14093</v>
      </c>
      <c r="D275" t="s">
        <v>2771</v>
      </c>
      <c r="E275" t="s">
        <v>616</v>
      </c>
      <c r="F275">
        <v>45</v>
      </c>
      <c r="G275" t="s">
        <v>2197</v>
      </c>
      <c r="H275" t="s">
        <v>14001</v>
      </c>
      <c r="I275">
        <v>190.32400000000001</v>
      </c>
      <c r="J275" s="3">
        <v>46082</v>
      </c>
      <c r="K275" t="s">
        <v>151</v>
      </c>
    </row>
    <row r="276" spans="1:11">
      <c r="A276" s="3">
        <v>45464</v>
      </c>
      <c r="B276" t="s">
        <v>14254</v>
      </c>
      <c r="C276" t="s">
        <v>14255</v>
      </c>
      <c r="D276" t="s">
        <v>2771</v>
      </c>
      <c r="E276" t="s">
        <v>616</v>
      </c>
      <c r="F276">
        <v>150</v>
      </c>
      <c r="G276" t="s">
        <v>2197</v>
      </c>
      <c r="H276" t="s">
        <v>14001</v>
      </c>
      <c r="I276" t="s">
        <v>14256</v>
      </c>
      <c r="J276" s="3">
        <v>46113</v>
      </c>
      <c r="K276" t="s">
        <v>151</v>
      </c>
    </row>
    <row r="277" spans="1:11">
      <c r="A277" s="3">
        <v>45464</v>
      </c>
      <c r="B277" t="s">
        <v>14249</v>
      </c>
      <c r="C277" t="s">
        <v>14250</v>
      </c>
      <c r="D277" t="s">
        <v>2772</v>
      </c>
      <c r="E277" t="s">
        <v>617</v>
      </c>
      <c r="F277">
        <v>30</v>
      </c>
      <c r="G277" t="s">
        <v>2197</v>
      </c>
      <c r="H277" t="s">
        <v>14001</v>
      </c>
      <c r="I277">
        <v>290.32400000000001</v>
      </c>
      <c r="J277" s="3">
        <v>46082</v>
      </c>
      <c r="K277" t="s">
        <v>151</v>
      </c>
    </row>
    <row r="278" spans="1:11">
      <c r="A278" s="3">
        <v>45464</v>
      </c>
      <c r="B278" t="s">
        <v>14220</v>
      </c>
      <c r="C278" t="s">
        <v>14221</v>
      </c>
      <c r="D278" t="s">
        <v>2865</v>
      </c>
      <c r="E278" t="s">
        <v>695</v>
      </c>
      <c r="F278">
        <v>144</v>
      </c>
      <c r="G278" t="s">
        <v>2203</v>
      </c>
      <c r="H278" t="s">
        <v>14001</v>
      </c>
      <c r="I278" t="s">
        <v>701</v>
      </c>
      <c r="J278" s="3">
        <v>46296</v>
      </c>
      <c r="K278" t="s">
        <v>151</v>
      </c>
    </row>
    <row r="279" spans="1:11">
      <c r="A279" s="3">
        <v>45462</v>
      </c>
      <c r="B279" t="s">
        <v>14096</v>
      </c>
      <c r="C279" t="s">
        <v>14097</v>
      </c>
      <c r="D279" t="s">
        <v>2868</v>
      </c>
      <c r="E279" t="s">
        <v>705</v>
      </c>
      <c r="F279">
        <v>120</v>
      </c>
      <c r="G279" t="s">
        <v>2203</v>
      </c>
      <c r="H279" t="s">
        <v>14001</v>
      </c>
      <c r="I279" t="s">
        <v>14098</v>
      </c>
      <c r="J279" s="3">
        <v>46478</v>
      </c>
      <c r="K279" t="s">
        <v>151</v>
      </c>
    </row>
    <row r="280" spans="1:11">
      <c r="A280" s="3">
        <v>45463</v>
      </c>
      <c r="B280" t="s">
        <v>14151</v>
      </c>
      <c r="C280" t="s">
        <v>14152</v>
      </c>
      <c r="D280" t="s">
        <v>2868</v>
      </c>
      <c r="E280" t="s">
        <v>705</v>
      </c>
      <c r="F280">
        <v>48</v>
      </c>
      <c r="G280" t="s">
        <v>2203</v>
      </c>
      <c r="H280" t="s">
        <v>14001</v>
      </c>
      <c r="I280" t="s">
        <v>14154</v>
      </c>
      <c r="J280" s="3">
        <v>46478</v>
      </c>
      <c r="K280" t="s">
        <v>151</v>
      </c>
    </row>
    <row r="281" spans="1:11">
      <c r="A281" s="3">
        <v>45464</v>
      </c>
      <c r="B281" t="s">
        <v>14220</v>
      </c>
      <c r="C281" t="s">
        <v>14221</v>
      </c>
      <c r="D281" t="s">
        <v>2868</v>
      </c>
      <c r="E281" t="s">
        <v>705</v>
      </c>
      <c r="F281">
        <v>24</v>
      </c>
      <c r="G281" t="s">
        <v>2203</v>
      </c>
      <c r="H281" t="s">
        <v>14001</v>
      </c>
      <c r="I281" t="s">
        <v>708</v>
      </c>
      <c r="J281" s="3">
        <v>46478</v>
      </c>
      <c r="K281" t="s">
        <v>151</v>
      </c>
    </row>
    <row r="282" spans="1:11">
      <c r="A282" s="3">
        <v>45464</v>
      </c>
      <c r="B282" t="s">
        <v>14225</v>
      </c>
      <c r="C282" t="s">
        <v>14226</v>
      </c>
      <c r="D282" t="s">
        <v>2868</v>
      </c>
      <c r="E282" t="s">
        <v>705</v>
      </c>
      <c r="F282">
        <v>24</v>
      </c>
      <c r="G282" t="s">
        <v>2203</v>
      </c>
      <c r="H282" t="s">
        <v>14001</v>
      </c>
      <c r="I282" t="s">
        <v>708</v>
      </c>
      <c r="J282" s="3">
        <v>46478</v>
      </c>
      <c r="K282" t="s">
        <v>151</v>
      </c>
    </row>
    <row r="283" spans="1:11">
      <c r="A283" s="3">
        <v>45465</v>
      </c>
      <c r="B283" t="s">
        <v>14330</v>
      </c>
      <c r="C283" t="s">
        <v>14331</v>
      </c>
      <c r="D283" t="s">
        <v>2868</v>
      </c>
      <c r="E283" t="s">
        <v>705</v>
      </c>
      <c r="F283">
        <v>120</v>
      </c>
      <c r="G283" t="s">
        <v>2203</v>
      </c>
      <c r="H283" t="s">
        <v>14001</v>
      </c>
      <c r="I283" t="s">
        <v>708</v>
      </c>
      <c r="J283" s="3">
        <v>46478</v>
      </c>
      <c r="K283" t="s">
        <v>151</v>
      </c>
    </row>
    <row r="284" spans="1:11">
      <c r="A284" s="3">
        <v>45462</v>
      </c>
      <c r="B284" t="s">
        <v>14109</v>
      </c>
      <c r="C284" t="s">
        <v>14102</v>
      </c>
      <c r="D284" t="s">
        <v>2869</v>
      </c>
      <c r="E284" t="s">
        <v>709</v>
      </c>
      <c r="F284">
        <v>720</v>
      </c>
      <c r="G284" t="s">
        <v>2203</v>
      </c>
      <c r="H284" t="s">
        <v>14001</v>
      </c>
      <c r="I284" t="s">
        <v>722</v>
      </c>
      <c r="J284" s="3">
        <v>46113</v>
      </c>
      <c r="K284" t="s">
        <v>151</v>
      </c>
    </row>
    <row r="285" spans="1:11">
      <c r="A285" s="3">
        <v>45464</v>
      </c>
      <c r="B285" t="s">
        <v>14225</v>
      </c>
      <c r="C285" t="s">
        <v>14226</v>
      </c>
      <c r="D285" t="s">
        <v>2869</v>
      </c>
      <c r="E285" t="s">
        <v>709</v>
      </c>
      <c r="F285">
        <v>144</v>
      </c>
      <c r="G285" t="s">
        <v>2203</v>
      </c>
      <c r="H285" t="s">
        <v>14001</v>
      </c>
      <c r="I285" t="s">
        <v>722</v>
      </c>
      <c r="J285" s="3">
        <v>46113</v>
      </c>
      <c r="K285" t="s">
        <v>151</v>
      </c>
    </row>
    <row r="286" spans="1:11">
      <c r="A286" s="3">
        <v>45465</v>
      </c>
      <c r="B286" t="s">
        <v>14335</v>
      </c>
      <c r="C286" t="s">
        <v>14336</v>
      </c>
      <c r="D286" t="s">
        <v>2869</v>
      </c>
      <c r="E286" t="s">
        <v>709</v>
      </c>
      <c r="F286">
        <v>432</v>
      </c>
      <c r="G286" t="s">
        <v>2203</v>
      </c>
      <c r="H286" t="s">
        <v>14001</v>
      </c>
      <c r="I286" t="s">
        <v>722</v>
      </c>
      <c r="J286" s="3">
        <v>46113</v>
      </c>
      <c r="K286" t="s">
        <v>151</v>
      </c>
    </row>
    <row r="287" spans="1:11">
      <c r="A287" s="3">
        <v>45465</v>
      </c>
      <c r="B287" t="s">
        <v>14340</v>
      </c>
      <c r="C287" t="s">
        <v>14247</v>
      </c>
      <c r="D287" t="s">
        <v>2869</v>
      </c>
      <c r="E287" t="s">
        <v>709</v>
      </c>
      <c r="F287">
        <v>720</v>
      </c>
      <c r="G287" t="s">
        <v>2203</v>
      </c>
      <c r="H287" t="s">
        <v>14001</v>
      </c>
      <c r="I287" t="s">
        <v>722</v>
      </c>
      <c r="J287" s="3">
        <v>46113</v>
      </c>
      <c r="K287" t="s">
        <v>151</v>
      </c>
    </row>
    <row r="288" spans="1:11">
      <c r="A288" s="3">
        <v>45465</v>
      </c>
      <c r="B288" t="s">
        <v>14342</v>
      </c>
      <c r="C288" t="s">
        <v>14343</v>
      </c>
      <c r="D288" t="s">
        <v>2869</v>
      </c>
      <c r="E288" t="s">
        <v>709</v>
      </c>
      <c r="F288">
        <v>144</v>
      </c>
      <c r="G288" t="s">
        <v>2203</v>
      </c>
      <c r="H288" t="s">
        <v>14001</v>
      </c>
      <c r="I288" t="s">
        <v>722</v>
      </c>
      <c r="J288" s="3">
        <v>46113</v>
      </c>
      <c r="K288" t="s">
        <v>151</v>
      </c>
    </row>
    <row r="289" spans="1:11">
      <c r="A289" s="3">
        <v>45458</v>
      </c>
      <c r="B289" t="s">
        <v>14036</v>
      </c>
      <c r="C289" t="s">
        <v>14037</v>
      </c>
      <c r="D289" t="s">
        <v>2871</v>
      </c>
      <c r="E289" t="s">
        <v>726</v>
      </c>
      <c r="F289">
        <v>120</v>
      </c>
      <c r="G289" t="s">
        <v>2203</v>
      </c>
      <c r="H289" t="s">
        <v>14001</v>
      </c>
      <c r="I289" t="s">
        <v>727</v>
      </c>
      <c r="J289" s="3">
        <v>46419</v>
      </c>
      <c r="K289" t="s">
        <v>151</v>
      </c>
    </row>
    <row r="290" spans="1:11">
      <c r="A290" s="3">
        <v>45463</v>
      </c>
      <c r="B290" t="s">
        <v>14151</v>
      </c>
      <c r="C290" t="s">
        <v>14152</v>
      </c>
      <c r="D290" t="s">
        <v>2871</v>
      </c>
      <c r="E290" t="s">
        <v>726</v>
      </c>
      <c r="F290">
        <v>48</v>
      </c>
      <c r="G290" t="s">
        <v>2203</v>
      </c>
      <c r="H290" t="s">
        <v>14001</v>
      </c>
      <c r="I290" t="s">
        <v>727</v>
      </c>
      <c r="J290" s="3">
        <v>46419</v>
      </c>
      <c r="K290" t="s">
        <v>151</v>
      </c>
    </row>
    <row r="291" spans="1:11">
      <c r="A291" s="3">
        <v>45464</v>
      </c>
      <c r="B291" t="s">
        <v>14220</v>
      </c>
      <c r="C291" t="s">
        <v>14221</v>
      </c>
      <c r="D291" t="s">
        <v>2871</v>
      </c>
      <c r="E291" t="s">
        <v>726</v>
      </c>
      <c r="F291">
        <v>24</v>
      </c>
      <c r="G291" t="s">
        <v>2203</v>
      </c>
      <c r="H291" t="s">
        <v>14001</v>
      </c>
      <c r="I291" t="s">
        <v>728</v>
      </c>
      <c r="J291" s="3">
        <v>46508</v>
      </c>
      <c r="K291" t="s">
        <v>151</v>
      </c>
    </row>
    <row r="292" spans="1:11">
      <c r="A292" s="3">
        <v>45464</v>
      </c>
      <c r="B292" t="s">
        <v>14225</v>
      </c>
      <c r="C292" t="s">
        <v>14226</v>
      </c>
      <c r="D292" t="s">
        <v>2871</v>
      </c>
      <c r="E292" t="s">
        <v>726</v>
      </c>
      <c r="F292">
        <v>24</v>
      </c>
      <c r="G292" t="s">
        <v>2203</v>
      </c>
      <c r="H292" t="s">
        <v>14001</v>
      </c>
      <c r="I292" t="s">
        <v>728</v>
      </c>
      <c r="J292" s="3">
        <v>46508</v>
      </c>
      <c r="K292" t="s">
        <v>151</v>
      </c>
    </row>
    <row r="293" spans="1:11">
      <c r="A293" s="3">
        <v>45465</v>
      </c>
      <c r="B293" t="s">
        <v>14330</v>
      </c>
      <c r="C293" t="s">
        <v>14331</v>
      </c>
      <c r="D293" t="s">
        <v>2871</v>
      </c>
      <c r="E293" t="s">
        <v>726</v>
      </c>
      <c r="F293">
        <v>240</v>
      </c>
      <c r="G293" t="s">
        <v>2203</v>
      </c>
      <c r="H293" t="s">
        <v>14001</v>
      </c>
      <c r="I293" t="s">
        <v>728</v>
      </c>
      <c r="J293" s="3">
        <v>46508</v>
      </c>
      <c r="K293" t="s">
        <v>151</v>
      </c>
    </row>
    <row r="294" spans="1:11">
      <c r="A294" s="3">
        <v>45465</v>
      </c>
      <c r="B294" t="s">
        <v>14340</v>
      </c>
      <c r="C294" t="s">
        <v>14247</v>
      </c>
      <c r="D294" t="s">
        <v>2871</v>
      </c>
      <c r="E294" t="s">
        <v>726</v>
      </c>
      <c r="F294">
        <v>120</v>
      </c>
      <c r="G294" t="s">
        <v>2203</v>
      </c>
      <c r="H294" t="s">
        <v>14001</v>
      </c>
      <c r="I294" t="s">
        <v>728</v>
      </c>
      <c r="J294" s="3">
        <v>46508</v>
      </c>
      <c r="K294" t="s">
        <v>151</v>
      </c>
    </row>
    <row r="295" spans="1:11">
      <c r="A295" s="3">
        <v>45465</v>
      </c>
      <c r="B295" t="s">
        <v>14342</v>
      </c>
      <c r="C295" t="s">
        <v>14343</v>
      </c>
      <c r="D295" t="s">
        <v>2871</v>
      </c>
      <c r="E295" t="s">
        <v>726</v>
      </c>
      <c r="F295">
        <v>240</v>
      </c>
      <c r="G295" t="s">
        <v>2203</v>
      </c>
      <c r="H295" t="s">
        <v>14001</v>
      </c>
      <c r="I295" t="s">
        <v>728</v>
      </c>
      <c r="J295" s="3">
        <v>46508</v>
      </c>
      <c r="K295" t="s">
        <v>151</v>
      </c>
    </row>
    <row r="296" spans="1:11">
      <c r="A296" s="3">
        <v>45463</v>
      </c>
      <c r="B296" t="s">
        <v>14157</v>
      </c>
      <c r="C296" t="s">
        <v>14158</v>
      </c>
      <c r="D296" t="s">
        <v>2899</v>
      </c>
      <c r="E296" t="s">
        <v>749</v>
      </c>
      <c r="F296">
        <v>20</v>
      </c>
      <c r="G296" t="s">
        <v>2197</v>
      </c>
      <c r="H296" t="s">
        <v>14001</v>
      </c>
      <c r="I296" t="s">
        <v>14159</v>
      </c>
      <c r="J296" s="3">
        <v>46388</v>
      </c>
      <c r="K296" t="s">
        <v>151</v>
      </c>
    </row>
    <row r="297" spans="1:11">
      <c r="A297" s="3">
        <v>45463</v>
      </c>
      <c r="B297" t="s">
        <v>14179</v>
      </c>
      <c r="C297" t="s">
        <v>14180</v>
      </c>
      <c r="D297" t="s">
        <v>2962</v>
      </c>
      <c r="E297" t="s">
        <v>796</v>
      </c>
      <c r="F297">
        <v>200</v>
      </c>
      <c r="G297" t="s">
        <v>2203</v>
      </c>
      <c r="H297" t="s">
        <v>14001</v>
      </c>
      <c r="I297" t="s">
        <v>14002</v>
      </c>
      <c r="J297" s="3">
        <v>47239</v>
      </c>
      <c r="K297" t="s">
        <v>151</v>
      </c>
    </row>
    <row r="298" spans="1:11">
      <c r="A298" s="3">
        <v>45464</v>
      </c>
      <c r="B298" t="s">
        <v>14248</v>
      </c>
      <c r="C298" t="s">
        <v>14226</v>
      </c>
      <c r="D298" t="s">
        <v>3220</v>
      </c>
      <c r="E298" t="s">
        <v>1187</v>
      </c>
      <c r="F298">
        <v>15</v>
      </c>
      <c r="G298" t="s">
        <v>2203</v>
      </c>
      <c r="H298" t="s">
        <v>14001</v>
      </c>
      <c r="I298">
        <v>0</v>
      </c>
      <c r="J298" s="3">
        <v>46508</v>
      </c>
      <c r="K298" t="s">
        <v>151</v>
      </c>
    </row>
    <row r="299" spans="1:11">
      <c r="A299" s="3">
        <v>45464</v>
      </c>
      <c r="B299" t="s">
        <v>14288</v>
      </c>
      <c r="C299" t="s">
        <v>14282</v>
      </c>
      <c r="D299" t="s">
        <v>3220</v>
      </c>
      <c r="E299" t="s">
        <v>1187</v>
      </c>
      <c r="F299">
        <v>1</v>
      </c>
      <c r="G299" t="s">
        <v>2203</v>
      </c>
      <c r="H299" t="s">
        <v>14001</v>
      </c>
      <c r="I299">
        <v>0</v>
      </c>
      <c r="J299" s="3">
        <v>46508</v>
      </c>
      <c r="K299" t="s">
        <v>151</v>
      </c>
    </row>
    <row r="300" spans="1:11" hidden="1">
      <c r="A300" s="3">
        <v>45464</v>
      </c>
      <c r="B300" t="s">
        <v>14285</v>
      </c>
      <c r="C300" t="s">
        <v>14286</v>
      </c>
      <c r="D300" t="s">
        <v>8276</v>
      </c>
      <c r="E300" t="s">
        <v>8277</v>
      </c>
      <c r="F300">
        <v>20</v>
      </c>
      <c r="G300" t="s">
        <v>2994</v>
      </c>
      <c r="H300" t="s">
        <v>14001</v>
      </c>
      <c r="I300" t="s">
        <v>14287</v>
      </c>
      <c r="J300" s="3">
        <v>46447</v>
      </c>
      <c r="K300" t="e">
        <v>#N/A</v>
      </c>
    </row>
    <row r="301" spans="1:11">
      <c r="A301" s="3">
        <v>45464</v>
      </c>
      <c r="B301" t="s">
        <v>14288</v>
      </c>
      <c r="C301" t="s">
        <v>14282</v>
      </c>
      <c r="D301" t="s">
        <v>3220</v>
      </c>
      <c r="E301" t="s">
        <v>1187</v>
      </c>
      <c r="F301">
        <v>74</v>
      </c>
      <c r="G301" t="s">
        <v>2203</v>
      </c>
      <c r="H301" t="s">
        <v>14001</v>
      </c>
      <c r="I301">
        <v>0</v>
      </c>
      <c r="J301" s="3">
        <v>46508</v>
      </c>
      <c r="K301" t="s">
        <v>151</v>
      </c>
    </row>
    <row r="302" spans="1:11">
      <c r="A302" s="3">
        <v>45465</v>
      </c>
      <c r="B302" t="s">
        <v>14352</v>
      </c>
      <c r="C302" t="s">
        <v>14353</v>
      </c>
      <c r="D302" t="s">
        <v>3220</v>
      </c>
      <c r="E302" t="s">
        <v>1187</v>
      </c>
      <c r="F302">
        <v>75</v>
      </c>
      <c r="G302" t="s">
        <v>2203</v>
      </c>
      <c r="H302" t="s">
        <v>14001</v>
      </c>
      <c r="I302" t="s">
        <v>14002</v>
      </c>
      <c r="J302" s="3">
        <v>46508</v>
      </c>
      <c r="K302" t="s">
        <v>151</v>
      </c>
    </row>
    <row r="303" spans="1:11">
      <c r="A303" s="3">
        <v>45465</v>
      </c>
      <c r="B303" t="s">
        <v>14358</v>
      </c>
      <c r="C303" t="s">
        <v>14359</v>
      </c>
      <c r="D303" t="s">
        <v>3220</v>
      </c>
      <c r="E303" t="s">
        <v>1187</v>
      </c>
      <c r="F303">
        <v>450</v>
      </c>
      <c r="G303" t="s">
        <v>2203</v>
      </c>
      <c r="H303" t="s">
        <v>14001</v>
      </c>
      <c r="I303" t="s">
        <v>14002</v>
      </c>
      <c r="J303" s="3">
        <v>46508</v>
      </c>
      <c r="K303" t="s">
        <v>151</v>
      </c>
    </row>
    <row r="304" spans="1:11">
      <c r="A304" s="3">
        <v>45464</v>
      </c>
      <c r="B304" t="s">
        <v>14208</v>
      </c>
      <c r="C304" t="s">
        <v>14209</v>
      </c>
      <c r="D304" t="s">
        <v>3222</v>
      </c>
      <c r="E304" t="s">
        <v>1188</v>
      </c>
      <c r="F304">
        <v>75</v>
      </c>
      <c r="G304" t="s">
        <v>2203</v>
      </c>
      <c r="H304" t="s">
        <v>14001</v>
      </c>
      <c r="I304" t="s">
        <v>14002</v>
      </c>
      <c r="J304" s="3">
        <v>46388</v>
      </c>
      <c r="K304" t="s">
        <v>151</v>
      </c>
    </row>
    <row r="305" spans="1:11">
      <c r="A305" s="3">
        <v>45464</v>
      </c>
      <c r="B305" t="s">
        <v>14225</v>
      </c>
      <c r="C305" t="s">
        <v>14226</v>
      </c>
      <c r="D305" t="s">
        <v>3222</v>
      </c>
      <c r="E305" t="s">
        <v>1188</v>
      </c>
      <c r="F305">
        <v>30</v>
      </c>
      <c r="G305" t="s">
        <v>2203</v>
      </c>
      <c r="H305" t="s">
        <v>14001</v>
      </c>
      <c r="I305" t="s">
        <v>14002</v>
      </c>
      <c r="J305" s="3">
        <v>46388</v>
      </c>
      <c r="K305" t="s">
        <v>151</v>
      </c>
    </row>
    <row r="306" spans="1:11">
      <c r="A306" s="3">
        <v>45464</v>
      </c>
      <c r="B306" t="s">
        <v>14281</v>
      </c>
      <c r="C306" t="s">
        <v>14282</v>
      </c>
      <c r="D306" t="s">
        <v>3222</v>
      </c>
      <c r="E306" t="s">
        <v>1188</v>
      </c>
      <c r="F306">
        <v>15</v>
      </c>
      <c r="G306" t="s">
        <v>2203</v>
      </c>
      <c r="H306" t="s">
        <v>14001</v>
      </c>
      <c r="I306" t="s">
        <v>14002</v>
      </c>
      <c r="J306" s="3">
        <v>46388</v>
      </c>
      <c r="K306" t="s">
        <v>151</v>
      </c>
    </row>
    <row r="307" spans="1:11">
      <c r="A307" s="3">
        <v>45463</v>
      </c>
      <c r="B307" t="s">
        <v>14157</v>
      </c>
      <c r="C307" t="s">
        <v>14158</v>
      </c>
      <c r="D307" t="s">
        <v>3317</v>
      </c>
      <c r="E307" t="s">
        <v>1263</v>
      </c>
      <c r="F307">
        <v>20</v>
      </c>
      <c r="G307" t="s">
        <v>2197</v>
      </c>
      <c r="H307" t="s">
        <v>14001</v>
      </c>
      <c r="I307" t="s">
        <v>1265</v>
      </c>
      <c r="J307" s="3">
        <v>47027</v>
      </c>
      <c r="K307" t="s">
        <v>151</v>
      </c>
    </row>
    <row r="308" spans="1:11">
      <c r="A308" s="3">
        <v>45463</v>
      </c>
      <c r="B308" t="s">
        <v>14184</v>
      </c>
      <c r="C308" t="s">
        <v>14185</v>
      </c>
      <c r="D308" t="s">
        <v>3319</v>
      </c>
      <c r="E308" t="s">
        <v>1267</v>
      </c>
      <c r="F308">
        <v>20</v>
      </c>
      <c r="G308" t="s">
        <v>2197</v>
      </c>
      <c r="H308" t="s">
        <v>14001</v>
      </c>
      <c r="I308" t="s">
        <v>1269</v>
      </c>
      <c r="J308" s="3">
        <v>46753</v>
      </c>
      <c r="K308" t="s">
        <v>151</v>
      </c>
    </row>
    <row r="309" spans="1:11">
      <c r="A309" s="3">
        <v>45463</v>
      </c>
      <c r="B309" t="s">
        <v>14144</v>
      </c>
      <c r="C309" t="s">
        <v>14145</v>
      </c>
      <c r="D309" t="s">
        <v>3325</v>
      </c>
      <c r="E309" t="s">
        <v>1274</v>
      </c>
      <c r="F309">
        <v>220</v>
      </c>
      <c r="G309" t="s">
        <v>2203</v>
      </c>
      <c r="H309" t="s">
        <v>14001</v>
      </c>
      <c r="I309" t="s">
        <v>14002</v>
      </c>
      <c r="J309" s="3">
        <v>47239</v>
      </c>
      <c r="K309" t="s">
        <v>151</v>
      </c>
    </row>
    <row r="310" spans="1:11">
      <c r="A310" s="3">
        <v>45463</v>
      </c>
      <c r="B310" t="s">
        <v>14179</v>
      </c>
      <c r="C310" t="s">
        <v>14180</v>
      </c>
      <c r="D310" t="s">
        <v>3325</v>
      </c>
      <c r="E310" t="s">
        <v>1274</v>
      </c>
      <c r="F310">
        <v>40</v>
      </c>
      <c r="G310" t="s">
        <v>2203</v>
      </c>
      <c r="H310" t="s">
        <v>14001</v>
      </c>
      <c r="I310" t="s">
        <v>14002</v>
      </c>
      <c r="J310" s="3">
        <v>47239</v>
      </c>
      <c r="K310" t="s">
        <v>151</v>
      </c>
    </row>
    <row r="311" spans="1:11">
      <c r="A311" s="3">
        <v>45461</v>
      </c>
      <c r="B311" t="s">
        <v>14051</v>
      </c>
      <c r="C311" t="s">
        <v>14052</v>
      </c>
      <c r="D311" t="s">
        <v>3395</v>
      </c>
      <c r="E311" t="s">
        <v>1341</v>
      </c>
      <c r="F311">
        <v>10</v>
      </c>
      <c r="G311" t="s">
        <v>2203</v>
      </c>
      <c r="H311" t="s">
        <v>14001</v>
      </c>
      <c r="I311" t="s">
        <v>14002</v>
      </c>
      <c r="J311" s="3">
        <v>46478</v>
      </c>
      <c r="K311" t="s">
        <v>151</v>
      </c>
    </row>
    <row r="312" spans="1:11">
      <c r="A312" s="3">
        <v>45464</v>
      </c>
      <c r="B312" t="s">
        <v>14259</v>
      </c>
      <c r="C312" t="s">
        <v>14255</v>
      </c>
      <c r="D312" t="s">
        <v>3395</v>
      </c>
      <c r="E312" t="s">
        <v>1341</v>
      </c>
      <c r="F312">
        <v>300</v>
      </c>
      <c r="G312" t="s">
        <v>2203</v>
      </c>
      <c r="H312" t="s">
        <v>14001</v>
      </c>
      <c r="I312">
        <v>0</v>
      </c>
      <c r="J312" s="3">
        <v>46508</v>
      </c>
      <c r="K312" t="s">
        <v>151</v>
      </c>
    </row>
    <row r="313" spans="1:11">
      <c r="A313" s="3">
        <v>45464</v>
      </c>
      <c r="B313" t="s">
        <v>14281</v>
      </c>
      <c r="C313" t="s">
        <v>14282</v>
      </c>
      <c r="D313" t="s">
        <v>3395</v>
      </c>
      <c r="E313" t="s">
        <v>1341</v>
      </c>
      <c r="F313">
        <v>40</v>
      </c>
      <c r="G313" t="s">
        <v>2203</v>
      </c>
      <c r="H313" t="s">
        <v>14001</v>
      </c>
      <c r="I313" t="s">
        <v>14002</v>
      </c>
      <c r="J313" s="3">
        <v>46508</v>
      </c>
      <c r="K313" t="s">
        <v>151</v>
      </c>
    </row>
    <row r="314" spans="1:11">
      <c r="A314" s="3">
        <v>45465</v>
      </c>
      <c r="B314" t="s">
        <v>14369</v>
      </c>
      <c r="C314" t="s">
        <v>14370</v>
      </c>
      <c r="D314" t="s">
        <v>3395</v>
      </c>
      <c r="E314" t="s">
        <v>1341</v>
      </c>
      <c r="F314">
        <v>20</v>
      </c>
      <c r="G314" t="s">
        <v>2203</v>
      </c>
      <c r="H314" t="s">
        <v>14001</v>
      </c>
      <c r="I314">
        <v>0</v>
      </c>
      <c r="J314" s="3">
        <v>46508</v>
      </c>
      <c r="K314" t="s">
        <v>151</v>
      </c>
    </row>
    <row r="315" spans="1:11">
      <c r="A315" s="3">
        <v>45465</v>
      </c>
      <c r="B315" t="s">
        <v>14345</v>
      </c>
      <c r="C315" t="s">
        <v>14346</v>
      </c>
      <c r="D315" t="s">
        <v>3395</v>
      </c>
      <c r="E315" t="s">
        <v>1341</v>
      </c>
      <c r="F315">
        <v>400</v>
      </c>
      <c r="G315" t="s">
        <v>2203</v>
      </c>
      <c r="H315" t="s">
        <v>14001</v>
      </c>
      <c r="I315">
        <v>0</v>
      </c>
      <c r="J315" s="3">
        <v>46508</v>
      </c>
      <c r="K315" t="s">
        <v>151</v>
      </c>
    </row>
    <row r="316" spans="1:11">
      <c r="A316" s="3">
        <v>45464</v>
      </c>
      <c r="B316" t="s">
        <v>14323</v>
      </c>
      <c r="C316" t="s">
        <v>14324</v>
      </c>
      <c r="D316" t="s">
        <v>3558</v>
      </c>
      <c r="E316" t="s">
        <v>1474</v>
      </c>
      <c r="F316">
        <v>8</v>
      </c>
      <c r="G316" t="s">
        <v>2203</v>
      </c>
      <c r="H316" t="s">
        <v>14001</v>
      </c>
      <c r="I316" t="s">
        <v>14002</v>
      </c>
      <c r="J316" s="3">
        <v>45870</v>
      </c>
      <c r="K316" t="s">
        <v>151</v>
      </c>
    </row>
    <row r="317" spans="1:11">
      <c r="A317" s="3">
        <v>45464</v>
      </c>
      <c r="B317" t="s">
        <v>14323</v>
      </c>
      <c r="C317" t="s">
        <v>14324</v>
      </c>
      <c r="D317" t="s">
        <v>3564</v>
      </c>
      <c r="E317" t="s">
        <v>1478</v>
      </c>
      <c r="F317">
        <v>8</v>
      </c>
      <c r="G317" t="s">
        <v>2203</v>
      </c>
      <c r="H317" t="s">
        <v>14001</v>
      </c>
      <c r="I317" t="s">
        <v>14002</v>
      </c>
      <c r="J317" s="3">
        <v>46082</v>
      </c>
      <c r="K317" t="s">
        <v>151</v>
      </c>
    </row>
    <row r="318" spans="1:11">
      <c r="A318" s="3">
        <v>45464</v>
      </c>
      <c r="B318" t="s">
        <v>14260</v>
      </c>
      <c r="C318" t="s">
        <v>14221</v>
      </c>
      <c r="D318" t="s">
        <v>3828</v>
      </c>
      <c r="E318" t="s">
        <v>1731</v>
      </c>
      <c r="F318">
        <v>20</v>
      </c>
      <c r="G318" t="s">
        <v>2203</v>
      </c>
      <c r="H318" t="s">
        <v>14001</v>
      </c>
      <c r="I318" t="s">
        <v>14261</v>
      </c>
      <c r="J318" s="3">
        <v>46478</v>
      </c>
      <c r="K318" t="s">
        <v>151</v>
      </c>
    </row>
    <row r="319" spans="1:11">
      <c r="A319" s="3">
        <v>45464</v>
      </c>
      <c r="B319" t="s">
        <v>14321</v>
      </c>
      <c r="C319" t="s">
        <v>14322</v>
      </c>
      <c r="D319" t="s">
        <v>3968</v>
      </c>
      <c r="E319" t="s">
        <v>1900</v>
      </c>
      <c r="F319">
        <v>20</v>
      </c>
      <c r="G319" t="s">
        <v>3969</v>
      </c>
      <c r="H319" t="s">
        <v>14001</v>
      </c>
      <c r="I319" t="s">
        <v>14002</v>
      </c>
      <c r="J319" s="3">
        <v>46204</v>
      </c>
      <c r="K319" t="s">
        <v>151</v>
      </c>
    </row>
    <row r="320" spans="1:11" hidden="1">
      <c r="A320" s="3">
        <v>45465</v>
      </c>
      <c r="B320" t="s">
        <v>14361</v>
      </c>
      <c r="C320" t="s">
        <v>14183</v>
      </c>
      <c r="D320" t="s">
        <v>3032</v>
      </c>
      <c r="E320" t="s">
        <v>988</v>
      </c>
      <c r="F320">
        <v>10</v>
      </c>
      <c r="G320" t="s">
        <v>2203</v>
      </c>
      <c r="H320" t="s">
        <v>14001</v>
      </c>
      <c r="I320" t="s">
        <v>14150</v>
      </c>
      <c r="J320" s="3">
        <v>45710</v>
      </c>
      <c r="K320" t="s">
        <v>312</v>
      </c>
    </row>
    <row r="321" spans="1:11">
      <c r="A321" s="3">
        <v>45463</v>
      </c>
      <c r="B321" t="s">
        <v>14151</v>
      </c>
      <c r="C321" t="s">
        <v>14152</v>
      </c>
      <c r="D321" t="s">
        <v>4178</v>
      </c>
      <c r="E321" t="s">
        <v>2076</v>
      </c>
      <c r="F321">
        <v>60</v>
      </c>
      <c r="G321" t="s">
        <v>2203</v>
      </c>
      <c r="H321" t="s">
        <v>14001</v>
      </c>
      <c r="I321" t="s">
        <v>14153</v>
      </c>
      <c r="J321" s="3">
        <v>46143</v>
      </c>
      <c r="K321" t="s">
        <v>151</v>
      </c>
    </row>
    <row r="322" spans="1:11">
      <c r="A322" s="3">
        <v>45464</v>
      </c>
      <c r="B322" t="s">
        <v>14232</v>
      </c>
      <c r="C322" t="s">
        <v>14229</v>
      </c>
      <c r="D322" t="s">
        <v>4269</v>
      </c>
      <c r="E322" t="s">
        <v>2168</v>
      </c>
      <c r="F322">
        <v>5</v>
      </c>
      <c r="G322" t="s">
        <v>2197</v>
      </c>
      <c r="H322" t="s">
        <v>14001</v>
      </c>
      <c r="I322" s="4">
        <v>502000000000</v>
      </c>
      <c r="J322" s="3">
        <v>46935</v>
      </c>
      <c r="K322" t="s">
        <v>151</v>
      </c>
    </row>
    <row r="323" spans="1:11">
      <c r="A323" s="3">
        <v>45199</v>
      </c>
      <c r="B323" t="s">
        <v>14009</v>
      </c>
      <c r="C323" t="s">
        <v>14005</v>
      </c>
      <c r="D323" t="s">
        <v>3804</v>
      </c>
      <c r="E323" t="s">
        <v>1717</v>
      </c>
      <c r="F323">
        <v>122</v>
      </c>
      <c r="G323" t="s">
        <v>2197</v>
      </c>
      <c r="H323" t="s">
        <v>14001</v>
      </c>
      <c r="I323" t="s">
        <v>14010</v>
      </c>
      <c r="J323" s="3">
        <v>45992</v>
      </c>
      <c r="K323" t="s">
        <v>38</v>
      </c>
    </row>
    <row r="324" spans="1:11">
      <c r="A324" s="3">
        <v>45453</v>
      </c>
      <c r="B324" t="s">
        <v>14020</v>
      </c>
      <c r="C324" t="s">
        <v>14021</v>
      </c>
      <c r="D324" t="s">
        <v>2274</v>
      </c>
      <c r="E324" t="s">
        <v>102</v>
      </c>
      <c r="F324">
        <v>1</v>
      </c>
      <c r="G324" t="s">
        <v>2221</v>
      </c>
      <c r="H324" t="s">
        <v>14001</v>
      </c>
      <c r="I324" t="s">
        <v>14002</v>
      </c>
      <c r="J324" t="s">
        <v>14003</v>
      </c>
      <c r="K324" t="s">
        <v>101</v>
      </c>
    </row>
    <row r="325" spans="1:11">
      <c r="A325" s="3">
        <v>45461</v>
      </c>
      <c r="B325" t="s">
        <v>14049</v>
      </c>
      <c r="C325" t="s">
        <v>14050</v>
      </c>
      <c r="D325" t="s">
        <v>2274</v>
      </c>
      <c r="E325" t="s">
        <v>102</v>
      </c>
      <c r="F325">
        <v>1</v>
      </c>
      <c r="G325" t="s">
        <v>2221</v>
      </c>
      <c r="H325" t="s">
        <v>14001</v>
      </c>
      <c r="I325">
        <v>0</v>
      </c>
      <c r="J325" t="s">
        <v>14003</v>
      </c>
      <c r="K325" t="s">
        <v>101</v>
      </c>
    </row>
    <row r="326" spans="1:11">
      <c r="A326" s="3">
        <v>45463</v>
      </c>
      <c r="B326" t="s">
        <v>14199</v>
      </c>
      <c r="C326" t="s">
        <v>14102</v>
      </c>
      <c r="D326" t="s">
        <v>2274</v>
      </c>
      <c r="E326" t="s">
        <v>102</v>
      </c>
      <c r="F326">
        <v>1</v>
      </c>
      <c r="G326" t="s">
        <v>2221</v>
      </c>
      <c r="H326" t="s">
        <v>14001</v>
      </c>
      <c r="I326" t="s">
        <v>14002</v>
      </c>
      <c r="J326" t="s">
        <v>14003</v>
      </c>
      <c r="K326" t="s">
        <v>101</v>
      </c>
    </row>
    <row r="327" spans="1:11">
      <c r="A327" s="3">
        <v>44645</v>
      </c>
      <c r="B327" t="s">
        <v>13999</v>
      </c>
      <c r="C327" t="s">
        <v>14000</v>
      </c>
      <c r="D327" t="s">
        <v>2275</v>
      </c>
      <c r="E327" t="s">
        <v>103</v>
      </c>
      <c r="F327">
        <v>3</v>
      </c>
      <c r="G327" t="s">
        <v>2221</v>
      </c>
      <c r="H327" t="s">
        <v>14001</v>
      </c>
      <c r="I327" t="s">
        <v>14002</v>
      </c>
      <c r="J327" t="s">
        <v>14003</v>
      </c>
      <c r="K327" t="s">
        <v>101</v>
      </c>
    </row>
    <row r="328" spans="1:11">
      <c r="A328" s="3">
        <v>45457</v>
      </c>
      <c r="B328" t="s">
        <v>14026</v>
      </c>
      <c r="C328" t="s">
        <v>14027</v>
      </c>
      <c r="D328" t="s">
        <v>2277</v>
      </c>
      <c r="E328" t="s">
        <v>105</v>
      </c>
      <c r="F328">
        <v>2</v>
      </c>
      <c r="G328" t="s">
        <v>2221</v>
      </c>
      <c r="H328" t="s">
        <v>14001</v>
      </c>
      <c r="I328" t="s">
        <v>14002</v>
      </c>
      <c r="J328" t="s">
        <v>14003</v>
      </c>
      <c r="K328" t="s">
        <v>101</v>
      </c>
    </row>
    <row r="329" spans="1:11">
      <c r="A329" s="3">
        <v>44645</v>
      </c>
      <c r="B329" t="s">
        <v>14004</v>
      </c>
      <c r="C329" t="s">
        <v>14005</v>
      </c>
      <c r="D329" t="s">
        <v>2945</v>
      </c>
      <c r="E329" t="s">
        <v>780</v>
      </c>
      <c r="F329">
        <v>10</v>
      </c>
      <c r="G329" t="s">
        <v>2221</v>
      </c>
      <c r="H329" t="s">
        <v>14001</v>
      </c>
      <c r="I329" t="s">
        <v>14002</v>
      </c>
      <c r="J329" t="s">
        <v>14003</v>
      </c>
      <c r="K329" t="s">
        <v>101</v>
      </c>
    </row>
    <row r="330" spans="1:11">
      <c r="A330" s="3">
        <v>45462</v>
      </c>
      <c r="B330" t="s">
        <v>14118</v>
      </c>
      <c r="C330" t="s">
        <v>14119</v>
      </c>
      <c r="D330" t="s">
        <v>3413</v>
      </c>
      <c r="E330" t="s">
        <v>1357</v>
      </c>
      <c r="F330">
        <v>25</v>
      </c>
      <c r="G330" t="s">
        <v>2203</v>
      </c>
      <c r="H330" t="s">
        <v>14001</v>
      </c>
      <c r="I330">
        <v>0</v>
      </c>
      <c r="J330" t="s">
        <v>14003</v>
      </c>
      <c r="K330" t="s">
        <v>101</v>
      </c>
    </row>
    <row r="331" spans="1:11">
      <c r="A331" s="3">
        <v>45464</v>
      </c>
      <c r="B331" t="s">
        <v>14227</v>
      </c>
      <c r="C331" t="s">
        <v>14226</v>
      </c>
      <c r="D331" t="s">
        <v>3453</v>
      </c>
      <c r="E331" t="s">
        <v>1385</v>
      </c>
      <c r="F331">
        <v>6</v>
      </c>
      <c r="G331" t="s">
        <v>3417</v>
      </c>
      <c r="H331" t="s">
        <v>14001</v>
      </c>
      <c r="I331">
        <v>0</v>
      </c>
      <c r="J331" t="s">
        <v>14003</v>
      </c>
      <c r="K331" t="s">
        <v>101</v>
      </c>
    </row>
    <row r="332" spans="1:11">
      <c r="A332" s="3">
        <v>45463</v>
      </c>
      <c r="B332" t="s">
        <v>14160</v>
      </c>
      <c r="C332" t="s">
        <v>14161</v>
      </c>
      <c r="D332" t="s">
        <v>3474</v>
      </c>
      <c r="E332" t="s">
        <v>1403</v>
      </c>
      <c r="F332">
        <v>25</v>
      </c>
      <c r="G332" t="s">
        <v>3417</v>
      </c>
      <c r="H332" t="s">
        <v>14001</v>
      </c>
      <c r="I332">
        <v>0</v>
      </c>
      <c r="J332" t="s">
        <v>14003</v>
      </c>
      <c r="K332" t="s">
        <v>101</v>
      </c>
    </row>
    <row r="333" spans="1:11">
      <c r="A333" s="3">
        <v>45453</v>
      </c>
      <c r="B333" t="s">
        <v>14022</v>
      </c>
      <c r="C333" t="s">
        <v>14023</v>
      </c>
      <c r="D333" t="s">
        <v>4021</v>
      </c>
      <c r="E333" t="s">
        <v>1954</v>
      </c>
      <c r="F333">
        <v>1</v>
      </c>
      <c r="G333" t="s">
        <v>2221</v>
      </c>
      <c r="H333" t="s">
        <v>14001</v>
      </c>
      <c r="I333">
        <v>0</v>
      </c>
      <c r="J333" t="s">
        <v>14003</v>
      </c>
      <c r="K333" t="s">
        <v>101</v>
      </c>
    </row>
    <row r="334" spans="1:11">
      <c r="A334" s="3">
        <v>45366</v>
      </c>
      <c r="B334" t="s">
        <v>14015</v>
      </c>
      <c r="C334" t="s">
        <v>14007</v>
      </c>
      <c r="D334" t="s">
        <v>4026</v>
      </c>
      <c r="E334" t="s">
        <v>1956</v>
      </c>
      <c r="F334">
        <v>41</v>
      </c>
      <c r="G334" t="s">
        <v>2221</v>
      </c>
      <c r="H334" t="s">
        <v>14001</v>
      </c>
      <c r="I334">
        <v>0</v>
      </c>
      <c r="J334" t="s">
        <v>14003</v>
      </c>
      <c r="K334" t="s">
        <v>101</v>
      </c>
    </row>
    <row r="335" spans="1:11">
      <c r="A335" s="3">
        <v>45453</v>
      </c>
      <c r="B335" t="s">
        <v>14018</v>
      </c>
      <c r="C335" t="s">
        <v>14019</v>
      </c>
      <c r="D335" t="s">
        <v>4028</v>
      </c>
      <c r="E335" t="s">
        <v>1957</v>
      </c>
      <c r="F335">
        <v>1</v>
      </c>
      <c r="G335" t="s">
        <v>2221</v>
      </c>
      <c r="H335" t="s">
        <v>14001</v>
      </c>
      <c r="I335">
        <v>0</v>
      </c>
      <c r="J335" t="s">
        <v>14003</v>
      </c>
      <c r="K335" t="s">
        <v>101</v>
      </c>
    </row>
    <row r="336" spans="1:11">
      <c r="A336" s="3">
        <v>45453</v>
      </c>
      <c r="B336" t="s">
        <v>14024</v>
      </c>
      <c r="C336" t="s">
        <v>14025</v>
      </c>
      <c r="D336" t="s">
        <v>4028</v>
      </c>
      <c r="E336" t="s">
        <v>1957</v>
      </c>
      <c r="F336">
        <v>1</v>
      </c>
      <c r="G336" t="s">
        <v>2221</v>
      </c>
      <c r="H336" t="s">
        <v>14001</v>
      </c>
      <c r="I336" t="s">
        <v>14002</v>
      </c>
      <c r="J336" t="s">
        <v>14003</v>
      </c>
      <c r="K336" t="s">
        <v>101</v>
      </c>
    </row>
    <row r="337" spans="1:11">
      <c r="A337" s="3">
        <v>45461</v>
      </c>
      <c r="B337" t="s">
        <v>14054</v>
      </c>
      <c r="C337" t="s">
        <v>14055</v>
      </c>
      <c r="D337" t="s">
        <v>4030</v>
      </c>
      <c r="E337" t="s">
        <v>1958</v>
      </c>
      <c r="F337">
        <v>3</v>
      </c>
      <c r="G337" t="s">
        <v>2221</v>
      </c>
      <c r="H337" t="s">
        <v>14001</v>
      </c>
      <c r="I337" t="s">
        <v>14002</v>
      </c>
      <c r="J337" t="s">
        <v>14003</v>
      </c>
      <c r="K337" t="s">
        <v>101</v>
      </c>
    </row>
    <row r="338" spans="1:11">
      <c r="A338" s="3">
        <v>45463</v>
      </c>
      <c r="B338" t="s">
        <v>14197</v>
      </c>
      <c r="C338" t="s">
        <v>14198</v>
      </c>
      <c r="D338" t="s">
        <v>4030</v>
      </c>
      <c r="E338" t="s">
        <v>1958</v>
      </c>
      <c r="F338">
        <v>1</v>
      </c>
      <c r="G338" t="s">
        <v>2221</v>
      </c>
      <c r="H338" t="s">
        <v>14001</v>
      </c>
      <c r="I338" t="s">
        <v>14002</v>
      </c>
      <c r="J338" t="s">
        <v>14003</v>
      </c>
      <c r="K338" t="s">
        <v>101</v>
      </c>
    </row>
    <row r="339" spans="1:11">
      <c r="A339" s="3">
        <v>45464</v>
      </c>
      <c r="B339" t="s">
        <v>14240</v>
      </c>
      <c r="C339" t="s">
        <v>14241</v>
      </c>
      <c r="D339" t="s">
        <v>4030</v>
      </c>
      <c r="E339" t="s">
        <v>1958</v>
      </c>
      <c r="F339">
        <v>1</v>
      </c>
      <c r="G339" t="s">
        <v>2221</v>
      </c>
      <c r="H339" t="s">
        <v>14001</v>
      </c>
      <c r="I339">
        <v>0</v>
      </c>
      <c r="J339" t="s">
        <v>14003</v>
      </c>
      <c r="K339" t="s">
        <v>101</v>
      </c>
    </row>
    <row r="340" spans="1:11">
      <c r="A340" s="3">
        <v>45465</v>
      </c>
      <c r="B340" t="s">
        <v>14338</v>
      </c>
      <c r="C340" t="s">
        <v>14336</v>
      </c>
      <c r="D340" t="s">
        <v>4030</v>
      </c>
      <c r="E340" t="s">
        <v>1958</v>
      </c>
      <c r="F340">
        <v>11</v>
      </c>
      <c r="G340" t="s">
        <v>2221</v>
      </c>
      <c r="H340" t="s">
        <v>14001</v>
      </c>
      <c r="I340">
        <v>0</v>
      </c>
      <c r="J340" t="s">
        <v>14003</v>
      </c>
      <c r="K340" t="s">
        <v>101</v>
      </c>
    </row>
    <row r="341" spans="1:11">
      <c r="A341" s="3">
        <v>45465</v>
      </c>
      <c r="B341" t="s">
        <v>14365</v>
      </c>
      <c r="C341" t="s">
        <v>14366</v>
      </c>
      <c r="D341" t="s">
        <v>4030</v>
      </c>
      <c r="E341" t="s">
        <v>1958</v>
      </c>
      <c r="F341">
        <v>200</v>
      </c>
      <c r="G341" t="s">
        <v>2221</v>
      </c>
      <c r="H341" t="s">
        <v>14001</v>
      </c>
      <c r="I341">
        <v>0</v>
      </c>
      <c r="J341" t="s">
        <v>14003</v>
      </c>
      <c r="K341" t="s">
        <v>101</v>
      </c>
    </row>
    <row r="342" spans="1:11">
      <c r="A342" s="3">
        <v>45465</v>
      </c>
      <c r="B342" t="s">
        <v>14368</v>
      </c>
      <c r="C342" t="s">
        <v>14085</v>
      </c>
      <c r="D342" t="s">
        <v>4030</v>
      </c>
      <c r="E342" t="s">
        <v>1958</v>
      </c>
      <c r="F342">
        <v>1</v>
      </c>
      <c r="G342" t="s">
        <v>2221</v>
      </c>
      <c r="H342" t="s">
        <v>14001</v>
      </c>
      <c r="I342">
        <v>0</v>
      </c>
      <c r="J342" t="s">
        <v>14003</v>
      </c>
      <c r="K342" t="s">
        <v>101</v>
      </c>
    </row>
    <row r="343" spans="1:11">
      <c r="A343" s="3">
        <v>45464</v>
      </c>
      <c r="B343" t="s">
        <v>14233</v>
      </c>
      <c r="C343" t="s">
        <v>14234</v>
      </c>
      <c r="D343" t="s">
        <v>4034</v>
      </c>
      <c r="E343" t="s">
        <v>1960</v>
      </c>
      <c r="F343">
        <v>5</v>
      </c>
      <c r="G343" t="s">
        <v>2221</v>
      </c>
      <c r="H343" t="s">
        <v>14001</v>
      </c>
      <c r="I343" t="s">
        <v>14002</v>
      </c>
      <c r="J343" t="s">
        <v>14003</v>
      </c>
      <c r="K343" t="s">
        <v>101</v>
      </c>
    </row>
    <row r="344" spans="1:11" hidden="1">
      <c r="A344" s="3">
        <v>45465</v>
      </c>
      <c r="B344" t="s">
        <v>14344</v>
      </c>
      <c r="C344" t="s">
        <v>14343</v>
      </c>
      <c r="D344" t="s">
        <v>3992</v>
      </c>
      <c r="E344" t="s">
        <v>1913</v>
      </c>
      <c r="F344">
        <v>20</v>
      </c>
      <c r="G344" t="s">
        <v>2203</v>
      </c>
      <c r="H344" t="s">
        <v>14001</v>
      </c>
      <c r="I344">
        <v>315.82100000000003</v>
      </c>
      <c r="J344" s="3">
        <v>45962</v>
      </c>
      <c r="K344" t="s">
        <v>312</v>
      </c>
    </row>
    <row r="345" spans="1:11" hidden="1">
      <c r="A345" s="3">
        <v>45465</v>
      </c>
      <c r="B345" t="s">
        <v>14362</v>
      </c>
      <c r="C345" t="s">
        <v>14363</v>
      </c>
      <c r="D345" t="s">
        <v>3992</v>
      </c>
      <c r="E345" t="s">
        <v>1913</v>
      </c>
      <c r="F345">
        <v>50</v>
      </c>
      <c r="G345" t="s">
        <v>2203</v>
      </c>
      <c r="H345" t="s">
        <v>14001</v>
      </c>
      <c r="I345" t="s">
        <v>14364</v>
      </c>
      <c r="J345" s="3">
        <v>45962</v>
      </c>
      <c r="K345" t="s">
        <v>312</v>
      </c>
    </row>
    <row r="346" spans="1:11">
      <c r="A346" s="3">
        <v>45463</v>
      </c>
      <c r="B346" t="s">
        <v>14155</v>
      </c>
      <c r="C346" t="s">
        <v>14050</v>
      </c>
      <c r="D346" t="s">
        <v>4080</v>
      </c>
      <c r="E346" t="s">
        <v>2001</v>
      </c>
      <c r="F346">
        <v>80</v>
      </c>
      <c r="G346" t="s">
        <v>4081</v>
      </c>
      <c r="H346" t="s">
        <v>14001</v>
      </c>
      <c r="I346" t="s">
        <v>14002</v>
      </c>
      <c r="J346" t="s">
        <v>14003</v>
      </c>
      <c r="K346" t="s">
        <v>101</v>
      </c>
    </row>
    <row r="347" spans="1:11">
      <c r="A347" s="3">
        <v>45464</v>
      </c>
      <c r="B347" t="s">
        <v>14271</v>
      </c>
      <c r="C347" t="s">
        <v>14138</v>
      </c>
      <c r="D347" t="s">
        <v>4080</v>
      </c>
      <c r="E347" t="s">
        <v>2001</v>
      </c>
      <c r="F347">
        <v>400</v>
      </c>
      <c r="G347" t="s">
        <v>4081</v>
      </c>
      <c r="H347" t="s">
        <v>14001</v>
      </c>
      <c r="I347" t="s">
        <v>14002</v>
      </c>
      <c r="J347" t="s">
        <v>14003</v>
      </c>
      <c r="K347" t="s">
        <v>101</v>
      </c>
    </row>
    <row r="348" spans="1:11">
      <c r="A348" s="3">
        <v>45463</v>
      </c>
      <c r="B348" t="s">
        <v>14182</v>
      </c>
      <c r="C348" t="s">
        <v>14183</v>
      </c>
      <c r="D348" t="s">
        <v>4086</v>
      </c>
      <c r="E348" t="s">
        <v>2005</v>
      </c>
      <c r="F348">
        <v>1</v>
      </c>
      <c r="G348" t="s">
        <v>2994</v>
      </c>
      <c r="H348" t="s">
        <v>14001</v>
      </c>
      <c r="I348">
        <v>0</v>
      </c>
      <c r="J348" t="s">
        <v>14003</v>
      </c>
      <c r="K348" t="s">
        <v>101</v>
      </c>
    </row>
    <row r="349" spans="1:11">
      <c r="A349" s="3">
        <v>45463</v>
      </c>
      <c r="B349" t="s">
        <v>14184</v>
      </c>
      <c r="C349" t="s">
        <v>14185</v>
      </c>
      <c r="D349" t="s">
        <v>4118</v>
      </c>
      <c r="E349" t="s">
        <v>2033</v>
      </c>
      <c r="F349">
        <v>2</v>
      </c>
      <c r="G349" t="s">
        <v>2221</v>
      </c>
      <c r="H349" t="s">
        <v>14001</v>
      </c>
      <c r="I349">
        <v>0</v>
      </c>
      <c r="J349" t="s">
        <v>14003</v>
      </c>
      <c r="K349" t="s">
        <v>101</v>
      </c>
    </row>
    <row r="350" spans="1:11" hidden="1">
      <c r="A350" s="3">
        <v>45465</v>
      </c>
      <c r="B350" t="s">
        <v>14347</v>
      </c>
      <c r="C350" t="s">
        <v>14348</v>
      </c>
      <c r="D350" t="s">
        <v>4146</v>
      </c>
      <c r="E350" t="s">
        <v>2055</v>
      </c>
      <c r="F350">
        <v>75</v>
      </c>
      <c r="G350" t="s">
        <v>2203</v>
      </c>
      <c r="H350" t="s">
        <v>14001</v>
      </c>
      <c r="I350" t="s">
        <v>14349</v>
      </c>
      <c r="J350" s="3">
        <v>45919</v>
      </c>
      <c r="K350" t="s">
        <v>312</v>
      </c>
    </row>
    <row r="351" spans="1:11" hidden="1">
      <c r="A351" s="3">
        <v>45465</v>
      </c>
      <c r="B351" t="s">
        <v>14347</v>
      </c>
      <c r="C351" t="s">
        <v>14348</v>
      </c>
      <c r="D351" t="s">
        <v>4150</v>
      </c>
      <c r="E351" t="s">
        <v>2057</v>
      </c>
      <c r="F351">
        <v>240</v>
      </c>
      <c r="G351" t="s">
        <v>2203</v>
      </c>
      <c r="H351" t="s">
        <v>14001</v>
      </c>
      <c r="I351" t="s">
        <v>14350</v>
      </c>
      <c r="J351" s="3">
        <v>45882</v>
      </c>
      <c r="K351" t="s">
        <v>312</v>
      </c>
    </row>
    <row r="352" spans="1:11">
      <c r="A352" s="3">
        <v>45464</v>
      </c>
      <c r="B352" t="s">
        <v>14227</v>
      </c>
      <c r="C352" t="s">
        <v>14226</v>
      </c>
      <c r="D352" t="s">
        <v>3126</v>
      </c>
      <c r="E352" t="s">
        <v>1094</v>
      </c>
      <c r="F352">
        <v>3</v>
      </c>
      <c r="G352" t="s">
        <v>2221</v>
      </c>
      <c r="H352" t="s">
        <v>14001</v>
      </c>
      <c r="I352">
        <v>0</v>
      </c>
      <c r="J352" t="s">
        <v>14003</v>
      </c>
      <c r="K352" t="s">
        <v>43</v>
      </c>
    </row>
    <row r="353" spans="1:11">
      <c r="A353" s="3">
        <v>45133</v>
      </c>
      <c r="B353" t="s">
        <v>14008</v>
      </c>
      <c r="C353" t="s">
        <v>14000</v>
      </c>
      <c r="D353" t="s">
        <v>3149</v>
      </c>
      <c r="E353" t="s">
        <v>1116</v>
      </c>
      <c r="F353">
        <v>300</v>
      </c>
      <c r="G353" t="s">
        <v>2221</v>
      </c>
      <c r="H353" t="s">
        <v>14001</v>
      </c>
      <c r="I353" t="s">
        <v>14002</v>
      </c>
      <c r="J353" t="s">
        <v>14003</v>
      </c>
      <c r="K353" t="s">
        <v>43</v>
      </c>
    </row>
    <row r="354" spans="1:11">
      <c r="A354" s="3">
        <v>45301</v>
      </c>
      <c r="B354" t="s">
        <v>14011</v>
      </c>
      <c r="C354" t="s">
        <v>14000</v>
      </c>
      <c r="D354" t="s">
        <v>3149</v>
      </c>
      <c r="E354" t="s">
        <v>1116</v>
      </c>
      <c r="F354">
        <v>200</v>
      </c>
      <c r="G354" t="s">
        <v>2221</v>
      </c>
      <c r="H354" t="s">
        <v>14001</v>
      </c>
      <c r="I354" t="s">
        <v>14002</v>
      </c>
      <c r="J354" t="s">
        <v>14003</v>
      </c>
      <c r="K354" t="s">
        <v>43</v>
      </c>
    </row>
    <row r="355" spans="1:11">
      <c r="A355" s="3"/>
    </row>
    <row r="356" spans="1:11">
      <c r="A356" s="3"/>
      <c r="J356" s="3"/>
    </row>
    <row r="357" spans="1:11">
      <c r="A357" s="3"/>
    </row>
    <row r="358" spans="1:11">
      <c r="A358" s="3"/>
      <c r="J358" s="3"/>
    </row>
    <row r="359" spans="1:11">
      <c r="A359" s="3"/>
      <c r="J359" s="3"/>
    </row>
    <row r="360" spans="1:11">
      <c r="A360" s="3"/>
    </row>
    <row r="361" spans="1:11">
      <c r="A361" s="3"/>
      <c r="J361" s="3"/>
    </row>
    <row r="362" spans="1:11">
      <c r="A362" s="3"/>
    </row>
    <row r="363" spans="1:11">
      <c r="A363" s="3"/>
      <c r="J363" s="3"/>
    </row>
    <row r="364" spans="1:11">
      <c r="A364" s="3"/>
      <c r="J364" s="3"/>
    </row>
    <row r="365" spans="1:11">
      <c r="A365" s="3"/>
      <c r="J365" s="3"/>
    </row>
    <row r="366" spans="1:11">
      <c r="A366" s="3"/>
      <c r="J366" s="3"/>
    </row>
    <row r="367" spans="1:11">
      <c r="A367" s="3"/>
    </row>
    <row r="368" spans="1:11">
      <c r="A368" s="3"/>
    </row>
    <row r="369" spans="1:10">
      <c r="A369" s="3"/>
    </row>
    <row r="370" spans="1:10">
      <c r="A370" s="3"/>
    </row>
    <row r="371" spans="1:10">
      <c r="A371" s="3"/>
    </row>
    <row r="372" spans="1:10">
      <c r="A372" s="3"/>
    </row>
    <row r="373" spans="1:10">
      <c r="A373" s="3"/>
      <c r="J373" s="3"/>
    </row>
    <row r="374" spans="1:10">
      <c r="A374" s="3"/>
      <c r="J374" s="3"/>
    </row>
    <row r="375" spans="1:10">
      <c r="A375" s="3"/>
      <c r="J375" s="3"/>
    </row>
    <row r="376" spans="1:10">
      <c r="A376" s="3"/>
      <c r="J376" s="3"/>
    </row>
    <row r="377" spans="1:10">
      <c r="A377" s="3"/>
      <c r="J377" s="3"/>
    </row>
    <row r="378" spans="1:10">
      <c r="A378" s="3"/>
      <c r="J378" s="3"/>
    </row>
    <row r="379" spans="1:10">
      <c r="A379" s="3"/>
      <c r="J379" s="3"/>
    </row>
    <row r="380" spans="1:10">
      <c r="A380" s="3"/>
    </row>
    <row r="381" spans="1:10">
      <c r="A381" s="3"/>
    </row>
    <row r="382" spans="1:10">
      <c r="A382" s="3"/>
      <c r="J382" s="3"/>
    </row>
    <row r="383" spans="1:10">
      <c r="A383" s="3"/>
      <c r="J383" s="3"/>
    </row>
    <row r="384" spans="1:10">
      <c r="A384" s="3"/>
      <c r="J384" s="3"/>
    </row>
    <row r="385" spans="1:10">
      <c r="A385" s="3"/>
      <c r="J385" s="3"/>
    </row>
    <row r="386" spans="1:10">
      <c r="A386" s="3"/>
      <c r="J386" s="3"/>
    </row>
    <row r="387" spans="1:10">
      <c r="A387" s="3"/>
      <c r="J387" s="3"/>
    </row>
    <row r="388" spans="1:10">
      <c r="A388" s="3"/>
      <c r="J388" s="3"/>
    </row>
    <row r="389" spans="1:10">
      <c r="A389" s="3"/>
      <c r="J389" s="3"/>
    </row>
    <row r="390" spans="1:10">
      <c r="A390" s="3"/>
      <c r="J390" s="3"/>
    </row>
    <row r="391" spans="1:10">
      <c r="A391" s="3"/>
      <c r="J391" s="3"/>
    </row>
    <row r="392" spans="1:10">
      <c r="A392" s="3"/>
    </row>
    <row r="393" spans="1:10">
      <c r="A393" s="3"/>
    </row>
    <row r="394" spans="1:10">
      <c r="A394" s="3"/>
    </row>
    <row r="395" spans="1:10">
      <c r="A395" s="3"/>
    </row>
    <row r="396" spans="1:10">
      <c r="A396" s="3"/>
    </row>
    <row r="397" spans="1:10">
      <c r="A397" s="3"/>
    </row>
    <row r="398" spans="1:10">
      <c r="A398" s="3"/>
    </row>
  </sheetData>
  <autoFilter ref="A2:K391">
    <filterColumn colId="10">
      <filters blank="1">
        <filter val="Benih Jagung"/>
        <filter val="Obat"/>
        <filter val="Pupuk"/>
        <filter val="Sample"/>
        <filter val="Sarana Pertanian"/>
        <filter val="Sarana Promosi"/>
      </filters>
    </filterColumn>
    <sortState ref="A3:K391">
      <sortCondition ref="K2:K391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9"/>
  <sheetViews>
    <sheetView workbookViewId="0">
      <selection activeCell="S805" sqref="S805:U805"/>
    </sheetView>
  </sheetViews>
  <sheetFormatPr defaultRowHeight="15"/>
  <cols>
    <col min="4" max="4" width="30.42578125" bestFit="1" customWidth="1"/>
    <col min="5" max="5" width="10.7109375" bestFit="1" customWidth="1"/>
  </cols>
  <sheetData>
    <row r="2" spans="4:5">
      <c r="D2" t="s">
        <v>6081</v>
      </c>
      <c r="E2" t="s">
        <v>14003</v>
      </c>
    </row>
    <row r="3" spans="4:5">
      <c r="D3" t="s">
        <v>9489</v>
      </c>
      <c r="E3" t="s">
        <v>14003</v>
      </c>
    </row>
    <row r="4" spans="4:5">
      <c r="D4" t="s">
        <v>9490</v>
      </c>
      <c r="E4" t="s">
        <v>14003</v>
      </c>
    </row>
    <row r="5" spans="4:5">
      <c r="D5" t="s">
        <v>4990</v>
      </c>
      <c r="E5" s="3">
        <v>46997</v>
      </c>
    </row>
    <row r="6" spans="4:5">
      <c r="D6" t="s">
        <v>4990</v>
      </c>
      <c r="E6" s="3">
        <v>47239</v>
      </c>
    </row>
    <row r="7" spans="4:5">
      <c r="D7" t="s">
        <v>7344</v>
      </c>
      <c r="E7" s="3">
        <v>47239</v>
      </c>
    </row>
    <row r="8" spans="4:5">
      <c r="D8" t="s">
        <v>7849</v>
      </c>
      <c r="E8" t="s">
        <v>14003</v>
      </c>
    </row>
    <row r="9" spans="4:5">
      <c r="D9" t="s">
        <v>8277</v>
      </c>
      <c r="E9" s="3">
        <v>46447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0"/>
  <sheetViews>
    <sheetView topLeftCell="A165" workbookViewId="0">
      <selection activeCell="H183" sqref="H183"/>
    </sheetView>
  </sheetViews>
  <sheetFormatPr defaultRowHeight="15"/>
  <cols>
    <col min="9" max="9" width="33.85546875" customWidth="1"/>
    <col min="10" max="10" width="10.7109375" bestFit="1" customWidth="1"/>
  </cols>
  <sheetData>
    <row r="2" spans="2:8">
      <c r="B2" t="s">
        <v>845</v>
      </c>
      <c r="C2" s="3">
        <v>45574</v>
      </c>
      <c r="D2">
        <v>2000</v>
      </c>
      <c r="F2" t="s">
        <v>845</v>
      </c>
      <c r="G2" s="3">
        <v>45574</v>
      </c>
      <c r="H2">
        <f>SUMIFS(D2:D330,B2:B330,F2,C2:C330,G2)</f>
        <v>2000</v>
      </c>
    </row>
    <row r="3" spans="2:8">
      <c r="B3" t="s">
        <v>938</v>
      </c>
      <c r="C3" s="3">
        <v>45773</v>
      </c>
      <c r="D3">
        <v>100</v>
      </c>
      <c r="F3" t="s">
        <v>938</v>
      </c>
      <c r="G3" s="3">
        <v>45773</v>
      </c>
      <c r="H3">
        <f t="shared" ref="H3:H66" si="0">SUMIFS(D3:D331,B3:B331,F3,C3:C331,G3)</f>
        <v>100</v>
      </c>
    </row>
    <row r="4" spans="2:8">
      <c r="B4" t="s">
        <v>947</v>
      </c>
      <c r="C4" s="3">
        <v>45798</v>
      </c>
      <c r="D4">
        <v>140</v>
      </c>
      <c r="F4" t="s">
        <v>947</v>
      </c>
      <c r="G4" s="3">
        <v>45798</v>
      </c>
      <c r="H4">
        <f t="shared" si="0"/>
        <v>180</v>
      </c>
    </row>
    <row r="5" spans="2:8">
      <c r="B5" t="s">
        <v>947</v>
      </c>
      <c r="C5" s="3">
        <v>45798</v>
      </c>
      <c r="D5">
        <v>40</v>
      </c>
      <c r="F5" t="s">
        <v>966</v>
      </c>
      <c r="G5" s="3">
        <v>45543</v>
      </c>
      <c r="H5">
        <f t="shared" si="0"/>
        <v>340</v>
      </c>
    </row>
    <row r="6" spans="2:8">
      <c r="B6" t="s">
        <v>966</v>
      </c>
      <c r="C6" s="3">
        <v>45543</v>
      </c>
      <c r="D6">
        <v>40</v>
      </c>
      <c r="F6" t="s">
        <v>966</v>
      </c>
      <c r="G6" s="3">
        <v>45582</v>
      </c>
      <c r="H6">
        <f t="shared" si="0"/>
        <v>500</v>
      </c>
    </row>
    <row r="7" spans="2:8">
      <c r="B7" t="s">
        <v>966</v>
      </c>
      <c r="C7" s="3">
        <v>45543</v>
      </c>
      <c r="D7">
        <v>300</v>
      </c>
      <c r="F7" t="s">
        <v>1000</v>
      </c>
      <c r="G7" s="3">
        <v>45666</v>
      </c>
      <c r="H7">
        <f t="shared" si="0"/>
        <v>1640</v>
      </c>
    </row>
    <row r="8" spans="2:8">
      <c r="B8" t="s">
        <v>966</v>
      </c>
      <c r="C8" s="3">
        <v>45582</v>
      </c>
      <c r="D8">
        <v>500</v>
      </c>
      <c r="F8" t="s">
        <v>1002</v>
      </c>
      <c r="G8" s="3">
        <v>45641</v>
      </c>
      <c r="H8">
        <f t="shared" si="0"/>
        <v>240</v>
      </c>
    </row>
    <row r="9" spans="2:8">
      <c r="B9" t="s">
        <v>1000</v>
      </c>
      <c r="C9" s="3">
        <v>45666</v>
      </c>
      <c r="D9">
        <v>500</v>
      </c>
      <c r="F9" t="s">
        <v>14</v>
      </c>
      <c r="G9" s="3">
        <v>46204</v>
      </c>
      <c r="H9">
        <f t="shared" si="0"/>
        <v>259</v>
      </c>
    </row>
    <row r="10" spans="2:8">
      <c r="B10" t="s">
        <v>1000</v>
      </c>
      <c r="C10" s="3">
        <v>45666</v>
      </c>
      <c r="D10">
        <v>1140</v>
      </c>
      <c r="F10" t="s">
        <v>17</v>
      </c>
      <c r="G10" s="3">
        <v>46357</v>
      </c>
      <c r="H10">
        <f t="shared" si="0"/>
        <v>365</v>
      </c>
    </row>
    <row r="11" spans="2:8">
      <c r="B11" t="s">
        <v>1002</v>
      </c>
      <c r="C11" s="3">
        <v>45641</v>
      </c>
      <c r="D11">
        <v>40</v>
      </c>
      <c r="F11" t="s">
        <v>19</v>
      </c>
      <c r="G11" s="3">
        <v>46082</v>
      </c>
      <c r="H11">
        <f t="shared" si="0"/>
        <v>100</v>
      </c>
    </row>
    <row r="12" spans="2:8">
      <c r="B12" t="s">
        <v>1002</v>
      </c>
      <c r="C12" s="3">
        <v>45641</v>
      </c>
      <c r="D12">
        <v>200</v>
      </c>
      <c r="F12" t="s">
        <v>24</v>
      </c>
      <c r="G12" s="3">
        <v>46935</v>
      </c>
      <c r="H12">
        <f t="shared" si="0"/>
        <v>500</v>
      </c>
    </row>
    <row r="13" spans="2:8">
      <c r="B13" t="s">
        <v>14</v>
      </c>
      <c r="C13" s="3">
        <v>46204</v>
      </c>
      <c r="D13">
        <v>10</v>
      </c>
      <c r="F13" t="s">
        <v>28</v>
      </c>
      <c r="G13" s="3">
        <v>46997</v>
      </c>
      <c r="H13">
        <f t="shared" si="0"/>
        <v>240</v>
      </c>
    </row>
    <row r="14" spans="2:8">
      <c r="B14" t="s">
        <v>14</v>
      </c>
      <c r="C14" s="3">
        <v>46204</v>
      </c>
      <c r="D14">
        <v>100</v>
      </c>
      <c r="F14" t="s">
        <v>31</v>
      </c>
      <c r="G14" s="3">
        <v>47119</v>
      </c>
      <c r="H14">
        <f t="shared" si="0"/>
        <v>40</v>
      </c>
    </row>
    <row r="15" spans="2:8">
      <c r="B15" t="s">
        <v>14</v>
      </c>
      <c r="C15" s="3">
        <v>46204</v>
      </c>
      <c r="D15">
        <v>9</v>
      </c>
      <c r="F15" t="s">
        <v>33</v>
      </c>
      <c r="G15" s="3">
        <v>46966</v>
      </c>
      <c r="H15">
        <f t="shared" si="0"/>
        <v>300</v>
      </c>
    </row>
    <row r="16" spans="2:8">
      <c r="B16" t="s">
        <v>14</v>
      </c>
      <c r="C16" s="3">
        <v>46204</v>
      </c>
      <c r="D16">
        <v>140</v>
      </c>
      <c r="F16" t="s">
        <v>44</v>
      </c>
      <c r="G16" s="3">
        <v>47058</v>
      </c>
      <c r="H16">
        <f t="shared" si="0"/>
        <v>250</v>
      </c>
    </row>
    <row r="17" spans="2:8">
      <c r="B17" t="s">
        <v>17</v>
      </c>
      <c r="C17" s="3">
        <v>46357</v>
      </c>
      <c r="D17">
        <v>40</v>
      </c>
      <c r="F17" t="s">
        <v>65</v>
      </c>
      <c r="G17" s="3">
        <v>46966</v>
      </c>
      <c r="H17">
        <f t="shared" si="0"/>
        <v>1300</v>
      </c>
    </row>
    <row r="18" spans="2:8">
      <c r="B18" t="s">
        <v>17</v>
      </c>
      <c r="C18" s="3">
        <v>46357</v>
      </c>
      <c r="D18">
        <v>40</v>
      </c>
      <c r="F18" t="s">
        <v>66</v>
      </c>
      <c r="G18" s="3">
        <v>47150</v>
      </c>
      <c r="H18">
        <f t="shared" si="0"/>
        <v>240</v>
      </c>
    </row>
    <row r="19" spans="2:8">
      <c r="B19" t="s">
        <v>17</v>
      </c>
      <c r="C19" s="3">
        <v>46357</v>
      </c>
      <c r="D19">
        <v>120</v>
      </c>
      <c r="F19" t="s">
        <v>66</v>
      </c>
      <c r="G19" s="3">
        <v>47209</v>
      </c>
      <c r="H19">
        <f t="shared" si="0"/>
        <v>240</v>
      </c>
    </row>
    <row r="20" spans="2:8">
      <c r="B20" t="s">
        <v>17</v>
      </c>
      <c r="C20" s="3">
        <v>46357</v>
      </c>
      <c r="D20">
        <v>5</v>
      </c>
      <c r="F20" t="s">
        <v>71</v>
      </c>
      <c r="G20" s="3">
        <v>46296</v>
      </c>
      <c r="H20">
        <f t="shared" si="0"/>
        <v>430</v>
      </c>
    </row>
    <row r="21" spans="2:8">
      <c r="B21" t="s">
        <v>17</v>
      </c>
      <c r="C21" s="3">
        <v>46357</v>
      </c>
      <c r="D21">
        <v>80</v>
      </c>
      <c r="F21" t="s">
        <v>78</v>
      </c>
      <c r="G21" s="3">
        <v>47178</v>
      </c>
      <c r="H21">
        <f t="shared" si="0"/>
        <v>465</v>
      </c>
    </row>
    <row r="22" spans="2:8">
      <c r="B22" t="s">
        <v>17</v>
      </c>
      <c r="C22" s="3">
        <v>46357</v>
      </c>
      <c r="D22">
        <v>80</v>
      </c>
      <c r="F22" t="s">
        <v>80</v>
      </c>
      <c r="G22" s="3">
        <v>46388</v>
      </c>
      <c r="H22">
        <f t="shared" si="0"/>
        <v>1010</v>
      </c>
    </row>
    <row r="23" spans="2:8">
      <c r="B23" t="s">
        <v>19</v>
      </c>
      <c r="C23" s="3">
        <v>46082</v>
      </c>
      <c r="D23">
        <v>100</v>
      </c>
      <c r="F23" t="s">
        <v>83</v>
      </c>
      <c r="G23" s="3">
        <v>46388</v>
      </c>
      <c r="H23">
        <f t="shared" si="0"/>
        <v>1080</v>
      </c>
    </row>
    <row r="24" spans="2:8">
      <c r="B24" t="s">
        <v>24</v>
      </c>
      <c r="C24" s="3">
        <v>46935</v>
      </c>
      <c r="D24">
        <v>500</v>
      </c>
      <c r="F24" t="s">
        <v>110</v>
      </c>
      <c r="G24" s="3">
        <v>47178</v>
      </c>
      <c r="H24">
        <f t="shared" si="0"/>
        <v>120</v>
      </c>
    </row>
    <row r="25" spans="2:8">
      <c r="B25" t="s">
        <v>28</v>
      </c>
      <c r="C25" s="3">
        <v>46997</v>
      </c>
      <c r="D25">
        <v>200</v>
      </c>
      <c r="F25" t="s">
        <v>113</v>
      </c>
      <c r="G25" s="3">
        <v>46905</v>
      </c>
      <c r="H25">
        <f t="shared" si="0"/>
        <v>200</v>
      </c>
    </row>
    <row r="26" spans="2:8">
      <c r="B26" t="s">
        <v>28</v>
      </c>
      <c r="C26" s="3">
        <v>46997</v>
      </c>
      <c r="D26">
        <v>40</v>
      </c>
      <c r="F26" t="s">
        <v>116</v>
      </c>
      <c r="G26" s="3">
        <v>47178</v>
      </c>
      <c r="H26">
        <f t="shared" si="0"/>
        <v>1300</v>
      </c>
    </row>
    <row r="27" spans="2:8">
      <c r="B27" t="s">
        <v>31</v>
      </c>
      <c r="C27" s="3">
        <v>47119</v>
      </c>
      <c r="D27">
        <v>40</v>
      </c>
      <c r="F27" t="s">
        <v>154</v>
      </c>
      <c r="G27" s="3">
        <v>46113</v>
      </c>
      <c r="H27">
        <f t="shared" si="0"/>
        <v>100</v>
      </c>
    </row>
    <row r="28" spans="2:8">
      <c r="B28" t="s">
        <v>33</v>
      </c>
      <c r="C28" s="3">
        <v>46966</v>
      </c>
      <c r="D28">
        <v>300</v>
      </c>
      <c r="F28" t="s">
        <v>158</v>
      </c>
      <c r="G28" s="3">
        <v>46174</v>
      </c>
      <c r="H28">
        <f t="shared" si="0"/>
        <v>20</v>
      </c>
    </row>
    <row r="29" spans="2:8">
      <c r="B29" t="s">
        <v>44</v>
      </c>
      <c r="C29" s="3">
        <v>47058</v>
      </c>
      <c r="D29">
        <v>250</v>
      </c>
      <c r="F29" t="s">
        <v>163</v>
      </c>
      <c r="G29" s="3">
        <v>46266</v>
      </c>
      <c r="H29">
        <f t="shared" si="0"/>
        <v>50</v>
      </c>
    </row>
    <row r="30" spans="2:8">
      <c r="B30" t="s">
        <v>65</v>
      </c>
      <c r="C30" s="3">
        <v>46966</v>
      </c>
      <c r="D30">
        <v>1200</v>
      </c>
      <c r="F30" t="s">
        <v>173</v>
      </c>
      <c r="G30" s="3">
        <v>47027</v>
      </c>
      <c r="H30">
        <f t="shared" si="0"/>
        <v>80</v>
      </c>
    </row>
    <row r="31" spans="2:8">
      <c r="B31" t="s">
        <v>65</v>
      </c>
      <c r="C31" s="3">
        <v>46966</v>
      </c>
      <c r="D31">
        <v>100</v>
      </c>
      <c r="F31" t="s">
        <v>187</v>
      </c>
      <c r="G31" s="3">
        <v>46539</v>
      </c>
      <c r="H31">
        <f t="shared" si="0"/>
        <v>200</v>
      </c>
    </row>
    <row r="32" spans="2:8">
      <c r="B32" t="s">
        <v>66</v>
      </c>
      <c r="C32" s="3">
        <v>47150</v>
      </c>
      <c r="D32">
        <v>200</v>
      </c>
      <c r="F32" t="s">
        <v>206</v>
      </c>
      <c r="G32" s="3">
        <v>45870</v>
      </c>
      <c r="H32">
        <f t="shared" si="0"/>
        <v>80</v>
      </c>
    </row>
    <row r="33" spans="2:8">
      <c r="B33" t="s">
        <v>66</v>
      </c>
      <c r="C33" s="3">
        <v>47150</v>
      </c>
      <c r="D33">
        <v>40</v>
      </c>
      <c r="F33" t="s">
        <v>236</v>
      </c>
      <c r="G33" s="3">
        <v>47119</v>
      </c>
      <c r="H33">
        <f t="shared" si="0"/>
        <v>1</v>
      </c>
    </row>
    <row r="34" spans="2:8">
      <c r="B34" t="s">
        <v>66</v>
      </c>
      <c r="C34" s="3">
        <v>47209</v>
      </c>
      <c r="D34">
        <v>80</v>
      </c>
      <c r="F34" t="s">
        <v>238</v>
      </c>
      <c r="G34" s="3">
        <v>47270</v>
      </c>
      <c r="H34">
        <f t="shared" si="0"/>
        <v>4</v>
      </c>
    </row>
    <row r="35" spans="2:8">
      <c r="B35" t="s">
        <v>66</v>
      </c>
      <c r="C35" s="3">
        <v>47209</v>
      </c>
      <c r="D35">
        <v>120</v>
      </c>
      <c r="F35" t="s">
        <v>261</v>
      </c>
      <c r="G35" s="3">
        <v>47209</v>
      </c>
      <c r="H35">
        <f t="shared" si="0"/>
        <v>600</v>
      </c>
    </row>
    <row r="36" spans="2:8">
      <c r="B36" t="s">
        <v>66</v>
      </c>
      <c r="C36" s="3">
        <v>47209</v>
      </c>
      <c r="D36">
        <v>40</v>
      </c>
      <c r="F36" t="s">
        <v>279</v>
      </c>
      <c r="G36" s="3">
        <v>46204</v>
      </c>
      <c r="H36">
        <f t="shared" si="0"/>
        <v>25</v>
      </c>
    </row>
    <row r="37" spans="2:8">
      <c r="B37" t="s">
        <v>71</v>
      </c>
      <c r="C37" s="3">
        <v>46296</v>
      </c>
      <c r="D37">
        <v>280</v>
      </c>
      <c r="F37" t="s">
        <v>288</v>
      </c>
      <c r="G37" s="3">
        <v>47058</v>
      </c>
      <c r="H37">
        <f t="shared" si="0"/>
        <v>100</v>
      </c>
    </row>
    <row r="38" spans="2:8">
      <c r="B38" t="s">
        <v>71</v>
      </c>
      <c r="C38" s="3">
        <v>46296</v>
      </c>
      <c r="D38">
        <v>120</v>
      </c>
      <c r="F38" t="s">
        <v>293</v>
      </c>
      <c r="G38" s="3">
        <v>47058</v>
      </c>
      <c r="H38">
        <f t="shared" si="0"/>
        <v>10</v>
      </c>
    </row>
    <row r="39" spans="2:8">
      <c r="B39" t="s">
        <v>71</v>
      </c>
      <c r="C39" s="3">
        <v>46296</v>
      </c>
      <c r="D39">
        <v>8</v>
      </c>
      <c r="F39" t="s">
        <v>295</v>
      </c>
      <c r="G39" s="3">
        <v>46997</v>
      </c>
      <c r="H39">
        <f t="shared" si="0"/>
        <v>5</v>
      </c>
    </row>
    <row r="40" spans="2:8">
      <c r="B40" t="s">
        <v>71</v>
      </c>
      <c r="C40" s="3">
        <v>46296</v>
      </c>
      <c r="D40">
        <v>1</v>
      </c>
      <c r="F40" t="s">
        <v>328</v>
      </c>
      <c r="G40" s="3">
        <v>45931</v>
      </c>
      <c r="H40">
        <f t="shared" si="0"/>
        <v>40</v>
      </c>
    </row>
    <row r="41" spans="2:8">
      <c r="B41" t="s">
        <v>71</v>
      </c>
      <c r="C41" s="3">
        <v>46296</v>
      </c>
      <c r="D41">
        <v>1</v>
      </c>
      <c r="F41" t="s">
        <v>351</v>
      </c>
      <c r="G41" s="3">
        <v>47209</v>
      </c>
      <c r="H41">
        <f t="shared" si="0"/>
        <v>100</v>
      </c>
    </row>
    <row r="42" spans="2:8">
      <c r="B42" t="s">
        <v>71</v>
      </c>
      <c r="C42" s="3">
        <v>46296</v>
      </c>
      <c r="D42">
        <v>20</v>
      </c>
      <c r="F42" t="s">
        <v>352</v>
      </c>
      <c r="G42" s="3">
        <v>47209</v>
      </c>
      <c r="H42">
        <f t="shared" si="0"/>
        <v>550</v>
      </c>
    </row>
    <row r="43" spans="2:8">
      <c r="B43" t="s">
        <v>78</v>
      </c>
      <c r="C43" s="3">
        <v>47178</v>
      </c>
      <c r="D43">
        <v>15</v>
      </c>
      <c r="F43" t="s">
        <v>391</v>
      </c>
      <c r="G43" s="3">
        <v>46997</v>
      </c>
      <c r="H43">
        <f t="shared" si="0"/>
        <v>500</v>
      </c>
    </row>
    <row r="44" spans="2:8">
      <c r="B44" t="s">
        <v>78</v>
      </c>
      <c r="C44" s="3">
        <v>47178</v>
      </c>
      <c r="D44">
        <v>450</v>
      </c>
      <c r="F44" t="s">
        <v>394</v>
      </c>
      <c r="G44" s="3">
        <v>46784</v>
      </c>
      <c r="H44">
        <f t="shared" si="0"/>
        <v>20</v>
      </c>
    </row>
    <row r="45" spans="2:8">
      <c r="B45" t="s">
        <v>80</v>
      </c>
      <c r="C45" s="3">
        <v>46388</v>
      </c>
      <c r="D45">
        <v>1000</v>
      </c>
      <c r="F45" t="s">
        <v>397</v>
      </c>
      <c r="G45" s="3">
        <v>47027</v>
      </c>
      <c r="H45">
        <f t="shared" si="0"/>
        <v>60</v>
      </c>
    </row>
    <row r="46" spans="2:8">
      <c r="B46" t="s">
        <v>80</v>
      </c>
      <c r="C46" s="3">
        <v>46388</v>
      </c>
      <c r="D46">
        <v>10</v>
      </c>
      <c r="F46" t="s">
        <v>437</v>
      </c>
      <c r="G46" s="3">
        <v>45901</v>
      </c>
      <c r="H46">
        <f t="shared" si="0"/>
        <v>150</v>
      </c>
    </row>
    <row r="47" spans="2:8">
      <c r="B47" t="s">
        <v>83</v>
      </c>
      <c r="C47" s="3">
        <v>46388</v>
      </c>
      <c r="D47">
        <v>800</v>
      </c>
      <c r="F47" t="s">
        <v>440</v>
      </c>
      <c r="G47" s="3">
        <v>46054</v>
      </c>
      <c r="H47">
        <f t="shared" si="0"/>
        <v>620</v>
      </c>
    </row>
    <row r="48" spans="2:8">
      <c r="B48" t="s">
        <v>83</v>
      </c>
      <c r="C48" s="3">
        <v>46388</v>
      </c>
      <c r="D48">
        <v>200</v>
      </c>
      <c r="F48" t="s">
        <v>448</v>
      </c>
      <c r="G48" s="3">
        <v>45901</v>
      </c>
      <c r="H48">
        <f t="shared" si="0"/>
        <v>320</v>
      </c>
    </row>
    <row r="49" spans="2:8">
      <c r="B49" t="s">
        <v>83</v>
      </c>
      <c r="C49" s="3">
        <v>46388</v>
      </c>
      <c r="D49">
        <v>80</v>
      </c>
      <c r="F49" t="s">
        <v>476</v>
      </c>
      <c r="G49" s="3">
        <v>46569</v>
      </c>
      <c r="H49">
        <f t="shared" si="0"/>
        <v>120</v>
      </c>
    </row>
    <row r="50" spans="2:8">
      <c r="B50" t="s">
        <v>110</v>
      </c>
      <c r="C50" s="3">
        <v>47178</v>
      </c>
      <c r="D50">
        <v>20</v>
      </c>
      <c r="F50" t="s">
        <v>478</v>
      </c>
      <c r="G50" s="3">
        <v>46600</v>
      </c>
      <c r="H50">
        <f t="shared" si="0"/>
        <v>100</v>
      </c>
    </row>
    <row r="51" spans="2:8">
      <c r="B51" t="s">
        <v>110</v>
      </c>
      <c r="C51" s="3">
        <v>47178</v>
      </c>
      <c r="D51">
        <v>20</v>
      </c>
      <c r="F51" t="s">
        <v>505</v>
      </c>
      <c r="G51" s="3">
        <v>46661</v>
      </c>
      <c r="H51">
        <f t="shared" si="0"/>
        <v>16</v>
      </c>
    </row>
    <row r="52" spans="2:8">
      <c r="B52" t="s">
        <v>110</v>
      </c>
      <c r="C52" s="3">
        <v>47178</v>
      </c>
      <c r="D52">
        <v>40</v>
      </c>
      <c r="F52" t="s">
        <v>508</v>
      </c>
      <c r="G52" s="3">
        <v>47058</v>
      </c>
      <c r="H52">
        <f t="shared" si="0"/>
        <v>40</v>
      </c>
    </row>
    <row r="53" spans="2:8">
      <c r="B53" t="s">
        <v>110</v>
      </c>
      <c r="C53" s="3">
        <v>47178</v>
      </c>
      <c r="D53">
        <v>40</v>
      </c>
      <c r="F53" t="s">
        <v>519</v>
      </c>
      <c r="G53" s="3">
        <v>45748</v>
      </c>
      <c r="H53">
        <f t="shared" si="0"/>
        <v>60</v>
      </c>
    </row>
    <row r="54" spans="2:8">
      <c r="B54" t="s">
        <v>113</v>
      </c>
      <c r="C54" s="3">
        <v>46905</v>
      </c>
      <c r="D54">
        <v>120</v>
      </c>
      <c r="F54" t="s">
        <v>519</v>
      </c>
      <c r="G54" s="3">
        <v>45689</v>
      </c>
      <c r="H54">
        <f t="shared" si="0"/>
        <v>5</v>
      </c>
    </row>
    <row r="55" spans="2:8">
      <c r="B55" t="s">
        <v>113</v>
      </c>
      <c r="C55" s="3">
        <v>46905</v>
      </c>
      <c r="D55">
        <v>40</v>
      </c>
      <c r="F55" t="s">
        <v>522</v>
      </c>
      <c r="G55" s="3">
        <v>45689</v>
      </c>
      <c r="H55">
        <f t="shared" si="0"/>
        <v>450</v>
      </c>
    </row>
    <row r="56" spans="2:8">
      <c r="B56" t="s">
        <v>113</v>
      </c>
      <c r="C56" s="3">
        <v>46905</v>
      </c>
      <c r="D56">
        <v>40</v>
      </c>
      <c r="F56" t="s">
        <v>526</v>
      </c>
      <c r="G56" s="3">
        <v>46388</v>
      </c>
      <c r="H56">
        <f t="shared" si="0"/>
        <v>500</v>
      </c>
    </row>
    <row r="57" spans="2:8">
      <c r="B57" t="s">
        <v>116</v>
      </c>
      <c r="C57" s="3">
        <v>47178</v>
      </c>
      <c r="D57">
        <v>1250</v>
      </c>
      <c r="F57" t="s">
        <v>544</v>
      </c>
      <c r="G57" s="3">
        <v>46844</v>
      </c>
      <c r="H57">
        <f t="shared" si="0"/>
        <v>100</v>
      </c>
    </row>
    <row r="58" spans="2:8">
      <c r="B58" t="s">
        <v>116</v>
      </c>
      <c r="C58" s="3">
        <v>47178</v>
      </c>
      <c r="D58">
        <v>50</v>
      </c>
      <c r="F58" t="s">
        <v>547</v>
      </c>
      <c r="G58" s="3">
        <v>46874</v>
      </c>
      <c r="H58">
        <f t="shared" si="0"/>
        <v>1000</v>
      </c>
    </row>
    <row r="59" spans="2:8">
      <c r="B59" t="s">
        <v>154</v>
      </c>
      <c r="C59" s="3">
        <v>46113</v>
      </c>
      <c r="D59">
        <v>100</v>
      </c>
      <c r="F59" t="s">
        <v>554</v>
      </c>
      <c r="G59" s="3">
        <v>46784</v>
      </c>
      <c r="H59">
        <f t="shared" si="0"/>
        <v>40</v>
      </c>
    </row>
    <row r="60" spans="2:8">
      <c r="B60" t="s">
        <v>158</v>
      </c>
      <c r="C60" s="3">
        <v>46174</v>
      </c>
      <c r="D60">
        <v>20</v>
      </c>
      <c r="F60" t="s">
        <v>561</v>
      </c>
      <c r="G60" s="3">
        <v>46174</v>
      </c>
      <c r="H60">
        <f t="shared" si="0"/>
        <v>60</v>
      </c>
    </row>
    <row r="61" spans="2:8">
      <c r="B61" t="s">
        <v>163</v>
      </c>
      <c r="C61" s="3">
        <v>46266</v>
      </c>
      <c r="D61">
        <v>50</v>
      </c>
      <c r="F61" t="s">
        <v>563</v>
      </c>
      <c r="G61" s="3">
        <v>46174</v>
      </c>
      <c r="H61">
        <f t="shared" si="0"/>
        <v>7</v>
      </c>
    </row>
    <row r="62" spans="2:8">
      <c r="B62" t="s">
        <v>173</v>
      </c>
      <c r="C62" s="3">
        <v>47027</v>
      </c>
      <c r="D62">
        <v>80</v>
      </c>
      <c r="F62" t="s">
        <v>573</v>
      </c>
      <c r="G62" s="3">
        <v>46235</v>
      </c>
      <c r="H62">
        <f t="shared" si="0"/>
        <v>10</v>
      </c>
    </row>
    <row r="63" spans="2:8">
      <c r="B63" t="s">
        <v>187</v>
      </c>
      <c r="C63" s="3">
        <v>46539</v>
      </c>
      <c r="D63">
        <v>200</v>
      </c>
      <c r="F63" t="s">
        <v>588</v>
      </c>
      <c r="G63" s="3">
        <v>46935</v>
      </c>
      <c r="H63">
        <f t="shared" si="0"/>
        <v>240</v>
      </c>
    </row>
    <row r="64" spans="2:8">
      <c r="B64" t="s">
        <v>206</v>
      </c>
      <c r="C64" s="3">
        <v>45870</v>
      </c>
      <c r="D64">
        <v>60</v>
      </c>
      <c r="F64" t="s">
        <v>604</v>
      </c>
      <c r="G64" s="3">
        <v>47088</v>
      </c>
      <c r="H64">
        <f t="shared" si="0"/>
        <v>20</v>
      </c>
    </row>
    <row r="65" spans="2:8">
      <c r="B65" t="s">
        <v>206</v>
      </c>
      <c r="C65" s="3">
        <v>45870</v>
      </c>
      <c r="D65">
        <v>20</v>
      </c>
      <c r="F65" t="s">
        <v>612</v>
      </c>
      <c r="G65" s="3">
        <v>46905</v>
      </c>
      <c r="H65">
        <f t="shared" si="0"/>
        <v>300</v>
      </c>
    </row>
    <row r="66" spans="2:8">
      <c r="B66" t="s">
        <v>236</v>
      </c>
      <c r="C66" s="3">
        <v>47119</v>
      </c>
      <c r="D66">
        <v>1</v>
      </c>
      <c r="F66" t="s">
        <v>621</v>
      </c>
      <c r="G66" s="3">
        <v>46235</v>
      </c>
      <c r="H66">
        <f t="shared" si="0"/>
        <v>305</v>
      </c>
    </row>
    <row r="67" spans="2:8">
      <c r="B67" t="s">
        <v>238</v>
      </c>
      <c r="C67" s="3">
        <v>47270</v>
      </c>
      <c r="D67">
        <v>4</v>
      </c>
      <c r="F67" t="s">
        <v>622</v>
      </c>
      <c r="G67" s="3">
        <v>46266</v>
      </c>
      <c r="H67">
        <f t="shared" ref="H67:H130" si="1">SUMIFS(D67:D395,B67:B395,F67,C67:C395,G67)</f>
        <v>280</v>
      </c>
    </row>
    <row r="68" spans="2:8">
      <c r="B68" t="s">
        <v>261</v>
      </c>
      <c r="C68" s="3">
        <v>47209</v>
      </c>
      <c r="D68">
        <v>100</v>
      </c>
      <c r="F68" t="s">
        <v>635</v>
      </c>
      <c r="G68" s="3">
        <v>46539</v>
      </c>
      <c r="H68">
        <f t="shared" si="1"/>
        <v>100</v>
      </c>
    </row>
    <row r="69" spans="2:8">
      <c r="B69" t="s">
        <v>261</v>
      </c>
      <c r="C69" s="3">
        <v>47209</v>
      </c>
      <c r="D69">
        <v>500</v>
      </c>
      <c r="F69" t="s">
        <v>656</v>
      </c>
      <c r="G69" s="3">
        <v>46054</v>
      </c>
      <c r="H69">
        <f t="shared" si="1"/>
        <v>500</v>
      </c>
    </row>
    <row r="70" spans="2:8">
      <c r="B70" t="s">
        <v>279</v>
      </c>
      <c r="C70" s="3">
        <v>46204</v>
      </c>
      <c r="D70">
        <v>25</v>
      </c>
      <c r="F70" t="s">
        <v>660</v>
      </c>
      <c r="G70" s="3">
        <v>46327</v>
      </c>
      <c r="H70">
        <f t="shared" si="1"/>
        <v>1960</v>
      </c>
    </row>
    <row r="71" spans="2:8">
      <c r="B71" t="s">
        <v>288</v>
      </c>
      <c r="C71" s="3">
        <v>47058</v>
      </c>
      <c r="D71">
        <v>100</v>
      </c>
      <c r="F71" t="s">
        <v>666</v>
      </c>
      <c r="G71" s="3">
        <v>47058</v>
      </c>
      <c r="H71">
        <f t="shared" si="1"/>
        <v>30</v>
      </c>
    </row>
    <row r="72" spans="2:8">
      <c r="B72" t="s">
        <v>293</v>
      </c>
      <c r="C72" s="3">
        <v>47058</v>
      </c>
      <c r="D72">
        <v>10</v>
      </c>
      <c r="F72" t="s">
        <v>755</v>
      </c>
      <c r="G72" s="3">
        <v>47239</v>
      </c>
      <c r="H72">
        <f t="shared" si="1"/>
        <v>250</v>
      </c>
    </row>
    <row r="73" spans="2:8">
      <c r="B73" t="s">
        <v>295</v>
      </c>
      <c r="C73" s="3">
        <v>46997</v>
      </c>
      <c r="D73">
        <v>5</v>
      </c>
      <c r="F73" t="s">
        <v>766</v>
      </c>
      <c r="G73" s="3">
        <v>47150</v>
      </c>
      <c r="H73">
        <f t="shared" si="1"/>
        <v>800</v>
      </c>
    </row>
    <row r="74" spans="2:8">
      <c r="B74" t="s">
        <v>328</v>
      </c>
      <c r="C74" s="3">
        <v>45931</v>
      </c>
      <c r="D74">
        <v>40</v>
      </c>
      <c r="F74" t="s">
        <v>819</v>
      </c>
      <c r="G74" s="3">
        <v>46692</v>
      </c>
      <c r="H74">
        <f t="shared" si="1"/>
        <v>125</v>
      </c>
    </row>
    <row r="75" spans="2:8">
      <c r="B75" t="s">
        <v>351</v>
      </c>
      <c r="C75" s="3">
        <v>47209</v>
      </c>
      <c r="D75">
        <v>100</v>
      </c>
      <c r="F75" t="s">
        <v>825</v>
      </c>
      <c r="G75" s="3">
        <v>46419</v>
      </c>
      <c r="H75">
        <f t="shared" si="1"/>
        <v>100</v>
      </c>
    </row>
    <row r="76" spans="2:8">
      <c r="B76" t="s">
        <v>352</v>
      </c>
      <c r="C76" s="3">
        <v>47209</v>
      </c>
      <c r="D76">
        <v>500</v>
      </c>
      <c r="F76" t="s">
        <v>1036</v>
      </c>
      <c r="G76" s="3">
        <v>46235</v>
      </c>
      <c r="H76">
        <f t="shared" si="1"/>
        <v>150</v>
      </c>
    </row>
    <row r="77" spans="2:8">
      <c r="B77" t="s">
        <v>352</v>
      </c>
      <c r="C77" s="3">
        <v>47209</v>
      </c>
      <c r="D77">
        <v>50</v>
      </c>
      <c r="F77" t="s">
        <v>1039</v>
      </c>
      <c r="G77" s="3">
        <v>47178</v>
      </c>
      <c r="H77">
        <f t="shared" si="1"/>
        <v>20</v>
      </c>
    </row>
    <row r="78" spans="2:8">
      <c r="B78" t="s">
        <v>391</v>
      </c>
      <c r="C78" s="3">
        <v>46997</v>
      </c>
      <c r="D78">
        <v>500</v>
      </c>
      <c r="F78" t="s">
        <v>1224</v>
      </c>
      <c r="G78" s="3">
        <v>45870</v>
      </c>
      <c r="H78">
        <f t="shared" si="1"/>
        <v>20</v>
      </c>
    </row>
    <row r="79" spans="2:8">
      <c r="B79" t="s">
        <v>394</v>
      </c>
      <c r="C79" s="3">
        <v>46784</v>
      </c>
      <c r="D79">
        <v>20</v>
      </c>
      <c r="F79" t="s">
        <v>1235</v>
      </c>
      <c r="G79" s="3">
        <v>46447</v>
      </c>
      <c r="H79">
        <f t="shared" si="1"/>
        <v>150</v>
      </c>
    </row>
    <row r="80" spans="2:8">
      <c r="B80" t="s">
        <v>397</v>
      </c>
      <c r="C80" s="3">
        <v>47027</v>
      </c>
      <c r="D80">
        <v>60</v>
      </c>
      <c r="F80" t="s">
        <v>1236</v>
      </c>
      <c r="G80" s="3">
        <v>46419</v>
      </c>
      <c r="H80">
        <f t="shared" si="1"/>
        <v>50</v>
      </c>
    </row>
    <row r="81" spans="2:8">
      <c r="B81" t="s">
        <v>437</v>
      </c>
      <c r="C81" s="3">
        <v>45901</v>
      </c>
      <c r="D81">
        <v>150</v>
      </c>
      <c r="F81" t="s">
        <v>1238</v>
      </c>
      <c r="G81" s="3">
        <v>45870</v>
      </c>
      <c r="H81">
        <f t="shared" si="1"/>
        <v>96</v>
      </c>
    </row>
    <row r="82" spans="2:8">
      <c r="B82" t="s">
        <v>440</v>
      </c>
      <c r="C82" s="3">
        <v>46054</v>
      </c>
      <c r="D82">
        <v>20</v>
      </c>
      <c r="F82" t="s">
        <v>1256</v>
      </c>
      <c r="G82" s="3">
        <v>47178</v>
      </c>
      <c r="H82">
        <f t="shared" si="1"/>
        <v>10</v>
      </c>
    </row>
    <row r="83" spans="2:8">
      <c r="B83" t="s">
        <v>440</v>
      </c>
      <c r="C83" s="3">
        <v>46054</v>
      </c>
      <c r="D83">
        <v>300</v>
      </c>
      <c r="F83" t="s">
        <v>1257</v>
      </c>
      <c r="G83" s="3">
        <v>47119</v>
      </c>
      <c r="H83">
        <f t="shared" si="1"/>
        <v>60</v>
      </c>
    </row>
    <row r="84" spans="2:8">
      <c r="B84" t="s">
        <v>440</v>
      </c>
      <c r="C84" s="3">
        <v>46054</v>
      </c>
      <c r="D84">
        <v>300</v>
      </c>
      <c r="F84" t="s">
        <v>1259</v>
      </c>
      <c r="G84" s="3">
        <v>47150</v>
      </c>
      <c r="H84">
        <f t="shared" si="1"/>
        <v>80</v>
      </c>
    </row>
    <row r="85" spans="2:8">
      <c r="B85" t="s">
        <v>448</v>
      </c>
      <c r="C85" s="3">
        <v>45901</v>
      </c>
      <c r="D85">
        <v>20</v>
      </c>
      <c r="F85" t="s">
        <v>1292</v>
      </c>
      <c r="G85" s="3">
        <v>46023</v>
      </c>
      <c r="H85">
        <f t="shared" si="1"/>
        <v>1500</v>
      </c>
    </row>
    <row r="86" spans="2:8">
      <c r="B86" t="s">
        <v>448</v>
      </c>
      <c r="C86" s="3">
        <v>45901</v>
      </c>
      <c r="D86">
        <v>300</v>
      </c>
      <c r="F86" t="s">
        <v>1322</v>
      </c>
      <c r="G86" s="3">
        <v>47088</v>
      </c>
      <c r="H86">
        <f t="shared" si="1"/>
        <v>80</v>
      </c>
    </row>
    <row r="87" spans="2:8">
      <c r="B87" t="s">
        <v>476</v>
      </c>
      <c r="C87" s="3">
        <v>46569</v>
      </c>
      <c r="D87">
        <v>100</v>
      </c>
      <c r="F87" t="s">
        <v>1324</v>
      </c>
      <c r="G87" s="3">
        <v>47209</v>
      </c>
      <c r="H87">
        <f t="shared" si="1"/>
        <v>160</v>
      </c>
    </row>
    <row r="88" spans="2:8">
      <c r="B88" t="s">
        <v>476</v>
      </c>
      <c r="C88" s="3">
        <v>46569</v>
      </c>
      <c r="D88">
        <v>20</v>
      </c>
      <c r="F88" t="s">
        <v>1325</v>
      </c>
      <c r="G88" s="3">
        <v>45931</v>
      </c>
      <c r="H88">
        <f t="shared" si="1"/>
        <v>16400</v>
      </c>
    </row>
    <row r="89" spans="2:8">
      <c r="B89" t="s">
        <v>478</v>
      </c>
      <c r="C89" s="3">
        <v>46600</v>
      </c>
      <c r="D89">
        <v>100</v>
      </c>
      <c r="F89" t="s">
        <v>1327</v>
      </c>
      <c r="G89" s="3">
        <v>46054</v>
      </c>
      <c r="H89">
        <f t="shared" si="1"/>
        <v>20</v>
      </c>
    </row>
    <row r="90" spans="2:8">
      <c r="B90" t="s">
        <v>505</v>
      </c>
      <c r="C90" s="3">
        <v>46661</v>
      </c>
      <c r="D90">
        <v>16</v>
      </c>
      <c r="F90" t="s">
        <v>1328</v>
      </c>
      <c r="G90" s="3">
        <v>46204</v>
      </c>
      <c r="H90">
        <f t="shared" si="1"/>
        <v>40</v>
      </c>
    </row>
    <row r="91" spans="2:8">
      <c r="B91" t="s">
        <v>508</v>
      </c>
      <c r="C91" s="3">
        <v>47058</v>
      </c>
      <c r="D91">
        <v>40</v>
      </c>
      <c r="F91" t="s">
        <v>1339</v>
      </c>
      <c r="G91" s="3">
        <v>47270</v>
      </c>
      <c r="H91">
        <f t="shared" si="1"/>
        <v>1000</v>
      </c>
    </row>
    <row r="92" spans="2:8">
      <c r="B92" t="s">
        <v>519</v>
      </c>
      <c r="C92" s="3">
        <v>45748</v>
      </c>
      <c r="D92">
        <v>60</v>
      </c>
      <c r="F92" t="s">
        <v>1428</v>
      </c>
      <c r="G92" s="3">
        <v>45962</v>
      </c>
      <c r="H92">
        <f t="shared" si="1"/>
        <v>640</v>
      </c>
    </row>
    <row r="93" spans="2:8">
      <c r="B93" t="s">
        <v>519</v>
      </c>
      <c r="C93" s="3">
        <v>45689</v>
      </c>
      <c r="D93">
        <v>1</v>
      </c>
      <c r="F93" t="s">
        <v>1437</v>
      </c>
      <c r="G93" s="3">
        <v>47239</v>
      </c>
      <c r="H93">
        <f t="shared" si="1"/>
        <v>24</v>
      </c>
    </row>
    <row r="94" spans="2:8">
      <c r="B94" t="s">
        <v>519</v>
      </c>
      <c r="C94" s="3">
        <v>45689</v>
      </c>
      <c r="D94">
        <v>4</v>
      </c>
      <c r="F94" t="s">
        <v>1438</v>
      </c>
      <c r="G94" s="3">
        <v>46813</v>
      </c>
      <c r="H94">
        <f t="shared" si="1"/>
        <v>24</v>
      </c>
    </row>
    <row r="95" spans="2:8">
      <c r="B95" t="s">
        <v>522</v>
      </c>
      <c r="C95" s="3">
        <v>45689</v>
      </c>
      <c r="D95">
        <v>200</v>
      </c>
      <c r="F95" t="s">
        <v>1482</v>
      </c>
      <c r="G95" s="3">
        <v>46143</v>
      </c>
      <c r="H95">
        <f t="shared" si="1"/>
        <v>20</v>
      </c>
    </row>
    <row r="96" spans="2:8">
      <c r="B96" t="s">
        <v>522</v>
      </c>
      <c r="C96" s="3">
        <v>45689</v>
      </c>
      <c r="D96">
        <v>40</v>
      </c>
      <c r="F96" t="s">
        <v>1483</v>
      </c>
      <c r="G96" s="3">
        <v>46419</v>
      </c>
      <c r="H96">
        <f t="shared" si="1"/>
        <v>40</v>
      </c>
    </row>
    <row r="97" spans="2:8">
      <c r="B97" t="s">
        <v>522</v>
      </c>
      <c r="C97" s="3">
        <v>45689</v>
      </c>
      <c r="D97">
        <v>200</v>
      </c>
      <c r="F97" t="s">
        <v>1487</v>
      </c>
      <c r="G97" s="3">
        <v>46874</v>
      </c>
      <c r="H97">
        <f t="shared" si="1"/>
        <v>160</v>
      </c>
    </row>
    <row r="98" spans="2:8">
      <c r="B98" t="s">
        <v>522</v>
      </c>
      <c r="C98" s="3">
        <v>45689</v>
      </c>
      <c r="D98">
        <v>10</v>
      </c>
      <c r="F98" t="s">
        <v>1509</v>
      </c>
      <c r="G98" s="3">
        <v>46054</v>
      </c>
      <c r="H98">
        <f t="shared" si="1"/>
        <v>48</v>
      </c>
    </row>
    <row r="99" spans="2:8">
      <c r="B99" t="s">
        <v>526</v>
      </c>
      <c r="C99" s="3">
        <v>46388</v>
      </c>
      <c r="D99">
        <v>500</v>
      </c>
      <c r="F99" t="s">
        <v>1555</v>
      </c>
      <c r="G99" s="3">
        <v>46478</v>
      </c>
      <c r="H99">
        <f t="shared" si="1"/>
        <v>40</v>
      </c>
    </row>
    <row r="100" spans="2:8">
      <c r="B100" t="s">
        <v>544</v>
      </c>
      <c r="C100" s="3">
        <v>46844</v>
      </c>
      <c r="D100">
        <v>100</v>
      </c>
      <c r="F100" t="s">
        <v>1577</v>
      </c>
      <c r="G100" s="3">
        <v>46844</v>
      </c>
      <c r="H100">
        <f t="shared" si="1"/>
        <v>15</v>
      </c>
    </row>
    <row r="101" spans="2:8">
      <c r="B101" t="s">
        <v>547</v>
      </c>
      <c r="C101" s="3">
        <v>46874</v>
      </c>
      <c r="D101">
        <v>500</v>
      </c>
      <c r="F101" t="s">
        <v>1578</v>
      </c>
      <c r="G101" s="3">
        <v>47088</v>
      </c>
      <c r="H101">
        <f t="shared" si="1"/>
        <v>60</v>
      </c>
    </row>
    <row r="102" spans="2:8">
      <c r="B102" t="s">
        <v>547</v>
      </c>
      <c r="C102" s="3">
        <v>46874</v>
      </c>
      <c r="D102">
        <v>100</v>
      </c>
      <c r="F102" t="s">
        <v>1579</v>
      </c>
      <c r="G102" s="3">
        <v>47178</v>
      </c>
      <c r="H102">
        <f t="shared" si="1"/>
        <v>20</v>
      </c>
    </row>
    <row r="103" spans="2:8">
      <c r="B103" t="s">
        <v>547</v>
      </c>
      <c r="C103" s="3">
        <v>46874</v>
      </c>
      <c r="D103">
        <v>200</v>
      </c>
      <c r="F103" t="s">
        <v>1583</v>
      </c>
      <c r="G103" s="3">
        <v>46235</v>
      </c>
      <c r="H103">
        <f t="shared" si="1"/>
        <v>10</v>
      </c>
    </row>
    <row r="104" spans="2:8">
      <c r="B104" t="s">
        <v>547</v>
      </c>
      <c r="C104" s="3">
        <v>46874</v>
      </c>
      <c r="D104">
        <v>200</v>
      </c>
      <c r="F104" t="s">
        <v>1590</v>
      </c>
      <c r="G104" s="3">
        <v>46905</v>
      </c>
      <c r="H104">
        <f t="shared" si="1"/>
        <v>15</v>
      </c>
    </row>
    <row r="105" spans="2:8">
      <c r="B105" t="s">
        <v>554</v>
      </c>
      <c r="C105" s="3">
        <v>46784</v>
      </c>
      <c r="D105">
        <v>40</v>
      </c>
      <c r="F105" t="s">
        <v>1594</v>
      </c>
      <c r="G105" s="3">
        <v>47150</v>
      </c>
      <c r="H105">
        <f t="shared" si="1"/>
        <v>20</v>
      </c>
    </row>
    <row r="106" spans="2:8">
      <c r="B106" t="s">
        <v>561</v>
      </c>
      <c r="C106" s="3">
        <v>46174</v>
      </c>
      <c r="D106">
        <v>60</v>
      </c>
      <c r="F106" t="s">
        <v>1607</v>
      </c>
      <c r="G106" s="3">
        <v>46935</v>
      </c>
      <c r="H106">
        <f t="shared" si="1"/>
        <v>10</v>
      </c>
    </row>
    <row r="107" spans="2:8">
      <c r="B107" t="s">
        <v>563</v>
      </c>
      <c r="C107" s="3">
        <v>46174</v>
      </c>
      <c r="D107">
        <v>7</v>
      </c>
      <c r="F107" t="s">
        <v>1608</v>
      </c>
      <c r="G107" s="3">
        <v>46935</v>
      </c>
      <c r="H107">
        <f t="shared" si="1"/>
        <v>490</v>
      </c>
    </row>
    <row r="108" spans="2:8">
      <c r="B108" t="s">
        <v>573</v>
      </c>
      <c r="C108" s="3">
        <v>46235</v>
      </c>
      <c r="D108">
        <v>10</v>
      </c>
      <c r="F108" t="s">
        <v>1618</v>
      </c>
      <c r="G108" s="3">
        <v>45992</v>
      </c>
      <c r="H108">
        <f t="shared" si="1"/>
        <v>2445</v>
      </c>
    </row>
    <row r="109" spans="2:8">
      <c r="B109" t="s">
        <v>588</v>
      </c>
      <c r="C109" s="3">
        <v>46935</v>
      </c>
      <c r="D109">
        <v>80</v>
      </c>
      <c r="F109" t="s">
        <v>1620</v>
      </c>
      <c r="G109" s="3">
        <v>45778</v>
      </c>
      <c r="H109">
        <f t="shared" si="1"/>
        <v>35</v>
      </c>
    </row>
    <row r="110" spans="2:8">
      <c r="B110" t="s">
        <v>588</v>
      </c>
      <c r="C110" s="3">
        <v>46935</v>
      </c>
      <c r="D110">
        <v>160</v>
      </c>
      <c r="F110" t="s">
        <v>1669</v>
      </c>
      <c r="G110" s="3">
        <v>46753</v>
      </c>
      <c r="H110">
        <f t="shared" si="1"/>
        <v>100</v>
      </c>
    </row>
    <row r="111" spans="2:8">
      <c r="B111" t="s">
        <v>604</v>
      </c>
      <c r="C111" s="3">
        <v>47088</v>
      </c>
      <c r="D111">
        <v>20</v>
      </c>
      <c r="F111" t="s">
        <v>1678</v>
      </c>
      <c r="G111" s="3">
        <v>46266</v>
      </c>
      <c r="H111">
        <f t="shared" si="1"/>
        <v>80</v>
      </c>
    </row>
    <row r="112" spans="2:8">
      <c r="B112" t="s">
        <v>612</v>
      </c>
      <c r="C112" s="3">
        <v>46905</v>
      </c>
      <c r="D112">
        <v>300</v>
      </c>
      <c r="F112" t="s">
        <v>1705</v>
      </c>
      <c r="G112" s="3">
        <v>46419</v>
      </c>
      <c r="H112">
        <f t="shared" si="1"/>
        <v>20</v>
      </c>
    </row>
    <row r="113" spans="2:8">
      <c r="B113" t="s">
        <v>621</v>
      </c>
      <c r="C113" s="3">
        <v>46235</v>
      </c>
      <c r="D113">
        <v>200</v>
      </c>
      <c r="F113" t="s">
        <v>1707</v>
      </c>
      <c r="G113" s="3">
        <v>46874</v>
      </c>
      <c r="H113">
        <f t="shared" si="1"/>
        <v>200</v>
      </c>
    </row>
    <row r="114" spans="2:8">
      <c r="B114" t="s">
        <v>621</v>
      </c>
      <c r="C114" s="3">
        <v>46235</v>
      </c>
      <c r="D114">
        <v>40</v>
      </c>
      <c r="F114" t="s">
        <v>1709</v>
      </c>
      <c r="G114" s="3">
        <v>47209</v>
      </c>
      <c r="H114">
        <f t="shared" si="1"/>
        <v>100</v>
      </c>
    </row>
    <row r="115" spans="2:8">
      <c r="B115" t="s">
        <v>621</v>
      </c>
      <c r="C115" s="3">
        <v>46235</v>
      </c>
      <c r="D115">
        <v>5</v>
      </c>
      <c r="F115" t="s">
        <v>1710</v>
      </c>
      <c r="G115" s="3">
        <v>47239</v>
      </c>
      <c r="H115">
        <f t="shared" si="1"/>
        <v>200</v>
      </c>
    </row>
    <row r="116" spans="2:8">
      <c r="B116" t="s">
        <v>621</v>
      </c>
      <c r="C116" s="3">
        <v>46235</v>
      </c>
      <c r="D116">
        <v>5</v>
      </c>
      <c r="F116" t="s">
        <v>1715</v>
      </c>
      <c r="G116" s="3">
        <v>45566</v>
      </c>
      <c r="H116">
        <f t="shared" si="1"/>
        <v>40</v>
      </c>
    </row>
    <row r="117" spans="2:8">
      <c r="B117" t="s">
        <v>621</v>
      </c>
      <c r="C117" s="3">
        <v>46235</v>
      </c>
      <c r="D117">
        <v>15</v>
      </c>
      <c r="F117" t="s">
        <v>1720</v>
      </c>
      <c r="G117" s="3">
        <v>47027</v>
      </c>
      <c r="H117">
        <f t="shared" si="1"/>
        <v>2</v>
      </c>
    </row>
    <row r="118" spans="2:8">
      <c r="B118" t="s">
        <v>621</v>
      </c>
      <c r="C118" s="3">
        <v>46235</v>
      </c>
      <c r="D118">
        <v>40</v>
      </c>
      <c r="F118" t="s">
        <v>1720</v>
      </c>
      <c r="G118" s="3">
        <v>46357</v>
      </c>
      <c r="H118">
        <f t="shared" si="1"/>
        <v>8</v>
      </c>
    </row>
    <row r="119" spans="2:8">
      <c r="B119" t="s">
        <v>622</v>
      </c>
      <c r="C119" s="3">
        <v>46266</v>
      </c>
      <c r="D119">
        <v>250</v>
      </c>
      <c r="F119" t="s">
        <v>1732</v>
      </c>
      <c r="G119" s="3">
        <v>45505</v>
      </c>
      <c r="H119">
        <f t="shared" si="1"/>
        <v>120</v>
      </c>
    </row>
    <row r="120" spans="2:8">
      <c r="B120" t="s">
        <v>622</v>
      </c>
      <c r="C120" s="3">
        <v>46266</v>
      </c>
      <c r="D120">
        <v>10</v>
      </c>
      <c r="F120" t="s">
        <v>1738</v>
      </c>
      <c r="G120" s="3">
        <v>46174</v>
      </c>
      <c r="H120">
        <f t="shared" si="1"/>
        <v>650</v>
      </c>
    </row>
    <row r="121" spans="2:8">
      <c r="B121" t="s">
        <v>622</v>
      </c>
      <c r="C121" s="3">
        <v>46266</v>
      </c>
      <c r="D121">
        <v>20</v>
      </c>
      <c r="F121" t="s">
        <v>1741</v>
      </c>
      <c r="G121" s="3">
        <v>45809</v>
      </c>
      <c r="H121">
        <f t="shared" si="1"/>
        <v>2000</v>
      </c>
    </row>
    <row r="122" spans="2:8">
      <c r="B122" t="s">
        <v>635</v>
      </c>
      <c r="C122" s="3">
        <v>46539</v>
      </c>
      <c r="D122">
        <v>100</v>
      </c>
      <c r="F122" t="s">
        <v>1745</v>
      </c>
      <c r="G122" s="3">
        <v>47058</v>
      </c>
      <c r="H122">
        <f t="shared" si="1"/>
        <v>9</v>
      </c>
    </row>
    <row r="123" spans="2:8">
      <c r="B123" t="s">
        <v>656</v>
      </c>
      <c r="C123" s="3">
        <v>46054</v>
      </c>
      <c r="D123">
        <v>500</v>
      </c>
      <c r="F123" t="s">
        <v>1745</v>
      </c>
      <c r="G123" s="3">
        <v>47150</v>
      </c>
      <c r="H123">
        <f t="shared" si="1"/>
        <v>200</v>
      </c>
    </row>
    <row r="124" spans="2:8">
      <c r="B124" t="s">
        <v>660</v>
      </c>
      <c r="C124" s="3">
        <v>46327</v>
      </c>
      <c r="D124">
        <v>100</v>
      </c>
      <c r="F124" t="s">
        <v>1746</v>
      </c>
      <c r="G124" s="3">
        <v>46143</v>
      </c>
      <c r="H124">
        <f t="shared" si="1"/>
        <v>24</v>
      </c>
    </row>
    <row r="125" spans="2:8">
      <c r="B125" t="s">
        <v>660</v>
      </c>
      <c r="C125" s="3">
        <v>46327</v>
      </c>
      <c r="D125">
        <v>1200</v>
      </c>
      <c r="F125" t="s">
        <v>1748</v>
      </c>
      <c r="G125" s="3">
        <v>46143</v>
      </c>
      <c r="H125">
        <f t="shared" si="1"/>
        <v>1104</v>
      </c>
    </row>
    <row r="126" spans="2:8">
      <c r="B126" t="s">
        <v>660</v>
      </c>
      <c r="C126" s="3">
        <v>46327</v>
      </c>
      <c r="D126">
        <v>260</v>
      </c>
      <c r="F126" t="s">
        <v>1750</v>
      </c>
      <c r="G126" s="3">
        <v>46143</v>
      </c>
      <c r="H126">
        <f t="shared" si="1"/>
        <v>1760</v>
      </c>
    </row>
    <row r="127" spans="2:8">
      <c r="B127" t="s">
        <v>660</v>
      </c>
      <c r="C127" s="3">
        <v>46327</v>
      </c>
      <c r="D127">
        <v>400</v>
      </c>
      <c r="F127" t="s">
        <v>1761</v>
      </c>
      <c r="G127" s="3">
        <v>45597</v>
      </c>
      <c r="H127">
        <f t="shared" si="1"/>
        <v>5</v>
      </c>
    </row>
    <row r="128" spans="2:8">
      <c r="B128" t="s">
        <v>666</v>
      </c>
      <c r="C128" s="3">
        <v>47058</v>
      </c>
      <c r="D128">
        <v>30</v>
      </c>
      <c r="F128" t="s">
        <v>1771</v>
      </c>
      <c r="G128" s="3">
        <v>46023</v>
      </c>
      <c r="H128">
        <f t="shared" si="1"/>
        <v>5</v>
      </c>
    </row>
    <row r="129" spans="2:8">
      <c r="B129" t="s">
        <v>755</v>
      </c>
      <c r="C129" s="3">
        <v>47239</v>
      </c>
      <c r="D129">
        <v>250</v>
      </c>
      <c r="F129" t="s">
        <v>1792</v>
      </c>
      <c r="G129" s="3">
        <v>47239</v>
      </c>
      <c r="H129">
        <f t="shared" si="1"/>
        <v>1200</v>
      </c>
    </row>
    <row r="130" spans="2:8">
      <c r="B130" t="s">
        <v>766</v>
      </c>
      <c r="C130" s="3">
        <v>47150</v>
      </c>
      <c r="D130">
        <v>50</v>
      </c>
      <c r="F130" t="s">
        <v>1794</v>
      </c>
      <c r="G130" s="3">
        <v>47239</v>
      </c>
      <c r="H130">
        <f t="shared" si="1"/>
        <v>320</v>
      </c>
    </row>
    <row r="131" spans="2:8">
      <c r="B131" t="s">
        <v>766</v>
      </c>
      <c r="C131" s="3">
        <v>47150</v>
      </c>
      <c r="D131">
        <v>250</v>
      </c>
      <c r="F131" t="s">
        <v>1803</v>
      </c>
      <c r="G131" s="3">
        <v>46113</v>
      </c>
      <c r="H131">
        <f t="shared" ref="H131:H194" si="2">SUMIFS(D131:D459,B131:B459,F131,C131:C459,G131)</f>
        <v>2500</v>
      </c>
    </row>
    <row r="132" spans="2:8">
      <c r="B132" t="s">
        <v>766</v>
      </c>
      <c r="C132" s="3">
        <v>47150</v>
      </c>
      <c r="D132">
        <v>500</v>
      </c>
      <c r="F132" t="s">
        <v>1811</v>
      </c>
      <c r="G132" s="3">
        <v>46082</v>
      </c>
      <c r="H132">
        <f t="shared" si="2"/>
        <v>10</v>
      </c>
    </row>
    <row r="133" spans="2:8">
      <c r="B133" t="s">
        <v>819</v>
      </c>
      <c r="C133" s="3">
        <v>46692</v>
      </c>
      <c r="D133">
        <v>125</v>
      </c>
      <c r="F133" t="s">
        <v>1841</v>
      </c>
      <c r="G133" s="3">
        <v>45992</v>
      </c>
      <c r="H133">
        <f t="shared" si="2"/>
        <v>280</v>
      </c>
    </row>
    <row r="134" spans="2:8">
      <c r="B134" t="s">
        <v>825</v>
      </c>
      <c r="C134" s="3">
        <v>46419</v>
      </c>
      <c r="D134">
        <v>100</v>
      </c>
      <c r="F134" t="s">
        <v>1858</v>
      </c>
      <c r="G134" s="3">
        <v>46113</v>
      </c>
      <c r="H134">
        <f t="shared" si="2"/>
        <v>1850</v>
      </c>
    </row>
    <row r="135" spans="2:8">
      <c r="B135" t="s">
        <v>1036</v>
      </c>
      <c r="C135" s="3">
        <v>46235</v>
      </c>
      <c r="D135">
        <v>150</v>
      </c>
      <c r="F135" t="s">
        <v>1894</v>
      </c>
      <c r="G135" s="3">
        <v>47088</v>
      </c>
      <c r="H135">
        <f t="shared" si="2"/>
        <v>40</v>
      </c>
    </row>
    <row r="136" spans="2:8">
      <c r="B136" t="s">
        <v>1039</v>
      </c>
      <c r="C136" s="3">
        <v>47178</v>
      </c>
      <c r="D136">
        <v>20</v>
      </c>
      <c r="F136" t="s">
        <v>1895</v>
      </c>
      <c r="G136" s="3">
        <v>46478</v>
      </c>
      <c r="H136">
        <f t="shared" si="2"/>
        <v>50</v>
      </c>
    </row>
    <row r="137" spans="2:8">
      <c r="B137" t="s">
        <v>1224</v>
      </c>
      <c r="C137" s="3">
        <v>45870</v>
      </c>
      <c r="D137">
        <v>20</v>
      </c>
      <c r="F137" t="s">
        <v>1905</v>
      </c>
      <c r="G137" s="3">
        <v>46054</v>
      </c>
      <c r="H137">
        <f t="shared" si="2"/>
        <v>10</v>
      </c>
    </row>
    <row r="138" spans="2:8">
      <c r="B138" t="s">
        <v>1235</v>
      </c>
      <c r="C138" s="3">
        <v>46447</v>
      </c>
      <c r="D138">
        <v>150</v>
      </c>
      <c r="F138" t="s">
        <v>1934</v>
      </c>
      <c r="G138" s="3">
        <v>46844</v>
      </c>
      <c r="H138">
        <f t="shared" si="2"/>
        <v>5</v>
      </c>
    </row>
    <row r="139" spans="2:8">
      <c r="B139" t="s">
        <v>1236</v>
      </c>
      <c r="C139" s="3">
        <v>46419</v>
      </c>
      <c r="D139">
        <v>50</v>
      </c>
      <c r="F139" t="s">
        <v>1940</v>
      </c>
      <c r="G139" s="3">
        <v>46874</v>
      </c>
      <c r="H139">
        <f t="shared" si="2"/>
        <v>20</v>
      </c>
    </row>
    <row r="140" spans="2:8">
      <c r="B140" t="s">
        <v>1238</v>
      </c>
      <c r="C140" s="3">
        <v>45870</v>
      </c>
      <c r="D140">
        <v>48</v>
      </c>
      <c r="F140" t="s">
        <v>1971</v>
      </c>
      <c r="G140" s="3">
        <v>47239</v>
      </c>
      <c r="H140">
        <f t="shared" si="2"/>
        <v>220</v>
      </c>
    </row>
    <row r="141" spans="2:8">
      <c r="B141" t="s">
        <v>1238</v>
      </c>
      <c r="C141" s="3">
        <v>45870</v>
      </c>
      <c r="D141">
        <v>48</v>
      </c>
      <c r="F141" t="s">
        <v>1979</v>
      </c>
      <c r="G141" s="3">
        <v>45931</v>
      </c>
      <c r="H141">
        <f t="shared" si="2"/>
        <v>20</v>
      </c>
    </row>
    <row r="142" spans="2:8">
      <c r="B142" t="s">
        <v>1256</v>
      </c>
      <c r="C142" s="3">
        <v>47178</v>
      </c>
      <c r="D142">
        <v>10</v>
      </c>
      <c r="F142" t="s">
        <v>1991</v>
      </c>
      <c r="G142" s="3">
        <v>47088</v>
      </c>
      <c r="H142">
        <f t="shared" si="2"/>
        <v>100</v>
      </c>
    </row>
    <row r="143" spans="2:8">
      <c r="B143" t="s">
        <v>1257</v>
      </c>
      <c r="C143" s="3">
        <v>47119</v>
      </c>
      <c r="D143">
        <v>40</v>
      </c>
      <c r="F143" t="s">
        <v>1992</v>
      </c>
      <c r="G143" s="3">
        <v>46569</v>
      </c>
      <c r="H143">
        <f t="shared" si="2"/>
        <v>20</v>
      </c>
    </row>
    <row r="144" spans="2:8">
      <c r="B144" t="s">
        <v>1257</v>
      </c>
      <c r="C144" s="3">
        <v>47119</v>
      </c>
      <c r="D144">
        <v>20</v>
      </c>
      <c r="F144" t="s">
        <v>2049</v>
      </c>
      <c r="G144" s="3">
        <v>46813</v>
      </c>
      <c r="H144">
        <f t="shared" si="2"/>
        <v>200</v>
      </c>
    </row>
    <row r="145" spans="2:8">
      <c r="B145" t="s">
        <v>1259</v>
      </c>
      <c r="C145" s="3">
        <v>47150</v>
      </c>
      <c r="D145">
        <v>40</v>
      </c>
      <c r="F145" t="s">
        <v>2075</v>
      </c>
      <c r="G145" s="3">
        <v>47178</v>
      </c>
      <c r="H145">
        <f t="shared" si="2"/>
        <v>670</v>
      </c>
    </row>
    <row r="146" spans="2:8">
      <c r="B146" t="s">
        <v>1259</v>
      </c>
      <c r="C146" s="3">
        <v>47150</v>
      </c>
      <c r="D146">
        <v>40</v>
      </c>
      <c r="F146" t="s">
        <v>2082</v>
      </c>
      <c r="G146" s="3">
        <v>46054</v>
      </c>
      <c r="H146">
        <f t="shared" si="2"/>
        <v>120</v>
      </c>
    </row>
    <row r="147" spans="2:8">
      <c r="B147" t="s">
        <v>1292</v>
      </c>
      <c r="C147" s="3">
        <v>46023</v>
      </c>
      <c r="D147">
        <v>1500</v>
      </c>
      <c r="F147" t="s">
        <v>2084</v>
      </c>
      <c r="G147" s="3">
        <v>46874</v>
      </c>
      <c r="H147">
        <f t="shared" si="2"/>
        <v>20</v>
      </c>
    </row>
    <row r="148" spans="2:8">
      <c r="B148" t="s">
        <v>1322</v>
      </c>
      <c r="C148" s="3">
        <v>47088</v>
      </c>
      <c r="D148">
        <v>40</v>
      </c>
      <c r="F148" t="s">
        <v>2107</v>
      </c>
      <c r="G148" s="3">
        <v>46357</v>
      </c>
      <c r="H148">
        <f t="shared" si="2"/>
        <v>100</v>
      </c>
    </row>
    <row r="149" spans="2:8">
      <c r="B149" t="s">
        <v>1322</v>
      </c>
      <c r="C149" s="3">
        <v>47088</v>
      </c>
      <c r="D149">
        <v>40</v>
      </c>
      <c r="F149" t="s">
        <v>2109</v>
      </c>
      <c r="G149" s="3">
        <v>46296</v>
      </c>
      <c r="H149">
        <f t="shared" si="2"/>
        <v>2</v>
      </c>
    </row>
    <row r="150" spans="2:8">
      <c r="B150" t="s">
        <v>1324</v>
      </c>
      <c r="C150" s="3">
        <v>47209</v>
      </c>
      <c r="D150">
        <v>120</v>
      </c>
      <c r="F150" t="s">
        <v>2110</v>
      </c>
      <c r="G150" s="3">
        <v>46357</v>
      </c>
      <c r="H150">
        <f t="shared" si="2"/>
        <v>16</v>
      </c>
    </row>
    <row r="151" spans="2:8">
      <c r="B151" t="s">
        <v>1324</v>
      </c>
      <c r="C151" s="3">
        <v>47209</v>
      </c>
      <c r="D151">
        <v>40</v>
      </c>
      <c r="F151" t="s">
        <v>2117</v>
      </c>
      <c r="G151" s="3">
        <v>45839</v>
      </c>
      <c r="H151">
        <f t="shared" si="2"/>
        <v>55</v>
      </c>
    </row>
    <row r="152" spans="2:8">
      <c r="B152" t="s">
        <v>1325</v>
      </c>
      <c r="C152" s="3">
        <v>45931</v>
      </c>
      <c r="D152">
        <v>600</v>
      </c>
      <c r="F152" t="s">
        <v>2136</v>
      </c>
      <c r="G152" s="3">
        <v>46143</v>
      </c>
      <c r="H152">
        <f t="shared" si="2"/>
        <v>5000</v>
      </c>
    </row>
    <row r="153" spans="2:8">
      <c r="B153" t="s">
        <v>1325</v>
      </c>
      <c r="C153" s="3">
        <v>45931</v>
      </c>
      <c r="D153">
        <v>14600</v>
      </c>
      <c r="F153" t="s">
        <v>2148</v>
      </c>
      <c r="G153" s="3">
        <v>46204</v>
      </c>
      <c r="H153">
        <f t="shared" si="2"/>
        <v>70</v>
      </c>
    </row>
    <row r="154" spans="2:8">
      <c r="B154" t="s">
        <v>1325</v>
      </c>
      <c r="C154" s="3">
        <v>45931</v>
      </c>
      <c r="D154">
        <v>200</v>
      </c>
      <c r="F154" t="s">
        <v>2159</v>
      </c>
      <c r="G154" s="3">
        <v>46997</v>
      </c>
      <c r="H154">
        <f t="shared" si="2"/>
        <v>50</v>
      </c>
    </row>
    <row r="155" spans="2:8">
      <c r="B155" t="s">
        <v>1325</v>
      </c>
      <c r="C155" s="3">
        <v>45931</v>
      </c>
      <c r="D155">
        <v>1000</v>
      </c>
      <c r="F155" t="s">
        <v>2160</v>
      </c>
      <c r="G155" s="3">
        <v>46143</v>
      </c>
      <c r="H155">
        <f t="shared" si="2"/>
        <v>20</v>
      </c>
    </row>
    <row r="156" spans="2:8">
      <c r="B156" t="s">
        <v>1327</v>
      </c>
      <c r="C156" s="3">
        <v>46054</v>
      </c>
      <c r="D156">
        <v>20</v>
      </c>
      <c r="F156" t="s">
        <v>2161</v>
      </c>
      <c r="G156" s="3">
        <v>46388</v>
      </c>
      <c r="H156">
        <f t="shared" si="2"/>
        <v>60</v>
      </c>
    </row>
    <row r="157" spans="2:8">
      <c r="B157" t="s">
        <v>1328</v>
      </c>
      <c r="C157" s="3">
        <v>46204</v>
      </c>
      <c r="D157">
        <v>40</v>
      </c>
      <c r="F157" t="s">
        <v>256</v>
      </c>
      <c r="G157" s="3">
        <v>47239</v>
      </c>
      <c r="H157">
        <f t="shared" si="2"/>
        <v>90</v>
      </c>
    </row>
    <row r="158" spans="2:8">
      <c r="B158" t="s">
        <v>1339</v>
      </c>
      <c r="C158" s="3">
        <v>47270</v>
      </c>
      <c r="D158">
        <v>1000</v>
      </c>
      <c r="F158" t="s">
        <v>465</v>
      </c>
      <c r="G158" s="3">
        <v>47239</v>
      </c>
      <c r="H158">
        <f t="shared" si="2"/>
        <v>20</v>
      </c>
    </row>
    <row r="159" spans="2:8">
      <c r="B159" t="s">
        <v>1428</v>
      </c>
      <c r="C159" s="3">
        <v>45962</v>
      </c>
      <c r="D159">
        <v>640</v>
      </c>
      <c r="F159" t="s">
        <v>590</v>
      </c>
      <c r="G159" s="3">
        <v>47239</v>
      </c>
      <c r="H159">
        <f t="shared" si="2"/>
        <v>150</v>
      </c>
    </row>
    <row r="160" spans="2:8">
      <c r="B160" t="s">
        <v>1437</v>
      </c>
      <c r="C160" s="3">
        <v>47239</v>
      </c>
      <c r="D160">
        <v>20</v>
      </c>
      <c r="F160" t="s">
        <v>616</v>
      </c>
      <c r="G160" s="3">
        <v>46113</v>
      </c>
      <c r="H160">
        <f t="shared" si="2"/>
        <v>630</v>
      </c>
    </row>
    <row r="161" spans="2:8">
      <c r="B161" t="s">
        <v>1437</v>
      </c>
      <c r="C161" s="3">
        <v>47239</v>
      </c>
      <c r="D161">
        <v>4</v>
      </c>
      <c r="F161" t="s">
        <v>616</v>
      </c>
      <c r="G161" s="3">
        <v>46082</v>
      </c>
      <c r="H161">
        <f t="shared" si="2"/>
        <v>45</v>
      </c>
    </row>
    <row r="162" spans="2:8">
      <c r="B162" t="s">
        <v>1438</v>
      </c>
      <c r="C162" s="3">
        <v>46813</v>
      </c>
      <c r="D162">
        <v>20</v>
      </c>
      <c r="F162" t="s">
        <v>617</v>
      </c>
      <c r="G162" s="3">
        <v>46082</v>
      </c>
      <c r="H162">
        <f t="shared" si="2"/>
        <v>30</v>
      </c>
    </row>
    <row r="163" spans="2:8">
      <c r="B163" t="s">
        <v>1438</v>
      </c>
      <c r="C163" s="3">
        <v>46813</v>
      </c>
      <c r="D163">
        <v>4</v>
      </c>
      <c r="F163" t="s">
        <v>695</v>
      </c>
      <c r="G163" s="3">
        <v>46296</v>
      </c>
      <c r="H163">
        <f t="shared" si="2"/>
        <v>144</v>
      </c>
    </row>
    <row r="164" spans="2:8">
      <c r="B164" t="s">
        <v>1482</v>
      </c>
      <c r="C164" s="3">
        <v>46143</v>
      </c>
      <c r="D164">
        <v>20</v>
      </c>
      <c r="F164" t="s">
        <v>705</v>
      </c>
      <c r="G164" s="3">
        <v>46478</v>
      </c>
      <c r="H164">
        <f t="shared" si="2"/>
        <v>336</v>
      </c>
    </row>
    <row r="165" spans="2:8">
      <c r="B165" t="s">
        <v>1483</v>
      </c>
      <c r="C165" s="3">
        <v>46419</v>
      </c>
      <c r="D165">
        <v>40</v>
      </c>
      <c r="F165" t="s">
        <v>709</v>
      </c>
      <c r="G165" s="3">
        <v>46113</v>
      </c>
      <c r="H165">
        <f t="shared" si="2"/>
        <v>2160</v>
      </c>
    </row>
    <row r="166" spans="2:8">
      <c r="B166" t="s">
        <v>1487</v>
      </c>
      <c r="C166" s="3">
        <v>46874</v>
      </c>
      <c r="D166">
        <v>40</v>
      </c>
      <c r="F166" t="s">
        <v>726</v>
      </c>
      <c r="G166" s="3">
        <v>46419</v>
      </c>
      <c r="H166">
        <f t="shared" si="2"/>
        <v>168</v>
      </c>
    </row>
    <row r="167" spans="2:8">
      <c r="B167" t="s">
        <v>1487</v>
      </c>
      <c r="C167" s="3">
        <v>46874</v>
      </c>
      <c r="D167">
        <v>40</v>
      </c>
      <c r="F167" t="s">
        <v>726</v>
      </c>
      <c r="G167" s="3">
        <v>46508</v>
      </c>
      <c r="H167">
        <f t="shared" si="2"/>
        <v>648</v>
      </c>
    </row>
    <row r="168" spans="2:8">
      <c r="B168" t="s">
        <v>1487</v>
      </c>
      <c r="C168" s="3">
        <v>46874</v>
      </c>
      <c r="D168">
        <v>60</v>
      </c>
      <c r="F168" t="s">
        <v>749</v>
      </c>
      <c r="G168" s="3">
        <v>46388</v>
      </c>
      <c r="H168">
        <f t="shared" si="2"/>
        <v>20</v>
      </c>
    </row>
    <row r="169" spans="2:8">
      <c r="B169" t="s">
        <v>1487</v>
      </c>
      <c r="C169" s="3">
        <v>46874</v>
      </c>
      <c r="D169">
        <v>20</v>
      </c>
      <c r="F169" t="s">
        <v>796</v>
      </c>
      <c r="G169" s="3">
        <v>47239</v>
      </c>
      <c r="H169">
        <f t="shared" si="2"/>
        <v>200</v>
      </c>
    </row>
    <row r="170" spans="2:8">
      <c r="B170" t="s">
        <v>1509</v>
      </c>
      <c r="C170" s="3">
        <v>46054</v>
      </c>
      <c r="D170">
        <v>48</v>
      </c>
      <c r="F170" t="s">
        <v>1187</v>
      </c>
      <c r="G170" s="3">
        <v>46508</v>
      </c>
      <c r="H170">
        <f t="shared" si="2"/>
        <v>615</v>
      </c>
    </row>
    <row r="171" spans="2:8">
      <c r="B171" t="s">
        <v>1555</v>
      </c>
      <c r="C171" s="3">
        <v>46478</v>
      </c>
      <c r="D171">
        <v>40</v>
      </c>
      <c r="F171" t="s">
        <v>1188</v>
      </c>
      <c r="G171" s="3">
        <v>46388</v>
      </c>
      <c r="H171">
        <f t="shared" si="2"/>
        <v>120</v>
      </c>
    </row>
    <row r="172" spans="2:8">
      <c r="B172" t="s">
        <v>1577</v>
      </c>
      <c r="C172" s="3">
        <v>46844</v>
      </c>
      <c r="D172">
        <v>15</v>
      </c>
      <c r="F172" t="s">
        <v>1263</v>
      </c>
      <c r="G172" s="3">
        <v>47027</v>
      </c>
      <c r="H172">
        <f t="shared" si="2"/>
        <v>20</v>
      </c>
    </row>
    <row r="173" spans="2:8">
      <c r="B173" t="s">
        <v>1578</v>
      </c>
      <c r="C173" s="3">
        <v>47088</v>
      </c>
      <c r="D173">
        <v>60</v>
      </c>
      <c r="F173" t="s">
        <v>1267</v>
      </c>
      <c r="G173" s="3">
        <v>46753</v>
      </c>
      <c r="H173">
        <f t="shared" si="2"/>
        <v>20</v>
      </c>
    </row>
    <row r="174" spans="2:8">
      <c r="B174" t="s">
        <v>1579</v>
      </c>
      <c r="C174" s="3">
        <v>47178</v>
      </c>
      <c r="D174">
        <v>20</v>
      </c>
      <c r="F174" t="s">
        <v>1274</v>
      </c>
      <c r="G174" s="3">
        <v>47239</v>
      </c>
      <c r="H174">
        <f t="shared" si="2"/>
        <v>260</v>
      </c>
    </row>
    <row r="175" spans="2:8">
      <c r="B175" t="s">
        <v>1583</v>
      </c>
      <c r="C175" s="3">
        <v>46235</v>
      </c>
      <c r="D175">
        <v>10</v>
      </c>
      <c r="F175" t="s">
        <v>1341</v>
      </c>
      <c r="G175" s="3">
        <v>46478</v>
      </c>
      <c r="H175">
        <f t="shared" si="2"/>
        <v>10</v>
      </c>
    </row>
    <row r="176" spans="2:8">
      <c r="B176" t="s">
        <v>1590</v>
      </c>
      <c r="C176" s="3">
        <v>46905</v>
      </c>
      <c r="D176">
        <v>15</v>
      </c>
      <c r="F176" t="s">
        <v>1341</v>
      </c>
      <c r="G176" s="3">
        <v>46508</v>
      </c>
      <c r="H176">
        <f t="shared" si="2"/>
        <v>760</v>
      </c>
    </row>
    <row r="177" spans="2:8">
      <c r="B177" t="s">
        <v>1594</v>
      </c>
      <c r="C177" s="3">
        <v>47150</v>
      </c>
      <c r="D177">
        <v>20</v>
      </c>
      <c r="F177" t="s">
        <v>1474</v>
      </c>
      <c r="G177" s="3">
        <v>45870</v>
      </c>
      <c r="H177">
        <f t="shared" si="2"/>
        <v>8</v>
      </c>
    </row>
    <row r="178" spans="2:8">
      <c r="B178" t="s">
        <v>1607</v>
      </c>
      <c r="C178" s="3">
        <v>46935</v>
      </c>
      <c r="D178">
        <v>10</v>
      </c>
      <c r="F178" t="s">
        <v>1478</v>
      </c>
      <c r="G178" s="3">
        <v>46082</v>
      </c>
      <c r="H178">
        <f t="shared" si="2"/>
        <v>8</v>
      </c>
    </row>
    <row r="179" spans="2:8">
      <c r="B179" t="s">
        <v>1608</v>
      </c>
      <c r="C179" s="3">
        <v>46935</v>
      </c>
      <c r="D179">
        <v>400</v>
      </c>
      <c r="F179" t="s">
        <v>1731</v>
      </c>
      <c r="G179" s="3">
        <v>46478</v>
      </c>
      <c r="H179">
        <f t="shared" si="2"/>
        <v>20</v>
      </c>
    </row>
    <row r="180" spans="2:8">
      <c r="B180" t="s">
        <v>1608</v>
      </c>
      <c r="C180" s="3">
        <v>46935</v>
      </c>
      <c r="D180">
        <v>10</v>
      </c>
      <c r="F180" t="s">
        <v>1900</v>
      </c>
      <c r="G180" s="3">
        <v>46204</v>
      </c>
      <c r="H180">
        <f t="shared" si="2"/>
        <v>20</v>
      </c>
    </row>
    <row r="181" spans="2:8">
      <c r="B181" t="s">
        <v>1608</v>
      </c>
      <c r="C181" s="3">
        <v>46935</v>
      </c>
      <c r="D181">
        <v>80</v>
      </c>
      <c r="F181" t="s">
        <v>2076</v>
      </c>
      <c r="G181" s="3">
        <v>46143</v>
      </c>
      <c r="H181">
        <f t="shared" si="2"/>
        <v>60</v>
      </c>
    </row>
    <row r="182" spans="2:8">
      <c r="B182" t="s">
        <v>1618</v>
      </c>
      <c r="C182" s="3">
        <v>45992</v>
      </c>
      <c r="D182">
        <v>30</v>
      </c>
      <c r="F182" t="s">
        <v>2168</v>
      </c>
      <c r="G182" s="3">
        <v>46935</v>
      </c>
      <c r="H182">
        <f t="shared" si="2"/>
        <v>5</v>
      </c>
    </row>
    <row r="183" spans="2:8">
      <c r="B183" t="s">
        <v>1618</v>
      </c>
      <c r="C183" s="3">
        <v>45992</v>
      </c>
      <c r="D183">
        <v>15</v>
      </c>
      <c r="F183" t="s">
        <v>1717</v>
      </c>
      <c r="G183" s="3">
        <v>45992</v>
      </c>
      <c r="H183">
        <f t="shared" si="2"/>
        <v>122</v>
      </c>
    </row>
    <row r="184" spans="2:8">
      <c r="B184" t="s">
        <v>1618</v>
      </c>
      <c r="C184" s="3">
        <v>45992</v>
      </c>
      <c r="D184">
        <v>2400</v>
      </c>
      <c r="F184" t="s">
        <v>102</v>
      </c>
      <c r="G184" s="3" t="s">
        <v>2222</v>
      </c>
      <c r="H184">
        <f t="shared" si="2"/>
        <v>3</v>
      </c>
    </row>
    <row r="185" spans="2:8">
      <c r="B185" t="s">
        <v>1620</v>
      </c>
      <c r="C185" s="3">
        <v>45778</v>
      </c>
      <c r="D185">
        <v>20</v>
      </c>
      <c r="F185" t="s">
        <v>103</v>
      </c>
      <c r="G185" s="3" t="s">
        <v>2222</v>
      </c>
      <c r="H185">
        <f t="shared" si="2"/>
        <v>3</v>
      </c>
    </row>
    <row r="186" spans="2:8">
      <c r="B186" t="s">
        <v>1620</v>
      </c>
      <c r="C186" s="3">
        <v>45778</v>
      </c>
      <c r="D186">
        <v>15</v>
      </c>
      <c r="F186" t="s">
        <v>105</v>
      </c>
      <c r="G186" s="3" t="s">
        <v>2222</v>
      </c>
      <c r="H186">
        <f t="shared" si="2"/>
        <v>2</v>
      </c>
    </row>
    <row r="187" spans="2:8">
      <c r="B187" t="s">
        <v>1669</v>
      </c>
      <c r="C187" s="3">
        <v>46753</v>
      </c>
      <c r="D187">
        <v>100</v>
      </c>
      <c r="F187" t="s">
        <v>780</v>
      </c>
      <c r="G187" s="3" t="s">
        <v>2222</v>
      </c>
      <c r="H187">
        <f t="shared" si="2"/>
        <v>10</v>
      </c>
    </row>
    <row r="188" spans="2:8">
      <c r="B188" t="s">
        <v>1678</v>
      </c>
      <c r="C188" s="3">
        <v>46266</v>
      </c>
      <c r="D188">
        <v>80</v>
      </c>
      <c r="F188" t="s">
        <v>1357</v>
      </c>
      <c r="G188" s="3" t="s">
        <v>2222</v>
      </c>
      <c r="H188">
        <f t="shared" si="2"/>
        <v>25</v>
      </c>
    </row>
    <row r="189" spans="2:8">
      <c r="B189" t="s">
        <v>1705</v>
      </c>
      <c r="C189" s="3">
        <v>46419</v>
      </c>
      <c r="D189">
        <v>20</v>
      </c>
      <c r="F189" t="s">
        <v>1385</v>
      </c>
      <c r="G189" s="3" t="s">
        <v>2222</v>
      </c>
      <c r="H189">
        <f t="shared" si="2"/>
        <v>6</v>
      </c>
    </row>
    <row r="190" spans="2:8">
      <c r="B190" t="s">
        <v>1707</v>
      </c>
      <c r="C190" s="3">
        <v>46874</v>
      </c>
      <c r="D190">
        <v>200</v>
      </c>
      <c r="F190" t="s">
        <v>1403</v>
      </c>
      <c r="G190" s="3" t="s">
        <v>2222</v>
      </c>
      <c r="H190">
        <f t="shared" si="2"/>
        <v>25</v>
      </c>
    </row>
    <row r="191" spans="2:8">
      <c r="B191" t="s">
        <v>1709</v>
      </c>
      <c r="C191" s="3">
        <v>47209</v>
      </c>
      <c r="D191">
        <v>100</v>
      </c>
      <c r="F191" t="s">
        <v>1954</v>
      </c>
      <c r="G191" s="3" t="s">
        <v>2222</v>
      </c>
      <c r="H191">
        <f t="shared" si="2"/>
        <v>1</v>
      </c>
    </row>
    <row r="192" spans="2:8">
      <c r="B192" t="s">
        <v>1710</v>
      </c>
      <c r="C192" s="3">
        <v>47239</v>
      </c>
      <c r="D192">
        <v>200</v>
      </c>
      <c r="F192" t="s">
        <v>1956</v>
      </c>
      <c r="G192" s="3" t="s">
        <v>2222</v>
      </c>
      <c r="H192">
        <f t="shared" si="2"/>
        <v>41</v>
      </c>
    </row>
    <row r="193" spans="2:8">
      <c r="B193" t="s">
        <v>1715</v>
      </c>
      <c r="C193" s="3">
        <v>45566</v>
      </c>
      <c r="D193">
        <v>40</v>
      </c>
      <c r="F193" t="s">
        <v>1957</v>
      </c>
      <c r="G193" s="3" t="s">
        <v>2222</v>
      </c>
      <c r="H193">
        <f t="shared" si="2"/>
        <v>2</v>
      </c>
    </row>
    <row r="194" spans="2:8">
      <c r="B194" t="s">
        <v>1720</v>
      </c>
      <c r="C194" s="3">
        <v>47027</v>
      </c>
      <c r="D194">
        <v>2</v>
      </c>
      <c r="F194" t="s">
        <v>1958</v>
      </c>
      <c r="G194" s="3" t="s">
        <v>2222</v>
      </c>
      <c r="H194">
        <f t="shared" si="2"/>
        <v>217</v>
      </c>
    </row>
    <row r="195" spans="2:8">
      <c r="B195" t="s">
        <v>1720</v>
      </c>
      <c r="C195" s="3">
        <v>46357</v>
      </c>
      <c r="D195">
        <v>8</v>
      </c>
      <c r="F195" t="s">
        <v>1960</v>
      </c>
      <c r="G195" s="3" t="s">
        <v>2222</v>
      </c>
      <c r="H195">
        <f t="shared" ref="H195:H200" si="3">SUMIFS(D195:D523,B195:B523,F195,C195:C523,G195)</f>
        <v>5</v>
      </c>
    </row>
    <row r="196" spans="2:8">
      <c r="B196" t="s">
        <v>1732</v>
      </c>
      <c r="C196" s="3">
        <v>45505</v>
      </c>
      <c r="D196">
        <v>80</v>
      </c>
      <c r="F196" t="s">
        <v>2001</v>
      </c>
      <c r="G196" s="3" t="s">
        <v>2222</v>
      </c>
      <c r="H196">
        <f t="shared" si="3"/>
        <v>480</v>
      </c>
    </row>
    <row r="197" spans="2:8">
      <c r="B197" t="s">
        <v>1732</v>
      </c>
      <c r="C197" s="3">
        <v>45505</v>
      </c>
      <c r="D197">
        <v>40</v>
      </c>
      <c r="F197" t="s">
        <v>2005</v>
      </c>
      <c r="G197" s="3" t="s">
        <v>2222</v>
      </c>
      <c r="H197">
        <f t="shared" si="3"/>
        <v>1</v>
      </c>
    </row>
    <row r="198" spans="2:8">
      <c r="B198" t="s">
        <v>1738</v>
      </c>
      <c r="C198" s="3">
        <v>46174</v>
      </c>
      <c r="D198">
        <v>200</v>
      </c>
      <c r="F198" t="s">
        <v>2033</v>
      </c>
      <c r="G198" s="3" t="s">
        <v>2222</v>
      </c>
      <c r="H198">
        <f t="shared" si="3"/>
        <v>2</v>
      </c>
    </row>
    <row r="199" spans="2:8">
      <c r="B199" t="s">
        <v>1738</v>
      </c>
      <c r="C199" s="3">
        <v>46174</v>
      </c>
      <c r="D199">
        <v>200</v>
      </c>
      <c r="F199" t="s">
        <v>1094</v>
      </c>
      <c r="G199" s="3" t="s">
        <v>2222</v>
      </c>
      <c r="H199">
        <f t="shared" si="3"/>
        <v>3</v>
      </c>
    </row>
    <row r="200" spans="2:8">
      <c r="B200" t="s">
        <v>1738</v>
      </c>
      <c r="C200" s="3">
        <v>46174</v>
      </c>
      <c r="D200">
        <v>200</v>
      </c>
      <c r="F200" t="s">
        <v>1116</v>
      </c>
      <c r="G200" s="3" t="s">
        <v>2222</v>
      </c>
      <c r="H200">
        <f t="shared" si="3"/>
        <v>500</v>
      </c>
    </row>
    <row r="201" spans="2:8">
      <c r="B201" t="s">
        <v>1738</v>
      </c>
      <c r="C201" s="3">
        <v>46174</v>
      </c>
      <c r="D201">
        <v>50</v>
      </c>
    </row>
    <row r="202" spans="2:8">
      <c r="B202" t="s">
        <v>1741</v>
      </c>
      <c r="C202" s="3">
        <v>45809</v>
      </c>
      <c r="D202">
        <v>2000</v>
      </c>
    </row>
    <row r="203" spans="2:8">
      <c r="B203" t="s">
        <v>1745</v>
      </c>
      <c r="C203" s="3">
        <v>47058</v>
      </c>
      <c r="D203">
        <v>9</v>
      </c>
    </row>
    <row r="204" spans="2:8">
      <c r="B204" t="s">
        <v>1745</v>
      </c>
      <c r="C204" s="3">
        <v>47150</v>
      </c>
      <c r="D204">
        <v>200</v>
      </c>
    </row>
    <row r="205" spans="2:8">
      <c r="B205" t="s">
        <v>1746</v>
      </c>
      <c r="C205" s="3">
        <v>46143</v>
      </c>
      <c r="D205">
        <v>24</v>
      </c>
    </row>
    <row r="206" spans="2:8">
      <c r="B206" t="s">
        <v>1748</v>
      </c>
      <c r="C206" s="3">
        <v>46143</v>
      </c>
      <c r="D206">
        <v>48</v>
      </c>
    </row>
    <row r="207" spans="2:8">
      <c r="B207" t="s">
        <v>1748</v>
      </c>
      <c r="C207" s="3">
        <v>46143</v>
      </c>
      <c r="D207">
        <v>96</v>
      </c>
    </row>
    <row r="208" spans="2:8">
      <c r="B208" t="s">
        <v>1748</v>
      </c>
      <c r="C208" s="3">
        <v>46143</v>
      </c>
      <c r="D208">
        <v>240</v>
      </c>
    </row>
    <row r="209" spans="2:4">
      <c r="B209" t="s">
        <v>1748</v>
      </c>
      <c r="C209" s="3">
        <v>46143</v>
      </c>
      <c r="D209">
        <v>720</v>
      </c>
    </row>
    <row r="210" spans="2:4">
      <c r="B210" t="s">
        <v>1750</v>
      </c>
      <c r="C210" s="3">
        <v>46143</v>
      </c>
      <c r="D210">
        <v>160</v>
      </c>
    </row>
    <row r="211" spans="2:4">
      <c r="B211" t="s">
        <v>1750</v>
      </c>
      <c r="C211" s="3">
        <v>46143</v>
      </c>
      <c r="D211">
        <v>1600</v>
      </c>
    </row>
    <row r="212" spans="2:4">
      <c r="B212" t="s">
        <v>1761</v>
      </c>
      <c r="C212" s="3">
        <v>45597</v>
      </c>
      <c r="D212">
        <v>5</v>
      </c>
    </row>
    <row r="213" spans="2:4">
      <c r="B213" t="s">
        <v>1771</v>
      </c>
      <c r="C213" s="3">
        <v>46023</v>
      </c>
      <c r="D213">
        <v>5</v>
      </c>
    </row>
    <row r="214" spans="2:4">
      <c r="B214" t="s">
        <v>1792</v>
      </c>
      <c r="C214" s="3">
        <v>47239</v>
      </c>
      <c r="D214">
        <v>1200</v>
      </c>
    </row>
    <row r="215" spans="2:4">
      <c r="B215" t="s">
        <v>1794</v>
      </c>
      <c r="C215" s="3">
        <v>47239</v>
      </c>
      <c r="D215">
        <v>320</v>
      </c>
    </row>
    <row r="216" spans="2:4">
      <c r="B216" t="s">
        <v>1803</v>
      </c>
      <c r="C216" s="3">
        <v>46113</v>
      </c>
      <c r="D216">
        <v>2500</v>
      </c>
    </row>
    <row r="217" spans="2:4">
      <c r="B217" t="s">
        <v>1811</v>
      </c>
      <c r="C217" s="3">
        <v>46082</v>
      </c>
      <c r="D217">
        <v>10</v>
      </c>
    </row>
    <row r="218" spans="2:4">
      <c r="B218" t="s">
        <v>1841</v>
      </c>
      <c r="C218" s="3">
        <v>45992</v>
      </c>
      <c r="D218">
        <v>200</v>
      </c>
    </row>
    <row r="219" spans="2:4">
      <c r="B219" t="s">
        <v>1841</v>
      </c>
      <c r="C219" s="3">
        <v>45992</v>
      </c>
      <c r="D219">
        <v>80</v>
      </c>
    </row>
    <row r="220" spans="2:4">
      <c r="B220" t="s">
        <v>1858</v>
      </c>
      <c r="C220" s="3">
        <v>46113</v>
      </c>
      <c r="D220">
        <v>1250</v>
      </c>
    </row>
    <row r="221" spans="2:4">
      <c r="B221" t="s">
        <v>1858</v>
      </c>
      <c r="C221" s="3">
        <v>46113</v>
      </c>
      <c r="D221">
        <v>100</v>
      </c>
    </row>
    <row r="222" spans="2:4">
      <c r="B222" t="s">
        <v>1858</v>
      </c>
      <c r="C222" s="3">
        <v>46113</v>
      </c>
      <c r="D222">
        <v>500</v>
      </c>
    </row>
    <row r="223" spans="2:4">
      <c r="B223" t="s">
        <v>1894</v>
      </c>
      <c r="C223" s="3">
        <v>47088</v>
      </c>
      <c r="D223">
        <v>40</v>
      </c>
    </row>
    <row r="224" spans="2:4">
      <c r="B224" t="s">
        <v>1895</v>
      </c>
      <c r="C224" s="3">
        <v>46478</v>
      </c>
      <c r="D224">
        <v>50</v>
      </c>
    </row>
    <row r="225" spans="2:4">
      <c r="B225" t="s">
        <v>1905</v>
      </c>
      <c r="C225" s="3">
        <v>46054</v>
      </c>
      <c r="D225">
        <v>10</v>
      </c>
    </row>
    <row r="226" spans="2:4">
      <c r="B226" t="s">
        <v>1934</v>
      </c>
      <c r="C226" s="3">
        <v>46844</v>
      </c>
      <c r="D226">
        <v>5</v>
      </c>
    </row>
    <row r="227" spans="2:4">
      <c r="B227" t="s">
        <v>1940</v>
      </c>
      <c r="C227" s="3">
        <v>46874</v>
      </c>
      <c r="D227">
        <v>20</v>
      </c>
    </row>
    <row r="228" spans="2:4">
      <c r="B228" t="s">
        <v>1971</v>
      </c>
      <c r="C228" s="3">
        <v>47239</v>
      </c>
      <c r="D228">
        <v>220</v>
      </c>
    </row>
    <row r="229" spans="2:4">
      <c r="B229" t="s">
        <v>1979</v>
      </c>
      <c r="C229" s="3">
        <v>45931</v>
      </c>
      <c r="D229">
        <v>20</v>
      </c>
    </row>
    <row r="230" spans="2:4">
      <c r="B230" t="s">
        <v>1991</v>
      </c>
      <c r="C230" s="3">
        <v>47088</v>
      </c>
      <c r="D230">
        <v>50</v>
      </c>
    </row>
    <row r="231" spans="2:4">
      <c r="B231" t="s">
        <v>1991</v>
      </c>
      <c r="C231" s="3">
        <v>47088</v>
      </c>
      <c r="D231">
        <v>50</v>
      </c>
    </row>
    <row r="232" spans="2:4">
      <c r="B232" t="s">
        <v>1992</v>
      </c>
      <c r="C232" s="3">
        <v>46569</v>
      </c>
      <c r="D232">
        <v>20</v>
      </c>
    </row>
    <row r="233" spans="2:4">
      <c r="B233" t="s">
        <v>2049</v>
      </c>
      <c r="C233" s="3">
        <v>46813</v>
      </c>
      <c r="D233">
        <v>200</v>
      </c>
    </row>
    <row r="234" spans="2:4">
      <c r="B234" t="s">
        <v>2075</v>
      </c>
      <c r="C234" s="3">
        <v>47178</v>
      </c>
      <c r="D234">
        <v>220</v>
      </c>
    </row>
    <row r="235" spans="2:4">
      <c r="B235" t="s">
        <v>2075</v>
      </c>
      <c r="C235" s="3">
        <v>47178</v>
      </c>
      <c r="D235">
        <v>220</v>
      </c>
    </row>
    <row r="236" spans="2:4">
      <c r="B236" t="s">
        <v>2075</v>
      </c>
      <c r="C236" s="3">
        <v>47178</v>
      </c>
      <c r="D236">
        <v>10</v>
      </c>
    </row>
    <row r="237" spans="2:4">
      <c r="B237" t="s">
        <v>2075</v>
      </c>
      <c r="C237" s="3">
        <v>47178</v>
      </c>
      <c r="D237">
        <v>220</v>
      </c>
    </row>
    <row r="238" spans="2:4">
      <c r="B238" t="s">
        <v>2082</v>
      </c>
      <c r="C238" s="3">
        <v>46054</v>
      </c>
      <c r="D238">
        <v>120</v>
      </c>
    </row>
    <row r="239" spans="2:4">
      <c r="B239" t="s">
        <v>2084</v>
      </c>
      <c r="C239" s="3">
        <v>46874</v>
      </c>
      <c r="D239">
        <v>20</v>
      </c>
    </row>
    <row r="240" spans="2:4">
      <c r="B240" t="s">
        <v>2107</v>
      </c>
      <c r="C240" s="3">
        <v>46357</v>
      </c>
      <c r="D240">
        <v>100</v>
      </c>
    </row>
    <row r="241" spans="2:4">
      <c r="B241" t="s">
        <v>2109</v>
      </c>
      <c r="C241" s="3">
        <v>46296</v>
      </c>
      <c r="D241">
        <v>2</v>
      </c>
    </row>
    <row r="242" spans="2:4">
      <c r="B242" t="s">
        <v>2110</v>
      </c>
      <c r="C242" s="3">
        <v>46357</v>
      </c>
      <c r="D242">
        <v>16</v>
      </c>
    </row>
    <row r="243" spans="2:4">
      <c r="B243" t="s">
        <v>2117</v>
      </c>
      <c r="C243" s="3">
        <v>45839</v>
      </c>
      <c r="D243">
        <v>25</v>
      </c>
    </row>
    <row r="244" spans="2:4">
      <c r="B244" t="s">
        <v>2117</v>
      </c>
      <c r="C244" s="3">
        <v>45839</v>
      </c>
      <c r="D244">
        <v>30</v>
      </c>
    </row>
    <row r="245" spans="2:4">
      <c r="B245" t="s">
        <v>2136</v>
      </c>
      <c r="C245" s="3">
        <v>46143</v>
      </c>
      <c r="D245">
        <v>5000</v>
      </c>
    </row>
    <row r="246" spans="2:4">
      <c r="B246" t="s">
        <v>2148</v>
      </c>
      <c r="C246" s="3">
        <v>46204</v>
      </c>
      <c r="D246">
        <v>20</v>
      </c>
    </row>
    <row r="247" spans="2:4">
      <c r="B247" t="s">
        <v>2148</v>
      </c>
      <c r="C247" s="3">
        <v>46204</v>
      </c>
      <c r="D247">
        <v>50</v>
      </c>
    </row>
    <row r="248" spans="2:4">
      <c r="B248" t="s">
        <v>2159</v>
      </c>
      <c r="C248" s="3">
        <v>46997</v>
      </c>
      <c r="D248">
        <v>50</v>
      </c>
    </row>
    <row r="249" spans="2:4">
      <c r="B249" t="s">
        <v>2160</v>
      </c>
      <c r="C249" s="3">
        <v>46143</v>
      </c>
      <c r="D249">
        <v>20</v>
      </c>
    </row>
    <row r="250" spans="2:4">
      <c r="B250" t="s">
        <v>2161</v>
      </c>
      <c r="C250" s="3">
        <v>46388</v>
      </c>
      <c r="D250">
        <v>60</v>
      </c>
    </row>
    <row r="251" spans="2:4">
      <c r="B251" t="s">
        <v>256</v>
      </c>
      <c r="C251" s="3">
        <v>47239</v>
      </c>
      <c r="D251">
        <v>15</v>
      </c>
    </row>
    <row r="252" spans="2:4">
      <c r="B252" t="s">
        <v>256</v>
      </c>
      <c r="C252" s="3">
        <v>47239</v>
      </c>
      <c r="D252">
        <v>75</v>
      </c>
    </row>
    <row r="253" spans="2:4">
      <c r="B253" t="s">
        <v>465</v>
      </c>
      <c r="C253" s="3">
        <v>47239</v>
      </c>
      <c r="D253">
        <v>20</v>
      </c>
    </row>
    <row r="254" spans="2:4">
      <c r="B254" t="s">
        <v>590</v>
      </c>
      <c r="C254" s="3">
        <v>47239</v>
      </c>
      <c r="D254">
        <v>150</v>
      </c>
    </row>
    <row r="255" spans="2:4">
      <c r="B255" t="s">
        <v>616</v>
      </c>
      <c r="C255" s="3">
        <v>46113</v>
      </c>
      <c r="D255">
        <v>150</v>
      </c>
    </row>
    <row r="256" spans="2:4">
      <c r="B256" t="s">
        <v>616</v>
      </c>
      <c r="C256" s="3">
        <v>46113</v>
      </c>
      <c r="D256">
        <v>330</v>
      </c>
    </row>
    <row r="257" spans="2:4">
      <c r="B257" t="s">
        <v>616</v>
      </c>
      <c r="C257" s="3">
        <v>46082</v>
      </c>
      <c r="D257">
        <v>45</v>
      </c>
    </row>
    <row r="258" spans="2:4">
      <c r="B258" t="s">
        <v>616</v>
      </c>
      <c r="C258" s="3">
        <v>46113</v>
      </c>
      <c r="D258">
        <v>150</v>
      </c>
    </row>
    <row r="259" spans="2:4">
      <c r="B259" t="s">
        <v>617</v>
      </c>
      <c r="C259" s="3">
        <v>46082</v>
      </c>
      <c r="D259">
        <v>30</v>
      </c>
    </row>
    <row r="260" spans="2:4">
      <c r="B260" t="s">
        <v>695</v>
      </c>
      <c r="C260" s="3">
        <v>46296</v>
      </c>
      <c r="D260">
        <v>144</v>
      </c>
    </row>
    <row r="261" spans="2:4">
      <c r="B261" t="s">
        <v>705</v>
      </c>
      <c r="C261" s="3">
        <v>46478</v>
      </c>
      <c r="D261">
        <v>120</v>
      </c>
    </row>
    <row r="262" spans="2:4">
      <c r="B262" t="s">
        <v>705</v>
      </c>
      <c r="C262" s="3">
        <v>46478</v>
      </c>
      <c r="D262">
        <v>48</v>
      </c>
    </row>
    <row r="263" spans="2:4">
      <c r="B263" t="s">
        <v>705</v>
      </c>
      <c r="C263" s="3">
        <v>46478</v>
      </c>
      <c r="D263">
        <v>24</v>
      </c>
    </row>
    <row r="264" spans="2:4">
      <c r="B264" t="s">
        <v>705</v>
      </c>
      <c r="C264" s="3">
        <v>46478</v>
      </c>
      <c r="D264">
        <v>24</v>
      </c>
    </row>
    <row r="265" spans="2:4">
      <c r="B265" t="s">
        <v>705</v>
      </c>
      <c r="C265" s="3">
        <v>46478</v>
      </c>
      <c r="D265">
        <v>120</v>
      </c>
    </row>
    <row r="266" spans="2:4">
      <c r="B266" t="s">
        <v>709</v>
      </c>
      <c r="C266" s="3">
        <v>46113</v>
      </c>
      <c r="D266">
        <v>720</v>
      </c>
    </row>
    <row r="267" spans="2:4">
      <c r="B267" t="s">
        <v>709</v>
      </c>
      <c r="C267" s="3">
        <v>46113</v>
      </c>
      <c r="D267">
        <v>144</v>
      </c>
    </row>
    <row r="268" spans="2:4">
      <c r="B268" t="s">
        <v>709</v>
      </c>
      <c r="C268" s="3">
        <v>46113</v>
      </c>
      <c r="D268">
        <v>432</v>
      </c>
    </row>
    <row r="269" spans="2:4">
      <c r="B269" t="s">
        <v>709</v>
      </c>
      <c r="C269" s="3">
        <v>46113</v>
      </c>
      <c r="D269">
        <v>720</v>
      </c>
    </row>
    <row r="270" spans="2:4">
      <c r="B270" t="s">
        <v>709</v>
      </c>
      <c r="C270" s="3">
        <v>46113</v>
      </c>
      <c r="D270">
        <v>144</v>
      </c>
    </row>
    <row r="271" spans="2:4">
      <c r="B271" t="s">
        <v>726</v>
      </c>
      <c r="C271" s="3">
        <v>46419</v>
      </c>
      <c r="D271">
        <v>120</v>
      </c>
    </row>
    <row r="272" spans="2:4">
      <c r="B272" t="s">
        <v>726</v>
      </c>
      <c r="C272" s="3">
        <v>46419</v>
      </c>
      <c r="D272">
        <v>48</v>
      </c>
    </row>
    <row r="273" spans="2:4">
      <c r="B273" t="s">
        <v>726</v>
      </c>
      <c r="C273" s="3">
        <v>46508</v>
      </c>
      <c r="D273">
        <v>24</v>
      </c>
    </row>
    <row r="274" spans="2:4">
      <c r="B274" t="s">
        <v>726</v>
      </c>
      <c r="C274" s="3">
        <v>46508</v>
      </c>
      <c r="D274">
        <v>24</v>
      </c>
    </row>
    <row r="275" spans="2:4">
      <c r="B275" t="s">
        <v>726</v>
      </c>
      <c r="C275" s="3">
        <v>46508</v>
      </c>
      <c r="D275">
        <v>240</v>
      </c>
    </row>
    <row r="276" spans="2:4">
      <c r="B276" t="s">
        <v>726</v>
      </c>
      <c r="C276" s="3">
        <v>46508</v>
      </c>
      <c r="D276">
        <v>120</v>
      </c>
    </row>
    <row r="277" spans="2:4">
      <c r="B277" t="s">
        <v>726</v>
      </c>
      <c r="C277" s="3">
        <v>46508</v>
      </c>
      <c r="D277">
        <v>240</v>
      </c>
    </row>
    <row r="278" spans="2:4">
      <c r="B278" t="s">
        <v>749</v>
      </c>
      <c r="C278" s="3">
        <v>46388</v>
      </c>
      <c r="D278">
        <v>20</v>
      </c>
    </row>
    <row r="279" spans="2:4">
      <c r="B279" t="s">
        <v>796</v>
      </c>
      <c r="C279" s="3">
        <v>47239</v>
      </c>
      <c r="D279">
        <v>200</v>
      </c>
    </row>
    <row r="280" spans="2:4">
      <c r="B280" t="s">
        <v>1187</v>
      </c>
      <c r="C280" s="3">
        <v>46508</v>
      </c>
      <c r="D280">
        <v>15</v>
      </c>
    </row>
    <row r="281" spans="2:4">
      <c r="B281" t="s">
        <v>1187</v>
      </c>
      <c r="C281" s="3">
        <v>46508</v>
      </c>
      <c r="D281">
        <v>1</v>
      </c>
    </row>
    <row r="282" spans="2:4">
      <c r="B282" t="s">
        <v>1187</v>
      </c>
      <c r="C282" s="3">
        <v>46508</v>
      </c>
      <c r="D282">
        <v>74</v>
      </c>
    </row>
    <row r="283" spans="2:4">
      <c r="B283" t="s">
        <v>1187</v>
      </c>
      <c r="C283" s="3">
        <v>46508</v>
      </c>
      <c r="D283">
        <v>75</v>
      </c>
    </row>
    <row r="284" spans="2:4">
      <c r="B284" t="s">
        <v>1187</v>
      </c>
      <c r="C284" s="3">
        <v>46508</v>
      </c>
      <c r="D284">
        <v>450</v>
      </c>
    </row>
    <row r="285" spans="2:4">
      <c r="B285" t="s">
        <v>1188</v>
      </c>
      <c r="C285" s="3">
        <v>46388</v>
      </c>
      <c r="D285">
        <v>75</v>
      </c>
    </row>
    <row r="286" spans="2:4">
      <c r="B286" t="s">
        <v>1188</v>
      </c>
      <c r="C286" s="3">
        <v>46388</v>
      </c>
      <c r="D286">
        <v>30</v>
      </c>
    </row>
    <row r="287" spans="2:4">
      <c r="B287" t="s">
        <v>1188</v>
      </c>
      <c r="C287" s="3">
        <v>46388</v>
      </c>
      <c r="D287">
        <v>15</v>
      </c>
    </row>
    <row r="288" spans="2:4">
      <c r="B288" t="s">
        <v>1263</v>
      </c>
      <c r="C288" s="3">
        <v>47027</v>
      </c>
      <c r="D288">
        <v>20</v>
      </c>
    </row>
    <row r="289" spans="2:4">
      <c r="B289" t="s">
        <v>1267</v>
      </c>
      <c r="C289" s="3">
        <v>46753</v>
      </c>
      <c r="D289">
        <v>20</v>
      </c>
    </row>
    <row r="290" spans="2:4">
      <c r="B290" t="s">
        <v>1274</v>
      </c>
      <c r="C290" s="3">
        <v>47239</v>
      </c>
      <c r="D290">
        <v>220</v>
      </c>
    </row>
    <row r="291" spans="2:4">
      <c r="B291" t="s">
        <v>1274</v>
      </c>
      <c r="C291" s="3">
        <v>47239</v>
      </c>
      <c r="D291">
        <v>40</v>
      </c>
    </row>
    <row r="292" spans="2:4">
      <c r="B292" t="s">
        <v>1341</v>
      </c>
      <c r="C292" s="3">
        <v>46478</v>
      </c>
      <c r="D292">
        <v>10</v>
      </c>
    </row>
    <row r="293" spans="2:4">
      <c r="B293" t="s">
        <v>1341</v>
      </c>
      <c r="C293" s="3">
        <v>46508</v>
      </c>
      <c r="D293">
        <v>300</v>
      </c>
    </row>
    <row r="294" spans="2:4">
      <c r="B294" t="s">
        <v>1341</v>
      </c>
      <c r="C294" s="3">
        <v>46508</v>
      </c>
      <c r="D294">
        <v>40</v>
      </c>
    </row>
    <row r="295" spans="2:4">
      <c r="B295" t="s">
        <v>1341</v>
      </c>
      <c r="C295" s="3">
        <v>46508</v>
      </c>
      <c r="D295">
        <v>20</v>
      </c>
    </row>
    <row r="296" spans="2:4">
      <c r="B296" t="s">
        <v>1341</v>
      </c>
      <c r="C296" s="3">
        <v>46508</v>
      </c>
      <c r="D296">
        <v>400</v>
      </c>
    </row>
    <row r="297" spans="2:4">
      <c r="B297" t="s">
        <v>1474</v>
      </c>
      <c r="C297" s="3">
        <v>45870</v>
      </c>
      <c r="D297">
        <v>8</v>
      </c>
    </row>
    <row r="298" spans="2:4">
      <c r="B298" t="s">
        <v>1478</v>
      </c>
      <c r="C298" s="3">
        <v>46082</v>
      </c>
      <c r="D298">
        <v>8</v>
      </c>
    </row>
    <row r="299" spans="2:4">
      <c r="B299" t="s">
        <v>1731</v>
      </c>
      <c r="C299" s="3">
        <v>46478</v>
      </c>
      <c r="D299">
        <v>20</v>
      </c>
    </row>
    <row r="300" spans="2:4">
      <c r="B300" t="s">
        <v>1900</v>
      </c>
      <c r="C300" s="3">
        <v>46204</v>
      </c>
      <c r="D300">
        <v>20</v>
      </c>
    </row>
    <row r="301" spans="2:4">
      <c r="B301" t="s">
        <v>2076</v>
      </c>
      <c r="C301" s="3">
        <v>46143</v>
      </c>
      <c r="D301">
        <v>60</v>
      </c>
    </row>
    <row r="302" spans="2:4">
      <c r="B302" t="s">
        <v>2168</v>
      </c>
      <c r="C302" s="3">
        <v>46935</v>
      </c>
      <c r="D302">
        <v>5</v>
      </c>
    </row>
    <row r="303" spans="2:4">
      <c r="B303" t="s">
        <v>1717</v>
      </c>
      <c r="C303" s="3">
        <v>45992</v>
      </c>
      <c r="D303">
        <v>122</v>
      </c>
    </row>
    <row r="304" spans="2:4">
      <c r="B304" t="s">
        <v>102</v>
      </c>
      <c r="C304" s="3" t="s">
        <v>2222</v>
      </c>
      <c r="D304">
        <v>1</v>
      </c>
    </row>
    <row r="305" spans="2:4">
      <c r="B305" t="s">
        <v>102</v>
      </c>
      <c r="C305" s="3" t="s">
        <v>2222</v>
      </c>
      <c r="D305">
        <v>1</v>
      </c>
    </row>
    <row r="306" spans="2:4">
      <c r="B306" t="s">
        <v>102</v>
      </c>
      <c r="C306" s="3" t="s">
        <v>2222</v>
      </c>
      <c r="D306">
        <v>1</v>
      </c>
    </row>
    <row r="307" spans="2:4">
      <c r="B307" t="s">
        <v>103</v>
      </c>
      <c r="C307" s="3" t="s">
        <v>2222</v>
      </c>
      <c r="D307">
        <v>3</v>
      </c>
    </row>
    <row r="308" spans="2:4">
      <c r="B308" t="s">
        <v>105</v>
      </c>
      <c r="C308" s="3" t="s">
        <v>2222</v>
      </c>
      <c r="D308">
        <v>2</v>
      </c>
    </row>
    <row r="309" spans="2:4">
      <c r="B309" t="s">
        <v>780</v>
      </c>
      <c r="C309" s="3" t="s">
        <v>2222</v>
      </c>
      <c r="D309">
        <v>10</v>
      </c>
    </row>
    <row r="310" spans="2:4">
      <c r="B310" t="s">
        <v>1357</v>
      </c>
      <c r="C310" s="3" t="s">
        <v>2222</v>
      </c>
      <c r="D310">
        <v>25</v>
      </c>
    </row>
    <row r="311" spans="2:4">
      <c r="B311" t="s">
        <v>1385</v>
      </c>
      <c r="C311" s="3" t="s">
        <v>2222</v>
      </c>
      <c r="D311">
        <v>6</v>
      </c>
    </row>
    <row r="312" spans="2:4">
      <c r="B312" t="s">
        <v>1403</v>
      </c>
      <c r="C312" s="3" t="s">
        <v>2222</v>
      </c>
      <c r="D312">
        <v>25</v>
      </c>
    </row>
    <row r="313" spans="2:4">
      <c r="B313" t="s">
        <v>1954</v>
      </c>
      <c r="C313" s="3" t="s">
        <v>2222</v>
      </c>
      <c r="D313">
        <v>1</v>
      </c>
    </row>
    <row r="314" spans="2:4">
      <c r="B314" t="s">
        <v>1956</v>
      </c>
      <c r="C314" s="3" t="s">
        <v>2222</v>
      </c>
      <c r="D314">
        <v>41</v>
      </c>
    </row>
    <row r="315" spans="2:4">
      <c r="B315" t="s">
        <v>1957</v>
      </c>
      <c r="C315" s="3" t="s">
        <v>2222</v>
      </c>
      <c r="D315">
        <v>1</v>
      </c>
    </row>
    <row r="316" spans="2:4">
      <c r="B316" t="s">
        <v>1957</v>
      </c>
      <c r="C316" s="3" t="s">
        <v>2222</v>
      </c>
      <c r="D316">
        <v>1</v>
      </c>
    </row>
    <row r="317" spans="2:4">
      <c r="B317" t="s">
        <v>1958</v>
      </c>
      <c r="C317" s="3" t="s">
        <v>2222</v>
      </c>
      <c r="D317">
        <v>3</v>
      </c>
    </row>
    <row r="318" spans="2:4">
      <c r="B318" t="s">
        <v>1958</v>
      </c>
      <c r="C318" s="3" t="s">
        <v>2222</v>
      </c>
      <c r="D318">
        <v>1</v>
      </c>
    </row>
    <row r="319" spans="2:4">
      <c r="B319" t="s">
        <v>1958</v>
      </c>
      <c r="C319" s="3" t="s">
        <v>2222</v>
      </c>
      <c r="D319">
        <v>1</v>
      </c>
    </row>
    <row r="320" spans="2:4">
      <c r="B320" t="s">
        <v>1958</v>
      </c>
      <c r="C320" s="3" t="s">
        <v>2222</v>
      </c>
      <c r="D320">
        <v>11</v>
      </c>
    </row>
    <row r="321" spans="2:4">
      <c r="B321" t="s">
        <v>1958</v>
      </c>
      <c r="C321" s="3" t="s">
        <v>2222</v>
      </c>
      <c r="D321">
        <v>200</v>
      </c>
    </row>
    <row r="322" spans="2:4">
      <c r="B322" t="s">
        <v>1958</v>
      </c>
      <c r="C322" s="3" t="s">
        <v>2222</v>
      </c>
      <c r="D322">
        <v>1</v>
      </c>
    </row>
    <row r="323" spans="2:4">
      <c r="B323" t="s">
        <v>1960</v>
      </c>
      <c r="C323" s="3" t="s">
        <v>2222</v>
      </c>
      <c r="D323">
        <v>5</v>
      </c>
    </row>
    <row r="324" spans="2:4">
      <c r="B324" t="s">
        <v>2001</v>
      </c>
      <c r="C324" s="3" t="s">
        <v>2222</v>
      </c>
      <c r="D324">
        <v>80</v>
      </c>
    </row>
    <row r="325" spans="2:4">
      <c r="B325" t="s">
        <v>2001</v>
      </c>
      <c r="C325" s="3" t="s">
        <v>2222</v>
      </c>
      <c r="D325">
        <v>400</v>
      </c>
    </row>
    <row r="326" spans="2:4">
      <c r="B326" t="s">
        <v>2005</v>
      </c>
      <c r="C326" s="3" t="s">
        <v>2222</v>
      </c>
      <c r="D326">
        <v>1</v>
      </c>
    </row>
    <row r="327" spans="2:4">
      <c r="B327" t="s">
        <v>2033</v>
      </c>
      <c r="C327" s="3" t="s">
        <v>2222</v>
      </c>
      <c r="D327">
        <v>2</v>
      </c>
    </row>
    <row r="328" spans="2:4">
      <c r="B328" t="s">
        <v>1094</v>
      </c>
      <c r="C328" s="3" t="s">
        <v>2222</v>
      </c>
      <c r="D328">
        <v>3</v>
      </c>
    </row>
    <row r="329" spans="2:4">
      <c r="B329" t="s">
        <v>1116</v>
      </c>
      <c r="C329" s="3" t="s">
        <v>2222</v>
      </c>
      <c r="D329">
        <v>300</v>
      </c>
    </row>
    <row r="330" spans="2:4">
      <c r="B330" t="s">
        <v>1116</v>
      </c>
      <c r="C330" s="3" t="s">
        <v>2222</v>
      </c>
      <c r="D330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0"/>
  <sheetViews>
    <sheetView workbookViewId="0">
      <selection activeCell="D2" sqref="D2"/>
    </sheetView>
  </sheetViews>
  <sheetFormatPr defaultRowHeight="15"/>
  <cols>
    <col min="2" max="2" width="30.7109375" customWidth="1"/>
    <col min="3" max="3" width="10.7109375" style="3" bestFit="1" customWidth="1"/>
  </cols>
  <sheetData>
    <row r="2" spans="2:4">
      <c r="B2" t="s">
        <v>845</v>
      </c>
      <c r="C2" s="3">
        <v>45574</v>
      </c>
      <c r="D2">
        <v>2000</v>
      </c>
    </row>
    <row r="3" spans="2:4">
      <c r="B3" t="s">
        <v>938</v>
      </c>
      <c r="C3" s="3">
        <v>45773</v>
      </c>
      <c r="D3">
        <v>100</v>
      </c>
    </row>
    <row r="4" spans="2:4">
      <c r="B4" t="s">
        <v>947</v>
      </c>
      <c r="C4" s="3">
        <v>45798</v>
      </c>
      <c r="D4">
        <v>180</v>
      </c>
    </row>
    <row r="5" spans="2:4">
      <c r="B5" t="s">
        <v>966</v>
      </c>
      <c r="C5" s="3">
        <v>45543</v>
      </c>
      <c r="D5">
        <v>340</v>
      </c>
    </row>
    <row r="6" spans="2:4">
      <c r="B6" t="s">
        <v>966</v>
      </c>
      <c r="C6" s="3">
        <v>45582</v>
      </c>
      <c r="D6">
        <v>500</v>
      </c>
    </row>
    <row r="7" spans="2:4">
      <c r="B7" t="s">
        <v>1000</v>
      </c>
      <c r="C7" s="3">
        <v>45666</v>
      </c>
      <c r="D7">
        <v>1640</v>
      </c>
    </row>
    <row r="8" spans="2:4">
      <c r="B8" t="s">
        <v>1002</v>
      </c>
      <c r="C8" s="3">
        <v>45641</v>
      </c>
      <c r="D8">
        <v>240</v>
      </c>
    </row>
    <row r="9" spans="2:4">
      <c r="B9" t="s">
        <v>14</v>
      </c>
      <c r="C9" s="3">
        <v>46204</v>
      </c>
      <c r="D9">
        <v>259</v>
      </c>
    </row>
    <row r="10" spans="2:4">
      <c r="B10" t="s">
        <v>17</v>
      </c>
      <c r="C10" s="3">
        <v>46357</v>
      </c>
      <c r="D10">
        <v>365</v>
      </c>
    </row>
    <row r="11" spans="2:4">
      <c r="B11" t="s">
        <v>19</v>
      </c>
      <c r="C11" s="3">
        <v>46082</v>
      </c>
      <c r="D11">
        <v>100</v>
      </c>
    </row>
    <row r="12" spans="2:4">
      <c r="B12" t="s">
        <v>24</v>
      </c>
      <c r="C12" s="3">
        <v>46935</v>
      </c>
      <c r="D12">
        <v>500</v>
      </c>
    </row>
    <row r="13" spans="2:4">
      <c r="B13" t="s">
        <v>28</v>
      </c>
      <c r="C13" s="3">
        <v>46997</v>
      </c>
      <c r="D13">
        <v>240</v>
      </c>
    </row>
    <row r="14" spans="2:4">
      <c r="B14" t="s">
        <v>31</v>
      </c>
      <c r="C14" s="3">
        <v>47119</v>
      </c>
      <c r="D14">
        <v>40</v>
      </c>
    </row>
    <row r="15" spans="2:4">
      <c r="B15" t="s">
        <v>33</v>
      </c>
      <c r="C15" s="3">
        <v>46966</v>
      </c>
      <c r="D15">
        <v>300</v>
      </c>
    </row>
    <row r="16" spans="2:4">
      <c r="B16" t="s">
        <v>44</v>
      </c>
      <c r="C16" s="3">
        <v>47058</v>
      </c>
      <c r="D16">
        <v>250</v>
      </c>
    </row>
    <row r="17" spans="2:4">
      <c r="B17" t="s">
        <v>65</v>
      </c>
      <c r="C17" s="3">
        <v>46966</v>
      </c>
      <c r="D17">
        <v>1300</v>
      </c>
    </row>
    <row r="18" spans="2:4">
      <c r="B18" t="s">
        <v>66</v>
      </c>
      <c r="C18" s="3">
        <v>47150</v>
      </c>
      <c r="D18">
        <v>240</v>
      </c>
    </row>
    <row r="19" spans="2:4">
      <c r="B19" t="s">
        <v>66</v>
      </c>
      <c r="C19" s="3">
        <v>47209</v>
      </c>
      <c r="D19">
        <v>240</v>
      </c>
    </row>
    <row r="20" spans="2:4">
      <c r="B20" t="s">
        <v>71</v>
      </c>
      <c r="C20" s="3">
        <v>46296</v>
      </c>
      <c r="D20">
        <v>430</v>
      </c>
    </row>
    <row r="21" spans="2:4">
      <c r="B21" t="s">
        <v>78</v>
      </c>
      <c r="C21" s="3">
        <v>47178</v>
      </c>
      <c r="D21">
        <v>465</v>
      </c>
    </row>
    <row r="22" spans="2:4">
      <c r="B22" t="s">
        <v>80</v>
      </c>
      <c r="C22" s="3">
        <v>46388</v>
      </c>
      <c r="D22">
        <v>1010</v>
      </c>
    </row>
    <row r="23" spans="2:4">
      <c r="B23" t="s">
        <v>83</v>
      </c>
      <c r="C23" s="3">
        <v>46388</v>
      </c>
      <c r="D23">
        <v>1080</v>
      </c>
    </row>
    <row r="24" spans="2:4">
      <c r="B24" t="s">
        <v>110</v>
      </c>
      <c r="C24" s="3">
        <v>47178</v>
      </c>
      <c r="D24">
        <v>120</v>
      </c>
    </row>
    <row r="25" spans="2:4">
      <c r="B25" t="s">
        <v>113</v>
      </c>
      <c r="C25" s="3">
        <v>46905</v>
      </c>
      <c r="D25">
        <v>200</v>
      </c>
    </row>
    <row r="26" spans="2:4">
      <c r="B26" t="s">
        <v>116</v>
      </c>
      <c r="C26" s="3">
        <v>47178</v>
      </c>
      <c r="D26">
        <v>1300</v>
      </c>
    </row>
    <row r="27" spans="2:4">
      <c r="B27" t="s">
        <v>154</v>
      </c>
      <c r="C27" s="3">
        <v>46113</v>
      </c>
      <c r="D27">
        <v>100</v>
      </c>
    </row>
    <row r="28" spans="2:4">
      <c r="B28" t="s">
        <v>158</v>
      </c>
      <c r="C28" s="3">
        <v>46174</v>
      </c>
      <c r="D28">
        <v>20</v>
      </c>
    </row>
    <row r="29" spans="2:4">
      <c r="B29" t="s">
        <v>163</v>
      </c>
      <c r="C29" s="3">
        <v>46266</v>
      </c>
      <c r="D29">
        <v>50</v>
      </c>
    </row>
    <row r="30" spans="2:4">
      <c r="B30" t="s">
        <v>173</v>
      </c>
      <c r="C30" s="3">
        <v>47027</v>
      </c>
      <c r="D30">
        <v>80</v>
      </c>
    </row>
    <row r="31" spans="2:4">
      <c r="B31" t="s">
        <v>187</v>
      </c>
      <c r="C31" s="3">
        <v>46539</v>
      </c>
      <c r="D31">
        <v>200</v>
      </c>
    </row>
    <row r="32" spans="2:4">
      <c r="B32" t="s">
        <v>206</v>
      </c>
      <c r="C32" s="3">
        <v>45870</v>
      </c>
      <c r="D32">
        <v>80</v>
      </c>
    </row>
    <row r="33" spans="2:4">
      <c r="B33" t="s">
        <v>236</v>
      </c>
      <c r="C33" s="3">
        <v>47119</v>
      </c>
      <c r="D33">
        <v>1</v>
      </c>
    </row>
    <row r="34" spans="2:4">
      <c r="B34" t="s">
        <v>238</v>
      </c>
      <c r="C34" s="3">
        <v>47270</v>
      </c>
      <c r="D34">
        <v>4</v>
      </c>
    </row>
    <row r="35" spans="2:4">
      <c r="B35" t="s">
        <v>261</v>
      </c>
      <c r="C35" s="3">
        <v>47209</v>
      </c>
      <c r="D35">
        <v>600</v>
      </c>
    </row>
    <row r="36" spans="2:4">
      <c r="B36" t="s">
        <v>279</v>
      </c>
      <c r="C36" s="3">
        <v>46204</v>
      </c>
      <c r="D36">
        <v>25</v>
      </c>
    </row>
    <row r="37" spans="2:4">
      <c r="B37" t="s">
        <v>288</v>
      </c>
      <c r="C37" s="3">
        <v>47058</v>
      </c>
      <c r="D37">
        <v>100</v>
      </c>
    </row>
    <row r="38" spans="2:4">
      <c r="B38" t="s">
        <v>293</v>
      </c>
      <c r="C38" s="3">
        <v>47058</v>
      </c>
      <c r="D38">
        <v>10</v>
      </c>
    </row>
    <row r="39" spans="2:4">
      <c r="B39" t="s">
        <v>295</v>
      </c>
      <c r="C39" s="3">
        <v>46997</v>
      </c>
      <c r="D39">
        <v>5</v>
      </c>
    </row>
    <row r="40" spans="2:4">
      <c r="B40" t="s">
        <v>328</v>
      </c>
      <c r="C40" s="3">
        <v>45931</v>
      </c>
      <c r="D40">
        <v>40</v>
      </c>
    </row>
    <row r="41" spans="2:4">
      <c r="B41" t="s">
        <v>351</v>
      </c>
      <c r="C41" s="3">
        <v>47209</v>
      </c>
      <c r="D41">
        <v>100</v>
      </c>
    </row>
    <row r="42" spans="2:4">
      <c r="B42" t="s">
        <v>352</v>
      </c>
      <c r="C42" s="3">
        <v>47209</v>
      </c>
      <c r="D42">
        <v>550</v>
      </c>
    </row>
    <row r="43" spans="2:4">
      <c r="B43" t="s">
        <v>391</v>
      </c>
      <c r="C43" s="3">
        <v>46997</v>
      </c>
      <c r="D43">
        <v>500</v>
      </c>
    </row>
    <row r="44" spans="2:4">
      <c r="B44" t="s">
        <v>394</v>
      </c>
      <c r="C44" s="3">
        <v>46784</v>
      </c>
      <c r="D44">
        <v>20</v>
      </c>
    </row>
    <row r="45" spans="2:4">
      <c r="B45" t="s">
        <v>397</v>
      </c>
      <c r="C45" s="3">
        <v>47027</v>
      </c>
      <c r="D45">
        <v>60</v>
      </c>
    </row>
    <row r="46" spans="2:4">
      <c r="B46" t="s">
        <v>437</v>
      </c>
      <c r="C46" s="3">
        <v>45901</v>
      </c>
      <c r="D46">
        <v>150</v>
      </c>
    </row>
    <row r="47" spans="2:4">
      <c r="B47" t="s">
        <v>440</v>
      </c>
      <c r="C47" s="3">
        <v>46054</v>
      </c>
      <c r="D47">
        <v>620</v>
      </c>
    </row>
    <row r="48" spans="2:4">
      <c r="B48" t="s">
        <v>448</v>
      </c>
      <c r="C48" s="3">
        <v>45901</v>
      </c>
      <c r="D48">
        <v>320</v>
      </c>
    </row>
    <row r="49" spans="2:4">
      <c r="B49" t="s">
        <v>476</v>
      </c>
      <c r="C49" s="3">
        <v>46569</v>
      </c>
      <c r="D49">
        <v>120</v>
      </c>
    </row>
    <row r="50" spans="2:4">
      <c r="B50" t="s">
        <v>478</v>
      </c>
      <c r="C50" s="3">
        <v>46600</v>
      </c>
      <c r="D50">
        <v>100</v>
      </c>
    </row>
    <row r="51" spans="2:4">
      <c r="B51" t="s">
        <v>505</v>
      </c>
      <c r="C51" s="3">
        <v>46661</v>
      </c>
      <c r="D51">
        <v>16</v>
      </c>
    </row>
    <row r="52" spans="2:4">
      <c r="B52" t="s">
        <v>508</v>
      </c>
      <c r="C52" s="3">
        <v>47058</v>
      </c>
      <c r="D52">
        <v>40</v>
      </c>
    </row>
    <row r="53" spans="2:4">
      <c r="B53" t="s">
        <v>519</v>
      </c>
      <c r="C53" s="3">
        <v>45748</v>
      </c>
      <c r="D53">
        <v>60</v>
      </c>
    </row>
    <row r="54" spans="2:4">
      <c r="B54" t="s">
        <v>519</v>
      </c>
      <c r="C54" s="3">
        <v>45689</v>
      </c>
      <c r="D54">
        <v>5</v>
      </c>
    </row>
    <row r="55" spans="2:4">
      <c r="B55" t="s">
        <v>522</v>
      </c>
      <c r="C55" s="3">
        <v>45689</v>
      </c>
      <c r="D55">
        <v>450</v>
      </c>
    </row>
    <row r="56" spans="2:4">
      <c r="B56" t="s">
        <v>526</v>
      </c>
      <c r="C56" s="3">
        <v>46388</v>
      </c>
      <c r="D56">
        <v>500</v>
      </c>
    </row>
    <row r="57" spans="2:4">
      <c r="B57" t="s">
        <v>544</v>
      </c>
      <c r="C57" s="3">
        <v>46844</v>
      </c>
      <c r="D57">
        <v>100</v>
      </c>
    </row>
    <row r="58" spans="2:4">
      <c r="B58" t="s">
        <v>547</v>
      </c>
      <c r="C58" s="3">
        <v>46874</v>
      </c>
      <c r="D58">
        <v>1000</v>
      </c>
    </row>
    <row r="59" spans="2:4">
      <c r="B59" t="s">
        <v>554</v>
      </c>
      <c r="C59" s="3">
        <v>46784</v>
      </c>
      <c r="D59">
        <v>40</v>
      </c>
    </row>
    <row r="60" spans="2:4">
      <c r="B60" t="s">
        <v>561</v>
      </c>
      <c r="C60" s="3">
        <v>46174</v>
      </c>
      <c r="D60">
        <v>60</v>
      </c>
    </row>
    <row r="61" spans="2:4">
      <c r="B61" t="s">
        <v>563</v>
      </c>
      <c r="C61" s="3">
        <v>46174</v>
      </c>
      <c r="D61">
        <v>7</v>
      </c>
    </row>
    <row r="62" spans="2:4">
      <c r="B62" t="s">
        <v>573</v>
      </c>
      <c r="C62" s="3">
        <v>46235</v>
      </c>
      <c r="D62">
        <v>10</v>
      </c>
    </row>
    <row r="63" spans="2:4">
      <c r="B63" t="s">
        <v>588</v>
      </c>
      <c r="C63" s="3">
        <v>46935</v>
      </c>
      <c r="D63">
        <v>240</v>
      </c>
    </row>
    <row r="64" spans="2:4">
      <c r="B64" t="s">
        <v>604</v>
      </c>
      <c r="C64" s="3">
        <v>47088</v>
      </c>
      <c r="D64">
        <v>20</v>
      </c>
    </row>
    <row r="65" spans="2:4">
      <c r="B65" t="s">
        <v>612</v>
      </c>
      <c r="C65" s="3">
        <v>46905</v>
      </c>
      <c r="D65">
        <v>300</v>
      </c>
    </row>
    <row r="66" spans="2:4">
      <c r="B66" t="s">
        <v>621</v>
      </c>
      <c r="C66" s="3">
        <v>46235</v>
      </c>
      <c r="D66">
        <v>305</v>
      </c>
    </row>
    <row r="67" spans="2:4">
      <c r="B67" t="s">
        <v>622</v>
      </c>
      <c r="C67" s="3">
        <v>46266</v>
      </c>
      <c r="D67">
        <v>280</v>
      </c>
    </row>
    <row r="68" spans="2:4">
      <c r="B68" t="s">
        <v>635</v>
      </c>
      <c r="C68" s="3">
        <v>46539</v>
      </c>
      <c r="D68">
        <v>100</v>
      </c>
    </row>
    <row r="69" spans="2:4">
      <c r="B69" t="s">
        <v>656</v>
      </c>
      <c r="C69" s="3">
        <v>46054</v>
      </c>
      <c r="D69">
        <v>500</v>
      </c>
    </row>
    <row r="70" spans="2:4">
      <c r="B70" t="s">
        <v>660</v>
      </c>
      <c r="C70" s="3">
        <v>46327</v>
      </c>
      <c r="D70">
        <v>1960</v>
      </c>
    </row>
    <row r="71" spans="2:4">
      <c r="B71" t="s">
        <v>666</v>
      </c>
      <c r="C71" s="3">
        <v>47058</v>
      </c>
      <c r="D71">
        <v>30</v>
      </c>
    </row>
    <row r="72" spans="2:4">
      <c r="B72" t="s">
        <v>755</v>
      </c>
      <c r="C72" s="3">
        <v>47239</v>
      </c>
      <c r="D72">
        <v>250</v>
      </c>
    </row>
    <row r="73" spans="2:4">
      <c r="B73" t="s">
        <v>766</v>
      </c>
      <c r="C73" s="3">
        <v>47150</v>
      </c>
      <c r="D73">
        <v>800</v>
      </c>
    </row>
    <row r="74" spans="2:4">
      <c r="B74" t="s">
        <v>819</v>
      </c>
      <c r="C74" s="3">
        <v>46692</v>
      </c>
      <c r="D74">
        <v>125</v>
      </c>
    </row>
    <row r="75" spans="2:4">
      <c r="B75" t="s">
        <v>825</v>
      </c>
      <c r="C75" s="3">
        <v>46419</v>
      </c>
      <c r="D75">
        <v>100</v>
      </c>
    </row>
    <row r="76" spans="2:4">
      <c r="B76" t="s">
        <v>1036</v>
      </c>
      <c r="C76" s="3">
        <v>46235</v>
      </c>
      <c r="D76">
        <v>150</v>
      </c>
    </row>
    <row r="77" spans="2:4">
      <c r="B77" t="s">
        <v>1039</v>
      </c>
      <c r="C77" s="3">
        <v>47178</v>
      </c>
      <c r="D77">
        <v>20</v>
      </c>
    </row>
    <row r="78" spans="2:4">
      <c r="B78" t="s">
        <v>1224</v>
      </c>
      <c r="C78" s="3">
        <v>45870</v>
      </c>
      <c r="D78">
        <v>20</v>
      </c>
    </row>
    <row r="79" spans="2:4">
      <c r="B79" t="s">
        <v>1235</v>
      </c>
      <c r="C79" s="3">
        <v>46447</v>
      </c>
      <c r="D79">
        <v>150</v>
      </c>
    </row>
    <row r="80" spans="2:4">
      <c r="B80" t="s">
        <v>1236</v>
      </c>
      <c r="C80" s="3">
        <v>46419</v>
      </c>
      <c r="D80">
        <v>50</v>
      </c>
    </row>
    <row r="81" spans="2:4">
      <c r="B81" t="s">
        <v>1238</v>
      </c>
      <c r="C81" s="3">
        <v>45870</v>
      </c>
      <c r="D81">
        <v>96</v>
      </c>
    </row>
    <row r="82" spans="2:4">
      <c r="B82" t="s">
        <v>1256</v>
      </c>
      <c r="C82" s="3">
        <v>47178</v>
      </c>
      <c r="D82">
        <v>10</v>
      </c>
    </row>
    <row r="83" spans="2:4">
      <c r="B83" t="s">
        <v>1257</v>
      </c>
      <c r="C83" s="3">
        <v>47119</v>
      </c>
      <c r="D83">
        <v>60</v>
      </c>
    </row>
    <row r="84" spans="2:4">
      <c r="B84" t="s">
        <v>1259</v>
      </c>
      <c r="C84" s="3">
        <v>47150</v>
      </c>
      <c r="D84">
        <v>80</v>
      </c>
    </row>
    <row r="85" spans="2:4">
      <c r="B85" t="s">
        <v>1292</v>
      </c>
      <c r="C85" s="3">
        <v>46023</v>
      </c>
      <c r="D85">
        <v>1500</v>
      </c>
    </row>
    <row r="86" spans="2:4">
      <c r="B86" t="s">
        <v>1322</v>
      </c>
      <c r="C86" s="3">
        <v>47088</v>
      </c>
      <c r="D86">
        <v>80</v>
      </c>
    </row>
    <row r="87" spans="2:4">
      <c r="B87" t="s">
        <v>1324</v>
      </c>
      <c r="C87" s="3">
        <v>47209</v>
      </c>
      <c r="D87">
        <v>160</v>
      </c>
    </row>
    <row r="88" spans="2:4">
      <c r="B88" t="s">
        <v>1325</v>
      </c>
      <c r="C88" s="3">
        <v>45931</v>
      </c>
      <c r="D88">
        <v>16400</v>
      </c>
    </row>
    <row r="89" spans="2:4">
      <c r="B89" t="s">
        <v>1327</v>
      </c>
      <c r="C89" s="3">
        <v>46054</v>
      </c>
      <c r="D89">
        <v>20</v>
      </c>
    </row>
    <row r="90" spans="2:4">
      <c r="B90" t="s">
        <v>1328</v>
      </c>
      <c r="C90" s="3">
        <v>46204</v>
      </c>
      <c r="D90">
        <v>40</v>
      </c>
    </row>
    <row r="91" spans="2:4">
      <c r="B91" t="s">
        <v>1339</v>
      </c>
      <c r="C91" s="3">
        <v>47270</v>
      </c>
      <c r="D91">
        <v>1000</v>
      </c>
    </row>
    <row r="92" spans="2:4">
      <c r="B92" t="s">
        <v>1428</v>
      </c>
      <c r="C92" s="3">
        <v>45962</v>
      </c>
      <c r="D92">
        <v>640</v>
      </c>
    </row>
    <row r="93" spans="2:4">
      <c r="B93" t="s">
        <v>1437</v>
      </c>
      <c r="C93" s="3">
        <v>47239</v>
      </c>
      <c r="D93">
        <v>24</v>
      </c>
    </row>
    <row r="94" spans="2:4">
      <c r="B94" t="s">
        <v>1438</v>
      </c>
      <c r="C94" s="3">
        <v>46813</v>
      </c>
      <c r="D94">
        <v>24</v>
      </c>
    </row>
    <row r="95" spans="2:4">
      <c r="B95" t="s">
        <v>1482</v>
      </c>
      <c r="C95" s="3">
        <v>46143</v>
      </c>
      <c r="D95">
        <v>20</v>
      </c>
    </row>
    <row r="96" spans="2:4">
      <c r="B96" t="s">
        <v>1483</v>
      </c>
      <c r="C96" s="3">
        <v>46419</v>
      </c>
      <c r="D96">
        <v>40</v>
      </c>
    </row>
    <row r="97" spans="2:4">
      <c r="B97" t="s">
        <v>1487</v>
      </c>
      <c r="C97" s="3">
        <v>46874</v>
      </c>
      <c r="D97">
        <v>160</v>
      </c>
    </row>
    <row r="98" spans="2:4">
      <c r="B98" t="s">
        <v>1509</v>
      </c>
      <c r="C98" s="3">
        <v>46054</v>
      </c>
      <c r="D98">
        <v>48</v>
      </c>
    </row>
    <row r="99" spans="2:4">
      <c r="B99" t="s">
        <v>1555</v>
      </c>
      <c r="C99" s="3">
        <v>46478</v>
      </c>
      <c r="D99">
        <v>40</v>
      </c>
    </row>
    <row r="100" spans="2:4">
      <c r="B100" t="s">
        <v>1577</v>
      </c>
      <c r="C100" s="3">
        <v>46844</v>
      </c>
      <c r="D100">
        <v>15</v>
      </c>
    </row>
    <row r="101" spans="2:4">
      <c r="B101" t="s">
        <v>1578</v>
      </c>
      <c r="C101" s="3">
        <v>47088</v>
      </c>
      <c r="D101">
        <v>60</v>
      </c>
    </row>
    <row r="102" spans="2:4">
      <c r="B102" t="s">
        <v>1579</v>
      </c>
      <c r="C102" s="3">
        <v>47178</v>
      </c>
      <c r="D102">
        <v>20</v>
      </c>
    </row>
    <row r="103" spans="2:4">
      <c r="B103" t="s">
        <v>1583</v>
      </c>
      <c r="C103" s="3">
        <v>46235</v>
      </c>
      <c r="D103">
        <v>10</v>
      </c>
    </row>
    <row r="104" spans="2:4">
      <c r="B104" t="s">
        <v>1590</v>
      </c>
      <c r="C104" s="3">
        <v>46905</v>
      </c>
      <c r="D104">
        <v>15</v>
      </c>
    </row>
    <row r="105" spans="2:4">
      <c r="B105" t="s">
        <v>1594</v>
      </c>
      <c r="C105" s="3">
        <v>47150</v>
      </c>
      <c r="D105">
        <v>20</v>
      </c>
    </row>
    <row r="106" spans="2:4">
      <c r="B106" t="s">
        <v>1607</v>
      </c>
      <c r="C106" s="3">
        <v>46935</v>
      </c>
      <c r="D106">
        <v>10</v>
      </c>
    </row>
    <row r="107" spans="2:4">
      <c r="B107" t="s">
        <v>1608</v>
      </c>
      <c r="C107" s="3">
        <v>46935</v>
      </c>
      <c r="D107">
        <v>490</v>
      </c>
    </row>
    <row r="108" spans="2:4">
      <c r="B108" t="s">
        <v>1618</v>
      </c>
      <c r="C108" s="3">
        <v>45992</v>
      </c>
      <c r="D108">
        <v>2445</v>
      </c>
    </row>
    <row r="109" spans="2:4">
      <c r="B109" t="s">
        <v>1620</v>
      </c>
      <c r="C109" s="3">
        <v>45778</v>
      </c>
      <c r="D109">
        <v>35</v>
      </c>
    </row>
    <row r="110" spans="2:4">
      <c r="B110" t="s">
        <v>1669</v>
      </c>
      <c r="C110" s="3">
        <v>46753</v>
      </c>
      <c r="D110">
        <v>100</v>
      </c>
    </row>
    <row r="111" spans="2:4">
      <c r="B111" t="s">
        <v>1678</v>
      </c>
      <c r="C111" s="3">
        <v>46266</v>
      </c>
      <c r="D111">
        <v>80</v>
      </c>
    </row>
    <row r="112" spans="2:4">
      <c r="B112" t="s">
        <v>1705</v>
      </c>
      <c r="C112" s="3">
        <v>46419</v>
      </c>
      <c r="D112">
        <v>20</v>
      </c>
    </row>
    <row r="113" spans="2:4">
      <c r="B113" t="s">
        <v>1707</v>
      </c>
      <c r="C113" s="3">
        <v>46874</v>
      </c>
      <c r="D113">
        <v>200</v>
      </c>
    </row>
    <row r="114" spans="2:4">
      <c r="B114" t="s">
        <v>1709</v>
      </c>
      <c r="C114" s="3">
        <v>47209</v>
      </c>
      <c r="D114">
        <v>100</v>
      </c>
    </row>
    <row r="115" spans="2:4">
      <c r="B115" t="s">
        <v>1710</v>
      </c>
      <c r="C115" s="3">
        <v>47239</v>
      </c>
      <c r="D115">
        <v>200</v>
      </c>
    </row>
    <row r="116" spans="2:4">
      <c r="B116" t="s">
        <v>1715</v>
      </c>
      <c r="C116" s="3">
        <v>45566</v>
      </c>
      <c r="D116">
        <v>40</v>
      </c>
    </row>
    <row r="117" spans="2:4">
      <c r="B117" t="s">
        <v>1720</v>
      </c>
      <c r="C117" s="3">
        <v>47027</v>
      </c>
      <c r="D117">
        <v>2</v>
      </c>
    </row>
    <row r="118" spans="2:4">
      <c r="B118" t="s">
        <v>1720</v>
      </c>
      <c r="C118" s="3">
        <v>46357</v>
      </c>
      <c r="D118">
        <v>8</v>
      </c>
    </row>
    <row r="119" spans="2:4">
      <c r="B119" t="s">
        <v>1732</v>
      </c>
      <c r="C119" s="3">
        <v>45505</v>
      </c>
      <c r="D119">
        <v>120</v>
      </c>
    </row>
    <row r="120" spans="2:4">
      <c r="B120" t="s">
        <v>1738</v>
      </c>
      <c r="C120" s="3">
        <v>46174</v>
      </c>
      <c r="D120">
        <v>650</v>
      </c>
    </row>
    <row r="121" spans="2:4">
      <c r="B121" t="s">
        <v>1741</v>
      </c>
      <c r="C121" s="3">
        <v>45809</v>
      </c>
      <c r="D121">
        <v>2000</v>
      </c>
    </row>
    <row r="122" spans="2:4">
      <c r="B122" t="s">
        <v>1745</v>
      </c>
      <c r="C122" s="3">
        <v>47058</v>
      </c>
      <c r="D122">
        <v>9</v>
      </c>
    </row>
    <row r="123" spans="2:4">
      <c r="B123" t="s">
        <v>1745</v>
      </c>
      <c r="C123" s="3">
        <v>47150</v>
      </c>
      <c r="D123">
        <v>200</v>
      </c>
    </row>
    <row r="124" spans="2:4">
      <c r="B124" t="s">
        <v>1746</v>
      </c>
      <c r="C124" s="3">
        <v>46143</v>
      </c>
      <c r="D124">
        <v>24</v>
      </c>
    </row>
    <row r="125" spans="2:4">
      <c r="B125" t="s">
        <v>1748</v>
      </c>
      <c r="C125" s="3">
        <v>46143</v>
      </c>
      <c r="D125">
        <v>1104</v>
      </c>
    </row>
    <row r="126" spans="2:4">
      <c r="B126" t="s">
        <v>1750</v>
      </c>
      <c r="C126" s="3">
        <v>46143</v>
      </c>
      <c r="D126">
        <v>1760</v>
      </c>
    </row>
    <row r="127" spans="2:4">
      <c r="B127" t="s">
        <v>1761</v>
      </c>
      <c r="C127" s="3">
        <v>45597</v>
      </c>
      <c r="D127">
        <v>5</v>
      </c>
    </row>
    <row r="128" spans="2:4">
      <c r="B128" t="s">
        <v>1771</v>
      </c>
      <c r="C128" s="3">
        <v>46023</v>
      </c>
      <c r="D128">
        <v>5</v>
      </c>
    </row>
    <row r="129" spans="2:4">
      <c r="B129" t="s">
        <v>1792</v>
      </c>
      <c r="C129" s="3">
        <v>47239</v>
      </c>
      <c r="D129">
        <v>1200</v>
      </c>
    </row>
    <row r="130" spans="2:4">
      <c r="B130" t="s">
        <v>1794</v>
      </c>
      <c r="C130" s="3">
        <v>47239</v>
      </c>
      <c r="D130">
        <v>320</v>
      </c>
    </row>
    <row r="131" spans="2:4">
      <c r="B131" t="s">
        <v>1803</v>
      </c>
      <c r="C131" s="3">
        <v>46113</v>
      </c>
      <c r="D131">
        <v>2500</v>
      </c>
    </row>
    <row r="132" spans="2:4">
      <c r="B132" t="s">
        <v>1811</v>
      </c>
      <c r="C132" s="3">
        <v>46082</v>
      </c>
      <c r="D132">
        <v>10</v>
      </c>
    </row>
    <row r="133" spans="2:4">
      <c r="B133" t="s">
        <v>1841</v>
      </c>
      <c r="C133" s="3">
        <v>45992</v>
      </c>
      <c r="D133">
        <v>280</v>
      </c>
    </row>
    <row r="134" spans="2:4">
      <c r="B134" t="s">
        <v>1858</v>
      </c>
      <c r="C134" s="3">
        <v>46113</v>
      </c>
      <c r="D134">
        <v>1850</v>
      </c>
    </row>
    <row r="135" spans="2:4">
      <c r="B135" t="s">
        <v>1894</v>
      </c>
      <c r="C135" s="3">
        <v>47088</v>
      </c>
      <c r="D135">
        <v>40</v>
      </c>
    </row>
    <row r="136" spans="2:4">
      <c r="B136" t="s">
        <v>1895</v>
      </c>
      <c r="C136" s="3">
        <v>46478</v>
      </c>
      <c r="D136">
        <v>50</v>
      </c>
    </row>
    <row r="137" spans="2:4">
      <c r="B137" t="s">
        <v>1905</v>
      </c>
      <c r="C137" s="3">
        <v>46054</v>
      </c>
      <c r="D137">
        <v>10</v>
      </c>
    </row>
    <row r="138" spans="2:4">
      <c r="B138" t="s">
        <v>1934</v>
      </c>
      <c r="C138" s="3">
        <v>46844</v>
      </c>
      <c r="D138">
        <v>5</v>
      </c>
    </row>
    <row r="139" spans="2:4">
      <c r="B139" t="s">
        <v>1940</v>
      </c>
      <c r="C139" s="3">
        <v>46874</v>
      </c>
      <c r="D139">
        <v>20</v>
      </c>
    </row>
    <row r="140" spans="2:4">
      <c r="B140" t="s">
        <v>1971</v>
      </c>
      <c r="C140" s="3">
        <v>47239</v>
      </c>
      <c r="D140">
        <v>220</v>
      </c>
    </row>
    <row r="141" spans="2:4">
      <c r="B141" t="s">
        <v>1979</v>
      </c>
      <c r="C141" s="3">
        <v>45931</v>
      </c>
      <c r="D141">
        <v>20</v>
      </c>
    </row>
    <row r="142" spans="2:4">
      <c r="B142" t="s">
        <v>1991</v>
      </c>
      <c r="C142" s="3">
        <v>47088</v>
      </c>
      <c r="D142">
        <v>100</v>
      </c>
    </row>
    <row r="143" spans="2:4">
      <c r="B143" t="s">
        <v>1992</v>
      </c>
      <c r="C143" s="3">
        <v>46569</v>
      </c>
      <c r="D143">
        <v>20</v>
      </c>
    </row>
    <row r="144" spans="2:4">
      <c r="B144" t="s">
        <v>2049</v>
      </c>
      <c r="C144" s="3">
        <v>46813</v>
      </c>
      <c r="D144">
        <v>200</v>
      </c>
    </row>
    <row r="145" spans="2:4">
      <c r="B145" t="s">
        <v>2075</v>
      </c>
      <c r="C145" s="3">
        <v>47178</v>
      </c>
      <c r="D145">
        <v>670</v>
      </c>
    </row>
    <row r="146" spans="2:4">
      <c r="B146" t="s">
        <v>2082</v>
      </c>
      <c r="C146" s="3">
        <v>46054</v>
      </c>
      <c r="D146">
        <v>120</v>
      </c>
    </row>
    <row r="147" spans="2:4">
      <c r="B147" t="s">
        <v>2084</v>
      </c>
      <c r="C147" s="3">
        <v>46874</v>
      </c>
      <c r="D147">
        <v>20</v>
      </c>
    </row>
    <row r="148" spans="2:4">
      <c r="B148" t="s">
        <v>2107</v>
      </c>
      <c r="C148" s="3">
        <v>46357</v>
      </c>
      <c r="D148">
        <v>100</v>
      </c>
    </row>
    <row r="149" spans="2:4">
      <c r="B149" t="s">
        <v>2109</v>
      </c>
      <c r="C149" s="3">
        <v>46296</v>
      </c>
      <c r="D149">
        <v>2</v>
      </c>
    </row>
    <row r="150" spans="2:4">
      <c r="B150" t="s">
        <v>2110</v>
      </c>
      <c r="C150" s="3">
        <v>46357</v>
      </c>
      <c r="D150">
        <v>16</v>
      </c>
    </row>
    <row r="151" spans="2:4">
      <c r="B151" t="s">
        <v>2117</v>
      </c>
      <c r="C151" s="3">
        <v>45839</v>
      </c>
      <c r="D151">
        <v>55</v>
      </c>
    </row>
    <row r="152" spans="2:4">
      <c r="B152" t="s">
        <v>2136</v>
      </c>
      <c r="C152" s="3">
        <v>46143</v>
      </c>
      <c r="D152">
        <v>5000</v>
      </c>
    </row>
    <row r="153" spans="2:4">
      <c r="B153" t="s">
        <v>2148</v>
      </c>
      <c r="C153" s="3">
        <v>46204</v>
      </c>
      <c r="D153">
        <v>70</v>
      </c>
    </row>
    <row r="154" spans="2:4">
      <c r="B154" t="s">
        <v>2159</v>
      </c>
      <c r="C154" s="3">
        <v>46997</v>
      </c>
      <c r="D154">
        <v>50</v>
      </c>
    </row>
    <row r="155" spans="2:4">
      <c r="B155" t="s">
        <v>2160</v>
      </c>
      <c r="C155" s="3">
        <v>46143</v>
      </c>
      <c r="D155">
        <v>20</v>
      </c>
    </row>
    <row r="156" spans="2:4">
      <c r="B156" t="s">
        <v>2161</v>
      </c>
      <c r="C156" s="3">
        <v>46388</v>
      </c>
      <c r="D156">
        <v>60</v>
      </c>
    </row>
    <row r="157" spans="2:4">
      <c r="B157" t="s">
        <v>256</v>
      </c>
      <c r="C157" s="3">
        <v>47239</v>
      </c>
      <c r="D157">
        <v>90</v>
      </c>
    </row>
    <row r="158" spans="2:4">
      <c r="B158" t="s">
        <v>465</v>
      </c>
      <c r="C158" s="3">
        <v>47239</v>
      </c>
      <c r="D158">
        <v>20</v>
      </c>
    </row>
    <row r="159" spans="2:4">
      <c r="B159" t="s">
        <v>590</v>
      </c>
      <c r="C159" s="3">
        <v>47239</v>
      </c>
      <c r="D159">
        <v>150</v>
      </c>
    </row>
    <row r="160" spans="2:4">
      <c r="B160" t="s">
        <v>616</v>
      </c>
      <c r="C160" s="3">
        <v>46113</v>
      </c>
      <c r="D160">
        <v>630</v>
      </c>
    </row>
    <row r="161" spans="2:4">
      <c r="B161" t="s">
        <v>616</v>
      </c>
      <c r="C161" s="3">
        <v>46082</v>
      </c>
      <c r="D161">
        <v>45</v>
      </c>
    </row>
    <row r="162" spans="2:4">
      <c r="B162" t="s">
        <v>617</v>
      </c>
      <c r="C162" s="3">
        <v>46082</v>
      </c>
      <c r="D162">
        <v>30</v>
      </c>
    </row>
    <row r="163" spans="2:4">
      <c r="B163" t="s">
        <v>695</v>
      </c>
      <c r="C163" s="3">
        <v>46296</v>
      </c>
      <c r="D163">
        <v>144</v>
      </c>
    </row>
    <row r="164" spans="2:4">
      <c r="B164" t="s">
        <v>705</v>
      </c>
      <c r="C164" s="3">
        <v>46478</v>
      </c>
      <c r="D164">
        <v>336</v>
      </c>
    </row>
    <row r="165" spans="2:4">
      <c r="B165" t="s">
        <v>709</v>
      </c>
      <c r="C165" s="3">
        <v>46113</v>
      </c>
      <c r="D165">
        <v>2160</v>
      </c>
    </row>
    <row r="166" spans="2:4">
      <c r="B166" t="s">
        <v>726</v>
      </c>
      <c r="C166" s="3">
        <v>46419</v>
      </c>
      <c r="D166">
        <v>168</v>
      </c>
    </row>
    <row r="167" spans="2:4">
      <c r="B167" t="s">
        <v>726</v>
      </c>
      <c r="C167" s="3">
        <v>46508</v>
      </c>
      <c r="D167">
        <v>648</v>
      </c>
    </row>
    <row r="168" spans="2:4">
      <c r="B168" t="s">
        <v>749</v>
      </c>
      <c r="C168" s="3">
        <v>46388</v>
      </c>
      <c r="D168">
        <v>20</v>
      </c>
    </row>
    <row r="169" spans="2:4">
      <c r="B169" t="s">
        <v>796</v>
      </c>
      <c r="C169" s="3">
        <v>47239</v>
      </c>
      <c r="D169">
        <v>200</v>
      </c>
    </row>
    <row r="170" spans="2:4">
      <c r="B170" t="s">
        <v>1187</v>
      </c>
      <c r="C170" s="3">
        <v>46508</v>
      </c>
      <c r="D170">
        <v>615</v>
      </c>
    </row>
    <row r="171" spans="2:4">
      <c r="B171" t="s">
        <v>1188</v>
      </c>
      <c r="C171" s="3">
        <v>46388</v>
      </c>
      <c r="D171">
        <v>120</v>
      </c>
    </row>
    <row r="172" spans="2:4">
      <c r="B172" t="s">
        <v>1263</v>
      </c>
      <c r="C172" s="3">
        <v>47027</v>
      </c>
      <c r="D172">
        <v>20</v>
      </c>
    </row>
    <row r="173" spans="2:4">
      <c r="B173" t="s">
        <v>1267</v>
      </c>
      <c r="C173" s="3">
        <v>46753</v>
      </c>
      <c r="D173">
        <v>20</v>
      </c>
    </row>
    <row r="174" spans="2:4">
      <c r="B174" t="s">
        <v>1274</v>
      </c>
      <c r="C174" s="3">
        <v>47239</v>
      </c>
      <c r="D174">
        <v>260</v>
      </c>
    </row>
    <row r="175" spans="2:4">
      <c r="B175" t="s">
        <v>1341</v>
      </c>
      <c r="C175" s="3">
        <v>46478</v>
      </c>
      <c r="D175">
        <v>10</v>
      </c>
    </row>
    <row r="176" spans="2:4">
      <c r="B176" t="s">
        <v>1341</v>
      </c>
      <c r="C176" s="3">
        <v>46508</v>
      </c>
      <c r="D176">
        <v>760</v>
      </c>
    </row>
    <row r="177" spans="2:4">
      <c r="B177" t="s">
        <v>1474</v>
      </c>
      <c r="C177" s="3">
        <v>45870</v>
      </c>
      <c r="D177">
        <v>8</v>
      </c>
    </row>
    <row r="178" spans="2:4">
      <c r="B178" t="s">
        <v>1478</v>
      </c>
      <c r="C178" s="3">
        <v>46082</v>
      </c>
      <c r="D178">
        <v>8</v>
      </c>
    </row>
    <row r="179" spans="2:4">
      <c r="B179" t="s">
        <v>1731</v>
      </c>
      <c r="C179" s="3">
        <v>46478</v>
      </c>
      <c r="D179">
        <v>20</v>
      </c>
    </row>
    <row r="180" spans="2:4">
      <c r="B180" t="s">
        <v>1900</v>
      </c>
      <c r="C180" s="3">
        <v>46204</v>
      </c>
      <c r="D180">
        <v>20</v>
      </c>
    </row>
    <row r="181" spans="2:4">
      <c r="B181" t="s">
        <v>2076</v>
      </c>
      <c r="C181" s="3">
        <v>46143</v>
      </c>
      <c r="D181">
        <v>60</v>
      </c>
    </row>
    <row r="182" spans="2:4">
      <c r="B182" t="s">
        <v>2168</v>
      </c>
      <c r="C182" s="3">
        <v>46935</v>
      </c>
      <c r="D182">
        <v>5</v>
      </c>
    </row>
    <row r="183" spans="2:4">
      <c r="B183" t="s">
        <v>1717</v>
      </c>
      <c r="C183" s="3">
        <v>45992</v>
      </c>
      <c r="D183">
        <v>122</v>
      </c>
    </row>
    <row r="184" spans="2:4">
      <c r="B184" t="s">
        <v>102</v>
      </c>
      <c r="C184" s="3" t="s">
        <v>2222</v>
      </c>
      <c r="D184">
        <v>3</v>
      </c>
    </row>
    <row r="185" spans="2:4">
      <c r="B185" t="s">
        <v>103</v>
      </c>
      <c r="C185" s="3" t="s">
        <v>2222</v>
      </c>
      <c r="D185">
        <v>3</v>
      </c>
    </row>
    <row r="186" spans="2:4">
      <c r="B186" t="s">
        <v>105</v>
      </c>
      <c r="C186" s="3" t="s">
        <v>2222</v>
      </c>
      <c r="D186">
        <v>2</v>
      </c>
    </row>
    <row r="187" spans="2:4">
      <c r="B187" t="s">
        <v>780</v>
      </c>
      <c r="C187" s="3" t="s">
        <v>2222</v>
      </c>
      <c r="D187">
        <v>10</v>
      </c>
    </row>
    <row r="188" spans="2:4">
      <c r="B188" t="s">
        <v>1357</v>
      </c>
      <c r="C188" s="3" t="s">
        <v>2222</v>
      </c>
      <c r="D188">
        <v>25</v>
      </c>
    </row>
    <row r="189" spans="2:4">
      <c r="B189" t="s">
        <v>1385</v>
      </c>
      <c r="C189" s="3" t="s">
        <v>2222</v>
      </c>
      <c r="D189">
        <v>6</v>
      </c>
    </row>
    <row r="190" spans="2:4">
      <c r="B190" t="s">
        <v>1403</v>
      </c>
      <c r="C190" s="3" t="s">
        <v>2222</v>
      </c>
      <c r="D190">
        <v>25</v>
      </c>
    </row>
    <row r="191" spans="2:4">
      <c r="B191" t="s">
        <v>1954</v>
      </c>
      <c r="C191" s="3" t="s">
        <v>2222</v>
      </c>
      <c r="D191">
        <v>1</v>
      </c>
    </row>
    <row r="192" spans="2:4">
      <c r="B192" t="s">
        <v>1956</v>
      </c>
      <c r="C192" s="3" t="s">
        <v>2222</v>
      </c>
      <c r="D192">
        <v>41</v>
      </c>
    </row>
    <row r="193" spans="2:4">
      <c r="B193" t="s">
        <v>1957</v>
      </c>
      <c r="C193" s="3" t="s">
        <v>2222</v>
      </c>
      <c r="D193">
        <v>2</v>
      </c>
    </row>
    <row r="194" spans="2:4">
      <c r="B194" t="s">
        <v>1958</v>
      </c>
      <c r="C194" s="3" t="s">
        <v>2222</v>
      </c>
      <c r="D194">
        <v>217</v>
      </c>
    </row>
    <row r="195" spans="2:4">
      <c r="B195" t="s">
        <v>1960</v>
      </c>
      <c r="C195" s="3" t="s">
        <v>2222</v>
      </c>
      <c r="D195">
        <v>5</v>
      </c>
    </row>
    <row r="196" spans="2:4">
      <c r="B196" t="s">
        <v>2001</v>
      </c>
      <c r="C196" s="3" t="s">
        <v>2222</v>
      </c>
      <c r="D196">
        <v>480</v>
      </c>
    </row>
    <row r="197" spans="2:4">
      <c r="B197" t="s">
        <v>2005</v>
      </c>
      <c r="C197" s="3" t="s">
        <v>2222</v>
      </c>
      <c r="D197">
        <v>1</v>
      </c>
    </row>
    <row r="198" spans="2:4">
      <c r="B198" t="s">
        <v>2033</v>
      </c>
      <c r="C198" s="3" t="s">
        <v>2222</v>
      </c>
      <c r="D198">
        <v>2</v>
      </c>
    </row>
    <row r="199" spans="2:4">
      <c r="B199" t="s">
        <v>1094</v>
      </c>
      <c r="C199" s="3" t="s">
        <v>2222</v>
      </c>
      <c r="D199">
        <v>3</v>
      </c>
    </row>
    <row r="200" spans="2:4">
      <c r="B200" t="s">
        <v>1116</v>
      </c>
      <c r="C200" s="3" t="s">
        <v>2222</v>
      </c>
      <c r="D200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workbookViewId="0">
      <selection activeCell="B2" sqref="B2:D6"/>
    </sheetView>
  </sheetViews>
  <sheetFormatPr defaultRowHeight="15"/>
  <sheetData>
    <row r="2" spans="2:4">
      <c r="B2" t="s">
        <v>66</v>
      </c>
      <c r="C2" s="3">
        <v>47150</v>
      </c>
      <c r="D2">
        <v>200</v>
      </c>
    </row>
    <row r="3" spans="2:4">
      <c r="B3" t="s">
        <v>66</v>
      </c>
      <c r="C3" s="3">
        <v>47150</v>
      </c>
      <c r="D3">
        <v>40</v>
      </c>
    </row>
    <row r="4" spans="2:4">
      <c r="B4" t="s">
        <v>66</v>
      </c>
      <c r="C4" s="3">
        <v>47209</v>
      </c>
      <c r="D4">
        <v>80</v>
      </c>
    </row>
    <row r="5" spans="2:4">
      <c r="B5" t="s">
        <v>66</v>
      </c>
      <c r="C5" s="3">
        <v>47209</v>
      </c>
      <c r="D5">
        <v>120</v>
      </c>
    </row>
    <row r="6" spans="2:4">
      <c r="B6" t="s">
        <v>66</v>
      </c>
      <c r="C6" s="3">
        <v>47209</v>
      </c>
      <c r="D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db_masterBarang</vt:lpstr>
      <vt:lpstr>db_barangZahir</vt:lpstr>
      <vt:lpstr>db_pending</vt:lpstr>
      <vt:lpstr>DIGITAL</vt:lpstr>
      <vt:lpstr>BENIH</vt:lpstr>
      <vt:lpstr>barang</vt:lpstr>
      <vt:lpstr>pending</vt:lpstr>
      <vt:lpstr>Sheet2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2024-06-20T01:24:49Z</dcterms:created>
  <dcterms:modified xsi:type="dcterms:W3CDTF">2024-06-26T09:00:10Z</dcterms:modified>
</cp:coreProperties>
</file>